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RODUKSI-PM\Documents Network Produksi - PM\2025\8. AGUSTUS\"/>
    </mc:Choice>
  </mc:AlternateContent>
  <bookViews>
    <workbookView xWindow="-105" yWindow="-105" windowWidth="20730" windowHeight="11760" tabRatio="931" activeTab="10"/>
  </bookViews>
  <sheets>
    <sheet name="Report1" sheetId="39" r:id="rId1"/>
    <sheet name="GRAFIK" sheetId="49" r:id="rId2"/>
    <sheet name="Listrik" sheetId="45" r:id="rId3"/>
    <sheet name="Trim Rwd" sheetId="47" r:id="rId4"/>
    <sheet name="Efficiency1" sheetId="46" r:id="rId5"/>
    <sheet name="Efficiency2" sheetId="54" r:id="rId6"/>
    <sheet name="Chem" sheetId="1" r:id="rId7"/>
    <sheet name="BB" sheetId="2" r:id="rId8"/>
    <sheet name="RBP" sheetId="50" r:id="rId9"/>
    <sheet name="Sheet1" sheetId="53" r:id="rId10"/>
    <sheet name="summary" sheetId="52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</externalReferences>
  <definedNames>
    <definedName name="_xlnm._FilterDatabase" localSheetId="9" hidden="1">Sheet1!$B$1:$F$106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6">'16'!$A$1:$M$61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Chem!$CY$6:$DK$15</definedName>
    <definedName name="_xlnm.Print_Area" localSheetId="4">Efficiency1!$A$3:$X$95</definedName>
    <definedName name="_xlnm.Print_Area" localSheetId="5">Efficiency2!$A$3:$X$95</definedName>
    <definedName name="_xlnm.Print_Area" localSheetId="2">Listrik!$A$2:$AE$40</definedName>
    <definedName name="_xlnm.Print_Area" localSheetId="0">Report1!$A$2:$BE$41</definedName>
  </definedNames>
  <calcPr calcId="152511"/>
</workbook>
</file>

<file path=xl/calcChain.xml><?xml version="1.0" encoding="utf-8"?>
<calcChain xmlns="http://schemas.openxmlformats.org/spreadsheetml/2006/main">
  <c r="AM40" i="2" l="1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6" i="2"/>
  <c r="AM15" i="2"/>
  <c r="AM14" i="2"/>
  <c r="AM13" i="2"/>
  <c r="AM12" i="2"/>
  <c r="AM11" i="2"/>
  <c r="O52" i="54" l="1"/>
  <c r="Z145" i="54"/>
  <c r="Z143" i="54"/>
  <c r="W106" i="54"/>
  <c r="Z93" i="54"/>
  <c r="Z87" i="54"/>
  <c r="Z66" i="54"/>
  <c r="Z65" i="54"/>
  <c r="W54" i="54"/>
  <c r="Z53" i="54"/>
  <c r="W52" i="54"/>
  <c r="Z47" i="54"/>
  <c r="Z43" i="54"/>
  <c r="Z38" i="54"/>
  <c r="Z37" i="54"/>
  <c r="Z31" i="54"/>
  <c r="W26" i="54"/>
  <c r="W22" i="54"/>
  <c r="Z21" i="54"/>
  <c r="Z20" i="54"/>
  <c r="Z17" i="54"/>
  <c r="Z16" i="54"/>
  <c r="Z14" i="54"/>
  <c r="Z13" i="54"/>
  <c r="Z6" i="54"/>
  <c r="C9" i="4"/>
  <c r="N149" i="54" l="1"/>
  <c r="J149" i="54"/>
  <c r="N148" i="54"/>
  <c r="J148" i="54"/>
  <c r="M146" i="54"/>
  <c r="N146" i="54" s="1"/>
  <c r="J146" i="54"/>
  <c r="M145" i="54"/>
  <c r="N145" i="54" s="1"/>
  <c r="J145" i="54"/>
  <c r="M144" i="54"/>
  <c r="J144" i="54"/>
  <c r="M143" i="54"/>
  <c r="J143" i="54"/>
  <c r="M142" i="54"/>
  <c r="N142" i="54" s="1"/>
  <c r="J142" i="54"/>
  <c r="Z145" i="46"/>
  <c r="Z143" i="46"/>
  <c r="W106" i="46"/>
  <c r="Z93" i="46"/>
  <c r="Z87" i="46"/>
  <c r="Z66" i="46"/>
  <c r="Z65" i="46"/>
  <c r="W54" i="46"/>
  <c r="Z53" i="46"/>
  <c r="W52" i="46"/>
  <c r="Z47" i="46"/>
  <c r="Z43" i="46"/>
  <c r="Z38" i="46"/>
  <c r="Z37" i="46"/>
  <c r="Z31" i="46"/>
  <c r="W26" i="46"/>
  <c r="AC23" i="46"/>
  <c r="W22" i="46"/>
  <c r="Z21" i="46"/>
  <c r="Z20" i="46"/>
  <c r="Z17" i="46"/>
  <c r="Z16" i="46"/>
  <c r="Z14" i="46"/>
  <c r="Z13" i="46"/>
  <c r="Z6" i="46"/>
  <c r="K27" i="4"/>
  <c r="W143" i="54" s="1"/>
  <c r="K29" i="43"/>
  <c r="W150" i="54" s="1"/>
  <c r="K31" i="43"/>
  <c r="W149" i="54" s="1"/>
  <c r="C26" i="43"/>
  <c r="C25" i="43"/>
  <c r="C16" i="43"/>
  <c r="C7" i="43"/>
  <c r="K30" i="43" s="1"/>
  <c r="W148" i="54" s="1"/>
  <c r="C26" i="4"/>
  <c r="K30" i="4" s="1"/>
  <c r="C18" i="4"/>
  <c r="K29" i="4" s="1"/>
  <c r="C17" i="4"/>
  <c r="K28" i="4" s="1"/>
  <c r="W144" i="54" s="1"/>
  <c r="C16" i="4"/>
  <c r="C7" i="4"/>
  <c r="K26" i="4" s="1"/>
  <c r="F105" i="47"/>
  <c r="E107" i="47"/>
  <c r="G107" i="47" s="1"/>
  <c r="H107" i="47" s="1"/>
  <c r="E106" i="47"/>
  <c r="G106" i="47"/>
  <c r="H106" i="47" s="1"/>
  <c r="O149" i="54" s="1"/>
  <c r="E105" i="47"/>
  <c r="I100" i="47"/>
  <c r="I101" i="47"/>
  <c r="I102" i="47"/>
  <c r="I103" i="47"/>
  <c r="I99" i="47"/>
  <c r="F101" i="47"/>
  <c r="F100" i="47"/>
  <c r="F99" i="47"/>
  <c r="G99" i="47" s="1"/>
  <c r="H99" i="47" s="1"/>
  <c r="O142" i="54" s="1"/>
  <c r="F102" i="47"/>
  <c r="F103" i="47"/>
  <c r="E103" i="47"/>
  <c r="E102" i="47"/>
  <c r="G102" i="47" s="1"/>
  <c r="H102" i="47" s="1"/>
  <c r="E101" i="47"/>
  <c r="G101" i="47" s="1"/>
  <c r="H101" i="47" s="1"/>
  <c r="E100" i="47"/>
  <c r="G100" i="47" s="1"/>
  <c r="H100" i="47" s="1"/>
  <c r="E99" i="47"/>
  <c r="G103" i="47" l="1"/>
  <c r="H103" i="47" s="1"/>
  <c r="W143" i="46"/>
  <c r="O146" i="54"/>
  <c r="O146" i="46"/>
  <c r="W142" i="54"/>
  <c r="W142" i="46"/>
  <c r="O144" i="54"/>
  <c r="C144" i="54" s="1"/>
  <c r="O144" i="46"/>
  <c r="O143" i="54"/>
  <c r="C143" i="54" s="1"/>
  <c r="O143" i="46"/>
  <c r="W145" i="54"/>
  <c r="W145" i="46"/>
  <c r="O145" i="54"/>
  <c r="K145" i="54" s="1"/>
  <c r="O145" i="46"/>
  <c r="W146" i="54"/>
  <c r="W146" i="46"/>
  <c r="O142" i="46"/>
  <c r="W148" i="46"/>
  <c r="W149" i="46"/>
  <c r="O149" i="46"/>
  <c r="W150" i="46"/>
  <c r="K142" i="54"/>
  <c r="K146" i="54"/>
  <c r="W144" i="46"/>
  <c r="N144" i="54"/>
  <c r="N143" i="54"/>
  <c r="C142" i="54"/>
  <c r="C146" i="54"/>
  <c r="K149" i="54"/>
  <c r="C149" i="54"/>
  <c r="G105" i="47"/>
  <c r="H105" i="47" s="1"/>
  <c r="DY40" i="2"/>
  <c r="DY39" i="2"/>
  <c r="C145" i="54" l="1"/>
  <c r="O148" i="54"/>
  <c r="O148" i="46"/>
  <c r="K143" i="54"/>
  <c r="X142" i="54" s="1"/>
  <c r="K144" i="54"/>
  <c r="K39" i="2"/>
  <c r="BH38" i="39" l="1"/>
  <c r="C148" i="54"/>
  <c r="K148" i="54"/>
  <c r="BF39" i="39"/>
  <c r="BF38" i="39"/>
  <c r="X148" i="54" l="1"/>
  <c r="BH39" i="39"/>
  <c r="AR150" i="54"/>
  <c r="BA150" i="54" s="1"/>
  <c r="AM150" i="54"/>
  <c r="AR149" i="54"/>
  <c r="BA149" i="54" s="1"/>
  <c r="AM149" i="54"/>
  <c r="U149" i="54"/>
  <c r="T149" i="54"/>
  <c r="AC149" i="54" s="1"/>
  <c r="V149" i="54"/>
  <c r="AR148" i="54"/>
  <c r="BA148" i="54" s="1"/>
  <c r="AM148" i="54"/>
  <c r="U148" i="54"/>
  <c r="T148" i="54"/>
  <c r="P148" i="54"/>
  <c r="V148" i="54"/>
  <c r="V146" i="54"/>
  <c r="T146" i="54"/>
  <c r="AR145" i="54"/>
  <c r="BA145" i="54" s="1"/>
  <c r="AM145" i="54"/>
  <c r="AD145" i="54" s="1"/>
  <c r="P145" i="54"/>
  <c r="AR144" i="54"/>
  <c r="BA144" i="54" s="1"/>
  <c r="AM144" i="54"/>
  <c r="V144" i="54"/>
  <c r="U144" i="54"/>
  <c r="T144" i="54"/>
  <c r="AR143" i="54"/>
  <c r="BA143" i="54" s="1"/>
  <c r="AM143" i="54"/>
  <c r="AD143" i="54" s="1"/>
  <c r="U143" i="54"/>
  <c r="T143" i="54"/>
  <c r="P143" i="54"/>
  <c r="AR142" i="54"/>
  <c r="BA142" i="54" s="1"/>
  <c r="AD142" i="54" s="1"/>
  <c r="AM142" i="54"/>
  <c r="U142" i="54"/>
  <c r="T142" i="54"/>
  <c r="P142" i="54"/>
  <c r="V142" i="54"/>
  <c r="P9" i="43"/>
  <c r="C148" i="46"/>
  <c r="N148" i="46"/>
  <c r="J148" i="46"/>
  <c r="AR150" i="46"/>
  <c r="BA150" i="46" s="1"/>
  <c r="AM150" i="46"/>
  <c r="AR149" i="46"/>
  <c r="BA149" i="46" s="1"/>
  <c r="AM149" i="46"/>
  <c r="U149" i="46"/>
  <c r="T149" i="46"/>
  <c r="P149" i="46"/>
  <c r="N149" i="46"/>
  <c r="J149" i="46"/>
  <c r="C149" i="46"/>
  <c r="AR148" i="46"/>
  <c r="BA148" i="46" s="1"/>
  <c r="AM148" i="46"/>
  <c r="AD144" i="54" l="1"/>
  <c r="AD148" i="54"/>
  <c r="AD150" i="54"/>
  <c r="AD150" i="46"/>
  <c r="AD149" i="54"/>
  <c r="N39" i="39"/>
  <c r="P149" i="54"/>
  <c r="K149" i="46"/>
  <c r="AC149" i="46" s="1"/>
  <c r="P148" i="46"/>
  <c r="T148" i="46"/>
  <c r="U148" i="46"/>
  <c r="K148" i="46"/>
  <c r="U146" i="54"/>
  <c r="AC146" i="54"/>
  <c r="P146" i="54"/>
  <c r="T145" i="54"/>
  <c r="AC145" i="54" s="1"/>
  <c r="U145" i="54"/>
  <c r="V145" i="54"/>
  <c r="V143" i="54"/>
  <c r="AC144" i="54"/>
  <c r="AC143" i="54"/>
  <c r="P144" i="54"/>
  <c r="AC148" i="54"/>
  <c r="AD149" i="46"/>
  <c r="AD148" i="46"/>
  <c r="V149" i="46"/>
  <c r="V148" i="46"/>
  <c r="N38" i="43"/>
  <c r="I106" i="47" s="1"/>
  <c r="I38" i="43"/>
  <c r="N37" i="43" s="1"/>
  <c r="I105" i="47" s="1"/>
  <c r="N32" i="43"/>
  <c r="G42" i="43"/>
  <c r="I37" i="43" s="1"/>
  <c r="F42" i="43"/>
  <c r="P27" i="43"/>
  <c r="Q27" i="43" s="1"/>
  <c r="P26" i="43"/>
  <c r="P28" i="43" s="1"/>
  <c r="O27" i="43"/>
  <c r="O26" i="43"/>
  <c r="Q9" i="43"/>
  <c r="Q8" i="43"/>
  <c r="P10" i="43"/>
  <c r="O9" i="43"/>
  <c r="R9" i="43" s="1"/>
  <c r="O8" i="43"/>
  <c r="R8" i="43" s="1"/>
  <c r="N6" i="43"/>
  <c r="AA142" i="54" l="1"/>
  <c r="R27" i="43"/>
  <c r="AC148" i="46"/>
  <c r="X148" i="46"/>
  <c r="L39" i="39"/>
  <c r="AC142" i="54"/>
  <c r="AB142" i="54" s="1"/>
  <c r="Q26" i="43"/>
  <c r="Q28" i="43" s="1"/>
  <c r="Q29" i="43" s="1"/>
  <c r="R26" i="43"/>
  <c r="R28" i="43" s="1"/>
  <c r="R29" i="43" s="1"/>
  <c r="Q10" i="43"/>
  <c r="Q11" i="43" s="1"/>
  <c r="R10" i="43"/>
  <c r="R11" i="43" s="1"/>
  <c r="AR145" i="46"/>
  <c r="BA145" i="46" s="1"/>
  <c r="AM145" i="46"/>
  <c r="AD145" i="46" s="1"/>
  <c r="M146" i="46"/>
  <c r="N146" i="46" s="1"/>
  <c r="M145" i="46"/>
  <c r="N145" i="46" s="1"/>
  <c r="M144" i="46"/>
  <c r="N144" i="46" s="1"/>
  <c r="M143" i="46"/>
  <c r="U143" i="46" s="1"/>
  <c r="M142" i="46"/>
  <c r="J146" i="46"/>
  <c r="P145" i="46"/>
  <c r="J145" i="46"/>
  <c r="J144" i="46"/>
  <c r="J143" i="46"/>
  <c r="J142" i="46"/>
  <c r="N142" i="46"/>
  <c r="C142" i="46"/>
  <c r="AM142" i="46"/>
  <c r="AR142" i="46"/>
  <c r="BA142" i="46" s="1"/>
  <c r="AM143" i="46"/>
  <c r="AR143" i="46"/>
  <c r="BA143" i="46" s="1"/>
  <c r="AM144" i="46"/>
  <c r="AR144" i="46"/>
  <c r="BA144" i="46" s="1"/>
  <c r="AE10" i="50"/>
  <c r="I38" i="4"/>
  <c r="Q33" i="4"/>
  <c r="Q35" i="4" s="1"/>
  <c r="P34" i="4"/>
  <c r="P33" i="4"/>
  <c r="P32" i="4"/>
  <c r="P31" i="4"/>
  <c r="P30" i="4"/>
  <c r="P27" i="4"/>
  <c r="Q26" i="4"/>
  <c r="O26" i="4"/>
  <c r="R26" i="4" s="1"/>
  <c r="Q25" i="4"/>
  <c r="O25" i="4"/>
  <c r="R25" i="4" s="1"/>
  <c r="P17" i="4"/>
  <c r="Q17" i="4" s="1"/>
  <c r="P16" i="4"/>
  <c r="Q16" i="4" s="1"/>
  <c r="O17" i="4"/>
  <c r="R17" i="4" s="1"/>
  <c r="O16" i="4"/>
  <c r="R16" i="4" s="1"/>
  <c r="R10" i="4"/>
  <c r="Q10" i="4"/>
  <c r="P9" i="4"/>
  <c r="Q9" i="4" s="1"/>
  <c r="P8" i="4"/>
  <c r="Q8" i="4" s="1"/>
  <c r="O10" i="4"/>
  <c r="O9" i="4"/>
  <c r="R9" i="4" s="1"/>
  <c r="O8" i="4"/>
  <c r="R8" i="4" s="1"/>
  <c r="N6" i="4"/>
  <c r="Q27" i="4" l="1"/>
  <c r="Q28" i="4" s="1"/>
  <c r="U144" i="46"/>
  <c r="Q18" i="4"/>
  <c r="C146" i="46"/>
  <c r="R18" i="4"/>
  <c r="N143" i="46"/>
  <c r="P11" i="4"/>
  <c r="P18" i="4"/>
  <c r="R19" i="4" s="1"/>
  <c r="AD143" i="46"/>
  <c r="AD144" i="46"/>
  <c r="AD142" i="46"/>
  <c r="V146" i="46"/>
  <c r="T146" i="46"/>
  <c r="K145" i="46"/>
  <c r="T144" i="46"/>
  <c r="V144" i="46"/>
  <c r="V142" i="46"/>
  <c r="C144" i="46"/>
  <c r="C143" i="46"/>
  <c r="K144" i="46"/>
  <c r="K146" i="46"/>
  <c r="T145" i="46"/>
  <c r="U145" i="46"/>
  <c r="P146" i="46"/>
  <c r="P143" i="46"/>
  <c r="U146" i="46"/>
  <c r="C145" i="46"/>
  <c r="V145" i="46"/>
  <c r="T143" i="46"/>
  <c r="P144" i="46"/>
  <c r="U142" i="46"/>
  <c r="T142" i="46"/>
  <c r="P142" i="46"/>
  <c r="K142" i="46"/>
  <c r="R27" i="4"/>
  <c r="R28" i="4" s="1"/>
  <c r="R11" i="4"/>
  <c r="Q11" i="4"/>
  <c r="AG4" i="50"/>
  <c r="AG3" i="50"/>
  <c r="AC144" i="46" l="1"/>
  <c r="R12" i="4"/>
  <c r="Q12" i="4"/>
  <c r="AA142" i="46"/>
  <c r="V143" i="46"/>
  <c r="K143" i="46"/>
  <c r="AC143" i="46" s="1"/>
  <c r="AC146" i="46"/>
  <c r="Q19" i="4"/>
  <c r="Y148" i="54"/>
  <c r="AA148" i="54" s="1"/>
  <c r="AB148" i="54" s="1"/>
  <c r="Y148" i="46"/>
  <c r="AA148" i="46" s="1"/>
  <c r="AB148" i="46" s="1"/>
  <c r="AC145" i="46"/>
  <c r="AC142" i="46"/>
  <c r="L38" i="39"/>
  <c r="N38" i="39"/>
  <c r="T3" i="50"/>
  <c r="X142" i="46" l="1"/>
  <c r="AB142" i="46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AR140" i="54" l="1"/>
  <c r="BA140" i="54" s="1"/>
  <c r="AM140" i="54"/>
  <c r="AD140" i="54" s="1"/>
  <c r="AR139" i="54"/>
  <c r="BA139" i="54" s="1"/>
  <c r="AM139" i="54"/>
  <c r="AR138" i="54"/>
  <c r="BA138" i="54" s="1"/>
  <c r="AM138" i="54"/>
  <c r="N138" i="54"/>
  <c r="J138" i="54"/>
  <c r="F97" i="47"/>
  <c r="E97" i="47"/>
  <c r="DY38" i="2"/>
  <c r="AD138" i="54" l="1"/>
  <c r="AD139" i="54"/>
  <c r="G97" i="47"/>
  <c r="H97" i="47" s="1"/>
  <c r="O138" i="54" l="1"/>
  <c r="O138" i="46"/>
  <c r="K38" i="2"/>
  <c r="K138" i="54" l="1"/>
  <c r="P138" i="54"/>
  <c r="C138" i="54"/>
  <c r="V138" i="54"/>
  <c r="U138" i="54"/>
  <c r="T138" i="54"/>
  <c r="AC138" i="54" s="1"/>
  <c r="C7" i="37"/>
  <c r="K26" i="37" s="1"/>
  <c r="W138" i="54" l="1"/>
  <c r="W138" i="46"/>
  <c r="X138" i="54"/>
  <c r="BF37" i="39"/>
  <c r="BH37" i="39"/>
  <c r="U138" i="46"/>
  <c r="N138" i="46"/>
  <c r="K138" i="46" s="1"/>
  <c r="J138" i="46"/>
  <c r="C138" i="46"/>
  <c r="N37" i="39" s="1"/>
  <c r="AR140" i="46"/>
  <c r="BA140" i="46" s="1"/>
  <c r="AM140" i="46"/>
  <c r="AR139" i="46"/>
  <c r="BA139" i="46" s="1"/>
  <c r="AM139" i="46"/>
  <c r="AR138" i="46"/>
  <c r="BA138" i="46" s="1"/>
  <c r="AM138" i="46"/>
  <c r="F14" i="37"/>
  <c r="F23" i="37"/>
  <c r="I38" i="37"/>
  <c r="I97" i="47" s="1"/>
  <c r="AD140" i="46" l="1"/>
  <c r="AD139" i="46"/>
  <c r="L37" i="39"/>
  <c r="X138" i="46"/>
  <c r="V138" i="46"/>
  <c r="AD138" i="46"/>
  <c r="P138" i="46"/>
  <c r="T138" i="46"/>
  <c r="AC138" i="46" s="1"/>
  <c r="F42" i="37"/>
  <c r="G40" i="37"/>
  <c r="G39" i="37"/>
  <c r="Q9" i="37"/>
  <c r="Q8" i="37"/>
  <c r="P10" i="37"/>
  <c r="O9" i="37"/>
  <c r="R9" i="37" s="1"/>
  <c r="O8" i="37"/>
  <c r="R8" i="37" s="1"/>
  <c r="N6" i="37"/>
  <c r="G42" i="37" l="1"/>
  <c r="I37" i="37" s="1"/>
  <c r="Q10" i="37"/>
  <c r="Q11" i="37" s="1"/>
  <c r="R10" i="37"/>
  <c r="R11" i="37" s="1"/>
  <c r="N133" i="54"/>
  <c r="J133" i="54"/>
  <c r="M132" i="54"/>
  <c r="N132" i="54" s="1"/>
  <c r="J132" i="54"/>
  <c r="M128" i="54"/>
  <c r="N128" i="54" s="1"/>
  <c r="J128" i="54"/>
  <c r="M127" i="54"/>
  <c r="N127" i="54" s="1"/>
  <c r="J127" i="54"/>
  <c r="M123" i="54"/>
  <c r="N123" i="54" s="1"/>
  <c r="J123" i="54"/>
  <c r="M119" i="54"/>
  <c r="N119" i="54" s="1"/>
  <c r="J119" i="54"/>
  <c r="M118" i="54"/>
  <c r="N118" i="54" s="1"/>
  <c r="J118" i="54"/>
  <c r="M114" i="54"/>
  <c r="N114" i="54" s="1"/>
  <c r="J114" i="54"/>
  <c r="M110" i="54"/>
  <c r="N110" i="54" s="1"/>
  <c r="J110" i="54"/>
  <c r="M106" i="54"/>
  <c r="N106" i="54" s="1"/>
  <c r="J106" i="54"/>
  <c r="M105" i="54"/>
  <c r="N105" i="54" s="1"/>
  <c r="J105" i="54"/>
  <c r="M101" i="54"/>
  <c r="N101" i="54" s="1"/>
  <c r="J101" i="54"/>
  <c r="M97" i="54"/>
  <c r="N97" i="54" s="1"/>
  <c r="J97" i="54"/>
  <c r="M93" i="54"/>
  <c r="N93" i="54" s="1"/>
  <c r="J93" i="54"/>
  <c r="N92" i="54"/>
  <c r="J92" i="54"/>
  <c r="N88" i="54"/>
  <c r="J88" i="54"/>
  <c r="N87" i="54"/>
  <c r="J87" i="54"/>
  <c r="N82" i="54"/>
  <c r="J82" i="54"/>
  <c r="N78" i="54"/>
  <c r="J78" i="54"/>
  <c r="N74" i="54"/>
  <c r="J74" i="54"/>
  <c r="N70" i="54"/>
  <c r="J70" i="54"/>
  <c r="N66" i="54"/>
  <c r="J66" i="54"/>
  <c r="N65" i="54"/>
  <c r="J65" i="54"/>
  <c r="M62" i="54"/>
  <c r="N62" i="54" s="1"/>
  <c r="J62" i="54"/>
  <c r="M61" i="54"/>
  <c r="N61" i="54" s="1"/>
  <c r="J61" i="54"/>
  <c r="M57" i="54"/>
  <c r="N57" i="54" s="1"/>
  <c r="J57" i="54"/>
  <c r="M54" i="54"/>
  <c r="N54" i="54" s="1"/>
  <c r="J54" i="54"/>
  <c r="N53" i="54"/>
  <c r="J53" i="54"/>
  <c r="N52" i="54"/>
  <c r="K52" i="54" s="1"/>
  <c r="J52" i="54"/>
  <c r="N47" i="54"/>
  <c r="J47" i="54"/>
  <c r="N46" i="54"/>
  <c r="J46" i="54"/>
  <c r="N43" i="54"/>
  <c r="J43" i="54"/>
  <c r="N42" i="54"/>
  <c r="J42" i="54"/>
  <c r="N38" i="54"/>
  <c r="J38" i="54"/>
  <c r="N37" i="54"/>
  <c r="J37" i="54"/>
  <c r="N31" i="54"/>
  <c r="J31" i="54"/>
  <c r="N30" i="54"/>
  <c r="J30" i="54"/>
  <c r="N26" i="54"/>
  <c r="J26" i="54"/>
  <c r="N25" i="54"/>
  <c r="J25" i="54"/>
  <c r="N22" i="54"/>
  <c r="J22" i="54"/>
  <c r="N21" i="54"/>
  <c r="J21" i="54"/>
  <c r="N20" i="54"/>
  <c r="J20" i="54"/>
  <c r="N17" i="54"/>
  <c r="J17" i="54"/>
  <c r="N16" i="54"/>
  <c r="J16" i="54"/>
  <c r="N14" i="54"/>
  <c r="J14" i="54"/>
  <c r="N13" i="54"/>
  <c r="J13" i="54"/>
  <c r="M12" i="54"/>
  <c r="N12" i="54" s="1"/>
  <c r="J12" i="54"/>
  <c r="M11" i="54"/>
  <c r="N11" i="54" s="1"/>
  <c r="J11" i="54"/>
  <c r="M10" i="54"/>
  <c r="N10" i="54" s="1"/>
  <c r="J10" i="54"/>
  <c r="M7" i="54"/>
  <c r="N7" i="54" s="1"/>
  <c r="J7" i="54"/>
  <c r="M6" i="54"/>
  <c r="N6" i="54" s="1"/>
  <c r="J6" i="54"/>
  <c r="C17" i="6" l="1"/>
  <c r="C16" i="6"/>
  <c r="DY37" i="2"/>
  <c r="F95" i="47" l="1"/>
  <c r="E94" i="47"/>
  <c r="G94" i="47" s="1"/>
  <c r="E95" i="47"/>
  <c r="G95" i="47" s="1"/>
  <c r="H95" i="47" s="1"/>
  <c r="F93" i="47"/>
  <c r="E93" i="47"/>
  <c r="G93" i="47" s="1"/>
  <c r="H93" i="47" l="1"/>
  <c r="O132" i="54" s="1"/>
  <c r="K132" i="54" s="1"/>
  <c r="O133" i="54"/>
  <c r="K133" i="54" s="1"/>
  <c r="O133" i="46"/>
  <c r="O132" i="46"/>
  <c r="BF36" i="39"/>
  <c r="AR136" i="54" l="1"/>
  <c r="BA136" i="54" s="1"/>
  <c r="AM136" i="54"/>
  <c r="AR135" i="54"/>
  <c r="BA135" i="54" s="1"/>
  <c r="AM135" i="54"/>
  <c r="AD135" i="54" s="1"/>
  <c r="AR134" i="54"/>
  <c r="BA134" i="54" s="1"/>
  <c r="AM134" i="54"/>
  <c r="AR133" i="54"/>
  <c r="BA133" i="54" s="1"/>
  <c r="AM133" i="54"/>
  <c r="AD133" i="54" s="1"/>
  <c r="C133" i="54"/>
  <c r="AR132" i="54"/>
  <c r="BA132" i="54" s="1"/>
  <c r="AM132" i="54"/>
  <c r="P132" i="54"/>
  <c r="AM136" i="46"/>
  <c r="AR136" i="46"/>
  <c r="BA136" i="46" s="1"/>
  <c r="AD136" i="46" s="1"/>
  <c r="AR135" i="46"/>
  <c r="BA135" i="46" s="1"/>
  <c r="AM135" i="46"/>
  <c r="M132" i="46"/>
  <c r="N132" i="46" s="1"/>
  <c r="V132" i="46" s="1"/>
  <c r="J132" i="46"/>
  <c r="AR134" i="46"/>
  <c r="BA134" i="46" s="1"/>
  <c r="AM134" i="46"/>
  <c r="AR133" i="46"/>
  <c r="BA133" i="46" s="1"/>
  <c r="AM133" i="46"/>
  <c r="P133" i="46"/>
  <c r="N133" i="46"/>
  <c r="J133" i="46"/>
  <c r="AR132" i="46"/>
  <c r="BA132" i="46" s="1"/>
  <c r="AM132" i="46"/>
  <c r="AD132" i="46" s="1"/>
  <c r="K26" i="6"/>
  <c r="K25" i="6"/>
  <c r="AD134" i="54" l="1"/>
  <c r="W133" i="54"/>
  <c r="W133" i="46"/>
  <c r="W132" i="54"/>
  <c r="X132" i="54" s="1"/>
  <c r="W132" i="46"/>
  <c r="AD133" i="46"/>
  <c r="AD132" i="54"/>
  <c r="AD136" i="54"/>
  <c r="T132" i="46"/>
  <c r="C133" i="46"/>
  <c r="U133" i="46"/>
  <c r="K132" i="46"/>
  <c r="U132" i="54"/>
  <c r="P132" i="46"/>
  <c r="C132" i="46"/>
  <c r="U132" i="46"/>
  <c r="C132" i="54"/>
  <c r="T133" i="46"/>
  <c r="V132" i="54"/>
  <c r="T132" i="54"/>
  <c r="P133" i="54"/>
  <c r="T133" i="54"/>
  <c r="U133" i="54"/>
  <c r="V133" i="54"/>
  <c r="AD135" i="46"/>
  <c r="AD134" i="46"/>
  <c r="K133" i="46"/>
  <c r="AC133" i="46" s="1"/>
  <c r="V133" i="46"/>
  <c r="N37" i="6"/>
  <c r="I93" i="47" s="1"/>
  <c r="I38" i="6"/>
  <c r="N38" i="6" s="1"/>
  <c r="I95" i="47" s="1"/>
  <c r="G42" i="6"/>
  <c r="I37" i="6" s="1"/>
  <c r="F42" i="6"/>
  <c r="O25" i="6"/>
  <c r="Q16" i="6"/>
  <c r="F20" i="6"/>
  <c r="P17" i="6"/>
  <c r="Q17" i="6" s="1"/>
  <c r="P18" i="6"/>
  <c r="O17" i="6"/>
  <c r="R17" i="6" s="1"/>
  <c r="O16" i="6"/>
  <c r="R16" i="6" s="1"/>
  <c r="R18" i="6" s="1"/>
  <c r="R19" i="6" s="1"/>
  <c r="O8" i="6"/>
  <c r="N6" i="6"/>
  <c r="Q18" i="6" l="1"/>
  <c r="Q19" i="6" s="1"/>
  <c r="AC132" i="46"/>
  <c r="X132" i="46"/>
  <c r="N36" i="39"/>
  <c r="BH36" i="39"/>
  <c r="AC133" i="54"/>
  <c r="L36" i="39"/>
  <c r="AC132" i="54"/>
  <c r="DY36" i="2"/>
  <c r="N37" i="7" l="1"/>
  <c r="I90" i="47" s="1"/>
  <c r="F91" i="47"/>
  <c r="E91" i="47"/>
  <c r="G91" i="47" s="1"/>
  <c r="H91" i="47" s="1"/>
  <c r="E90" i="47"/>
  <c r="G90" i="47" s="1"/>
  <c r="H90" i="47" s="1"/>
  <c r="C7" i="7"/>
  <c r="K24" i="7" s="1"/>
  <c r="W127" i="54" l="1"/>
  <c r="W127" i="46"/>
  <c r="O127" i="54"/>
  <c r="K127" i="54" s="1"/>
  <c r="O127" i="46"/>
  <c r="O128" i="54"/>
  <c r="K128" i="54" s="1"/>
  <c r="O128" i="46"/>
  <c r="C8" i="7"/>
  <c r="K25" i="7" s="1"/>
  <c r="P8" i="33"/>
  <c r="M12" i="46"/>
  <c r="M11" i="46"/>
  <c r="M10" i="46"/>
  <c r="M7" i="46"/>
  <c r="M6" i="46"/>
  <c r="W128" i="54" l="1"/>
  <c r="W128" i="46"/>
  <c r="X127" i="54"/>
  <c r="AQ36" i="2"/>
  <c r="K36" i="2"/>
  <c r="F14" i="7" l="1"/>
  <c r="F23" i="7"/>
  <c r="BF35" i="39" l="1"/>
  <c r="AR130" i="54" l="1"/>
  <c r="BA130" i="54" s="1"/>
  <c r="AM130" i="54"/>
  <c r="AR129" i="54"/>
  <c r="BA129" i="54" s="1"/>
  <c r="AM129" i="54"/>
  <c r="AR128" i="54"/>
  <c r="BA128" i="54" s="1"/>
  <c r="AM128" i="54"/>
  <c r="P128" i="54"/>
  <c r="AR127" i="54"/>
  <c r="BA127" i="54" s="1"/>
  <c r="AM127" i="54"/>
  <c r="U127" i="54"/>
  <c r="AR130" i="46"/>
  <c r="BA130" i="46" s="1"/>
  <c r="AM130" i="46"/>
  <c r="M128" i="46"/>
  <c r="N128" i="46" s="1"/>
  <c r="J128" i="46"/>
  <c r="AR129" i="46"/>
  <c r="BA129" i="46" s="1"/>
  <c r="AM129" i="46"/>
  <c r="AR128" i="46"/>
  <c r="BA128" i="46" s="1"/>
  <c r="AM128" i="46"/>
  <c r="AR127" i="46"/>
  <c r="BA127" i="46" s="1"/>
  <c r="AM127" i="46"/>
  <c r="P127" i="46"/>
  <c r="M127" i="46"/>
  <c r="J127" i="46"/>
  <c r="I38" i="7"/>
  <c r="N38" i="7" s="1"/>
  <c r="I91" i="47" s="1"/>
  <c r="G40" i="7"/>
  <c r="G39" i="7"/>
  <c r="G38" i="7"/>
  <c r="O8" i="7"/>
  <c r="AD127" i="46" l="1"/>
  <c r="AD129" i="54"/>
  <c r="AD130" i="54"/>
  <c r="T128" i="46"/>
  <c r="AD130" i="46"/>
  <c r="AD128" i="54"/>
  <c r="AD127" i="54"/>
  <c r="U128" i="46"/>
  <c r="C128" i="46"/>
  <c r="K128" i="46"/>
  <c r="C127" i="54"/>
  <c r="V128" i="54"/>
  <c r="T128" i="54"/>
  <c r="P127" i="54"/>
  <c r="U128" i="54"/>
  <c r="AD129" i="46"/>
  <c r="P128" i="46"/>
  <c r="T127" i="54"/>
  <c r="AC127" i="54" s="1"/>
  <c r="C128" i="54"/>
  <c r="U127" i="46"/>
  <c r="V128" i="46"/>
  <c r="V127" i="54"/>
  <c r="AD128" i="46"/>
  <c r="N127" i="46"/>
  <c r="T127" i="46"/>
  <c r="C127" i="46"/>
  <c r="N6" i="7"/>
  <c r="AA127" i="46" l="1"/>
  <c r="AC128" i="46"/>
  <c r="N35" i="39"/>
  <c r="AC128" i="54"/>
  <c r="BH35" i="39"/>
  <c r="K127" i="46"/>
  <c r="V127" i="46"/>
  <c r="F88" i="47"/>
  <c r="E88" i="47"/>
  <c r="G88" i="47" l="1"/>
  <c r="H88" i="47" s="1"/>
  <c r="O123" i="54" s="1"/>
  <c r="K123" i="54" s="1"/>
  <c r="L35" i="39"/>
  <c r="AC127" i="46"/>
  <c r="AB127" i="46" s="1"/>
  <c r="X127" i="46"/>
  <c r="O123" i="46"/>
  <c r="DY35" i="2"/>
  <c r="AQ35" i="2"/>
  <c r="K35" i="2"/>
  <c r="BF34" i="39" l="1"/>
  <c r="AR125" i="54"/>
  <c r="BA125" i="54" s="1"/>
  <c r="AM125" i="54"/>
  <c r="AR124" i="54"/>
  <c r="BA124" i="54" s="1"/>
  <c r="AM124" i="54"/>
  <c r="AR123" i="54"/>
  <c r="BA123" i="54" s="1"/>
  <c r="AM123" i="54"/>
  <c r="U123" i="54"/>
  <c r="P123" i="46"/>
  <c r="M123" i="46"/>
  <c r="T123" i="46" s="1"/>
  <c r="J123" i="46"/>
  <c r="AR125" i="46"/>
  <c r="BA125" i="46" s="1"/>
  <c r="AM125" i="46"/>
  <c r="AR124" i="46"/>
  <c r="BA124" i="46" s="1"/>
  <c r="AM124" i="46"/>
  <c r="AR123" i="46"/>
  <c r="BA123" i="46" s="1"/>
  <c r="AM123" i="46"/>
  <c r="F14" i="9"/>
  <c r="F23" i="9"/>
  <c r="F14" i="8"/>
  <c r="F23" i="8"/>
  <c r="I38" i="8"/>
  <c r="I88" i="47" s="1"/>
  <c r="G40" i="8"/>
  <c r="G39" i="8"/>
  <c r="G38" i="8"/>
  <c r="O8" i="8"/>
  <c r="N6" i="8"/>
  <c r="U123" i="46" l="1"/>
  <c r="C123" i="46"/>
  <c r="N34" i="39" s="1"/>
  <c r="AD123" i="54"/>
  <c r="C123" i="54"/>
  <c r="N123" i="46"/>
  <c r="AD125" i="54"/>
  <c r="AD123" i="46"/>
  <c r="AD124" i="46"/>
  <c r="AD125" i="46"/>
  <c r="AD124" i="54"/>
  <c r="P123" i="54"/>
  <c r="T123" i="54"/>
  <c r="BH34" i="39" l="1"/>
  <c r="V123" i="54"/>
  <c r="K123" i="46"/>
  <c r="V123" i="46"/>
  <c r="DY34" i="2"/>
  <c r="AQ34" i="2"/>
  <c r="K34" i="2"/>
  <c r="AC123" i="46" l="1"/>
  <c r="AC123" i="54"/>
  <c r="L34" i="39"/>
  <c r="C17" i="9"/>
  <c r="K24" i="9" s="1"/>
  <c r="C16" i="9"/>
  <c r="K23" i="9" s="1"/>
  <c r="N37" i="9"/>
  <c r="I85" i="47" s="1"/>
  <c r="F86" i="47"/>
  <c r="E86" i="47"/>
  <c r="G86" i="47" s="1"/>
  <c r="H86" i="47" s="1"/>
  <c r="F85" i="47"/>
  <c r="E85" i="47"/>
  <c r="O119" i="46" l="1"/>
  <c r="O119" i="54"/>
  <c r="K119" i="54" s="1"/>
  <c r="W118" i="54"/>
  <c r="W118" i="46"/>
  <c r="W119" i="54"/>
  <c r="W119" i="46"/>
  <c r="G85" i="47"/>
  <c r="H85" i="47" s="1"/>
  <c r="O118" i="54" s="1"/>
  <c r="K118" i="54" s="1"/>
  <c r="O118" i="46"/>
  <c r="P118" i="46" s="1"/>
  <c r="BF33" i="39"/>
  <c r="AH38" i="39"/>
  <c r="AH39" i="39"/>
  <c r="C119" i="54"/>
  <c r="M119" i="46"/>
  <c r="C119" i="46" s="1"/>
  <c r="P119" i="46"/>
  <c r="J119" i="46"/>
  <c r="AR121" i="54"/>
  <c r="BA121" i="54" s="1"/>
  <c r="AM121" i="54"/>
  <c r="AR120" i="54"/>
  <c r="BA120" i="54" s="1"/>
  <c r="AM120" i="54"/>
  <c r="AD120" i="54" s="1"/>
  <c r="AR119" i="54"/>
  <c r="BA119" i="54" s="1"/>
  <c r="AM119" i="54"/>
  <c r="AR118" i="54"/>
  <c r="BA118" i="54" s="1"/>
  <c r="AM118" i="54"/>
  <c r="AD118" i="54" s="1"/>
  <c r="AM121" i="46"/>
  <c r="AR121" i="46"/>
  <c r="BA121" i="46" s="1"/>
  <c r="AR120" i="46"/>
  <c r="BA120" i="46" s="1"/>
  <c r="AM120" i="46"/>
  <c r="AR119" i="46"/>
  <c r="BA119" i="46" s="1"/>
  <c r="AM119" i="46"/>
  <c r="AR118" i="46"/>
  <c r="BA118" i="46" s="1"/>
  <c r="AM118" i="46"/>
  <c r="M118" i="46"/>
  <c r="N118" i="46" s="1"/>
  <c r="J118" i="46"/>
  <c r="I38" i="9"/>
  <c r="N38" i="9" s="1"/>
  <c r="I86" i="47" s="1"/>
  <c r="Q9" i="9"/>
  <c r="Q8" i="9"/>
  <c r="P10" i="9"/>
  <c r="O9" i="9"/>
  <c r="R9" i="9" s="1"/>
  <c r="O8" i="9"/>
  <c r="R8" i="9" s="1"/>
  <c r="N6" i="9"/>
  <c r="P119" i="54" l="1"/>
  <c r="Q10" i="9"/>
  <c r="Q11" i="9" s="1"/>
  <c r="X118" i="54"/>
  <c r="K118" i="46"/>
  <c r="U119" i="54"/>
  <c r="T118" i="46"/>
  <c r="AD119" i="46"/>
  <c r="AD121" i="54"/>
  <c r="AD119" i="54"/>
  <c r="T119" i="54"/>
  <c r="U118" i="54"/>
  <c r="AD118" i="46"/>
  <c r="AD120" i="46"/>
  <c r="AD121" i="46"/>
  <c r="U118" i="46"/>
  <c r="C118" i="46"/>
  <c r="N33" i="39" s="1"/>
  <c r="V118" i="54"/>
  <c r="P118" i="54"/>
  <c r="T118" i="54"/>
  <c r="C118" i="54"/>
  <c r="N119" i="46"/>
  <c r="T119" i="46"/>
  <c r="U119" i="46"/>
  <c r="V118" i="46"/>
  <c r="R10" i="9"/>
  <c r="R11" i="9" s="1"/>
  <c r="F83" i="47"/>
  <c r="E83" i="47"/>
  <c r="G83" i="47" s="1"/>
  <c r="F82" i="47"/>
  <c r="F80" i="47"/>
  <c r="E82" i="47"/>
  <c r="G82" i="47" s="1"/>
  <c r="E80" i="47"/>
  <c r="AC118" i="46" l="1"/>
  <c r="AA118" i="54"/>
  <c r="AA118" i="46"/>
  <c r="V119" i="54"/>
  <c r="AC119" i="54"/>
  <c r="AC118" i="54"/>
  <c r="V119" i="46"/>
  <c r="K119" i="46"/>
  <c r="H82" i="47"/>
  <c r="O114" i="54" s="1"/>
  <c r="K114" i="54" s="1"/>
  <c r="G80" i="47"/>
  <c r="H80" i="47" s="1"/>
  <c r="O110" i="54" s="1"/>
  <c r="K110" i="54" s="1"/>
  <c r="AC119" i="46" l="1"/>
  <c r="AB118" i="46" s="1"/>
  <c r="X118" i="46"/>
  <c r="BH33" i="39"/>
  <c r="AB118" i="54"/>
  <c r="L33" i="39"/>
  <c r="O110" i="46"/>
  <c r="O114" i="46"/>
  <c r="DY33" i="2"/>
  <c r="DY32" i="2"/>
  <c r="AQ33" i="2"/>
  <c r="AQ32" i="2"/>
  <c r="K33" i="2"/>
  <c r="K32" i="2"/>
  <c r="G40" i="10" l="1"/>
  <c r="G39" i="10"/>
  <c r="G38" i="10"/>
  <c r="I38" i="10"/>
  <c r="I82" i="47" s="1"/>
  <c r="AR116" i="54" l="1"/>
  <c r="BA116" i="54" s="1"/>
  <c r="AM116" i="54"/>
  <c r="AR115" i="54"/>
  <c r="BA115" i="54" s="1"/>
  <c r="AM115" i="54"/>
  <c r="AR114" i="54"/>
  <c r="BA114" i="54" s="1"/>
  <c r="AM114" i="54"/>
  <c r="U114" i="54"/>
  <c r="AR112" i="54"/>
  <c r="BA112" i="54" s="1"/>
  <c r="AM112" i="54"/>
  <c r="AR111" i="54"/>
  <c r="BA111" i="54" s="1"/>
  <c r="AM111" i="54"/>
  <c r="AR110" i="54"/>
  <c r="BA110" i="54" s="1"/>
  <c r="AM110" i="54"/>
  <c r="V110" i="54"/>
  <c r="F14" i="10"/>
  <c r="F23" i="10"/>
  <c r="AR116" i="46"/>
  <c r="BA116" i="46" s="1"/>
  <c r="AM116" i="46"/>
  <c r="AR115" i="46"/>
  <c r="BA115" i="46" s="1"/>
  <c r="AM115" i="46"/>
  <c r="AR114" i="46"/>
  <c r="BA114" i="46" s="1"/>
  <c r="AM114" i="46"/>
  <c r="U114" i="46"/>
  <c r="T114" i="46"/>
  <c r="P114" i="46"/>
  <c r="M114" i="46"/>
  <c r="N114" i="46" s="1"/>
  <c r="J114" i="46"/>
  <c r="C114" i="46"/>
  <c r="N32" i="39" s="1"/>
  <c r="M110" i="46"/>
  <c r="U110" i="46" s="1"/>
  <c r="J110" i="46"/>
  <c r="AR112" i="46"/>
  <c r="BA112" i="46" s="1"/>
  <c r="AM112" i="46"/>
  <c r="AR111" i="46"/>
  <c r="BA111" i="46" s="1"/>
  <c r="AM111" i="46"/>
  <c r="AR110" i="46"/>
  <c r="BA110" i="46" s="1"/>
  <c r="AM110" i="46"/>
  <c r="O8" i="10"/>
  <c r="N6" i="10"/>
  <c r="F14" i="11"/>
  <c r="F23" i="11"/>
  <c r="I38" i="11"/>
  <c r="I80" i="47" s="1"/>
  <c r="G40" i="11"/>
  <c r="G39" i="11"/>
  <c r="G38" i="11"/>
  <c r="O8" i="11"/>
  <c r="N6" i="11"/>
  <c r="AD112" i="54" l="1"/>
  <c r="AD111" i="54"/>
  <c r="AD115" i="54"/>
  <c r="AD110" i="54"/>
  <c r="BH32" i="39"/>
  <c r="AD114" i="54"/>
  <c r="AD116" i="54"/>
  <c r="V114" i="46"/>
  <c r="K114" i="46"/>
  <c r="N110" i="46"/>
  <c r="K110" i="46" s="1"/>
  <c r="AD115" i="46"/>
  <c r="AD111" i="46"/>
  <c r="AD116" i="46"/>
  <c r="AD112" i="46"/>
  <c r="AD110" i="46"/>
  <c r="V114" i="54"/>
  <c r="P114" i="54"/>
  <c r="T114" i="54"/>
  <c r="C114" i="54"/>
  <c r="C110" i="46"/>
  <c r="N31" i="39" s="1"/>
  <c r="P110" i="54"/>
  <c r="P110" i="46"/>
  <c r="T110" i="54"/>
  <c r="T110" i="46"/>
  <c r="C110" i="54"/>
  <c r="U110" i="54"/>
  <c r="AD114" i="46"/>
  <c r="L31" i="39" l="1"/>
  <c r="AC110" i="46"/>
  <c r="L32" i="39"/>
  <c r="AC114" i="46"/>
  <c r="V110" i="46"/>
  <c r="AC114" i="54"/>
  <c r="AC110" i="54"/>
  <c r="BH31" i="39"/>
  <c r="O3" i="50"/>
  <c r="M3" i="50"/>
  <c r="L3" i="50"/>
  <c r="AA127" i="54" l="1"/>
  <c r="AB127" i="54" s="1"/>
  <c r="F77" i="47"/>
  <c r="F78" i="47"/>
  <c r="E77" i="47"/>
  <c r="F76" i="47"/>
  <c r="E78" i="47"/>
  <c r="E76" i="47"/>
  <c r="C26" i="12"/>
  <c r="C25" i="12"/>
  <c r="K22" i="12" s="1"/>
  <c r="DY31" i="2"/>
  <c r="AQ31" i="2"/>
  <c r="K31" i="2"/>
  <c r="W105" i="54" l="1"/>
  <c r="W105" i="46"/>
  <c r="H76" i="47"/>
  <c r="O105" i="54" s="1"/>
  <c r="K105" i="54" s="1"/>
  <c r="G78" i="47"/>
  <c r="H78" i="47" s="1"/>
  <c r="O106" i="54" s="1"/>
  <c r="K106" i="54" s="1"/>
  <c r="G77" i="47"/>
  <c r="G76" i="47"/>
  <c r="O106" i="46" l="1"/>
  <c r="O105" i="46"/>
  <c r="X105" i="54"/>
  <c r="AR108" i="54"/>
  <c r="BA108" i="54" s="1"/>
  <c r="AM108" i="54"/>
  <c r="AR107" i="54"/>
  <c r="BA107" i="54" s="1"/>
  <c r="AM107" i="54"/>
  <c r="AR106" i="54"/>
  <c r="BA106" i="54" s="1"/>
  <c r="AM106" i="54"/>
  <c r="U106" i="54"/>
  <c r="AR105" i="54"/>
  <c r="BA105" i="54" s="1"/>
  <c r="AM105" i="54"/>
  <c r="P105" i="54"/>
  <c r="AM108" i="46"/>
  <c r="AR108" i="46"/>
  <c r="BA108" i="46" s="1"/>
  <c r="G42" i="12"/>
  <c r="I37" i="12" s="1"/>
  <c r="I38" i="12"/>
  <c r="N37" i="12"/>
  <c r="I76" i="47" s="1"/>
  <c r="J106" i="46"/>
  <c r="M106" i="46"/>
  <c r="P106" i="46"/>
  <c r="AR107" i="46"/>
  <c r="BA107" i="46" s="1"/>
  <c r="AM107" i="46"/>
  <c r="AR106" i="46"/>
  <c r="BA106" i="46" s="1"/>
  <c r="AM106" i="46"/>
  <c r="AR105" i="46"/>
  <c r="BA105" i="46" s="1"/>
  <c r="AM105" i="46"/>
  <c r="M105" i="46"/>
  <c r="N105" i="46" s="1"/>
  <c r="J105" i="46"/>
  <c r="O10" i="12"/>
  <c r="O9" i="12"/>
  <c r="O8" i="12"/>
  <c r="N6" i="12"/>
  <c r="AD105" i="54" l="1"/>
  <c r="AD107" i="54"/>
  <c r="AD108" i="54"/>
  <c r="V105" i="46"/>
  <c r="K105" i="46"/>
  <c r="AD106" i="54"/>
  <c r="AD105" i="46"/>
  <c r="AD108" i="46"/>
  <c r="N38" i="12"/>
  <c r="I78" i="47" s="1"/>
  <c r="AD106" i="46"/>
  <c r="AD107" i="46"/>
  <c r="U105" i="46"/>
  <c r="T105" i="46"/>
  <c r="C105" i="46"/>
  <c r="U105" i="54"/>
  <c r="P105" i="46"/>
  <c r="T105" i="54"/>
  <c r="V106" i="54"/>
  <c r="C105" i="54"/>
  <c r="P106" i="54"/>
  <c r="T106" i="54"/>
  <c r="C106" i="46"/>
  <c r="N30" i="39" s="1"/>
  <c r="C106" i="54"/>
  <c r="AA105" i="54"/>
  <c r="V105" i="54"/>
  <c r="T106" i="46"/>
  <c r="N106" i="46"/>
  <c r="U106" i="46"/>
  <c r="AC105" i="46" l="1"/>
  <c r="AA105" i="46"/>
  <c r="BH30" i="39"/>
  <c r="AC106" i="54"/>
  <c r="AC105" i="54"/>
  <c r="AB105" i="54"/>
  <c r="V106" i="46"/>
  <c r="K106" i="46"/>
  <c r="AC106" i="46" s="1"/>
  <c r="AB105" i="46" l="1"/>
  <c r="X105" i="46"/>
  <c r="L30" i="39"/>
  <c r="AQ30" i="2" l="1"/>
  <c r="K30" i="2"/>
  <c r="DY30" i="2" l="1"/>
  <c r="I38" i="13"/>
  <c r="I73" i="47" s="1"/>
  <c r="F42" i="13"/>
  <c r="G40" i="13"/>
  <c r="G39" i="13"/>
  <c r="G38" i="13"/>
  <c r="F74" i="47"/>
  <c r="E74" i="47"/>
  <c r="F73" i="47"/>
  <c r="E73" i="47"/>
  <c r="G42" i="13" l="1"/>
  <c r="I37" i="13" s="1"/>
  <c r="H73" i="47"/>
  <c r="O101" i="54" s="1"/>
  <c r="K101" i="54" s="1"/>
  <c r="G74" i="47"/>
  <c r="G73" i="47"/>
  <c r="AR103" i="54"/>
  <c r="BA103" i="54" s="1"/>
  <c r="AM103" i="54"/>
  <c r="AD103" i="54" s="1"/>
  <c r="AR102" i="54"/>
  <c r="BA102" i="54" s="1"/>
  <c r="AM102" i="54"/>
  <c r="AR101" i="54"/>
  <c r="BA101" i="54" s="1"/>
  <c r="AM101" i="54"/>
  <c r="P101" i="54"/>
  <c r="AR103" i="46"/>
  <c r="BA103" i="46" s="1"/>
  <c r="AM103" i="46"/>
  <c r="AR102" i="46"/>
  <c r="BA102" i="46" s="1"/>
  <c r="AM102" i="46"/>
  <c r="AR101" i="46"/>
  <c r="BA101" i="46" s="1"/>
  <c r="AM101" i="46"/>
  <c r="M101" i="46"/>
  <c r="J101" i="46"/>
  <c r="O8" i="13"/>
  <c r="N6" i="13"/>
  <c r="AD101" i="54" l="1"/>
  <c r="O101" i="46"/>
  <c r="C101" i="46" s="1"/>
  <c r="N29" i="39" s="1"/>
  <c r="U101" i="54"/>
  <c r="AD102" i="46"/>
  <c r="N101" i="46"/>
  <c r="T101" i="46"/>
  <c r="AD102" i="54"/>
  <c r="T101" i="54"/>
  <c r="C101" i="54"/>
  <c r="AD103" i="46"/>
  <c r="AD101" i="46"/>
  <c r="AR97" i="54"/>
  <c r="BA97" i="54" s="1"/>
  <c r="AM97" i="54"/>
  <c r="F71" i="47"/>
  <c r="E71" i="47"/>
  <c r="U101" i="46" l="1"/>
  <c r="P101" i="46"/>
  <c r="AD97" i="54"/>
  <c r="K101" i="46"/>
  <c r="V101" i="46"/>
  <c r="V101" i="54"/>
  <c r="G71" i="47"/>
  <c r="H71" i="47" s="1"/>
  <c r="O97" i="54" s="1"/>
  <c r="K97" i="54" s="1"/>
  <c r="DY29" i="2"/>
  <c r="AQ29" i="2"/>
  <c r="K29" i="2"/>
  <c r="AC101" i="46" l="1"/>
  <c r="O97" i="46"/>
  <c r="L29" i="39"/>
  <c r="BH29" i="39"/>
  <c r="AC101" i="54"/>
  <c r="AR99" i="54"/>
  <c r="BA99" i="54" s="1"/>
  <c r="AM99" i="54"/>
  <c r="AD99" i="54" s="1"/>
  <c r="AR98" i="54"/>
  <c r="BA98" i="54" s="1"/>
  <c r="AM98" i="54"/>
  <c r="M97" i="46"/>
  <c r="N97" i="46" s="1"/>
  <c r="J97" i="46"/>
  <c r="AR99" i="46"/>
  <c r="BA99" i="46" s="1"/>
  <c r="AM99" i="46"/>
  <c r="AR98" i="46"/>
  <c r="BA98" i="46" s="1"/>
  <c r="AM98" i="46"/>
  <c r="AR97" i="46"/>
  <c r="BA97" i="46" s="1"/>
  <c r="AM97" i="46"/>
  <c r="F14" i="16"/>
  <c r="F23" i="16"/>
  <c r="F14" i="15"/>
  <c r="F23" i="15"/>
  <c r="F14" i="14"/>
  <c r="F23" i="14"/>
  <c r="I38" i="14"/>
  <c r="I71" i="47" s="1"/>
  <c r="G40" i="14"/>
  <c r="G39" i="14"/>
  <c r="G38" i="14"/>
  <c r="O10" i="14"/>
  <c r="O9" i="14"/>
  <c r="O8" i="14"/>
  <c r="N6" i="14"/>
  <c r="AD98" i="46" l="1"/>
  <c r="K97" i="46"/>
  <c r="V97" i="46"/>
  <c r="AD98" i="54"/>
  <c r="AD97" i="46"/>
  <c r="U97" i="54"/>
  <c r="BH28" i="39"/>
  <c r="V97" i="54"/>
  <c r="P97" i="54"/>
  <c r="C97" i="54"/>
  <c r="T97" i="54"/>
  <c r="T97" i="46"/>
  <c r="C97" i="46"/>
  <c r="N28" i="39" s="1"/>
  <c r="U97" i="46"/>
  <c r="P97" i="46"/>
  <c r="AD99" i="46"/>
  <c r="DY28" i="2"/>
  <c r="AQ28" i="2"/>
  <c r="K28" i="2"/>
  <c r="E69" i="47"/>
  <c r="G69" i="47" s="1"/>
  <c r="F68" i="47"/>
  <c r="E68" i="47"/>
  <c r="H68" i="47" s="1"/>
  <c r="O93" i="54" s="1"/>
  <c r="K93" i="54" s="1"/>
  <c r="E67" i="47"/>
  <c r="G67" i="47" s="1"/>
  <c r="H67" i="47" s="1"/>
  <c r="O92" i="54" s="1"/>
  <c r="K92" i="54" s="1"/>
  <c r="K21" i="15"/>
  <c r="C17" i="15"/>
  <c r="K22" i="15" s="1"/>
  <c r="W93" i="54" l="1"/>
  <c r="W93" i="46"/>
  <c r="W92" i="54"/>
  <c r="X92" i="54" s="1"/>
  <c r="W92" i="46"/>
  <c r="L28" i="39"/>
  <c r="AC97" i="46"/>
  <c r="AC97" i="54"/>
  <c r="O92" i="46"/>
  <c r="C92" i="46" s="1"/>
  <c r="U92" i="54"/>
  <c r="O93" i="46"/>
  <c r="P93" i="46" s="1"/>
  <c r="G68" i="47"/>
  <c r="AR95" i="54"/>
  <c r="BA95" i="54" s="1"/>
  <c r="AM95" i="54"/>
  <c r="AR94" i="54"/>
  <c r="BA94" i="54" s="1"/>
  <c r="AM94" i="54"/>
  <c r="AR93" i="54"/>
  <c r="BA93" i="54" s="1"/>
  <c r="AM93" i="54"/>
  <c r="P93" i="54"/>
  <c r="AR92" i="54"/>
  <c r="BA92" i="54" s="1"/>
  <c r="AM92" i="54"/>
  <c r="P9" i="15"/>
  <c r="P8" i="15"/>
  <c r="M93" i="46"/>
  <c r="J93" i="46"/>
  <c r="N92" i="46"/>
  <c r="J92" i="46"/>
  <c r="AR95" i="46"/>
  <c r="BA95" i="46" s="1"/>
  <c r="AM95" i="46"/>
  <c r="AR94" i="46"/>
  <c r="BA94" i="46" s="1"/>
  <c r="AM94" i="46"/>
  <c r="AR93" i="46"/>
  <c r="BA93" i="46" s="1"/>
  <c r="AM93" i="46"/>
  <c r="AR92" i="46"/>
  <c r="BA92" i="46" s="1"/>
  <c r="AM92" i="46"/>
  <c r="AD94" i="54" l="1"/>
  <c r="V92" i="46"/>
  <c r="P92" i="46"/>
  <c r="V92" i="54"/>
  <c r="C92" i="54"/>
  <c r="C93" i="46"/>
  <c r="N27" i="39" s="1"/>
  <c r="T92" i="54"/>
  <c r="AC92" i="54" s="1"/>
  <c r="AD93" i="54"/>
  <c r="AD95" i="46"/>
  <c r="T93" i="54"/>
  <c r="AC93" i="54" s="1"/>
  <c r="AD93" i="46"/>
  <c r="AD92" i="46"/>
  <c r="AD92" i="54"/>
  <c r="AD95" i="54"/>
  <c r="V93" i="54"/>
  <c r="C93" i="54"/>
  <c r="U93" i="54"/>
  <c r="AA92" i="54" s="1"/>
  <c r="P92" i="54"/>
  <c r="AD94" i="46"/>
  <c r="N93" i="46"/>
  <c r="T93" i="46"/>
  <c r="U93" i="46"/>
  <c r="K92" i="46"/>
  <c r="T92" i="46"/>
  <c r="U92" i="46"/>
  <c r="N38" i="15"/>
  <c r="I68" i="47" s="1"/>
  <c r="I38" i="15"/>
  <c r="N37" i="15" s="1"/>
  <c r="I67" i="47" s="1"/>
  <c r="Q9" i="15"/>
  <c r="Q8" i="15"/>
  <c r="P10" i="15"/>
  <c r="O9" i="15"/>
  <c r="R9" i="15" s="1"/>
  <c r="O8" i="15"/>
  <c r="R8" i="15" s="1"/>
  <c r="N6" i="15"/>
  <c r="AA92" i="46" l="1"/>
  <c r="AC92" i="46"/>
  <c r="BH27" i="39"/>
  <c r="AB92" i="54"/>
  <c r="V93" i="46"/>
  <c r="K93" i="46"/>
  <c r="R10" i="15"/>
  <c r="R11" i="15" s="1"/>
  <c r="Q10" i="15"/>
  <c r="Q11" i="15" s="1"/>
  <c r="L27" i="39" l="1"/>
  <c r="AC93" i="46"/>
  <c r="AB92" i="46" s="1"/>
  <c r="X92" i="46"/>
  <c r="DY27" i="2"/>
  <c r="AQ27" i="2"/>
  <c r="K27" i="2"/>
  <c r="F65" i="47"/>
  <c r="E65" i="47"/>
  <c r="G65" i="47" s="1"/>
  <c r="H65" i="47" s="1"/>
  <c r="O88" i="54" s="1"/>
  <c r="K88" i="54" s="1"/>
  <c r="F64" i="47"/>
  <c r="E64" i="47"/>
  <c r="E63" i="47"/>
  <c r="G63" i="47" s="1"/>
  <c r="K21" i="16"/>
  <c r="C16" i="16"/>
  <c r="K17" i="16" s="1"/>
  <c r="H63" i="47" l="1"/>
  <c r="O87" i="54" s="1"/>
  <c r="K87" i="54" s="1"/>
  <c r="X87" i="54" s="1"/>
  <c r="W88" i="54"/>
  <c r="W88" i="46"/>
  <c r="W87" i="54"/>
  <c r="W87" i="46"/>
  <c r="O88" i="46"/>
  <c r="O87" i="46"/>
  <c r="G64" i="47"/>
  <c r="N37" i="16"/>
  <c r="I63" i="47" s="1"/>
  <c r="AR90" i="54" l="1"/>
  <c r="BA90" i="54" s="1"/>
  <c r="AM90" i="54"/>
  <c r="AR89" i="54"/>
  <c r="BA89" i="54" s="1"/>
  <c r="AM89" i="54"/>
  <c r="AR88" i="54"/>
  <c r="BA88" i="54" s="1"/>
  <c r="AM88" i="54"/>
  <c r="AD88" i="54" s="1"/>
  <c r="V88" i="54"/>
  <c r="C88" i="54"/>
  <c r="AR87" i="54"/>
  <c r="BA87" i="54" s="1"/>
  <c r="AM87" i="54"/>
  <c r="U87" i="54"/>
  <c r="T87" i="54"/>
  <c r="V87" i="54"/>
  <c r="U88" i="46"/>
  <c r="T88" i="46"/>
  <c r="N88" i="46"/>
  <c r="V88" i="46" s="1"/>
  <c r="J88" i="46"/>
  <c r="C88" i="46"/>
  <c r="AR90" i="46"/>
  <c r="BA90" i="46" s="1"/>
  <c r="AM90" i="46"/>
  <c r="AR89" i="46"/>
  <c r="BA89" i="46" s="1"/>
  <c r="AM89" i="46"/>
  <c r="AR88" i="46"/>
  <c r="BA88" i="46" s="1"/>
  <c r="AM88" i="46"/>
  <c r="AR87" i="46"/>
  <c r="BA87" i="46" s="1"/>
  <c r="AM87" i="46"/>
  <c r="T87" i="46"/>
  <c r="P87" i="46"/>
  <c r="U87" i="46"/>
  <c r="N87" i="46"/>
  <c r="K87" i="46" s="1"/>
  <c r="J87" i="46"/>
  <c r="C87" i="46"/>
  <c r="I38" i="16"/>
  <c r="N38" i="16" s="1"/>
  <c r="I65" i="47" s="1"/>
  <c r="G42" i="16"/>
  <c r="I37" i="16" s="1"/>
  <c r="F42" i="16"/>
  <c r="AA87" i="46" l="1"/>
  <c r="AC87" i="46"/>
  <c r="AD87" i="54"/>
  <c r="AD88" i="46"/>
  <c r="V87" i="46"/>
  <c r="AD87" i="46"/>
  <c r="AD89" i="46"/>
  <c r="AD90" i="46"/>
  <c r="AD90" i="54"/>
  <c r="N26" i="39"/>
  <c r="AD89" i="54"/>
  <c r="C87" i="54"/>
  <c r="P88" i="54"/>
  <c r="T88" i="54"/>
  <c r="AC88" i="54" s="1"/>
  <c r="U88" i="54"/>
  <c r="P87" i="54"/>
  <c r="K88" i="46"/>
  <c r="AC88" i="46" s="1"/>
  <c r="P88" i="46"/>
  <c r="Q19" i="16"/>
  <c r="Q18" i="16"/>
  <c r="P20" i="16"/>
  <c r="O19" i="16"/>
  <c r="R19" i="16" s="1"/>
  <c r="O18" i="16"/>
  <c r="R18" i="16" s="1"/>
  <c r="O8" i="16"/>
  <c r="N6" i="16"/>
  <c r="AB87" i="46" l="1"/>
  <c r="X87" i="46"/>
  <c r="L26" i="39"/>
  <c r="AC87" i="54"/>
  <c r="BH26" i="39"/>
  <c r="Q20" i="16"/>
  <c r="Q21" i="16" s="1"/>
  <c r="R20" i="16"/>
  <c r="R21" i="16" s="1"/>
  <c r="F61" i="47" l="1"/>
  <c r="E61" i="47"/>
  <c r="F59" i="47"/>
  <c r="E59" i="47"/>
  <c r="G59" i="47" s="1"/>
  <c r="H59" i="47" s="1"/>
  <c r="O78" i="54" s="1"/>
  <c r="K78" i="54" s="1"/>
  <c r="O78" i="46" l="1"/>
  <c r="G61" i="47"/>
  <c r="H61" i="47" s="1"/>
  <c r="O82" i="54" s="1"/>
  <c r="K82" i="54" s="1"/>
  <c r="AQ26" i="2"/>
  <c r="AQ25" i="2"/>
  <c r="K26" i="2"/>
  <c r="K25" i="2"/>
  <c r="U82" i="54" l="1"/>
  <c r="O82" i="46"/>
  <c r="D23" i="52"/>
  <c r="M23" i="52"/>
  <c r="AR85" i="54"/>
  <c r="BA85" i="54" s="1"/>
  <c r="AM85" i="54"/>
  <c r="AR84" i="54"/>
  <c r="BA84" i="54" s="1"/>
  <c r="AM84" i="54"/>
  <c r="AR83" i="54"/>
  <c r="BA83" i="54" s="1"/>
  <c r="AM83" i="54"/>
  <c r="AR82" i="54"/>
  <c r="BA82" i="54" s="1"/>
  <c r="AM82" i="54"/>
  <c r="C82" i="54"/>
  <c r="AR80" i="54"/>
  <c r="BA80" i="54" s="1"/>
  <c r="AM80" i="54"/>
  <c r="AR79" i="54"/>
  <c r="BA79" i="54" s="1"/>
  <c r="AM79" i="54"/>
  <c r="AR78" i="54"/>
  <c r="BA78" i="54" s="1"/>
  <c r="AM78" i="54"/>
  <c r="U78" i="54"/>
  <c r="T78" i="54"/>
  <c r="P78" i="54"/>
  <c r="V78" i="54"/>
  <c r="C78" i="54"/>
  <c r="AM85" i="46"/>
  <c r="AR85" i="46"/>
  <c r="BA85" i="46" s="1"/>
  <c r="C78" i="46"/>
  <c r="N24" i="39" s="1"/>
  <c r="J78" i="46"/>
  <c r="N78" i="46"/>
  <c r="V78" i="46" s="1"/>
  <c r="P78" i="46"/>
  <c r="T78" i="46"/>
  <c r="U78" i="46"/>
  <c r="AM78" i="46"/>
  <c r="AR78" i="46"/>
  <c r="BA78" i="46"/>
  <c r="AM79" i="46"/>
  <c r="AR79" i="46"/>
  <c r="BA79" i="46" s="1"/>
  <c r="AM80" i="46"/>
  <c r="AR80" i="46"/>
  <c r="BA80" i="46" s="1"/>
  <c r="C82" i="46"/>
  <c r="N25" i="39" s="1"/>
  <c r="J82" i="46"/>
  <c r="N82" i="46"/>
  <c r="K82" i="46" s="1"/>
  <c r="P82" i="46"/>
  <c r="T82" i="46"/>
  <c r="U82" i="46"/>
  <c r="V82" i="46"/>
  <c r="AM82" i="46"/>
  <c r="AR82" i="46"/>
  <c r="BA82" i="46" s="1"/>
  <c r="AM83" i="46"/>
  <c r="AR83" i="46"/>
  <c r="BA83" i="46" s="1"/>
  <c r="AM84" i="46"/>
  <c r="AR84" i="46"/>
  <c r="BA84" i="46" s="1"/>
  <c r="F14" i="17"/>
  <c r="F23" i="17"/>
  <c r="R12" i="50"/>
  <c r="I38" i="17"/>
  <c r="I61" i="47" s="1"/>
  <c r="G40" i="17"/>
  <c r="G39" i="17"/>
  <c r="G38" i="17"/>
  <c r="O8" i="17"/>
  <c r="N6" i="17"/>
  <c r="F14" i="18"/>
  <c r="F23" i="18"/>
  <c r="I38" i="18"/>
  <c r="I59" i="47" s="1"/>
  <c r="F42" i="18"/>
  <c r="G40" i="18"/>
  <c r="G39" i="18"/>
  <c r="G38" i="18"/>
  <c r="G42" i="18" s="1"/>
  <c r="I37" i="18" s="1"/>
  <c r="O8" i="18"/>
  <c r="N6" i="18"/>
  <c r="AD85" i="46" l="1"/>
  <c r="AC82" i="46"/>
  <c r="AD82" i="46"/>
  <c r="AD84" i="54"/>
  <c r="AD80" i="54"/>
  <c r="AD82" i="54"/>
  <c r="AD78" i="54"/>
  <c r="K78" i="46"/>
  <c r="AD79" i="54"/>
  <c r="AD85" i="54"/>
  <c r="AD79" i="46"/>
  <c r="AD80" i="46"/>
  <c r="AD83" i="54"/>
  <c r="AD83" i="46"/>
  <c r="P82" i="54"/>
  <c r="T82" i="54"/>
  <c r="AC82" i="54" s="1"/>
  <c r="V82" i="54"/>
  <c r="AD84" i="46"/>
  <c r="AD78" i="46"/>
  <c r="AC78" i="54"/>
  <c r="BH24" i="39"/>
  <c r="BH25" i="39"/>
  <c r="L25" i="39"/>
  <c r="AR70" i="54"/>
  <c r="BA70" i="54" s="1"/>
  <c r="AM70" i="54"/>
  <c r="AR68" i="54"/>
  <c r="BA68" i="54" s="1"/>
  <c r="AM68" i="54"/>
  <c r="AR67" i="54"/>
  <c r="BA67" i="54" s="1"/>
  <c r="AM67" i="54"/>
  <c r="AR66" i="54"/>
  <c r="BA66" i="54" s="1"/>
  <c r="AM66" i="54"/>
  <c r="AR65" i="54"/>
  <c r="BA65" i="54" s="1"/>
  <c r="AM65" i="54"/>
  <c r="AR63" i="54"/>
  <c r="BA63" i="54" s="1"/>
  <c r="AM63" i="54"/>
  <c r="AR62" i="54"/>
  <c r="BA62" i="54" s="1"/>
  <c r="AM62" i="54"/>
  <c r="AR61" i="54"/>
  <c r="BA61" i="54" s="1"/>
  <c r="AM61" i="54"/>
  <c r="AM68" i="46"/>
  <c r="AR68" i="46"/>
  <c r="BA68" i="46" s="1"/>
  <c r="F14" i="22"/>
  <c r="F23" i="22"/>
  <c r="AD65" i="54" l="1"/>
  <c r="AD67" i="54"/>
  <c r="L24" i="39"/>
  <c r="AC78" i="46"/>
  <c r="AD70" i="54"/>
  <c r="AD66" i="54"/>
  <c r="AD63" i="54"/>
  <c r="AD62" i="54"/>
  <c r="AD68" i="54"/>
  <c r="AD68" i="46"/>
  <c r="AD61" i="54"/>
  <c r="F57" i="47"/>
  <c r="E57" i="47"/>
  <c r="G57" i="47" l="1"/>
  <c r="H57" i="47" s="1"/>
  <c r="O74" i="54" s="1"/>
  <c r="K74" i="54" s="1"/>
  <c r="AQ24" i="2"/>
  <c r="K24" i="2"/>
  <c r="O74" i="46" l="1"/>
  <c r="AR76" i="54"/>
  <c r="BA76" i="54" s="1"/>
  <c r="AM76" i="54"/>
  <c r="AR75" i="54"/>
  <c r="BA75" i="54" s="1"/>
  <c r="AM75" i="54"/>
  <c r="AR74" i="54"/>
  <c r="BA74" i="54" s="1"/>
  <c r="AM74" i="54"/>
  <c r="U74" i="54"/>
  <c r="T74" i="54"/>
  <c r="P74" i="54"/>
  <c r="V74" i="54"/>
  <c r="C74" i="54"/>
  <c r="AR76" i="46"/>
  <c r="BA76" i="46" s="1"/>
  <c r="AM76" i="46"/>
  <c r="AR75" i="46"/>
  <c r="BA75" i="46" s="1"/>
  <c r="AM75" i="46"/>
  <c r="AR74" i="46"/>
  <c r="BA74" i="46" s="1"/>
  <c r="AM74" i="46"/>
  <c r="U74" i="46"/>
  <c r="T74" i="46"/>
  <c r="P74" i="46"/>
  <c r="N74" i="46"/>
  <c r="V74" i="46" s="1"/>
  <c r="J74" i="46"/>
  <c r="C74" i="46"/>
  <c r="N23" i="39" s="1"/>
  <c r="F14" i="19"/>
  <c r="F23" i="19"/>
  <c r="AD76" i="54" l="1"/>
  <c r="AD74" i="54"/>
  <c r="AD75" i="54"/>
  <c r="K74" i="46"/>
  <c r="AD76" i="46"/>
  <c r="AC74" i="54"/>
  <c r="BH23" i="39"/>
  <c r="AD75" i="46"/>
  <c r="AD74" i="46"/>
  <c r="L23" i="39" l="1"/>
  <c r="AC74" i="46"/>
  <c r="I38" i="19"/>
  <c r="I57" i="47" s="1"/>
  <c r="F42" i="19"/>
  <c r="G40" i="19"/>
  <c r="G39" i="19"/>
  <c r="G38" i="19"/>
  <c r="G42" i="19" s="1"/>
  <c r="I37" i="19" s="1"/>
  <c r="O8" i="19"/>
  <c r="N6" i="19"/>
  <c r="F55" i="47" l="1"/>
  <c r="E55" i="47"/>
  <c r="G55" i="47" s="1"/>
  <c r="H55" i="47" s="1"/>
  <c r="O70" i="54" s="1"/>
  <c r="K70" i="54" s="1"/>
  <c r="V70" i="54" l="1"/>
  <c r="P70" i="54"/>
  <c r="U70" i="54"/>
  <c r="C70" i="54"/>
  <c r="T70" i="54"/>
  <c r="AC70" i="54" s="1"/>
  <c r="O70" i="46"/>
  <c r="AQ23" i="2"/>
  <c r="K23" i="2"/>
  <c r="AR72" i="54" l="1"/>
  <c r="BA72" i="54" s="1"/>
  <c r="AM72" i="54"/>
  <c r="AR71" i="54"/>
  <c r="BA71" i="54" s="1"/>
  <c r="AM71" i="54"/>
  <c r="N70" i="46"/>
  <c r="V70" i="46" s="1"/>
  <c r="J70" i="46"/>
  <c r="AR72" i="46"/>
  <c r="BA72" i="46" s="1"/>
  <c r="AM72" i="46"/>
  <c r="AR71" i="46"/>
  <c r="BA71" i="46" s="1"/>
  <c r="AM71" i="46"/>
  <c r="AR70" i="46"/>
  <c r="BA70" i="46" s="1"/>
  <c r="AM70" i="46"/>
  <c r="I38" i="20"/>
  <c r="I55" i="47" s="1"/>
  <c r="G40" i="20"/>
  <c r="G39" i="20"/>
  <c r="G38" i="20"/>
  <c r="O8" i="20"/>
  <c r="N6" i="20"/>
  <c r="AD71" i="46" l="1"/>
  <c r="AD72" i="46"/>
  <c r="AD72" i="54"/>
  <c r="AD71" i="54"/>
  <c r="P70" i="46"/>
  <c r="T70" i="46"/>
  <c r="U70" i="46"/>
  <c r="K70" i="46"/>
  <c r="C70" i="46"/>
  <c r="N22" i="39" s="1"/>
  <c r="AD70" i="46"/>
  <c r="F14" i="20"/>
  <c r="F23" i="20"/>
  <c r="L22" i="39" l="1"/>
  <c r="AC70" i="46"/>
  <c r="BH22" i="39"/>
  <c r="AQ22" i="2"/>
  <c r="K22" i="2"/>
  <c r="E53" i="47"/>
  <c r="G53" i="47" s="1"/>
  <c r="H53" i="47" s="1"/>
  <c r="O66" i="54" s="1"/>
  <c r="K66" i="54" s="1"/>
  <c r="F52" i="47"/>
  <c r="E52" i="47"/>
  <c r="C26" i="22"/>
  <c r="K17" i="22" s="1"/>
  <c r="C25" i="22"/>
  <c r="K22" i="22" s="1"/>
  <c r="W65" i="54" l="1"/>
  <c r="W65" i="46"/>
  <c r="W66" i="54"/>
  <c r="W66" i="46"/>
  <c r="P66" i="54"/>
  <c r="C66" i="54"/>
  <c r="U66" i="54"/>
  <c r="V66" i="54"/>
  <c r="T66" i="54"/>
  <c r="AC66" i="54" s="1"/>
  <c r="G52" i="47"/>
  <c r="H52" i="47" s="1"/>
  <c r="O65" i="54" s="1"/>
  <c r="K65" i="54" s="1"/>
  <c r="X65" i="54" s="1"/>
  <c r="O65" i="46" l="1"/>
  <c r="P65" i="46"/>
  <c r="J65" i="46"/>
  <c r="AR67" i="46"/>
  <c r="BA67" i="46" s="1"/>
  <c r="AM67" i="46"/>
  <c r="AR66" i="46"/>
  <c r="BA66" i="46" s="1"/>
  <c r="AM66" i="46"/>
  <c r="O66" i="46"/>
  <c r="P66" i="46" s="1"/>
  <c r="J66" i="46"/>
  <c r="AR65" i="46"/>
  <c r="BA65" i="46" s="1"/>
  <c r="AM65" i="46"/>
  <c r="N10" i="50"/>
  <c r="N38" i="22"/>
  <c r="I53" i="47" s="1"/>
  <c r="I38" i="22"/>
  <c r="F42" i="22"/>
  <c r="G39" i="22"/>
  <c r="G38" i="22"/>
  <c r="Q26" i="22"/>
  <c r="Q25" i="22"/>
  <c r="P27" i="22"/>
  <c r="O26" i="22"/>
  <c r="R26" i="22" s="1"/>
  <c r="O25" i="22"/>
  <c r="R25" i="22" s="1"/>
  <c r="O8" i="22"/>
  <c r="N6" i="22"/>
  <c r="G42" i="22" l="1"/>
  <c r="I37" i="22" s="1"/>
  <c r="N37" i="22"/>
  <c r="I52" i="47" s="1"/>
  <c r="AD65" i="46"/>
  <c r="P65" i="54"/>
  <c r="T65" i="54"/>
  <c r="U65" i="54"/>
  <c r="AA65" i="54" s="1"/>
  <c r="V65" i="54"/>
  <c r="C65" i="54"/>
  <c r="AD67" i="46"/>
  <c r="AD66" i="46"/>
  <c r="T66" i="46"/>
  <c r="C66" i="46"/>
  <c r="U66" i="46"/>
  <c r="U65" i="46"/>
  <c r="T65" i="46"/>
  <c r="N65" i="46"/>
  <c r="C65" i="46"/>
  <c r="N66" i="46"/>
  <c r="Q27" i="22"/>
  <c r="Q28" i="22" s="1"/>
  <c r="R27" i="22"/>
  <c r="R28" i="22" s="1"/>
  <c r="AA65" i="46" l="1"/>
  <c r="AC65" i="54"/>
  <c r="AB65" i="54" s="1"/>
  <c r="N21" i="39"/>
  <c r="BH21" i="39"/>
  <c r="K65" i="46"/>
  <c r="V65" i="46"/>
  <c r="K66" i="46"/>
  <c r="AC66" i="46" s="1"/>
  <c r="V66" i="46"/>
  <c r="AC65" i="46" l="1"/>
  <c r="X65" i="46"/>
  <c r="AB65" i="46"/>
  <c r="L21" i="39"/>
  <c r="I48" i="47" l="1"/>
  <c r="F50" i="47"/>
  <c r="F49" i="47"/>
  <c r="E50" i="47"/>
  <c r="G50" i="47" s="1"/>
  <c r="F48" i="47"/>
  <c r="E49" i="47"/>
  <c r="G49" i="47" s="1"/>
  <c r="E48" i="47"/>
  <c r="G48" i="47" s="1"/>
  <c r="H48" i="47" s="1"/>
  <c r="O61" i="54" s="1"/>
  <c r="K61" i="54" s="1"/>
  <c r="J62" i="46"/>
  <c r="M62" i="46"/>
  <c r="N62" i="46" s="1"/>
  <c r="C8" i="21"/>
  <c r="K22" i="21" s="1"/>
  <c r="C7" i="21"/>
  <c r="K16" i="21" s="1"/>
  <c r="W61" i="54" l="1"/>
  <c r="W61" i="46"/>
  <c r="W62" i="54"/>
  <c r="W62" i="46"/>
  <c r="P61" i="54"/>
  <c r="V61" i="54"/>
  <c r="C61" i="54"/>
  <c r="U61" i="54"/>
  <c r="T61" i="54"/>
  <c r="O61" i="46"/>
  <c r="H49" i="47"/>
  <c r="O62" i="54" s="1"/>
  <c r="K62" i="54" s="1"/>
  <c r="AQ21" i="2"/>
  <c r="K21" i="2"/>
  <c r="X61" i="54" l="1"/>
  <c r="P62" i="54"/>
  <c r="T62" i="54"/>
  <c r="C62" i="54"/>
  <c r="U62" i="54"/>
  <c r="AA61" i="54" s="1"/>
  <c r="V62" i="54"/>
  <c r="AC62" i="54"/>
  <c r="AC61" i="54"/>
  <c r="O62" i="46"/>
  <c r="F14" i="23"/>
  <c r="F23" i="23"/>
  <c r="F14" i="21"/>
  <c r="F23" i="21"/>
  <c r="AR63" i="46"/>
  <c r="BA63" i="46" s="1"/>
  <c r="AM63" i="46"/>
  <c r="AR62" i="46"/>
  <c r="BA62" i="46" s="1"/>
  <c r="AM62" i="46"/>
  <c r="AR61" i="46"/>
  <c r="BA61" i="46" s="1"/>
  <c r="AM61" i="46"/>
  <c r="M61" i="46"/>
  <c r="N61" i="46" s="1"/>
  <c r="J61" i="46"/>
  <c r="AB61" i="54" l="1"/>
  <c r="BH20" i="39"/>
  <c r="AD62" i="46"/>
  <c r="T61" i="46"/>
  <c r="P62" i="46"/>
  <c r="T62" i="46"/>
  <c r="V62" i="46"/>
  <c r="U62" i="46"/>
  <c r="K62" i="46"/>
  <c r="C62" i="46"/>
  <c r="AD63" i="46"/>
  <c r="AD61" i="46"/>
  <c r="K61" i="46"/>
  <c r="V61" i="46"/>
  <c r="C61" i="46"/>
  <c r="U61" i="46"/>
  <c r="P61" i="46"/>
  <c r="G40" i="21"/>
  <c r="G39" i="21"/>
  <c r="G38" i="21"/>
  <c r="I38" i="21"/>
  <c r="N38" i="21" s="1"/>
  <c r="I49" i="47" s="1"/>
  <c r="N6" i="21"/>
  <c r="N20" i="39" l="1"/>
  <c r="AA61" i="46"/>
  <c r="AC61" i="46"/>
  <c r="X61" i="46"/>
  <c r="AB61" i="46"/>
  <c r="AC62" i="46"/>
  <c r="L20" i="39"/>
  <c r="M57" i="46"/>
  <c r="M54" i="46"/>
  <c r="P25" i="24"/>
  <c r="AQ20" i="2" l="1"/>
  <c r="K20" i="2"/>
  <c r="F46" i="47"/>
  <c r="F45" i="47"/>
  <c r="E46" i="47"/>
  <c r="E45" i="47"/>
  <c r="E44" i="47"/>
  <c r="G44" i="47" s="1"/>
  <c r="H44" i="47" s="1"/>
  <c r="K16" i="23"/>
  <c r="K21" i="23"/>
  <c r="W57" i="54" l="1"/>
  <c r="W57" i="46"/>
  <c r="W58" i="54"/>
  <c r="W58" i="46"/>
  <c r="G45" i="47"/>
  <c r="H45" i="47"/>
  <c r="O57" i="54" s="1"/>
  <c r="K57" i="54" s="1"/>
  <c r="X57" i="54" s="1"/>
  <c r="G46" i="47"/>
  <c r="AR59" i="54"/>
  <c r="BA59" i="54" s="1"/>
  <c r="AM59" i="54"/>
  <c r="AR58" i="54"/>
  <c r="BA58" i="54" s="1"/>
  <c r="AM58" i="54"/>
  <c r="AR57" i="54"/>
  <c r="BA57" i="54" s="1"/>
  <c r="AM57" i="54"/>
  <c r="S57" i="54"/>
  <c r="S57" i="46"/>
  <c r="N57" i="46"/>
  <c r="J57" i="46"/>
  <c r="AR59" i="46"/>
  <c r="BA59" i="46" s="1"/>
  <c r="AM59" i="46"/>
  <c r="AR58" i="46"/>
  <c r="BA58" i="46" s="1"/>
  <c r="AM58" i="46"/>
  <c r="AR57" i="46"/>
  <c r="BA57" i="46" s="1"/>
  <c r="AM57" i="46"/>
  <c r="AD58" i="54" l="1"/>
  <c r="AD57" i="54"/>
  <c r="AD59" i="54"/>
  <c r="U57" i="54"/>
  <c r="O57" i="46"/>
  <c r="T57" i="46" s="1"/>
  <c r="K57" i="46"/>
  <c r="V57" i="46"/>
  <c r="P57" i="54"/>
  <c r="V57" i="54"/>
  <c r="AD59" i="46"/>
  <c r="AD58" i="46"/>
  <c r="AD57" i="46"/>
  <c r="L10" i="50"/>
  <c r="I38" i="23"/>
  <c r="I45" i="47" s="1"/>
  <c r="U57" i="46" l="1"/>
  <c r="L19" i="39"/>
  <c r="AC57" i="46"/>
  <c r="X57" i="46"/>
  <c r="P57" i="46"/>
  <c r="C57" i="46"/>
  <c r="N19" i="39" s="1"/>
  <c r="C57" i="54"/>
  <c r="T57" i="54"/>
  <c r="F42" i="23"/>
  <c r="G40" i="23"/>
  <c r="G39" i="23"/>
  <c r="G38" i="23"/>
  <c r="O9" i="23"/>
  <c r="N6" i="23"/>
  <c r="G42" i="23" l="1"/>
  <c r="I37" i="23" s="1"/>
  <c r="BH19" i="39"/>
  <c r="AC57" i="54"/>
  <c r="AR55" i="54"/>
  <c r="BA55" i="54" s="1"/>
  <c r="AM55" i="54"/>
  <c r="AR54" i="54"/>
  <c r="BA54" i="54" s="1"/>
  <c r="AM54" i="54"/>
  <c r="AR53" i="54"/>
  <c r="BA53" i="54" s="1"/>
  <c r="AM53" i="54"/>
  <c r="AR52" i="54"/>
  <c r="BA52" i="54" s="1"/>
  <c r="AM52" i="54"/>
  <c r="C52" i="54"/>
  <c r="AR50" i="54"/>
  <c r="BA50" i="54" s="1"/>
  <c r="AM50" i="54"/>
  <c r="AR49" i="54"/>
  <c r="BA49" i="54" s="1"/>
  <c r="AM49" i="54"/>
  <c r="AR48" i="54"/>
  <c r="BA48" i="54" s="1"/>
  <c r="AM48" i="54"/>
  <c r="AR47" i="54"/>
  <c r="BA47" i="54" s="1"/>
  <c r="AM47" i="54"/>
  <c r="S47" i="54"/>
  <c r="AR46" i="54"/>
  <c r="BA46" i="54" s="1"/>
  <c r="AM46" i="54"/>
  <c r="K20" i="25"/>
  <c r="K19" i="25"/>
  <c r="F40" i="47"/>
  <c r="O52" i="46"/>
  <c r="E42" i="47"/>
  <c r="G42" i="47" s="1"/>
  <c r="E41" i="47"/>
  <c r="E40" i="47"/>
  <c r="E38" i="47"/>
  <c r="G38" i="47" s="1"/>
  <c r="H38" i="47" s="1"/>
  <c r="E37" i="47"/>
  <c r="F36" i="47"/>
  <c r="E36" i="47"/>
  <c r="AD46" i="54" l="1"/>
  <c r="W46" i="54"/>
  <c r="W46" i="46"/>
  <c r="W47" i="54"/>
  <c r="W47" i="46"/>
  <c r="AD48" i="54"/>
  <c r="AD55" i="54"/>
  <c r="AD49" i="54"/>
  <c r="AD54" i="54"/>
  <c r="AD50" i="54"/>
  <c r="AD47" i="54"/>
  <c r="AD52" i="54"/>
  <c r="AD53" i="54"/>
  <c r="P52" i="54"/>
  <c r="T52" i="54"/>
  <c r="H41" i="47"/>
  <c r="O54" i="54" s="1"/>
  <c r="K54" i="54" s="1"/>
  <c r="G41" i="47"/>
  <c r="U52" i="54"/>
  <c r="V52" i="54"/>
  <c r="G40" i="47"/>
  <c r="H40" i="47" s="1"/>
  <c r="O53" i="54" s="1"/>
  <c r="K53" i="54" s="1"/>
  <c r="G36" i="47"/>
  <c r="H36" i="47" s="1"/>
  <c r="O46" i="54" s="1"/>
  <c r="K46" i="54" s="1"/>
  <c r="X46" i="54" s="1"/>
  <c r="G37" i="47"/>
  <c r="H37" i="47" s="1"/>
  <c r="O47" i="54" s="1"/>
  <c r="K47" i="54" s="1"/>
  <c r="AC52" i="54" l="1"/>
  <c r="O54" i="46"/>
  <c r="O47" i="46"/>
  <c r="O46" i="46"/>
  <c r="O53" i="46"/>
  <c r="AQ19" i="2"/>
  <c r="AQ18" i="2"/>
  <c r="AI18" i="2"/>
  <c r="AM18" i="2" s="1"/>
  <c r="K19" i="2"/>
  <c r="K18" i="2"/>
  <c r="P47" i="54" l="1"/>
  <c r="T47" i="54"/>
  <c r="V47" i="54"/>
  <c r="U47" i="54"/>
  <c r="C47" i="54"/>
  <c r="T53" i="54"/>
  <c r="P53" i="54"/>
  <c r="V53" i="54"/>
  <c r="C53" i="54"/>
  <c r="U53" i="54"/>
  <c r="C54" i="54"/>
  <c r="V54" i="54"/>
  <c r="P54" i="54"/>
  <c r="T54" i="54"/>
  <c r="U54" i="54"/>
  <c r="C46" i="54"/>
  <c r="T46" i="54"/>
  <c r="V46" i="54"/>
  <c r="P46" i="54"/>
  <c r="U46" i="54"/>
  <c r="AA46" i="54" s="1"/>
  <c r="AM55" i="46"/>
  <c r="AR55" i="46"/>
  <c r="BA55" i="46" s="1"/>
  <c r="J54" i="46"/>
  <c r="N54" i="46"/>
  <c r="P54" i="46"/>
  <c r="U52" i="46"/>
  <c r="N52" i="46"/>
  <c r="J52" i="46"/>
  <c r="AR54" i="46"/>
  <c r="BA54" i="46" s="1"/>
  <c r="AM54" i="46"/>
  <c r="AR53" i="46"/>
  <c r="BA53" i="46" s="1"/>
  <c r="AM53" i="46"/>
  <c r="T53" i="46"/>
  <c r="P53" i="46"/>
  <c r="N53" i="46"/>
  <c r="K53" i="46" s="1"/>
  <c r="AC53" i="46" s="1"/>
  <c r="J53" i="46"/>
  <c r="C53" i="46"/>
  <c r="AR52" i="46"/>
  <c r="BA52" i="46" s="1"/>
  <c r="AM52" i="46"/>
  <c r="AM49" i="46"/>
  <c r="AR49" i="46"/>
  <c r="BA49" i="46" s="1"/>
  <c r="AM50" i="46"/>
  <c r="AR50" i="46"/>
  <c r="BA50" i="46" s="1"/>
  <c r="S47" i="46"/>
  <c r="U47" i="46" s="1"/>
  <c r="C46" i="46"/>
  <c r="N46" i="46"/>
  <c r="J46" i="46"/>
  <c r="AR48" i="46"/>
  <c r="BA48" i="46" s="1"/>
  <c r="AM48" i="46"/>
  <c r="AR47" i="46"/>
  <c r="BA47" i="46" s="1"/>
  <c r="AM47" i="46"/>
  <c r="N47" i="46"/>
  <c r="K47" i="46" s="1"/>
  <c r="J47" i="46"/>
  <c r="AR46" i="46"/>
  <c r="BA46" i="46" s="1"/>
  <c r="AM46" i="46"/>
  <c r="F14" i="24"/>
  <c r="F23" i="24"/>
  <c r="I38" i="24"/>
  <c r="I40" i="47" s="1"/>
  <c r="I37" i="24"/>
  <c r="Q35" i="24"/>
  <c r="Q37" i="24" s="1"/>
  <c r="Q24" i="24"/>
  <c r="R24" i="24" s="1"/>
  <c r="R28" i="24"/>
  <c r="P28" i="24"/>
  <c r="S28" i="24" s="1"/>
  <c r="R27" i="24"/>
  <c r="P27" i="24"/>
  <c r="S27" i="24" s="1"/>
  <c r="R26" i="24"/>
  <c r="P26" i="24"/>
  <c r="S26" i="24" s="1"/>
  <c r="R25" i="24"/>
  <c r="S25" i="24"/>
  <c r="P24" i="24"/>
  <c r="R19" i="24"/>
  <c r="P19" i="24"/>
  <c r="S19" i="24" s="1"/>
  <c r="R18" i="24"/>
  <c r="P18" i="24"/>
  <c r="S18" i="24" s="1"/>
  <c r="R17" i="24"/>
  <c r="P17" i="24"/>
  <c r="S17" i="24" s="1"/>
  <c r="Q16" i="24"/>
  <c r="Q20" i="24" s="1"/>
  <c r="Q22" i="24" s="1"/>
  <c r="P16" i="24"/>
  <c r="R15" i="24"/>
  <c r="P15" i="24"/>
  <c r="S15" i="24" s="1"/>
  <c r="R10" i="24"/>
  <c r="P10" i="24"/>
  <c r="S10" i="24" s="1"/>
  <c r="R9" i="24"/>
  <c r="P9" i="24"/>
  <c r="S9" i="24" s="1"/>
  <c r="R8" i="24"/>
  <c r="P8" i="24"/>
  <c r="S8" i="24" s="1"/>
  <c r="Q7" i="24"/>
  <c r="R7" i="24" s="1"/>
  <c r="P7" i="24"/>
  <c r="R6" i="24"/>
  <c r="P6" i="24"/>
  <c r="S6" i="24" s="1"/>
  <c r="J4" i="24"/>
  <c r="F14" i="25"/>
  <c r="F23" i="25"/>
  <c r="I38" i="25"/>
  <c r="I36" i="47" s="1"/>
  <c r="G42" i="25"/>
  <c r="I37" i="25" s="1"/>
  <c r="F42" i="25"/>
  <c r="N41" i="25"/>
  <c r="N44" i="25" s="1"/>
  <c r="R40" i="25"/>
  <c r="R42" i="25" s="1"/>
  <c r="AB10" i="25"/>
  <c r="AA10" i="25"/>
  <c r="AA9" i="25"/>
  <c r="AB9" i="25"/>
  <c r="Z8" i="25"/>
  <c r="Y8" i="25"/>
  <c r="Z7" i="25"/>
  <c r="AA7" i="25" s="1"/>
  <c r="Y7" i="25"/>
  <c r="AA6" i="25"/>
  <c r="Y6" i="25"/>
  <c r="AB6" i="25" s="1"/>
  <c r="R27" i="25"/>
  <c r="S31" i="25"/>
  <c r="Q31" i="25"/>
  <c r="T31" i="25" s="1"/>
  <c r="S30" i="25"/>
  <c r="Q30" i="25"/>
  <c r="T30" i="25" s="1"/>
  <c r="S29" i="25"/>
  <c r="Q29" i="25"/>
  <c r="T29" i="25" s="1"/>
  <c r="Q28" i="25"/>
  <c r="Q27" i="25"/>
  <c r="S22" i="25"/>
  <c r="Q22" i="25"/>
  <c r="T22" i="25" s="1"/>
  <c r="S21" i="25"/>
  <c r="Q21" i="25"/>
  <c r="T21" i="25" s="1"/>
  <c r="R23" i="25"/>
  <c r="R25" i="25" s="1"/>
  <c r="Q20" i="25"/>
  <c r="T20" i="25" s="1"/>
  <c r="S19" i="25"/>
  <c r="Q19" i="25"/>
  <c r="T19" i="25" s="1"/>
  <c r="S18" i="25"/>
  <c r="Q18" i="25"/>
  <c r="T18" i="25" s="1"/>
  <c r="R8" i="25"/>
  <c r="S8" i="25" s="1"/>
  <c r="R7" i="25"/>
  <c r="Q7" i="25"/>
  <c r="Q8" i="25"/>
  <c r="S10" i="25"/>
  <c r="Q10" i="25"/>
  <c r="T10" i="25" s="1"/>
  <c r="S9" i="25"/>
  <c r="Q9" i="25"/>
  <c r="T9" i="25" s="1"/>
  <c r="S6" i="25"/>
  <c r="Q6" i="25"/>
  <c r="T6" i="25" s="1"/>
  <c r="J4" i="25"/>
  <c r="R11" i="25" l="1"/>
  <c r="R13" i="25" s="1"/>
  <c r="AB7" i="25"/>
  <c r="S7" i="25"/>
  <c r="AB8" i="25"/>
  <c r="T8" i="25"/>
  <c r="AB11" i="25"/>
  <c r="R29" i="24"/>
  <c r="AC47" i="54"/>
  <c r="AC46" i="54"/>
  <c r="AC53" i="54"/>
  <c r="AD53" i="46"/>
  <c r="AD47" i="46"/>
  <c r="Q29" i="24"/>
  <c r="Q31" i="24" s="1"/>
  <c r="AD46" i="46"/>
  <c r="Z11" i="25"/>
  <c r="Z13" i="25" s="1"/>
  <c r="S16" i="24"/>
  <c r="S20" i="24" s="1"/>
  <c r="S21" i="24" s="1"/>
  <c r="AD54" i="46"/>
  <c r="BH17" i="39"/>
  <c r="AD50" i="46"/>
  <c r="R28" i="25"/>
  <c r="S28" i="25" s="1"/>
  <c r="R16" i="24"/>
  <c r="R20" i="24" s="1"/>
  <c r="R21" i="24" s="1"/>
  <c r="R11" i="24"/>
  <c r="S24" i="24"/>
  <c r="S29" i="24" s="1"/>
  <c r="BH18" i="39"/>
  <c r="AD48" i="46"/>
  <c r="K52" i="46"/>
  <c r="U54" i="46"/>
  <c r="V54" i="46"/>
  <c r="V46" i="46"/>
  <c r="K46" i="46"/>
  <c r="V52" i="46"/>
  <c r="C54" i="46"/>
  <c r="C47" i="46"/>
  <c r="N17" i="39" s="1"/>
  <c r="T54" i="46"/>
  <c r="P47" i="46"/>
  <c r="T47" i="46"/>
  <c r="AC47" i="46" s="1"/>
  <c r="AD55" i="46"/>
  <c r="AD52" i="46"/>
  <c r="K54" i="46"/>
  <c r="P52" i="46"/>
  <c r="U53" i="46"/>
  <c r="T52" i="46"/>
  <c r="V53" i="46"/>
  <c r="C52" i="46"/>
  <c r="AD49" i="46"/>
  <c r="V47" i="46"/>
  <c r="P46" i="46"/>
  <c r="T46" i="46"/>
  <c r="U46" i="46"/>
  <c r="AA46" i="46" s="1"/>
  <c r="S7" i="24"/>
  <c r="S11" i="24" s="1"/>
  <c r="Q11" i="24"/>
  <c r="Q13" i="24" s="1"/>
  <c r="AB12" i="25"/>
  <c r="AA8" i="25"/>
  <c r="T27" i="25"/>
  <c r="S27" i="25"/>
  <c r="S32" i="25" s="1"/>
  <c r="T23" i="25"/>
  <c r="T24" i="25" s="1"/>
  <c r="S20" i="25"/>
  <c r="S23" i="25" s="1"/>
  <c r="S24" i="25" s="1"/>
  <c r="T7" i="25"/>
  <c r="T11" i="25" s="1"/>
  <c r="T12" i="25" s="1"/>
  <c r="S11" i="25"/>
  <c r="S12" i="25" s="1"/>
  <c r="AB46" i="54" l="1"/>
  <c r="S30" i="24"/>
  <c r="L17" i="39"/>
  <c r="AC46" i="46"/>
  <c r="X46" i="46"/>
  <c r="AC52" i="46"/>
  <c r="AB46" i="46"/>
  <c r="R32" i="25"/>
  <c r="R34" i="25" s="1"/>
  <c r="R30" i="24"/>
  <c r="AA11" i="25"/>
  <c r="AA12" i="25" s="1"/>
  <c r="T28" i="25"/>
  <c r="T32" i="25" s="1"/>
  <c r="N18" i="39"/>
  <c r="L18" i="39"/>
  <c r="S12" i="24"/>
  <c r="R12" i="24"/>
  <c r="DY17" i="2"/>
  <c r="AM10" i="2"/>
  <c r="AO10" i="2" s="1"/>
  <c r="AI17" i="2"/>
  <c r="AE17" i="2"/>
  <c r="AM17" i="2" s="1"/>
  <c r="T33" i="25" l="1"/>
  <c r="S33" i="25"/>
  <c r="AO11" i="2"/>
  <c r="AO12" i="2" l="1"/>
  <c r="AO13" i="2" l="1"/>
  <c r="AO14" i="2" l="1"/>
  <c r="AO15" i="2" l="1"/>
  <c r="AO16" i="2" l="1"/>
  <c r="AO17" i="2" s="1"/>
  <c r="AO18" i="2" s="1"/>
  <c r="AO19" i="2" l="1"/>
  <c r="AO20" i="2" l="1"/>
  <c r="AO21" i="2" l="1"/>
  <c r="AO22" i="2" l="1"/>
  <c r="AO23" i="2" l="1"/>
  <c r="AO24" i="2" l="1"/>
  <c r="AO25" i="2" l="1"/>
  <c r="AO26" i="2" l="1"/>
  <c r="AO27" i="2" l="1"/>
  <c r="AO28" i="2" l="1"/>
  <c r="AO29" i="2" l="1"/>
  <c r="AO30" i="2" l="1"/>
  <c r="AO31" i="2" l="1"/>
  <c r="AO32" i="2" l="1"/>
  <c r="AO33" i="2" l="1"/>
  <c r="AO34" i="2" l="1"/>
  <c r="AO35" i="2" l="1"/>
  <c r="AO36" i="2" l="1"/>
  <c r="AO37" i="2" l="1"/>
  <c r="AO38" i="2" l="1"/>
  <c r="AO39" i="2" l="1"/>
  <c r="AO40" i="2" l="1"/>
  <c r="AK10" i="2" l="1"/>
  <c r="AS10" i="2"/>
  <c r="AQ15" i="2"/>
  <c r="AQ16" i="2"/>
  <c r="AQ17" i="2"/>
  <c r="AG10" i="2"/>
  <c r="AG11" i="2" s="1"/>
  <c r="K17" i="2"/>
  <c r="AQ42" i="2" l="1"/>
  <c r="AG12" i="2"/>
  <c r="AS11" i="2"/>
  <c r="AK11" i="2"/>
  <c r="AI42" i="2"/>
  <c r="AE42" i="2"/>
  <c r="AM42" i="2" s="1"/>
  <c r="AG13" i="2"/>
  <c r="AR44" i="54"/>
  <c r="BA44" i="54" s="1"/>
  <c r="AM44" i="54"/>
  <c r="AR43" i="54"/>
  <c r="BA43" i="54" s="1"/>
  <c r="AM43" i="54"/>
  <c r="AR42" i="54"/>
  <c r="BA42" i="54" s="1"/>
  <c r="AM42" i="54"/>
  <c r="K19" i="26"/>
  <c r="K18" i="26"/>
  <c r="F34" i="47"/>
  <c r="E34" i="47"/>
  <c r="E33" i="47"/>
  <c r="G33" i="47" s="1"/>
  <c r="H33" i="47" s="1"/>
  <c r="O42" i="54" s="1"/>
  <c r="K42" i="54" s="1"/>
  <c r="W42" i="54" l="1"/>
  <c r="W42" i="46"/>
  <c r="W43" i="54"/>
  <c r="W43" i="46"/>
  <c r="AD42" i="54"/>
  <c r="O42" i="46"/>
  <c r="P42" i="54"/>
  <c r="C42" i="54"/>
  <c r="U42" i="54"/>
  <c r="T42" i="54"/>
  <c r="V42" i="54"/>
  <c r="AS12" i="2"/>
  <c r="AD43" i="54"/>
  <c r="AD44" i="54"/>
  <c r="AK12" i="2"/>
  <c r="AK13" i="2" s="1"/>
  <c r="AG14" i="2"/>
  <c r="G34" i="47"/>
  <c r="H34" i="47" s="1"/>
  <c r="O43" i="46" l="1"/>
  <c r="O43" i="54"/>
  <c r="K43" i="54" s="1"/>
  <c r="X42" i="54" s="1"/>
  <c r="U43" i="54"/>
  <c r="AC42" i="54"/>
  <c r="V43" i="54"/>
  <c r="AS13" i="2"/>
  <c r="C43" i="54"/>
  <c r="T43" i="54"/>
  <c r="AK14" i="2"/>
  <c r="AG15" i="2"/>
  <c r="P43" i="54" l="1"/>
  <c r="AC43" i="54"/>
  <c r="AS14" i="2"/>
  <c r="AK15" i="2"/>
  <c r="AG16" i="2"/>
  <c r="BH16" i="39" l="1"/>
  <c r="AS15" i="2"/>
  <c r="AK16" i="2"/>
  <c r="AG17" i="2"/>
  <c r="AS16" i="2" l="1"/>
  <c r="AS17" i="2" s="1"/>
  <c r="AK17" i="2"/>
  <c r="AS18" i="2"/>
  <c r="AG18" i="2"/>
  <c r="AK18" i="2" l="1"/>
  <c r="AS19" i="2"/>
  <c r="AG19" i="2"/>
  <c r="AK19" i="2" l="1"/>
  <c r="AS20" i="2"/>
  <c r="AG20" i="2"/>
  <c r="AK20" i="2" l="1"/>
  <c r="AS21" i="2"/>
  <c r="AG21" i="2"/>
  <c r="AK21" i="2" l="1"/>
  <c r="AS22" i="2"/>
  <c r="AG22" i="2"/>
  <c r="AK22" i="2" l="1"/>
  <c r="AS23" i="2"/>
  <c r="AG23" i="2"/>
  <c r="AK23" i="2" l="1"/>
  <c r="AS24" i="2"/>
  <c r="AG24" i="2"/>
  <c r="AK24" i="2" l="1"/>
  <c r="AS25" i="2"/>
  <c r="AG25" i="2"/>
  <c r="AK25" i="2" l="1"/>
  <c r="AS26" i="2"/>
  <c r="AG26" i="2"/>
  <c r="AK26" i="2" l="1"/>
  <c r="AS27" i="2"/>
  <c r="AG27" i="2"/>
  <c r="AK27" i="2" l="1"/>
  <c r="AS28" i="2"/>
  <c r="AG28" i="2"/>
  <c r="AK28" i="2" l="1"/>
  <c r="AS29" i="2"/>
  <c r="AG29" i="2"/>
  <c r="AK29" i="2" l="1"/>
  <c r="AS30" i="2"/>
  <c r="AG30" i="2"/>
  <c r="AK30" i="2" l="1"/>
  <c r="AS31" i="2"/>
  <c r="AG31" i="2"/>
  <c r="AK31" i="2" l="1"/>
  <c r="AS32" i="2"/>
  <c r="AG32" i="2"/>
  <c r="AK32" i="2" l="1"/>
  <c r="AS33" i="2"/>
  <c r="AG33" i="2"/>
  <c r="AK33" i="2" l="1"/>
  <c r="AS34" i="2"/>
  <c r="AG34" i="2"/>
  <c r="AK34" i="2" l="1"/>
  <c r="AS35" i="2"/>
  <c r="AG35" i="2"/>
  <c r="AK35" i="2" l="1"/>
  <c r="AS36" i="2"/>
  <c r="AG36" i="2"/>
  <c r="AK36" i="2" l="1"/>
  <c r="AS37" i="2"/>
  <c r="AG37" i="2"/>
  <c r="AK37" i="2" l="1"/>
  <c r="AS38" i="2"/>
  <c r="AG38" i="2"/>
  <c r="AK38" i="2" l="1"/>
  <c r="AS39" i="2"/>
  <c r="AG39" i="2"/>
  <c r="AK39" i="2" l="1"/>
  <c r="AS40" i="2"/>
  <c r="AG40" i="2"/>
  <c r="AK40" i="2" l="1"/>
  <c r="C42" i="46" l="1"/>
  <c r="N42" i="46"/>
  <c r="J42" i="46"/>
  <c r="AR44" i="46"/>
  <c r="BA44" i="46" s="1"/>
  <c r="AM44" i="46"/>
  <c r="AR43" i="46"/>
  <c r="BA43" i="46" s="1"/>
  <c r="AM43" i="46"/>
  <c r="U43" i="46"/>
  <c r="T43" i="46"/>
  <c r="P43" i="46"/>
  <c r="N43" i="46"/>
  <c r="V43" i="46" s="1"/>
  <c r="J43" i="46"/>
  <c r="C43" i="46"/>
  <c r="AR42" i="46"/>
  <c r="BA42" i="46" s="1"/>
  <c r="AM42" i="46"/>
  <c r="F14" i="26"/>
  <c r="F23" i="26"/>
  <c r="I38" i="26"/>
  <c r="I33" i="47" s="1"/>
  <c r="X11" i="26"/>
  <c r="Y10" i="26"/>
  <c r="Z10" i="26"/>
  <c r="Y9" i="26"/>
  <c r="Z9" i="26"/>
  <c r="Y8" i="26"/>
  <c r="Z8" i="26"/>
  <c r="Z7" i="26"/>
  <c r="Y7" i="26"/>
  <c r="Y6" i="26"/>
  <c r="Z6" i="26"/>
  <c r="R28" i="26"/>
  <c r="P28" i="26"/>
  <c r="S28" i="26" s="1"/>
  <c r="R27" i="26"/>
  <c r="P27" i="26"/>
  <c r="S27" i="26" s="1"/>
  <c r="R26" i="26"/>
  <c r="P26" i="26"/>
  <c r="S26" i="26" s="1"/>
  <c r="P25" i="26"/>
  <c r="Q25" i="26"/>
  <c r="P24" i="26"/>
  <c r="S24" i="26" s="1"/>
  <c r="Q15" i="26"/>
  <c r="R15" i="26" s="1"/>
  <c r="R19" i="26"/>
  <c r="P19" i="26"/>
  <c r="S19" i="26" s="1"/>
  <c r="R18" i="26"/>
  <c r="P18" i="26"/>
  <c r="S18" i="26" s="1"/>
  <c r="R17" i="26"/>
  <c r="P17" i="26"/>
  <c r="S17" i="26" s="1"/>
  <c r="P16" i="26"/>
  <c r="P15" i="26"/>
  <c r="Q6" i="26"/>
  <c r="Q11" i="26" s="1"/>
  <c r="P7" i="26"/>
  <c r="S7" i="26" s="1"/>
  <c r="P8" i="26"/>
  <c r="S8" i="26" s="1"/>
  <c r="P6" i="26"/>
  <c r="R10" i="26"/>
  <c r="P10" i="26"/>
  <c r="S10" i="26" s="1"/>
  <c r="R9" i="26"/>
  <c r="P9" i="26"/>
  <c r="S9" i="26" s="1"/>
  <c r="R8" i="26"/>
  <c r="R7" i="26"/>
  <c r="Y11" i="26" l="1"/>
  <c r="Z11" i="26"/>
  <c r="Z12" i="26" s="1"/>
  <c r="Q16" i="26"/>
  <c r="R16" i="26" s="1"/>
  <c r="R20" i="26" s="1"/>
  <c r="S15" i="26"/>
  <c r="K43" i="46"/>
  <c r="AC43" i="46" s="1"/>
  <c r="AD42" i="46"/>
  <c r="S16" i="26"/>
  <c r="R6" i="26"/>
  <c r="R11" i="26" s="1"/>
  <c r="R12" i="26" s="1"/>
  <c r="AD44" i="46"/>
  <c r="AD43" i="46"/>
  <c r="N16" i="39"/>
  <c r="V42" i="46"/>
  <c r="P42" i="46"/>
  <c r="T42" i="46"/>
  <c r="U42" i="46"/>
  <c r="AA42" i="46" s="1"/>
  <c r="K42" i="46"/>
  <c r="Y12" i="26"/>
  <c r="S25" i="26"/>
  <c r="S29" i="26" s="1"/>
  <c r="R25" i="26"/>
  <c r="Q29" i="26"/>
  <c r="R24" i="26"/>
  <c r="S6" i="26"/>
  <c r="S11" i="26" s="1"/>
  <c r="S12" i="26" s="1"/>
  <c r="AC42" i="46" l="1"/>
  <c r="X42" i="46"/>
  <c r="AB42" i="46"/>
  <c r="S20" i="26"/>
  <c r="Q20" i="26"/>
  <c r="S21" i="26" s="1"/>
  <c r="S30" i="26"/>
  <c r="R29" i="26"/>
  <c r="R30" i="26" s="1"/>
  <c r="L16" i="39"/>
  <c r="R21" i="26" l="1"/>
  <c r="J4" i="26"/>
  <c r="DY16" i="2" l="1"/>
  <c r="K16" i="2"/>
  <c r="F31" i="47" l="1"/>
  <c r="E31" i="47"/>
  <c r="G31" i="47" s="1"/>
  <c r="H31" i="47" s="1"/>
  <c r="O38" i="54" s="1"/>
  <c r="K38" i="54" s="1"/>
  <c r="E30" i="47"/>
  <c r="G30" i="47" s="1"/>
  <c r="F29" i="47"/>
  <c r="E29" i="47"/>
  <c r="H29" i="47" l="1"/>
  <c r="O37" i="54" s="1"/>
  <c r="O37" i="46"/>
  <c r="C38" i="54"/>
  <c r="O38" i="46"/>
  <c r="G29" i="47"/>
  <c r="Q30" i="54"/>
  <c r="S30" i="54"/>
  <c r="AT35" i="54"/>
  <c r="AM35" i="54" s="1"/>
  <c r="AR40" i="54"/>
  <c r="BA40" i="54" s="1"/>
  <c r="AM40" i="54"/>
  <c r="AR39" i="54"/>
  <c r="BA39" i="54" s="1"/>
  <c r="AM39" i="54"/>
  <c r="AR38" i="54"/>
  <c r="BA38" i="54" s="1"/>
  <c r="AM38" i="54"/>
  <c r="AR37" i="54"/>
  <c r="BA37" i="54" s="1"/>
  <c r="AM37" i="54"/>
  <c r="Q37" i="54"/>
  <c r="K37" i="54" s="1"/>
  <c r="AR35" i="54"/>
  <c r="BA35" i="54" s="1"/>
  <c r="AR34" i="54"/>
  <c r="BA34" i="54" s="1"/>
  <c r="AM34" i="54"/>
  <c r="AR33" i="54"/>
  <c r="BA33" i="54" s="1"/>
  <c r="AM33" i="54"/>
  <c r="AR32" i="54"/>
  <c r="BA32" i="54" s="1"/>
  <c r="AM32" i="54"/>
  <c r="AR31" i="54"/>
  <c r="BA31" i="54" s="1"/>
  <c r="AM31" i="54"/>
  <c r="S31" i="54"/>
  <c r="AR30" i="54"/>
  <c r="BA30" i="54" s="1"/>
  <c r="AM30" i="54"/>
  <c r="K17" i="28"/>
  <c r="K18" i="28"/>
  <c r="J17" i="28"/>
  <c r="K17" i="27"/>
  <c r="W37" i="54" l="1"/>
  <c r="W37" i="46"/>
  <c r="W38" i="54"/>
  <c r="W38" i="46"/>
  <c r="W31" i="54"/>
  <c r="W31" i="46"/>
  <c r="P38" i="54"/>
  <c r="AD30" i="54"/>
  <c r="U37" i="54"/>
  <c r="AD32" i="54"/>
  <c r="AD33" i="54"/>
  <c r="AD31" i="54"/>
  <c r="AD35" i="54"/>
  <c r="V38" i="54"/>
  <c r="AD39" i="54"/>
  <c r="AD40" i="54"/>
  <c r="AD38" i="54"/>
  <c r="AD37" i="54"/>
  <c r="AD34" i="54"/>
  <c r="T37" i="54"/>
  <c r="P37" i="54"/>
  <c r="V37" i="54"/>
  <c r="T38" i="54"/>
  <c r="U38" i="54"/>
  <c r="C37" i="54"/>
  <c r="X37" i="54" l="1"/>
  <c r="AC37" i="54"/>
  <c r="AC38" i="54"/>
  <c r="BH15" i="39" l="1"/>
  <c r="Q37" i="46"/>
  <c r="AR40" i="46"/>
  <c r="BA40" i="46" s="1"/>
  <c r="AM40" i="46"/>
  <c r="AR39" i="46"/>
  <c r="BA39" i="46" s="1"/>
  <c r="AM39" i="46"/>
  <c r="AR38" i="46"/>
  <c r="BA38" i="46" s="1"/>
  <c r="AM38" i="46"/>
  <c r="P38" i="46"/>
  <c r="N38" i="46"/>
  <c r="V38" i="46" s="1"/>
  <c r="J38" i="46"/>
  <c r="AR37" i="46"/>
  <c r="BA37" i="46" s="1"/>
  <c r="AM37" i="46"/>
  <c r="N37" i="46"/>
  <c r="K37" i="46" s="1"/>
  <c r="J37" i="46"/>
  <c r="K38" i="46" l="1"/>
  <c r="X37" i="46"/>
  <c r="V37" i="46"/>
  <c r="U37" i="46"/>
  <c r="L15" i="39"/>
  <c r="AD40" i="46"/>
  <c r="AD38" i="46"/>
  <c r="AD37" i="46"/>
  <c r="T37" i="46"/>
  <c r="AC37" i="46" s="1"/>
  <c r="P37" i="46"/>
  <c r="C37" i="46"/>
  <c r="AD39" i="46"/>
  <c r="T38" i="46"/>
  <c r="AC38" i="46" s="1"/>
  <c r="C38" i="46"/>
  <c r="U38" i="46"/>
  <c r="AA37" i="46" l="1"/>
  <c r="AB37" i="46" s="1"/>
  <c r="N15" i="39"/>
  <c r="P9" i="28"/>
  <c r="Q9" i="28" s="1"/>
  <c r="F14" i="28"/>
  <c r="F23" i="28"/>
  <c r="H12" i="50"/>
  <c r="G42" i="28"/>
  <c r="I37" i="28" s="1"/>
  <c r="F42" i="28"/>
  <c r="N37" i="28"/>
  <c r="I29" i="47" s="1"/>
  <c r="I38" i="28"/>
  <c r="P8" i="28"/>
  <c r="Q8" i="28" s="1"/>
  <c r="O9" i="28"/>
  <c r="N38" i="28" l="1"/>
  <c r="I31" i="47" s="1"/>
  <c r="P10" i="28"/>
  <c r="R9" i="28"/>
  <c r="Q10" i="28"/>
  <c r="O8" i="28"/>
  <c r="R8" i="28" s="1"/>
  <c r="R10" i="28" s="1"/>
  <c r="R11" i="28" s="1"/>
  <c r="N6" i="28"/>
  <c r="Q11" i="28" l="1"/>
  <c r="AM35" i="46" l="1"/>
  <c r="AR35" i="46"/>
  <c r="BA35" i="46" s="1"/>
  <c r="F12" i="27"/>
  <c r="AD35" i="46" l="1"/>
  <c r="F27" i="47"/>
  <c r="F25" i="47"/>
  <c r="E27" i="47"/>
  <c r="G27" i="47" s="1"/>
  <c r="H27" i="47" s="1"/>
  <c r="O31" i="54" s="1"/>
  <c r="K31" i="54" s="1"/>
  <c r="E26" i="47"/>
  <c r="G26" i="47" s="1"/>
  <c r="E25" i="47"/>
  <c r="G25" i="47" s="1"/>
  <c r="C16" i="27"/>
  <c r="K16" i="27" s="1"/>
  <c r="W30" i="54" l="1"/>
  <c r="W30" i="46"/>
  <c r="H25" i="47"/>
  <c r="O30" i="54" s="1"/>
  <c r="K30" i="54" s="1"/>
  <c r="X30" i="54" s="1"/>
  <c r="O31" i="46"/>
  <c r="DY15" i="2"/>
  <c r="O30" i="46" l="1"/>
  <c r="U31" i="54"/>
  <c r="T31" i="54"/>
  <c r="P31" i="54"/>
  <c r="V31" i="54"/>
  <c r="C31" i="54"/>
  <c r="P30" i="54"/>
  <c r="C30" i="54"/>
  <c r="U30" i="54"/>
  <c r="T30" i="54"/>
  <c r="V30" i="54"/>
  <c r="K15" i="2"/>
  <c r="G15" i="2"/>
  <c r="AA30" i="54" l="1"/>
  <c r="AC31" i="54"/>
  <c r="AC30" i="54"/>
  <c r="AB30" i="54"/>
  <c r="AM33" i="46"/>
  <c r="AR33" i="46"/>
  <c r="BA33" i="46" s="1"/>
  <c r="AM34" i="46"/>
  <c r="AR34" i="46"/>
  <c r="BA34" i="46" s="1"/>
  <c r="S31" i="46"/>
  <c r="C31" i="46"/>
  <c r="N31" i="46"/>
  <c r="J31" i="46"/>
  <c r="C30" i="46"/>
  <c r="N14" i="39" s="1"/>
  <c r="N30" i="46"/>
  <c r="V30" i="46" s="1"/>
  <c r="J30" i="46"/>
  <c r="AR32" i="46"/>
  <c r="BA32" i="46" s="1"/>
  <c r="AM32" i="46"/>
  <c r="AR31" i="46"/>
  <c r="BA31" i="46" s="1"/>
  <c r="AM31" i="46"/>
  <c r="AR30" i="46"/>
  <c r="BA30" i="46" s="1"/>
  <c r="AM30" i="46"/>
  <c r="AD30" i="46" s="1"/>
  <c r="G12" i="50"/>
  <c r="G18" i="50"/>
  <c r="N37" i="27"/>
  <c r="I25" i="47" s="1"/>
  <c r="I38" i="27"/>
  <c r="G42" i="27"/>
  <c r="I37" i="27" s="1"/>
  <c r="F42" i="27"/>
  <c r="O26" i="27"/>
  <c r="O18" i="27"/>
  <c r="R18" i="27" s="1"/>
  <c r="Q18" i="27"/>
  <c r="Q17" i="27"/>
  <c r="P19" i="27"/>
  <c r="O17" i="27"/>
  <c r="R17" i="27" s="1"/>
  <c r="O8" i="27"/>
  <c r="N6" i="27"/>
  <c r="N38" i="27" l="1"/>
  <c r="I27" i="47" s="1"/>
  <c r="AD34" i="46"/>
  <c r="AD32" i="46"/>
  <c r="R19" i="27"/>
  <c r="R20" i="27" s="1"/>
  <c r="AD33" i="46"/>
  <c r="V31" i="46"/>
  <c r="BH14" i="39"/>
  <c r="K31" i="46"/>
  <c r="AC31" i="46" s="1"/>
  <c r="P31" i="46"/>
  <c r="T31" i="46"/>
  <c r="U31" i="46"/>
  <c r="K30" i="46"/>
  <c r="P30" i="46"/>
  <c r="T30" i="46"/>
  <c r="U30" i="46"/>
  <c r="AD31" i="46"/>
  <c r="Q19" i="27"/>
  <c r="Q20" i="27" s="1"/>
  <c r="AA30" i="46" l="1"/>
  <c r="AC30" i="46"/>
  <c r="AB30" i="46" s="1"/>
  <c r="X30" i="46"/>
  <c r="L14" i="39"/>
  <c r="G14" i="2"/>
  <c r="K14" i="29"/>
  <c r="N37" i="29"/>
  <c r="E23" i="47"/>
  <c r="G23" i="47" s="1"/>
  <c r="I23" i="47"/>
  <c r="I20" i="47"/>
  <c r="I18" i="47"/>
  <c r="E22" i="47"/>
  <c r="G22" i="47" s="1"/>
  <c r="H22" i="47" s="1"/>
  <c r="O25" i="54" s="1"/>
  <c r="W25" i="54" l="1"/>
  <c r="W25" i="46"/>
  <c r="O25" i="46"/>
  <c r="U25" i="46" s="1"/>
  <c r="H23" i="47"/>
  <c r="O26" i="54" s="1"/>
  <c r="K26" i="54" s="1"/>
  <c r="Q25" i="54"/>
  <c r="R25" i="54"/>
  <c r="AU28" i="54"/>
  <c r="AR28" i="54"/>
  <c r="AM28" i="54"/>
  <c r="AR27" i="54"/>
  <c r="BA27" i="54" s="1"/>
  <c r="AM27" i="54"/>
  <c r="AR26" i="54"/>
  <c r="BA26" i="54" s="1"/>
  <c r="AM26" i="54"/>
  <c r="AR25" i="54"/>
  <c r="BA25" i="54" s="1"/>
  <c r="AM25" i="54"/>
  <c r="N25" i="46"/>
  <c r="K25" i="46" s="1"/>
  <c r="J25" i="46"/>
  <c r="AM25" i="46"/>
  <c r="AR25" i="46"/>
  <c r="BA25" i="46" s="1"/>
  <c r="J26" i="46"/>
  <c r="N26" i="46"/>
  <c r="AM26" i="46"/>
  <c r="AR26" i="46"/>
  <c r="BA26" i="46" s="1"/>
  <c r="AM27" i="46"/>
  <c r="AR27" i="46"/>
  <c r="BA27" i="46" s="1"/>
  <c r="AM28" i="46"/>
  <c r="AR28" i="46"/>
  <c r="I38" i="29"/>
  <c r="I22" i="47" s="1"/>
  <c r="G42" i="29"/>
  <c r="I37" i="29" s="1"/>
  <c r="F42" i="29"/>
  <c r="P9" i="29"/>
  <c r="P8" i="29"/>
  <c r="O9" i="29"/>
  <c r="T25" i="54" l="1"/>
  <c r="K25" i="54"/>
  <c r="X25" i="54" s="1"/>
  <c r="AD25" i="54"/>
  <c r="AD26" i="54"/>
  <c r="AD27" i="46"/>
  <c r="T26" i="54"/>
  <c r="O26" i="46"/>
  <c r="U26" i="46" s="1"/>
  <c r="BA28" i="54"/>
  <c r="AD28" i="54" s="1"/>
  <c r="U25" i="54"/>
  <c r="AD27" i="54"/>
  <c r="C25" i="54"/>
  <c r="V25" i="54"/>
  <c r="U26" i="54"/>
  <c r="V26" i="54"/>
  <c r="P25" i="54"/>
  <c r="BA28" i="46"/>
  <c r="AD28" i="46" s="1"/>
  <c r="C25" i="46"/>
  <c r="V25" i="46"/>
  <c r="P25" i="46"/>
  <c r="T25" i="46"/>
  <c r="AC25" i="46" s="1"/>
  <c r="AD26" i="46"/>
  <c r="AD25" i="46"/>
  <c r="O8" i="29"/>
  <c r="T26" i="46" l="1"/>
  <c r="P26" i="46"/>
  <c r="AC25" i="54"/>
  <c r="P26" i="54"/>
  <c r="AC26" i="54"/>
  <c r="C26" i="46"/>
  <c r="N13" i="39" s="1"/>
  <c r="V26" i="46"/>
  <c r="C26" i="54"/>
  <c r="K26" i="46"/>
  <c r="AC26" i="46" l="1"/>
  <c r="X25" i="46"/>
  <c r="BH13" i="39"/>
  <c r="L13" i="39"/>
  <c r="F27" i="29"/>
  <c r="N6" i="29" l="1"/>
  <c r="G13" i="2" l="1"/>
  <c r="C17" i="30" l="1"/>
  <c r="K14" i="30" s="1"/>
  <c r="C16" i="30"/>
  <c r="K13" i="30" s="1"/>
  <c r="W20" i="54" l="1"/>
  <c r="W20" i="46"/>
  <c r="W21" i="54"/>
  <c r="W21" i="46"/>
  <c r="DY13" i="2"/>
  <c r="F19" i="47" l="1"/>
  <c r="F18" i="47"/>
  <c r="E19" i="47"/>
  <c r="E20" i="47"/>
  <c r="G20" i="47" s="1"/>
  <c r="E18" i="47"/>
  <c r="G18" i="47" s="1"/>
  <c r="H18" i="47" s="1"/>
  <c r="O20" i="54" s="1"/>
  <c r="K20" i="54" s="1"/>
  <c r="AC23" i="54"/>
  <c r="AR23" i="54"/>
  <c r="BA23" i="54" s="1"/>
  <c r="AM23" i="54"/>
  <c r="AR22" i="54"/>
  <c r="BA22" i="54" s="1"/>
  <c r="AM22" i="54"/>
  <c r="AR21" i="54"/>
  <c r="BA21" i="54" s="1"/>
  <c r="AM21" i="54"/>
  <c r="AR20" i="54"/>
  <c r="BA20" i="54" s="1"/>
  <c r="AM20" i="54"/>
  <c r="AR23" i="46"/>
  <c r="BA23" i="46" s="1"/>
  <c r="AM23" i="46"/>
  <c r="N22" i="46"/>
  <c r="J22" i="46"/>
  <c r="N20" i="46"/>
  <c r="J20" i="46"/>
  <c r="AR22" i="46"/>
  <c r="BA22" i="46" s="1"/>
  <c r="AM22" i="46"/>
  <c r="AR21" i="46"/>
  <c r="BA21" i="46" s="1"/>
  <c r="AM21" i="46"/>
  <c r="N21" i="46"/>
  <c r="J21" i="46"/>
  <c r="AR20" i="46"/>
  <c r="BA20" i="46" s="1"/>
  <c r="AM20" i="46"/>
  <c r="E18" i="50"/>
  <c r="AA42" i="54" l="1"/>
  <c r="AB42" i="54" s="1"/>
  <c r="AD23" i="54"/>
  <c r="AD20" i="54"/>
  <c r="AA37" i="54"/>
  <c r="AB37" i="54" s="1"/>
  <c r="AD22" i="54"/>
  <c r="G19" i="47"/>
  <c r="H19" i="47" s="1"/>
  <c r="O20" i="46"/>
  <c r="P20" i="46" s="1"/>
  <c r="AD23" i="46"/>
  <c r="AD21" i="54"/>
  <c r="H20" i="47"/>
  <c r="O22" i="54" s="1"/>
  <c r="K22" i="54" s="1"/>
  <c r="C20" i="54"/>
  <c r="V20" i="54"/>
  <c r="U20" i="54"/>
  <c r="P20" i="54"/>
  <c r="T20" i="54"/>
  <c r="AD22" i="46"/>
  <c r="AD20" i="46"/>
  <c r="AD21" i="46"/>
  <c r="F42" i="30"/>
  <c r="G40" i="30"/>
  <c r="G39" i="30"/>
  <c r="G38" i="30"/>
  <c r="I38" i="30"/>
  <c r="N38" i="30" s="1"/>
  <c r="I19" i="47" s="1"/>
  <c r="P25" i="30"/>
  <c r="P27" i="30" s="1"/>
  <c r="O26" i="30"/>
  <c r="O25" i="30"/>
  <c r="O17" i="30"/>
  <c r="P9" i="30"/>
  <c r="P11" i="30" s="1"/>
  <c r="O10" i="30"/>
  <c r="O9" i="30"/>
  <c r="N6" i="30"/>
  <c r="O21" i="54" l="1"/>
  <c r="K21" i="54" s="1"/>
  <c r="X20" i="54" s="1"/>
  <c r="G42" i="30"/>
  <c r="I37" i="30" s="1"/>
  <c r="K20" i="46"/>
  <c r="O21" i="46"/>
  <c r="U21" i="46" s="1"/>
  <c r="T20" i="46"/>
  <c r="O22" i="46"/>
  <c r="U21" i="54"/>
  <c r="T21" i="54"/>
  <c r="P21" i="54"/>
  <c r="C21" i="54"/>
  <c r="AC20" i="54"/>
  <c r="U20" i="46"/>
  <c r="C20" i="46"/>
  <c r="V20" i="46"/>
  <c r="C8" i="31"/>
  <c r="K13" i="31" s="1"/>
  <c r="C7" i="31"/>
  <c r="K12" i="31" s="1"/>
  <c r="K11" i="32"/>
  <c r="K9" i="32"/>
  <c r="C26" i="32"/>
  <c r="K12" i="32" s="1"/>
  <c r="C17" i="32"/>
  <c r="K10" i="32" s="1"/>
  <c r="C7" i="32"/>
  <c r="K8" i="32" s="1"/>
  <c r="F15" i="47"/>
  <c r="F16" i="47"/>
  <c r="E16" i="47"/>
  <c r="E15" i="47"/>
  <c r="I11" i="47"/>
  <c r="I10" i="47"/>
  <c r="I9" i="47"/>
  <c r="F13" i="47"/>
  <c r="F12" i="47"/>
  <c r="F11" i="47"/>
  <c r="F10" i="47"/>
  <c r="F9" i="47"/>
  <c r="E13" i="47"/>
  <c r="E12" i="47"/>
  <c r="E11" i="47"/>
  <c r="E10" i="47"/>
  <c r="E9" i="47"/>
  <c r="DY12" i="2"/>
  <c r="DY11" i="2"/>
  <c r="P21" i="46" l="1"/>
  <c r="W12" i="54"/>
  <c r="W12" i="46"/>
  <c r="W14" i="54"/>
  <c r="W14" i="46"/>
  <c r="W10" i="54"/>
  <c r="W10" i="46"/>
  <c r="W11" i="54"/>
  <c r="W11" i="46"/>
  <c r="W13" i="54"/>
  <c r="W13" i="46"/>
  <c r="W17" i="54"/>
  <c r="W17" i="46"/>
  <c r="W16" i="54"/>
  <c r="W16" i="46"/>
  <c r="V21" i="54"/>
  <c r="AC20" i="46"/>
  <c r="V21" i="46"/>
  <c r="T21" i="46"/>
  <c r="C21" i="46"/>
  <c r="K21" i="46"/>
  <c r="AC21" i="46" s="1"/>
  <c r="G15" i="47"/>
  <c r="H15" i="47" s="1"/>
  <c r="O16" i="54" s="1"/>
  <c r="K16" i="54" s="1"/>
  <c r="X16" i="54" s="1"/>
  <c r="G12" i="47"/>
  <c r="H12" i="47" s="1"/>
  <c r="O13" i="54" s="1"/>
  <c r="K13" i="54" s="1"/>
  <c r="G13" i="47"/>
  <c r="H13" i="47" s="1"/>
  <c r="AC21" i="54"/>
  <c r="G16" i="47"/>
  <c r="H16" i="47" s="1"/>
  <c r="O17" i="54" s="1"/>
  <c r="K17" i="54" s="1"/>
  <c r="G10" i="47"/>
  <c r="H10" i="47" s="1"/>
  <c r="G11" i="47"/>
  <c r="H11" i="47" s="1"/>
  <c r="O12" i="54" s="1"/>
  <c r="K12" i="54" s="1"/>
  <c r="V22" i="46"/>
  <c r="P22" i="46"/>
  <c r="U22" i="46"/>
  <c r="AA20" i="46" s="1"/>
  <c r="C22" i="46"/>
  <c r="T22" i="46"/>
  <c r="K22" i="46"/>
  <c r="AC22" i="46" s="1"/>
  <c r="C22" i="54"/>
  <c r="U22" i="54"/>
  <c r="AA20" i="54" s="1"/>
  <c r="T22" i="54"/>
  <c r="P22" i="54"/>
  <c r="V22" i="54"/>
  <c r="G9" i="47"/>
  <c r="H9" i="47" s="1"/>
  <c r="O10" i="54" s="1"/>
  <c r="K10" i="54" s="1"/>
  <c r="O14" i="46" l="1"/>
  <c r="O14" i="54"/>
  <c r="K14" i="54" s="1"/>
  <c r="AB20" i="46"/>
  <c r="O11" i="46"/>
  <c r="O11" i="54"/>
  <c r="K11" i="54" s="1"/>
  <c r="X10" i="54" s="1"/>
  <c r="X20" i="46"/>
  <c r="N12" i="39"/>
  <c r="L12" i="39"/>
  <c r="O16" i="46"/>
  <c r="C16" i="46" s="1"/>
  <c r="O13" i="46"/>
  <c r="C13" i="46" s="1"/>
  <c r="O17" i="46"/>
  <c r="O12" i="46"/>
  <c r="AC22" i="54"/>
  <c r="AB20" i="54" s="1"/>
  <c r="T14" i="54"/>
  <c r="BH12" i="39"/>
  <c r="U10" i="54"/>
  <c r="O10" i="46"/>
  <c r="T10" i="46" s="1"/>
  <c r="AR18" i="54"/>
  <c r="BA18" i="54" s="1"/>
  <c r="AM18" i="54"/>
  <c r="AR17" i="54"/>
  <c r="BA17" i="54" s="1"/>
  <c r="AM17" i="54"/>
  <c r="U17" i="54"/>
  <c r="T17" i="54"/>
  <c r="P17" i="54"/>
  <c r="C17" i="54"/>
  <c r="AR16" i="54"/>
  <c r="BA16" i="54" s="1"/>
  <c r="AM16" i="54"/>
  <c r="V16" i="54"/>
  <c r="AR14" i="54"/>
  <c r="BA14" i="54" s="1"/>
  <c r="AM14" i="54"/>
  <c r="AR13" i="54"/>
  <c r="BA13" i="54" s="1"/>
  <c r="AM13" i="54"/>
  <c r="T13" i="54"/>
  <c r="V13" i="54"/>
  <c r="AR12" i="54"/>
  <c r="BA12" i="54" s="1"/>
  <c r="AM12" i="54"/>
  <c r="V12" i="54"/>
  <c r="AR11" i="54"/>
  <c r="BA11" i="54" s="1"/>
  <c r="AM11" i="54"/>
  <c r="AR10" i="54"/>
  <c r="BA10" i="54" s="1"/>
  <c r="AM10" i="54"/>
  <c r="T17" i="46"/>
  <c r="N17" i="46"/>
  <c r="J17" i="46"/>
  <c r="N16" i="46"/>
  <c r="J16" i="46"/>
  <c r="AR18" i="46"/>
  <c r="BA18" i="46" s="1"/>
  <c r="AM18" i="46"/>
  <c r="AR17" i="46"/>
  <c r="BA17" i="46" s="1"/>
  <c r="AM17" i="46"/>
  <c r="AR16" i="46"/>
  <c r="BA16" i="46" s="1"/>
  <c r="AM16" i="46"/>
  <c r="AM13" i="46"/>
  <c r="AR13" i="46"/>
  <c r="BA13" i="46" s="1"/>
  <c r="AM14" i="46"/>
  <c r="AR14" i="46"/>
  <c r="BA14" i="46" s="1"/>
  <c r="C14" i="46"/>
  <c r="N14" i="46"/>
  <c r="K14" i="46" s="1"/>
  <c r="J14" i="46"/>
  <c r="N13" i="46"/>
  <c r="J13" i="46"/>
  <c r="C12" i="46"/>
  <c r="N12" i="46"/>
  <c r="K12" i="46" s="1"/>
  <c r="J12" i="46"/>
  <c r="J10" i="46"/>
  <c r="N10" i="46"/>
  <c r="AM10" i="46"/>
  <c r="AR10" i="46"/>
  <c r="BA10" i="46" s="1"/>
  <c r="J11" i="46"/>
  <c r="N11" i="46"/>
  <c r="P11" i="46"/>
  <c r="AM11" i="46"/>
  <c r="AR11" i="46"/>
  <c r="BA11" i="46" s="1"/>
  <c r="AM12" i="46"/>
  <c r="AR12" i="46"/>
  <c r="BA12" i="46" s="1"/>
  <c r="J12" i="31"/>
  <c r="N37" i="31"/>
  <c r="I15" i="47" s="1"/>
  <c r="I38" i="31"/>
  <c r="G42" i="31"/>
  <c r="I37" i="31" s="1"/>
  <c r="F42" i="31"/>
  <c r="P9" i="31"/>
  <c r="Q9" i="31" s="1"/>
  <c r="P8" i="31"/>
  <c r="Q8" i="31" s="1"/>
  <c r="O8" i="31"/>
  <c r="O9" i="31"/>
  <c r="N6" i="31"/>
  <c r="D10" i="50"/>
  <c r="C10" i="50"/>
  <c r="G42" i="32"/>
  <c r="I37" i="32" s="1"/>
  <c r="F42" i="32"/>
  <c r="I38" i="32"/>
  <c r="Q27" i="32"/>
  <c r="P26" i="32"/>
  <c r="P28" i="32" s="1"/>
  <c r="O27" i="32"/>
  <c r="R27" i="32" s="1"/>
  <c r="O26" i="32"/>
  <c r="P18" i="32"/>
  <c r="Q18" i="32" s="1"/>
  <c r="P17" i="32"/>
  <c r="Q17" i="32" s="1"/>
  <c r="P16" i="32"/>
  <c r="Q16" i="32" s="1"/>
  <c r="O18" i="32"/>
  <c r="O17" i="32"/>
  <c r="O16" i="32"/>
  <c r="Q9" i="32"/>
  <c r="P8" i="32"/>
  <c r="Q8" i="32" s="1"/>
  <c r="O9" i="32"/>
  <c r="R9" i="32" s="1"/>
  <c r="O8" i="32"/>
  <c r="N6" i="32"/>
  <c r="N38" i="31" l="1"/>
  <c r="I16" i="47" s="1"/>
  <c r="U11" i="54"/>
  <c r="R8" i="32"/>
  <c r="AD13" i="46"/>
  <c r="AD18" i="54"/>
  <c r="R16" i="32"/>
  <c r="AD16" i="54"/>
  <c r="P10" i="46"/>
  <c r="V10" i="54"/>
  <c r="U10" i="46"/>
  <c r="K10" i="46"/>
  <c r="P10" i="54"/>
  <c r="R17" i="32"/>
  <c r="T10" i="54"/>
  <c r="R8" i="31"/>
  <c r="C10" i="54"/>
  <c r="AD12" i="54"/>
  <c r="R26" i="32"/>
  <c r="R28" i="32" s="1"/>
  <c r="R29" i="32" s="1"/>
  <c r="Q10" i="31"/>
  <c r="AC13" i="54"/>
  <c r="AC17" i="54"/>
  <c r="Q26" i="32"/>
  <c r="Q28" i="32" s="1"/>
  <c r="Q29" i="32" s="1"/>
  <c r="P10" i="32"/>
  <c r="AD13" i="54"/>
  <c r="Q19" i="32"/>
  <c r="R9" i="31"/>
  <c r="V17" i="54"/>
  <c r="AD17" i="54"/>
  <c r="Q10" i="32"/>
  <c r="AD18" i="46"/>
  <c r="AD14" i="54"/>
  <c r="AD11" i="54"/>
  <c r="AD12" i="46"/>
  <c r="P19" i="32"/>
  <c r="AD10" i="46"/>
  <c r="AD11" i="46"/>
  <c r="P10" i="31"/>
  <c r="AD10" i="54"/>
  <c r="R10" i="32"/>
  <c r="R18" i="32"/>
  <c r="AD14" i="46"/>
  <c r="V17" i="46"/>
  <c r="U17" i="46"/>
  <c r="T11" i="46"/>
  <c r="P13" i="54"/>
  <c r="C11" i="46"/>
  <c r="U13" i="54"/>
  <c r="U16" i="54"/>
  <c r="AA16" i="54" s="1"/>
  <c r="V16" i="46"/>
  <c r="T16" i="46"/>
  <c r="P16" i="46"/>
  <c r="K16" i="46"/>
  <c r="P16" i="54"/>
  <c r="T16" i="54"/>
  <c r="C16" i="54"/>
  <c r="U14" i="54"/>
  <c r="C14" i="54"/>
  <c r="V14" i="54"/>
  <c r="AC14" i="54"/>
  <c r="P14" i="54"/>
  <c r="K13" i="46"/>
  <c r="V13" i="46"/>
  <c r="T13" i="46"/>
  <c r="U13" i="46"/>
  <c r="C13" i="54"/>
  <c r="P12" i="54"/>
  <c r="T12" i="54"/>
  <c r="C12" i="54"/>
  <c r="U12" i="54"/>
  <c r="P11" i="54"/>
  <c r="U11" i="46"/>
  <c r="V11" i="54"/>
  <c r="C11" i="54"/>
  <c r="V11" i="46"/>
  <c r="T11" i="54"/>
  <c r="AD17" i="46"/>
  <c r="AD16" i="46"/>
  <c r="C17" i="46"/>
  <c r="N11" i="39" s="1"/>
  <c r="K17" i="46"/>
  <c r="AC17" i="46" s="1"/>
  <c r="U16" i="46"/>
  <c r="AA16" i="46" s="1"/>
  <c r="P17" i="46"/>
  <c r="V14" i="46"/>
  <c r="T12" i="46"/>
  <c r="AC12" i="46" s="1"/>
  <c r="P12" i="46"/>
  <c r="U12" i="46"/>
  <c r="P13" i="46"/>
  <c r="V12" i="46"/>
  <c r="P14" i="46"/>
  <c r="T14" i="46"/>
  <c r="AC14" i="46" s="1"/>
  <c r="U14" i="46"/>
  <c r="V10" i="46"/>
  <c r="C10" i="46"/>
  <c r="K11" i="46"/>
  <c r="AC11" i="46" s="1"/>
  <c r="N10" i="39" l="1"/>
  <c r="R19" i="32"/>
  <c r="R11" i="32"/>
  <c r="AC13" i="46"/>
  <c r="AC16" i="46"/>
  <c r="AB16" i="46" s="1"/>
  <c r="X16" i="46"/>
  <c r="AC10" i="46"/>
  <c r="X10" i="46"/>
  <c r="AA10" i="46"/>
  <c r="Q20" i="32"/>
  <c r="R10" i="31"/>
  <c r="R11" i="31" s="1"/>
  <c r="AC10" i="54"/>
  <c r="Q11" i="32"/>
  <c r="R20" i="32"/>
  <c r="AA10" i="54"/>
  <c r="BH11" i="39"/>
  <c r="AC16" i="54"/>
  <c r="AB16" i="54" s="1"/>
  <c r="Q11" i="31"/>
  <c r="AC12" i="54"/>
  <c r="AC11" i="54"/>
  <c r="L11" i="39"/>
  <c r="BH10" i="39"/>
  <c r="L10" i="39"/>
  <c r="AB10" i="46" l="1"/>
  <c r="AB10" i="54"/>
  <c r="E7" i="47"/>
  <c r="G7" i="47" s="1"/>
  <c r="F4" i="47"/>
  <c r="F6" i="47"/>
  <c r="E6" i="47"/>
  <c r="E5" i="47"/>
  <c r="E4" i="47"/>
  <c r="K8" i="33"/>
  <c r="K7" i="33"/>
  <c r="W6" i="54" l="1"/>
  <c r="W6" i="46"/>
  <c r="W7" i="54"/>
  <c r="W7" i="46"/>
  <c r="H6" i="47"/>
  <c r="O7" i="54" s="1"/>
  <c r="K7" i="54" s="1"/>
  <c r="G6" i="47"/>
  <c r="O7" i="46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F38" i="45"/>
  <c r="AF37" i="45"/>
  <c r="AF36" i="45"/>
  <c r="AF35" i="45"/>
  <c r="AF34" i="45"/>
  <c r="AF33" i="45"/>
  <c r="AF32" i="45"/>
  <c r="AF31" i="45"/>
  <c r="AF30" i="45"/>
  <c r="AF29" i="45"/>
  <c r="AF28" i="45"/>
  <c r="AF27" i="45"/>
  <c r="AF26" i="45"/>
  <c r="AF25" i="45"/>
  <c r="AF24" i="45"/>
  <c r="AF23" i="45"/>
  <c r="AF22" i="45"/>
  <c r="AF21" i="45"/>
  <c r="AF20" i="45"/>
  <c r="AF19" i="45"/>
  <c r="AF18" i="45"/>
  <c r="AF17" i="45"/>
  <c r="AF16" i="45"/>
  <c r="AF15" i="45"/>
  <c r="AF14" i="45"/>
  <c r="AF13" i="45"/>
  <c r="AF12" i="45"/>
  <c r="AF11" i="45"/>
  <c r="AF10" i="45"/>
  <c r="AF9" i="45"/>
  <c r="AF8" i="45"/>
  <c r="Z38" i="45"/>
  <c r="Z37" i="45"/>
  <c r="Z36" i="45"/>
  <c r="Z35" i="45"/>
  <c r="Z34" i="45"/>
  <c r="Z33" i="45"/>
  <c r="Z32" i="45"/>
  <c r="Z31" i="45"/>
  <c r="Z30" i="45"/>
  <c r="Z29" i="45"/>
  <c r="Z28" i="45"/>
  <c r="Z27" i="45"/>
  <c r="Z26" i="45"/>
  <c r="Z25" i="45"/>
  <c r="Z24" i="45"/>
  <c r="Z23" i="45"/>
  <c r="Z22" i="45"/>
  <c r="Z21" i="45"/>
  <c r="Z20" i="45"/>
  <c r="Z19" i="45"/>
  <c r="Z18" i="45"/>
  <c r="Z17" i="45"/>
  <c r="Z16" i="45"/>
  <c r="Z15" i="45"/>
  <c r="Z14" i="45"/>
  <c r="Z13" i="45"/>
  <c r="Z12" i="45"/>
  <c r="Z11" i="45"/>
  <c r="Z10" i="45"/>
  <c r="Z9" i="45"/>
  <c r="Z8" i="45"/>
  <c r="V38" i="45"/>
  <c r="V37" i="45"/>
  <c r="V36" i="45"/>
  <c r="V35" i="45"/>
  <c r="V34" i="45"/>
  <c r="V33" i="45"/>
  <c r="V32" i="45"/>
  <c r="V31" i="45"/>
  <c r="V30" i="45"/>
  <c r="V29" i="45"/>
  <c r="V28" i="45"/>
  <c r="V27" i="45"/>
  <c r="V26" i="45"/>
  <c r="V25" i="45"/>
  <c r="V24" i="45"/>
  <c r="V23" i="45"/>
  <c r="V22" i="45"/>
  <c r="V21" i="45"/>
  <c r="V20" i="45"/>
  <c r="V19" i="45"/>
  <c r="V18" i="45"/>
  <c r="V17" i="45"/>
  <c r="V16" i="45"/>
  <c r="V15" i="45"/>
  <c r="V14" i="45"/>
  <c r="V13" i="45"/>
  <c r="V12" i="45"/>
  <c r="V11" i="45"/>
  <c r="V10" i="45"/>
  <c r="V9" i="45"/>
  <c r="V8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9" i="45"/>
  <c r="R18" i="45"/>
  <c r="R17" i="45"/>
  <c r="R16" i="45"/>
  <c r="R15" i="45"/>
  <c r="R14" i="45"/>
  <c r="R13" i="45"/>
  <c r="R12" i="45"/>
  <c r="R11" i="45"/>
  <c r="R10" i="45"/>
  <c r="R9" i="45"/>
  <c r="R8" i="45"/>
  <c r="N38" i="45"/>
  <c r="N37" i="45"/>
  <c r="N36" i="45"/>
  <c r="N35" i="45"/>
  <c r="N34" i="45"/>
  <c r="N33" i="45"/>
  <c r="N32" i="45"/>
  <c r="N31" i="45"/>
  <c r="N30" i="45"/>
  <c r="N29" i="45"/>
  <c r="N28" i="45"/>
  <c r="N27" i="45"/>
  <c r="N26" i="45"/>
  <c r="N25" i="45"/>
  <c r="N24" i="45"/>
  <c r="N23" i="45"/>
  <c r="N22" i="45"/>
  <c r="N21" i="45"/>
  <c r="N20" i="45"/>
  <c r="N19" i="45"/>
  <c r="N18" i="45"/>
  <c r="N17" i="45"/>
  <c r="N16" i="45"/>
  <c r="N15" i="45"/>
  <c r="N14" i="45"/>
  <c r="N13" i="45"/>
  <c r="N12" i="45"/>
  <c r="N11" i="45"/>
  <c r="N10" i="45"/>
  <c r="N9" i="45"/>
  <c r="N8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DY10" i="2" l="1"/>
  <c r="G10" i="2"/>
  <c r="AR8" i="54" l="1"/>
  <c r="BA8" i="54" s="1"/>
  <c r="AM8" i="54"/>
  <c r="AR7" i="54"/>
  <c r="BA7" i="54" s="1"/>
  <c r="AM7" i="54"/>
  <c r="U7" i="54"/>
  <c r="AR6" i="54"/>
  <c r="BA6" i="54" s="1"/>
  <c r="AM6" i="54"/>
  <c r="A6" i="54"/>
  <c r="J7" i="46"/>
  <c r="N7" i="46"/>
  <c r="P7" i="46"/>
  <c r="N38" i="33"/>
  <c r="I6" i="47" s="1"/>
  <c r="I38" i="33"/>
  <c r="G42" i="33"/>
  <c r="I37" i="33" s="1"/>
  <c r="F42" i="33"/>
  <c r="P17" i="33"/>
  <c r="P18" i="33" s="1"/>
  <c r="O17" i="33"/>
  <c r="Q16" i="33"/>
  <c r="O16" i="33"/>
  <c r="R16" i="33" s="1"/>
  <c r="O8" i="33"/>
  <c r="N6" i="33"/>
  <c r="N37" i="33" l="1"/>
  <c r="I4" i="47" s="1"/>
  <c r="AD8" i="54"/>
  <c r="R17" i="33"/>
  <c r="R18" i="33" s="1"/>
  <c r="R19" i="33" s="1"/>
  <c r="AD6" i="54"/>
  <c r="V7" i="54"/>
  <c r="C7" i="54"/>
  <c r="K7" i="46"/>
  <c r="AC7" i="46" s="1"/>
  <c r="AD7" i="54"/>
  <c r="P7" i="54"/>
  <c r="T7" i="54"/>
  <c r="V7" i="46"/>
  <c r="C7" i="46"/>
  <c r="U7" i="46"/>
  <c r="T7" i="46"/>
  <c r="Q17" i="33"/>
  <c r="Q18" i="33" s="1"/>
  <c r="Q19" i="33" s="1"/>
  <c r="N6" i="46"/>
  <c r="J6" i="46"/>
  <c r="AC7" i="54" l="1"/>
  <c r="BF153" i="46"/>
  <c r="BE153" i="46"/>
  <c r="BD153" i="46"/>
  <c r="BF153" i="54" l="1"/>
  <c r="BE153" i="54"/>
  <c r="BD153" i="54"/>
  <c r="F32" i="31" l="1"/>
  <c r="F23" i="31"/>
  <c r="F14" i="31"/>
  <c r="F32" i="32"/>
  <c r="F23" i="32"/>
  <c r="F14" i="32"/>
  <c r="J13" i="32"/>
  <c r="J14" i="32"/>
  <c r="J15" i="32"/>
  <c r="J16" i="32"/>
  <c r="F34" i="31" l="1"/>
  <c r="F34" i="32"/>
  <c r="AA38" i="2" l="1"/>
  <c r="AY38" i="2"/>
  <c r="BH38" i="2"/>
  <c r="DG38" i="2"/>
  <c r="AA39" i="2"/>
  <c r="AY39" i="2"/>
  <c r="BH39" i="2"/>
  <c r="DG39" i="2"/>
  <c r="AA40" i="2"/>
  <c r="AY40" i="2"/>
  <c r="BH40" i="2"/>
  <c r="DG40" i="2"/>
  <c r="DS40" i="2" l="1"/>
  <c r="DS38" i="2"/>
  <c r="DS39" i="2"/>
  <c r="AJ38" i="2" l="1"/>
  <c r="AN38" i="2"/>
  <c r="AF38" i="2"/>
  <c r="AR38" i="2"/>
  <c r="AJ39" i="2"/>
  <c r="AN39" i="2"/>
  <c r="AF39" i="2"/>
  <c r="AR39" i="2"/>
  <c r="AJ40" i="2"/>
  <c r="AN40" i="2"/>
  <c r="AR40" i="2"/>
  <c r="AF40" i="2"/>
  <c r="CB38" i="2"/>
  <c r="H38" i="2"/>
  <c r="AB38" i="2"/>
  <c r="CN38" i="2"/>
  <c r="DH38" i="2"/>
  <c r="T38" i="2"/>
  <c r="BX38" i="2"/>
  <c r="CZ38" i="2"/>
  <c r="AZ38" i="2"/>
  <c r="L38" i="2"/>
  <c r="BL38" i="2"/>
  <c r="CR38" i="2"/>
  <c r="DL38" i="2"/>
  <c r="BD38" i="2"/>
  <c r="CJ38" i="2"/>
  <c r="X38" i="2"/>
  <c r="BT38" i="2"/>
  <c r="DD38" i="2"/>
  <c r="P38" i="2"/>
  <c r="AV38" i="2"/>
  <c r="BP38" i="2"/>
  <c r="CV38" i="2"/>
  <c r="DP38" i="2"/>
  <c r="CF38" i="2"/>
  <c r="CB39" i="2"/>
  <c r="CN39" i="2"/>
  <c r="DH39" i="2"/>
  <c r="H39" i="2"/>
  <c r="AB39" i="2"/>
  <c r="CF39" i="2"/>
  <c r="T39" i="2"/>
  <c r="BX39" i="2"/>
  <c r="CZ39" i="2"/>
  <c r="L39" i="2"/>
  <c r="BL39" i="2"/>
  <c r="CR39" i="2"/>
  <c r="DL39" i="2"/>
  <c r="BD39" i="2"/>
  <c r="X39" i="2"/>
  <c r="BT39" i="2"/>
  <c r="DD39" i="2"/>
  <c r="CJ39" i="2"/>
  <c r="P39" i="2"/>
  <c r="AV39" i="2"/>
  <c r="BP39" i="2"/>
  <c r="CV39" i="2"/>
  <c r="DP39" i="2"/>
  <c r="AZ39" i="2"/>
  <c r="H40" i="2"/>
  <c r="AB40" i="2"/>
  <c r="CN40" i="2"/>
  <c r="DH40" i="2"/>
  <c r="CJ40" i="2"/>
  <c r="T40" i="2"/>
  <c r="BX40" i="2"/>
  <c r="CZ40" i="2"/>
  <c r="AZ40" i="2"/>
  <c r="L40" i="2"/>
  <c r="BL40" i="2"/>
  <c r="CR40" i="2"/>
  <c r="DL40" i="2"/>
  <c r="X40" i="2"/>
  <c r="DD40" i="2"/>
  <c r="BD40" i="2"/>
  <c r="BT40" i="2"/>
  <c r="P40" i="2"/>
  <c r="AV40" i="2"/>
  <c r="BP40" i="2"/>
  <c r="CV40" i="2"/>
  <c r="DP40" i="2"/>
  <c r="CB40" i="2"/>
  <c r="CF40" i="2"/>
  <c r="H4" i="47" l="1"/>
  <c r="O6" i="54" s="1"/>
  <c r="K6" i="54" s="1"/>
  <c r="X6" i="54" s="1"/>
  <c r="O6" i="46" l="1"/>
  <c r="C6" i="46" s="1"/>
  <c r="N9" i="39" s="1"/>
  <c r="K6" i="46"/>
  <c r="L9" i="39" l="1"/>
  <c r="X6" i="46"/>
  <c r="U6" i="46"/>
  <c r="AA6" i="46" s="1"/>
  <c r="T6" i="46"/>
  <c r="AC6" i="46" s="1"/>
  <c r="P6" i="46"/>
  <c r="V6" i="46"/>
  <c r="C6" i="54"/>
  <c r="T6" i="54"/>
  <c r="U6" i="54"/>
  <c r="AA6" i="54" s="1"/>
  <c r="P6" i="54"/>
  <c r="V6" i="54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O42" i="2"/>
  <c r="K42" i="2"/>
  <c r="K48" i="2" s="1"/>
  <c r="G42" i="2"/>
  <c r="S42" i="2"/>
  <c r="W42" i="2"/>
  <c r="U10" i="2"/>
  <c r="U11" i="2" s="1"/>
  <c r="DC42" i="2"/>
  <c r="CY42" i="2"/>
  <c r="CU42" i="2"/>
  <c r="CQ42" i="2"/>
  <c r="CM42" i="2"/>
  <c r="CI42" i="2"/>
  <c r="CE42" i="2"/>
  <c r="CA42" i="2"/>
  <c r="BS42" i="2"/>
  <c r="BW42" i="2"/>
  <c r="BO42" i="2"/>
  <c r="BK42" i="2"/>
  <c r="BG42" i="2"/>
  <c r="BC42" i="2"/>
  <c r="AU42" i="2"/>
  <c r="DG37" i="2"/>
  <c r="BH37" i="2"/>
  <c r="AY37" i="2"/>
  <c r="DG36" i="2"/>
  <c r="BH36" i="2"/>
  <c r="AY36" i="2"/>
  <c r="AA36" i="2"/>
  <c r="DG35" i="2"/>
  <c r="BH35" i="2"/>
  <c r="AY35" i="2"/>
  <c r="AA35" i="2"/>
  <c r="DG34" i="2"/>
  <c r="BH34" i="2"/>
  <c r="AY34" i="2"/>
  <c r="AA34" i="2"/>
  <c r="DG33" i="2"/>
  <c r="BH33" i="2"/>
  <c r="AY33" i="2"/>
  <c r="AA33" i="2"/>
  <c r="DG32" i="2"/>
  <c r="BH32" i="2"/>
  <c r="AY32" i="2"/>
  <c r="AA32" i="2"/>
  <c r="DO42" i="2"/>
  <c r="DG31" i="2"/>
  <c r="BH31" i="2"/>
  <c r="AY31" i="2"/>
  <c r="AA31" i="2"/>
  <c r="BH30" i="2"/>
  <c r="AY30" i="2"/>
  <c r="BH29" i="2"/>
  <c r="AY29" i="2"/>
  <c r="AA29" i="2"/>
  <c r="BH28" i="2"/>
  <c r="AY28" i="2"/>
  <c r="AA28" i="2"/>
  <c r="BH27" i="2"/>
  <c r="AY27" i="2"/>
  <c r="BH26" i="2"/>
  <c r="AY26" i="2"/>
  <c r="BH25" i="2"/>
  <c r="AY25" i="2"/>
  <c r="AA25" i="2"/>
  <c r="BH24" i="2"/>
  <c r="AY24" i="2"/>
  <c r="AA24" i="2"/>
  <c r="BH23" i="2"/>
  <c r="AY23" i="2"/>
  <c r="AA23" i="2"/>
  <c r="BH22" i="2"/>
  <c r="AY22" i="2"/>
  <c r="AA22" i="2"/>
  <c r="BH21" i="2"/>
  <c r="AY21" i="2"/>
  <c r="BH20" i="2"/>
  <c r="AY20" i="2"/>
  <c r="AA20" i="2"/>
  <c r="BH19" i="2"/>
  <c r="AY19" i="2"/>
  <c r="AA19" i="2"/>
  <c r="BH18" i="2"/>
  <c r="AY18" i="2"/>
  <c r="AA18" i="2"/>
  <c r="BH17" i="2"/>
  <c r="AY17" i="2"/>
  <c r="BH16" i="2"/>
  <c r="AY16" i="2"/>
  <c r="AA16" i="2"/>
  <c r="BH15" i="2"/>
  <c r="AY15" i="2"/>
  <c r="AA15" i="2"/>
  <c r="BH14" i="2"/>
  <c r="AY14" i="2"/>
  <c r="AA14" i="2"/>
  <c r="BH13" i="2"/>
  <c r="AY13" i="2"/>
  <c r="AA13" i="2"/>
  <c r="BH12" i="2"/>
  <c r="AY12" i="2"/>
  <c r="AA12" i="2"/>
  <c r="BH11" i="2"/>
  <c r="AY11" i="2"/>
  <c r="AA11" i="2"/>
  <c r="DQ10" i="2"/>
  <c r="DK42" i="2"/>
  <c r="DE10" i="2"/>
  <c r="DE11" i="2" s="1"/>
  <c r="DA10" i="2"/>
  <c r="DA11" i="2" s="1"/>
  <c r="DA12" i="2" s="1"/>
  <c r="CW10" i="2"/>
  <c r="CW11" i="2" s="1"/>
  <c r="CS10" i="2"/>
  <c r="CS11" i="2" s="1"/>
  <c r="CO10" i="2"/>
  <c r="CO11" i="2" s="1"/>
  <c r="CO12" i="2" s="1"/>
  <c r="CK10" i="2"/>
  <c r="CK11" i="2" s="1"/>
  <c r="CG10" i="2"/>
  <c r="CG11" i="2" s="1"/>
  <c r="CC10" i="2"/>
  <c r="CC11" i="2" s="1"/>
  <c r="BU10" i="2"/>
  <c r="BU11" i="2" s="1"/>
  <c r="BY10" i="2"/>
  <c r="BY11" i="2" s="1"/>
  <c r="BQ10" i="2"/>
  <c r="BQ11" i="2" s="1"/>
  <c r="BM10" i="2"/>
  <c r="BM11" i="2" s="1"/>
  <c r="BM12" i="2" s="1"/>
  <c r="BI10" i="2"/>
  <c r="BJ10" i="2" s="1"/>
  <c r="BH10" i="2"/>
  <c r="BE10" i="2"/>
  <c r="BE11" i="2" s="1"/>
  <c r="BE12" i="2" s="1"/>
  <c r="AY10" i="2"/>
  <c r="BA10" i="2" s="1"/>
  <c r="AW10" i="2"/>
  <c r="AW11" i="2" s="1"/>
  <c r="Y10" i="2"/>
  <c r="Y11" i="2" s="1"/>
  <c r="Q10" i="2"/>
  <c r="Q11" i="2" s="1"/>
  <c r="M10" i="2"/>
  <c r="M11" i="2" s="1"/>
  <c r="M12" i="2" s="1"/>
  <c r="DG42" i="2" l="1"/>
  <c r="AB6" i="46"/>
  <c r="DS25" i="2"/>
  <c r="AJ25" i="2" s="1"/>
  <c r="DS33" i="2"/>
  <c r="AN33" i="2" s="1"/>
  <c r="DS35" i="2"/>
  <c r="AF35" i="2" s="1"/>
  <c r="DS29" i="2"/>
  <c r="H29" i="2" s="1"/>
  <c r="DS20" i="2"/>
  <c r="AJ20" i="2" s="1"/>
  <c r="DS18" i="2"/>
  <c r="AJ18" i="2" s="1"/>
  <c r="AR25" i="2"/>
  <c r="AF25" i="2"/>
  <c r="AJ33" i="2"/>
  <c r="AN35" i="2"/>
  <c r="AR35" i="2"/>
  <c r="DS14" i="2"/>
  <c r="DP14" i="2" s="1"/>
  <c r="DS16" i="2"/>
  <c r="AZ16" i="2" s="1"/>
  <c r="DS12" i="2"/>
  <c r="DS32" i="2"/>
  <c r="DS34" i="2"/>
  <c r="CR34" i="2" s="1"/>
  <c r="DS36" i="2"/>
  <c r="AB36" i="2" s="1"/>
  <c r="DS24" i="2"/>
  <c r="X24" i="2" s="1"/>
  <c r="DS15" i="2"/>
  <c r="DH15" i="2" s="1"/>
  <c r="DS13" i="2"/>
  <c r="BX13" i="2" s="1"/>
  <c r="DS23" i="2"/>
  <c r="DS11" i="2"/>
  <c r="CJ11" i="2" s="1"/>
  <c r="DS19" i="2"/>
  <c r="DS22" i="2"/>
  <c r="DS28" i="2"/>
  <c r="DS31" i="2"/>
  <c r="AB31" i="2" s="1"/>
  <c r="BA11" i="2"/>
  <c r="BA12" i="2" s="1"/>
  <c r="AC6" i="54"/>
  <c r="AB6" i="54" s="1"/>
  <c r="BH9" i="39"/>
  <c r="BI11" i="2"/>
  <c r="BI12" i="2" s="1"/>
  <c r="BJ12" i="2" s="1"/>
  <c r="AW12" i="2"/>
  <c r="BQ12" i="2"/>
  <c r="DA13" i="2"/>
  <c r="BY12" i="2"/>
  <c r="BM13" i="2"/>
  <c r="BU12" i="2"/>
  <c r="DE12" i="2"/>
  <c r="Q12" i="2"/>
  <c r="CG12" i="2"/>
  <c r="CO13" i="2"/>
  <c r="U12" i="2"/>
  <c r="CC12" i="2"/>
  <c r="Y12" i="2"/>
  <c r="BE13" i="2"/>
  <c r="CS12" i="2"/>
  <c r="M13" i="2"/>
  <c r="DM10" i="2"/>
  <c r="DQ11" i="2"/>
  <c r="CK12" i="2"/>
  <c r="CW12" i="2"/>
  <c r="AZ12" i="2"/>
  <c r="G48" i="2"/>
  <c r="G44" i="2"/>
  <c r="AA10" i="2"/>
  <c r="DS10" i="2" s="1"/>
  <c r="I10" i="2"/>
  <c r="AY42" i="2"/>
  <c r="DI10" i="2"/>
  <c r="DI11" i="2" s="1"/>
  <c r="CB20" i="2"/>
  <c r="AA17" i="2"/>
  <c r="DS17" i="2" s="1"/>
  <c r="AA21" i="2"/>
  <c r="DS21" i="2" s="1"/>
  <c r="AV20" i="2"/>
  <c r="AA26" i="2"/>
  <c r="DS26" i="2" s="1"/>
  <c r="H25" i="2"/>
  <c r="AA30" i="2"/>
  <c r="DS30" i="2" s="1"/>
  <c r="AA27" i="2"/>
  <c r="DS27" i="2" s="1"/>
  <c r="AZ33" i="2"/>
  <c r="AA37" i="2"/>
  <c r="DS37" i="2" s="1"/>
  <c r="AF29" i="2" l="1"/>
  <c r="AR29" i="2"/>
  <c r="AN25" i="2"/>
  <c r="AJ35" i="2"/>
  <c r="AF33" i="2"/>
  <c r="AR33" i="2"/>
  <c r="AN29" i="2"/>
  <c r="CN20" i="2"/>
  <c r="DL20" i="2"/>
  <c r="BX20" i="2"/>
  <c r="AR20" i="2"/>
  <c r="L20" i="2"/>
  <c r="CV20" i="2"/>
  <c r="AZ20" i="2"/>
  <c r="DD34" i="2"/>
  <c r="BD34" i="2"/>
  <c r="CB34" i="2"/>
  <c r="H34" i="2"/>
  <c r="L34" i="2"/>
  <c r="AJ29" i="2"/>
  <c r="CJ34" i="2"/>
  <c r="DH34" i="2"/>
  <c r="P34" i="2"/>
  <c r="T34" i="2"/>
  <c r="DL34" i="2"/>
  <c r="AR18" i="2"/>
  <c r="BX34" i="2"/>
  <c r="AF18" i="2"/>
  <c r="BP34" i="2"/>
  <c r="CZ34" i="2"/>
  <c r="AF20" i="2"/>
  <c r="AN18" i="2"/>
  <c r="AB34" i="2"/>
  <c r="CV34" i="2"/>
  <c r="AZ34" i="2"/>
  <c r="BL34" i="2"/>
  <c r="AN20" i="2"/>
  <c r="CN34" i="2"/>
  <c r="AV34" i="2"/>
  <c r="BT34" i="2"/>
  <c r="DP34" i="2"/>
  <c r="CF34" i="2"/>
  <c r="AJ26" i="2"/>
  <c r="AN26" i="2"/>
  <c r="AF26" i="2"/>
  <c r="AR26" i="2"/>
  <c r="DH28" i="2"/>
  <c r="AJ28" i="2"/>
  <c r="AN28" i="2"/>
  <c r="AF28" i="2"/>
  <c r="AR28" i="2"/>
  <c r="AN24" i="2"/>
  <c r="AJ24" i="2"/>
  <c r="AR24" i="2"/>
  <c r="AF24" i="2"/>
  <c r="AJ37" i="2"/>
  <c r="AN37" i="2"/>
  <c r="AF37" i="2"/>
  <c r="AR37" i="2"/>
  <c r="AN10" i="2"/>
  <c r="AJ10" i="2"/>
  <c r="AR10" i="2"/>
  <c r="AF10" i="2"/>
  <c r="CZ22" i="2"/>
  <c r="AJ22" i="2"/>
  <c r="AN22" i="2"/>
  <c r="AF22" i="2"/>
  <c r="AR22" i="2"/>
  <c r="AJ16" i="2"/>
  <c r="AN16" i="2"/>
  <c r="AF16" i="2"/>
  <c r="AR16" i="2"/>
  <c r="AN32" i="2"/>
  <c r="AJ32" i="2"/>
  <c r="AR32" i="2"/>
  <c r="AF32" i="2"/>
  <c r="AJ27" i="2"/>
  <c r="AN27" i="2"/>
  <c r="AF27" i="2"/>
  <c r="AR27" i="2"/>
  <c r="CF32" i="2"/>
  <c r="AB19" i="2"/>
  <c r="AJ19" i="2"/>
  <c r="AN19" i="2"/>
  <c r="AF19" i="2"/>
  <c r="AR19" i="2"/>
  <c r="AJ14" i="2"/>
  <c r="AN14" i="2"/>
  <c r="AR14" i="2"/>
  <c r="AF14" i="2"/>
  <c r="AJ15" i="2"/>
  <c r="AN15" i="2"/>
  <c r="AF15" i="2"/>
  <c r="AR15" i="2"/>
  <c r="AJ21" i="2"/>
  <c r="AN21" i="2"/>
  <c r="AF21" i="2"/>
  <c r="AR21" i="2"/>
  <c r="AJ30" i="2"/>
  <c r="AN30" i="2"/>
  <c r="AF30" i="2"/>
  <c r="AR30" i="2"/>
  <c r="AJ11" i="2"/>
  <c r="AN11" i="2"/>
  <c r="AF11" i="2"/>
  <c r="AR11" i="2"/>
  <c r="AJ12" i="2"/>
  <c r="AN12" i="2"/>
  <c r="AR12" i="2"/>
  <c r="AF12" i="2"/>
  <c r="AJ17" i="2"/>
  <c r="AN17" i="2"/>
  <c r="AF17" i="2"/>
  <c r="AR17" i="2"/>
  <c r="AJ23" i="2"/>
  <c r="AN23" i="2"/>
  <c r="AF23" i="2"/>
  <c r="AR23" i="2"/>
  <c r="AJ36" i="2"/>
  <c r="AN36" i="2"/>
  <c r="AF36" i="2"/>
  <c r="AR36" i="2"/>
  <c r="AJ31" i="2"/>
  <c r="AN31" i="2"/>
  <c r="AR31" i="2"/>
  <c r="AF31" i="2"/>
  <c r="AJ13" i="2"/>
  <c r="AN13" i="2"/>
  <c r="AR13" i="2"/>
  <c r="AF13" i="2"/>
  <c r="AJ34" i="2"/>
  <c r="AN34" i="2"/>
  <c r="AF34" i="2"/>
  <c r="AR34" i="2"/>
  <c r="BI13" i="2"/>
  <c r="BJ13" i="2" s="1"/>
  <c r="CJ32" i="2"/>
  <c r="X32" i="2"/>
  <c r="DH32" i="2"/>
  <c r="CN32" i="2"/>
  <c r="CZ13" i="2"/>
  <c r="X18" i="2"/>
  <c r="BT24" i="2"/>
  <c r="CZ24" i="2"/>
  <c r="BD20" i="2"/>
  <c r="CB24" i="2"/>
  <c r="AZ24" i="2"/>
  <c r="BL24" i="2"/>
  <c r="DD24" i="2"/>
  <c r="L14" i="2"/>
  <c r="BD14" i="2"/>
  <c r="BP20" i="2"/>
  <c r="BT14" i="2"/>
  <c r="BL20" i="2"/>
  <c r="DD20" i="2"/>
  <c r="X14" i="2"/>
  <c r="P24" i="2"/>
  <c r="CN22" i="2"/>
  <c r="BP14" i="2"/>
  <c r="DL11" i="2"/>
  <c r="CF24" i="2"/>
  <c r="CJ24" i="2"/>
  <c r="CJ18" i="2"/>
  <c r="T14" i="2"/>
  <c r="CJ14" i="2"/>
  <c r="L24" i="2"/>
  <c r="L22" i="2"/>
  <c r="H15" i="2"/>
  <c r="DH14" i="2"/>
  <c r="P14" i="2"/>
  <c r="T24" i="2"/>
  <c r="DP24" i="2"/>
  <c r="BP24" i="2"/>
  <c r="BP22" i="2"/>
  <c r="AZ14" i="2"/>
  <c r="AB15" i="2"/>
  <c r="CF14" i="2"/>
  <c r="AV14" i="2"/>
  <c r="AV24" i="2"/>
  <c r="CR24" i="2"/>
  <c r="BX24" i="2"/>
  <c r="H24" i="2"/>
  <c r="CN14" i="2"/>
  <c r="CB14" i="2"/>
  <c r="DH24" i="2"/>
  <c r="DL24" i="2"/>
  <c r="BD24" i="2"/>
  <c r="CV24" i="2"/>
  <c r="H14" i="2"/>
  <c r="BL14" i="2"/>
  <c r="CN24" i="2"/>
  <c r="AB24" i="2"/>
  <c r="BX14" i="2"/>
  <c r="AB14" i="2"/>
  <c r="CZ14" i="2"/>
  <c r="CR14" i="2"/>
  <c r="CV14" i="2"/>
  <c r="BP32" i="2"/>
  <c r="BD32" i="2"/>
  <c r="BL32" i="2"/>
  <c r="CR32" i="2"/>
  <c r="CV11" i="2"/>
  <c r="DD14" i="2"/>
  <c r="DL14" i="2"/>
  <c r="H32" i="2"/>
  <c r="CZ32" i="2"/>
  <c r="DL32" i="2"/>
  <c r="CB11" i="2"/>
  <c r="BX32" i="2"/>
  <c r="BT32" i="2"/>
  <c r="P32" i="2"/>
  <c r="AV32" i="2"/>
  <c r="T32" i="2"/>
  <c r="CB32" i="2"/>
  <c r="DD32" i="2"/>
  <c r="H11" i="2"/>
  <c r="DP32" i="2"/>
  <c r="CV32" i="2"/>
  <c r="L32" i="2"/>
  <c r="DD11" i="2"/>
  <c r="AZ32" i="2"/>
  <c r="AB32" i="2"/>
  <c r="X34" i="2"/>
  <c r="BL13" i="2"/>
  <c r="CF11" i="2"/>
  <c r="T20" i="2"/>
  <c r="CN11" i="2"/>
  <c r="P13" i="2"/>
  <c r="DP13" i="2"/>
  <c r="CR11" i="2"/>
  <c r="CV13" i="2"/>
  <c r="BD11" i="2"/>
  <c r="T11" i="2"/>
  <c r="DP11" i="2"/>
  <c r="BL11" i="2"/>
  <c r="BT11" i="2"/>
  <c r="L11" i="2"/>
  <c r="X11" i="2"/>
  <c r="AV11" i="2"/>
  <c r="CZ11" i="2"/>
  <c r="DH11" i="2"/>
  <c r="BX11" i="2"/>
  <c r="AB11" i="2"/>
  <c r="T18" i="2"/>
  <c r="T13" i="2"/>
  <c r="CR18" i="2"/>
  <c r="BT13" i="2"/>
  <c r="DH18" i="2"/>
  <c r="DH20" i="2"/>
  <c r="BT20" i="2"/>
  <c r="CZ20" i="2"/>
  <c r="CZ18" i="2"/>
  <c r="DD18" i="2"/>
  <c r="AV18" i="2"/>
  <c r="DD13" i="2"/>
  <c r="CF13" i="2"/>
  <c r="H13" i="2"/>
  <c r="CB18" i="2"/>
  <c r="AZ18" i="2"/>
  <c r="BX18" i="2"/>
  <c r="L13" i="2"/>
  <c r="CF18" i="2"/>
  <c r="X13" i="2"/>
  <c r="P18" i="2"/>
  <c r="AV13" i="2"/>
  <c r="P20" i="2"/>
  <c r="CJ20" i="2"/>
  <c r="DP20" i="2"/>
  <c r="BD18" i="2"/>
  <c r="AB18" i="2"/>
  <c r="BP18" i="2"/>
  <c r="BD13" i="2"/>
  <c r="BP13" i="2"/>
  <c r="DL13" i="2"/>
  <c r="CN18" i="2"/>
  <c r="H18" i="2"/>
  <c r="AZ28" i="2"/>
  <c r="DH13" i="2"/>
  <c r="DL18" i="2"/>
  <c r="BL18" i="2"/>
  <c r="CV18" i="2"/>
  <c r="CJ13" i="2"/>
  <c r="AZ13" i="2"/>
  <c r="CR13" i="2"/>
  <c r="BJ11" i="2"/>
  <c r="AB20" i="2"/>
  <c r="X20" i="2"/>
  <c r="CR20" i="2"/>
  <c r="L18" i="2"/>
  <c r="BT18" i="2"/>
  <c r="DP18" i="2"/>
  <c r="CN13" i="2"/>
  <c r="AB13" i="2"/>
  <c r="CB13" i="2"/>
  <c r="DD22" i="2"/>
  <c r="BT22" i="2"/>
  <c r="CV22" i="2"/>
  <c r="AZ22" i="2"/>
  <c r="T22" i="2"/>
  <c r="BL22" i="2"/>
  <c r="DP22" i="2"/>
  <c r="BD22" i="2"/>
  <c r="DH22" i="2"/>
  <c r="CR22" i="2"/>
  <c r="CB22" i="2"/>
  <c r="H20" i="2"/>
  <c r="CF20" i="2"/>
  <c r="AZ36" i="2"/>
  <c r="CF22" i="2"/>
  <c r="DL22" i="2"/>
  <c r="AZ11" i="2"/>
  <c r="BP11" i="2"/>
  <c r="X22" i="2"/>
  <c r="AB22" i="2"/>
  <c r="H22" i="2"/>
  <c r="P11" i="2"/>
  <c r="BX22" i="2"/>
  <c r="P22" i="2"/>
  <c r="AZ19" i="2"/>
  <c r="CJ22" i="2"/>
  <c r="AV22" i="2"/>
  <c r="DH33" i="2"/>
  <c r="AB33" i="2"/>
  <c r="AZ31" i="2"/>
  <c r="DH29" i="2"/>
  <c r="DH31" i="2"/>
  <c r="AZ29" i="2"/>
  <c r="AB28" i="2"/>
  <c r="AB29" i="2"/>
  <c r="DI12" i="2"/>
  <c r="CZ35" i="2"/>
  <c r="BX35" i="2"/>
  <c r="T35" i="2"/>
  <c r="DH35" i="2"/>
  <c r="CN35" i="2"/>
  <c r="H35" i="2"/>
  <c r="CB35" i="2"/>
  <c r="DP35" i="2"/>
  <c r="CV35" i="2"/>
  <c r="BP35" i="2"/>
  <c r="AV35" i="2"/>
  <c r="P35" i="2"/>
  <c r="CJ35" i="2"/>
  <c r="BD35" i="2"/>
  <c r="DD35" i="2"/>
  <c r="BT35" i="2"/>
  <c r="X35" i="2"/>
  <c r="DL35" i="2"/>
  <c r="CR35" i="2"/>
  <c r="BL35" i="2"/>
  <c r="L35" i="2"/>
  <c r="CF35" i="2"/>
  <c r="AZ35" i="2"/>
  <c r="CJ23" i="2"/>
  <c r="BD23" i="2"/>
  <c r="DD23" i="2"/>
  <c r="BT23" i="2"/>
  <c r="X23" i="2"/>
  <c r="CZ23" i="2"/>
  <c r="BX23" i="2"/>
  <c r="T23" i="2"/>
  <c r="CV23" i="2"/>
  <c r="BL23" i="2"/>
  <c r="DH23" i="2"/>
  <c r="CR23" i="2"/>
  <c r="CB23" i="2"/>
  <c r="AV23" i="2"/>
  <c r="CN23" i="2"/>
  <c r="P23" i="2"/>
  <c r="L23" i="2"/>
  <c r="DP23" i="2"/>
  <c r="AZ23" i="2"/>
  <c r="DL23" i="2"/>
  <c r="H23" i="2"/>
  <c r="CF23" i="2"/>
  <c r="BP23" i="2"/>
  <c r="DP19" i="2"/>
  <c r="DD19" i="2"/>
  <c r="BT19" i="2"/>
  <c r="X19" i="2"/>
  <c r="DL19" i="2"/>
  <c r="CZ19" i="2"/>
  <c r="CN19" i="2"/>
  <c r="CB19" i="2"/>
  <c r="BP19" i="2"/>
  <c r="BD19" i="2"/>
  <c r="T19" i="2"/>
  <c r="BL19" i="2"/>
  <c r="CV19" i="2"/>
  <c r="CJ19" i="2"/>
  <c r="P19" i="2"/>
  <c r="CR19" i="2"/>
  <c r="CF19" i="2"/>
  <c r="BX19" i="2"/>
  <c r="AV19" i="2"/>
  <c r="L19" i="2"/>
  <c r="CK13" i="2"/>
  <c r="U13" i="2"/>
  <c r="AB30" i="2"/>
  <c r="AA42" i="2"/>
  <c r="DS42" i="2" s="1"/>
  <c r="AB10" i="2"/>
  <c r="AC10" i="2"/>
  <c r="M14" i="2"/>
  <c r="CC13" i="2"/>
  <c r="DL25" i="2"/>
  <c r="BX25" i="2"/>
  <c r="T25" i="2"/>
  <c r="CZ25" i="2"/>
  <c r="CN25" i="2"/>
  <c r="CV25" i="2"/>
  <c r="CJ25" i="2"/>
  <c r="BD25" i="2"/>
  <c r="DP25" i="2"/>
  <c r="BP25" i="2"/>
  <c r="L25" i="2"/>
  <c r="CF25" i="2"/>
  <c r="AZ25" i="2"/>
  <c r="CB25" i="2"/>
  <c r="BL25" i="2"/>
  <c r="X25" i="2"/>
  <c r="DH25" i="2"/>
  <c r="CR25" i="2"/>
  <c r="BT25" i="2"/>
  <c r="AV25" i="2"/>
  <c r="DD25" i="2"/>
  <c r="P25" i="2"/>
  <c r="I11" i="2"/>
  <c r="DQ12" i="2"/>
  <c r="DM11" i="2"/>
  <c r="CO14" i="2"/>
  <c r="DL33" i="2"/>
  <c r="CR33" i="2"/>
  <c r="BL33" i="2"/>
  <c r="CF33" i="2"/>
  <c r="CZ33" i="2"/>
  <c r="BX33" i="2"/>
  <c r="T33" i="2"/>
  <c r="CN33" i="2"/>
  <c r="H33" i="2"/>
  <c r="CB33" i="2"/>
  <c r="DP33" i="2"/>
  <c r="CV33" i="2"/>
  <c r="BP33" i="2"/>
  <c r="AV33" i="2"/>
  <c r="CJ33" i="2"/>
  <c r="L33" i="2"/>
  <c r="BD33" i="2"/>
  <c r="X33" i="2"/>
  <c r="BT33" i="2"/>
  <c r="DD33" i="2"/>
  <c r="P33" i="2"/>
  <c r="AB25" i="2"/>
  <c r="CV31" i="2"/>
  <c r="BP31" i="2"/>
  <c r="AV31" i="2"/>
  <c r="P31" i="2"/>
  <c r="CJ31" i="2"/>
  <c r="BD31" i="2"/>
  <c r="BX31" i="2"/>
  <c r="T31" i="2"/>
  <c r="CF31" i="2"/>
  <c r="DP31" i="2"/>
  <c r="DD31" i="2"/>
  <c r="CB31" i="2"/>
  <c r="BL31" i="2"/>
  <c r="CN31" i="2"/>
  <c r="BT31" i="2"/>
  <c r="X31" i="2"/>
  <c r="DL31" i="2"/>
  <c r="CZ31" i="2"/>
  <c r="H31" i="2"/>
  <c r="CR31" i="2"/>
  <c r="L31" i="2"/>
  <c r="DH19" i="2"/>
  <c r="DP29" i="2"/>
  <c r="CV29" i="2"/>
  <c r="BP29" i="2"/>
  <c r="AV29" i="2"/>
  <c r="P29" i="2"/>
  <c r="DD29" i="2"/>
  <c r="BT29" i="2"/>
  <c r="X29" i="2"/>
  <c r="CF29" i="2"/>
  <c r="CN29" i="2"/>
  <c r="BX29" i="2"/>
  <c r="T29" i="2"/>
  <c r="CZ29" i="2"/>
  <c r="L29" i="2"/>
  <c r="CB29" i="2"/>
  <c r="BL29" i="2"/>
  <c r="CR29" i="2"/>
  <c r="CJ29" i="2"/>
  <c r="BD29" i="2"/>
  <c r="DL29" i="2"/>
  <c r="CN28" i="2"/>
  <c r="H28" i="2"/>
  <c r="DP28" i="2"/>
  <c r="CV28" i="2"/>
  <c r="BP28" i="2"/>
  <c r="AV28" i="2"/>
  <c r="P28" i="2"/>
  <c r="DD28" i="2"/>
  <c r="BT28" i="2"/>
  <c r="X28" i="2"/>
  <c r="CF28" i="2"/>
  <c r="CJ28" i="2"/>
  <c r="BL28" i="2"/>
  <c r="CZ28" i="2"/>
  <c r="BX28" i="2"/>
  <c r="CR28" i="2"/>
  <c r="BD28" i="2"/>
  <c r="T28" i="2"/>
  <c r="DL28" i="2"/>
  <c r="L28" i="2"/>
  <c r="CB28" i="2"/>
  <c r="BA13" i="2"/>
  <c r="BM14" i="2"/>
  <c r="AB21" i="2"/>
  <c r="H19" i="2"/>
  <c r="DD16" i="2"/>
  <c r="BT16" i="2"/>
  <c r="DL16" i="2"/>
  <c r="CR16" i="2"/>
  <c r="BL16" i="2"/>
  <c r="L16" i="2"/>
  <c r="CF16" i="2"/>
  <c r="CZ16" i="2"/>
  <c r="BX16" i="2"/>
  <c r="T16" i="2"/>
  <c r="CB16" i="2"/>
  <c r="DP16" i="2"/>
  <c r="CV16" i="2"/>
  <c r="BP16" i="2"/>
  <c r="AV16" i="2"/>
  <c r="P16" i="2"/>
  <c r="BD16" i="2"/>
  <c r="CN16" i="2"/>
  <c r="CJ16" i="2"/>
  <c r="H16" i="2"/>
  <c r="X16" i="2"/>
  <c r="DH16" i="2"/>
  <c r="AB16" i="2"/>
  <c r="BE14" i="2"/>
  <c r="CG13" i="2"/>
  <c r="BY13" i="2"/>
  <c r="BQ13" i="2"/>
  <c r="AB17" i="2"/>
  <c r="CJ12" i="2"/>
  <c r="BD12" i="2"/>
  <c r="AV12" i="2"/>
  <c r="X12" i="2"/>
  <c r="L12" i="2"/>
  <c r="BP12" i="2"/>
  <c r="DL12" i="2"/>
  <c r="CZ12" i="2"/>
  <c r="CN12" i="2"/>
  <c r="CB12" i="2"/>
  <c r="T12" i="2"/>
  <c r="H12" i="2"/>
  <c r="DD12" i="2"/>
  <c r="BX12" i="2"/>
  <c r="BT12" i="2"/>
  <c r="BL12" i="2"/>
  <c r="CR12" i="2"/>
  <c r="CV12" i="2"/>
  <c r="AB12" i="2"/>
  <c r="DP12" i="2"/>
  <c r="CF12" i="2"/>
  <c r="P12" i="2"/>
  <c r="DE13" i="2"/>
  <c r="AB35" i="2"/>
  <c r="AB23" i="2"/>
  <c r="DH12" i="2"/>
  <c r="Q13" i="2"/>
  <c r="AW13" i="2"/>
  <c r="AB37" i="2"/>
  <c r="CB36" i="2"/>
  <c r="DP36" i="2"/>
  <c r="CV36" i="2"/>
  <c r="BP36" i="2"/>
  <c r="AV36" i="2"/>
  <c r="P36" i="2"/>
  <c r="CJ36" i="2"/>
  <c r="BD36" i="2"/>
  <c r="DD36" i="2"/>
  <c r="BT36" i="2"/>
  <c r="X36" i="2"/>
  <c r="DL36" i="2"/>
  <c r="CR36" i="2"/>
  <c r="BL36" i="2"/>
  <c r="L36" i="2"/>
  <c r="CF36" i="2"/>
  <c r="CZ36" i="2"/>
  <c r="BX36" i="2"/>
  <c r="T36" i="2"/>
  <c r="DH36" i="2"/>
  <c r="CN36" i="2"/>
  <c r="H36" i="2"/>
  <c r="CJ15" i="2"/>
  <c r="BD15" i="2"/>
  <c r="DD15" i="2"/>
  <c r="BT15" i="2"/>
  <c r="X15" i="2"/>
  <c r="DL15" i="2"/>
  <c r="CR15" i="2"/>
  <c r="BL15" i="2"/>
  <c r="L15" i="2"/>
  <c r="CZ15" i="2"/>
  <c r="BX15" i="2"/>
  <c r="T15" i="2"/>
  <c r="CN15" i="2"/>
  <c r="BP15" i="2"/>
  <c r="AV15" i="2"/>
  <c r="DP15" i="2"/>
  <c r="CF15" i="2"/>
  <c r="CB15" i="2"/>
  <c r="AZ15" i="2"/>
  <c r="P15" i="2"/>
  <c r="CV15" i="2"/>
  <c r="CW13" i="2"/>
  <c r="CS13" i="2"/>
  <c r="Y13" i="2"/>
  <c r="BU13" i="2"/>
  <c r="DA14" i="2"/>
  <c r="BI14" i="2" l="1"/>
  <c r="AN42" i="2"/>
  <c r="AR42" i="2"/>
  <c r="AJ42" i="2"/>
  <c r="AF42" i="2"/>
  <c r="CZ27" i="2"/>
  <c r="BX27" i="2"/>
  <c r="T27" i="2"/>
  <c r="CB27" i="2"/>
  <c r="CJ27" i="2"/>
  <c r="BD27" i="2"/>
  <c r="DL27" i="2"/>
  <c r="CR27" i="2"/>
  <c r="BL27" i="2"/>
  <c r="L27" i="2"/>
  <c r="DD27" i="2"/>
  <c r="AV27" i="2"/>
  <c r="P27" i="2"/>
  <c r="CF27" i="2"/>
  <c r="BT27" i="2"/>
  <c r="CV27" i="2"/>
  <c r="BP27" i="2"/>
  <c r="X27" i="2"/>
  <c r="DP27" i="2"/>
  <c r="CN27" i="2"/>
  <c r="AZ27" i="2"/>
  <c r="DH27" i="2"/>
  <c r="H27" i="2"/>
  <c r="Y14" i="2"/>
  <c r="DE14" i="2"/>
  <c r="DL26" i="2"/>
  <c r="CR26" i="2"/>
  <c r="BL26" i="2"/>
  <c r="L26" i="2"/>
  <c r="CZ26" i="2"/>
  <c r="BX26" i="2"/>
  <c r="CB26" i="2"/>
  <c r="CJ26" i="2"/>
  <c r="BD26" i="2"/>
  <c r="AZ26" i="2"/>
  <c r="P26" i="2"/>
  <c r="DD26" i="2"/>
  <c r="BP26" i="2"/>
  <c r="CV26" i="2"/>
  <c r="AV26" i="2"/>
  <c r="DP26" i="2"/>
  <c r="CN26" i="2"/>
  <c r="CF26" i="2"/>
  <c r="DH26" i="2"/>
  <c r="BT26" i="2"/>
  <c r="X26" i="2"/>
  <c r="T26" i="2"/>
  <c r="H26" i="2"/>
  <c r="DQ13" i="2"/>
  <c r="CS14" i="2"/>
  <c r="DD37" i="2"/>
  <c r="BT37" i="2"/>
  <c r="X37" i="2"/>
  <c r="DL37" i="2"/>
  <c r="CR37" i="2"/>
  <c r="BL37" i="2"/>
  <c r="CF37" i="2"/>
  <c r="L37" i="2"/>
  <c r="CZ37" i="2"/>
  <c r="BX37" i="2"/>
  <c r="CN37" i="2"/>
  <c r="CB37" i="2"/>
  <c r="DP37" i="2"/>
  <c r="CV37" i="2"/>
  <c r="BP37" i="2"/>
  <c r="AV37" i="2"/>
  <c r="BD37" i="2"/>
  <c r="CJ37" i="2"/>
  <c r="P37" i="2"/>
  <c r="AZ37" i="2"/>
  <c r="DH37" i="2"/>
  <c r="T37" i="2"/>
  <c r="H37" i="2"/>
  <c r="CG14" i="2"/>
  <c r="CZ21" i="2"/>
  <c r="BX21" i="2"/>
  <c r="T21" i="2"/>
  <c r="CJ21" i="2"/>
  <c r="BD21" i="2"/>
  <c r="CF21" i="2"/>
  <c r="DP21" i="2"/>
  <c r="CN21" i="2"/>
  <c r="BL21" i="2"/>
  <c r="BT21" i="2"/>
  <c r="L21" i="2"/>
  <c r="AV21" i="2"/>
  <c r="P21" i="2"/>
  <c r="CV21" i="2"/>
  <c r="CR21" i="2"/>
  <c r="BP21" i="2"/>
  <c r="DL21" i="2"/>
  <c r="DH21" i="2"/>
  <c r="X21" i="2"/>
  <c r="DD21" i="2"/>
  <c r="CB21" i="2"/>
  <c r="AZ21" i="2"/>
  <c r="H21" i="2"/>
  <c r="BI15" i="2"/>
  <c r="BJ14" i="2"/>
  <c r="CC14" i="2"/>
  <c r="AB27" i="2"/>
  <c r="BM15" i="2"/>
  <c r="M15" i="2"/>
  <c r="DP30" i="2"/>
  <c r="CJ30" i="2"/>
  <c r="BD30" i="2"/>
  <c r="DD30" i="2"/>
  <c r="BT30" i="2"/>
  <c r="X30" i="2"/>
  <c r="DL30" i="2"/>
  <c r="CF30" i="2"/>
  <c r="CN30" i="2"/>
  <c r="DH30" i="2"/>
  <c r="CB30" i="2"/>
  <c r="CV30" i="2"/>
  <c r="BP30" i="2"/>
  <c r="AV30" i="2"/>
  <c r="P30" i="2"/>
  <c r="CR30" i="2"/>
  <c r="T30" i="2"/>
  <c r="BX30" i="2"/>
  <c r="L30" i="2"/>
  <c r="BL30" i="2"/>
  <c r="CZ30" i="2"/>
  <c r="H30" i="2"/>
  <c r="AZ30" i="2"/>
  <c r="DA15" i="2"/>
  <c r="CW14" i="2"/>
  <c r="AW14" i="2"/>
  <c r="CF17" i="2"/>
  <c r="AZ17" i="2"/>
  <c r="CZ17" i="2"/>
  <c r="BX17" i="2"/>
  <c r="T17" i="2"/>
  <c r="CN17" i="2"/>
  <c r="CB17" i="2"/>
  <c r="CJ17" i="2"/>
  <c r="BD17" i="2"/>
  <c r="DD17" i="2"/>
  <c r="BT17" i="2"/>
  <c r="X17" i="2"/>
  <c r="DP17" i="2"/>
  <c r="DL17" i="2"/>
  <c r="AV17" i="2"/>
  <c r="BP17" i="2"/>
  <c r="BL17" i="2"/>
  <c r="CV17" i="2"/>
  <c r="P17" i="2"/>
  <c r="CR17" i="2"/>
  <c r="L17" i="2"/>
  <c r="H17" i="2"/>
  <c r="DH17" i="2"/>
  <c r="BE15" i="2"/>
  <c r="CO15" i="2"/>
  <c r="I12" i="2"/>
  <c r="BA14" i="2"/>
  <c r="U14" i="2"/>
  <c r="DI13" i="2"/>
  <c r="BU14" i="2"/>
  <c r="Q14" i="2"/>
  <c r="BQ14" i="2"/>
  <c r="AC11" i="2"/>
  <c r="BY14" i="2"/>
  <c r="AB26" i="2"/>
  <c r="DM12" i="2"/>
  <c r="CF10" i="2"/>
  <c r="AZ10" i="2"/>
  <c r="CN10" i="2"/>
  <c r="CZ10" i="2"/>
  <c r="BX10" i="2"/>
  <c r="T10" i="2"/>
  <c r="DP10" i="2"/>
  <c r="CB10" i="2"/>
  <c r="DH10" i="2"/>
  <c r="CV10" i="2"/>
  <c r="BP10" i="2"/>
  <c r="AV10" i="2"/>
  <c r="P10" i="2"/>
  <c r="CJ10" i="2"/>
  <c r="DT10" i="2"/>
  <c r="CR10" i="2"/>
  <c r="BL10" i="2"/>
  <c r="BD10" i="2"/>
  <c r="H10" i="2"/>
  <c r="DD10" i="2"/>
  <c r="BT10" i="2"/>
  <c r="X10" i="2"/>
  <c r="L10" i="2"/>
  <c r="DL10" i="2"/>
  <c r="CK14" i="2"/>
  <c r="AP10" i="2" l="1"/>
  <c r="AH10" i="2"/>
  <c r="AT10" i="2"/>
  <c r="AL10" i="2"/>
  <c r="AB42" i="2"/>
  <c r="L42" i="2"/>
  <c r="P42" i="2"/>
  <c r="X42" i="2"/>
  <c r="T42" i="2"/>
  <c r="H42" i="2"/>
  <c r="CP10" i="2"/>
  <c r="BR10" i="2"/>
  <c r="R10" i="2"/>
  <c r="AX10" i="2"/>
  <c r="BN10" i="2"/>
  <c r="CX10" i="2"/>
  <c r="CT10" i="2"/>
  <c r="N10" i="2"/>
  <c r="DB10" i="2"/>
  <c r="BZ10" i="2"/>
  <c r="V10" i="2"/>
  <c r="CH10" i="2"/>
  <c r="Z10" i="2"/>
  <c r="CL10" i="2"/>
  <c r="BV10" i="2"/>
  <c r="DR10" i="2"/>
  <c r="DF10" i="2"/>
  <c r="DT11" i="2"/>
  <c r="BF10" i="2"/>
  <c r="BB10" i="2"/>
  <c r="CD10" i="2"/>
  <c r="DJ10" i="2"/>
  <c r="J10" i="2"/>
  <c r="DN10" i="2"/>
  <c r="BE16" i="2"/>
  <c r="CG15" i="2"/>
  <c r="Q15" i="2"/>
  <c r="CS15" i="2"/>
  <c r="DE15" i="2"/>
  <c r="CK15" i="2"/>
  <c r="BI16" i="2"/>
  <c r="BJ15" i="2"/>
  <c r="BY15" i="2"/>
  <c r="BU15" i="2"/>
  <c r="I13" i="2"/>
  <c r="AW15" i="2"/>
  <c r="M16" i="2"/>
  <c r="AC12" i="2"/>
  <c r="DI14" i="2"/>
  <c r="DQ14" i="2"/>
  <c r="AD10" i="2"/>
  <c r="CO16" i="2"/>
  <c r="CW15" i="2"/>
  <c r="BM16" i="2"/>
  <c r="DA16" i="2"/>
  <c r="CV42" i="2"/>
  <c r="CF42" i="2"/>
  <c r="BP42" i="2"/>
  <c r="G45" i="2"/>
  <c r="G46" i="2" s="1"/>
  <c r="DT42" i="2"/>
  <c r="CJ42" i="2"/>
  <c r="BD42" i="2"/>
  <c r="CZ42" i="2"/>
  <c r="BX42" i="2"/>
  <c r="CR42" i="2"/>
  <c r="BT42" i="2"/>
  <c r="BH42" i="2"/>
  <c r="DD42" i="2"/>
  <c r="BL42" i="2"/>
  <c r="CB42" i="2"/>
  <c r="DL42" i="2"/>
  <c r="CN42" i="2"/>
  <c r="DP42" i="2"/>
  <c r="AV42" i="2"/>
  <c r="DH42" i="2"/>
  <c r="AZ42" i="2"/>
  <c r="Y15" i="2"/>
  <c r="BQ15" i="2"/>
  <c r="U15" i="2"/>
  <c r="DM13" i="2"/>
  <c r="BA15" i="2"/>
  <c r="CC15" i="2"/>
  <c r="AD11" i="2" l="1"/>
  <c r="AP11" i="2"/>
  <c r="AH11" i="2"/>
  <c r="AL11" i="2"/>
  <c r="AT11" i="2"/>
  <c r="BQ16" i="2"/>
  <c r="CW16" i="2"/>
  <c r="CC16" i="2"/>
  <c r="I14" i="2"/>
  <c r="CK16" i="2"/>
  <c r="BI17" i="2"/>
  <c r="BJ16" i="2"/>
  <c r="AC13" i="2"/>
  <c r="CG16" i="2"/>
  <c r="DI15" i="2"/>
  <c r="BA16" i="2"/>
  <c r="Y16" i="2"/>
  <c r="CO17" i="2"/>
  <c r="BE17" i="2"/>
  <c r="DM14" i="2"/>
  <c r="DA17" i="2"/>
  <c r="M17" i="2"/>
  <c r="BY16" i="2"/>
  <c r="AX11" i="2"/>
  <c r="R11" i="2"/>
  <c r="V11" i="2"/>
  <c r="BV11" i="2"/>
  <c r="Z11" i="2"/>
  <c r="BR11" i="2"/>
  <c r="BZ11" i="2"/>
  <c r="CH11" i="2"/>
  <c r="BF11" i="2"/>
  <c r="DF11" i="2"/>
  <c r="BB11" i="2"/>
  <c r="BN11" i="2"/>
  <c r="N11" i="2"/>
  <c r="CT11" i="2"/>
  <c r="CX11" i="2"/>
  <c r="CL11" i="2"/>
  <c r="CP11" i="2"/>
  <c r="DB11" i="2"/>
  <c r="CD11" i="2"/>
  <c r="DJ11" i="2"/>
  <c r="DT12" i="2"/>
  <c r="DR11" i="2"/>
  <c r="DN11" i="2"/>
  <c r="J11" i="2"/>
  <c r="BU16" i="2"/>
  <c r="U16" i="2"/>
  <c r="DQ15" i="2"/>
  <c r="CS16" i="2"/>
  <c r="DE16" i="2"/>
  <c r="BM17" i="2"/>
  <c r="AW16" i="2"/>
  <c r="Q16" i="2"/>
  <c r="AD12" i="2" l="1"/>
  <c r="AP12" i="2"/>
  <c r="AH12" i="2"/>
  <c r="AL12" i="2"/>
  <c r="AT12" i="2"/>
  <c r="BQ17" i="2"/>
  <c r="U17" i="2"/>
  <c r="Q17" i="2"/>
  <c r="BU17" i="2"/>
  <c r="DA18" i="2"/>
  <c r="CO18" i="2"/>
  <c r="CG17" i="2"/>
  <c r="I15" i="2"/>
  <c r="M18" i="2"/>
  <c r="CK17" i="2"/>
  <c r="DM15" i="2"/>
  <c r="Y17" i="2"/>
  <c r="AC14" i="2"/>
  <c r="CC17" i="2"/>
  <c r="AW17" i="2"/>
  <c r="BE18" i="2"/>
  <c r="BA17" i="2"/>
  <c r="BM18" i="2"/>
  <c r="DQ16" i="2"/>
  <c r="DB12" i="2"/>
  <c r="BF12" i="2"/>
  <c r="CP12" i="2"/>
  <c r="BN12" i="2"/>
  <c r="DT13" i="2"/>
  <c r="N12" i="2"/>
  <c r="DF12" i="2"/>
  <c r="Z12" i="2"/>
  <c r="BR12" i="2"/>
  <c r="V12" i="2"/>
  <c r="BB12" i="2"/>
  <c r="R12" i="2"/>
  <c r="BV12" i="2"/>
  <c r="AX12" i="2"/>
  <c r="CX12" i="2"/>
  <c r="CH12" i="2"/>
  <c r="CD12" i="2"/>
  <c r="CT12" i="2"/>
  <c r="CL12" i="2"/>
  <c r="BZ12" i="2"/>
  <c r="DJ12" i="2"/>
  <c r="DR12" i="2"/>
  <c r="DN12" i="2"/>
  <c r="J12" i="2"/>
  <c r="BY17" i="2"/>
  <c r="BJ17" i="2"/>
  <c r="BI18" i="2"/>
  <c r="CW17" i="2"/>
  <c r="CS17" i="2"/>
  <c r="DE17" i="2"/>
  <c r="DI16" i="2"/>
  <c r="AP13" i="2" l="1"/>
  <c r="AH13" i="2"/>
  <c r="AL13" i="2"/>
  <c r="AT13" i="2"/>
  <c r="I16" i="2"/>
  <c r="DQ17" i="2"/>
  <c r="AW18" i="2"/>
  <c r="DM16" i="2"/>
  <c r="BU18" i="2"/>
  <c r="CS18" i="2"/>
  <c r="DA19" i="2"/>
  <c r="CW18" i="2"/>
  <c r="BJ18" i="2"/>
  <c r="BI19" i="2"/>
  <c r="DT14" i="2"/>
  <c r="CP13" i="2"/>
  <c r="N13" i="2"/>
  <c r="BN13" i="2"/>
  <c r="BF13" i="2"/>
  <c r="DB13" i="2"/>
  <c r="R13" i="2"/>
  <c r="CD13" i="2"/>
  <c r="BR13" i="2"/>
  <c r="V13" i="2"/>
  <c r="Z13" i="2"/>
  <c r="CH13" i="2"/>
  <c r="CX13" i="2"/>
  <c r="CT13" i="2"/>
  <c r="BV13" i="2"/>
  <c r="AX13" i="2"/>
  <c r="BZ13" i="2"/>
  <c r="DF13" i="2"/>
  <c r="BB13" i="2"/>
  <c r="CL13" i="2"/>
  <c r="DJ13" i="2"/>
  <c r="DR13" i="2"/>
  <c r="DN13" i="2"/>
  <c r="J13" i="2"/>
  <c r="CG18" i="2"/>
  <c r="BQ18" i="2"/>
  <c r="DI17" i="2"/>
  <c r="BM19" i="2"/>
  <c r="CC18" i="2"/>
  <c r="Q18" i="2"/>
  <c r="Y18" i="2"/>
  <c r="CO19" i="2"/>
  <c r="DE18" i="2"/>
  <c r="AD13" i="2"/>
  <c r="U18" i="2"/>
  <c r="BE19" i="2"/>
  <c r="BA18" i="2"/>
  <c r="AC15" i="2"/>
  <c r="CK18" i="2"/>
  <c r="BY18" i="2"/>
  <c r="M19" i="2"/>
  <c r="AD14" i="2" l="1"/>
  <c r="AP14" i="2"/>
  <c r="AH14" i="2"/>
  <c r="AL14" i="2"/>
  <c r="AT14" i="2"/>
  <c r="CO20" i="2"/>
  <c r="CW19" i="2"/>
  <c r="DM17" i="2"/>
  <c r="DA20" i="2"/>
  <c r="AW19" i="2"/>
  <c r="BE20" i="2"/>
  <c r="BY19" i="2"/>
  <c r="Y19" i="2"/>
  <c r="CK19" i="2"/>
  <c r="U19" i="2"/>
  <c r="DI18" i="2"/>
  <c r="DT15" i="2"/>
  <c r="DB14" i="2"/>
  <c r="BF14" i="2"/>
  <c r="BN14" i="2"/>
  <c r="CP14" i="2"/>
  <c r="N14" i="2"/>
  <c r="V14" i="2"/>
  <c r="BZ14" i="2"/>
  <c r="CT14" i="2"/>
  <c r="DF14" i="2"/>
  <c r="BV14" i="2"/>
  <c r="R14" i="2"/>
  <c r="CD14" i="2"/>
  <c r="CL14" i="2"/>
  <c r="Z14" i="2"/>
  <c r="BB14" i="2"/>
  <c r="CH14" i="2"/>
  <c r="CX14" i="2"/>
  <c r="BR14" i="2"/>
  <c r="AX14" i="2"/>
  <c r="DR14" i="2"/>
  <c r="DJ14" i="2"/>
  <c r="DN14" i="2"/>
  <c r="J14" i="2"/>
  <c r="AC16" i="2"/>
  <c r="CS19" i="2"/>
  <c r="DQ18" i="2"/>
  <c r="BA19" i="2"/>
  <c r="CG19" i="2"/>
  <c r="Q19" i="2"/>
  <c r="CC19" i="2"/>
  <c r="BQ19" i="2"/>
  <c r="BI20" i="2"/>
  <c r="BJ19" i="2"/>
  <c r="M20" i="2"/>
  <c r="BM20" i="2"/>
  <c r="DE19" i="2"/>
  <c r="BU19" i="2"/>
  <c r="I17" i="2"/>
  <c r="AD15" i="2" l="1"/>
  <c r="AP15" i="2"/>
  <c r="AH15" i="2"/>
  <c r="AL15" i="2"/>
  <c r="AT15" i="2"/>
  <c r="CS20" i="2"/>
  <c r="U20" i="2"/>
  <c r="CG20" i="2"/>
  <c r="CK20" i="2"/>
  <c r="M21" i="2"/>
  <c r="AC17" i="2"/>
  <c r="BI21" i="2"/>
  <c r="BJ20" i="2"/>
  <c r="BE21" i="2"/>
  <c r="DM18" i="2"/>
  <c r="I18" i="2"/>
  <c r="BY20" i="2"/>
  <c r="BU20" i="2"/>
  <c r="DE20" i="2"/>
  <c r="BQ20" i="2"/>
  <c r="BA20" i="2"/>
  <c r="DT16" i="2"/>
  <c r="N15" i="2"/>
  <c r="BN15" i="2"/>
  <c r="DB15" i="2"/>
  <c r="BF15" i="2"/>
  <c r="CP15" i="2"/>
  <c r="BR15" i="2"/>
  <c r="CL15" i="2"/>
  <c r="V15" i="2"/>
  <c r="BZ15" i="2"/>
  <c r="BB15" i="2"/>
  <c r="CD15" i="2"/>
  <c r="CX15" i="2"/>
  <c r="Z15" i="2"/>
  <c r="CT15" i="2"/>
  <c r="AX15" i="2"/>
  <c r="CH15" i="2"/>
  <c r="BV15" i="2"/>
  <c r="R15" i="2"/>
  <c r="DF15" i="2"/>
  <c r="DR15" i="2"/>
  <c r="DJ15" i="2"/>
  <c r="J15" i="2"/>
  <c r="DN15" i="2"/>
  <c r="AW20" i="2"/>
  <c r="CW20" i="2"/>
  <c r="Q20" i="2"/>
  <c r="BM21" i="2"/>
  <c r="CC20" i="2"/>
  <c r="DQ19" i="2"/>
  <c r="Y20" i="2"/>
  <c r="DA21" i="2"/>
  <c r="DI19" i="2"/>
  <c r="CO21" i="2"/>
  <c r="AD16" i="2" l="1"/>
  <c r="AL16" i="2"/>
  <c r="AP16" i="2"/>
  <c r="AH16" i="2"/>
  <c r="AT16" i="2"/>
  <c r="DQ20" i="2"/>
  <c r="BA21" i="2"/>
  <c r="BY21" i="2"/>
  <c r="BJ21" i="2"/>
  <c r="BI22" i="2"/>
  <c r="CG21" i="2"/>
  <c r="I19" i="2"/>
  <c r="AC18" i="2"/>
  <c r="CO22" i="2"/>
  <c r="DI20" i="2"/>
  <c r="CC21" i="2"/>
  <c r="CW21" i="2"/>
  <c r="BQ21" i="2"/>
  <c r="DE21" i="2"/>
  <c r="AW21" i="2"/>
  <c r="DA22" i="2"/>
  <c r="M22" i="2"/>
  <c r="DT17" i="2"/>
  <c r="N16" i="2"/>
  <c r="BN16" i="2"/>
  <c r="BF16" i="2"/>
  <c r="CP16" i="2"/>
  <c r="DB16" i="2"/>
  <c r="BR16" i="2"/>
  <c r="Z16" i="2"/>
  <c r="CT16" i="2"/>
  <c r="BB16" i="2"/>
  <c r="V16" i="2"/>
  <c r="BZ16" i="2"/>
  <c r="CL16" i="2"/>
  <c r="DF16" i="2"/>
  <c r="CH16" i="2"/>
  <c r="BV16" i="2"/>
  <c r="AX16" i="2"/>
  <c r="R16" i="2"/>
  <c r="CD16" i="2"/>
  <c r="CX16" i="2"/>
  <c r="DJ16" i="2"/>
  <c r="DR16" i="2"/>
  <c r="J16" i="2"/>
  <c r="DN16" i="2"/>
  <c r="BU21" i="2"/>
  <c r="BE22" i="2"/>
  <c r="CK21" i="2"/>
  <c r="BM22" i="2"/>
  <c r="DM19" i="2"/>
  <c r="U21" i="2"/>
  <c r="Y21" i="2"/>
  <c r="Q21" i="2"/>
  <c r="CS21" i="2"/>
  <c r="AD17" i="2" l="1"/>
  <c r="AL17" i="2"/>
  <c r="AP17" i="2"/>
  <c r="AH17" i="2"/>
  <c r="AT17" i="2"/>
  <c r="U22" i="2"/>
  <c r="AC19" i="2"/>
  <c r="Q22" i="2"/>
  <c r="BM23" i="2"/>
  <c r="DT18" i="2"/>
  <c r="DB17" i="2"/>
  <c r="BF17" i="2"/>
  <c r="CP17" i="2"/>
  <c r="BN17" i="2"/>
  <c r="N17" i="2"/>
  <c r="BR17" i="2"/>
  <c r="CD17" i="2"/>
  <c r="BB17" i="2"/>
  <c r="BV17" i="2"/>
  <c r="DF17" i="2"/>
  <c r="CH17" i="2"/>
  <c r="CT17" i="2"/>
  <c r="R17" i="2"/>
  <c r="Z17" i="2"/>
  <c r="AX17" i="2"/>
  <c r="V17" i="2"/>
  <c r="CL17" i="2"/>
  <c r="CX17" i="2"/>
  <c r="BZ17" i="2"/>
  <c r="DR17" i="2"/>
  <c r="DJ17" i="2"/>
  <c r="DN17" i="2"/>
  <c r="J17" i="2"/>
  <c r="BA22" i="2"/>
  <c r="CS22" i="2"/>
  <c r="AW22" i="2"/>
  <c r="DE22" i="2"/>
  <c r="DI21" i="2"/>
  <c r="I20" i="2"/>
  <c r="CC22" i="2"/>
  <c r="DM20" i="2"/>
  <c r="Y22" i="2"/>
  <c r="BQ22" i="2"/>
  <c r="CO23" i="2"/>
  <c r="CG22" i="2"/>
  <c r="BY22" i="2"/>
  <c r="BU22" i="2"/>
  <c r="CK22" i="2"/>
  <c r="M23" i="2"/>
  <c r="CW22" i="2"/>
  <c r="BI23" i="2"/>
  <c r="BJ22" i="2"/>
  <c r="BE23" i="2"/>
  <c r="DA23" i="2"/>
  <c r="DQ21" i="2"/>
  <c r="AD18" i="2" l="1"/>
  <c r="AP18" i="2"/>
  <c r="AL18" i="2"/>
  <c r="AH18" i="2"/>
  <c r="AT18" i="2"/>
  <c r="BE24" i="2"/>
  <c r="BU23" i="2"/>
  <c r="BQ23" i="2"/>
  <c r="AW23" i="2"/>
  <c r="BM24" i="2"/>
  <c r="DQ22" i="2"/>
  <c r="DA24" i="2"/>
  <c r="BY23" i="2"/>
  <c r="Y23" i="2"/>
  <c r="CS23" i="2"/>
  <c r="I21" i="2"/>
  <c r="Q23" i="2"/>
  <c r="BA23" i="2"/>
  <c r="AC20" i="2"/>
  <c r="CW23" i="2"/>
  <c r="M24" i="2"/>
  <c r="DM21" i="2"/>
  <c r="CC23" i="2"/>
  <c r="DT19" i="2"/>
  <c r="N18" i="2"/>
  <c r="BN18" i="2"/>
  <c r="CP18" i="2"/>
  <c r="DB18" i="2"/>
  <c r="BF18" i="2"/>
  <c r="Z18" i="2"/>
  <c r="CD18" i="2"/>
  <c r="BB18" i="2"/>
  <c r="DF18" i="2"/>
  <c r="CX18" i="2"/>
  <c r="AX18" i="2"/>
  <c r="BR18" i="2"/>
  <c r="CT18" i="2"/>
  <c r="CL18" i="2"/>
  <c r="CH18" i="2"/>
  <c r="BV18" i="2"/>
  <c r="BZ18" i="2"/>
  <c r="R18" i="2"/>
  <c r="V18" i="2"/>
  <c r="DJ18" i="2"/>
  <c r="DR18" i="2"/>
  <c r="DN18" i="2"/>
  <c r="J18" i="2"/>
  <c r="DI22" i="2"/>
  <c r="CG23" i="2"/>
  <c r="BI24" i="2"/>
  <c r="BJ23" i="2"/>
  <c r="CK23" i="2"/>
  <c r="CO24" i="2"/>
  <c r="DE23" i="2"/>
  <c r="U23" i="2"/>
  <c r="AD19" i="2" l="1"/>
  <c r="AP19" i="2"/>
  <c r="AL19" i="2"/>
  <c r="AH19" i="2"/>
  <c r="AT19" i="2"/>
  <c r="AC21" i="2"/>
  <c r="CC24" i="2"/>
  <c r="CS24" i="2"/>
  <c r="BQ24" i="2"/>
  <c r="U24" i="2"/>
  <c r="BA24" i="2"/>
  <c r="BI25" i="2"/>
  <c r="BJ24" i="2"/>
  <c r="DE24" i="2"/>
  <c r="CG24" i="2"/>
  <c r="DM22" i="2"/>
  <c r="Y24" i="2"/>
  <c r="DQ23" i="2"/>
  <c r="BY24" i="2"/>
  <c r="BM25" i="2"/>
  <c r="CO25" i="2"/>
  <c r="DI23" i="2"/>
  <c r="Q24" i="2"/>
  <c r="BU24" i="2"/>
  <c r="CK24" i="2"/>
  <c r="DT20" i="2"/>
  <c r="DB19" i="2"/>
  <c r="BN19" i="2"/>
  <c r="CP19" i="2"/>
  <c r="BF19" i="2"/>
  <c r="N19" i="2"/>
  <c r="CL19" i="2"/>
  <c r="BV19" i="2"/>
  <c r="R19" i="2"/>
  <c r="AX19" i="2"/>
  <c r="CT19" i="2"/>
  <c r="Z19" i="2"/>
  <c r="DF19" i="2"/>
  <c r="V19" i="2"/>
  <c r="BR19" i="2"/>
  <c r="CX19" i="2"/>
  <c r="CD19" i="2"/>
  <c r="BB19" i="2"/>
  <c r="CH19" i="2"/>
  <c r="BZ19" i="2"/>
  <c r="DR19" i="2"/>
  <c r="DJ19" i="2"/>
  <c r="DN19" i="2"/>
  <c r="J19" i="2"/>
  <c r="CW24" i="2"/>
  <c r="I22" i="2"/>
  <c r="M25" i="2"/>
  <c r="DA25" i="2"/>
  <c r="AW24" i="2"/>
  <c r="BE25" i="2"/>
  <c r="AL20" i="2" l="1"/>
  <c r="AP20" i="2"/>
  <c r="AH20" i="2"/>
  <c r="AT20" i="2"/>
  <c r="BE26" i="2"/>
  <c r="CS25" i="2"/>
  <c r="BU25" i="2"/>
  <c r="BM26" i="2"/>
  <c r="Y25" i="2"/>
  <c r="BI26" i="2"/>
  <c r="BJ25" i="2"/>
  <c r="DM23" i="2"/>
  <c r="BA25" i="2"/>
  <c r="CC25" i="2"/>
  <c r="I23" i="2"/>
  <c r="AW25" i="2"/>
  <c r="CW25" i="2"/>
  <c r="Q25" i="2"/>
  <c r="BY25" i="2"/>
  <c r="DT21" i="2"/>
  <c r="BF20" i="2"/>
  <c r="DB20" i="2"/>
  <c r="BN20" i="2"/>
  <c r="N20" i="2"/>
  <c r="CP20" i="2"/>
  <c r="CX20" i="2"/>
  <c r="V20" i="2"/>
  <c r="CH20" i="2"/>
  <c r="CL20" i="2"/>
  <c r="BR20" i="2"/>
  <c r="CT20" i="2"/>
  <c r="Z20" i="2"/>
  <c r="AX20" i="2"/>
  <c r="BB20" i="2"/>
  <c r="R20" i="2"/>
  <c r="BZ20" i="2"/>
  <c r="CD20" i="2"/>
  <c r="BV20" i="2"/>
  <c r="DF20" i="2"/>
  <c r="DJ20" i="2"/>
  <c r="DR20" i="2"/>
  <c r="J20" i="2"/>
  <c r="DN20" i="2"/>
  <c r="U25" i="2"/>
  <c r="AC22" i="2"/>
  <c r="DI24" i="2"/>
  <c r="DA26" i="2"/>
  <c r="CG25" i="2"/>
  <c r="M26" i="2"/>
  <c r="CK25" i="2"/>
  <c r="CO26" i="2"/>
  <c r="DQ24" i="2"/>
  <c r="DE25" i="2"/>
  <c r="BQ25" i="2"/>
  <c r="AD20" i="2"/>
  <c r="AD21" i="2" l="1"/>
  <c r="AL21" i="2"/>
  <c r="AP21" i="2"/>
  <c r="AT21" i="2"/>
  <c r="AH21" i="2"/>
  <c r="BQ26" i="2"/>
  <c r="CK26" i="2"/>
  <c r="DI25" i="2"/>
  <c r="BM27" i="2"/>
  <c r="CW26" i="2"/>
  <c r="AC23" i="2"/>
  <c r="DT22" i="2"/>
  <c r="DB21" i="2"/>
  <c r="BF21" i="2"/>
  <c r="N21" i="2"/>
  <c r="CP21" i="2"/>
  <c r="BN21" i="2"/>
  <c r="CD21" i="2"/>
  <c r="V21" i="2"/>
  <c r="DF21" i="2"/>
  <c r="CL21" i="2"/>
  <c r="BB21" i="2"/>
  <c r="CH21" i="2"/>
  <c r="CT21" i="2"/>
  <c r="Z21" i="2"/>
  <c r="BZ21" i="2"/>
  <c r="R21" i="2"/>
  <c r="CX21" i="2"/>
  <c r="BV21" i="2"/>
  <c r="AX21" i="2"/>
  <c r="BR21" i="2"/>
  <c r="DJ21" i="2"/>
  <c r="DR21" i="2"/>
  <c r="DN21" i="2"/>
  <c r="J21" i="2"/>
  <c r="BA26" i="2"/>
  <c r="DE26" i="2"/>
  <c r="M27" i="2"/>
  <c r="AW26" i="2"/>
  <c r="DM24" i="2"/>
  <c r="BU26" i="2"/>
  <c r="U26" i="2"/>
  <c r="BY26" i="2"/>
  <c r="I24" i="2"/>
  <c r="DQ25" i="2"/>
  <c r="BI27" i="2"/>
  <c r="BJ26" i="2"/>
  <c r="CS26" i="2"/>
  <c r="DA27" i="2"/>
  <c r="Q26" i="2"/>
  <c r="CG26" i="2"/>
  <c r="CO27" i="2"/>
  <c r="CC26" i="2"/>
  <c r="Y26" i="2"/>
  <c r="BE27" i="2"/>
  <c r="AL22" i="2" l="1"/>
  <c r="AP22" i="2"/>
  <c r="AH22" i="2"/>
  <c r="AT22" i="2"/>
  <c r="CS27" i="2"/>
  <c r="AW27" i="2"/>
  <c r="DT23" i="2"/>
  <c r="BF22" i="2"/>
  <c r="N22" i="2"/>
  <c r="CP22" i="2"/>
  <c r="DB22" i="2"/>
  <c r="BN22" i="2"/>
  <c r="CX22" i="2"/>
  <c r="CL22" i="2"/>
  <c r="AX22" i="2"/>
  <c r="CH22" i="2"/>
  <c r="BZ22" i="2"/>
  <c r="BV22" i="2"/>
  <c r="R22" i="2"/>
  <c r="BB22" i="2"/>
  <c r="Z22" i="2"/>
  <c r="DF22" i="2"/>
  <c r="V22" i="2"/>
  <c r="BR22" i="2"/>
  <c r="CT22" i="2"/>
  <c r="CD22" i="2"/>
  <c r="DJ22" i="2"/>
  <c r="DR22" i="2"/>
  <c r="J22" i="2"/>
  <c r="DN22" i="2"/>
  <c r="BY27" i="2"/>
  <c r="M28" i="2"/>
  <c r="AC24" i="2"/>
  <c r="DI26" i="2"/>
  <c r="Q27" i="2"/>
  <c r="Y27" i="2"/>
  <c r="BJ27" i="2"/>
  <c r="BI28" i="2"/>
  <c r="U27" i="2"/>
  <c r="AD22" i="2"/>
  <c r="CC27" i="2"/>
  <c r="BU27" i="2"/>
  <c r="CG27" i="2"/>
  <c r="DE27" i="2"/>
  <c r="CK27" i="2"/>
  <c r="DA28" i="2"/>
  <c r="DM25" i="2"/>
  <c r="BA27" i="2"/>
  <c r="BM28" i="2"/>
  <c r="BE28" i="2"/>
  <c r="DQ26" i="2"/>
  <c r="CW27" i="2"/>
  <c r="CO28" i="2"/>
  <c r="I25" i="2"/>
  <c r="BQ27" i="2"/>
  <c r="AD23" i="2" l="1"/>
  <c r="AL23" i="2"/>
  <c r="AP23" i="2"/>
  <c r="AT23" i="2"/>
  <c r="AH23" i="2"/>
  <c r="DQ27" i="2"/>
  <c r="DM26" i="2"/>
  <c r="U28" i="2"/>
  <c r="DI27" i="2"/>
  <c r="I26" i="2"/>
  <c r="BE29" i="2"/>
  <c r="CG28" i="2"/>
  <c r="BJ28" i="2"/>
  <c r="BI29" i="2"/>
  <c r="DT24" i="2"/>
  <c r="BF23" i="2"/>
  <c r="DB23" i="2"/>
  <c r="CP23" i="2"/>
  <c r="BN23" i="2"/>
  <c r="N23" i="2"/>
  <c r="V23" i="2"/>
  <c r="BR23" i="2"/>
  <c r="DF23" i="2"/>
  <c r="CL23" i="2"/>
  <c r="CH23" i="2"/>
  <c r="CD23" i="2"/>
  <c r="BB23" i="2"/>
  <c r="AX23" i="2"/>
  <c r="BZ23" i="2"/>
  <c r="R23" i="2"/>
  <c r="CX23" i="2"/>
  <c r="CT23" i="2"/>
  <c r="Z23" i="2"/>
  <c r="BV23" i="2"/>
  <c r="DR23" i="2"/>
  <c r="DJ23" i="2"/>
  <c r="DN23" i="2"/>
  <c r="J23" i="2"/>
  <c r="CK28" i="2"/>
  <c r="AC25" i="2"/>
  <c r="BM29" i="2"/>
  <c r="BU28" i="2"/>
  <c r="BQ28" i="2"/>
  <c r="CO29" i="2"/>
  <c r="Y28" i="2"/>
  <c r="M29" i="2"/>
  <c r="CW28" i="2"/>
  <c r="DE28" i="2"/>
  <c r="BY28" i="2"/>
  <c r="CS28" i="2"/>
  <c r="DA29" i="2"/>
  <c r="BA28" i="2"/>
  <c r="CC28" i="2"/>
  <c r="AW28" i="2"/>
  <c r="Q28" i="2"/>
  <c r="AD24" i="2" l="1"/>
  <c r="AL24" i="2"/>
  <c r="AP24" i="2"/>
  <c r="AT24" i="2"/>
  <c r="AH24" i="2"/>
  <c r="CO30" i="2"/>
  <c r="Q29" i="2"/>
  <c r="AC26" i="2"/>
  <c r="CG29" i="2"/>
  <c r="CW29" i="2"/>
  <c r="U29" i="2"/>
  <c r="BA29" i="2"/>
  <c r="DM27" i="2"/>
  <c r="DE29" i="2"/>
  <c r="AW29" i="2"/>
  <c r="CS29" i="2"/>
  <c r="M30" i="2"/>
  <c r="BQ29" i="2"/>
  <c r="CK29" i="2"/>
  <c r="BE30" i="2"/>
  <c r="BJ29" i="2"/>
  <c r="BI30" i="2"/>
  <c r="Y29" i="2"/>
  <c r="DT25" i="2"/>
  <c r="DB24" i="2"/>
  <c r="CP24" i="2"/>
  <c r="N24" i="2"/>
  <c r="BF24" i="2"/>
  <c r="BN24" i="2"/>
  <c r="R24" i="2"/>
  <c r="Z24" i="2"/>
  <c r="CD24" i="2"/>
  <c r="BZ24" i="2"/>
  <c r="V24" i="2"/>
  <c r="CT24" i="2"/>
  <c r="CH24" i="2"/>
  <c r="CL24" i="2"/>
  <c r="DF24" i="2"/>
  <c r="BV24" i="2"/>
  <c r="AX24" i="2"/>
  <c r="BB24" i="2"/>
  <c r="CX24" i="2"/>
  <c r="BR24" i="2"/>
  <c r="DR24" i="2"/>
  <c r="DJ24" i="2"/>
  <c r="DN24" i="2"/>
  <c r="J24" i="2"/>
  <c r="DI28" i="2"/>
  <c r="BM30" i="2"/>
  <c r="DA30" i="2"/>
  <c r="CC29" i="2"/>
  <c r="BY29" i="2"/>
  <c r="BU29" i="2"/>
  <c r="I27" i="2"/>
  <c r="DQ28" i="2"/>
  <c r="AL25" i="2" l="1"/>
  <c r="AP25" i="2"/>
  <c r="AT25" i="2"/>
  <c r="AH25" i="2"/>
  <c r="BE31" i="2"/>
  <c r="CS30" i="2"/>
  <c r="DT26" i="2"/>
  <c r="DB25" i="2"/>
  <c r="BF25" i="2"/>
  <c r="CP25" i="2"/>
  <c r="N25" i="2"/>
  <c r="BN25" i="2"/>
  <c r="BB25" i="2"/>
  <c r="BR25" i="2"/>
  <c r="CD25" i="2"/>
  <c r="AX25" i="2"/>
  <c r="CL25" i="2"/>
  <c r="CX25" i="2"/>
  <c r="DF25" i="2"/>
  <c r="BV25" i="2"/>
  <c r="Z25" i="2"/>
  <c r="R25" i="2"/>
  <c r="V25" i="2"/>
  <c r="CT25" i="2"/>
  <c r="BZ25" i="2"/>
  <c r="CH25" i="2"/>
  <c r="DR25" i="2"/>
  <c r="DJ25" i="2"/>
  <c r="J25" i="2"/>
  <c r="DN25" i="2"/>
  <c r="AW30" i="2"/>
  <c r="BA30" i="2"/>
  <c r="AC27" i="2"/>
  <c r="CC30" i="2"/>
  <c r="CK30" i="2"/>
  <c r="AD25" i="2"/>
  <c r="Y30" i="2"/>
  <c r="BQ30" i="2"/>
  <c r="Q30" i="2"/>
  <c r="CG30" i="2"/>
  <c r="BU30" i="2"/>
  <c r="U30" i="2"/>
  <c r="DI29" i="2"/>
  <c r="DM28" i="2"/>
  <c r="I28" i="2"/>
  <c r="BJ30" i="2"/>
  <c r="BI31" i="2"/>
  <c r="DE30" i="2"/>
  <c r="CW30" i="2"/>
  <c r="CO31" i="2"/>
  <c r="DQ29" i="2"/>
  <c r="DA31" i="2"/>
  <c r="BY30" i="2"/>
  <c r="BM31" i="2"/>
  <c r="M31" i="2"/>
  <c r="AP26" i="2" l="1"/>
  <c r="AL26" i="2"/>
  <c r="AH26" i="2"/>
  <c r="AT26" i="2"/>
  <c r="CK31" i="2"/>
  <c r="AW31" i="2"/>
  <c r="Q31" i="2"/>
  <c r="DT27" i="2"/>
  <c r="BN26" i="2"/>
  <c r="DB26" i="2"/>
  <c r="CP26" i="2"/>
  <c r="N26" i="2"/>
  <c r="BF26" i="2"/>
  <c r="CT26" i="2"/>
  <c r="BZ26" i="2"/>
  <c r="BR26" i="2"/>
  <c r="V26" i="2"/>
  <c r="R26" i="2"/>
  <c r="CD26" i="2"/>
  <c r="BB26" i="2"/>
  <c r="DF26" i="2"/>
  <c r="CX26" i="2"/>
  <c r="AX26" i="2"/>
  <c r="Z26" i="2"/>
  <c r="CL26" i="2"/>
  <c r="BV26" i="2"/>
  <c r="CH26" i="2"/>
  <c r="DR26" i="2"/>
  <c r="DJ26" i="2"/>
  <c r="J26" i="2"/>
  <c r="DN26" i="2"/>
  <c r="BM32" i="2"/>
  <c r="CC31" i="2"/>
  <c r="BQ31" i="2"/>
  <c r="AC28" i="2"/>
  <c r="U31" i="2"/>
  <c r="AD26" i="2"/>
  <c r="CS31" i="2"/>
  <c r="I29" i="2"/>
  <c r="CW31" i="2"/>
  <c r="DE31" i="2"/>
  <c r="BU31" i="2"/>
  <c r="Y31" i="2"/>
  <c r="BA31" i="2"/>
  <c r="CO32" i="2"/>
  <c r="BY31" i="2"/>
  <c r="DM29" i="2"/>
  <c r="DI30" i="2"/>
  <c r="DA32" i="2"/>
  <c r="M32" i="2"/>
  <c r="DQ30" i="2"/>
  <c r="BI32" i="2"/>
  <c r="BJ31" i="2"/>
  <c r="CG31" i="2"/>
  <c r="BE32" i="2"/>
  <c r="AD27" i="2" l="1"/>
  <c r="AP27" i="2"/>
  <c r="AL27" i="2"/>
  <c r="AH27" i="2"/>
  <c r="AT27" i="2"/>
  <c r="Q32" i="2"/>
  <c r="M33" i="2"/>
  <c r="DE32" i="2"/>
  <c r="AW32" i="2"/>
  <c r="BY32" i="2"/>
  <c r="CG32" i="2"/>
  <c r="BA32" i="2"/>
  <c r="U32" i="2"/>
  <c r="CC32" i="2"/>
  <c r="BI33" i="2"/>
  <c r="BJ32" i="2"/>
  <c r="CW32" i="2"/>
  <c r="DI31" i="2"/>
  <c r="I30" i="2"/>
  <c r="AC29" i="2"/>
  <c r="BM33" i="2"/>
  <c r="CK32" i="2"/>
  <c r="CO33" i="2"/>
  <c r="DQ31" i="2"/>
  <c r="DM30" i="2"/>
  <c r="Y32" i="2"/>
  <c r="BQ32" i="2"/>
  <c r="DT28" i="2"/>
  <c r="BF27" i="2"/>
  <c r="N27" i="2"/>
  <c r="CP27" i="2"/>
  <c r="BN27" i="2"/>
  <c r="DB27" i="2"/>
  <c r="Z27" i="2"/>
  <c r="BZ27" i="2"/>
  <c r="CD27" i="2"/>
  <c r="CT27" i="2"/>
  <c r="CX27" i="2"/>
  <c r="BB27" i="2"/>
  <c r="R27" i="2"/>
  <c r="BV27" i="2"/>
  <c r="DF27" i="2"/>
  <c r="CL27" i="2"/>
  <c r="BR27" i="2"/>
  <c r="AX27" i="2"/>
  <c r="V27" i="2"/>
  <c r="CH27" i="2"/>
  <c r="DJ27" i="2"/>
  <c r="DR27" i="2"/>
  <c r="DN27" i="2"/>
  <c r="J27" i="2"/>
  <c r="BU32" i="2"/>
  <c r="DA33" i="2"/>
  <c r="BE33" i="2"/>
  <c r="CS32" i="2"/>
  <c r="AL28" i="2" l="1"/>
  <c r="AP28" i="2"/>
  <c r="AT28" i="2"/>
  <c r="AH28" i="2"/>
  <c r="BA33" i="2"/>
  <c r="DE33" i="2"/>
  <c r="DM31" i="2"/>
  <c r="BM34" i="2"/>
  <c r="CW33" i="2"/>
  <c r="BU33" i="2"/>
  <c r="DT29" i="2"/>
  <c r="BN28" i="2"/>
  <c r="DB28" i="2"/>
  <c r="CP28" i="2"/>
  <c r="N28" i="2"/>
  <c r="BF28" i="2"/>
  <c r="CX28" i="2"/>
  <c r="DF28" i="2"/>
  <c r="BZ28" i="2"/>
  <c r="R28" i="2"/>
  <c r="BR28" i="2"/>
  <c r="Z28" i="2"/>
  <c r="BV28" i="2"/>
  <c r="CD28" i="2"/>
  <c r="V28" i="2"/>
  <c r="BB28" i="2"/>
  <c r="AX28" i="2"/>
  <c r="CL28" i="2"/>
  <c r="CT28" i="2"/>
  <c r="CH28" i="2"/>
  <c r="DJ28" i="2"/>
  <c r="DR28" i="2"/>
  <c r="J28" i="2"/>
  <c r="DN28" i="2"/>
  <c r="AC30" i="2"/>
  <c r="DQ32" i="2"/>
  <c r="AD28" i="2"/>
  <c r="BI34" i="2"/>
  <c r="BJ33" i="2"/>
  <c r="CG33" i="2"/>
  <c r="M34" i="2"/>
  <c r="CS33" i="2"/>
  <c r="BQ33" i="2"/>
  <c r="I31" i="2"/>
  <c r="Q33" i="2"/>
  <c r="CO34" i="2"/>
  <c r="CC33" i="2"/>
  <c r="BY33" i="2"/>
  <c r="Y33" i="2"/>
  <c r="DI32" i="2"/>
  <c r="BE34" i="2"/>
  <c r="DA34" i="2"/>
  <c r="CK33" i="2"/>
  <c r="U33" i="2"/>
  <c r="AW33" i="2"/>
  <c r="AL29" i="2" l="1"/>
  <c r="AP29" i="2"/>
  <c r="AH29" i="2"/>
  <c r="AT29" i="2"/>
  <c r="BY34" i="2"/>
  <c r="CG34" i="2"/>
  <c r="DT30" i="2"/>
  <c r="CP29" i="2"/>
  <c r="DB29" i="2"/>
  <c r="N29" i="2"/>
  <c r="BN29" i="2"/>
  <c r="BF29" i="2"/>
  <c r="BB29" i="2"/>
  <c r="V29" i="2"/>
  <c r="DF29" i="2"/>
  <c r="CH29" i="2"/>
  <c r="Z29" i="2"/>
  <c r="BV29" i="2"/>
  <c r="BZ29" i="2"/>
  <c r="CL29" i="2"/>
  <c r="CT29" i="2"/>
  <c r="R29" i="2"/>
  <c r="BR29" i="2"/>
  <c r="CX29" i="2"/>
  <c r="CD29" i="2"/>
  <c r="AX29" i="2"/>
  <c r="DJ29" i="2"/>
  <c r="DR29" i="2"/>
  <c r="J29" i="2"/>
  <c r="DN29" i="2"/>
  <c r="DM32" i="2"/>
  <c r="U34" i="2"/>
  <c r="CS34" i="2"/>
  <c r="DE34" i="2"/>
  <c r="BU34" i="2"/>
  <c r="CK34" i="2"/>
  <c r="CO35" i="2"/>
  <c r="DQ33" i="2"/>
  <c r="CC34" i="2"/>
  <c r="Y34" i="2"/>
  <c r="CW34" i="2"/>
  <c r="BA34" i="2"/>
  <c r="DA35" i="2"/>
  <c r="Q34" i="2"/>
  <c r="M35" i="2"/>
  <c r="AC31" i="2"/>
  <c r="BE35" i="2"/>
  <c r="BQ34" i="2"/>
  <c r="BI35" i="2"/>
  <c r="BJ34" i="2"/>
  <c r="DI33" i="2"/>
  <c r="AW34" i="2"/>
  <c r="I32" i="2"/>
  <c r="AD29" i="2"/>
  <c r="BM35" i="2"/>
  <c r="AD30" i="2" l="1"/>
  <c r="AL30" i="2"/>
  <c r="AP30" i="2"/>
  <c r="AT30" i="2"/>
  <c r="AH30" i="2"/>
  <c r="BM36" i="2"/>
  <c r="AC32" i="2"/>
  <c r="CC35" i="2"/>
  <c r="BU35" i="2"/>
  <c r="DM33" i="2"/>
  <c r="BA35" i="2"/>
  <c r="DT31" i="2"/>
  <c r="BF30" i="2"/>
  <c r="DB30" i="2"/>
  <c r="BN30" i="2"/>
  <c r="N30" i="2"/>
  <c r="CP30" i="2"/>
  <c r="BR30" i="2"/>
  <c r="BV30" i="2"/>
  <c r="BZ30" i="2"/>
  <c r="CX30" i="2"/>
  <c r="Z30" i="2"/>
  <c r="DF30" i="2"/>
  <c r="CL30" i="2"/>
  <c r="BB30" i="2"/>
  <c r="CH30" i="2"/>
  <c r="AX30" i="2"/>
  <c r="CD30" i="2"/>
  <c r="V30" i="2"/>
  <c r="R30" i="2"/>
  <c r="CT30" i="2"/>
  <c r="DJ30" i="2"/>
  <c r="DR30" i="2"/>
  <c r="DN30" i="2"/>
  <c r="J30" i="2"/>
  <c r="M36" i="2"/>
  <c r="DQ34" i="2"/>
  <c r="DE35" i="2"/>
  <c r="CG35" i="2"/>
  <c r="AW35" i="2"/>
  <c r="CW35" i="2"/>
  <c r="CS35" i="2"/>
  <c r="BQ35" i="2"/>
  <c r="BE36" i="2"/>
  <c r="CO36" i="2"/>
  <c r="DI34" i="2"/>
  <c r="DA36" i="2"/>
  <c r="BI36" i="2"/>
  <c r="BJ35" i="2"/>
  <c r="I33" i="2"/>
  <c r="Q35" i="2"/>
  <c r="Y35" i="2"/>
  <c r="CK35" i="2"/>
  <c r="U35" i="2"/>
  <c r="BY35" i="2"/>
  <c r="AL31" i="2" l="1"/>
  <c r="AP31" i="2"/>
  <c r="AT31" i="2"/>
  <c r="AH31" i="2"/>
  <c r="BY36" i="2"/>
  <c r="M37" i="2"/>
  <c r="M38" i="2" s="1"/>
  <c r="M39" i="2" s="1"/>
  <c r="M40" i="2" s="1"/>
  <c r="BU36" i="2"/>
  <c r="DT32" i="2"/>
  <c r="N31" i="2"/>
  <c r="BN31" i="2"/>
  <c r="CP31" i="2"/>
  <c r="DB31" i="2"/>
  <c r="BF31" i="2"/>
  <c r="Z31" i="2"/>
  <c r="AX31" i="2"/>
  <c r="V31" i="2"/>
  <c r="CL31" i="2"/>
  <c r="CT31" i="2"/>
  <c r="BV31" i="2"/>
  <c r="R31" i="2"/>
  <c r="BR31" i="2"/>
  <c r="BZ31" i="2"/>
  <c r="CD31" i="2"/>
  <c r="CH31" i="2"/>
  <c r="DF31" i="2"/>
  <c r="BB31" i="2"/>
  <c r="CX31" i="2"/>
  <c r="DR31" i="2"/>
  <c r="DJ31" i="2"/>
  <c r="J31" i="2"/>
  <c r="DN31" i="2"/>
  <c r="BQ36" i="2"/>
  <c r="CS36" i="2"/>
  <c r="CC36" i="2"/>
  <c r="U36" i="2"/>
  <c r="BA36" i="2"/>
  <c r="AC33" i="2"/>
  <c r="DI35" i="2"/>
  <c r="CK36" i="2"/>
  <c r="I34" i="2"/>
  <c r="CO37" i="2"/>
  <c r="CO38" i="2" s="1"/>
  <c r="CO39" i="2" s="1"/>
  <c r="CO40" i="2" s="1"/>
  <c r="CW36" i="2"/>
  <c r="DE36" i="2"/>
  <c r="AD31" i="2"/>
  <c r="DA37" i="2"/>
  <c r="DA38" i="2" s="1"/>
  <c r="DA39" i="2" s="1"/>
  <c r="DA40" i="2" s="1"/>
  <c r="CG36" i="2"/>
  <c r="Q36" i="2"/>
  <c r="Y36" i="2"/>
  <c r="BI37" i="2"/>
  <c r="BJ36" i="2"/>
  <c r="BE37" i="2"/>
  <c r="BE38" i="2" s="1"/>
  <c r="BE39" i="2" s="1"/>
  <c r="BE40" i="2" s="1"/>
  <c r="AW36" i="2"/>
  <c r="DQ35" i="2"/>
  <c r="DM34" i="2"/>
  <c r="BM37" i="2"/>
  <c r="BM38" i="2" s="1"/>
  <c r="BM39" i="2" s="1"/>
  <c r="BM40" i="2" s="1"/>
  <c r="AL32" i="2" l="1"/>
  <c r="AP32" i="2"/>
  <c r="AH32" i="2"/>
  <c r="AT32" i="2"/>
  <c r="BJ37" i="2"/>
  <c r="BI38" i="2"/>
  <c r="CG37" i="2"/>
  <c r="CG38" i="2" s="1"/>
  <c r="CG39" i="2" s="1"/>
  <c r="CG40" i="2" s="1"/>
  <c r="CC37" i="2"/>
  <c r="CC38" i="2" s="1"/>
  <c r="CC39" i="2" s="1"/>
  <c r="CC40" i="2" s="1"/>
  <c r="DT33" i="2"/>
  <c r="DB32" i="2"/>
  <c r="BF32" i="2"/>
  <c r="CP32" i="2"/>
  <c r="N32" i="2"/>
  <c r="BN32" i="2"/>
  <c r="CH32" i="2"/>
  <c r="BZ32" i="2"/>
  <c r="Z32" i="2"/>
  <c r="BR32" i="2"/>
  <c r="CL32" i="2"/>
  <c r="CD32" i="2"/>
  <c r="AX32" i="2"/>
  <c r="R32" i="2"/>
  <c r="V32" i="2"/>
  <c r="BB32" i="2"/>
  <c r="CX32" i="2"/>
  <c r="CT32" i="2"/>
  <c r="BV32" i="2"/>
  <c r="DF32" i="2"/>
  <c r="DJ32" i="2"/>
  <c r="DR32" i="2"/>
  <c r="DN32" i="2"/>
  <c r="J32" i="2"/>
  <c r="AC34" i="2"/>
  <c r="I35" i="2"/>
  <c r="AD32" i="2"/>
  <c r="BU37" i="2"/>
  <c r="BU38" i="2" s="1"/>
  <c r="BU39" i="2" s="1"/>
  <c r="BU40" i="2" s="1"/>
  <c r="DM35" i="2"/>
  <c r="DQ36" i="2"/>
  <c r="Y37" i="2"/>
  <c r="Y38" i="2" s="1"/>
  <c r="Y39" i="2" s="1"/>
  <c r="Y40" i="2" s="1"/>
  <c r="BA37" i="2"/>
  <c r="BA38" i="2" s="1"/>
  <c r="BA39" i="2" s="1"/>
  <c r="BA40" i="2" s="1"/>
  <c r="DE37" i="2"/>
  <c r="DE38" i="2" s="1"/>
  <c r="CK37" i="2"/>
  <c r="CK38" i="2" s="1"/>
  <c r="CK39" i="2" s="1"/>
  <c r="CK40" i="2" s="1"/>
  <c r="CS37" i="2"/>
  <c r="CS38" i="2" s="1"/>
  <c r="CS39" i="2" s="1"/>
  <c r="CS40" i="2" s="1"/>
  <c r="AW37" i="2"/>
  <c r="AW38" i="2" s="1"/>
  <c r="AW39" i="2" s="1"/>
  <c r="AW40" i="2" s="1"/>
  <c r="Q37" i="2"/>
  <c r="Q38" i="2" s="1"/>
  <c r="Q39" i="2" s="1"/>
  <c r="Q40" i="2" s="1"/>
  <c r="CW37" i="2"/>
  <c r="CW38" i="2" s="1"/>
  <c r="CW39" i="2" s="1"/>
  <c r="CW40" i="2" s="1"/>
  <c r="DI36" i="2"/>
  <c r="U37" i="2"/>
  <c r="U38" i="2" s="1"/>
  <c r="U39" i="2" s="1"/>
  <c r="U40" i="2" s="1"/>
  <c r="BQ37" i="2"/>
  <c r="BQ38" i="2" s="1"/>
  <c r="BQ39" i="2" s="1"/>
  <c r="BQ40" i="2" s="1"/>
  <c r="BY37" i="2"/>
  <c r="BY38" i="2" s="1"/>
  <c r="BY39" i="2" s="1"/>
  <c r="BY40" i="2" s="1"/>
  <c r="AD33" i="2" l="1"/>
  <c r="AP33" i="2"/>
  <c r="AL33" i="2"/>
  <c r="AH33" i="2"/>
  <c r="AT33" i="2"/>
  <c r="BJ38" i="2"/>
  <c r="BI39" i="2"/>
  <c r="DE39" i="2"/>
  <c r="DT34" i="2"/>
  <c r="BF33" i="2"/>
  <c r="DB33" i="2"/>
  <c r="BN33" i="2"/>
  <c r="N33" i="2"/>
  <c r="CP33" i="2"/>
  <c r="BZ33" i="2"/>
  <c r="V33" i="2"/>
  <c r="CL33" i="2"/>
  <c r="Z33" i="2"/>
  <c r="CH33" i="2"/>
  <c r="CT33" i="2"/>
  <c r="CX33" i="2"/>
  <c r="R33" i="2"/>
  <c r="AX33" i="2"/>
  <c r="BB33" i="2"/>
  <c r="DF33" i="2"/>
  <c r="BR33" i="2"/>
  <c r="BV33" i="2"/>
  <c r="CD33" i="2"/>
  <c r="DR33" i="2"/>
  <c r="DJ33" i="2"/>
  <c r="J33" i="2"/>
  <c r="DN33" i="2"/>
  <c r="DI37" i="2"/>
  <c r="DI38" i="2" s="1"/>
  <c r="DM36" i="2"/>
  <c r="I36" i="2"/>
  <c r="DQ37" i="2"/>
  <c r="DQ38" i="2" s="1"/>
  <c r="DQ39" i="2" s="1"/>
  <c r="DQ40" i="2" s="1"/>
  <c r="AC35" i="2"/>
  <c r="AP34" i="2" l="1"/>
  <c r="AL34" i="2"/>
  <c r="AH34" i="2"/>
  <c r="AT34" i="2"/>
  <c r="BJ39" i="2"/>
  <c r="BI40" i="2"/>
  <c r="BJ40" i="2" s="1"/>
  <c r="DI39" i="2"/>
  <c r="DE40" i="2"/>
  <c r="DT35" i="2"/>
  <c r="DB34" i="2"/>
  <c r="BN34" i="2"/>
  <c r="CP34" i="2"/>
  <c r="BF34" i="2"/>
  <c r="N34" i="2"/>
  <c r="CL34" i="2"/>
  <c r="AX34" i="2"/>
  <c r="Z34" i="2"/>
  <c r="V34" i="2"/>
  <c r="R34" i="2"/>
  <c r="BB34" i="2"/>
  <c r="DF34" i="2"/>
  <c r="CX34" i="2"/>
  <c r="CD34" i="2"/>
  <c r="CT34" i="2"/>
  <c r="BZ34" i="2"/>
  <c r="BV34" i="2"/>
  <c r="CH34" i="2"/>
  <c r="BR34" i="2"/>
  <c r="DJ34" i="2"/>
  <c r="DR34" i="2"/>
  <c r="J34" i="2"/>
  <c r="DN34" i="2"/>
  <c r="AC36" i="2"/>
  <c r="AD34" i="2"/>
  <c r="DM37" i="2"/>
  <c r="DM38" i="2" s="1"/>
  <c r="DM39" i="2" s="1"/>
  <c r="DM40" i="2" s="1"/>
  <c r="I37" i="2"/>
  <c r="I38" i="2" s="1"/>
  <c r="I39" i="2" s="1"/>
  <c r="I40" i="2" s="1"/>
  <c r="AD35" i="2" l="1"/>
  <c r="AP35" i="2"/>
  <c r="AL35" i="2"/>
  <c r="AT35" i="2"/>
  <c r="AH35" i="2"/>
  <c r="DI40" i="2"/>
  <c r="DT36" i="2"/>
  <c r="BN35" i="2"/>
  <c r="BF35" i="2"/>
  <c r="CP35" i="2"/>
  <c r="N35" i="2"/>
  <c r="DB35" i="2"/>
  <c r="CH35" i="2"/>
  <c r="R35" i="2"/>
  <c r="Z35" i="2"/>
  <c r="BZ35" i="2"/>
  <c r="BR35" i="2"/>
  <c r="V35" i="2"/>
  <c r="CX35" i="2"/>
  <c r="BB35" i="2"/>
  <c r="AX35" i="2"/>
  <c r="CT35" i="2"/>
  <c r="CL35" i="2"/>
  <c r="DF35" i="2"/>
  <c r="BV35" i="2"/>
  <c r="CD35" i="2"/>
  <c r="DJ35" i="2"/>
  <c r="DR35" i="2"/>
  <c r="J35" i="2"/>
  <c r="DN35" i="2"/>
  <c r="AC37" i="2"/>
  <c r="AC38" i="2" s="1"/>
  <c r="AC39" i="2" s="1"/>
  <c r="AC40" i="2" s="1"/>
  <c r="AD36" i="2" l="1"/>
  <c r="AL36" i="2"/>
  <c r="AP36" i="2"/>
  <c r="AT36" i="2"/>
  <c r="AH36" i="2"/>
  <c r="DT37" i="2"/>
  <c r="BN36" i="2"/>
  <c r="CP36" i="2"/>
  <c r="DB36" i="2"/>
  <c r="BF36" i="2"/>
  <c r="N36" i="2"/>
  <c r="CX36" i="2"/>
  <c r="BZ36" i="2"/>
  <c r="AX36" i="2"/>
  <c r="V36" i="2"/>
  <c r="CH36" i="2"/>
  <c r="BB36" i="2"/>
  <c r="DF36" i="2"/>
  <c r="CL36" i="2"/>
  <c r="CD36" i="2"/>
  <c r="R36" i="2"/>
  <c r="BR36" i="2"/>
  <c r="Z36" i="2"/>
  <c r="BV36" i="2"/>
  <c r="CT36" i="2"/>
  <c r="DJ36" i="2"/>
  <c r="DR36" i="2"/>
  <c r="DN36" i="2"/>
  <c r="J36" i="2"/>
  <c r="AL37" i="2" l="1"/>
  <c r="AP37" i="2"/>
  <c r="AH37" i="2"/>
  <c r="AT37" i="2"/>
  <c r="AD37" i="2"/>
  <c r="DT38" i="2"/>
  <c r="N37" i="2"/>
  <c r="DB37" i="2"/>
  <c r="BN37" i="2"/>
  <c r="BF37" i="2"/>
  <c r="CP37" i="2"/>
  <c r="Z37" i="2"/>
  <c r="DF37" i="2"/>
  <c r="BV37" i="2"/>
  <c r="CT37" i="2"/>
  <c r="BZ37" i="2"/>
  <c r="CD37" i="2"/>
  <c r="CL37" i="2"/>
  <c r="R37" i="2"/>
  <c r="CX37" i="2"/>
  <c r="BR37" i="2"/>
  <c r="CH37" i="2"/>
  <c r="BB37" i="2"/>
  <c r="AX37" i="2"/>
  <c r="V37" i="2"/>
  <c r="DR37" i="2"/>
  <c r="DJ37" i="2"/>
  <c r="J37" i="2"/>
  <c r="DN37" i="2"/>
  <c r="AL38" i="2" l="1"/>
  <c r="AP38" i="2"/>
  <c r="AH38" i="2"/>
  <c r="AT38" i="2"/>
  <c r="DT39" i="2"/>
  <c r="R38" i="2"/>
  <c r="CH38" i="2"/>
  <c r="CD38" i="2"/>
  <c r="CL38" i="2"/>
  <c r="AX38" i="2"/>
  <c r="BR38" i="2"/>
  <c r="BV38" i="2"/>
  <c r="DN38" i="2"/>
  <c r="CX38" i="2"/>
  <c r="CT38" i="2"/>
  <c r="DB38" i="2"/>
  <c r="BB38" i="2"/>
  <c r="DR38" i="2"/>
  <c r="BN38" i="2"/>
  <c r="Z38" i="2"/>
  <c r="J38" i="2"/>
  <c r="CP38" i="2"/>
  <c r="V38" i="2"/>
  <c r="AD38" i="2"/>
  <c r="N38" i="2"/>
  <c r="BZ38" i="2"/>
  <c r="BF38" i="2"/>
  <c r="DF38" i="2"/>
  <c r="DJ38" i="2"/>
  <c r="AL39" i="2" l="1"/>
  <c r="AP39" i="2"/>
  <c r="AH39" i="2"/>
  <c r="AT39" i="2"/>
  <c r="DT40" i="2"/>
  <c r="CX39" i="2"/>
  <c r="BN39" i="2"/>
  <c r="V39" i="2"/>
  <c r="BF39" i="2"/>
  <c r="DR39" i="2"/>
  <c r="CL39" i="2"/>
  <c r="CP39" i="2"/>
  <c r="DB39" i="2"/>
  <c r="AD39" i="2"/>
  <c r="J39" i="2"/>
  <c r="CT39" i="2"/>
  <c r="BV39" i="2"/>
  <c r="DN39" i="2"/>
  <c r="CH39" i="2"/>
  <c r="BB39" i="2"/>
  <c r="R39" i="2"/>
  <c r="N39" i="2"/>
  <c r="BZ39" i="2"/>
  <c r="AX39" i="2"/>
  <c r="Z39" i="2"/>
  <c r="BR39" i="2"/>
  <c r="CD39" i="2"/>
  <c r="DF39" i="2"/>
  <c r="DJ39" i="2"/>
  <c r="AL40" i="2" l="1"/>
  <c r="AP40" i="2"/>
  <c r="AH40" i="2"/>
  <c r="AT40" i="2"/>
  <c r="BB40" i="2"/>
  <c r="AD40" i="2"/>
  <c r="J40" i="2"/>
  <c r="BF40" i="2"/>
  <c r="CP40" i="2"/>
  <c r="V40" i="2"/>
  <c r="CL40" i="2"/>
  <c r="CT40" i="2"/>
  <c r="BV40" i="2"/>
  <c r="AX40" i="2"/>
  <c r="CH40" i="2"/>
  <c r="CD40" i="2"/>
  <c r="BN40" i="2"/>
  <c r="BZ40" i="2"/>
  <c r="DN40" i="2"/>
  <c r="N40" i="2"/>
  <c r="R40" i="2"/>
  <c r="BR40" i="2"/>
  <c r="DB40" i="2"/>
  <c r="DR40" i="2"/>
  <c r="CX40" i="2"/>
  <c r="Z40" i="2"/>
  <c r="DF40" i="2"/>
  <c r="DJ40" i="2"/>
  <c r="A6" i="46" l="1"/>
  <c r="B1" i="47"/>
  <c r="F32" i="27" l="1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C24" i="29" s="1"/>
  <c r="F14" i="29"/>
  <c r="E14" i="29"/>
  <c r="E34" i="29" s="1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E32" i="31"/>
  <c r="D32" i="31"/>
  <c r="C32" i="31"/>
  <c r="E23" i="31"/>
  <c r="D23" i="31"/>
  <c r="C23" i="31"/>
  <c r="E14" i="31"/>
  <c r="D14" i="31"/>
  <c r="C14" i="31"/>
  <c r="J8" i="32"/>
  <c r="Z25" i="54" l="1"/>
  <c r="Z25" i="46"/>
  <c r="AA25" i="46" s="1"/>
  <c r="AB25" i="46" s="1"/>
  <c r="C24" i="27"/>
  <c r="D33" i="29"/>
  <c r="E24" i="29"/>
  <c r="E15" i="29"/>
  <c r="C34" i="29"/>
  <c r="E34" i="27"/>
  <c r="E33" i="29"/>
  <c r="D24" i="29"/>
  <c r="C33" i="31"/>
  <c r="D34" i="29"/>
  <c r="AA25" i="54"/>
  <c r="AB25" i="54" s="1"/>
  <c r="C33" i="29"/>
  <c r="D33" i="27"/>
  <c r="E33" i="27"/>
  <c r="D24" i="27"/>
  <c r="D15" i="27"/>
  <c r="E24" i="27"/>
  <c r="C15" i="27"/>
  <c r="E15" i="27"/>
  <c r="F34" i="27"/>
  <c r="D33" i="31"/>
  <c r="C34" i="27"/>
  <c r="F34" i="29"/>
  <c r="D34" i="27"/>
  <c r="C15" i="29"/>
  <c r="D15" i="29"/>
  <c r="C33" i="27"/>
  <c r="C33" i="30"/>
  <c r="D34" i="30"/>
  <c r="D33" i="30"/>
  <c r="E33" i="30"/>
  <c r="C34" i="30"/>
  <c r="D24" i="30"/>
  <c r="F34" i="30"/>
  <c r="E24" i="30"/>
  <c r="E34" i="30"/>
  <c r="C15" i="30"/>
  <c r="C24" i="30"/>
  <c r="D15" i="30"/>
  <c r="E15" i="30"/>
  <c r="D34" i="31"/>
  <c r="E33" i="31"/>
  <c r="C34" i="31"/>
  <c r="C15" i="31"/>
  <c r="C24" i="31"/>
  <c r="E15" i="31"/>
  <c r="E24" i="31"/>
  <c r="D15" i="31"/>
  <c r="D24" i="31"/>
  <c r="E34" i="31"/>
  <c r="C35" i="30" l="1"/>
  <c r="D35" i="30"/>
  <c r="E35" i="29"/>
  <c r="C35" i="29"/>
  <c r="D35" i="29"/>
  <c r="D35" i="27"/>
  <c r="C35" i="27"/>
  <c r="E35" i="27"/>
  <c r="E35" i="30"/>
  <c r="D35" i="31"/>
  <c r="E35" i="31"/>
  <c r="C35" i="31"/>
  <c r="KS39" i="1" l="1"/>
  <c r="KS38" i="1"/>
  <c r="KS37" i="1"/>
  <c r="KS36" i="1"/>
  <c r="KS35" i="1"/>
  <c r="KS34" i="1"/>
  <c r="KS33" i="1"/>
  <c r="KS32" i="1"/>
  <c r="KS31" i="1"/>
  <c r="KS30" i="1"/>
  <c r="KS29" i="1"/>
  <c r="KS28" i="1"/>
  <c r="KS27" i="1"/>
  <c r="KS26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9" i="1"/>
  <c r="F23" i="33" l="1"/>
  <c r="F14" i="33"/>
  <c r="M40" i="52" l="1"/>
  <c r="D40" i="52"/>
  <c r="M39" i="52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E3" i="52"/>
  <c r="F3" i="52" s="1"/>
  <c r="G3" i="52" s="1"/>
  <c r="H3" i="52" s="1"/>
  <c r="M3" i="52" s="1"/>
  <c r="N3" i="52" s="1"/>
  <c r="O3" i="52" s="1"/>
  <c r="P3" i="52" s="1"/>
  <c r="Q3" i="52" s="1"/>
  <c r="M41" i="52" l="1"/>
  <c r="D41" i="52"/>
  <c r="F32" i="37" l="1"/>
  <c r="F34" i="37" s="1"/>
  <c r="E32" i="37"/>
  <c r="D32" i="37"/>
  <c r="C32" i="37"/>
  <c r="C33" i="37" s="1"/>
  <c r="E23" i="37"/>
  <c r="D23" i="37"/>
  <c r="C23" i="37"/>
  <c r="E14" i="37"/>
  <c r="D14" i="37"/>
  <c r="C14" i="37"/>
  <c r="F32" i="6"/>
  <c r="F34" i="6" s="1"/>
  <c r="E32" i="6"/>
  <c r="D32" i="6"/>
  <c r="C32" i="6"/>
  <c r="E23" i="6"/>
  <c r="D23" i="6"/>
  <c r="C23" i="6"/>
  <c r="E14" i="6"/>
  <c r="D14" i="6"/>
  <c r="C14" i="6"/>
  <c r="F32" i="7"/>
  <c r="F34" i="7" s="1"/>
  <c r="E32" i="7"/>
  <c r="D32" i="7"/>
  <c r="C32" i="7"/>
  <c r="E23" i="7"/>
  <c r="D23" i="7"/>
  <c r="C23" i="7"/>
  <c r="E14" i="7"/>
  <c r="D14" i="7"/>
  <c r="C14" i="7"/>
  <c r="F32" i="8"/>
  <c r="F34" i="8" s="1"/>
  <c r="E32" i="8"/>
  <c r="D32" i="8"/>
  <c r="C32" i="8"/>
  <c r="E23" i="8"/>
  <c r="D23" i="8"/>
  <c r="C23" i="8"/>
  <c r="E14" i="8"/>
  <c r="D14" i="8"/>
  <c r="C14" i="8"/>
  <c r="F32" i="9"/>
  <c r="F34" i="9" s="1"/>
  <c r="E32" i="9"/>
  <c r="D32" i="9"/>
  <c r="C32" i="9"/>
  <c r="E23" i="9"/>
  <c r="D23" i="9"/>
  <c r="C23" i="9"/>
  <c r="E14" i="9"/>
  <c r="D14" i="9"/>
  <c r="C14" i="9"/>
  <c r="F32" i="10"/>
  <c r="F34" i="10" s="1"/>
  <c r="E32" i="10"/>
  <c r="D32" i="10"/>
  <c r="C32" i="10"/>
  <c r="E23" i="10"/>
  <c r="D23" i="10"/>
  <c r="C23" i="10"/>
  <c r="E14" i="10"/>
  <c r="D14" i="10"/>
  <c r="C14" i="10"/>
  <c r="F32" i="11"/>
  <c r="F34" i="11" s="1"/>
  <c r="E32" i="11"/>
  <c r="D32" i="11"/>
  <c r="C32" i="11"/>
  <c r="E23" i="11"/>
  <c r="D23" i="11"/>
  <c r="C23" i="11"/>
  <c r="E14" i="11"/>
  <c r="D14" i="11"/>
  <c r="C14" i="11"/>
  <c r="F32" i="12"/>
  <c r="F34" i="12" s="1"/>
  <c r="E32" i="12"/>
  <c r="D32" i="12"/>
  <c r="C32" i="12"/>
  <c r="E23" i="12"/>
  <c r="D23" i="12"/>
  <c r="C23" i="12"/>
  <c r="E14" i="12"/>
  <c r="D14" i="12"/>
  <c r="C14" i="12"/>
  <c r="F32" i="13"/>
  <c r="E32" i="13"/>
  <c r="D32" i="13"/>
  <c r="C32" i="13"/>
  <c r="C33" i="13" s="1"/>
  <c r="E23" i="13"/>
  <c r="D23" i="13"/>
  <c r="C23" i="13"/>
  <c r="E14" i="13"/>
  <c r="D14" i="13"/>
  <c r="C14" i="13"/>
  <c r="F32" i="14"/>
  <c r="F34" i="14" s="1"/>
  <c r="E32" i="14"/>
  <c r="D32" i="14"/>
  <c r="C32" i="14"/>
  <c r="E23" i="14"/>
  <c r="D23" i="14"/>
  <c r="C23" i="14"/>
  <c r="E14" i="14"/>
  <c r="D14" i="14"/>
  <c r="C14" i="14"/>
  <c r="F32" i="15"/>
  <c r="F34" i="15" s="1"/>
  <c r="E32" i="15"/>
  <c r="D32" i="15"/>
  <c r="C32" i="15"/>
  <c r="E23" i="15"/>
  <c r="D23" i="15"/>
  <c r="C23" i="15"/>
  <c r="E14" i="15"/>
  <c r="D14" i="15"/>
  <c r="C14" i="15"/>
  <c r="F32" i="16"/>
  <c r="F34" i="16" s="1"/>
  <c r="E32" i="16"/>
  <c r="D32" i="16"/>
  <c r="C32" i="16"/>
  <c r="E23" i="16"/>
  <c r="D23" i="16"/>
  <c r="C23" i="16"/>
  <c r="E14" i="16"/>
  <c r="D14" i="16"/>
  <c r="C14" i="16"/>
  <c r="F32" i="17"/>
  <c r="E32" i="17"/>
  <c r="D32" i="17"/>
  <c r="C32" i="17"/>
  <c r="E23" i="17"/>
  <c r="D23" i="17"/>
  <c r="C23" i="17"/>
  <c r="E14" i="17"/>
  <c r="D14" i="17"/>
  <c r="C14" i="17"/>
  <c r="F32" i="18"/>
  <c r="F34" i="18" s="1"/>
  <c r="E32" i="18"/>
  <c r="D32" i="18"/>
  <c r="C32" i="18"/>
  <c r="E23" i="18"/>
  <c r="D23" i="18"/>
  <c r="C23" i="18"/>
  <c r="E14" i="18"/>
  <c r="D14" i="18"/>
  <c r="C14" i="18"/>
  <c r="F32" i="19"/>
  <c r="F34" i="19" s="1"/>
  <c r="E32" i="19"/>
  <c r="D32" i="19"/>
  <c r="C32" i="19"/>
  <c r="E23" i="19"/>
  <c r="D23" i="19"/>
  <c r="C23" i="19"/>
  <c r="E14" i="19"/>
  <c r="D14" i="19"/>
  <c r="C14" i="19"/>
  <c r="F32" i="20"/>
  <c r="F34" i="20" s="1"/>
  <c r="E32" i="20"/>
  <c r="D32" i="20"/>
  <c r="C32" i="20"/>
  <c r="E23" i="20"/>
  <c r="D23" i="20"/>
  <c r="C23" i="20"/>
  <c r="E14" i="20"/>
  <c r="D14" i="20"/>
  <c r="C14" i="20"/>
  <c r="F32" i="22"/>
  <c r="F34" i="22" s="1"/>
  <c r="E32" i="22"/>
  <c r="D32" i="22"/>
  <c r="C32" i="22"/>
  <c r="E23" i="22"/>
  <c r="D23" i="22"/>
  <c r="C23" i="22"/>
  <c r="E14" i="22"/>
  <c r="D14" i="22"/>
  <c r="C14" i="22"/>
  <c r="F32" i="21"/>
  <c r="F34" i="21" s="1"/>
  <c r="E32" i="21"/>
  <c r="D32" i="21"/>
  <c r="C32" i="21"/>
  <c r="E23" i="21"/>
  <c r="D23" i="21"/>
  <c r="C23" i="21"/>
  <c r="E14" i="21"/>
  <c r="D14" i="21"/>
  <c r="C14" i="21"/>
  <c r="F32" i="23"/>
  <c r="F34" i="23" s="1"/>
  <c r="E32" i="23"/>
  <c r="D32" i="23"/>
  <c r="C32" i="23"/>
  <c r="E23" i="23"/>
  <c r="D23" i="23"/>
  <c r="C23" i="23"/>
  <c r="E14" i="23"/>
  <c r="D14" i="23"/>
  <c r="C14" i="23"/>
  <c r="F32" i="24"/>
  <c r="E32" i="24"/>
  <c r="D32" i="24"/>
  <c r="C32" i="24"/>
  <c r="E23" i="24"/>
  <c r="D23" i="24"/>
  <c r="C23" i="24"/>
  <c r="E14" i="24"/>
  <c r="D14" i="24"/>
  <c r="C14" i="24"/>
  <c r="F32" i="25"/>
  <c r="F34" i="25" s="1"/>
  <c r="E32" i="25"/>
  <c r="D32" i="25"/>
  <c r="C32" i="25"/>
  <c r="E23" i="25"/>
  <c r="D23" i="25"/>
  <c r="C23" i="25"/>
  <c r="E14" i="25"/>
  <c r="D14" i="25"/>
  <c r="C14" i="25"/>
  <c r="F32" i="26"/>
  <c r="E32" i="26"/>
  <c r="D32" i="26"/>
  <c r="C32" i="26"/>
  <c r="E23" i="26"/>
  <c r="D23" i="26"/>
  <c r="C23" i="26"/>
  <c r="E14" i="26"/>
  <c r="D14" i="26"/>
  <c r="C14" i="26"/>
  <c r="F32" i="28"/>
  <c r="F34" i="28" s="1"/>
  <c r="E32" i="28"/>
  <c r="D32" i="28"/>
  <c r="C32" i="28"/>
  <c r="E23" i="28"/>
  <c r="D23" i="28"/>
  <c r="C23" i="28"/>
  <c r="E14" i="28"/>
  <c r="D14" i="28"/>
  <c r="C14" i="28"/>
  <c r="E32" i="32"/>
  <c r="D32" i="32"/>
  <c r="C32" i="32"/>
  <c r="E23" i="32"/>
  <c r="D23" i="32"/>
  <c r="C23" i="32"/>
  <c r="E14" i="32"/>
  <c r="D14" i="32"/>
  <c r="C14" i="32"/>
  <c r="C33" i="17" l="1"/>
  <c r="D33" i="19"/>
  <c r="E34" i="19"/>
  <c r="C34" i="18"/>
  <c r="K17" i="18" s="1"/>
  <c r="D33" i="10"/>
  <c r="D33" i="23"/>
  <c r="E33" i="23"/>
  <c r="E33" i="19"/>
  <c r="D34" i="23"/>
  <c r="D34" i="11"/>
  <c r="C24" i="21"/>
  <c r="D24" i="14"/>
  <c r="D24" i="10"/>
  <c r="C33" i="23"/>
  <c r="C33" i="15"/>
  <c r="D34" i="14"/>
  <c r="D33" i="13"/>
  <c r="E24" i="12"/>
  <c r="D34" i="10"/>
  <c r="E34" i="21"/>
  <c r="E33" i="22"/>
  <c r="E34" i="18"/>
  <c r="E33" i="13"/>
  <c r="E34" i="7"/>
  <c r="E24" i="15"/>
  <c r="E34" i="22"/>
  <c r="C34" i="20"/>
  <c r="K17" i="20" s="1"/>
  <c r="C34" i="16"/>
  <c r="E33" i="16"/>
  <c r="C34" i="12"/>
  <c r="D33" i="22"/>
  <c r="D34" i="25"/>
  <c r="D34" i="22"/>
  <c r="E24" i="11"/>
  <c r="D15" i="24"/>
  <c r="E24" i="14"/>
  <c r="D34" i="12"/>
  <c r="E34" i="9"/>
  <c r="E33" i="26"/>
  <c r="D34" i="18"/>
  <c r="C33" i="21"/>
  <c r="C34" i="19"/>
  <c r="K17" i="19" s="1"/>
  <c r="C33" i="18"/>
  <c r="C34" i="11"/>
  <c r="K23" i="11" s="1"/>
  <c r="C24" i="9"/>
  <c r="D24" i="28"/>
  <c r="E15" i="26"/>
  <c r="C34" i="25"/>
  <c r="E33" i="25"/>
  <c r="E24" i="24"/>
  <c r="C24" i="23"/>
  <c r="E15" i="17"/>
  <c r="E15" i="16"/>
  <c r="D24" i="11"/>
  <c r="D24" i="37"/>
  <c r="D24" i="26"/>
  <c r="C33" i="24"/>
  <c r="D24" i="23"/>
  <c r="C24" i="16"/>
  <c r="E24" i="13"/>
  <c r="D33" i="12"/>
  <c r="C33" i="6"/>
  <c r="E24" i="21"/>
  <c r="E33" i="20"/>
  <c r="C24" i="37"/>
  <c r="D15" i="22"/>
  <c r="D34" i="20"/>
  <c r="C34" i="14"/>
  <c r="K22" i="14" s="1"/>
  <c r="E33" i="14"/>
  <c r="D33" i="26"/>
  <c r="D34" i="15"/>
  <c r="C34" i="37"/>
  <c r="D33" i="37"/>
  <c r="D15" i="20"/>
  <c r="C15" i="13"/>
  <c r="D34" i="8"/>
  <c r="D34" i="37"/>
  <c r="E33" i="37"/>
  <c r="D24" i="24"/>
  <c r="E34" i="23"/>
  <c r="C15" i="21"/>
  <c r="D34" i="16"/>
  <c r="E34" i="8"/>
  <c r="D33" i="7"/>
  <c r="E15" i="37"/>
  <c r="E34" i="28"/>
  <c r="D33" i="24"/>
  <c r="E24" i="23"/>
  <c r="E33" i="21"/>
  <c r="E24" i="22"/>
  <c r="E34" i="20"/>
  <c r="D33" i="18"/>
  <c r="D33" i="15"/>
  <c r="D15" i="14"/>
  <c r="C24" i="13"/>
  <c r="D15" i="11"/>
  <c r="E24" i="10"/>
  <c r="D34" i="9"/>
  <c r="C34" i="7"/>
  <c r="D33" i="6"/>
  <c r="C24" i="28"/>
  <c r="E15" i="24"/>
  <c r="E33" i="24"/>
  <c r="D24" i="21"/>
  <c r="C34" i="21"/>
  <c r="C33" i="22"/>
  <c r="C24" i="18"/>
  <c r="C15" i="17"/>
  <c r="E33" i="17"/>
  <c r="D24" i="16"/>
  <c r="C34" i="15"/>
  <c r="E33" i="15"/>
  <c r="E33" i="12"/>
  <c r="E33" i="10"/>
  <c r="E33" i="8"/>
  <c r="D24" i="7"/>
  <c r="C34" i="6"/>
  <c r="E33" i="6"/>
  <c r="E34" i="37"/>
  <c r="D34" i="21"/>
  <c r="E24" i="18"/>
  <c r="E34" i="16"/>
  <c r="C34" i="10"/>
  <c r="K23" i="10" s="1"/>
  <c r="E24" i="28"/>
  <c r="C24" i="24"/>
  <c r="C34" i="23"/>
  <c r="C34" i="22"/>
  <c r="E24" i="20"/>
  <c r="D34" i="19"/>
  <c r="D15" i="13"/>
  <c r="D15" i="12"/>
  <c r="D24" i="9"/>
  <c r="C33" i="7"/>
  <c r="E34" i="25"/>
  <c r="C33" i="25"/>
  <c r="D33" i="20"/>
  <c r="D24" i="17"/>
  <c r="C33" i="16"/>
  <c r="D24" i="15"/>
  <c r="C33" i="14"/>
  <c r="E15" i="13"/>
  <c r="D24" i="12"/>
  <c r="E33" i="11"/>
  <c r="E24" i="9"/>
  <c r="C34" i="8"/>
  <c r="K24" i="8" s="1"/>
  <c r="D33" i="25"/>
  <c r="D24" i="19"/>
  <c r="E33" i="18"/>
  <c r="D33" i="16"/>
  <c r="D33" i="14"/>
  <c r="D33" i="11"/>
  <c r="D15" i="10"/>
  <c r="D24" i="8"/>
  <c r="D34" i="7"/>
  <c r="E33" i="7"/>
  <c r="C24" i="6"/>
  <c r="C34" i="28"/>
  <c r="E33" i="28"/>
  <c r="C33" i="26"/>
  <c r="D24" i="25"/>
  <c r="E34" i="6"/>
  <c r="D34" i="28"/>
  <c r="E24" i="25"/>
  <c r="C15" i="24"/>
  <c r="D33" i="21"/>
  <c r="E24" i="19"/>
  <c r="D33" i="17"/>
  <c r="D24" i="13"/>
  <c r="C33" i="12"/>
  <c r="C34" i="9"/>
  <c r="E33" i="9"/>
  <c r="E15" i="7"/>
  <c r="E15" i="32"/>
  <c r="E24" i="32"/>
  <c r="C15" i="32"/>
  <c r="D15" i="32"/>
  <c r="C15" i="37"/>
  <c r="E24" i="37"/>
  <c r="D15" i="37"/>
  <c r="D24" i="6"/>
  <c r="C15" i="6"/>
  <c r="E24" i="6"/>
  <c r="D15" i="6"/>
  <c r="E15" i="6"/>
  <c r="D34" i="6"/>
  <c r="C24" i="7"/>
  <c r="C15" i="7"/>
  <c r="E24" i="7"/>
  <c r="D15" i="7"/>
  <c r="C33" i="8"/>
  <c r="C24" i="8"/>
  <c r="D33" i="8"/>
  <c r="C15" i="8"/>
  <c r="E24" i="8"/>
  <c r="D15" i="8"/>
  <c r="E15" i="8"/>
  <c r="C33" i="9"/>
  <c r="D33" i="9"/>
  <c r="C15" i="9"/>
  <c r="D15" i="9"/>
  <c r="E15" i="9"/>
  <c r="E15" i="10"/>
  <c r="E34" i="10"/>
  <c r="C33" i="10"/>
  <c r="C24" i="10"/>
  <c r="C15" i="10"/>
  <c r="E15" i="11"/>
  <c r="E34" i="11"/>
  <c r="C33" i="11"/>
  <c r="C24" i="11"/>
  <c r="C15" i="11"/>
  <c r="E15" i="12"/>
  <c r="E34" i="12"/>
  <c r="C24" i="12"/>
  <c r="C15" i="12"/>
  <c r="E15" i="14"/>
  <c r="E34" i="14"/>
  <c r="C24" i="14"/>
  <c r="C15" i="14"/>
  <c r="D15" i="15"/>
  <c r="E15" i="15"/>
  <c r="E34" i="15"/>
  <c r="C24" i="15"/>
  <c r="C15" i="15"/>
  <c r="C15" i="16"/>
  <c r="E24" i="16"/>
  <c r="D15" i="16"/>
  <c r="C24" i="17"/>
  <c r="E24" i="17"/>
  <c r="D15" i="17"/>
  <c r="D24" i="18"/>
  <c r="C15" i="18"/>
  <c r="D15" i="18"/>
  <c r="E15" i="18"/>
  <c r="C33" i="19"/>
  <c r="C24" i="19"/>
  <c r="C15" i="19"/>
  <c r="D15" i="19"/>
  <c r="E15" i="19"/>
  <c r="C33" i="20"/>
  <c r="C24" i="20"/>
  <c r="D24" i="20"/>
  <c r="C15" i="20"/>
  <c r="E15" i="20"/>
  <c r="C24" i="22"/>
  <c r="C15" i="22"/>
  <c r="D24" i="22"/>
  <c r="E15" i="22"/>
  <c r="D15" i="21"/>
  <c r="E15" i="21"/>
  <c r="C15" i="23"/>
  <c r="D15" i="23"/>
  <c r="E15" i="23"/>
  <c r="C24" i="25"/>
  <c r="C15" i="25"/>
  <c r="D15" i="25"/>
  <c r="E15" i="25"/>
  <c r="C15" i="26"/>
  <c r="E24" i="26"/>
  <c r="D15" i="26"/>
  <c r="C24" i="26"/>
  <c r="C33" i="28"/>
  <c r="D33" i="28"/>
  <c r="C15" i="28"/>
  <c r="D15" i="28"/>
  <c r="E15" i="28"/>
  <c r="C24" i="32"/>
  <c r="D24" i="32"/>
  <c r="C33" i="32"/>
  <c r="E33" i="32"/>
  <c r="D33" i="32"/>
  <c r="Z110" i="54" l="1"/>
  <c r="Z110" i="46"/>
  <c r="Z74" i="54"/>
  <c r="Z74" i="46"/>
  <c r="Z57" i="54"/>
  <c r="Z57" i="46"/>
  <c r="AA57" i="46" s="1"/>
  <c r="AB57" i="46" s="1"/>
  <c r="Z70" i="54"/>
  <c r="Z70" i="46"/>
  <c r="Z132" i="54"/>
  <c r="AA132" i="54" s="1"/>
  <c r="AB132" i="54" s="1"/>
  <c r="Z132" i="46"/>
  <c r="AA132" i="46" s="1"/>
  <c r="AB132" i="46" s="1"/>
  <c r="Z138" i="54"/>
  <c r="AA138" i="54" s="1"/>
  <c r="AB138" i="54" s="1"/>
  <c r="Z138" i="46"/>
  <c r="AA138" i="46" s="1"/>
  <c r="AB138" i="46" s="1"/>
  <c r="Z78" i="54"/>
  <c r="Z78" i="46"/>
  <c r="Z97" i="54"/>
  <c r="Z97" i="46"/>
  <c r="C35" i="6"/>
  <c r="E35" i="6"/>
  <c r="D35" i="6"/>
  <c r="P9" i="39"/>
  <c r="AC9" i="39"/>
  <c r="AH9" i="39"/>
  <c r="AO9" i="39"/>
  <c r="AA87" i="54" l="1"/>
  <c r="AB87" i="54" s="1"/>
  <c r="AJ9" i="39"/>
  <c r="Q9" i="39"/>
  <c r="AE9" i="39" s="1"/>
  <c r="AP9" i="39"/>
  <c r="AD9" i="39"/>
  <c r="AI9" i="39"/>
  <c r="AK9" i="39" l="1"/>
  <c r="AQ9" i="39"/>
  <c r="AH37" i="39" l="1"/>
  <c r="V22" i="37"/>
  <c r="W21" i="37"/>
  <c r="X21" i="37" s="1"/>
  <c r="V21" i="37"/>
  <c r="W20" i="37"/>
  <c r="W23" i="37" s="1"/>
  <c r="V20" i="37"/>
  <c r="Y20" i="37" s="1"/>
  <c r="X22" i="37"/>
  <c r="Y22" i="37"/>
  <c r="Y21" i="37" l="1"/>
  <c r="Y23" i="37"/>
  <c r="Y24" i="37" s="1"/>
  <c r="X20" i="37"/>
  <c r="X23" i="37" s="1"/>
  <c r="X24" i="37" s="1"/>
  <c r="AH36" i="39" l="1"/>
  <c r="GL35" i="1" l="1"/>
  <c r="GO35" i="1"/>
  <c r="GR35" i="1"/>
  <c r="GU35" i="1"/>
  <c r="GX35" i="1"/>
  <c r="GL36" i="1"/>
  <c r="GO36" i="1"/>
  <c r="GR36" i="1"/>
  <c r="GU36" i="1"/>
  <c r="GX36" i="1"/>
  <c r="GL37" i="1"/>
  <c r="GO37" i="1"/>
  <c r="GR37" i="1"/>
  <c r="GU37" i="1"/>
  <c r="GX37" i="1"/>
  <c r="GL38" i="1"/>
  <c r="GO38" i="1"/>
  <c r="GR38" i="1"/>
  <c r="GU38" i="1"/>
  <c r="GX38" i="1"/>
  <c r="GL39" i="1"/>
  <c r="GO39" i="1"/>
  <c r="GR39" i="1"/>
  <c r="GU39" i="1"/>
  <c r="GX39" i="1"/>
  <c r="F42" i="7" l="1"/>
  <c r="G42" i="7"/>
  <c r="I37" i="7" s="1"/>
  <c r="AH35" i="39" l="1"/>
  <c r="GL33" i="1" l="1"/>
  <c r="GO33" i="1"/>
  <c r="GR33" i="1"/>
  <c r="GU33" i="1"/>
  <c r="GX33" i="1"/>
  <c r="GL34" i="1"/>
  <c r="GO34" i="1"/>
  <c r="GR34" i="1"/>
  <c r="GU34" i="1"/>
  <c r="GX34" i="1"/>
  <c r="F42" i="8" l="1"/>
  <c r="G42" i="8"/>
  <c r="I37" i="8" s="1"/>
  <c r="AH34" i="39" l="1"/>
  <c r="AH33" i="39"/>
  <c r="G42" i="10" l="1"/>
  <c r="I37" i="10" s="1"/>
  <c r="F42" i="10"/>
  <c r="AH32" i="39" l="1"/>
  <c r="GL30" i="1" l="1"/>
  <c r="GO30" i="1"/>
  <c r="GR30" i="1"/>
  <c r="GU30" i="1"/>
  <c r="GX30" i="1"/>
  <c r="HA30" i="1"/>
  <c r="GL31" i="1"/>
  <c r="GO31" i="1"/>
  <c r="GR31" i="1"/>
  <c r="GU31" i="1"/>
  <c r="GX31" i="1"/>
  <c r="HA31" i="1"/>
  <c r="GL32" i="1"/>
  <c r="GO32" i="1"/>
  <c r="GR32" i="1"/>
  <c r="GU32" i="1"/>
  <c r="GX32" i="1"/>
  <c r="HA32" i="1"/>
  <c r="AH31" i="39" l="1"/>
  <c r="AH30" i="39" l="1"/>
  <c r="GO29" i="1" l="1"/>
  <c r="GR29" i="1"/>
  <c r="GU29" i="1"/>
  <c r="GX29" i="1"/>
  <c r="HA29" i="1"/>
  <c r="HD29" i="1"/>
  <c r="HG29" i="1"/>
  <c r="HJ29" i="1"/>
  <c r="HD30" i="1"/>
  <c r="HG30" i="1"/>
  <c r="HJ30" i="1"/>
  <c r="HD31" i="1"/>
  <c r="HG31" i="1"/>
  <c r="HJ31" i="1"/>
  <c r="HD32" i="1"/>
  <c r="HG32" i="1"/>
  <c r="HJ32" i="1"/>
  <c r="AH29" i="39" l="1"/>
  <c r="GU28" i="1" l="1"/>
  <c r="GR28" i="1"/>
  <c r="GO28" i="1"/>
  <c r="GL28" i="1"/>
  <c r="GU27" i="1"/>
  <c r="GR27" i="1"/>
  <c r="GO27" i="1"/>
  <c r="GL27" i="1"/>
  <c r="GU26" i="1"/>
  <c r="GR26" i="1"/>
  <c r="GO26" i="1"/>
  <c r="GL26" i="1"/>
  <c r="AH28" i="39" l="1"/>
  <c r="F42" i="15" l="1"/>
  <c r="AH27" i="39"/>
  <c r="AH26" i="39"/>
  <c r="G42" i="15" l="1"/>
  <c r="I37" i="15" s="1"/>
  <c r="AH25" i="39" l="1"/>
  <c r="F42" i="17"/>
  <c r="G42" i="17"/>
  <c r="I37" i="17" s="1"/>
  <c r="AH24" i="39" l="1"/>
  <c r="AH22" i="45" l="1"/>
  <c r="AC22" i="45"/>
  <c r="AH23" i="39" l="1"/>
  <c r="AH22" i="39" l="1"/>
  <c r="G42" i="20"/>
  <c r="I37" i="20" s="1"/>
  <c r="F42" i="20"/>
  <c r="AH21" i="39" l="1"/>
  <c r="P20" i="39" l="1"/>
  <c r="G42" i="21" l="1"/>
  <c r="I37" i="21" s="1"/>
  <c r="F42" i="21"/>
  <c r="AH20" i="39"/>
  <c r="AH19" i="39"/>
  <c r="AH18" i="39" l="1"/>
  <c r="C41" i="24"/>
  <c r="F42" i="26" l="1"/>
  <c r="AH17" i="39"/>
  <c r="G42" i="26" l="1"/>
  <c r="I37" i="26" s="1"/>
  <c r="AH16" i="39" l="1"/>
  <c r="AH15" i="39" l="1"/>
  <c r="AH14" i="39" l="1"/>
  <c r="AH13" i="39" l="1"/>
  <c r="AH12" i="39"/>
  <c r="AH11" i="39" l="1"/>
  <c r="AH10" i="39" l="1"/>
  <c r="J8" i="31" l="1"/>
  <c r="G5" i="47" l="1"/>
  <c r="X183" i="54" l="1"/>
  <c r="BC153" i="54"/>
  <c r="BB153" i="54"/>
  <c r="AZ153" i="54"/>
  <c r="AY153" i="54"/>
  <c r="AX153" i="54"/>
  <c r="AW153" i="54"/>
  <c r="AV153" i="54"/>
  <c r="AU153" i="54"/>
  <c r="AT153" i="54"/>
  <c r="AS153" i="54"/>
  <c r="AQ153" i="54"/>
  <c r="AP153" i="54"/>
  <c r="AO153" i="54"/>
  <c r="AN153" i="54"/>
  <c r="AL153" i="54"/>
  <c r="AK153" i="54"/>
  <c r="AJ153" i="54"/>
  <c r="AI153" i="54"/>
  <c r="AH153" i="54"/>
  <c r="AG153" i="54"/>
  <c r="AF153" i="54"/>
  <c r="Y153" i="54"/>
  <c r="Y155" i="54" s="1"/>
  <c r="S153" i="54"/>
  <c r="R153" i="54"/>
  <c r="Q153" i="54"/>
  <c r="Q154" i="54" s="1"/>
  <c r="AR152" i="54"/>
  <c r="AM152" i="54"/>
  <c r="AC152" i="54"/>
  <c r="AA152" i="54"/>
  <c r="BF155" i="54" l="1"/>
  <c r="BD155" i="54"/>
  <c r="BE155" i="54"/>
  <c r="BB155" i="54"/>
  <c r="BC155" i="54"/>
  <c r="S154" i="54"/>
  <c r="R154" i="54"/>
  <c r="AR153" i="54"/>
  <c r="BA153" i="54"/>
  <c r="AM153" i="54"/>
  <c r="S155" i="54" s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R41" i="1"/>
  <c r="IO41" i="1"/>
  <c r="IL41" i="1"/>
  <c r="II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C41" i="1"/>
  <c r="BZ41" i="1"/>
  <c r="BW41" i="1"/>
  <c r="BT41" i="1"/>
  <c r="BQ41" i="1"/>
  <c r="BN41" i="1"/>
  <c r="BK41" i="1"/>
  <c r="BH41" i="1"/>
  <c r="BE41" i="1"/>
  <c r="BB41" i="1"/>
  <c r="AY41" i="1"/>
  <c r="AS41" i="1"/>
  <c r="AP41" i="1"/>
  <c r="AJ41" i="1"/>
  <c r="AG41" i="1"/>
  <c r="AD41" i="1"/>
  <c r="AA41" i="1"/>
  <c r="X41" i="1"/>
  <c r="U41" i="1"/>
  <c r="R41" i="1"/>
  <c r="O41" i="1"/>
  <c r="L41" i="1"/>
  <c r="I41" i="1"/>
  <c r="F41" i="1"/>
  <c r="KO39" i="1"/>
  <c r="KL39" i="1"/>
  <c r="KI39" i="1"/>
  <c r="KF39" i="1"/>
  <c r="KC39" i="1"/>
  <c r="JZ39" i="1"/>
  <c r="JW39" i="1"/>
  <c r="JT39" i="1"/>
  <c r="JQ39" i="1"/>
  <c r="JN39" i="1"/>
  <c r="JK39" i="1"/>
  <c r="JH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O38" i="1"/>
  <c r="KL38" i="1"/>
  <c r="KI38" i="1"/>
  <c r="KF38" i="1"/>
  <c r="KC38" i="1"/>
  <c r="JZ38" i="1"/>
  <c r="JW38" i="1"/>
  <c r="JT38" i="1"/>
  <c r="JQ38" i="1"/>
  <c r="JN38" i="1"/>
  <c r="JK38" i="1"/>
  <c r="JH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O37" i="1"/>
  <c r="KL37" i="1"/>
  <c r="KI37" i="1"/>
  <c r="KF37" i="1"/>
  <c r="KC37" i="1"/>
  <c r="JZ37" i="1"/>
  <c r="JW37" i="1"/>
  <c r="JT37" i="1"/>
  <c r="JQ37" i="1"/>
  <c r="JN37" i="1"/>
  <c r="JK37" i="1"/>
  <c r="JH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O36" i="1"/>
  <c r="KL36" i="1"/>
  <c r="KI36" i="1"/>
  <c r="KF36" i="1"/>
  <c r="KC36" i="1"/>
  <c r="JZ36" i="1"/>
  <c r="JW36" i="1"/>
  <c r="JT36" i="1"/>
  <c r="JQ36" i="1"/>
  <c r="JN36" i="1"/>
  <c r="JK36" i="1"/>
  <c r="JH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O35" i="1"/>
  <c r="KL35" i="1"/>
  <c r="KI35" i="1"/>
  <c r="KF35" i="1"/>
  <c r="KC35" i="1"/>
  <c r="JZ35" i="1"/>
  <c r="JW35" i="1"/>
  <c r="JT35" i="1"/>
  <c r="JQ35" i="1"/>
  <c r="JN35" i="1"/>
  <c r="JK35" i="1"/>
  <c r="JH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O34" i="1"/>
  <c r="KL34" i="1"/>
  <c r="KI34" i="1"/>
  <c r="KF34" i="1"/>
  <c r="KC34" i="1"/>
  <c r="JZ34" i="1"/>
  <c r="JW34" i="1"/>
  <c r="JT34" i="1"/>
  <c r="JQ34" i="1"/>
  <c r="JN34" i="1"/>
  <c r="JK34" i="1"/>
  <c r="JH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O33" i="1"/>
  <c r="KL33" i="1"/>
  <c r="KI33" i="1"/>
  <c r="KF33" i="1"/>
  <c r="KC33" i="1"/>
  <c r="JZ33" i="1"/>
  <c r="JW33" i="1"/>
  <c r="JT33" i="1"/>
  <c r="JQ33" i="1"/>
  <c r="JN33" i="1"/>
  <c r="JK33" i="1"/>
  <c r="JH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O32" i="1"/>
  <c r="KL32" i="1"/>
  <c r="KI32" i="1"/>
  <c r="KF32" i="1"/>
  <c r="KC32" i="1"/>
  <c r="JZ32" i="1"/>
  <c r="JW32" i="1"/>
  <c r="JT32" i="1"/>
  <c r="JQ32" i="1"/>
  <c r="JN32" i="1"/>
  <c r="JK32" i="1"/>
  <c r="JH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O31" i="1"/>
  <c r="KL31" i="1"/>
  <c r="KI31" i="1"/>
  <c r="KF31" i="1"/>
  <c r="KC31" i="1"/>
  <c r="JZ31" i="1"/>
  <c r="JW31" i="1"/>
  <c r="JT31" i="1"/>
  <c r="JQ31" i="1"/>
  <c r="JN31" i="1"/>
  <c r="JK31" i="1"/>
  <c r="JH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O30" i="1"/>
  <c r="KL30" i="1"/>
  <c r="KI30" i="1"/>
  <c r="KF30" i="1"/>
  <c r="KC30" i="1"/>
  <c r="JZ30" i="1"/>
  <c r="JW30" i="1"/>
  <c r="JT30" i="1"/>
  <c r="JQ30" i="1"/>
  <c r="JN30" i="1"/>
  <c r="JK30" i="1"/>
  <c r="JH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O29" i="1"/>
  <c r="KL29" i="1"/>
  <c r="KI29" i="1"/>
  <c r="KF29" i="1"/>
  <c r="KC29" i="1"/>
  <c r="JZ29" i="1"/>
  <c r="JW29" i="1"/>
  <c r="JT29" i="1"/>
  <c r="JQ29" i="1"/>
  <c r="JN29" i="1"/>
  <c r="JK29" i="1"/>
  <c r="JH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O28" i="1"/>
  <c r="KL28" i="1"/>
  <c r="KI28" i="1"/>
  <c r="KF28" i="1"/>
  <c r="KC28" i="1"/>
  <c r="JZ28" i="1"/>
  <c r="JW28" i="1"/>
  <c r="JT28" i="1"/>
  <c r="JQ28" i="1"/>
  <c r="JN28" i="1"/>
  <c r="JK28" i="1"/>
  <c r="JH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O27" i="1"/>
  <c r="KL27" i="1"/>
  <c r="KI27" i="1"/>
  <c r="KF27" i="1"/>
  <c r="KC27" i="1"/>
  <c r="JZ27" i="1"/>
  <c r="JW27" i="1"/>
  <c r="JT27" i="1"/>
  <c r="JQ27" i="1"/>
  <c r="JN27" i="1"/>
  <c r="JK27" i="1"/>
  <c r="JH27" i="1"/>
  <c r="JF27" i="1"/>
  <c r="JC27" i="1"/>
  <c r="IZ27" i="1"/>
  <c r="IW27" i="1"/>
  <c r="IT27" i="1"/>
  <c r="IQ27" i="1"/>
  <c r="IN27" i="1"/>
  <c r="IK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O26" i="1"/>
  <c r="KL26" i="1"/>
  <c r="KI26" i="1"/>
  <c r="KF26" i="1"/>
  <c r="KC26" i="1"/>
  <c r="JZ26" i="1"/>
  <c r="JW26" i="1"/>
  <c r="JT26" i="1"/>
  <c r="JQ26" i="1"/>
  <c r="JN26" i="1"/>
  <c r="JK26" i="1"/>
  <c r="JH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O25" i="1"/>
  <c r="KL25" i="1"/>
  <c r="KI25" i="1"/>
  <c r="KF25" i="1"/>
  <c r="KC25" i="1"/>
  <c r="JZ25" i="1"/>
  <c r="JW25" i="1"/>
  <c r="JT25" i="1"/>
  <c r="JQ25" i="1"/>
  <c r="JN25" i="1"/>
  <c r="JK25" i="1"/>
  <c r="JH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O24" i="1"/>
  <c r="KL24" i="1"/>
  <c r="KI24" i="1"/>
  <c r="KF24" i="1"/>
  <c r="KC24" i="1"/>
  <c r="JZ24" i="1"/>
  <c r="JW24" i="1"/>
  <c r="JT24" i="1"/>
  <c r="JQ24" i="1"/>
  <c r="JN24" i="1"/>
  <c r="JK24" i="1"/>
  <c r="JH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O23" i="1"/>
  <c r="KL23" i="1"/>
  <c r="KI23" i="1"/>
  <c r="KF23" i="1"/>
  <c r="KC23" i="1"/>
  <c r="JZ23" i="1"/>
  <c r="JW23" i="1"/>
  <c r="JT23" i="1"/>
  <c r="JQ23" i="1"/>
  <c r="JN23" i="1"/>
  <c r="JK23" i="1"/>
  <c r="JH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O22" i="1"/>
  <c r="KL22" i="1"/>
  <c r="KI22" i="1"/>
  <c r="KF22" i="1"/>
  <c r="KC22" i="1"/>
  <c r="JZ22" i="1"/>
  <c r="JW22" i="1"/>
  <c r="JT22" i="1"/>
  <c r="JQ22" i="1"/>
  <c r="JN22" i="1"/>
  <c r="JK22" i="1"/>
  <c r="JH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O21" i="1"/>
  <c r="KL21" i="1"/>
  <c r="KI21" i="1"/>
  <c r="KF21" i="1"/>
  <c r="KC21" i="1"/>
  <c r="JZ21" i="1"/>
  <c r="JW21" i="1"/>
  <c r="JT21" i="1"/>
  <c r="JQ21" i="1"/>
  <c r="JN21" i="1"/>
  <c r="JK21" i="1"/>
  <c r="JH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O20" i="1"/>
  <c r="KL20" i="1"/>
  <c r="KI20" i="1"/>
  <c r="KF20" i="1"/>
  <c r="KC20" i="1"/>
  <c r="JZ20" i="1"/>
  <c r="JW20" i="1"/>
  <c r="JT20" i="1"/>
  <c r="JQ20" i="1"/>
  <c r="JN20" i="1"/>
  <c r="JK20" i="1"/>
  <c r="JH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O19" i="1"/>
  <c r="KL19" i="1"/>
  <c r="KI19" i="1"/>
  <c r="KF19" i="1"/>
  <c r="KC19" i="1"/>
  <c r="JZ19" i="1"/>
  <c r="JW19" i="1"/>
  <c r="JT19" i="1"/>
  <c r="JQ19" i="1"/>
  <c r="JN19" i="1"/>
  <c r="JK19" i="1"/>
  <c r="JH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O18" i="1"/>
  <c r="KL18" i="1"/>
  <c r="KI18" i="1"/>
  <c r="KF18" i="1"/>
  <c r="KC18" i="1"/>
  <c r="JZ18" i="1"/>
  <c r="JW18" i="1"/>
  <c r="JT18" i="1"/>
  <c r="JQ18" i="1"/>
  <c r="JN18" i="1"/>
  <c r="JK18" i="1"/>
  <c r="JH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O17" i="1"/>
  <c r="KL17" i="1"/>
  <c r="KI17" i="1"/>
  <c r="KF17" i="1"/>
  <c r="KC17" i="1"/>
  <c r="JZ17" i="1"/>
  <c r="JW17" i="1"/>
  <c r="JT17" i="1"/>
  <c r="JQ17" i="1"/>
  <c r="JN17" i="1"/>
  <c r="JK17" i="1"/>
  <c r="JH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O16" i="1"/>
  <c r="KL16" i="1"/>
  <c r="KI16" i="1"/>
  <c r="KF16" i="1"/>
  <c r="KC16" i="1"/>
  <c r="JZ16" i="1"/>
  <c r="JW16" i="1"/>
  <c r="JT16" i="1"/>
  <c r="JQ16" i="1"/>
  <c r="JN16" i="1"/>
  <c r="JK16" i="1"/>
  <c r="JH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O15" i="1"/>
  <c r="KL15" i="1"/>
  <c r="KI15" i="1"/>
  <c r="KF15" i="1"/>
  <c r="KC15" i="1"/>
  <c r="JZ15" i="1"/>
  <c r="JW15" i="1"/>
  <c r="JT15" i="1"/>
  <c r="JQ15" i="1"/>
  <c r="JN15" i="1"/>
  <c r="JK15" i="1"/>
  <c r="JH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O14" i="1"/>
  <c r="KL14" i="1"/>
  <c r="KI14" i="1"/>
  <c r="KF14" i="1"/>
  <c r="KC14" i="1"/>
  <c r="JZ14" i="1"/>
  <c r="JW14" i="1"/>
  <c r="JT14" i="1"/>
  <c r="JQ14" i="1"/>
  <c r="JN14" i="1"/>
  <c r="JK14" i="1"/>
  <c r="JH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O13" i="1"/>
  <c r="KL13" i="1"/>
  <c r="KI13" i="1"/>
  <c r="KF13" i="1"/>
  <c r="KC13" i="1"/>
  <c r="JZ13" i="1"/>
  <c r="JW13" i="1"/>
  <c r="JT13" i="1"/>
  <c r="JQ13" i="1"/>
  <c r="JN13" i="1"/>
  <c r="JK13" i="1"/>
  <c r="JH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O12" i="1"/>
  <c r="KL12" i="1"/>
  <c r="KI12" i="1"/>
  <c r="KF12" i="1"/>
  <c r="KC12" i="1"/>
  <c r="JZ12" i="1"/>
  <c r="JW12" i="1"/>
  <c r="JT12" i="1"/>
  <c r="JQ12" i="1"/>
  <c r="JN12" i="1"/>
  <c r="JK12" i="1"/>
  <c r="JH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O11" i="1"/>
  <c r="KL11" i="1"/>
  <c r="KI11" i="1"/>
  <c r="KF11" i="1"/>
  <c r="KC11" i="1"/>
  <c r="JZ11" i="1"/>
  <c r="JW11" i="1"/>
  <c r="JT11" i="1"/>
  <c r="JQ11" i="1"/>
  <c r="JN11" i="1"/>
  <c r="JK11" i="1"/>
  <c r="JH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L11" i="1"/>
  <c r="AI11" i="1"/>
  <c r="AF11" i="1"/>
  <c r="AC11" i="1"/>
  <c r="Z11" i="1"/>
  <c r="W11" i="1"/>
  <c r="T11" i="1"/>
  <c r="Q11" i="1"/>
  <c r="N11" i="1"/>
  <c r="K11" i="1"/>
  <c r="H11" i="1"/>
  <c r="KO10" i="1"/>
  <c r="KL10" i="1"/>
  <c r="KI10" i="1"/>
  <c r="KF10" i="1"/>
  <c r="KC10" i="1"/>
  <c r="JZ10" i="1"/>
  <c r="JW10" i="1"/>
  <c r="JT10" i="1"/>
  <c r="JQ10" i="1"/>
  <c r="JN10" i="1"/>
  <c r="JK10" i="1"/>
  <c r="JH10" i="1"/>
  <c r="JF10" i="1"/>
  <c r="JC10" i="1"/>
  <c r="IZ10" i="1"/>
  <c r="IW10" i="1"/>
  <c r="IT10" i="1"/>
  <c r="IQ10" i="1"/>
  <c r="IN10" i="1"/>
  <c r="IK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O9" i="1"/>
  <c r="KL9" i="1"/>
  <c r="KI9" i="1"/>
  <c r="KF9" i="1"/>
  <c r="KC9" i="1"/>
  <c r="JZ9" i="1"/>
  <c r="JW9" i="1"/>
  <c r="JT9" i="1"/>
  <c r="JQ9" i="1"/>
  <c r="JN9" i="1"/>
  <c r="JK9" i="1"/>
  <c r="JH9" i="1"/>
  <c r="JF9" i="1"/>
  <c r="JC9" i="1"/>
  <c r="IZ9" i="1"/>
  <c r="IT9" i="1"/>
  <c r="IQ9" i="1"/>
  <c r="IN9" i="1"/>
  <c r="IK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P37" i="1"/>
  <c r="KM35" i="1"/>
  <c r="KJ33" i="1"/>
  <c r="KG39" i="1"/>
  <c r="KD37" i="1"/>
  <c r="KA35" i="1"/>
  <c r="JX33" i="1"/>
  <c r="JU39" i="1"/>
  <c r="JR37" i="1"/>
  <c r="JO35" i="1"/>
  <c r="JL33" i="1"/>
  <c r="JI39" i="1"/>
  <c r="BC153" i="46"/>
  <c r="BB153" i="46"/>
  <c r="AZ153" i="46"/>
  <c r="AY153" i="46"/>
  <c r="AX153" i="46"/>
  <c r="AW153" i="46"/>
  <c r="AV153" i="46"/>
  <c r="AU153" i="46"/>
  <c r="AT153" i="46"/>
  <c r="AS153" i="46"/>
  <c r="AQ153" i="46"/>
  <c r="AP153" i="46"/>
  <c r="AO153" i="46"/>
  <c r="AN153" i="46"/>
  <c r="AL153" i="46"/>
  <c r="AK153" i="46"/>
  <c r="AJ153" i="46"/>
  <c r="AI153" i="46"/>
  <c r="AH153" i="46"/>
  <c r="AG153" i="46"/>
  <c r="AF153" i="46"/>
  <c r="AR8" i="46"/>
  <c r="BA8" i="46" s="1"/>
  <c r="AM8" i="46"/>
  <c r="AR7" i="46"/>
  <c r="BA7" i="46" s="1"/>
  <c r="AM7" i="46"/>
  <c r="AR6" i="46"/>
  <c r="AM6" i="46"/>
  <c r="JT41" i="1" l="1"/>
  <c r="V41" i="1"/>
  <c r="Z41" i="1"/>
  <c r="K41" i="1"/>
  <c r="Q41" i="1"/>
  <c r="BM41" i="1"/>
  <c r="T41" i="1"/>
  <c r="KQ38" i="1"/>
  <c r="BV41" i="1"/>
  <c r="CT41" i="1"/>
  <c r="DR41" i="1"/>
  <c r="EP41" i="1"/>
  <c r="FN41" i="1"/>
  <c r="GL41" i="1"/>
  <c r="HJ41" i="1"/>
  <c r="JC41" i="1"/>
  <c r="CK41" i="1"/>
  <c r="DI41" i="1"/>
  <c r="EG41" i="1"/>
  <c r="BR41" i="1"/>
  <c r="HF41" i="1"/>
  <c r="AD7" i="46"/>
  <c r="AM153" i="46"/>
  <c r="KQ9" i="1"/>
  <c r="AD8" i="46"/>
  <c r="AR153" i="46"/>
  <c r="KQ19" i="1"/>
  <c r="KQ17" i="1"/>
  <c r="KQ14" i="1"/>
  <c r="KQ15" i="1"/>
  <c r="KQ16" i="1"/>
  <c r="KQ20" i="1"/>
  <c r="KQ18" i="1"/>
  <c r="KQ24" i="1"/>
  <c r="KQ25" i="1"/>
  <c r="KQ30" i="1"/>
  <c r="KQ22" i="1"/>
  <c r="KQ26" i="1"/>
  <c r="KQ23" i="1"/>
  <c r="KQ21" i="1"/>
  <c r="KQ28" i="1"/>
  <c r="KQ27" i="1"/>
  <c r="KQ29" i="1"/>
  <c r="KQ32" i="1"/>
  <c r="KQ34" i="1"/>
  <c r="KQ31" i="1"/>
  <c r="KQ35" i="1"/>
  <c r="KQ39" i="1"/>
  <c r="FE41" i="1"/>
  <c r="GC41" i="1"/>
  <c r="HA41" i="1"/>
  <c r="HY41" i="1"/>
  <c r="IT41" i="1"/>
  <c r="KQ36" i="1"/>
  <c r="AR41" i="1"/>
  <c r="BP41" i="1"/>
  <c r="CN41" i="1"/>
  <c r="DL41" i="1"/>
  <c r="EJ41" i="1"/>
  <c r="FH41" i="1"/>
  <c r="GF41" i="1"/>
  <c r="HD41" i="1"/>
  <c r="IB41" i="1"/>
  <c r="AB41" i="1"/>
  <c r="AZ41" i="1"/>
  <c r="BX41" i="1"/>
  <c r="CV41" i="1"/>
  <c r="DT41" i="1"/>
  <c r="ER41" i="1"/>
  <c r="FP41" i="1"/>
  <c r="GN41" i="1"/>
  <c r="HL41" i="1"/>
  <c r="JE41" i="1"/>
  <c r="KC41" i="1"/>
  <c r="G41" i="1"/>
  <c r="KQ37" i="1"/>
  <c r="AH41" i="1"/>
  <c r="HS41" i="1"/>
  <c r="IN41" i="1"/>
  <c r="AL41" i="1"/>
  <c r="BJ41" i="1"/>
  <c r="DF41" i="1"/>
  <c r="ED41" i="1"/>
  <c r="FB41" i="1"/>
  <c r="FZ41" i="1"/>
  <c r="GX41" i="1"/>
  <c r="HV41" i="1"/>
  <c r="IQ41" i="1"/>
  <c r="AD153" i="54"/>
  <c r="T9" i="53" s="1"/>
  <c r="R155" i="54"/>
  <c r="KJ10" i="1"/>
  <c r="JU41" i="1"/>
  <c r="JU9" i="1"/>
  <c r="KJ11" i="1"/>
  <c r="KQ12" i="1"/>
  <c r="KA41" i="1"/>
  <c r="JI9" i="1"/>
  <c r="KD9" i="1"/>
  <c r="KD10" i="1"/>
  <c r="JI11" i="1"/>
  <c r="KQ13" i="1"/>
  <c r="JL41" i="1"/>
  <c r="KJ41" i="1"/>
  <c r="JL10" i="1"/>
  <c r="JI12" i="1"/>
  <c r="JO41" i="1"/>
  <c r="KM41" i="1"/>
  <c r="KG9" i="1"/>
  <c r="JL11" i="1"/>
  <c r="KG11" i="1"/>
  <c r="KG12" i="1"/>
  <c r="JR41" i="1"/>
  <c r="KP41" i="1"/>
  <c r="JU12" i="1"/>
  <c r="KJ9" i="1"/>
  <c r="JI10" i="1"/>
  <c r="JU10" i="1"/>
  <c r="KG10" i="1"/>
  <c r="JL12" i="1"/>
  <c r="JX12" i="1"/>
  <c r="KJ12" i="1"/>
  <c r="JO14" i="1"/>
  <c r="KA14" i="1"/>
  <c r="KM14" i="1"/>
  <c r="JR16" i="1"/>
  <c r="KD16" i="1"/>
  <c r="KP16" i="1"/>
  <c r="JI18" i="1"/>
  <c r="JU18" i="1"/>
  <c r="KG18" i="1"/>
  <c r="JL20" i="1"/>
  <c r="JX20" i="1"/>
  <c r="KJ20" i="1"/>
  <c r="JO22" i="1"/>
  <c r="KA22" i="1"/>
  <c r="KM22" i="1"/>
  <c r="JR24" i="1"/>
  <c r="KD24" i="1"/>
  <c r="KP24" i="1"/>
  <c r="JI26" i="1"/>
  <c r="JU26" i="1"/>
  <c r="KG26" i="1"/>
  <c r="JL28" i="1"/>
  <c r="JX28" i="1"/>
  <c r="KJ28" i="1"/>
  <c r="JO30" i="1"/>
  <c r="KA30" i="1"/>
  <c r="KM30" i="1"/>
  <c r="JR32" i="1"/>
  <c r="KD32" i="1"/>
  <c r="KP32" i="1"/>
  <c r="JI34" i="1"/>
  <c r="JU34" i="1"/>
  <c r="KG34" i="1"/>
  <c r="JL36" i="1"/>
  <c r="JX36" i="1"/>
  <c r="KJ36" i="1"/>
  <c r="JO38" i="1"/>
  <c r="KA38" i="1"/>
  <c r="KM38" i="1"/>
  <c r="M41" i="1"/>
  <c r="AC41" i="1"/>
  <c r="AK41" i="1"/>
  <c r="BA41" i="1"/>
  <c r="BI41" i="1"/>
  <c r="BY41" i="1"/>
  <c r="CW41" i="1"/>
  <c r="DE41" i="1"/>
  <c r="DU41" i="1"/>
  <c r="EC41" i="1"/>
  <c r="ES41" i="1"/>
  <c r="FA41" i="1"/>
  <c r="FQ41" i="1"/>
  <c r="FY41" i="1"/>
  <c r="GO41" i="1"/>
  <c r="GW41" i="1"/>
  <c r="HM41" i="1"/>
  <c r="HU41" i="1"/>
  <c r="IP41" i="1"/>
  <c r="JF41" i="1"/>
  <c r="JN41" i="1"/>
  <c r="KD41" i="1"/>
  <c r="KL41" i="1"/>
  <c r="JO9" i="1"/>
  <c r="KA9" i="1"/>
  <c r="KM9" i="1"/>
  <c r="JR11" i="1"/>
  <c r="KD11" i="1"/>
  <c r="KP11" i="1"/>
  <c r="JI13" i="1"/>
  <c r="JU13" i="1"/>
  <c r="KG13" i="1"/>
  <c r="JL15" i="1"/>
  <c r="JX15" i="1"/>
  <c r="KJ15" i="1"/>
  <c r="JO17" i="1"/>
  <c r="KA17" i="1"/>
  <c r="KM17" i="1"/>
  <c r="JR19" i="1"/>
  <c r="KD19" i="1"/>
  <c r="KP19" i="1"/>
  <c r="JI21" i="1"/>
  <c r="JU21" i="1"/>
  <c r="KG21" i="1"/>
  <c r="JL23" i="1"/>
  <c r="JX23" i="1"/>
  <c r="KJ23" i="1"/>
  <c r="JO25" i="1"/>
  <c r="KA25" i="1"/>
  <c r="KM25" i="1"/>
  <c r="JR27" i="1"/>
  <c r="KD27" i="1"/>
  <c r="KP27" i="1"/>
  <c r="JI29" i="1"/>
  <c r="JU29" i="1"/>
  <c r="KG29" i="1"/>
  <c r="JL31" i="1"/>
  <c r="JX31" i="1"/>
  <c r="KJ31" i="1"/>
  <c r="JO33" i="1"/>
  <c r="KA33" i="1"/>
  <c r="KM33" i="1"/>
  <c r="JR35" i="1"/>
  <c r="KD35" i="1"/>
  <c r="KP35" i="1"/>
  <c r="JI37" i="1"/>
  <c r="JU37" i="1"/>
  <c r="KG37" i="1"/>
  <c r="JL39" i="1"/>
  <c r="JX39" i="1"/>
  <c r="KJ39" i="1"/>
  <c r="N41" i="1"/>
  <c r="AT41" i="1"/>
  <c r="CP41" i="1"/>
  <c r="DN41" i="1"/>
  <c r="EL41" i="1"/>
  <c r="FJ41" i="1"/>
  <c r="GH41" i="1"/>
  <c r="ID41" i="1"/>
  <c r="IY41" i="1"/>
  <c r="JW41" i="1"/>
  <c r="JX10" i="1"/>
  <c r="JO12" i="1"/>
  <c r="KA12" i="1"/>
  <c r="KM12" i="1"/>
  <c r="JR14" i="1"/>
  <c r="KD14" i="1"/>
  <c r="KP14" i="1"/>
  <c r="JI16" i="1"/>
  <c r="JU16" i="1"/>
  <c r="KG16" i="1"/>
  <c r="JL18" i="1"/>
  <c r="JX18" i="1"/>
  <c r="KJ18" i="1"/>
  <c r="JO20" i="1"/>
  <c r="KA20" i="1"/>
  <c r="KM20" i="1"/>
  <c r="JR22" i="1"/>
  <c r="KD22" i="1"/>
  <c r="KP22" i="1"/>
  <c r="JI24" i="1"/>
  <c r="JU24" i="1"/>
  <c r="KG24" i="1"/>
  <c r="JL26" i="1"/>
  <c r="JX26" i="1"/>
  <c r="KJ26" i="1"/>
  <c r="JO28" i="1"/>
  <c r="KA28" i="1"/>
  <c r="KM28" i="1"/>
  <c r="JR30" i="1"/>
  <c r="KD30" i="1"/>
  <c r="KP30" i="1"/>
  <c r="JI32" i="1"/>
  <c r="JU32" i="1"/>
  <c r="KG32" i="1"/>
  <c r="JL34" i="1"/>
  <c r="JX34" i="1"/>
  <c r="KJ34" i="1"/>
  <c r="JO36" i="1"/>
  <c r="KA36" i="1"/>
  <c r="KM36" i="1"/>
  <c r="JR38" i="1"/>
  <c r="KD38" i="1"/>
  <c r="KP38" i="1"/>
  <c r="W41" i="1"/>
  <c r="AE41" i="1"/>
  <c r="AU41" i="1"/>
  <c r="BC41" i="1"/>
  <c r="BS41" i="1"/>
  <c r="CA41" i="1"/>
  <c r="CQ41" i="1"/>
  <c r="CY41" i="1"/>
  <c r="DO41" i="1"/>
  <c r="DW41" i="1"/>
  <c r="EM41" i="1"/>
  <c r="EU41" i="1"/>
  <c r="FK41" i="1"/>
  <c r="FS41" i="1"/>
  <c r="GI41" i="1"/>
  <c r="GQ41" i="1"/>
  <c r="HG41" i="1"/>
  <c r="HO41" i="1"/>
  <c r="IE41" i="1"/>
  <c r="IJ41" i="1"/>
  <c r="IZ41" i="1"/>
  <c r="JH41" i="1"/>
  <c r="JX41" i="1"/>
  <c r="KF41" i="1"/>
  <c r="JR9" i="1"/>
  <c r="KP9" i="1"/>
  <c r="JU11" i="1"/>
  <c r="JL13" i="1"/>
  <c r="JX13" i="1"/>
  <c r="KJ13" i="1"/>
  <c r="JO15" i="1"/>
  <c r="KA15" i="1"/>
  <c r="KM15" i="1"/>
  <c r="JR17" i="1"/>
  <c r="KD17" i="1"/>
  <c r="KP17" i="1"/>
  <c r="JI19" i="1"/>
  <c r="JU19" i="1"/>
  <c r="KG19" i="1"/>
  <c r="JL21" i="1"/>
  <c r="JX21" i="1"/>
  <c r="KJ21" i="1"/>
  <c r="JO23" i="1"/>
  <c r="KA23" i="1"/>
  <c r="KM23" i="1"/>
  <c r="JR25" i="1"/>
  <c r="KD25" i="1"/>
  <c r="KP25" i="1"/>
  <c r="JI27" i="1"/>
  <c r="JU27" i="1"/>
  <c r="KG27" i="1"/>
  <c r="JL29" i="1"/>
  <c r="JX29" i="1"/>
  <c r="KJ29" i="1"/>
  <c r="JO31" i="1"/>
  <c r="KA31" i="1"/>
  <c r="KM31" i="1"/>
  <c r="JR33" i="1"/>
  <c r="KD33" i="1"/>
  <c r="KP33" i="1"/>
  <c r="JI35" i="1"/>
  <c r="JU35" i="1"/>
  <c r="KG35" i="1"/>
  <c r="JL37" i="1"/>
  <c r="JX37" i="1"/>
  <c r="KJ37" i="1"/>
  <c r="JO39" i="1"/>
  <c r="KA39" i="1"/>
  <c r="KM39" i="1"/>
  <c r="H41" i="1"/>
  <c r="P41" i="1"/>
  <c r="AF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K41" i="1"/>
  <c r="IS41" i="1"/>
  <c r="JI41" i="1"/>
  <c r="JQ41" i="1"/>
  <c r="KG41" i="1"/>
  <c r="KO41" i="1"/>
  <c r="JO10" i="1"/>
  <c r="KA10" i="1"/>
  <c r="KM10" i="1"/>
  <c r="JR12" i="1"/>
  <c r="KD12" i="1"/>
  <c r="KP12" i="1"/>
  <c r="JI14" i="1"/>
  <c r="JU14" i="1"/>
  <c r="KG14" i="1"/>
  <c r="JL16" i="1"/>
  <c r="JX16" i="1"/>
  <c r="KJ16" i="1"/>
  <c r="JO18" i="1"/>
  <c r="KA18" i="1"/>
  <c r="KM18" i="1"/>
  <c r="JR20" i="1"/>
  <c r="KD20" i="1"/>
  <c r="KP20" i="1"/>
  <c r="JI22" i="1"/>
  <c r="JU22" i="1"/>
  <c r="KG22" i="1"/>
  <c r="JL24" i="1"/>
  <c r="JX24" i="1"/>
  <c r="KJ24" i="1"/>
  <c r="JO26" i="1"/>
  <c r="KA26" i="1"/>
  <c r="KM26" i="1"/>
  <c r="JR28" i="1"/>
  <c r="KD28" i="1"/>
  <c r="KP28" i="1"/>
  <c r="JI30" i="1"/>
  <c r="JU30" i="1"/>
  <c r="KG30" i="1"/>
  <c r="JL32" i="1"/>
  <c r="JX32" i="1"/>
  <c r="KJ32" i="1"/>
  <c r="JO34" i="1"/>
  <c r="KA34" i="1"/>
  <c r="KM34" i="1"/>
  <c r="JR36" i="1"/>
  <c r="KD36" i="1"/>
  <c r="KP36" i="1"/>
  <c r="JI38" i="1"/>
  <c r="JU38" i="1"/>
  <c r="KG38" i="1"/>
  <c r="Y41" i="1"/>
  <c r="BU41" i="1"/>
  <c r="CS41" i="1"/>
  <c r="DQ41" i="1"/>
  <c r="EO41" i="1"/>
  <c r="FM41" i="1"/>
  <c r="GK41" i="1"/>
  <c r="HI41" i="1"/>
  <c r="JB41" i="1"/>
  <c r="JZ41" i="1"/>
  <c r="JO13" i="1"/>
  <c r="KA13" i="1"/>
  <c r="KM13" i="1"/>
  <c r="JR15" i="1"/>
  <c r="KD15" i="1"/>
  <c r="KP15" i="1"/>
  <c r="JI17" i="1"/>
  <c r="JU17" i="1"/>
  <c r="KG17" i="1"/>
  <c r="JL19" i="1"/>
  <c r="JX19" i="1"/>
  <c r="KJ19" i="1"/>
  <c r="JO21" i="1"/>
  <c r="KA21" i="1"/>
  <c r="KM21" i="1"/>
  <c r="JR23" i="1"/>
  <c r="KD23" i="1"/>
  <c r="KP23" i="1"/>
  <c r="JI25" i="1"/>
  <c r="JU25" i="1"/>
  <c r="KG25" i="1"/>
  <c r="JL27" i="1"/>
  <c r="JX27" i="1"/>
  <c r="KJ27" i="1"/>
  <c r="JO29" i="1"/>
  <c r="KA29" i="1"/>
  <c r="KM29" i="1"/>
  <c r="JR31" i="1"/>
  <c r="KD31" i="1"/>
  <c r="KP31" i="1"/>
  <c r="JI33" i="1"/>
  <c r="JU33" i="1"/>
  <c r="KG33" i="1"/>
  <c r="JL35" i="1"/>
  <c r="JX35" i="1"/>
  <c r="KJ35" i="1"/>
  <c r="JO37" i="1"/>
  <c r="KA37" i="1"/>
  <c r="KM37" i="1"/>
  <c r="JR39" i="1"/>
  <c r="KD39" i="1"/>
  <c r="KP39" i="1"/>
  <c r="J41" i="1"/>
  <c r="BF41" i="1"/>
  <c r="CD41" i="1"/>
  <c r="DB41" i="1"/>
  <c r="DZ41" i="1"/>
  <c r="EX41" i="1"/>
  <c r="FV41" i="1"/>
  <c r="GT41" i="1"/>
  <c r="HR41" i="1"/>
  <c r="IM41" i="1"/>
  <c r="JK41" i="1"/>
  <c r="KI41" i="1"/>
  <c r="JX11" i="1"/>
  <c r="JR10" i="1"/>
  <c r="JL14" i="1"/>
  <c r="JX14" i="1"/>
  <c r="KJ14" i="1"/>
  <c r="JO16" i="1"/>
  <c r="KA16" i="1"/>
  <c r="KM16" i="1"/>
  <c r="JR18" i="1"/>
  <c r="KD18" i="1"/>
  <c r="KP18" i="1"/>
  <c r="JI20" i="1"/>
  <c r="JU20" i="1"/>
  <c r="KG20" i="1"/>
  <c r="JL22" i="1"/>
  <c r="JX22" i="1"/>
  <c r="KJ22" i="1"/>
  <c r="JO24" i="1"/>
  <c r="KA24" i="1"/>
  <c r="KM24" i="1"/>
  <c r="JR26" i="1"/>
  <c r="KD26" i="1"/>
  <c r="KP26" i="1"/>
  <c r="JI28" i="1"/>
  <c r="JU28" i="1"/>
  <c r="KG28" i="1"/>
  <c r="JL30" i="1"/>
  <c r="JX30" i="1"/>
  <c r="KJ30" i="1"/>
  <c r="JO32" i="1"/>
  <c r="KA32" i="1"/>
  <c r="KM32" i="1"/>
  <c r="JR34" i="1"/>
  <c r="KD34" i="1"/>
  <c r="KP34" i="1"/>
  <c r="JI36" i="1"/>
  <c r="JU36" i="1"/>
  <c r="KG36" i="1"/>
  <c r="JL38" i="1"/>
  <c r="JX38" i="1"/>
  <c r="KJ38" i="1"/>
  <c r="S41" i="1"/>
  <c r="AI41" i="1"/>
  <c r="AQ41" i="1"/>
  <c r="BG41" i="1"/>
  <c r="BO41" i="1"/>
  <c r="CE41" i="1"/>
  <c r="CM41" i="1"/>
  <c r="DC41" i="1"/>
  <c r="DK41" i="1"/>
  <c r="EA41" i="1"/>
  <c r="EI41" i="1"/>
  <c r="EY41" i="1"/>
  <c r="FG41" i="1"/>
  <c r="FW41" i="1"/>
  <c r="GE41" i="1"/>
  <c r="GU41" i="1"/>
  <c r="HC41" i="1"/>
  <c r="IA41" i="1"/>
  <c r="KP10" i="1"/>
  <c r="JL9" i="1"/>
  <c r="JX9" i="1"/>
  <c r="JO11" i="1"/>
  <c r="KA11" i="1"/>
  <c r="KM11" i="1"/>
  <c r="JR13" i="1"/>
  <c r="KD13" i="1"/>
  <c r="KP13" i="1"/>
  <c r="JI15" i="1"/>
  <c r="JU15" i="1"/>
  <c r="KG15" i="1"/>
  <c r="JL17" i="1"/>
  <c r="JX17" i="1"/>
  <c r="KJ17" i="1"/>
  <c r="JO19" i="1"/>
  <c r="KA19" i="1"/>
  <c r="KM19" i="1"/>
  <c r="JR21" i="1"/>
  <c r="KD21" i="1"/>
  <c r="KP21" i="1"/>
  <c r="JI23" i="1"/>
  <c r="JU23" i="1"/>
  <c r="KG23" i="1"/>
  <c r="JL25" i="1"/>
  <c r="JX25" i="1"/>
  <c r="KJ25" i="1"/>
  <c r="JO27" i="1"/>
  <c r="KA27" i="1"/>
  <c r="KM27" i="1"/>
  <c r="JR29" i="1"/>
  <c r="KD29" i="1"/>
  <c r="KP29" i="1"/>
  <c r="JI31" i="1"/>
  <c r="JU31" i="1"/>
  <c r="KG31" i="1"/>
  <c r="BA6" i="46"/>
  <c r="X183" i="46"/>
  <c r="KR38" i="1" l="1"/>
  <c r="KR22" i="1"/>
  <c r="KR25" i="1"/>
  <c r="KR32" i="1"/>
  <c r="KR16" i="1"/>
  <c r="KR37" i="1"/>
  <c r="KR19" i="1"/>
  <c r="KR35" i="1"/>
  <c r="KR30" i="1"/>
  <c r="KR14" i="1"/>
  <c r="KR24" i="1"/>
  <c r="KR33" i="1"/>
  <c r="KR17" i="1"/>
  <c r="KR39" i="1"/>
  <c r="KR23" i="1"/>
  <c r="KR11" i="1"/>
  <c r="KR21" i="1"/>
  <c r="KR34" i="1"/>
  <c r="KR18" i="1"/>
  <c r="KR36" i="1"/>
  <c r="KR20" i="1"/>
  <c r="KR31" i="1"/>
  <c r="KR15" i="1"/>
  <c r="KR29" i="1"/>
  <c r="KR13" i="1"/>
  <c r="KR26" i="1"/>
  <c r="KR28" i="1"/>
  <c r="KR12" i="1"/>
  <c r="AD6" i="46"/>
  <c r="AD153" i="46" s="1"/>
  <c r="BA153" i="46"/>
  <c r="J7" i="32" l="1"/>
  <c r="AC32" i="45" l="1"/>
  <c r="AC24" i="45"/>
  <c r="AC16" i="45"/>
  <c r="AG40" i="45"/>
  <c r="AG42" i="45" s="1"/>
  <c r="AC33" i="45" l="1"/>
  <c r="AC25" i="45"/>
  <c r="AC9" i="45"/>
  <c r="AC17" i="45"/>
  <c r="AC18" i="45"/>
  <c r="AC26" i="45"/>
  <c r="AC34" i="45"/>
  <c r="AC10" i="45"/>
  <c r="H40" i="45"/>
  <c r="AC20" i="45"/>
  <c r="AC28" i="45"/>
  <c r="AC36" i="45"/>
  <c r="AC12" i="45"/>
  <c r="AC14" i="45"/>
  <c r="AC30" i="45"/>
  <c r="AC38" i="45"/>
  <c r="Z40" i="45"/>
  <c r="AF40" i="45"/>
  <c r="AF42" i="45" s="1"/>
  <c r="AC15" i="45"/>
  <c r="AC23" i="45"/>
  <c r="AC31" i="45"/>
  <c r="E40" i="45"/>
  <c r="AC11" i="45"/>
  <c r="AC19" i="45"/>
  <c r="AC27" i="45"/>
  <c r="AC35" i="45"/>
  <c r="R40" i="45"/>
  <c r="N40" i="45"/>
  <c r="V40" i="45"/>
  <c r="AC13" i="45"/>
  <c r="AC21" i="45"/>
  <c r="AC29" i="45"/>
  <c r="AC37" i="45"/>
  <c r="J40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H34" i="45"/>
  <c r="AH32" i="45"/>
  <c r="AH31" i="45"/>
  <c r="AH30" i="45"/>
  <c r="AH29" i="45"/>
  <c r="AH27" i="45"/>
  <c r="AH23" i="45"/>
  <c r="AH19" i="45"/>
  <c r="AH16" i="45"/>
  <c r="AH9" i="45"/>
  <c r="AC8" i="45"/>
  <c r="A22" i="45" l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G4" i="47"/>
  <c r="AC40" i="45"/>
  <c r="AC42" i="45" s="1"/>
  <c r="AH8" i="45"/>
  <c r="AZ9" i="39" s="1"/>
  <c r="AH11" i="45"/>
  <c r="AH10" i="45"/>
  <c r="AH12" i="45"/>
  <c r="AH14" i="45"/>
  <c r="AH18" i="45"/>
  <c r="AH20" i="45"/>
  <c r="AH24" i="45"/>
  <c r="AH26" i="45"/>
  <c r="AH28" i="45"/>
  <c r="AH33" i="45"/>
  <c r="AH36" i="45"/>
  <c r="AH38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AH13" i="45"/>
  <c r="AH15" i="45"/>
  <c r="AH17" i="45"/>
  <c r="AH21" i="45"/>
  <c r="AH25" i="45"/>
  <c r="AH35" i="45"/>
  <c r="AH37" i="45"/>
  <c r="A7" i="45"/>
  <c r="I8" i="45"/>
  <c r="I9" i="45" s="1"/>
  <c r="I10" i="45" s="1"/>
  <c r="I11" i="45" s="1"/>
  <c r="I12" i="45" s="1"/>
  <c r="I13" i="45" s="1"/>
  <c r="I14" i="45" s="1"/>
  <c r="I15" i="45" s="1"/>
  <c r="I16" i="45" s="1"/>
  <c r="I17" i="45" s="1"/>
  <c r="I18" i="45" s="1"/>
  <c r="I19" i="45" s="1"/>
  <c r="I20" i="45" s="1"/>
  <c r="I21" i="45" s="1"/>
  <c r="M8" i="45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Q8" i="45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U8" i="45"/>
  <c r="U9" i="45" s="1"/>
  <c r="U10" i="45" s="1"/>
  <c r="U11" i="45" s="1"/>
  <c r="U12" i="45" s="1"/>
  <c r="U13" i="45" s="1"/>
  <c r="U14" i="45" s="1"/>
  <c r="U15" i="45" s="1"/>
  <c r="U16" i="45" s="1"/>
  <c r="U17" i="45" s="1"/>
  <c r="U18" i="45" s="1"/>
  <c r="U19" i="45" s="1"/>
  <c r="U20" i="45" s="1"/>
  <c r="U21" i="45" s="1"/>
  <c r="Y8" i="45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BA9" i="39" l="1"/>
  <c r="D22" i="45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U22" i="45"/>
  <c r="U23" i="45" s="1"/>
  <c r="U24" i="45" s="1"/>
  <c r="U25" i="45" s="1"/>
  <c r="U26" i="45" s="1"/>
  <c r="U27" i="45" s="1"/>
  <c r="U28" i="45" s="1"/>
  <c r="U29" i="45" s="1"/>
  <c r="U30" i="45" s="1"/>
  <c r="U31" i="45" s="1"/>
  <c r="U32" i="45" s="1"/>
  <c r="U33" i="45" s="1"/>
  <c r="U34" i="45" s="1"/>
  <c r="U35" i="45" s="1"/>
  <c r="U36" i="45" s="1"/>
  <c r="U37" i="45" s="1"/>
  <c r="U38" i="45" s="1"/>
  <c r="Q22" i="45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M22" i="45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Y22" i="45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I22" i="45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I33" i="45" s="1"/>
  <c r="I34" i="45" s="1"/>
  <c r="I35" i="45" s="1"/>
  <c r="I36" i="45" s="1"/>
  <c r="I37" i="45" s="1"/>
  <c r="I38" i="45" s="1"/>
  <c r="AH40" i="45"/>
  <c r="BI9" i="39" l="1"/>
  <c r="M9" i="39"/>
  <c r="BC9" i="39" s="1"/>
  <c r="H9" i="39"/>
  <c r="BB9" i="39"/>
  <c r="P153" i="54"/>
  <c r="O153" i="54" s="1"/>
  <c r="C153" i="54"/>
  <c r="V153" i="54"/>
  <c r="T10" i="53" s="1"/>
  <c r="N23" i="52" s="1"/>
  <c r="O9" i="39" l="1"/>
  <c r="G9" i="39"/>
  <c r="N34" i="52"/>
  <c r="N40" i="52"/>
  <c r="N27" i="52"/>
  <c r="N6" i="52"/>
  <c r="N24" i="52"/>
  <c r="N30" i="52"/>
  <c r="N36" i="52"/>
  <c r="N32" i="52"/>
  <c r="N17" i="52"/>
  <c r="N4" i="52"/>
  <c r="N25" i="52"/>
  <c r="N26" i="52"/>
  <c r="N39" i="52"/>
  <c r="N9" i="52"/>
  <c r="N7" i="52"/>
  <c r="N8" i="52"/>
  <c r="N28" i="52"/>
  <c r="N11" i="52"/>
  <c r="N21" i="52"/>
  <c r="N33" i="52"/>
  <c r="N37" i="52"/>
  <c r="N35" i="52"/>
  <c r="N5" i="52"/>
  <c r="N22" i="52"/>
  <c r="N16" i="52"/>
  <c r="N20" i="52"/>
  <c r="N31" i="52"/>
  <c r="N29" i="52"/>
  <c r="N10" i="52"/>
  <c r="N38" i="52"/>
  <c r="N18" i="52"/>
  <c r="N19" i="52"/>
  <c r="K153" i="54"/>
  <c r="T8" i="53" s="1"/>
  <c r="T11" i="53" s="1"/>
  <c r="O23" i="52" s="1"/>
  <c r="U153" i="54"/>
  <c r="BH41" i="39"/>
  <c r="T153" i="54"/>
  <c r="O37" i="52" l="1"/>
  <c r="O8" i="52"/>
  <c r="P8" i="52" s="1"/>
  <c r="O10" i="52"/>
  <c r="P10" i="52" s="1"/>
  <c r="O27" i="52"/>
  <c r="O32" i="52"/>
  <c r="O20" i="52"/>
  <c r="O29" i="52"/>
  <c r="O9" i="52"/>
  <c r="P9" i="52" s="1"/>
  <c r="O21" i="52"/>
  <c r="O39" i="52"/>
  <c r="O6" i="52"/>
  <c r="P6" i="52" s="1"/>
  <c r="O4" i="52"/>
  <c r="P4" i="52" s="1"/>
  <c r="O25" i="52"/>
  <c r="O7" i="52"/>
  <c r="P7" i="52" s="1"/>
  <c r="O18" i="52"/>
  <c r="P18" i="52" s="1"/>
  <c r="O28" i="52"/>
  <c r="O35" i="52"/>
  <c r="O40" i="52"/>
  <c r="O5" i="52"/>
  <c r="P5" i="52" s="1"/>
  <c r="O36" i="52"/>
  <c r="O34" i="52"/>
  <c r="O16" i="52"/>
  <c r="O30" i="52"/>
  <c r="O26" i="52"/>
  <c r="O17" i="52"/>
  <c r="O38" i="52"/>
  <c r="O22" i="52"/>
  <c r="O11" i="52"/>
  <c r="P11" i="52" s="1"/>
  <c r="O24" i="52"/>
  <c r="O33" i="52"/>
  <c r="O19" i="52"/>
  <c r="O31" i="52"/>
  <c r="AC153" i="54"/>
  <c r="AC154" i="54" s="1"/>
  <c r="X163" i="54" s="1"/>
  <c r="V154" i="54"/>
  <c r="AS154" i="54" s="1"/>
  <c r="X177" i="54" s="1"/>
  <c r="Y154" i="54"/>
  <c r="X161" i="54" s="1"/>
  <c r="BI10" i="39"/>
  <c r="BI11" i="39" s="1"/>
  <c r="BI12" i="39" s="1"/>
  <c r="BI13" i="39" s="1"/>
  <c r="BI14" i="39" s="1"/>
  <c r="BI15" i="39" s="1"/>
  <c r="BI16" i="39" s="1"/>
  <c r="BI17" i="39" s="1"/>
  <c r="BI18" i="39" s="1"/>
  <c r="BI19" i="39" s="1"/>
  <c r="BI20" i="39" s="1"/>
  <c r="BI21" i="39" s="1"/>
  <c r="BI22" i="39" s="1"/>
  <c r="BI23" i="39" s="1"/>
  <c r="BI24" i="39" s="1"/>
  <c r="BI25" i="39" s="1"/>
  <c r="BI26" i="39" s="1"/>
  <c r="BI27" i="39" s="1"/>
  <c r="BI28" i="39" s="1"/>
  <c r="BI29" i="39" s="1"/>
  <c r="BI30" i="39" s="1"/>
  <c r="BI31" i="39" s="1"/>
  <c r="BI32" i="39" s="1"/>
  <c r="BI33" i="39" s="1"/>
  <c r="BI34" i="39" s="1"/>
  <c r="BI35" i="39" s="1"/>
  <c r="BI36" i="39" s="1"/>
  <c r="BI37" i="39" s="1"/>
  <c r="BI38" i="39" s="1"/>
  <c r="BI39" i="39" s="1"/>
  <c r="Y153" i="46"/>
  <c r="Y155" i="46" s="1"/>
  <c r="S153" i="46"/>
  <c r="S155" i="46" s="1"/>
  <c r="R153" i="46"/>
  <c r="AC152" i="46"/>
  <c r="AA152" i="46"/>
  <c r="P16" i="52" l="1"/>
  <c r="P37" i="52"/>
  <c r="AM154" i="54"/>
  <c r="AZ154" i="54"/>
  <c r="AO154" i="54"/>
  <c r="X174" i="54" s="1"/>
  <c r="AT154" i="54"/>
  <c r="X178" i="54" s="1"/>
  <c r="AK154" i="54"/>
  <c r="X171" i="54" s="1"/>
  <c r="BA154" i="54"/>
  <c r="AF154" i="54"/>
  <c r="X166" i="54" s="1"/>
  <c r="AX154" i="54"/>
  <c r="AH154" i="54"/>
  <c r="X168" i="54" s="1"/>
  <c r="AP154" i="54"/>
  <c r="X175" i="54" s="1"/>
  <c r="AN154" i="54"/>
  <c r="X173" i="54" s="1"/>
  <c r="AI154" i="54"/>
  <c r="X169" i="54" s="1"/>
  <c r="AU154" i="54"/>
  <c r="X179" i="54" s="1"/>
  <c r="AV154" i="54"/>
  <c r="X181" i="54" s="1"/>
  <c r="AY154" i="54"/>
  <c r="AG154" i="54"/>
  <c r="X167" i="54" s="1"/>
  <c r="AW154" i="54"/>
  <c r="X180" i="54" s="1"/>
  <c r="AQ154" i="54"/>
  <c r="X176" i="54" s="1"/>
  <c r="P19" i="52"/>
  <c r="AJ154" i="54"/>
  <c r="X170" i="54" s="1"/>
  <c r="AR154" i="54"/>
  <c r="AL154" i="54"/>
  <c r="X172" i="54" s="1"/>
  <c r="Q4" i="52"/>
  <c r="P34" i="52"/>
  <c r="P25" i="52"/>
  <c r="P32" i="52"/>
  <c r="P39" i="52"/>
  <c r="Q39" i="52" s="1"/>
  <c r="T5" i="53"/>
  <c r="N15" i="52" s="1"/>
  <c r="V153" i="46"/>
  <c r="I10" i="53" s="1"/>
  <c r="I9" i="53"/>
  <c r="R155" i="46"/>
  <c r="E23" i="52" l="1"/>
  <c r="X182" i="54"/>
  <c r="U5" i="53"/>
  <c r="O15" i="52" s="1"/>
  <c r="P15" i="52" s="1"/>
  <c r="Q25" i="52"/>
  <c r="E38" i="52"/>
  <c r="E17" i="52"/>
  <c r="E9" i="52"/>
  <c r="E30" i="52"/>
  <c r="E21" i="52"/>
  <c r="E34" i="52"/>
  <c r="E26" i="52"/>
  <c r="E18" i="52"/>
  <c r="E16" i="52"/>
  <c r="E32" i="52"/>
  <c r="E7" i="52"/>
  <c r="E22" i="52"/>
  <c r="E25" i="52"/>
  <c r="E20" i="52"/>
  <c r="E27" i="52"/>
  <c r="E36" i="52"/>
  <c r="E39" i="52"/>
  <c r="E28" i="52"/>
  <c r="E6" i="52"/>
  <c r="E31" i="52"/>
  <c r="E33" i="52"/>
  <c r="E4" i="52"/>
  <c r="E11" i="52"/>
  <c r="E35" i="52"/>
  <c r="E40" i="52"/>
  <c r="E37" i="52"/>
  <c r="E24" i="52"/>
  <c r="E10" i="52"/>
  <c r="E8" i="52"/>
  <c r="E19" i="52"/>
  <c r="E29" i="52"/>
  <c r="E5" i="52"/>
  <c r="AF39" i="50" l="1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G37" i="50"/>
  <c r="AG36" i="50"/>
  <c r="AG35" i="50"/>
  <c r="AG34" i="50"/>
  <c r="AG33" i="50"/>
  <c r="AG32" i="50"/>
  <c r="AG31" i="50"/>
  <c r="AG30" i="50"/>
  <c r="AG29" i="50"/>
  <c r="AG28" i="50"/>
  <c r="AG27" i="50"/>
  <c r="AG26" i="50"/>
  <c r="AG25" i="50"/>
  <c r="AG24" i="50"/>
  <c r="AG23" i="50"/>
  <c r="AG22" i="50"/>
  <c r="AG21" i="50"/>
  <c r="AG20" i="50"/>
  <c r="AG19" i="50"/>
  <c r="AG18" i="50"/>
  <c r="AG17" i="50"/>
  <c r="AG16" i="50"/>
  <c r="AG15" i="50"/>
  <c r="AG14" i="50"/>
  <c r="AG13" i="50"/>
  <c r="AG12" i="50"/>
  <c r="AG11" i="50"/>
  <c r="AG10" i="50"/>
  <c r="AG9" i="50"/>
  <c r="AG8" i="50"/>
  <c r="AG7" i="50"/>
  <c r="AG6" i="50"/>
  <c r="AG39" i="50" l="1"/>
  <c r="AH21" i="50" s="1"/>
  <c r="AH19" i="50" l="1"/>
  <c r="AH33" i="50"/>
  <c r="AH35" i="50"/>
  <c r="AH13" i="50"/>
  <c r="AH9" i="50"/>
  <c r="AH12" i="50"/>
  <c r="AH16" i="50"/>
  <c r="AH28" i="50"/>
  <c r="AH14" i="50"/>
  <c r="AH22" i="50"/>
  <c r="AH29" i="50"/>
  <c r="AH11" i="50"/>
  <c r="AH30" i="50"/>
  <c r="AH27" i="50"/>
  <c r="AH34" i="50"/>
  <c r="AH32" i="50"/>
  <c r="AH17" i="50"/>
  <c r="AH25" i="50"/>
  <c r="AH37" i="50"/>
  <c r="AH10" i="50"/>
  <c r="AH15" i="50"/>
  <c r="AH23" i="50"/>
  <c r="AH31" i="50"/>
  <c r="AH7" i="50"/>
  <c r="AH24" i="50"/>
  <c r="AH36" i="50"/>
  <c r="AH8" i="50"/>
  <c r="AH20" i="50"/>
  <c r="AH6" i="50"/>
  <c r="AH18" i="50"/>
  <c r="AH26" i="50"/>
  <c r="AH39" i="50" l="1"/>
  <c r="C43" i="9" l="1"/>
  <c r="G42" i="11" l="1"/>
  <c r="I37" i="11" s="1"/>
  <c r="F42" i="11"/>
  <c r="C43" i="11"/>
  <c r="C43" i="12" l="1"/>
  <c r="C43" i="15" l="1"/>
  <c r="C43" i="19" l="1"/>
  <c r="C43" i="20" l="1"/>
  <c r="C43" i="23" l="1"/>
  <c r="C43" i="26" l="1"/>
  <c r="C38" i="24"/>
  <c r="C43" i="25"/>
  <c r="C43" i="28" l="1"/>
  <c r="C43" i="30" l="1"/>
  <c r="C43" i="33" l="1"/>
  <c r="D9" i="39"/>
  <c r="E9" i="39" l="1"/>
  <c r="F9" i="39" s="1"/>
  <c r="AZ38" i="39" l="1"/>
  <c r="AZ36" i="39"/>
  <c r="AZ35" i="39"/>
  <c r="AZ34" i="39"/>
  <c r="AZ33" i="39"/>
  <c r="AZ32" i="39"/>
  <c r="AZ31" i="39"/>
  <c r="AZ30" i="39"/>
  <c r="AZ29" i="39"/>
  <c r="AZ28" i="39"/>
  <c r="AZ27" i="39"/>
  <c r="AZ26" i="39"/>
  <c r="AZ25" i="39"/>
  <c r="AZ24" i="39"/>
  <c r="AZ23" i="39"/>
  <c r="AZ22" i="39"/>
  <c r="AZ21" i="39"/>
  <c r="AZ20" i="39"/>
  <c r="AZ19" i="39"/>
  <c r="AZ18" i="39"/>
  <c r="AZ17" i="39"/>
  <c r="AZ16" i="39"/>
  <c r="AZ15" i="39"/>
  <c r="AZ14" i="39"/>
  <c r="AZ13" i="39"/>
  <c r="AZ12" i="39"/>
  <c r="AZ11" i="39"/>
  <c r="AZ10" i="39"/>
  <c r="AZ39" i="39" l="1"/>
  <c r="AZ37" i="39"/>
  <c r="C43" i="31" l="1"/>
  <c r="K40" i="39" l="1"/>
  <c r="M8" i="33" l="1"/>
  <c r="D39" i="39"/>
  <c r="K34" i="4"/>
  <c r="G42" i="4"/>
  <c r="I37" i="4" s="1"/>
  <c r="F42" i="4"/>
  <c r="D38" i="39" s="1"/>
  <c r="F32" i="4"/>
  <c r="K34" i="37"/>
  <c r="D37" i="39"/>
  <c r="D36" i="39"/>
  <c r="D35" i="39"/>
  <c r="G42" i="9"/>
  <c r="I37" i="9" s="1"/>
  <c r="F42" i="9"/>
  <c r="D33" i="39" s="1"/>
  <c r="D32" i="39"/>
  <c r="F42" i="12"/>
  <c r="D30" i="39" s="1"/>
  <c r="G42" i="14"/>
  <c r="I37" i="14" s="1"/>
  <c r="F42" i="14"/>
  <c r="D28" i="39" s="1"/>
  <c r="J40" i="39"/>
  <c r="P28" i="39"/>
  <c r="AD28" i="39" s="1"/>
  <c r="P29" i="39"/>
  <c r="B28" i="45" s="1"/>
  <c r="P30" i="39"/>
  <c r="B29" i="45" s="1"/>
  <c r="P31" i="39"/>
  <c r="B30" i="45" s="1"/>
  <c r="P32" i="39"/>
  <c r="B31" i="45" s="1"/>
  <c r="P33" i="39"/>
  <c r="B32" i="45" s="1"/>
  <c r="P34" i="39"/>
  <c r="B33" i="45" s="1"/>
  <c r="P35" i="39"/>
  <c r="B34" i="45" s="1"/>
  <c r="P36" i="39"/>
  <c r="AD36" i="39" s="1"/>
  <c r="P37" i="39"/>
  <c r="B36" i="45" s="1"/>
  <c r="P38" i="39"/>
  <c r="P39" i="39"/>
  <c r="AD39" i="39" s="1"/>
  <c r="BB39" i="39"/>
  <c r="E27" i="39"/>
  <c r="D24" i="39"/>
  <c r="E35" i="39"/>
  <c r="E34" i="39"/>
  <c r="D34" i="39"/>
  <c r="E32" i="39"/>
  <c r="D31" i="39"/>
  <c r="E29" i="39"/>
  <c r="D29" i="39"/>
  <c r="D27" i="39"/>
  <c r="D26" i="39"/>
  <c r="E25" i="39"/>
  <c r="D25" i="39"/>
  <c r="E24" i="39"/>
  <c r="E14" i="39"/>
  <c r="D14" i="39"/>
  <c r="D23" i="39"/>
  <c r="E22" i="39"/>
  <c r="D22" i="39"/>
  <c r="I46" i="20"/>
  <c r="AT22" i="39" s="1"/>
  <c r="E21" i="39"/>
  <c r="D21" i="39"/>
  <c r="E20" i="39"/>
  <c r="D20" i="39"/>
  <c r="E19" i="39"/>
  <c r="D19" i="39"/>
  <c r="E18" i="39"/>
  <c r="D18" i="39"/>
  <c r="D17" i="39"/>
  <c r="L34" i="26"/>
  <c r="K34" i="26"/>
  <c r="D16" i="39"/>
  <c r="E15" i="39"/>
  <c r="D15" i="39"/>
  <c r="E13" i="39"/>
  <c r="D13" i="39"/>
  <c r="D12" i="39"/>
  <c r="E11" i="39"/>
  <c r="D11" i="39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39" i="1"/>
  <c r="C40" i="2" s="1"/>
  <c r="C9" i="1"/>
  <c r="C10" i="2" s="1"/>
  <c r="B10" i="1"/>
  <c r="B11" i="2" s="1"/>
  <c r="B11" i="1"/>
  <c r="B12" i="1"/>
  <c r="B13" i="1"/>
  <c r="B14" i="2" s="1"/>
  <c r="B14" i="1"/>
  <c r="B15" i="2" s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2" s="1"/>
  <c r="B23" i="1"/>
  <c r="B24" i="2" s="1"/>
  <c r="B24" i="1"/>
  <c r="B25" i="1"/>
  <c r="B26" i="2" s="1"/>
  <c r="B26" i="1"/>
  <c r="B27" i="2" s="1"/>
  <c r="B27" i="1"/>
  <c r="B28" i="2" s="1"/>
  <c r="B28" i="1"/>
  <c r="B29" i="1"/>
  <c r="B30" i="2" s="1"/>
  <c r="B30" i="1"/>
  <c r="B31" i="2" s="1"/>
  <c r="B31" i="1"/>
  <c r="B32" i="2" s="1"/>
  <c r="B32" i="1"/>
  <c r="B33" i="1"/>
  <c r="B34" i="2" s="1"/>
  <c r="B34" i="1"/>
  <c r="B35" i="2" s="1"/>
  <c r="B35" i="1"/>
  <c r="B36" i="2" s="1"/>
  <c r="B36" i="1"/>
  <c r="B37" i="1"/>
  <c r="B38" i="2" s="1"/>
  <c r="B38" i="1"/>
  <c r="B39" i="2" s="1"/>
  <c r="B39" i="1"/>
  <c r="B40" i="2" s="1"/>
  <c r="B9" i="1"/>
  <c r="E10" i="39"/>
  <c r="D10" i="39"/>
  <c r="L46" i="43"/>
  <c r="L47" i="43" s="1"/>
  <c r="L43" i="43"/>
  <c r="L44" i="43" s="1"/>
  <c r="L43" i="4"/>
  <c r="L44" i="4" s="1"/>
  <c r="L43" i="37"/>
  <c r="L44" i="37" s="1"/>
  <c r="L43" i="6"/>
  <c r="L44" i="6" s="1"/>
  <c r="L43" i="7"/>
  <c r="L44" i="7" s="1"/>
  <c r="L43" i="8"/>
  <c r="L44" i="8" s="1"/>
  <c r="L43" i="9"/>
  <c r="L44" i="9" s="1"/>
  <c r="L43" i="10"/>
  <c r="L44" i="10" s="1"/>
  <c r="L43" i="11"/>
  <c r="L43" i="12"/>
  <c r="L44" i="12" s="1"/>
  <c r="L43" i="13"/>
  <c r="L44" i="13" s="1"/>
  <c r="L43" i="14"/>
  <c r="L44" i="14" s="1"/>
  <c r="L43" i="15"/>
  <c r="L44" i="15" s="1"/>
  <c r="L43" i="16"/>
  <c r="L44" i="16" s="1"/>
  <c r="L43" i="17"/>
  <c r="L44" i="17" s="1"/>
  <c r="L43" i="18"/>
  <c r="L44" i="18" s="1"/>
  <c r="L43" i="19"/>
  <c r="L44" i="19" s="1"/>
  <c r="L43" i="20"/>
  <c r="L44" i="20" s="1"/>
  <c r="L43" i="22"/>
  <c r="L44" i="22" s="1"/>
  <c r="L43" i="21"/>
  <c r="L44" i="21" s="1"/>
  <c r="L43" i="23"/>
  <c r="L44" i="23" s="1"/>
  <c r="L43" i="24"/>
  <c r="L44" i="24" s="1"/>
  <c r="L43" i="25"/>
  <c r="L44" i="25" s="1"/>
  <c r="L43" i="26"/>
  <c r="L44" i="26" s="1"/>
  <c r="L43" i="28"/>
  <c r="L44" i="28" s="1"/>
  <c r="L43" i="27"/>
  <c r="L44" i="27" s="1"/>
  <c r="L43" i="29"/>
  <c r="L44" i="29" s="1"/>
  <c r="L43" i="30"/>
  <c r="L44" i="30" s="1"/>
  <c r="L43" i="31"/>
  <c r="L44" i="31" s="1"/>
  <c r="L43" i="32"/>
  <c r="L44" i="32" s="1"/>
  <c r="L46" i="33"/>
  <c r="L48" i="33" s="1"/>
  <c r="L43" i="33"/>
  <c r="L44" i="33" s="1"/>
  <c r="BA10" i="39"/>
  <c r="BA11" i="39" s="1"/>
  <c r="BA12" i="39" s="1"/>
  <c r="BA13" i="39" s="1"/>
  <c r="BA14" i="39" s="1"/>
  <c r="BA15" i="39" s="1"/>
  <c r="BA16" i="39" s="1"/>
  <c r="BA17" i="39" s="1"/>
  <c r="BA18" i="39" s="1"/>
  <c r="BA19" i="39" s="1"/>
  <c r="BA20" i="39" s="1"/>
  <c r="BA21" i="39" s="1"/>
  <c r="BA22" i="39" s="1"/>
  <c r="BA23" i="39" s="1"/>
  <c r="BA24" i="39" s="1"/>
  <c r="BA25" i="39" s="1"/>
  <c r="BA26" i="39" s="1"/>
  <c r="BA27" i="39" s="1"/>
  <c r="BA28" i="39" s="1"/>
  <c r="BA29" i="39" s="1"/>
  <c r="BA30" i="39" s="1"/>
  <c r="BA31" i="39" s="1"/>
  <c r="BA32" i="39" s="1"/>
  <c r="BA33" i="39" s="1"/>
  <c r="BA34" i="39" s="1"/>
  <c r="BA35" i="39" s="1"/>
  <c r="BA36" i="39" s="1"/>
  <c r="BA37" i="39" s="1"/>
  <c r="BA38" i="39" s="1"/>
  <c r="BA39" i="39" s="1"/>
  <c r="L46" i="4"/>
  <c r="L48" i="4" s="1"/>
  <c r="L46" i="37"/>
  <c r="L48" i="37" s="1"/>
  <c r="L46" i="6"/>
  <c r="L48" i="6" s="1"/>
  <c r="L46" i="7"/>
  <c r="L48" i="7" s="1"/>
  <c r="L46" i="8"/>
  <c r="L48" i="8" s="1"/>
  <c r="L46" i="9"/>
  <c r="L48" i="9" s="1"/>
  <c r="L46" i="10"/>
  <c r="L48" i="10" s="1"/>
  <c r="L46" i="11"/>
  <c r="L48" i="11" s="1"/>
  <c r="L46" i="12"/>
  <c r="L48" i="12" s="1"/>
  <c r="L46" i="13"/>
  <c r="L48" i="13" s="1"/>
  <c r="L46" i="14"/>
  <c r="L48" i="14" s="1"/>
  <c r="L46" i="15"/>
  <c r="L48" i="15" s="1"/>
  <c r="L46" i="16"/>
  <c r="L48" i="16" s="1"/>
  <c r="L46" i="17"/>
  <c r="L48" i="17" s="1"/>
  <c r="L46" i="18"/>
  <c r="L48" i="18" s="1"/>
  <c r="L46" i="19"/>
  <c r="L48" i="19" s="1"/>
  <c r="L46" i="20"/>
  <c r="L48" i="20" s="1"/>
  <c r="L46" i="22"/>
  <c r="L46" i="21"/>
  <c r="L47" i="21" s="1"/>
  <c r="L46" i="23"/>
  <c r="L48" i="23" s="1"/>
  <c r="L46" i="24"/>
  <c r="L48" i="24" s="1"/>
  <c r="L46" i="25"/>
  <c r="L48" i="25" s="1"/>
  <c r="L46" i="26"/>
  <c r="L48" i="26" s="1"/>
  <c r="L46" i="28"/>
  <c r="L48" i="28" s="1"/>
  <c r="L46" i="27"/>
  <c r="L48" i="27" s="1"/>
  <c r="L46" i="29"/>
  <c r="L48" i="29" s="1"/>
  <c r="L46" i="30"/>
  <c r="L48" i="30" s="1"/>
  <c r="L46" i="31"/>
  <c r="L48" i="31" s="1"/>
  <c r="L46" i="32"/>
  <c r="L48" i="32" s="1"/>
  <c r="I46" i="32"/>
  <c r="I47" i="32" s="1"/>
  <c r="I46" i="31"/>
  <c r="I47" i="31" s="1"/>
  <c r="I46" i="27"/>
  <c r="I47" i="27" s="1"/>
  <c r="I46" i="28"/>
  <c r="AT15" i="39" s="1"/>
  <c r="I46" i="25"/>
  <c r="AT17" i="39" s="1"/>
  <c r="I46" i="21"/>
  <c r="I47" i="21" s="1"/>
  <c r="I46" i="22"/>
  <c r="I47" i="22" s="1"/>
  <c r="I46" i="18"/>
  <c r="AT24" i="39" s="1"/>
  <c r="I46" i="17"/>
  <c r="I47" i="17" s="1"/>
  <c r="I46" i="16"/>
  <c r="I47" i="16" s="1"/>
  <c r="I46" i="14"/>
  <c r="I46" i="12"/>
  <c r="I47" i="12" s="1"/>
  <c r="I46" i="11"/>
  <c r="AT31" i="39" s="1"/>
  <c r="I46" i="9"/>
  <c r="I47" i="9" s="1"/>
  <c r="I46" i="8"/>
  <c r="AT34" i="39" s="1"/>
  <c r="I46" i="7"/>
  <c r="I47" i="7" s="1"/>
  <c r="I46" i="6"/>
  <c r="AT36" i="39" s="1"/>
  <c r="I46" i="37"/>
  <c r="I47" i="37" s="1"/>
  <c r="I46" i="4"/>
  <c r="AT38" i="39" s="1"/>
  <c r="I46" i="33"/>
  <c r="I43" i="31"/>
  <c r="I44" i="31" s="1"/>
  <c r="I43" i="33"/>
  <c r="I44" i="33" s="1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C38" i="43"/>
  <c r="C39" i="43"/>
  <c r="C40" i="43"/>
  <c r="C41" i="43"/>
  <c r="C42" i="43"/>
  <c r="C43" i="43"/>
  <c r="I43" i="43"/>
  <c r="I44" i="43" s="1"/>
  <c r="C44" i="43"/>
  <c r="C45" i="43"/>
  <c r="C46" i="43"/>
  <c r="C47" i="43"/>
  <c r="C48" i="43"/>
  <c r="C49" i="43"/>
  <c r="I49" i="43"/>
  <c r="I50" i="43" s="1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L34" i="4"/>
  <c r="C39" i="4"/>
  <c r="C40" i="4"/>
  <c r="C41" i="4"/>
  <c r="C42" i="4"/>
  <c r="C43" i="4"/>
  <c r="I43" i="4"/>
  <c r="I44" i="4" s="1"/>
  <c r="C44" i="4"/>
  <c r="C45" i="4"/>
  <c r="C46" i="4"/>
  <c r="C47" i="4"/>
  <c r="C48" i="4"/>
  <c r="C49" i="4"/>
  <c r="I49" i="4"/>
  <c r="I50" i="4" s="1"/>
  <c r="C50" i="4"/>
  <c r="C51" i="4"/>
  <c r="H4" i="37"/>
  <c r="L34" i="37"/>
  <c r="C39" i="37"/>
  <c r="C40" i="37"/>
  <c r="C41" i="37"/>
  <c r="C42" i="37"/>
  <c r="C43" i="37"/>
  <c r="I43" i="37"/>
  <c r="I44" i="37" s="1"/>
  <c r="C44" i="37"/>
  <c r="C45" i="37"/>
  <c r="C46" i="37"/>
  <c r="C47" i="37"/>
  <c r="C48" i="37"/>
  <c r="C49" i="37"/>
  <c r="I49" i="37"/>
  <c r="I50" i="37" s="1"/>
  <c r="C50" i="37"/>
  <c r="C51" i="37"/>
  <c r="H4" i="6"/>
  <c r="L34" i="6"/>
  <c r="C38" i="6"/>
  <c r="C39" i="6"/>
  <c r="C40" i="6"/>
  <c r="C41" i="6"/>
  <c r="C42" i="6"/>
  <c r="C43" i="6"/>
  <c r="I43" i="6"/>
  <c r="I44" i="6" s="1"/>
  <c r="C44" i="6"/>
  <c r="C45" i="6"/>
  <c r="C46" i="6"/>
  <c r="C47" i="6"/>
  <c r="C48" i="6"/>
  <c r="C49" i="6"/>
  <c r="I49" i="6"/>
  <c r="I50" i="6" s="1"/>
  <c r="C50" i="6"/>
  <c r="C51" i="6"/>
  <c r="H4" i="7"/>
  <c r="L34" i="7"/>
  <c r="C38" i="7"/>
  <c r="C39" i="7"/>
  <c r="C40" i="7"/>
  <c r="C41" i="7"/>
  <c r="C42" i="7"/>
  <c r="C43" i="7"/>
  <c r="I43" i="7"/>
  <c r="I44" i="7" s="1"/>
  <c r="C44" i="7"/>
  <c r="C45" i="7"/>
  <c r="C46" i="7"/>
  <c r="C47" i="7"/>
  <c r="C48" i="7"/>
  <c r="C49" i="7"/>
  <c r="I49" i="7"/>
  <c r="I50" i="7" s="1"/>
  <c r="C50" i="7"/>
  <c r="C51" i="7"/>
  <c r="H4" i="8"/>
  <c r="L34" i="8"/>
  <c r="C38" i="8"/>
  <c r="C39" i="8"/>
  <c r="C40" i="8"/>
  <c r="C41" i="8"/>
  <c r="C42" i="8"/>
  <c r="C43" i="8"/>
  <c r="I43" i="8"/>
  <c r="I44" i="8" s="1"/>
  <c r="C44" i="8"/>
  <c r="C45" i="8"/>
  <c r="C46" i="8"/>
  <c r="C47" i="8"/>
  <c r="C48" i="8"/>
  <c r="C49" i="8"/>
  <c r="I49" i="8"/>
  <c r="I50" i="8" s="1"/>
  <c r="C50" i="8"/>
  <c r="C51" i="8"/>
  <c r="H4" i="9"/>
  <c r="K34" i="9"/>
  <c r="L34" i="9"/>
  <c r="C38" i="9"/>
  <c r="C39" i="9"/>
  <c r="C40" i="9"/>
  <c r="C41" i="9"/>
  <c r="C42" i="9"/>
  <c r="I43" i="9"/>
  <c r="I44" i="9" s="1"/>
  <c r="C44" i="9"/>
  <c r="C45" i="9"/>
  <c r="C46" i="9"/>
  <c r="C47" i="9"/>
  <c r="C48" i="9"/>
  <c r="C49" i="9"/>
  <c r="I49" i="9"/>
  <c r="I50" i="9" s="1"/>
  <c r="C50" i="9"/>
  <c r="C51" i="9"/>
  <c r="H4" i="10"/>
  <c r="L34" i="10"/>
  <c r="C38" i="10"/>
  <c r="C39" i="10"/>
  <c r="C40" i="10"/>
  <c r="C41" i="10"/>
  <c r="C42" i="10"/>
  <c r="C43" i="10"/>
  <c r="I43" i="10"/>
  <c r="I44" i="10" s="1"/>
  <c r="C44" i="10"/>
  <c r="C45" i="10"/>
  <c r="C46" i="10"/>
  <c r="C47" i="10"/>
  <c r="C48" i="10"/>
  <c r="C49" i="10"/>
  <c r="I49" i="10"/>
  <c r="I50" i="10" s="1"/>
  <c r="C50" i="10"/>
  <c r="C51" i="10"/>
  <c r="H4" i="11"/>
  <c r="L34" i="11"/>
  <c r="C38" i="11"/>
  <c r="C39" i="11"/>
  <c r="C40" i="11"/>
  <c r="C41" i="11"/>
  <c r="C42" i="11"/>
  <c r="I43" i="11"/>
  <c r="I44" i="11" s="1"/>
  <c r="C44" i="11"/>
  <c r="C45" i="11"/>
  <c r="C46" i="11"/>
  <c r="C47" i="11"/>
  <c r="C48" i="11"/>
  <c r="C49" i="11"/>
  <c r="I49" i="11"/>
  <c r="I50" i="11" s="1"/>
  <c r="C50" i="11"/>
  <c r="C51" i="11"/>
  <c r="H4" i="12"/>
  <c r="K34" i="12"/>
  <c r="L34" i="12"/>
  <c r="C38" i="12"/>
  <c r="C39" i="12"/>
  <c r="C40" i="12"/>
  <c r="C41" i="12"/>
  <c r="C42" i="12"/>
  <c r="I43" i="12"/>
  <c r="I44" i="12" s="1"/>
  <c r="C44" i="12"/>
  <c r="C45" i="12"/>
  <c r="C46" i="12"/>
  <c r="C47" i="12"/>
  <c r="C48" i="12"/>
  <c r="C49" i="12"/>
  <c r="I49" i="12"/>
  <c r="I50" i="12" s="1"/>
  <c r="C50" i="12"/>
  <c r="C51" i="12"/>
  <c r="H4" i="13"/>
  <c r="L34" i="13"/>
  <c r="C38" i="13"/>
  <c r="C39" i="13"/>
  <c r="C40" i="13"/>
  <c r="C41" i="13"/>
  <c r="C42" i="13"/>
  <c r="C43" i="13"/>
  <c r="I43" i="13"/>
  <c r="I44" i="13" s="1"/>
  <c r="C44" i="13"/>
  <c r="C45" i="13"/>
  <c r="C46" i="13"/>
  <c r="C47" i="13"/>
  <c r="C48" i="13"/>
  <c r="C49" i="13"/>
  <c r="I49" i="13"/>
  <c r="I50" i="13" s="1"/>
  <c r="C50" i="13"/>
  <c r="C51" i="13"/>
  <c r="H4" i="14"/>
  <c r="K34" i="14"/>
  <c r="L34" i="14"/>
  <c r="C38" i="14"/>
  <c r="C39" i="14"/>
  <c r="C40" i="14"/>
  <c r="C41" i="14"/>
  <c r="C42" i="14"/>
  <c r="C43" i="14"/>
  <c r="I43" i="14"/>
  <c r="I44" i="14" s="1"/>
  <c r="C44" i="14"/>
  <c r="C45" i="14"/>
  <c r="C46" i="14"/>
  <c r="C47" i="14"/>
  <c r="C48" i="14"/>
  <c r="C49" i="14"/>
  <c r="I49" i="14"/>
  <c r="I50" i="14" s="1"/>
  <c r="C50" i="14"/>
  <c r="C51" i="14"/>
  <c r="H4" i="15"/>
  <c r="K34" i="15"/>
  <c r="L34" i="15"/>
  <c r="C38" i="15"/>
  <c r="C39" i="15"/>
  <c r="C40" i="15"/>
  <c r="C41" i="15"/>
  <c r="C42" i="15"/>
  <c r="I43" i="15"/>
  <c r="I44" i="15" s="1"/>
  <c r="C44" i="15"/>
  <c r="C45" i="15"/>
  <c r="C46" i="15"/>
  <c r="C47" i="15"/>
  <c r="C48" i="15"/>
  <c r="C49" i="15"/>
  <c r="I49" i="15"/>
  <c r="C50" i="15"/>
  <c r="C51" i="15"/>
  <c r="H4" i="16"/>
  <c r="L34" i="16"/>
  <c r="C38" i="16"/>
  <c r="C39" i="16"/>
  <c r="C40" i="16"/>
  <c r="C41" i="16"/>
  <c r="C42" i="16"/>
  <c r="C43" i="16"/>
  <c r="I43" i="16"/>
  <c r="I44" i="16" s="1"/>
  <c r="C44" i="16"/>
  <c r="C45" i="16"/>
  <c r="C46" i="16"/>
  <c r="C47" i="16"/>
  <c r="C48" i="16"/>
  <c r="C49" i="16"/>
  <c r="I49" i="16"/>
  <c r="I50" i="16" s="1"/>
  <c r="C50" i="16"/>
  <c r="C51" i="16"/>
  <c r="H4" i="17"/>
  <c r="L34" i="17"/>
  <c r="C38" i="17"/>
  <c r="C39" i="17"/>
  <c r="C40" i="17"/>
  <c r="C41" i="17"/>
  <c r="C42" i="17"/>
  <c r="C43" i="17"/>
  <c r="I43" i="17"/>
  <c r="I44" i="17" s="1"/>
  <c r="C44" i="17"/>
  <c r="C45" i="17"/>
  <c r="C46" i="17"/>
  <c r="C47" i="17"/>
  <c r="C48" i="17"/>
  <c r="C49" i="17"/>
  <c r="I49" i="17"/>
  <c r="I50" i="17" s="1"/>
  <c r="C50" i="17"/>
  <c r="C51" i="17"/>
  <c r="H4" i="18"/>
  <c r="L34" i="18"/>
  <c r="C38" i="18"/>
  <c r="C39" i="18"/>
  <c r="C40" i="18"/>
  <c r="C41" i="18"/>
  <c r="C42" i="18"/>
  <c r="C43" i="18"/>
  <c r="I43" i="18"/>
  <c r="I44" i="18" s="1"/>
  <c r="C44" i="18"/>
  <c r="C45" i="18"/>
  <c r="C46" i="18"/>
  <c r="C47" i="18"/>
  <c r="C48" i="18"/>
  <c r="C49" i="18"/>
  <c r="I49" i="18"/>
  <c r="I50" i="18" s="1"/>
  <c r="C50" i="18"/>
  <c r="C51" i="18"/>
  <c r="H4" i="19"/>
  <c r="L34" i="19"/>
  <c r="C38" i="19"/>
  <c r="C39" i="19"/>
  <c r="C40" i="19"/>
  <c r="C41" i="19"/>
  <c r="C42" i="19"/>
  <c r="I43" i="19"/>
  <c r="C44" i="19"/>
  <c r="C45" i="19"/>
  <c r="C46" i="19"/>
  <c r="C47" i="19"/>
  <c r="C48" i="19"/>
  <c r="C49" i="19"/>
  <c r="I49" i="19"/>
  <c r="I50" i="19" s="1"/>
  <c r="C50" i="19"/>
  <c r="C51" i="19"/>
  <c r="H4" i="20"/>
  <c r="K34" i="20"/>
  <c r="L34" i="20"/>
  <c r="C38" i="20"/>
  <c r="C39" i="20"/>
  <c r="C40" i="20"/>
  <c r="C41" i="20"/>
  <c r="C42" i="20"/>
  <c r="I43" i="20"/>
  <c r="I44" i="20" s="1"/>
  <c r="C44" i="20"/>
  <c r="C45" i="20"/>
  <c r="C46" i="20"/>
  <c r="C47" i="20"/>
  <c r="C48" i="20"/>
  <c r="C49" i="20"/>
  <c r="I49" i="20"/>
  <c r="I50" i="20" s="1"/>
  <c r="C50" i="20"/>
  <c r="C51" i="20"/>
  <c r="H4" i="22"/>
  <c r="K34" i="22"/>
  <c r="L34" i="22"/>
  <c r="C38" i="22"/>
  <c r="C39" i="22"/>
  <c r="C40" i="22"/>
  <c r="C41" i="22"/>
  <c r="C42" i="22"/>
  <c r="C43" i="22"/>
  <c r="I43" i="22"/>
  <c r="I44" i="22" s="1"/>
  <c r="C44" i="22"/>
  <c r="C45" i="22"/>
  <c r="C46" i="22"/>
  <c r="C47" i="22"/>
  <c r="C48" i="22"/>
  <c r="C49" i="22"/>
  <c r="I49" i="22"/>
  <c r="I50" i="22" s="1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L34" i="21"/>
  <c r="C39" i="21"/>
  <c r="C40" i="21"/>
  <c r="C41" i="21"/>
  <c r="C42" i="21"/>
  <c r="C43" i="21"/>
  <c r="C44" i="21"/>
  <c r="C45" i="21"/>
  <c r="C46" i="21"/>
  <c r="C47" i="21"/>
  <c r="C48" i="21"/>
  <c r="C49" i="21"/>
  <c r="I49" i="21"/>
  <c r="I50" i="21" s="1"/>
  <c r="C50" i="21"/>
  <c r="C51" i="21"/>
  <c r="H4" i="23"/>
  <c r="L34" i="23"/>
  <c r="K34" i="23"/>
  <c r="C38" i="23"/>
  <c r="C39" i="23"/>
  <c r="C40" i="23"/>
  <c r="C41" i="23"/>
  <c r="C42" i="23"/>
  <c r="I43" i="23"/>
  <c r="I44" i="23" s="1"/>
  <c r="C44" i="23"/>
  <c r="C45" i="23"/>
  <c r="C46" i="23"/>
  <c r="C47" i="23"/>
  <c r="C48" i="23"/>
  <c r="C49" i="23"/>
  <c r="I49" i="23"/>
  <c r="C50" i="23"/>
  <c r="C51" i="23"/>
  <c r="H4" i="24"/>
  <c r="L34" i="24"/>
  <c r="C39" i="24"/>
  <c r="C40" i="24"/>
  <c r="C42" i="24"/>
  <c r="C43" i="24"/>
  <c r="I43" i="24"/>
  <c r="I44" i="24" s="1"/>
  <c r="C44" i="24"/>
  <c r="C45" i="24"/>
  <c r="C46" i="24"/>
  <c r="C47" i="24"/>
  <c r="C48" i="24"/>
  <c r="C49" i="24"/>
  <c r="I49" i="24"/>
  <c r="I50" i="24" s="1"/>
  <c r="C50" i="24"/>
  <c r="C51" i="24"/>
  <c r="H4" i="25"/>
  <c r="K34" i="25"/>
  <c r="L34" i="25"/>
  <c r="C38" i="25"/>
  <c r="C39" i="25"/>
  <c r="C40" i="25"/>
  <c r="C41" i="25"/>
  <c r="C42" i="25"/>
  <c r="I43" i="25"/>
  <c r="I44" i="25" s="1"/>
  <c r="C44" i="25"/>
  <c r="C45" i="25"/>
  <c r="C46" i="25"/>
  <c r="C47" i="25"/>
  <c r="C48" i="25"/>
  <c r="C49" i="25"/>
  <c r="I49" i="25"/>
  <c r="C50" i="25"/>
  <c r="C51" i="25"/>
  <c r="H4" i="26"/>
  <c r="C38" i="26"/>
  <c r="C39" i="26"/>
  <c r="C40" i="26"/>
  <c r="C41" i="26"/>
  <c r="C42" i="26"/>
  <c r="I43" i="26"/>
  <c r="I44" i="26" s="1"/>
  <c r="C44" i="26"/>
  <c r="C45" i="26"/>
  <c r="C46" i="26"/>
  <c r="C47" i="26"/>
  <c r="C48" i="26"/>
  <c r="C49" i="26"/>
  <c r="I49" i="26"/>
  <c r="C50" i="26"/>
  <c r="C51" i="26"/>
  <c r="H4" i="28"/>
  <c r="K34" i="28"/>
  <c r="L34" i="28"/>
  <c r="C38" i="28"/>
  <c r="C39" i="28"/>
  <c r="C40" i="28"/>
  <c r="C41" i="28"/>
  <c r="C42" i="28"/>
  <c r="I43" i="28"/>
  <c r="I44" i="28" s="1"/>
  <c r="C44" i="28"/>
  <c r="C45" i="28"/>
  <c r="C46" i="28"/>
  <c r="C47" i="28"/>
  <c r="C48" i="28"/>
  <c r="C49" i="28"/>
  <c r="I49" i="28"/>
  <c r="I50" i="28" s="1"/>
  <c r="C50" i="28"/>
  <c r="C51" i="28"/>
  <c r="H4" i="27"/>
  <c r="L34" i="27"/>
  <c r="C38" i="27"/>
  <c r="C39" i="27"/>
  <c r="C40" i="27"/>
  <c r="C41" i="27"/>
  <c r="C42" i="27"/>
  <c r="C43" i="27"/>
  <c r="I43" i="27"/>
  <c r="I44" i="27" s="1"/>
  <c r="C44" i="27"/>
  <c r="C45" i="27"/>
  <c r="C46" i="27"/>
  <c r="C47" i="27"/>
  <c r="C48" i="27"/>
  <c r="C49" i="27"/>
  <c r="I49" i="27"/>
  <c r="C50" i="27"/>
  <c r="C51" i="27"/>
  <c r="H4" i="29"/>
  <c r="H4" i="30" s="1"/>
  <c r="L34" i="29"/>
  <c r="C38" i="29"/>
  <c r="C39" i="29"/>
  <c r="C40" i="29"/>
  <c r="C41" i="29"/>
  <c r="C42" i="29"/>
  <c r="C43" i="29"/>
  <c r="I43" i="29"/>
  <c r="I44" i="29" s="1"/>
  <c r="C44" i="29"/>
  <c r="C45" i="29"/>
  <c r="C46" i="29"/>
  <c r="C47" i="29"/>
  <c r="C48" i="29"/>
  <c r="C49" i="29"/>
  <c r="I49" i="29"/>
  <c r="I50" i="29" s="1"/>
  <c r="C50" i="29"/>
  <c r="C51" i="29"/>
  <c r="L34" i="30"/>
  <c r="C38" i="30"/>
  <c r="C39" i="30"/>
  <c r="C40" i="30"/>
  <c r="C41" i="30"/>
  <c r="C42" i="30"/>
  <c r="I43" i="30"/>
  <c r="I44" i="30" s="1"/>
  <c r="C44" i="30"/>
  <c r="C45" i="30"/>
  <c r="C46" i="30"/>
  <c r="C47" i="30"/>
  <c r="C48" i="30"/>
  <c r="C49" i="30"/>
  <c r="I49" i="30"/>
  <c r="I50" i="30" s="1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I49" i="31"/>
  <c r="I50" i="31" s="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30"/>
  <c r="J8" i="29" s="1"/>
  <c r="J8" i="27" s="1"/>
  <c r="J8" i="28" s="1"/>
  <c r="J8" i="26" s="1"/>
  <c r="J8" i="25" s="1"/>
  <c r="J8" i="24" s="1"/>
  <c r="J8" i="23" s="1"/>
  <c r="J8" i="21" s="1"/>
  <c r="J8" i="22" s="1"/>
  <c r="J8" i="20" s="1"/>
  <c r="J8" i="19" s="1"/>
  <c r="J8" i="18" s="1"/>
  <c r="J8" i="17" s="1"/>
  <c r="J8" i="16" s="1"/>
  <c r="J8" i="15" s="1"/>
  <c r="J8" i="14" s="1"/>
  <c r="J8" i="13" s="1"/>
  <c r="J8" i="12" s="1"/>
  <c r="J8" i="11" s="1"/>
  <c r="J8" i="10" s="1"/>
  <c r="J12" i="30"/>
  <c r="J12" i="29" s="1"/>
  <c r="J12" i="27" s="1"/>
  <c r="J12" i="28" s="1"/>
  <c r="J12" i="26" s="1"/>
  <c r="J12" i="25" s="1"/>
  <c r="J12" i="24" s="1"/>
  <c r="J12" i="23" s="1"/>
  <c r="J12" i="21" s="1"/>
  <c r="J12" i="22" s="1"/>
  <c r="J12" i="20" s="1"/>
  <c r="J12" i="19" s="1"/>
  <c r="J13" i="30"/>
  <c r="J13" i="29" s="1"/>
  <c r="J13" i="27" s="1"/>
  <c r="J13" i="28" s="1"/>
  <c r="J13" i="26" s="1"/>
  <c r="J13" i="25" s="1"/>
  <c r="J13" i="24" s="1"/>
  <c r="J13" i="23" s="1"/>
  <c r="J13" i="21" s="1"/>
  <c r="J13" i="22" s="1"/>
  <c r="J13" i="20" s="1"/>
  <c r="J13" i="19" s="1"/>
  <c r="J14" i="31"/>
  <c r="J14" i="29" s="1"/>
  <c r="J14" i="27" s="1"/>
  <c r="J14" i="28" s="1"/>
  <c r="J14" i="26" s="1"/>
  <c r="J14" i="25" s="1"/>
  <c r="J14" i="24" s="1"/>
  <c r="J14" i="23" s="1"/>
  <c r="J14" i="21" s="1"/>
  <c r="J14" i="22" s="1"/>
  <c r="J14" i="20" s="1"/>
  <c r="J14" i="19" s="1"/>
  <c r="J17" i="32"/>
  <c r="J17" i="31" s="1"/>
  <c r="J18" i="32"/>
  <c r="J18" i="31" s="1"/>
  <c r="J18" i="30" s="1"/>
  <c r="J18" i="29" s="1"/>
  <c r="J18" i="27" s="1"/>
  <c r="J19" i="32"/>
  <c r="J19" i="31" s="1"/>
  <c r="J19" i="30" s="1"/>
  <c r="J19" i="29" s="1"/>
  <c r="J19" i="27" s="1"/>
  <c r="J19" i="28" s="1"/>
  <c r="J20" i="32"/>
  <c r="J20" i="31" s="1"/>
  <c r="J20" i="30" s="1"/>
  <c r="J20" i="29" s="1"/>
  <c r="J20" i="27" s="1"/>
  <c r="J20" i="28" s="1"/>
  <c r="J21" i="32"/>
  <c r="J21" i="31" s="1"/>
  <c r="J21" i="30" s="1"/>
  <c r="J21" i="29" s="1"/>
  <c r="J21" i="27" s="1"/>
  <c r="J21" i="28" s="1"/>
  <c r="J22" i="32"/>
  <c r="J22" i="31" s="1"/>
  <c r="J22" i="30" s="1"/>
  <c r="J22" i="29" s="1"/>
  <c r="J22" i="27" s="1"/>
  <c r="J22" i="28" s="1"/>
  <c r="J22" i="26" s="1"/>
  <c r="J22" i="25" s="1"/>
  <c r="J23" i="32"/>
  <c r="J23" i="31" s="1"/>
  <c r="J23" i="30" s="1"/>
  <c r="J23" i="29" s="1"/>
  <c r="J23" i="27" s="1"/>
  <c r="J23" i="28" s="1"/>
  <c r="J23" i="26" s="1"/>
  <c r="J23" i="25" s="1"/>
  <c r="J24" i="32"/>
  <c r="J24" i="31" s="1"/>
  <c r="J24" i="30" s="1"/>
  <c r="J24" i="29" s="1"/>
  <c r="J24" i="27" s="1"/>
  <c r="J24" i="28" s="1"/>
  <c r="J24" i="26" s="1"/>
  <c r="J24" i="25" s="1"/>
  <c r="J24" i="24" s="1"/>
  <c r="J24" i="23" s="1"/>
  <c r="J24" i="21" s="1"/>
  <c r="J24" i="22" s="1"/>
  <c r="J25" i="32"/>
  <c r="J25" i="31" s="1"/>
  <c r="J25" i="30" s="1"/>
  <c r="J25" i="29" s="1"/>
  <c r="J25" i="27" s="1"/>
  <c r="J25" i="28" s="1"/>
  <c r="J25" i="26" s="1"/>
  <c r="J25" i="25" s="1"/>
  <c r="J25" i="24" s="1"/>
  <c r="J25" i="23" s="1"/>
  <c r="J26" i="32"/>
  <c r="J26" i="31" s="1"/>
  <c r="J26" i="30" s="1"/>
  <c r="J26" i="29" s="1"/>
  <c r="J26" i="27" s="1"/>
  <c r="J26" i="28" s="1"/>
  <c r="J26" i="26" s="1"/>
  <c r="J26" i="25" s="1"/>
  <c r="J26" i="24" s="1"/>
  <c r="J26" i="23" s="1"/>
  <c r="J27" i="32"/>
  <c r="J27" i="31" s="1"/>
  <c r="J27" i="30" s="1"/>
  <c r="J27" i="29" s="1"/>
  <c r="J27" i="27" s="1"/>
  <c r="J27" i="28" s="1"/>
  <c r="J27" i="26" s="1"/>
  <c r="J27" i="25" s="1"/>
  <c r="J27" i="24" s="1"/>
  <c r="J27" i="23" s="1"/>
  <c r="J27" i="21" s="1"/>
  <c r="J27" i="22" s="1"/>
  <c r="J27" i="20" s="1"/>
  <c r="J27" i="19" s="1"/>
  <c r="J28" i="32"/>
  <c r="J28" i="31" s="1"/>
  <c r="J28" i="30" s="1"/>
  <c r="J28" i="29" s="1"/>
  <c r="J28" i="27" s="1"/>
  <c r="J28" i="28" s="1"/>
  <c r="J28" i="26" s="1"/>
  <c r="J28" i="25" s="1"/>
  <c r="J28" i="24" s="1"/>
  <c r="J28" i="23" s="1"/>
  <c r="J28" i="21" s="1"/>
  <c r="J28" i="22" s="1"/>
  <c r="J28" i="20" s="1"/>
  <c r="J28" i="19" s="1"/>
  <c r="J29" i="32"/>
  <c r="J29" i="31" s="1"/>
  <c r="J29" i="30" s="1"/>
  <c r="J29" i="29" s="1"/>
  <c r="J29" i="27" s="1"/>
  <c r="J29" i="28" s="1"/>
  <c r="J29" i="26" s="1"/>
  <c r="J29" i="25" s="1"/>
  <c r="J29" i="24" s="1"/>
  <c r="J29" i="23" s="1"/>
  <c r="J29" i="21" s="1"/>
  <c r="J29" i="22" s="1"/>
  <c r="J29" i="20" s="1"/>
  <c r="J29" i="19" s="1"/>
  <c r="J29" i="18" s="1"/>
  <c r="J29" i="17" s="1"/>
  <c r="J30" i="32"/>
  <c r="J30" i="31" s="1"/>
  <c r="J30" i="30" s="1"/>
  <c r="J30" i="29" s="1"/>
  <c r="J30" i="27" s="1"/>
  <c r="J30" i="28" s="1"/>
  <c r="J30" i="26" s="1"/>
  <c r="J30" i="25" s="1"/>
  <c r="J30" i="24" s="1"/>
  <c r="J30" i="23" s="1"/>
  <c r="J30" i="21" s="1"/>
  <c r="J30" i="22" s="1"/>
  <c r="J30" i="20" s="1"/>
  <c r="J30" i="19" s="1"/>
  <c r="J30" i="18" s="1"/>
  <c r="J31" i="32"/>
  <c r="J31" i="31" s="1"/>
  <c r="J31" i="30" s="1"/>
  <c r="J31" i="29" s="1"/>
  <c r="J31" i="27" s="1"/>
  <c r="J31" i="28" s="1"/>
  <c r="J31" i="26" s="1"/>
  <c r="J31" i="25" s="1"/>
  <c r="J31" i="24" s="1"/>
  <c r="J31" i="23" s="1"/>
  <c r="J31" i="21" s="1"/>
  <c r="J31" i="22" s="1"/>
  <c r="J31" i="20" s="1"/>
  <c r="J31" i="19" s="1"/>
  <c r="J31" i="18" s="1"/>
  <c r="J32" i="32"/>
  <c r="J32" i="31" s="1"/>
  <c r="J32" i="30" s="1"/>
  <c r="J32" i="29" s="1"/>
  <c r="J32" i="27" s="1"/>
  <c r="J32" i="28" s="1"/>
  <c r="J32" i="26" s="1"/>
  <c r="J32" i="25" s="1"/>
  <c r="J32" i="24" s="1"/>
  <c r="J32" i="23" s="1"/>
  <c r="L34" i="32"/>
  <c r="C38" i="32"/>
  <c r="C39" i="32"/>
  <c r="C40" i="32"/>
  <c r="C41" i="32"/>
  <c r="C42" i="32"/>
  <c r="C43" i="32"/>
  <c r="I43" i="32"/>
  <c r="I44" i="32" s="1"/>
  <c r="C44" i="32"/>
  <c r="C45" i="32"/>
  <c r="C46" i="32"/>
  <c r="C47" i="32"/>
  <c r="C48" i="32"/>
  <c r="C49" i="32"/>
  <c r="I49" i="32"/>
  <c r="I50" i="32" s="1"/>
  <c r="C50" i="32"/>
  <c r="C51" i="32"/>
  <c r="M9" i="33"/>
  <c r="M10" i="33"/>
  <c r="M10" i="32" s="1"/>
  <c r="M10" i="31" s="1"/>
  <c r="M10" i="30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0" i="11" s="1"/>
  <c r="M20" i="10" s="1"/>
  <c r="M20" i="9" s="1"/>
  <c r="M20" i="8" s="1"/>
  <c r="M20" i="7" s="1"/>
  <c r="M20" i="6" s="1"/>
  <c r="M21" i="33"/>
  <c r="M21" i="32" s="1"/>
  <c r="M21" i="31" s="1"/>
  <c r="M21" i="30" s="1"/>
  <c r="M21" i="29" s="1"/>
  <c r="M21" i="27" s="1"/>
  <c r="M21" i="28" s="1"/>
  <c r="M21" i="26" s="1"/>
  <c r="M21" i="25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D43" i="33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C50" i="33"/>
  <c r="D50" i="33" s="1"/>
  <c r="E50" i="33" s="1"/>
  <c r="C51" i="33"/>
  <c r="D51" i="33" s="1"/>
  <c r="E51" i="33" s="1"/>
  <c r="A4" i="47"/>
  <c r="A10" i="2"/>
  <c r="A10" i="39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C10" i="39"/>
  <c r="AC11" i="39" s="1"/>
  <c r="AC12" i="39" s="1"/>
  <c r="AC13" i="39" s="1"/>
  <c r="AC14" i="39" s="1"/>
  <c r="AC15" i="39" s="1"/>
  <c r="AC16" i="39" s="1"/>
  <c r="AC17" i="39" s="1"/>
  <c r="AC18" i="39" s="1"/>
  <c r="AC19" i="39" s="1"/>
  <c r="AC20" i="39" s="1"/>
  <c r="AC21" i="39" s="1"/>
  <c r="AC22" i="39" s="1"/>
  <c r="AC23" i="39" s="1"/>
  <c r="AC24" i="39" s="1"/>
  <c r="AC25" i="39" s="1"/>
  <c r="AC26" i="39" s="1"/>
  <c r="AC27" i="39" s="1"/>
  <c r="AC28" i="39" s="1"/>
  <c r="AC29" i="39" s="1"/>
  <c r="AC30" i="39" s="1"/>
  <c r="AC31" i="39" s="1"/>
  <c r="AC32" i="39" s="1"/>
  <c r="AC33" i="39" s="1"/>
  <c r="AC34" i="39" s="1"/>
  <c r="AC35" i="39" s="1"/>
  <c r="AC36" i="39" s="1"/>
  <c r="AC37" i="39" s="1"/>
  <c r="AC38" i="39" s="1"/>
  <c r="AC39" i="39" s="1"/>
  <c r="AI10" i="39"/>
  <c r="AI11" i="39" s="1"/>
  <c r="AI12" i="39" s="1"/>
  <c r="AI13" i="39" s="1"/>
  <c r="AI14" i="39" s="1"/>
  <c r="AI15" i="39" s="1"/>
  <c r="AI16" i="39" s="1"/>
  <c r="AI17" i="39" s="1"/>
  <c r="AI18" i="39" s="1"/>
  <c r="AI19" i="39" s="1"/>
  <c r="AI20" i="39" s="1"/>
  <c r="AI21" i="39" s="1"/>
  <c r="AI22" i="39" s="1"/>
  <c r="AI23" i="39" s="1"/>
  <c r="AI24" i="39" s="1"/>
  <c r="AI25" i="39" s="1"/>
  <c r="AI26" i="39" s="1"/>
  <c r="AI27" i="39" s="1"/>
  <c r="AI28" i="39" s="1"/>
  <c r="AI29" i="39" s="1"/>
  <c r="AI30" i="39" s="1"/>
  <c r="AI31" i="39" s="1"/>
  <c r="AI32" i="39" s="1"/>
  <c r="AI33" i="39" s="1"/>
  <c r="AI34" i="39" s="1"/>
  <c r="AI35" i="39" s="1"/>
  <c r="AI36" i="39" s="1"/>
  <c r="AI37" i="39" s="1"/>
  <c r="P10" i="39"/>
  <c r="P11" i="39"/>
  <c r="B10" i="45" s="1"/>
  <c r="P12" i="39"/>
  <c r="AD12" i="39" s="1"/>
  <c r="P13" i="39"/>
  <c r="B12" i="45" s="1"/>
  <c r="P14" i="39"/>
  <c r="H14" i="39" s="1"/>
  <c r="P15" i="39"/>
  <c r="B14" i="45" s="1"/>
  <c r="P16" i="39"/>
  <c r="B15" i="45" s="1"/>
  <c r="P17" i="39"/>
  <c r="B16" i="45" s="1"/>
  <c r="P18" i="39"/>
  <c r="AJ18" i="39" s="1"/>
  <c r="P19" i="39"/>
  <c r="B18" i="45" s="1"/>
  <c r="B19" i="45"/>
  <c r="P21" i="39"/>
  <c r="B20" i="45" s="1"/>
  <c r="P22" i="39"/>
  <c r="B21" i="45" s="1"/>
  <c r="P23" i="39"/>
  <c r="B22" i="45" s="1"/>
  <c r="P24" i="39"/>
  <c r="B23" i="45" s="1"/>
  <c r="P25" i="39"/>
  <c r="B24" i="45" s="1"/>
  <c r="P26" i="39"/>
  <c r="B25" i="45" s="1"/>
  <c r="P27" i="39"/>
  <c r="B26" i="45" s="1"/>
  <c r="Y41" i="39"/>
  <c r="AA41" i="39" s="1"/>
  <c r="AB41" i="39"/>
  <c r="I46" i="43"/>
  <c r="AT39" i="39" s="1"/>
  <c r="I50" i="27"/>
  <c r="I50" i="23"/>
  <c r="L44" i="11"/>
  <c r="AO10" i="39"/>
  <c r="AO11" i="39" s="1"/>
  <c r="AO12" i="39" s="1"/>
  <c r="AO13" i="39" s="1"/>
  <c r="AO14" i="39" s="1"/>
  <c r="AO15" i="39" s="1"/>
  <c r="AO16" i="39" s="1"/>
  <c r="AO17" i="39" s="1"/>
  <c r="AO18" i="39" s="1"/>
  <c r="AO19" i="39" s="1"/>
  <c r="AO20" i="39" s="1"/>
  <c r="AO21" i="39" s="1"/>
  <c r="AO22" i="39" s="1"/>
  <c r="AO23" i="39" s="1"/>
  <c r="AO24" i="39" s="1"/>
  <c r="AO25" i="39" s="1"/>
  <c r="AO26" i="39" s="1"/>
  <c r="AO27" i="39" s="1"/>
  <c r="AO28" i="39" s="1"/>
  <c r="AO29" i="39" s="1"/>
  <c r="AO30" i="39" s="1"/>
  <c r="AO31" i="39" s="1"/>
  <c r="AO32" i="39" s="1"/>
  <c r="AO33" i="39" s="1"/>
  <c r="AO34" i="39" s="1"/>
  <c r="AO35" i="39" s="1"/>
  <c r="AO36" i="39" s="1"/>
  <c r="AO37" i="39" s="1"/>
  <c r="AO38" i="39" s="1"/>
  <c r="AO39" i="39" s="1"/>
  <c r="AN41" i="39"/>
  <c r="I46" i="30"/>
  <c r="AT12" i="39" s="1"/>
  <c r="I43" i="21"/>
  <c r="I44" i="21" s="1"/>
  <c r="K34" i="21"/>
  <c r="C38" i="21"/>
  <c r="AH41" i="39"/>
  <c r="I46" i="19"/>
  <c r="AT23" i="39" s="1"/>
  <c r="E26" i="39"/>
  <c r="AJ31" i="39"/>
  <c r="G31" i="39"/>
  <c r="BB28" i="39"/>
  <c r="BB31" i="39"/>
  <c r="BB35" i="39"/>
  <c r="H35" i="39"/>
  <c r="G35" i="39"/>
  <c r="G28" i="39"/>
  <c r="H28" i="39"/>
  <c r="H31" i="39"/>
  <c r="G29" i="39"/>
  <c r="H30" i="39"/>
  <c r="BB34" i="39"/>
  <c r="BB20" i="39"/>
  <c r="BB25" i="39"/>
  <c r="H38" i="39"/>
  <c r="E12" i="39"/>
  <c r="G36" i="39"/>
  <c r="G38" i="39"/>
  <c r="BB38" i="39"/>
  <c r="H36" i="39"/>
  <c r="BB36" i="39"/>
  <c r="E39" i="39"/>
  <c r="K34" i="43"/>
  <c r="C38" i="4"/>
  <c r="E37" i="39"/>
  <c r="F37" i="39" s="1"/>
  <c r="C38" i="37"/>
  <c r="H34" i="39"/>
  <c r="G30" i="39"/>
  <c r="K34" i="16"/>
  <c r="E23" i="39"/>
  <c r="E16" i="39"/>
  <c r="B8" i="45"/>
  <c r="I50" i="33"/>
  <c r="J37" i="33"/>
  <c r="J39" i="33" s="1"/>
  <c r="C38" i="33"/>
  <c r="D38" i="33" s="1"/>
  <c r="E38" i="33" s="1"/>
  <c r="BB30" i="39"/>
  <c r="AZ41" i="39"/>
  <c r="I46" i="23"/>
  <c r="AT19" i="39" s="1"/>
  <c r="I46" i="15"/>
  <c r="I47" i="15" s="1"/>
  <c r="I46" i="13"/>
  <c r="I47" i="13" s="1"/>
  <c r="I46" i="10"/>
  <c r="AT32" i="39" s="1"/>
  <c r="I46" i="24"/>
  <c r="AT18" i="39" s="1"/>
  <c r="I46" i="26"/>
  <c r="I47" i="26" s="1"/>
  <c r="I46" i="29"/>
  <c r="I47" i="29" s="1"/>
  <c r="G34" i="39" l="1"/>
  <c r="I40" i="43"/>
  <c r="R39" i="39" s="1"/>
  <c r="BJ39" i="39" s="1"/>
  <c r="BB17" i="39"/>
  <c r="BB24" i="39"/>
  <c r="W70" i="54"/>
  <c r="X70" i="54" s="1"/>
  <c r="W70" i="46"/>
  <c r="W97" i="54"/>
  <c r="X97" i="54" s="1"/>
  <c r="W97" i="46"/>
  <c r="BB37" i="39"/>
  <c r="I40" i="4"/>
  <c r="R38" i="39" s="1"/>
  <c r="BD38" i="39" s="1"/>
  <c r="BB26" i="39"/>
  <c r="AA70" i="54"/>
  <c r="AB70" i="54" s="1"/>
  <c r="BB16" i="39"/>
  <c r="AV31" i="39"/>
  <c r="AV34" i="39"/>
  <c r="AV39" i="39"/>
  <c r="AV36" i="39"/>
  <c r="F32" i="39"/>
  <c r="BB14" i="39"/>
  <c r="F14" i="39"/>
  <c r="H13" i="39"/>
  <c r="I40" i="37"/>
  <c r="I45" i="37" s="1"/>
  <c r="C24" i="33"/>
  <c r="M29" i="14"/>
  <c r="M29" i="13" s="1"/>
  <c r="M29" i="12" s="1"/>
  <c r="M29" i="11" s="1"/>
  <c r="M29" i="10" s="1"/>
  <c r="M29" i="9" s="1"/>
  <c r="M29" i="8" s="1"/>
  <c r="M29" i="7" s="1"/>
  <c r="M29" i="6" s="1"/>
  <c r="M16" i="37"/>
  <c r="M16" i="4" s="1"/>
  <c r="M16" i="43" s="1"/>
  <c r="M28" i="14"/>
  <c r="M28" i="13" s="1"/>
  <c r="M28" i="12" s="1"/>
  <c r="M28" i="11" s="1"/>
  <c r="M28" i="10" s="1"/>
  <c r="M28" i="9" s="1"/>
  <c r="M28" i="8" s="1"/>
  <c r="M28" i="7" s="1"/>
  <c r="M28" i="6" s="1"/>
  <c r="M15" i="37"/>
  <c r="M15" i="4" s="1"/>
  <c r="M15" i="43" s="1"/>
  <c r="J11" i="31"/>
  <c r="J11" i="30" s="1"/>
  <c r="J11" i="29" s="1"/>
  <c r="J11" i="27" s="1"/>
  <c r="J11" i="28" s="1"/>
  <c r="J11" i="26" s="1"/>
  <c r="J11" i="25" s="1"/>
  <c r="J11" i="24" s="1"/>
  <c r="J11" i="23" s="1"/>
  <c r="M27" i="14"/>
  <c r="M27" i="13" s="1"/>
  <c r="M27" i="12" s="1"/>
  <c r="M27" i="11" s="1"/>
  <c r="M27" i="10" s="1"/>
  <c r="M27" i="9" s="1"/>
  <c r="M27" i="8" s="1"/>
  <c r="M27" i="7" s="1"/>
  <c r="M27" i="6" s="1"/>
  <c r="M22" i="14"/>
  <c r="M14" i="37"/>
  <c r="M14" i="4" s="1"/>
  <c r="M14" i="43" s="1"/>
  <c r="J26" i="2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10" i="31"/>
  <c r="J10" i="30" s="1"/>
  <c r="J10" i="29" s="1"/>
  <c r="J10" i="27" s="1"/>
  <c r="J10" i="28" s="1"/>
  <c r="J10" i="26" s="1"/>
  <c r="J10" i="25" s="1"/>
  <c r="J10" i="24" s="1"/>
  <c r="J10" i="23" s="1"/>
  <c r="J10" i="21" s="1"/>
  <c r="M26" i="14"/>
  <c r="M26" i="13" s="1"/>
  <c r="M26" i="12" s="1"/>
  <c r="M26" i="11" s="1"/>
  <c r="M26" i="10" s="1"/>
  <c r="M26" i="9" s="1"/>
  <c r="M26" i="8" s="1"/>
  <c r="M26" i="7" s="1"/>
  <c r="M26" i="6" s="1"/>
  <c r="J25" i="2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6" s="1"/>
  <c r="J25" i="37" s="1"/>
  <c r="J17" i="30"/>
  <c r="J17" i="29" s="1"/>
  <c r="J17" i="26" s="1"/>
  <c r="J17" i="25" s="1"/>
  <c r="J17" i="24" s="1"/>
  <c r="J17" i="23" s="1"/>
  <c r="J17" i="21" s="1"/>
  <c r="J17" i="22" s="1"/>
  <c r="J17" i="20" s="1"/>
  <c r="J17" i="19" s="1"/>
  <c r="J17" i="18" s="1"/>
  <c r="J17" i="17" s="1"/>
  <c r="J9" i="31"/>
  <c r="J9" i="30" s="1"/>
  <c r="J9" i="29" s="1"/>
  <c r="J9" i="27" s="1"/>
  <c r="J9" i="28" s="1"/>
  <c r="J9" i="26" s="1"/>
  <c r="M25" i="14"/>
  <c r="M25" i="13" s="1"/>
  <c r="M25" i="12" s="1"/>
  <c r="M25" i="11" s="1"/>
  <c r="M25" i="10" s="1"/>
  <c r="M25" i="9" s="1"/>
  <c r="M25" i="8" s="1"/>
  <c r="M25" i="7" s="1"/>
  <c r="M25" i="6" s="1"/>
  <c r="M20" i="37"/>
  <c r="M20" i="4" s="1"/>
  <c r="M20" i="43" s="1"/>
  <c r="J16" i="31"/>
  <c r="J16" i="30" s="1"/>
  <c r="J16" i="29" s="1"/>
  <c r="J16" i="28" s="1"/>
  <c r="J16" i="26" s="1"/>
  <c r="J16" i="25" s="1"/>
  <c r="J16" i="24" s="1"/>
  <c r="J16" i="23" s="1"/>
  <c r="J16" i="21" s="1"/>
  <c r="J16" i="22" s="1"/>
  <c r="J16" i="20" s="1"/>
  <c r="J16" i="19" s="1"/>
  <c r="J16" i="18" s="1"/>
  <c r="J16" i="17" s="1"/>
  <c r="M24" i="14"/>
  <c r="M24" i="13" s="1"/>
  <c r="M24" i="12" s="1"/>
  <c r="M24" i="11" s="1"/>
  <c r="M24" i="10" s="1"/>
  <c r="M24" i="9" s="1"/>
  <c r="M24" i="8" s="1"/>
  <c r="M24" i="7" s="1"/>
  <c r="M24" i="6" s="1"/>
  <c r="M19" i="37"/>
  <c r="M19" i="4" s="1"/>
  <c r="M19" i="43" s="1"/>
  <c r="J31" i="17"/>
  <c r="J31" i="16" s="1"/>
  <c r="J31" i="15" s="1"/>
  <c r="J31" i="14" s="1"/>
  <c r="J31" i="13" s="1"/>
  <c r="J31" i="12" s="1"/>
  <c r="J31" i="11" s="1"/>
  <c r="J31" i="10" s="1"/>
  <c r="J15" i="31"/>
  <c r="J15" i="29" s="1"/>
  <c r="J15" i="27" s="1"/>
  <c r="J15" i="28" s="1"/>
  <c r="J15" i="26" s="1"/>
  <c r="J15" i="25" s="1"/>
  <c r="J15" i="24" s="1"/>
  <c r="J15" i="23" s="1"/>
  <c r="J15" i="21" s="1"/>
  <c r="J15" i="22" s="1"/>
  <c r="J15" i="20" s="1"/>
  <c r="J15" i="19" s="1"/>
  <c r="J15" i="18" s="1"/>
  <c r="J15" i="17" s="1"/>
  <c r="M23" i="14"/>
  <c r="M23" i="13" s="1"/>
  <c r="M23" i="12" s="1"/>
  <c r="J30" i="17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I47" i="33"/>
  <c r="AT9" i="39"/>
  <c r="BB22" i="39"/>
  <c r="J8" i="9"/>
  <c r="J8" i="8" s="1"/>
  <c r="J8" i="7" s="1"/>
  <c r="J8" i="6" s="1"/>
  <c r="J8" i="37" s="1"/>
  <c r="J8" i="4" s="1"/>
  <c r="J8" i="43" s="1"/>
  <c r="BB33" i="39"/>
  <c r="I40" i="9"/>
  <c r="I48" i="9" s="1"/>
  <c r="L47" i="10"/>
  <c r="H29" i="39"/>
  <c r="AV32" i="39"/>
  <c r="F39" i="39"/>
  <c r="AJ37" i="39"/>
  <c r="J32" i="11"/>
  <c r="J32" i="10" s="1"/>
  <c r="J32" i="9" s="1"/>
  <c r="BB32" i="39"/>
  <c r="BB19" i="39"/>
  <c r="BB27" i="39"/>
  <c r="J29" i="16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K34" i="6"/>
  <c r="L47" i="33"/>
  <c r="AV24" i="39"/>
  <c r="AV23" i="39"/>
  <c r="J28" i="18"/>
  <c r="J28" i="17" s="1"/>
  <c r="J27" i="18"/>
  <c r="J27" i="17" s="1"/>
  <c r="E36" i="39"/>
  <c r="F36" i="39" s="1"/>
  <c r="BB23" i="39"/>
  <c r="F34" i="39"/>
  <c r="F22" i="45"/>
  <c r="AA22" i="45"/>
  <c r="AI22" i="45"/>
  <c r="O22" i="45"/>
  <c r="S22" i="45"/>
  <c r="W22" i="45"/>
  <c r="K22" i="45"/>
  <c r="AD22" i="45"/>
  <c r="M18" i="19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K34" i="19"/>
  <c r="L47" i="6"/>
  <c r="F21" i="39"/>
  <c r="AV22" i="39"/>
  <c r="K34" i="8"/>
  <c r="C34" i="4"/>
  <c r="F13" i="39"/>
  <c r="F34" i="17"/>
  <c r="J43" i="33"/>
  <c r="J43" i="32" s="1"/>
  <c r="J43" i="31" s="1"/>
  <c r="J43" i="30" s="1"/>
  <c r="J43" i="29" s="1"/>
  <c r="J43" i="27" s="1"/>
  <c r="J43" i="28" s="1"/>
  <c r="J43" i="26" s="1"/>
  <c r="J43" i="25" s="1"/>
  <c r="J43" i="24" s="1"/>
  <c r="J43" i="23" s="1"/>
  <c r="J43" i="21" s="1"/>
  <c r="J43" i="22" s="1"/>
  <c r="J43" i="20" s="1"/>
  <c r="J43" i="19" s="1"/>
  <c r="J43" i="18" s="1"/>
  <c r="J43" i="17" s="1"/>
  <c r="J43" i="16" s="1"/>
  <c r="J43" i="15" s="1"/>
  <c r="J43" i="14" s="1"/>
  <c r="J43" i="13" s="1"/>
  <c r="J43" i="12" s="1"/>
  <c r="J43" i="11" s="1"/>
  <c r="J43" i="10" s="1"/>
  <c r="J43" i="9" s="1"/>
  <c r="J43" i="8" s="1"/>
  <c r="J43" i="7" s="1"/>
  <c r="J43" i="6" s="1"/>
  <c r="J43" i="37" s="1"/>
  <c r="J43" i="4" s="1"/>
  <c r="J43" i="43" s="1"/>
  <c r="AD13" i="39"/>
  <c r="BB21" i="39"/>
  <c r="BB18" i="39"/>
  <c r="G13" i="39"/>
  <c r="BB13" i="39"/>
  <c r="H32" i="39"/>
  <c r="AJ13" i="39"/>
  <c r="J24" i="20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8" s="1"/>
  <c r="J24" i="7" s="1"/>
  <c r="J24" i="6" s="1"/>
  <c r="J24" i="37" s="1"/>
  <c r="I40" i="25"/>
  <c r="R17" i="39" s="1"/>
  <c r="C34" i="24"/>
  <c r="K21" i="24" s="1"/>
  <c r="C33" i="43"/>
  <c r="C34" i="43"/>
  <c r="AV15" i="39"/>
  <c r="F19" i="39"/>
  <c r="J23" i="24"/>
  <c r="J23" i="23" s="1"/>
  <c r="J23" i="21" s="1"/>
  <c r="J23" i="22" s="1"/>
  <c r="J23" i="20" s="1"/>
  <c r="J18" i="26"/>
  <c r="J18" i="25" s="1"/>
  <c r="J18" i="24" s="1"/>
  <c r="J18" i="23" s="1"/>
  <c r="J18" i="21" s="1"/>
  <c r="J18" i="22" s="1"/>
  <c r="J18" i="20" s="1"/>
  <c r="J18" i="19" s="1"/>
  <c r="J18" i="18" s="1"/>
  <c r="J18" i="17" s="1"/>
  <c r="BB11" i="39"/>
  <c r="J20" i="26"/>
  <c r="J20" i="24" s="1"/>
  <c r="J20" i="23" s="1"/>
  <c r="J20" i="21" s="1"/>
  <c r="J20" i="22" s="1"/>
  <c r="J20" i="20" s="1"/>
  <c r="J20" i="19" s="1"/>
  <c r="J20" i="18" s="1"/>
  <c r="J20" i="17" s="1"/>
  <c r="J19" i="25"/>
  <c r="J19" i="24" s="1"/>
  <c r="J19" i="23" s="1"/>
  <c r="J19" i="21" s="1"/>
  <c r="J19" i="22" s="1"/>
  <c r="J19" i="20" s="1"/>
  <c r="J19" i="19" s="1"/>
  <c r="J19" i="18" s="1"/>
  <c r="J19" i="17" s="1"/>
  <c r="J19" i="16" s="1"/>
  <c r="J19" i="15" s="1"/>
  <c r="AV18" i="39"/>
  <c r="E33" i="43"/>
  <c r="BB15" i="39"/>
  <c r="H26" i="39"/>
  <c r="J22" i="24"/>
  <c r="J22" i="23" s="1"/>
  <c r="J22" i="22" s="1"/>
  <c r="J22" i="20" s="1"/>
  <c r="J22" i="19" s="1"/>
  <c r="J22" i="18" s="1"/>
  <c r="J22" i="17" s="1"/>
  <c r="G32" i="39"/>
  <c r="J21" i="26"/>
  <c r="J21" i="25" s="1"/>
  <c r="L47" i="4"/>
  <c r="L47" i="20"/>
  <c r="L47" i="12"/>
  <c r="G16" i="39"/>
  <c r="AV12" i="39"/>
  <c r="G12" i="39"/>
  <c r="BB12" i="39"/>
  <c r="H12" i="39"/>
  <c r="I40" i="28"/>
  <c r="I45" i="28" s="1"/>
  <c r="C34" i="32"/>
  <c r="K34" i="32" s="1"/>
  <c r="I40" i="32" s="1"/>
  <c r="R10" i="39" s="1"/>
  <c r="K34" i="27"/>
  <c r="J13" i="18"/>
  <c r="C33" i="4"/>
  <c r="J12" i="18"/>
  <c r="G25" i="39"/>
  <c r="AJ25" i="39"/>
  <c r="H25" i="39"/>
  <c r="AD17" i="39"/>
  <c r="G17" i="39"/>
  <c r="AD25" i="39"/>
  <c r="I47" i="6"/>
  <c r="F34" i="43"/>
  <c r="F34" i="4"/>
  <c r="E33" i="33"/>
  <c r="D34" i="24"/>
  <c r="AT33" i="39"/>
  <c r="L47" i="37"/>
  <c r="L47" i="13"/>
  <c r="C34" i="17"/>
  <c r="K17" i="17" s="1"/>
  <c r="K34" i="17" s="1"/>
  <c r="E34" i="4"/>
  <c r="E15" i="43"/>
  <c r="G15" i="39"/>
  <c r="AJ15" i="39"/>
  <c r="L47" i="17"/>
  <c r="L47" i="9"/>
  <c r="I47" i="8"/>
  <c r="AD22" i="39"/>
  <c r="E34" i="13"/>
  <c r="F23" i="39"/>
  <c r="AT37" i="39"/>
  <c r="AT30" i="39"/>
  <c r="L47" i="28"/>
  <c r="AT35" i="39"/>
  <c r="L47" i="19"/>
  <c r="L47" i="11"/>
  <c r="G21" i="39"/>
  <c r="G27" i="39"/>
  <c r="AJ21" i="39"/>
  <c r="H20" i="39"/>
  <c r="C34" i="26"/>
  <c r="D15" i="43"/>
  <c r="F34" i="26"/>
  <c r="C37" i="45"/>
  <c r="AJ37" i="45" s="1"/>
  <c r="BJ38" i="39"/>
  <c r="A10" i="1"/>
  <c r="A11" i="2" s="1"/>
  <c r="AD21" i="39"/>
  <c r="H21" i="39"/>
  <c r="L47" i="24"/>
  <c r="L47" i="8"/>
  <c r="L47" i="16"/>
  <c r="L47" i="26"/>
  <c r="I47" i="4"/>
  <c r="D34" i="17"/>
  <c r="I48" i="4"/>
  <c r="AR38" i="39"/>
  <c r="H11" i="39"/>
  <c r="H24" i="39"/>
  <c r="AJ27" i="39"/>
  <c r="AD15" i="39"/>
  <c r="I40" i="14"/>
  <c r="I48" i="14" s="1"/>
  <c r="T38" i="39"/>
  <c r="L45" i="4"/>
  <c r="C52" i="43"/>
  <c r="C53" i="43" s="1"/>
  <c r="AJ23" i="39"/>
  <c r="H27" i="39"/>
  <c r="G26" i="39"/>
  <c r="K34" i="10"/>
  <c r="AD27" i="39"/>
  <c r="AJ11" i="39"/>
  <c r="I38" i="39"/>
  <c r="G23" i="39"/>
  <c r="H15" i="39"/>
  <c r="H23" i="39"/>
  <c r="G19" i="39"/>
  <c r="D34" i="26"/>
  <c r="E34" i="43"/>
  <c r="AL38" i="39"/>
  <c r="I51" i="4"/>
  <c r="V38" i="39"/>
  <c r="J38" i="39"/>
  <c r="C52" i="37"/>
  <c r="C53" i="37" s="1"/>
  <c r="G11" i="39"/>
  <c r="H17" i="39"/>
  <c r="K34" i="29"/>
  <c r="C52" i="14"/>
  <c r="C53" i="14" s="1"/>
  <c r="C52" i="13"/>
  <c r="C53" i="13" s="1"/>
  <c r="C52" i="9"/>
  <c r="C53" i="9" s="1"/>
  <c r="AD31" i="39"/>
  <c r="D34" i="32"/>
  <c r="E34" i="17"/>
  <c r="V39" i="39"/>
  <c r="C38" i="45"/>
  <c r="AX39" i="39"/>
  <c r="AJ14" i="39"/>
  <c r="B13" i="45"/>
  <c r="L47" i="23"/>
  <c r="S14" i="45"/>
  <c r="AA14" i="45"/>
  <c r="W14" i="45"/>
  <c r="O14" i="45"/>
  <c r="K14" i="45"/>
  <c r="AD14" i="45"/>
  <c r="F14" i="45"/>
  <c r="AI14" i="45"/>
  <c r="E34" i="26"/>
  <c r="C24" i="43"/>
  <c r="G39" i="39"/>
  <c r="B38" i="45"/>
  <c r="F31" i="45"/>
  <c r="AA31" i="45"/>
  <c r="AD31" i="45"/>
  <c r="AI31" i="45"/>
  <c r="O31" i="45"/>
  <c r="K31" i="45"/>
  <c r="S31" i="45"/>
  <c r="W31" i="45"/>
  <c r="D38" i="1"/>
  <c r="D39" i="2" s="1"/>
  <c r="B37" i="45"/>
  <c r="F30" i="45"/>
  <c r="AD30" i="45"/>
  <c r="S30" i="45"/>
  <c r="W30" i="45"/>
  <c r="AA30" i="45"/>
  <c r="AI30" i="45"/>
  <c r="K30" i="45"/>
  <c r="O30" i="45"/>
  <c r="F21" i="45"/>
  <c r="S21" i="45"/>
  <c r="W21" i="45"/>
  <c r="AA21" i="45"/>
  <c r="K21" i="45"/>
  <c r="AI21" i="45"/>
  <c r="O21" i="45"/>
  <c r="AD21" i="45"/>
  <c r="I47" i="43"/>
  <c r="C15" i="43"/>
  <c r="H22" i="39"/>
  <c r="L47" i="7"/>
  <c r="F20" i="45"/>
  <c r="K20" i="45"/>
  <c r="O20" i="45"/>
  <c r="AD20" i="45"/>
  <c r="S20" i="45"/>
  <c r="W20" i="45"/>
  <c r="AA20" i="45"/>
  <c r="AI20" i="45"/>
  <c r="F12" i="45"/>
  <c r="AA12" i="45"/>
  <c r="S12" i="45"/>
  <c r="W12" i="45"/>
  <c r="O12" i="45"/>
  <c r="K12" i="45"/>
  <c r="AD12" i="45"/>
  <c r="AI12" i="45"/>
  <c r="I40" i="12"/>
  <c r="C15" i="4"/>
  <c r="F29" i="45"/>
  <c r="K29" i="45"/>
  <c r="O29" i="45"/>
  <c r="AA29" i="45"/>
  <c r="W29" i="45"/>
  <c r="AI29" i="45"/>
  <c r="S29" i="45"/>
  <c r="AD29" i="45"/>
  <c r="S8" i="45"/>
  <c r="O8" i="45"/>
  <c r="K8" i="45"/>
  <c r="AA8" i="45"/>
  <c r="W8" i="45"/>
  <c r="AI8" i="45"/>
  <c r="F8" i="45"/>
  <c r="AD8" i="45"/>
  <c r="E24" i="43"/>
  <c r="D34" i="43"/>
  <c r="C34" i="13"/>
  <c r="K22" i="13" s="1"/>
  <c r="K34" i="13" s="1"/>
  <c r="F19" i="45"/>
  <c r="K19" i="45"/>
  <c r="O19" i="45"/>
  <c r="AI19" i="45"/>
  <c r="S19" i="45"/>
  <c r="AA19" i="45"/>
  <c r="AD19" i="45"/>
  <c r="W19" i="45"/>
  <c r="AJ12" i="39"/>
  <c r="B11" i="45"/>
  <c r="S36" i="45"/>
  <c r="F36" i="45"/>
  <c r="K36" i="45"/>
  <c r="AI36" i="45"/>
  <c r="O36" i="45"/>
  <c r="W36" i="45"/>
  <c r="AA36" i="45"/>
  <c r="AD36" i="45"/>
  <c r="F28" i="45"/>
  <c r="K28" i="45"/>
  <c r="O28" i="45"/>
  <c r="S28" i="45"/>
  <c r="AA28" i="45"/>
  <c r="AI28" i="45"/>
  <c r="W28" i="45"/>
  <c r="AD28" i="45"/>
  <c r="D24" i="43"/>
  <c r="G14" i="39"/>
  <c r="AJ22" i="39"/>
  <c r="AA26" i="45"/>
  <c r="K26" i="45"/>
  <c r="S26" i="45"/>
  <c r="W26" i="45"/>
  <c r="F26" i="45"/>
  <c r="O26" i="45"/>
  <c r="AI26" i="45"/>
  <c r="AD26" i="45"/>
  <c r="F18" i="45"/>
  <c r="AA18" i="45"/>
  <c r="AI18" i="45"/>
  <c r="O18" i="45"/>
  <c r="K18" i="45"/>
  <c r="S18" i="45"/>
  <c r="W18" i="45"/>
  <c r="AD18" i="45"/>
  <c r="W10" i="45"/>
  <c r="S10" i="45"/>
  <c r="K10" i="45"/>
  <c r="O10" i="45"/>
  <c r="F10" i="45"/>
  <c r="AA10" i="45"/>
  <c r="AD10" i="45"/>
  <c r="AI10" i="45"/>
  <c r="D33" i="43"/>
  <c r="D36" i="1"/>
  <c r="D37" i="2" s="1"/>
  <c r="B35" i="45"/>
  <c r="AP28" i="39"/>
  <c r="B27" i="45"/>
  <c r="G22" i="39"/>
  <c r="F25" i="45"/>
  <c r="S25" i="45"/>
  <c r="W25" i="45"/>
  <c r="AD25" i="45"/>
  <c r="K25" i="45"/>
  <c r="AA25" i="45"/>
  <c r="AI25" i="45"/>
  <c r="O25" i="45"/>
  <c r="AD18" i="39"/>
  <c r="B17" i="45"/>
  <c r="E34" i="33"/>
  <c r="J57" i="33" s="1"/>
  <c r="F34" i="45"/>
  <c r="AA34" i="45"/>
  <c r="S34" i="45"/>
  <c r="O34" i="45"/>
  <c r="AI34" i="45"/>
  <c r="W34" i="45"/>
  <c r="K34" i="45"/>
  <c r="AD34" i="45"/>
  <c r="E34" i="24"/>
  <c r="L47" i="15"/>
  <c r="F24" i="45"/>
  <c r="K24" i="45"/>
  <c r="O24" i="45"/>
  <c r="W24" i="45"/>
  <c r="AA24" i="45"/>
  <c r="AD24" i="45"/>
  <c r="S24" i="45"/>
  <c r="AI24" i="45"/>
  <c r="F16" i="45"/>
  <c r="K16" i="45"/>
  <c r="AI16" i="45"/>
  <c r="O16" i="45"/>
  <c r="S16" i="45"/>
  <c r="W16" i="45"/>
  <c r="AD16" i="45"/>
  <c r="AA16" i="45"/>
  <c r="F34" i="13"/>
  <c r="F33" i="45"/>
  <c r="K33" i="45"/>
  <c r="AD33" i="45"/>
  <c r="O33" i="45"/>
  <c r="W33" i="45"/>
  <c r="S33" i="45"/>
  <c r="AA33" i="45"/>
  <c r="AI33" i="45"/>
  <c r="I47" i="10"/>
  <c r="F23" i="45"/>
  <c r="K23" i="45"/>
  <c r="AD23" i="45"/>
  <c r="O23" i="45"/>
  <c r="AI23" i="45"/>
  <c r="S23" i="45"/>
  <c r="AA23" i="45"/>
  <c r="W23" i="45"/>
  <c r="AA15" i="45"/>
  <c r="S15" i="45"/>
  <c r="W15" i="45"/>
  <c r="O15" i="45"/>
  <c r="K15" i="45"/>
  <c r="F15" i="45"/>
  <c r="AI15" i="45"/>
  <c r="AD15" i="45"/>
  <c r="D34" i="13"/>
  <c r="F32" i="45"/>
  <c r="AI32" i="45"/>
  <c r="O32" i="45"/>
  <c r="W32" i="45"/>
  <c r="AD32" i="45"/>
  <c r="S32" i="45"/>
  <c r="AA32" i="45"/>
  <c r="K32" i="45"/>
  <c r="B9" i="45"/>
  <c r="AV38" i="39"/>
  <c r="AX38" i="39"/>
  <c r="I47" i="11"/>
  <c r="L48" i="43"/>
  <c r="M43" i="33"/>
  <c r="M44" i="33" s="1"/>
  <c r="I45" i="4"/>
  <c r="AJ10" i="39"/>
  <c r="K34" i="24"/>
  <c r="I40" i="24" s="1"/>
  <c r="L45" i="43"/>
  <c r="I51" i="43"/>
  <c r="AF39" i="39"/>
  <c r="AR39" i="39"/>
  <c r="AL39" i="39"/>
  <c r="I45" i="43"/>
  <c r="E38" i="1"/>
  <c r="AF38" i="39"/>
  <c r="I50" i="25"/>
  <c r="D33" i="4"/>
  <c r="E33" i="4"/>
  <c r="D24" i="4"/>
  <c r="E15" i="4"/>
  <c r="D15" i="4"/>
  <c r="D34" i="4"/>
  <c r="AP37" i="39"/>
  <c r="H37" i="39"/>
  <c r="D37" i="1"/>
  <c r="D38" i="2" s="1"/>
  <c r="AD37" i="39"/>
  <c r="H33" i="39"/>
  <c r="G33" i="39"/>
  <c r="AJ29" i="39"/>
  <c r="E38" i="39"/>
  <c r="F38" i="39" s="1"/>
  <c r="E39" i="1"/>
  <c r="BD39" i="39"/>
  <c r="T39" i="39"/>
  <c r="J39" i="39"/>
  <c r="I39" i="39"/>
  <c r="I48" i="43"/>
  <c r="AJ24" i="39"/>
  <c r="G24" i="39"/>
  <c r="AJ20" i="39"/>
  <c r="AD20" i="39"/>
  <c r="G20" i="39"/>
  <c r="AJ16" i="39"/>
  <c r="H16" i="39"/>
  <c r="F29" i="39"/>
  <c r="L48" i="22"/>
  <c r="L47" i="22"/>
  <c r="B10" i="2"/>
  <c r="B37" i="2"/>
  <c r="B33" i="2"/>
  <c r="B29" i="2"/>
  <c r="B25" i="2"/>
  <c r="B21" i="2"/>
  <c r="B17" i="2"/>
  <c r="B13" i="2"/>
  <c r="C52" i="4"/>
  <c r="C53" i="4" s="1"/>
  <c r="H18" i="39"/>
  <c r="D15" i="33"/>
  <c r="E28" i="39"/>
  <c r="F28" i="39" s="1"/>
  <c r="E30" i="39"/>
  <c r="F30" i="39" s="1"/>
  <c r="B12" i="2"/>
  <c r="AJ28" i="39"/>
  <c r="B19" i="2"/>
  <c r="D39" i="1"/>
  <c r="D40" i="2" s="1"/>
  <c r="D28" i="1"/>
  <c r="D29" i="2" s="1"/>
  <c r="C33" i="33"/>
  <c r="D34" i="33"/>
  <c r="C52" i="6"/>
  <c r="C53" i="6" s="1"/>
  <c r="C24" i="4"/>
  <c r="F20" i="39"/>
  <c r="F34" i="33"/>
  <c r="D24" i="33"/>
  <c r="M9" i="32"/>
  <c r="D12" i="1"/>
  <c r="D13" i="2" s="1"/>
  <c r="C52" i="27"/>
  <c r="C53" i="27" s="1"/>
  <c r="D16" i="1"/>
  <c r="D17" i="2" s="1"/>
  <c r="AJ17" i="39"/>
  <c r="E17" i="39"/>
  <c r="F17" i="39" s="1"/>
  <c r="E17" i="1"/>
  <c r="F18" i="39"/>
  <c r="D19" i="1"/>
  <c r="D20" i="2" s="1"/>
  <c r="H19" i="39"/>
  <c r="AJ19" i="39"/>
  <c r="D20" i="1"/>
  <c r="D21" i="2" s="1"/>
  <c r="D22" i="1"/>
  <c r="D23" i="2" s="1"/>
  <c r="F22" i="39"/>
  <c r="D24" i="1"/>
  <c r="D25" i="2" s="1"/>
  <c r="F24" i="39"/>
  <c r="D26" i="1"/>
  <c r="D27" i="2" s="1"/>
  <c r="F27" i="39"/>
  <c r="D29" i="1"/>
  <c r="D30" i="2" s="1"/>
  <c r="AD29" i="39"/>
  <c r="AD35" i="39"/>
  <c r="D35" i="1"/>
  <c r="D36" i="2" s="1"/>
  <c r="K34" i="7"/>
  <c r="I40" i="7" s="1"/>
  <c r="C52" i="7"/>
  <c r="C53" i="7" s="1"/>
  <c r="M30" i="8"/>
  <c r="C52" i="8"/>
  <c r="C53" i="8" s="1"/>
  <c r="AD34" i="39"/>
  <c r="D34" i="1"/>
  <c r="D35" i="2" s="1"/>
  <c r="AT29" i="39"/>
  <c r="E33" i="39"/>
  <c r="AD33" i="39"/>
  <c r="D33" i="1"/>
  <c r="D34" i="2" s="1"/>
  <c r="D32" i="1"/>
  <c r="D33" i="2" s="1"/>
  <c r="AP31" i="39"/>
  <c r="D31" i="1"/>
  <c r="D32" i="2" s="1"/>
  <c r="E31" i="39"/>
  <c r="C52" i="10"/>
  <c r="C53" i="10" s="1"/>
  <c r="C52" i="11"/>
  <c r="C53" i="11" s="1"/>
  <c r="AP30" i="39"/>
  <c r="AD30" i="39"/>
  <c r="AJ30" i="39"/>
  <c r="D30" i="1"/>
  <c r="D31" i="2" s="1"/>
  <c r="BB29" i="39"/>
  <c r="C52" i="12"/>
  <c r="C53" i="12" s="1"/>
  <c r="L47" i="14"/>
  <c r="AP29" i="39"/>
  <c r="AT28" i="39"/>
  <c r="I47" i="14"/>
  <c r="AT27" i="39"/>
  <c r="AT21" i="39"/>
  <c r="AT25" i="39"/>
  <c r="I40" i="15"/>
  <c r="L45" i="15" s="1"/>
  <c r="AP27" i="39"/>
  <c r="D27" i="1"/>
  <c r="D28" i="2" s="1"/>
  <c r="C52" i="15"/>
  <c r="C53" i="15" s="1"/>
  <c r="L47" i="18"/>
  <c r="L48" i="21"/>
  <c r="L47" i="32"/>
  <c r="L47" i="30"/>
  <c r="L47" i="27"/>
  <c r="AT26" i="39"/>
  <c r="I47" i="18"/>
  <c r="I40" i="16"/>
  <c r="I45" i="16" s="1"/>
  <c r="C52" i="16"/>
  <c r="C53" i="16" s="1"/>
  <c r="AP26" i="39"/>
  <c r="K34" i="18"/>
  <c r="I40" i="17"/>
  <c r="I51" i="17" s="1"/>
  <c r="F25" i="39"/>
  <c r="AP25" i="39"/>
  <c r="D25" i="1"/>
  <c r="D26" i="2" s="1"/>
  <c r="C52" i="17"/>
  <c r="C53" i="17" s="1"/>
  <c r="C52" i="18"/>
  <c r="C53" i="18" s="1"/>
  <c r="AP24" i="39"/>
  <c r="C52" i="19"/>
  <c r="C53" i="19" s="1"/>
  <c r="AP23" i="39"/>
  <c r="D23" i="1"/>
  <c r="D24" i="2" s="1"/>
  <c r="I47" i="20"/>
  <c r="I40" i="20"/>
  <c r="L45" i="20" s="1"/>
  <c r="C52" i="20"/>
  <c r="C53" i="20" s="1"/>
  <c r="AP22" i="39"/>
  <c r="I47" i="23"/>
  <c r="AT20" i="39"/>
  <c r="I40" i="22"/>
  <c r="L45" i="22" s="1"/>
  <c r="C52" i="22"/>
  <c r="C53" i="22" s="1"/>
  <c r="AP21" i="39"/>
  <c r="D21" i="1"/>
  <c r="D22" i="2" s="1"/>
  <c r="I40" i="21"/>
  <c r="C52" i="21"/>
  <c r="C53" i="21" s="1"/>
  <c r="AP20" i="39"/>
  <c r="M46" i="33"/>
  <c r="M46" i="32" s="1"/>
  <c r="M47" i="32" s="1"/>
  <c r="L47" i="25"/>
  <c r="I40" i="23"/>
  <c r="L45" i="23" s="1"/>
  <c r="C52" i="23"/>
  <c r="C53" i="23" s="1"/>
  <c r="AP19" i="39"/>
  <c r="AX17" i="39"/>
  <c r="AV17" i="39"/>
  <c r="AT14" i="39"/>
  <c r="I47" i="25"/>
  <c r="AT16" i="39"/>
  <c r="I47" i="24"/>
  <c r="I47" i="28"/>
  <c r="F34" i="24"/>
  <c r="C52" i="24"/>
  <c r="C53" i="24" s="1"/>
  <c r="AP18" i="39"/>
  <c r="D18" i="1"/>
  <c r="D19" i="2" s="1"/>
  <c r="G18" i="39"/>
  <c r="C52" i="25"/>
  <c r="C53" i="25" s="1"/>
  <c r="AP17" i="39"/>
  <c r="D17" i="1"/>
  <c r="D18" i="2" s="1"/>
  <c r="L47" i="29"/>
  <c r="I40" i="26"/>
  <c r="I51" i="26" s="1"/>
  <c r="F16" i="39"/>
  <c r="C52" i="26"/>
  <c r="C53" i="26" s="1"/>
  <c r="AP16" i="39"/>
  <c r="AP15" i="39"/>
  <c r="D15" i="1"/>
  <c r="D16" i="2" s="1"/>
  <c r="C52" i="28"/>
  <c r="C53" i="28" s="1"/>
  <c r="AT11" i="39"/>
  <c r="AT13" i="39"/>
  <c r="J46" i="33"/>
  <c r="J47" i="33" s="1"/>
  <c r="AP14" i="39"/>
  <c r="D14" i="1"/>
  <c r="D15" i="2" s="1"/>
  <c r="AT10" i="39"/>
  <c r="AP13" i="39"/>
  <c r="D13" i="1"/>
  <c r="D14" i="2" s="1"/>
  <c r="C52" i="29"/>
  <c r="C53" i="29" s="1"/>
  <c r="L47" i="31"/>
  <c r="D33" i="33"/>
  <c r="C15" i="33"/>
  <c r="C34" i="33"/>
  <c r="E24" i="33"/>
  <c r="E15" i="33"/>
  <c r="J38" i="31"/>
  <c r="E34" i="32"/>
  <c r="AP11" i="39"/>
  <c r="D11" i="1"/>
  <c r="D12" i="2" s="1"/>
  <c r="AP10" i="39"/>
  <c r="I47" i="30"/>
  <c r="F12" i="39"/>
  <c r="C52" i="30"/>
  <c r="C53" i="30" s="1"/>
  <c r="AP12" i="39"/>
  <c r="F10" i="39"/>
  <c r="P41" i="39"/>
  <c r="AJ41" i="39" s="1"/>
  <c r="D10" i="1"/>
  <c r="D11" i="2" s="1"/>
  <c r="J50" i="33"/>
  <c r="D9" i="1"/>
  <c r="D10" i="2" s="1"/>
  <c r="D40" i="32"/>
  <c r="E40" i="32" s="1"/>
  <c r="D48" i="32"/>
  <c r="E48" i="32" s="1"/>
  <c r="C52" i="33"/>
  <c r="C53" i="33" s="1"/>
  <c r="E40" i="33"/>
  <c r="D42" i="32"/>
  <c r="E42" i="32" s="1"/>
  <c r="E44" i="33"/>
  <c r="D52" i="33"/>
  <c r="D53" i="33" s="1"/>
  <c r="D51" i="32"/>
  <c r="E51" i="32" s="1"/>
  <c r="D46" i="32"/>
  <c r="E46" i="32" s="1"/>
  <c r="D38" i="32"/>
  <c r="D38" i="31" s="1"/>
  <c r="D47" i="32"/>
  <c r="E47" i="32" s="1"/>
  <c r="D45" i="32"/>
  <c r="E45" i="32" s="1"/>
  <c r="D44" i="32"/>
  <c r="E44" i="32" s="1"/>
  <c r="D43" i="32"/>
  <c r="E43" i="32" s="1"/>
  <c r="C52" i="32"/>
  <c r="C53" i="32" s="1"/>
  <c r="D39" i="32"/>
  <c r="E39" i="32" s="1"/>
  <c r="F11" i="39"/>
  <c r="C52" i="31"/>
  <c r="C53" i="31" s="1"/>
  <c r="AI38" i="39"/>
  <c r="D50" i="32"/>
  <c r="D49" i="32"/>
  <c r="D41" i="32"/>
  <c r="E24" i="4"/>
  <c r="J49" i="32"/>
  <c r="J50" i="32" s="1"/>
  <c r="I50" i="26"/>
  <c r="J37" i="32"/>
  <c r="F35" i="39"/>
  <c r="I44" i="19"/>
  <c r="F15" i="39"/>
  <c r="H39" i="39"/>
  <c r="I50" i="15"/>
  <c r="M8" i="32"/>
  <c r="AV19" i="39"/>
  <c r="I47" i="19"/>
  <c r="AL17" i="39"/>
  <c r="V17" i="39"/>
  <c r="F26" i="39"/>
  <c r="AD14" i="39"/>
  <c r="AD16" i="39"/>
  <c r="AD19" i="39"/>
  <c r="AD24" i="39"/>
  <c r="AD26" i="39"/>
  <c r="AJ26" i="39"/>
  <c r="AD23" i="39"/>
  <c r="AD11" i="39"/>
  <c r="AD10" i="39"/>
  <c r="AP38" i="39"/>
  <c r="AJ38" i="39"/>
  <c r="AP32" i="39"/>
  <c r="AJ32" i="39"/>
  <c r="AJ39" i="39"/>
  <c r="AP39" i="39"/>
  <c r="AP36" i="39"/>
  <c r="AJ36" i="39"/>
  <c r="AP35" i="39"/>
  <c r="AJ35" i="39"/>
  <c r="AP34" i="39"/>
  <c r="AJ34" i="39"/>
  <c r="AP33" i="39"/>
  <c r="AJ33" i="39"/>
  <c r="AD32" i="39"/>
  <c r="AD38" i="39"/>
  <c r="G37" i="39"/>
  <c r="AA97" i="54" l="1"/>
  <c r="AB97" i="54" s="1"/>
  <c r="W123" i="54"/>
  <c r="X123" i="54" s="1"/>
  <c r="W123" i="46"/>
  <c r="W101" i="54"/>
  <c r="X101" i="54" s="1"/>
  <c r="W101" i="46"/>
  <c r="W114" i="54"/>
  <c r="X114" i="54" s="1"/>
  <c r="W114" i="46"/>
  <c r="W82" i="54"/>
  <c r="X82" i="54" s="1"/>
  <c r="W82" i="46"/>
  <c r="Z82" i="54"/>
  <c r="Z82" i="46"/>
  <c r="W74" i="54"/>
  <c r="X74" i="54" s="1"/>
  <c r="W74" i="46"/>
  <c r="AA97" i="46"/>
  <c r="AB97" i="46" s="1"/>
  <c r="X97" i="46"/>
  <c r="W78" i="54"/>
  <c r="X78" i="54" s="1"/>
  <c r="W78" i="46"/>
  <c r="AA70" i="46"/>
  <c r="AB70" i="46" s="1"/>
  <c r="X70" i="46"/>
  <c r="W53" i="54"/>
  <c r="X52" i="54" s="1"/>
  <c r="W53" i="46"/>
  <c r="I40" i="8"/>
  <c r="R33" i="39"/>
  <c r="AA82" i="54"/>
  <c r="AB82" i="54" s="1"/>
  <c r="I45" i="9"/>
  <c r="I51" i="9"/>
  <c r="L45" i="9"/>
  <c r="I40" i="10"/>
  <c r="L45" i="10" s="1"/>
  <c r="M22" i="13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I40" i="13"/>
  <c r="I51" i="13" s="1"/>
  <c r="AV11" i="39"/>
  <c r="AV30" i="39"/>
  <c r="AV26" i="39"/>
  <c r="AV29" i="39"/>
  <c r="AV37" i="39"/>
  <c r="AV16" i="39"/>
  <c r="AV25" i="39"/>
  <c r="AV20" i="39"/>
  <c r="AV21" i="39"/>
  <c r="AV33" i="39"/>
  <c r="AV14" i="39"/>
  <c r="AV27" i="39"/>
  <c r="AV13" i="39"/>
  <c r="AV35" i="39"/>
  <c r="I40" i="18"/>
  <c r="L45" i="18" s="1"/>
  <c r="I40" i="19"/>
  <c r="L45" i="19" s="1"/>
  <c r="L45" i="37"/>
  <c r="R37" i="39"/>
  <c r="BD37" i="39" s="1"/>
  <c r="M21" i="24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AA57" i="54"/>
  <c r="AB57" i="54" s="1"/>
  <c r="C35" i="32"/>
  <c r="I51" i="37"/>
  <c r="I48" i="37"/>
  <c r="L37" i="45"/>
  <c r="K34" i="30"/>
  <c r="A11" i="1"/>
  <c r="A12" i="2" s="1"/>
  <c r="M24" i="37"/>
  <c r="M24" i="4" s="1"/>
  <c r="M24" i="43" s="1"/>
  <c r="M27" i="37"/>
  <c r="M27" i="4" s="1"/>
  <c r="M27" i="43" s="1"/>
  <c r="M26" i="37"/>
  <c r="M26" i="4" s="1"/>
  <c r="M26" i="43" s="1"/>
  <c r="M28" i="37"/>
  <c r="M28" i="4" s="1"/>
  <c r="M28" i="43" s="1"/>
  <c r="J31" i="9"/>
  <c r="J31" i="8" s="1"/>
  <c r="J31" i="7" s="1"/>
  <c r="J31" i="6" s="1"/>
  <c r="J31" i="37" s="1"/>
  <c r="J31" i="4" s="1"/>
  <c r="M29" i="37"/>
  <c r="M29" i="4" s="1"/>
  <c r="M29" i="43" s="1"/>
  <c r="M18" i="37"/>
  <c r="M18" i="4" s="1"/>
  <c r="M18" i="43" s="1"/>
  <c r="M25" i="37"/>
  <c r="M25" i="4" s="1"/>
  <c r="M25" i="43" s="1"/>
  <c r="J12" i="17"/>
  <c r="J12" i="16" s="1"/>
  <c r="J12" i="15" s="1"/>
  <c r="J12" i="14" s="1"/>
  <c r="J12" i="13" s="1"/>
  <c r="J12" i="12" s="1"/>
  <c r="J12" i="11" s="1"/>
  <c r="J12" i="10" s="1"/>
  <c r="J13" i="17"/>
  <c r="J13" i="16" s="1"/>
  <c r="J13" i="15" s="1"/>
  <c r="J13" i="14" s="1"/>
  <c r="J13" i="13" s="1"/>
  <c r="J13" i="12" s="1"/>
  <c r="J13" i="11" s="1"/>
  <c r="J13" i="10" s="1"/>
  <c r="J30" i="37"/>
  <c r="J30" i="43" s="1"/>
  <c r="J29" i="43"/>
  <c r="I17" i="39"/>
  <c r="BD17" i="39"/>
  <c r="AU9" i="39"/>
  <c r="AU10" i="39" s="1"/>
  <c r="AU11" i="39" s="1"/>
  <c r="AU12" i="39" s="1"/>
  <c r="AU13" i="39" s="1"/>
  <c r="AU14" i="39" s="1"/>
  <c r="AU15" i="39" s="1"/>
  <c r="AU16" i="39" s="1"/>
  <c r="AV9" i="39"/>
  <c r="I40" i="6"/>
  <c r="J32" i="8"/>
  <c r="J32" i="7" s="1"/>
  <c r="J32" i="6" s="1"/>
  <c r="J32" i="4" s="1"/>
  <c r="J32" i="43" s="1"/>
  <c r="GN39" i="1"/>
  <c r="GK39" i="1"/>
  <c r="GQ39" i="1"/>
  <c r="GW39" i="1"/>
  <c r="GT39" i="1"/>
  <c r="E40" i="2"/>
  <c r="GQ38" i="1"/>
  <c r="GT38" i="1"/>
  <c r="GK38" i="1"/>
  <c r="GW38" i="1"/>
  <c r="GN38" i="1"/>
  <c r="V33" i="39"/>
  <c r="M23" i="11"/>
  <c r="M23" i="10" s="1"/>
  <c r="M23" i="9" s="1"/>
  <c r="M23" i="8" s="1"/>
  <c r="M23" i="7" s="1"/>
  <c r="M23" i="6" s="1"/>
  <c r="AL33" i="39"/>
  <c r="J26" i="11"/>
  <c r="J26" i="10" s="1"/>
  <c r="J26" i="9" s="1"/>
  <c r="J26" i="8" s="1"/>
  <c r="J26" i="7" s="1"/>
  <c r="J26" i="37" s="1"/>
  <c r="D35" i="17"/>
  <c r="AR33" i="39"/>
  <c r="R29" i="39"/>
  <c r="I45" i="13"/>
  <c r="L45" i="13"/>
  <c r="R15" i="39"/>
  <c r="I51" i="28"/>
  <c r="I48" i="13"/>
  <c r="I48" i="28"/>
  <c r="E35" i="11"/>
  <c r="C35" i="12"/>
  <c r="D35" i="14"/>
  <c r="J27" i="16"/>
  <c r="J27" i="15" s="1"/>
  <c r="J27" i="14" s="1"/>
  <c r="J27" i="13" s="1"/>
  <c r="J27" i="12" s="1"/>
  <c r="J28" i="16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33" i="39"/>
  <c r="J44" i="33"/>
  <c r="J17" i="16"/>
  <c r="C35" i="17"/>
  <c r="J10" i="22"/>
  <c r="E35" i="17"/>
  <c r="E35" i="13"/>
  <c r="L45" i="28"/>
  <c r="P37" i="45"/>
  <c r="C35" i="14"/>
  <c r="BJ17" i="39"/>
  <c r="J11" i="21"/>
  <c r="X37" i="45"/>
  <c r="J17" i="39"/>
  <c r="I51" i="25"/>
  <c r="I48" i="25"/>
  <c r="C35" i="16"/>
  <c r="C35" i="24"/>
  <c r="AB37" i="45"/>
  <c r="AR17" i="39"/>
  <c r="T17" i="39"/>
  <c r="C16" i="45"/>
  <c r="AJ16" i="45" s="1"/>
  <c r="AE37" i="45"/>
  <c r="T37" i="45"/>
  <c r="D35" i="25"/>
  <c r="E35" i="14"/>
  <c r="AF17" i="39"/>
  <c r="E35" i="12"/>
  <c r="G37" i="45"/>
  <c r="C35" i="9"/>
  <c r="L45" i="25"/>
  <c r="I45" i="25"/>
  <c r="C35" i="8"/>
  <c r="Q10" i="39"/>
  <c r="AQ10" i="39" s="1"/>
  <c r="D35" i="9"/>
  <c r="BD33" i="39"/>
  <c r="C35" i="43"/>
  <c r="I40" i="27"/>
  <c r="I45" i="27" s="1"/>
  <c r="D35" i="12"/>
  <c r="J21" i="23"/>
  <c r="J21" i="21" s="1"/>
  <c r="J21" i="22" s="1"/>
  <c r="J21" i="20" s="1"/>
  <c r="J21" i="19" s="1"/>
  <c r="J21" i="18" s="1"/>
  <c r="J21" i="17" s="1"/>
  <c r="E33" i="1"/>
  <c r="ID33" i="1" s="1"/>
  <c r="E35" i="37"/>
  <c r="T33" i="39"/>
  <c r="AF33" i="39"/>
  <c r="J9" i="25"/>
  <c r="J9" i="24" s="1"/>
  <c r="J9" i="23" s="1"/>
  <c r="I33" i="39"/>
  <c r="C35" i="15"/>
  <c r="J15" i="16"/>
  <c r="J15" i="15" s="1"/>
  <c r="J15" i="14" s="1"/>
  <c r="J15" i="13" s="1"/>
  <c r="D35" i="26"/>
  <c r="C35" i="26"/>
  <c r="C35" i="7"/>
  <c r="D35" i="13"/>
  <c r="E35" i="26"/>
  <c r="E35" i="10"/>
  <c r="D35" i="43"/>
  <c r="M12" i="27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AX33" i="39"/>
  <c r="E35" i="25"/>
  <c r="E35" i="9"/>
  <c r="I40" i="29"/>
  <c r="I48" i="29" s="1"/>
  <c r="BJ10" i="39"/>
  <c r="I51" i="15"/>
  <c r="D35" i="37"/>
  <c r="I45" i="19"/>
  <c r="I45" i="17"/>
  <c r="M30" i="7"/>
  <c r="M30" i="6" s="1"/>
  <c r="M30" i="37" s="1"/>
  <c r="M30" i="4" s="1"/>
  <c r="M30" i="43" s="1"/>
  <c r="R25" i="39"/>
  <c r="M43" i="32"/>
  <c r="M44" i="32" s="1"/>
  <c r="C28" i="45"/>
  <c r="P28" i="45" s="1"/>
  <c r="JB38" i="1"/>
  <c r="IP38" i="1"/>
  <c r="HU38" i="1"/>
  <c r="HI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IY38" i="1"/>
  <c r="IM38" i="1"/>
  <c r="ID38" i="1"/>
  <c r="HR38" i="1"/>
  <c r="HF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JE38" i="1"/>
  <c r="IS38" i="1"/>
  <c r="IG38" i="1"/>
  <c r="HX38" i="1"/>
  <c r="HL38" i="1"/>
  <c r="GZ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CY38" i="1"/>
  <c r="G38" i="1"/>
  <c r="IA38" i="1"/>
  <c r="EI38" i="1"/>
  <c r="AQ38" i="1"/>
  <c r="FS38" i="1"/>
  <c r="CA38" i="1"/>
  <c r="HC38" i="1"/>
  <c r="DK38" i="1"/>
  <c r="S38" i="1"/>
  <c r="IJ38" i="1"/>
  <c r="EU38" i="1"/>
  <c r="BC38" i="1"/>
  <c r="HO38" i="1"/>
  <c r="DW38" i="1"/>
  <c r="AE38" i="1"/>
  <c r="IV38" i="1"/>
  <c r="GE38" i="1"/>
  <c r="BO38" i="1"/>
  <c r="CM38" i="1"/>
  <c r="FG38" i="1"/>
  <c r="C35" i="37"/>
  <c r="J49" i="31"/>
  <c r="J50" i="31" s="1"/>
  <c r="C32" i="45"/>
  <c r="BJ33" i="39"/>
  <c r="IY17" i="1"/>
  <c r="IM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IV17" i="1"/>
  <c r="IJ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E17" i="1"/>
  <c r="IS17" i="1"/>
  <c r="IG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B17" i="1"/>
  <c r="IP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IV39" i="1"/>
  <c r="IJ39" i="1"/>
  <c r="IA39" i="1"/>
  <c r="HO39" i="1"/>
  <c r="HC39" i="1"/>
  <c r="GE39" i="1"/>
  <c r="FS39" i="1"/>
  <c r="FG39" i="1"/>
  <c r="EU39" i="1"/>
  <c r="EI39" i="1"/>
  <c r="DW39" i="1"/>
  <c r="DK39" i="1"/>
  <c r="CY39" i="1"/>
  <c r="CM39" i="1"/>
  <c r="CA39" i="1"/>
  <c r="BO39" i="1"/>
  <c r="BC39" i="1"/>
  <c r="AQ39" i="1"/>
  <c r="AE39" i="1"/>
  <c r="S39" i="1"/>
  <c r="G39" i="1"/>
  <c r="JE39" i="1"/>
  <c r="IS39" i="1"/>
  <c r="IG39" i="1"/>
  <c r="HX39" i="1"/>
  <c r="HL39" i="1"/>
  <c r="GZ39" i="1"/>
  <c r="GB39" i="1"/>
  <c r="FP39" i="1"/>
  <c r="FD39" i="1"/>
  <c r="ER39" i="1"/>
  <c r="EF39" i="1"/>
  <c r="DT39" i="1"/>
  <c r="DH39" i="1"/>
  <c r="CV39" i="1"/>
  <c r="CJ39" i="1"/>
  <c r="BX39" i="1"/>
  <c r="BL39" i="1"/>
  <c r="AZ39" i="1"/>
  <c r="AN39" i="1"/>
  <c r="AB39" i="1"/>
  <c r="P39" i="1"/>
  <c r="IY39" i="1"/>
  <c r="IM39" i="1"/>
  <c r="ID39" i="1"/>
  <c r="HR39" i="1"/>
  <c r="HF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CS39" i="1"/>
  <c r="HU39" i="1"/>
  <c r="EC39" i="1"/>
  <c r="AK39" i="1"/>
  <c r="JB39" i="1"/>
  <c r="FM39" i="1"/>
  <c r="BU39" i="1"/>
  <c r="DE39" i="1"/>
  <c r="M39" i="1"/>
  <c r="EO39" i="1"/>
  <c r="AW39" i="1"/>
  <c r="HI39" i="1"/>
  <c r="DQ39" i="1"/>
  <c r="Y39" i="1"/>
  <c r="IP39" i="1"/>
  <c r="FY39" i="1"/>
  <c r="BI39" i="1"/>
  <c r="FA39" i="1"/>
  <c r="CG39" i="1"/>
  <c r="E35" i="43"/>
  <c r="E35" i="28"/>
  <c r="E35" i="8"/>
  <c r="D35" i="10"/>
  <c r="D35" i="8"/>
  <c r="D35" i="28"/>
  <c r="L45" i="14"/>
  <c r="R28" i="39"/>
  <c r="I51" i="14"/>
  <c r="I45" i="14"/>
  <c r="C35" i="10"/>
  <c r="D35" i="15"/>
  <c r="M10" i="29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C35" i="13"/>
  <c r="E35" i="32"/>
  <c r="E35" i="15"/>
  <c r="M46" i="31"/>
  <c r="M46" i="30" s="1"/>
  <c r="M46" i="29" s="1"/>
  <c r="M46" i="27" s="1"/>
  <c r="M46" i="28" s="1"/>
  <c r="M46" i="26" s="1"/>
  <c r="M46" i="25" s="1"/>
  <c r="M46" i="24" s="1"/>
  <c r="M46" i="23" s="1"/>
  <c r="M46" i="21" s="1"/>
  <c r="M46" i="22" s="1"/>
  <c r="M46" i="20" s="1"/>
  <c r="M46" i="19" s="1"/>
  <c r="M46" i="18" s="1"/>
  <c r="M46" i="17" s="1"/>
  <c r="M46" i="16" s="1"/>
  <c r="M46" i="15" s="1"/>
  <c r="M46" i="14" s="1"/>
  <c r="M46" i="13" s="1"/>
  <c r="M46" i="12" s="1"/>
  <c r="M46" i="11" s="1"/>
  <c r="M46" i="10" s="1"/>
  <c r="M46" i="9" s="1"/>
  <c r="M46" i="8" s="1"/>
  <c r="M46" i="7" s="1"/>
  <c r="M46" i="6" s="1"/>
  <c r="M46" i="37" s="1"/>
  <c r="M46" i="4" s="1"/>
  <c r="M46" i="43" s="1"/>
  <c r="C9" i="45"/>
  <c r="AJ9" i="45" s="1"/>
  <c r="C35" i="28"/>
  <c r="D35" i="24"/>
  <c r="E35" i="24"/>
  <c r="F17" i="45"/>
  <c r="W17" i="45"/>
  <c r="O17" i="45"/>
  <c r="S17" i="45"/>
  <c r="AA17" i="45"/>
  <c r="AI17" i="45"/>
  <c r="K17" i="45"/>
  <c r="AD17" i="45"/>
  <c r="F35" i="45"/>
  <c r="AD35" i="45"/>
  <c r="K35" i="45"/>
  <c r="W35" i="45"/>
  <c r="O35" i="45"/>
  <c r="S35" i="45"/>
  <c r="AA35" i="45"/>
  <c r="AI35" i="45"/>
  <c r="S11" i="45"/>
  <c r="AA11" i="45"/>
  <c r="K11" i="45"/>
  <c r="W11" i="45"/>
  <c r="O11" i="45"/>
  <c r="F11" i="45"/>
  <c r="AI11" i="45"/>
  <c r="AD11" i="45"/>
  <c r="I45" i="12"/>
  <c r="L45" i="12"/>
  <c r="I51" i="12"/>
  <c r="R30" i="39"/>
  <c r="I48" i="12"/>
  <c r="D35" i="16"/>
  <c r="F37" i="45"/>
  <c r="K37" i="45"/>
  <c r="AA37" i="45"/>
  <c r="O37" i="45"/>
  <c r="S37" i="45"/>
  <c r="W37" i="45"/>
  <c r="AD37" i="45"/>
  <c r="AI37" i="45"/>
  <c r="E35" i="7"/>
  <c r="F38" i="45"/>
  <c r="W38" i="45"/>
  <c r="O38" i="45"/>
  <c r="AA38" i="45"/>
  <c r="S38" i="45"/>
  <c r="K38" i="45"/>
  <c r="AI38" i="45"/>
  <c r="AD38" i="45"/>
  <c r="D35" i="7"/>
  <c r="D35" i="20"/>
  <c r="AB38" i="45"/>
  <c r="L38" i="45"/>
  <c r="X38" i="45"/>
  <c r="T38" i="45"/>
  <c r="P38" i="45"/>
  <c r="G38" i="45"/>
  <c r="AJ38" i="45"/>
  <c r="AE38" i="45"/>
  <c r="S13" i="45"/>
  <c r="O13" i="45"/>
  <c r="K13" i="45"/>
  <c r="AA13" i="45"/>
  <c r="W13" i="45"/>
  <c r="F13" i="45"/>
  <c r="AD13" i="45"/>
  <c r="AI13" i="45"/>
  <c r="D35" i="32"/>
  <c r="F27" i="45"/>
  <c r="AA27" i="45"/>
  <c r="AD27" i="45"/>
  <c r="O27" i="45"/>
  <c r="K27" i="45"/>
  <c r="S27" i="45"/>
  <c r="AI27" i="45"/>
  <c r="W27" i="45"/>
  <c r="W9" i="45"/>
  <c r="S9" i="45"/>
  <c r="AA9" i="45"/>
  <c r="O9" i="45"/>
  <c r="F9" i="45"/>
  <c r="K9" i="45"/>
  <c r="B40" i="45"/>
  <c r="AI9" i="45"/>
  <c r="AD9" i="45"/>
  <c r="E18" i="2"/>
  <c r="K34" i="33"/>
  <c r="M7" i="33"/>
  <c r="I48" i="19"/>
  <c r="J57" i="32"/>
  <c r="J57" i="31" s="1"/>
  <c r="J57" i="30" s="1"/>
  <c r="J57" i="29" s="1"/>
  <c r="J57" i="27" s="1"/>
  <c r="J57" i="28" s="1"/>
  <c r="J57" i="26" s="1"/>
  <c r="J57" i="25" s="1"/>
  <c r="J44" i="31"/>
  <c r="E52" i="33"/>
  <c r="E53" i="33" s="1"/>
  <c r="D42" i="2"/>
  <c r="J56" i="33"/>
  <c r="J56" i="32" s="1"/>
  <c r="J56" i="31" s="1"/>
  <c r="J56" i="30" s="1"/>
  <c r="J56" i="29" s="1"/>
  <c r="J56" i="27" s="1"/>
  <c r="J56" i="28" s="1"/>
  <c r="J56" i="26" s="1"/>
  <c r="J56" i="25" s="1"/>
  <c r="J58" i="25" s="1"/>
  <c r="D35" i="4"/>
  <c r="E35" i="4"/>
  <c r="E39" i="2"/>
  <c r="E35" i="20"/>
  <c r="J38" i="30"/>
  <c r="J44" i="30" s="1"/>
  <c r="C35" i="23"/>
  <c r="C35" i="20"/>
  <c r="E35" i="16"/>
  <c r="C35" i="4"/>
  <c r="D40" i="31"/>
  <c r="D40" i="30" s="1"/>
  <c r="E40" i="30" s="1"/>
  <c r="C35" i="25"/>
  <c r="C35" i="18"/>
  <c r="E35" i="18"/>
  <c r="L45" i="17"/>
  <c r="I48" i="17"/>
  <c r="J44" i="32"/>
  <c r="I51" i="7"/>
  <c r="L45" i="7"/>
  <c r="I45" i="7"/>
  <c r="R35" i="39"/>
  <c r="I48" i="7"/>
  <c r="R34" i="39"/>
  <c r="I45" i="8"/>
  <c r="I48" i="8"/>
  <c r="I51" i="8"/>
  <c r="L45" i="8"/>
  <c r="M47" i="33"/>
  <c r="F33" i="39"/>
  <c r="D35" i="11"/>
  <c r="C35" i="11"/>
  <c r="F31" i="39"/>
  <c r="E29" i="1"/>
  <c r="BD29" i="39"/>
  <c r="I29" i="39"/>
  <c r="AL29" i="39"/>
  <c r="V29" i="39"/>
  <c r="T29" i="39"/>
  <c r="AR29" i="39"/>
  <c r="AF29" i="39"/>
  <c r="J29" i="39"/>
  <c r="AX29" i="39"/>
  <c r="AV28" i="39"/>
  <c r="R27" i="39"/>
  <c r="I45" i="15"/>
  <c r="I48" i="15"/>
  <c r="L45" i="16"/>
  <c r="I48" i="16"/>
  <c r="I51" i="16"/>
  <c r="R26" i="39"/>
  <c r="D35" i="18"/>
  <c r="M17" i="18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R23" i="39"/>
  <c r="I51" i="19"/>
  <c r="I45" i="20"/>
  <c r="I51" i="20"/>
  <c r="R22" i="39"/>
  <c r="I48" i="20"/>
  <c r="AT41" i="39"/>
  <c r="C35" i="22"/>
  <c r="E35" i="22"/>
  <c r="D35" i="22"/>
  <c r="R21" i="39"/>
  <c r="I51" i="22"/>
  <c r="I45" i="22"/>
  <c r="I48" i="22"/>
  <c r="I51" i="21"/>
  <c r="L45" i="21"/>
  <c r="I48" i="21"/>
  <c r="I45" i="21"/>
  <c r="R20" i="39"/>
  <c r="C35" i="21"/>
  <c r="E35" i="21"/>
  <c r="D35" i="21"/>
  <c r="J46" i="32"/>
  <c r="J47" i="32" s="1"/>
  <c r="I45" i="23"/>
  <c r="R19" i="39"/>
  <c r="I51" i="23"/>
  <c r="I48" i="23"/>
  <c r="D35" i="23"/>
  <c r="E35" i="23"/>
  <c r="L45" i="24"/>
  <c r="I45" i="24"/>
  <c r="I48" i="24"/>
  <c r="R18" i="39"/>
  <c r="I51" i="24"/>
  <c r="R16" i="39"/>
  <c r="I48" i="26"/>
  <c r="I45" i="26"/>
  <c r="L45" i="26"/>
  <c r="E35" i="33"/>
  <c r="C35" i="33"/>
  <c r="D35" i="33"/>
  <c r="D47" i="31"/>
  <c r="E47" i="31" s="1"/>
  <c r="E10" i="1"/>
  <c r="L45" i="32"/>
  <c r="I45" i="32"/>
  <c r="I48" i="32"/>
  <c r="I51" i="32"/>
  <c r="AD41" i="39"/>
  <c r="AP41" i="39"/>
  <c r="D46" i="31"/>
  <c r="E46" i="31" s="1"/>
  <c r="D48" i="31"/>
  <c r="D48" i="30" s="1"/>
  <c r="D45" i="31"/>
  <c r="D45" i="30" s="1"/>
  <c r="D39" i="31"/>
  <c r="D39" i="30" s="1"/>
  <c r="D42" i="31"/>
  <c r="D42" i="30" s="1"/>
  <c r="D42" i="29" s="1"/>
  <c r="E42" i="29" s="1"/>
  <c r="D43" i="31"/>
  <c r="D43" i="30" s="1"/>
  <c r="D44" i="31"/>
  <c r="E44" i="31" s="1"/>
  <c r="E38" i="32"/>
  <c r="D38" i="30"/>
  <c r="E38" i="31"/>
  <c r="D51" i="31"/>
  <c r="D41" i="31"/>
  <c r="E41" i="32"/>
  <c r="D52" i="32"/>
  <c r="E50" i="32"/>
  <c r="D50" i="31"/>
  <c r="J39" i="32"/>
  <c r="J37" i="31"/>
  <c r="E35" i="19"/>
  <c r="C35" i="19"/>
  <c r="D35" i="19"/>
  <c r="E49" i="32"/>
  <c r="D49" i="31"/>
  <c r="AR10" i="39"/>
  <c r="I10" i="39"/>
  <c r="BD10" i="39"/>
  <c r="T10" i="39"/>
  <c r="AL10" i="39"/>
  <c r="AF10" i="39"/>
  <c r="AX10" i="39"/>
  <c r="AI39" i="39"/>
  <c r="M8" i="31"/>
  <c r="A12" i="1" l="1"/>
  <c r="A13" i="2" s="1"/>
  <c r="J37" i="39"/>
  <c r="AA74" i="46"/>
  <c r="AB74" i="46" s="1"/>
  <c r="X74" i="46"/>
  <c r="AA52" i="46"/>
  <c r="AB52" i="46" s="1"/>
  <c r="X52" i="46"/>
  <c r="AA82" i="46"/>
  <c r="AB82" i="46" s="1"/>
  <c r="X82" i="46"/>
  <c r="AA114" i="46"/>
  <c r="AB114" i="46" s="1"/>
  <c r="X114" i="46"/>
  <c r="AA78" i="46"/>
  <c r="AB78" i="46" s="1"/>
  <c r="X78" i="46"/>
  <c r="AA101" i="46"/>
  <c r="AB101" i="46" s="1"/>
  <c r="X101" i="46"/>
  <c r="AA123" i="46"/>
  <c r="AB123" i="46" s="1"/>
  <c r="X123" i="46"/>
  <c r="AA123" i="54"/>
  <c r="AB123" i="54" s="1"/>
  <c r="AQ33" i="1"/>
  <c r="AF37" i="39"/>
  <c r="I37" i="39"/>
  <c r="I48" i="18"/>
  <c r="BJ37" i="39"/>
  <c r="R32" i="39"/>
  <c r="AL32" i="39" s="1"/>
  <c r="AL37" i="39"/>
  <c r="I51" i="18"/>
  <c r="I45" i="18"/>
  <c r="C36" i="45"/>
  <c r="R24" i="39"/>
  <c r="AX37" i="39"/>
  <c r="I51" i="10"/>
  <c r="V37" i="39"/>
  <c r="I45" i="10"/>
  <c r="T37" i="39"/>
  <c r="AR37" i="39"/>
  <c r="I48" i="10"/>
  <c r="E37" i="1"/>
  <c r="V37" i="1" s="1"/>
  <c r="AA114" i="54"/>
  <c r="AB114" i="54" s="1"/>
  <c r="AA101" i="54"/>
  <c r="AB101" i="54" s="1"/>
  <c r="AA78" i="54"/>
  <c r="AB78" i="54" s="1"/>
  <c r="AA74" i="54"/>
  <c r="AB74" i="54" s="1"/>
  <c r="AA52" i="54"/>
  <c r="AB52" i="54" s="1"/>
  <c r="X16" i="45"/>
  <c r="DW18" i="2"/>
  <c r="DU18" i="2"/>
  <c r="DW40" i="2"/>
  <c r="DU40" i="2"/>
  <c r="DW39" i="2"/>
  <c r="DU39" i="2"/>
  <c r="J49" i="30"/>
  <c r="J49" i="29" s="1"/>
  <c r="I40" i="30"/>
  <c r="IJ33" i="1"/>
  <c r="AT33" i="1"/>
  <c r="IY33" i="1"/>
  <c r="HX33" i="1"/>
  <c r="P33" i="1"/>
  <c r="S33" i="1"/>
  <c r="HR37" i="1"/>
  <c r="M43" i="31"/>
  <c r="M43" i="30" s="1"/>
  <c r="M43" i="29" s="1"/>
  <c r="M43" i="27" s="1"/>
  <c r="M43" i="28" s="1"/>
  <c r="M43" i="26" s="1"/>
  <c r="M43" i="25" s="1"/>
  <c r="M43" i="24" s="1"/>
  <c r="M43" i="23" s="1"/>
  <c r="M43" i="21" s="1"/>
  <c r="M43" i="22" s="1"/>
  <c r="M43" i="20" s="1"/>
  <c r="M43" i="19" s="1"/>
  <c r="M43" i="18" s="1"/>
  <c r="M43" i="17" s="1"/>
  <c r="M43" i="16" s="1"/>
  <c r="M43" i="15" s="1"/>
  <c r="M43" i="14" s="1"/>
  <c r="M43" i="13" s="1"/>
  <c r="M43" i="12" s="1"/>
  <c r="M43" i="11" s="1"/>
  <c r="M43" i="10" s="1"/>
  <c r="M43" i="9" s="1"/>
  <c r="M43" i="8" s="1"/>
  <c r="M43" i="7" s="1"/>
  <c r="M43" i="6" s="1"/>
  <c r="J17" i="15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M17" i="37"/>
  <c r="M17" i="4" s="1"/>
  <c r="M17" i="43" s="1"/>
  <c r="M23" i="37"/>
  <c r="M23" i="4" s="1"/>
  <c r="M23" i="43" s="1"/>
  <c r="BX33" i="1"/>
  <c r="AW33" i="1"/>
  <c r="BC33" i="1"/>
  <c r="BR33" i="1"/>
  <c r="FA33" i="1"/>
  <c r="FD33" i="1"/>
  <c r="DK33" i="1"/>
  <c r="CD33" i="1"/>
  <c r="E34" i="2"/>
  <c r="JE33" i="1"/>
  <c r="EI33" i="1"/>
  <c r="EL33" i="1"/>
  <c r="AN33" i="1"/>
  <c r="CV33" i="1"/>
  <c r="EU33" i="1"/>
  <c r="FJ33" i="1"/>
  <c r="CJ33" i="1"/>
  <c r="ER33" i="1"/>
  <c r="HC33" i="1"/>
  <c r="FV33" i="1"/>
  <c r="DQ33" i="1"/>
  <c r="FY33" i="1"/>
  <c r="IA33" i="1"/>
  <c r="BJ29" i="39"/>
  <c r="J28" i="43"/>
  <c r="BJ28" i="39"/>
  <c r="J25" i="39"/>
  <c r="C22" i="45"/>
  <c r="AJ22" i="45" s="1"/>
  <c r="E15" i="1"/>
  <c r="JE15" i="1" s="1"/>
  <c r="AW9" i="39"/>
  <c r="L45" i="6"/>
  <c r="I51" i="6"/>
  <c r="R36" i="39"/>
  <c r="I48" i="6"/>
  <c r="I45" i="6"/>
  <c r="I15" i="39"/>
  <c r="T15" i="39"/>
  <c r="J12" i="9"/>
  <c r="J12" i="8" s="1"/>
  <c r="J12" i="7" s="1"/>
  <c r="J12" i="6" s="1"/>
  <c r="BD15" i="39"/>
  <c r="AX15" i="39"/>
  <c r="BJ15" i="39"/>
  <c r="AR15" i="39"/>
  <c r="V15" i="39"/>
  <c r="AL15" i="39"/>
  <c r="J13" i="9"/>
  <c r="J13" i="8" s="1"/>
  <c r="J13" i="7" s="1"/>
  <c r="J13" i="6" s="1"/>
  <c r="J15" i="39"/>
  <c r="C14" i="45"/>
  <c r="AB14" i="45" s="1"/>
  <c r="HR33" i="1"/>
  <c r="GN33" i="1"/>
  <c r="GZ33" i="1"/>
  <c r="GQ33" i="1"/>
  <c r="GT33" i="1"/>
  <c r="GW33" i="1"/>
  <c r="GK33" i="1"/>
  <c r="FV37" i="1"/>
  <c r="GT37" i="1"/>
  <c r="GK37" i="1"/>
  <c r="GW37" i="1"/>
  <c r="GQ37" i="1"/>
  <c r="GN37" i="1"/>
  <c r="AF15" i="39"/>
  <c r="L16" i="45"/>
  <c r="AB16" i="45"/>
  <c r="GQ29" i="1"/>
  <c r="HC29" i="1"/>
  <c r="GT29" i="1"/>
  <c r="HF29" i="1"/>
  <c r="HL29" i="1"/>
  <c r="GW29" i="1"/>
  <c r="HI29" i="1"/>
  <c r="GN29" i="1"/>
  <c r="GZ29" i="1"/>
  <c r="P16" i="45"/>
  <c r="AK10" i="39"/>
  <c r="AE10" i="39"/>
  <c r="AE16" i="45"/>
  <c r="T16" i="45"/>
  <c r="Q11" i="39"/>
  <c r="Q12" i="39" s="1"/>
  <c r="G16" i="45"/>
  <c r="J27" i="11"/>
  <c r="J27" i="10" s="1"/>
  <c r="J27" i="9" s="1"/>
  <c r="J27" i="8" s="1"/>
  <c r="J27" i="7" s="1"/>
  <c r="J27" i="6" s="1"/>
  <c r="J27" i="37" s="1"/>
  <c r="K34" i="11"/>
  <c r="J15" i="12"/>
  <c r="J15" i="11" s="1"/>
  <c r="J15" i="10" s="1"/>
  <c r="J15" i="9" s="1"/>
  <c r="J15" i="8" s="1"/>
  <c r="J15" i="7" s="1"/>
  <c r="J15" i="6" s="1"/>
  <c r="J15" i="37" s="1"/>
  <c r="BJ30" i="39"/>
  <c r="L28" i="45"/>
  <c r="C24" i="45"/>
  <c r="X24" i="45" s="1"/>
  <c r="I51" i="29"/>
  <c r="J18" i="16"/>
  <c r="L45" i="29"/>
  <c r="J14" i="18"/>
  <c r="J56" i="24"/>
  <c r="AL25" i="39"/>
  <c r="J10" i="20"/>
  <c r="J10" i="19" s="1"/>
  <c r="J10" i="18" s="1"/>
  <c r="J10" i="17" s="1"/>
  <c r="J10" i="16" s="1"/>
  <c r="J10" i="15" s="1"/>
  <c r="J10" i="14" s="1"/>
  <c r="J10" i="13" s="1"/>
  <c r="J10" i="12" s="1"/>
  <c r="J10" i="11" s="1"/>
  <c r="J10" i="10" s="1"/>
  <c r="BD25" i="39"/>
  <c r="J16" i="16"/>
  <c r="J23" i="19"/>
  <c r="J23" i="18" s="1"/>
  <c r="J23" i="17" s="1"/>
  <c r="J11" i="22"/>
  <c r="I51" i="27"/>
  <c r="AF25" i="39"/>
  <c r="T25" i="39"/>
  <c r="HL33" i="1"/>
  <c r="BU33" i="1"/>
  <c r="JB33" i="1"/>
  <c r="EC33" i="1"/>
  <c r="AE33" i="1"/>
  <c r="DW33" i="1"/>
  <c r="HO33" i="1"/>
  <c r="BF33" i="1"/>
  <c r="EX33" i="1"/>
  <c r="IM33" i="1"/>
  <c r="FP37" i="1"/>
  <c r="IS37" i="1"/>
  <c r="IG37" i="1"/>
  <c r="BI37" i="1"/>
  <c r="FA37" i="1"/>
  <c r="IP37" i="1"/>
  <c r="CA37" i="1"/>
  <c r="FS37" i="1"/>
  <c r="J37" i="1"/>
  <c r="DB37" i="1"/>
  <c r="AR25" i="39"/>
  <c r="E25" i="1"/>
  <c r="FS25" i="1" s="1"/>
  <c r="M33" i="1"/>
  <c r="BI33" i="1"/>
  <c r="EF33" i="1"/>
  <c r="BL33" i="1"/>
  <c r="IS33" i="1"/>
  <c r="BO33" i="1"/>
  <c r="FG33" i="1"/>
  <c r="IV33" i="1"/>
  <c r="CP33" i="1"/>
  <c r="GH33" i="1"/>
  <c r="AN37" i="1"/>
  <c r="HL37" i="1"/>
  <c r="GZ37" i="1"/>
  <c r="CS37" i="1"/>
  <c r="S37" i="1"/>
  <c r="DK37" i="1"/>
  <c r="HC37" i="1"/>
  <c r="AT37" i="1"/>
  <c r="EL37" i="1"/>
  <c r="ID37" i="1"/>
  <c r="AX25" i="39"/>
  <c r="DE33" i="1"/>
  <c r="DT33" i="1"/>
  <c r="FM33" i="1"/>
  <c r="CS33" i="1"/>
  <c r="AK33" i="1"/>
  <c r="HU33" i="1"/>
  <c r="CA33" i="1"/>
  <c r="FS33" i="1"/>
  <c r="J33" i="1"/>
  <c r="DB33" i="1"/>
  <c r="EF37" i="1"/>
  <c r="CJ37" i="1"/>
  <c r="M37" i="1"/>
  <c r="DE37" i="1"/>
  <c r="AE37" i="1"/>
  <c r="DW37" i="1"/>
  <c r="HO37" i="1"/>
  <c r="BF37" i="1"/>
  <c r="EX37" i="1"/>
  <c r="IM37" i="1"/>
  <c r="J9" i="21"/>
  <c r="I25" i="39"/>
  <c r="FP33" i="1"/>
  <c r="IP33" i="1"/>
  <c r="GB33" i="1"/>
  <c r="DH33" i="1"/>
  <c r="AZ33" i="1"/>
  <c r="IG33" i="1"/>
  <c r="CM33" i="1"/>
  <c r="GE33" i="1"/>
  <c r="V33" i="1"/>
  <c r="DN33" i="1"/>
  <c r="HF33" i="1"/>
  <c r="BJ25" i="39"/>
  <c r="HX37" i="1"/>
  <c r="GB37" i="1"/>
  <c r="Y37" i="1"/>
  <c r="DQ37" i="1"/>
  <c r="HI37" i="1"/>
  <c r="AQ37" i="1"/>
  <c r="EI37" i="1"/>
  <c r="IA37" i="1"/>
  <c r="BR37" i="1"/>
  <c r="FJ37" i="1"/>
  <c r="IY37" i="1"/>
  <c r="V25" i="39"/>
  <c r="AB28" i="45"/>
  <c r="AB33" i="1"/>
  <c r="Y33" i="1"/>
  <c r="HI33" i="1"/>
  <c r="EO33" i="1"/>
  <c r="G33" i="1"/>
  <c r="CY33" i="1"/>
  <c r="AH33" i="1"/>
  <c r="DZ33" i="1"/>
  <c r="BX37" i="1"/>
  <c r="BL37" i="1"/>
  <c r="AZ37" i="1"/>
  <c r="AK37" i="1"/>
  <c r="EC37" i="1"/>
  <c r="HU37" i="1"/>
  <c r="BC37" i="1"/>
  <c r="EU37" i="1"/>
  <c r="IJ37" i="1"/>
  <c r="CD37" i="1"/>
  <c r="L9" i="45"/>
  <c r="T28" i="45"/>
  <c r="I48" i="27"/>
  <c r="X28" i="45"/>
  <c r="R14" i="39"/>
  <c r="AE28" i="45"/>
  <c r="AJ28" i="45"/>
  <c r="L45" i="27"/>
  <c r="X9" i="45"/>
  <c r="G28" i="45"/>
  <c r="AB24" i="45"/>
  <c r="P9" i="45"/>
  <c r="AX28" i="39"/>
  <c r="R13" i="39"/>
  <c r="I45" i="29"/>
  <c r="J38" i="29"/>
  <c r="J38" i="27" s="1"/>
  <c r="C25" i="45"/>
  <c r="L25" i="45" s="1"/>
  <c r="BJ26" i="39"/>
  <c r="C34" i="45"/>
  <c r="AJ34" i="45" s="1"/>
  <c r="BJ35" i="39"/>
  <c r="IY10" i="1"/>
  <c r="IM10" i="1"/>
  <c r="ID10" i="1"/>
  <c r="HR10" i="1"/>
  <c r="HF10" i="1"/>
  <c r="GT10" i="1"/>
  <c r="GH10" i="1"/>
  <c r="FV10" i="1"/>
  <c r="FJ10" i="1"/>
  <c r="EX10" i="1"/>
  <c r="EL10" i="1"/>
  <c r="DZ10" i="1"/>
  <c r="DN10" i="1"/>
  <c r="DB10" i="1"/>
  <c r="CP10" i="1"/>
  <c r="CD10" i="1"/>
  <c r="BR10" i="1"/>
  <c r="BF10" i="1"/>
  <c r="AT10" i="1"/>
  <c r="AH10" i="1"/>
  <c r="V10" i="1"/>
  <c r="J10" i="1"/>
  <c r="IV10" i="1"/>
  <c r="IJ10" i="1"/>
  <c r="IA10" i="1"/>
  <c r="HO10" i="1"/>
  <c r="HC10" i="1"/>
  <c r="GQ10" i="1"/>
  <c r="GE10" i="1"/>
  <c r="FS10" i="1"/>
  <c r="FG10" i="1"/>
  <c r="EU10" i="1"/>
  <c r="EI10" i="1"/>
  <c r="DW10" i="1"/>
  <c r="DK10" i="1"/>
  <c r="CY10" i="1"/>
  <c r="CM10" i="1"/>
  <c r="CA10" i="1"/>
  <c r="BO10" i="1"/>
  <c r="BC10" i="1"/>
  <c r="AQ10" i="1"/>
  <c r="AE10" i="1"/>
  <c r="S10" i="1"/>
  <c r="G10" i="1"/>
  <c r="JE10" i="1"/>
  <c r="IS10" i="1"/>
  <c r="HX10" i="1"/>
  <c r="HL10" i="1"/>
  <c r="GZ10" i="1"/>
  <c r="GN10" i="1"/>
  <c r="GB10" i="1"/>
  <c r="FP10" i="1"/>
  <c r="FD10" i="1"/>
  <c r="ER10" i="1"/>
  <c r="EF10" i="1"/>
  <c r="DT10" i="1"/>
  <c r="DH10" i="1"/>
  <c r="CV10" i="1"/>
  <c r="CJ10" i="1"/>
  <c r="BX10" i="1"/>
  <c r="BL10" i="1"/>
  <c r="AZ10" i="1"/>
  <c r="AN10" i="1"/>
  <c r="AB10" i="1"/>
  <c r="P10" i="1"/>
  <c r="JB10" i="1"/>
  <c r="IP10" i="1"/>
  <c r="HU10" i="1"/>
  <c r="HI10" i="1"/>
  <c r="GW10" i="1"/>
  <c r="GK10" i="1"/>
  <c r="FY10" i="1"/>
  <c r="FM10" i="1"/>
  <c r="FA10" i="1"/>
  <c r="EO10" i="1"/>
  <c r="EC10" i="1"/>
  <c r="DQ10" i="1"/>
  <c r="DE10" i="1"/>
  <c r="CS10" i="1"/>
  <c r="CG10" i="1"/>
  <c r="BU10" i="1"/>
  <c r="BI10" i="1"/>
  <c r="AK10" i="1"/>
  <c r="Y10" i="1"/>
  <c r="M10" i="1"/>
  <c r="T36" i="45"/>
  <c r="P36" i="45"/>
  <c r="L36" i="45"/>
  <c r="AB36" i="45"/>
  <c r="AJ36" i="45"/>
  <c r="G36" i="45"/>
  <c r="AE36" i="45"/>
  <c r="X36" i="45"/>
  <c r="C23" i="45"/>
  <c r="L23" i="45" s="1"/>
  <c r="BJ24" i="39"/>
  <c r="C15" i="45"/>
  <c r="L15" i="45" s="1"/>
  <c r="BJ16" i="39"/>
  <c r="C20" i="45"/>
  <c r="T20" i="45" s="1"/>
  <c r="BJ21" i="39"/>
  <c r="D40" i="29"/>
  <c r="D40" i="27" s="1"/>
  <c r="D40" i="28" s="1"/>
  <c r="C21" i="45"/>
  <c r="G21" i="45" s="1"/>
  <c r="BJ22" i="39"/>
  <c r="IY29" i="1"/>
  <c r="IM29" i="1"/>
  <c r="ID29" i="1"/>
  <c r="HR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IV29" i="1"/>
  <c r="IJ29" i="1"/>
  <c r="IA29" i="1"/>
  <c r="HO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B29" i="1"/>
  <c r="IP29" i="1"/>
  <c r="HU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GB29" i="1"/>
  <c r="CJ29" i="1"/>
  <c r="DT29" i="1"/>
  <c r="AB29" i="1"/>
  <c r="CV29" i="1"/>
  <c r="HX29" i="1"/>
  <c r="EF29" i="1"/>
  <c r="AN29" i="1"/>
  <c r="DH29" i="1"/>
  <c r="P29" i="1"/>
  <c r="JE29" i="1"/>
  <c r="FD29" i="1"/>
  <c r="AZ29" i="1"/>
  <c r="IG29" i="1"/>
  <c r="FP29" i="1"/>
  <c r="BL29" i="1"/>
  <c r="BX29" i="1"/>
  <c r="ER29" i="1"/>
  <c r="IS29" i="1"/>
  <c r="C33" i="45"/>
  <c r="AB33" i="45" s="1"/>
  <c r="BJ34" i="39"/>
  <c r="C26" i="45"/>
  <c r="X26" i="45" s="1"/>
  <c r="BJ27" i="39"/>
  <c r="C19" i="45"/>
  <c r="P19" i="45" s="1"/>
  <c r="BJ20" i="39"/>
  <c r="C17" i="45"/>
  <c r="X17" i="45" s="1"/>
  <c r="BJ18" i="39"/>
  <c r="C18" i="45"/>
  <c r="G18" i="45" s="1"/>
  <c r="BJ19" i="39"/>
  <c r="BJ23" i="39"/>
  <c r="L32" i="45"/>
  <c r="AB32" i="45"/>
  <c r="X32" i="45"/>
  <c r="G32" i="45"/>
  <c r="AE32" i="45"/>
  <c r="AJ32" i="45"/>
  <c r="T32" i="45"/>
  <c r="P32" i="45"/>
  <c r="M47" i="31"/>
  <c r="T9" i="45"/>
  <c r="G9" i="45"/>
  <c r="AE9" i="45"/>
  <c r="AB9" i="45"/>
  <c r="C27" i="45"/>
  <c r="T28" i="39"/>
  <c r="J28" i="39"/>
  <c r="AF28" i="39"/>
  <c r="AL28" i="39"/>
  <c r="I28" i="39"/>
  <c r="AR28" i="39"/>
  <c r="V28" i="39"/>
  <c r="BD28" i="39"/>
  <c r="E28" i="1"/>
  <c r="D53" i="32"/>
  <c r="BD30" i="39"/>
  <c r="C29" i="45"/>
  <c r="V30" i="39"/>
  <c r="I30" i="39"/>
  <c r="AX30" i="39"/>
  <c r="T30" i="39"/>
  <c r="AL30" i="39"/>
  <c r="J30" i="39"/>
  <c r="AR30" i="39"/>
  <c r="AF30" i="39"/>
  <c r="E30" i="1"/>
  <c r="M47" i="30"/>
  <c r="O40" i="45"/>
  <c r="AN12" i="45" s="1"/>
  <c r="K40" i="45"/>
  <c r="AN11" i="45" s="1"/>
  <c r="AD40" i="45"/>
  <c r="AA40" i="45"/>
  <c r="AN15" i="45" s="1"/>
  <c r="W40" i="45"/>
  <c r="AN14" i="45" s="1"/>
  <c r="S40" i="45"/>
  <c r="AN13" i="45" s="1"/>
  <c r="F40" i="45"/>
  <c r="AN10" i="45" s="1"/>
  <c r="AI40" i="45"/>
  <c r="E30" i="2"/>
  <c r="M7" i="32"/>
  <c r="M34" i="33"/>
  <c r="J40" i="33" s="1"/>
  <c r="I40" i="33"/>
  <c r="R9" i="39" s="1"/>
  <c r="E40" i="31"/>
  <c r="A13" i="1"/>
  <c r="A14" i="2" s="1"/>
  <c r="E11" i="2"/>
  <c r="D46" i="30"/>
  <c r="D46" i="29" s="1"/>
  <c r="E46" i="29" s="1"/>
  <c r="E48" i="31"/>
  <c r="E42" i="31"/>
  <c r="AF35" i="39"/>
  <c r="AR35" i="39"/>
  <c r="T35" i="39"/>
  <c r="V35" i="39"/>
  <c r="BD35" i="39"/>
  <c r="I35" i="39"/>
  <c r="AL35" i="39"/>
  <c r="J35" i="39"/>
  <c r="AX35" i="39"/>
  <c r="E35" i="1"/>
  <c r="AR34" i="39"/>
  <c r="T34" i="39"/>
  <c r="V34" i="39"/>
  <c r="I34" i="39"/>
  <c r="BD34" i="39"/>
  <c r="J34" i="39"/>
  <c r="E34" i="1"/>
  <c r="AL34" i="39"/>
  <c r="AF34" i="39"/>
  <c r="AX34" i="39"/>
  <c r="J46" i="31"/>
  <c r="J47" i="31" s="1"/>
  <c r="V27" i="39"/>
  <c r="AF27" i="39"/>
  <c r="AL27" i="39"/>
  <c r="BD27" i="39"/>
  <c r="E27" i="1"/>
  <c r="I27" i="39"/>
  <c r="J27" i="39"/>
  <c r="AX27" i="39"/>
  <c r="AR27" i="39"/>
  <c r="T27" i="39"/>
  <c r="E26" i="1"/>
  <c r="I26" i="39"/>
  <c r="J26" i="39"/>
  <c r="V26" i="39"/>
  <c r="AL26" i="39"/>
  <c r="T26" i="39"/>
  <c r="BD26" i="39"/>
  <c r="AR26" i="39"/>
  <c r="AF26" i="39"/>
  <c r="AX26" i="39"/>
  <c r="J24" i="39"/>
  <c r="AR24" i="39"/>
  <c r="BD24" i="39"/>
  <c r="I24" i="39"/>
  <c r="V24" i="39"/>
  <c r="AX24" i="39"/>
  <c r="AF24" i="39"/>
  <c r="T24" i="39"/>
  <c r="E24" i="1"/>
  <c r="AL24" i="39"/>
  <c r="E23" i="1"/>
  <c r="AR23" i="39"/>
  <c r="AL23" i="39"/>
  <c r="V23" i="39"/>
  <c r="I23" i="39"/>
  <c r="AX23" i="39"/>
  <c r="AF23" i="39"/>
  <c r="J23" i="39"/>
  <c r="BD23" i="39"/>
  <c r="T23" i="39"/>
  <c r="AV41" i="39"/>
  <c r="J22" i="39"/>
  <c r="V22" i="39"/>
  <c r="BD22" i="39"/>
  <c r="AF22" i="39"/>
  <c r="AX22" i="39"/>
  <c r="E22" i="1"/>
  <c r="AL22" i="39"/>
  <c r="T22" i="39"/>
  <c r="I22" i="39"/>
  <c r="AR22" i="39"/>
  <c r="BD21" i="39"/>
  <c r="T21" i="39"/>
  <c r="V21" i="39"/>
  <c r="AX21" i="39"/>
  <c r="E21" i="1"/>
  <c r="I21" i="39"/>
  <c r="AR21" i="39"/>
  <c r="AL21" i="39"/>
  <c r="J21" i="39"/>
  <c r="AF21" i="39"/>
  <c r="BD20" i="39"/>
  <c r="AR20" i="39"/>
  <c r="T20" i="39"/>
  <c r="V20" i="39"/>
  <c r="E20" i="1"/>
  <c r="AX20" i="39"/>
  <c r="AF20" i="39"/>
  <c r="J20" i="39"/>
  <c r="AL20" i="39"/>
  <c r="I20" i="39"/>
  <c r="AR19" i="39"/>
  <c r="AF19" i="39"/>
  <c r="J19" i="39"/>
  <c r="E19" i="1"/>
  <c r="BD19" i="39"/>
  <c r="AL19" i="39"/>
  <c r="I19" i="39"/>
  <c r="V19" i="39"/>
  <c r="T19" i="39"/>
  <c r="AX19" i="39"/>
  <c r="BD18" i="39"/>
  <c r="AL18" i="39"/>
  <c r="E18" i="1"/>
  <c r="AX18" i="39"/>
  <c r="T18" i="39"/>
  <c r="AF18" i="39"/>
  <c r="V18" i="39"/>
  <c r="I18" i="39"/>
  <c r="J18" i="39"/>
  <c r="AR18" i="39"/>
  <c r="E16" i="1"/>
  <c r="I16" i="39"/>
  <c r="J16" i="39"/>
  <c r="AX16" i="39"/>
  <c r="AR16" i="39"/>
  <c r="AF16" i="39"/>
  <c r="AL16" i="39"/>
  <c r="BD16" i="39"/>
  <c r="V16" i="39"/>
  <c r="T16" i="39"/>
  <c r="K34" i="31"/>
  <c r="M9" i="31"/>
  <c r="M9" i="30" s="1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D47" i="30"/>
  <c r="E47" i="30" s="1"/>
  <c r="E39" i="31"/>
  <c r="E43" i="31"/>
  <c r="D48" i="29"/>
  <c r="E48" i="30"/>
  <c r="E45" i="31"/>
  <c r="E42" i="30"/>
  <c r="D42" i="27"/>
  <c r="D42" i="28" s="1"/>
  <c r="E42" i="28" s="1"/>
  <c r="D44" i="30"/>
  <c r="E44" i="30" s="1"/>
  <c r="D51" i="30"/>
  <c r="E51" i="31"/>
  <c r="E38" i="30"/>
  <c r="D38" i="29"/>
  <c r="D43" i="29"/>
  <c r="E43" i="30"/>
  <c r="D39" i="29"/>
  <c r="E39" i="30"/>
  <c r="E49" i="31"/>
  <c r="D49" i="30"/>
  <c r="J39" i="31"/>
  <c r="J37" i="30"/>
  <c r="D50" i="30"/>
  <c r="E50" i="31"/>
  <c r="D41" i="30"/>
  <c r="E41" i="31"/>
  <c r="D52" i="31"/>
  <c r="D53" i="31" s="1"/>
  <c r="E45" i="30"/>
  <c r="D45" i="29"/>
  <c r="E52" i="32"/>
  <c r="E53" i="32" s="1"/>
  <c r="M8" i="30"/>
  <c r="AU17" i="39"/>
  <c r="J57" i="24"/>
  <c r="D41" i="1"/>
  <c r="E38" i="2" l="1"/>
  <c r="DW38" i="2" s="1"/>
  <c r="AW37" i="1"/>
  <c r="CM37" i="1"/>
  <c r="CV37" i="1"/>
  <c r="W110" i="54"/>
  <c r="X110" i="54" s="1"/>
  <c r="W110" i="46"/>
  <c r="JB37" i="1"/>
  <c r="DT37" i="1"/>
  <c r="FD37" i="1"/>
  <c r="IV37" i="1"/>
  <c r="ER37" i="1"/>
  <c r="GE37" i="1"/>
  <c r="FM37" i="1"/>
  <c r="JE37" i="1"/>
  <c r="DZ37" i="1"/>
  <c r="P37" i="1"/>
  <c r="CY37" i="1"/>
  <c r="BO37" i="1"/>
  <c r="GH37" i="1"/>
  <c r="HF37" i="1"/>
  <c r="CP37" i="1"/>
  <c r="BU37" i="1"/>
  <c r="G37" i="1"/>
  <c r="AH37" i="1"/>
  <c r="FY37" i="1"/>
  <c r="CG37" i="1"/>
  <c r="EO37" i="1"/>
  <c r="DH37" i="1"/>
  <c r="DN37" i="1"/>
  <c r="FG37" i="1"/>
  <c r="AB37" i="1"/>
  <c r="M15" i="1"/>
  <c r="CS15" i="1"/>
  <c r="HI25" i="1"/>
  <c r="AE24" i="45"/>
  <c r="T24" i="45"/>
  <c r="AR32" i="39"/>
  <c r="C31" i="45"/>
  <c r="AJ31" i="45" s="1"/>
  <c r="J32" i="39"/>
  <c r="V32" i="39"/>
  <c r="BJ32" i="39"/>
  <c r="AF32" i="39"/>
  <c r="I32" i="39"/>
  <c r="BD32" i="39"/>
  <c r="AX32" i="39"/>
  <c r="E32" i="1"/>
  <c r="CG32" i="1" s="1"/>
  <c r="G24" i="45"/>
  <c r="T32" i="39"/>
  <c r="J50" i="30"/>
  <c r="S25" i="1"/>
  <c r="P22" i="45"/>
  <c r="J15" i="1"/>
  <c r="GE15" i="1"/>
  <c r="AQ15" i="1"/>
  <c r="P15" i="1"/>
  <c r="IM15" i="1"/>
  <c r="BC15" i="1"/>
  <c r="DN15" i="1"/>
  <c r="HL15" i="1"/>
  <c r="IY15" i="1"/>
  <c r="X22" i="45"/>
  <c r="IG15" i="1"/>
  <c r="L22" i="45"/>
  <c r="ER15" i="1"/>
  <c r="DU38" i="2"/>
  <c r="AB22" i="45"/>
  <c r="IS15" i="1"/>
  <c r="V15" i="1"/>
  <c r="FM15" i="1"/>
  <c r="EX15" i="1"/>
  <c r="CM15" i="1"/>
  <c r="AZ15" i="1"/>
  <c r="DT15" i="1"/>
  <c r="X14" i="45"/>
  <c r="T22" i="45"/>
  <c r="FD15" i="1"/>
  <c r="FY15" i="1"/>
  <c r="HF15" i="1"/>
  <c r="IV15" i="1"/>
  <c r="G22" i="45"/>
  <c r="BL15" i="1"/>
  <c r="CG15" i="1"/>
  <c r="AT15" i="1"/>
  <c r="BO15" i="1"/>
  <c r="EC15" i="1"/>
  <c r="JB15" i="1"/>
  <c r="AJ24" i="45"/>
  <c r="P24" i="45"/>
  <c r="AE22" i="45"/>
  <c r="AK15" i="1"/>
  <c r="FS15" i="1"/>
  <c r="HX15" i="1"/>
  <c r="BU15" i="1"/>
  <c r="AH15" i="1"/>
  <c r="CA15" i="1"/>
  <c r="EF15" i="1"/>
  <c r="IJ15" i="1"/>
  <c r="GH15" i="1"/>
  <c r="EL15" i="1"/>
  <c r="GW15" i="1"/>
  <c r="FP15" i="1"/>
  <c r="HO15" i="1"/>
  <c r="CV15" i="1"/>
  <c r="DH15" i="1"/>
  <c r="HU15" i="1"/>
  <c r="FV15" i="1"/>
  <c r="CY15" i="1"/>
  <c r="BX15" i="1"/>
  <c r="AN15" i="1"/>
  <c r="AB15" i="1"/>
  <c r="EO15" i="1"/>
  <c r="DZ15" i="1"/>
  <c r="DW15" i="1"/>
  <c r="E16" i="2"/>
  <c r="DU16" i="2" s="1"/>
  <c r="BR15" i="1"/>
  <c r="G15" i="1"/>
  <c r="IP15" i="1"/>
  <c r="ID15" i="1"/>
  <c r="IA15" i="1"/>
  <c r="BI15" i="1"/>
  <c r="AE15" i="1"/>
  <c r="AW15" i="1"/>
  <c r="FA15" i="1"/>
  <c r="HR15" i="1"/>
  <c r="EI15" i="1"/>
  <c r="GN15" i="1"/>
  <c r="Y15" i="1"/>
  <c r="CP15" i="1"/>
  <c r="FG15" i="1"/>
  <c r="EU15" i="1"/>
  <c r="GZ15" i="1"/>
  <c r="GT15" i="1"/>
  <c r="DE15" i="1"/>
  <c r="GQ15" i="1"/>
  <c r="DW34" i="2"/>
  <c r="DU34" i="2"/>
  <c r="DW30" i="2"/>
  <c r="DU30" i="2"/>
  <c r="L24" i="45"/>
  <c r="M44" i="30"/>
  <c r="M44" i="31"/>
  <c r="DW11" i="2"/>
  <c r="DU11" i="2"/>
  <c r="AQ11" i="39"/>
  <c r="AE11" i="39"/>
  <c r="AK11" i="39"/>
  <c r="W153" i="54"/>
  <c r="X156" i="54" s="1"/>
  <c r="I45" i="30"/>
  <c r="L45" i="30"/>
  <c r="I48" i="30"/>
  <c r="I51" i="30"/>
  <c r="R12" i="39"/>
  <c r="P25" i="45"/>
  <c r="J14" i="17"/>
  <c r="J14" i="16" s="1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J16" i="15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8" i="15"/>
  <c r="J18" i="14" s="1"/>
  <c r="J18" i="13" s="1"/>
  <c r="J18" i="12" s="1"/>
  <c r="J18" i="11" s="1"/>
  <c r="J18" i="10" s="1"/>
  <c r="J18" i="9" s="1"/>
  <c r="J18" i="8" s="1"/>
  <c r="J18" i="7" s="1"/>
  <c r="J18" i="6" s="1"/>
  <c r="J18" i="37" s="1"/>
  <c r="J26" i="4"/>
  <c r="J26" i="43" s="1"/>
  <c r="J25" i="4"/>
  <c r="J25" i="43" s="1"/>
  <c r="J24" i="4"/>
  <c r="J24" i="43" s="1"/>
  <c r="J13" i="37"/>
  <c r="J13" i="4" s="1"/>
  <c r="J13" i="43" s="1"/>
  <c r="L14" i="45"/>
  <c r="AJ14" i="45"/>
  <c r="T14" i="45"/>
  <c r="AE14" i="45"/>
  <c r="P14" i="45"/>
  <c r="G14" i="45"/>
  <c r="GK15" i="1"/>
  <c r="S15" i="1"/>
  <c r="GB15" i="1"/>
  <c r="CJ15" i="1"/>
  <c r="DB15" i="1"/>
  <c r="HI15" i="1"/>
  <c r="CD15" i="1"/>
  <c r="DQ15" i="1"/>
  <c r="BF15" i="1"/>
  <c r="HC15" i="1"/>
  <c r="FJ15" i="1"/>
  <c r="DK15" i="1"/>
  <c r="J12" i="37"/>
  <c r="J12" i="4" s="1"/>
  <c r="J12" i="43" s="1"/>
  <c r="C13" i="45"/>
  <c r="X13" i="45" s="1"/>
  <c r="I9" i="39"/>
  <c r="V9" i="39"/>
  <c r="BJ9" i="39"/>
  <c r="AR9" i="39"/>
  <c r="T9" i="39"/>
  <c r="AF9" i="39"/>
  <c r="J9" i="39"/>
  <c r="S9" i="39"/>
  <c r="AL9" i="39"/>
  <c r="BD9" i="39"/>
  <c r="AX9" i="39"/>
  <c r="V36" i="39"/>
  <c r="E36" i="1"/>
  <c r="J36" i="39"/>
  <c r="C35" i="45"/>
  <c r="AX36" i="39"/>
  <c r="I36" i="39"/>
  <c r="AL36" i="39"/>
  <c r="T36" i="39"/>
  <c r="BD36" i="39"/>
  <c r="AR36" i="39"/>
  <c r="AF36" i="39"/>
  <c r="BJ36" i="39"/>
  <c r="G25" i="1"/>
  <c r="GH25" i="1"/>
  <c r="EL25" i="1"/>
  <c r="GZ25" i="1"/>
  <c r="EF25" i="1"/>
  <c r="GN35" i="1"/>
  <c r="GW35" i="1"/>
  <c r="GQ35" i="1"/>
  <c r="GT35" i="1"/>
  <c r="GK35" i="1"/>
  <c r="DT25" i="1"/>
  <c r="IM25" i="1"/>
  <c r="FV25" i="1"/>
  <c r="J10" i="9"/>
  <c r="J10" i="8" s="1"/>
  <c r="J10" i="7" s="1"/>
  <c r="J10" i="6" s="1"/>
  <c r="GQ34" i="1"/>
  <c r="GK34" i="1"/>
  <c r="GW34" i="1"/>
  <c r="GN34" i="1"/>
  <c r="GZ34" i="1"/>
  <c r="GT34" i="1"/>
  <c r="ID25" i="1"/>
  <c r="FA25" i="1"/>
  <c r="CM25" i="1"/>
  <c r="AK25" i="1"/>
  <c r="GB25" i="1"/>
  <c r="CY25" i="1"/>
  <c r="HU25" i="1"/>
  <c r="FP25" i="1"/>
  <c r="GE25" i="1"/>
  <c r="JB25" i="1"/>
  <c r="HF25" i="1"/>
  <c r="GQ25" i="1"/>
  <c r="I40" i="11"/>
  <c r="GQ30" i="1"/>
  <c r="GT30" i="1"/>
  <c r="GK30" i="1"/>
  <c r="GW30" i="1"/>
  <c r="GN30" i="1"/>
  <c r="GZ30" i="1"/>
  <c r="HF30" i="1"/>
  <c r="HC30" i="1"/>
  <c r="HI30" i="1"/>
  <c r="HL30" i="1"/>
  <c r="J56" i="23"/>
  <c r="J56" i="21" s="1"/>
  <c r="GK26" i="1"/>
  <c r="GT26" i="1"/>
  <c r="GQ26" i="1"/>
  <c r="GN26" i="1"/>
  <c r="GK27" i="1"/>
  <c r="GT27" i="1"/>
  <c r="GQ27" i="1"/>
  <c r="GN27" i="1"/>
  <c r="GN28" i="1"/>
  <c r="GK28" i="1"/>
  <c r="GT28" i="1"/>
  <c r="GQ28" i="1"/>
  <c r="J22" i="16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3" i="16"/>
  <c r="J23" i="15" s="1"/>
  <c r="J23" i="14" s="1"/>
  <c r="J23" i="13" s="1"/>
  <c r="J23" i="11" s="1"/>
  <c r="J23" i="10" s="1"/>
  <c r="J23" i="9" s="1"/>
  <c r="J23" i="8" s="1"/>
  <c r="J23" i="7" s="1"/>
  <c r="J23" i="6" s="1"/>
  <c r="J23" i="37" s="1"/>
  <c r="J19" i="14"/>
  <c r="J19" i="13" s="1"/>
  <c r="L20" i="45"/>
  <c r="AB26" i="45"/>
  <c r="G19" i="45"/>
  <c r="BD14" i="39"/>
  <c r="AE19" i="45"/>
  <c r="L19" i="45"/>
  <c r="AR14" i="39"/>
  <c r="AE15" i="45"/>
  <c r="J11" i="20"/>
  <c r="X25" i="45"/>
  <c r="AX14" i="39"/>
  <c r="J9" i="22"/>
  <c r="HR25" i="1"/>
  <c r="P23" i="45"/>
  <c r="T19" i="45"/>
  <c r="IS25" i="1"/>
  <c r="IY25" i="1"/>
  <c r="BL25" i="1"/>
  <c r="BF25" i="1"/>
  <c r="V25" i="1"/>
  <c r="IP25" i="1"/>
  <c r="JE25" i="1"/>
  <c r="P25" i="1"/>
  <c r="HX25" i="1"/>
  <c r="DW25" i="1"/>
  <c r="HO25" i="1"/>
  <c r="FJ25" i="1"/>
  <c r="AE25" i="1"/>
  <c r="DK25" i="1"/>
  <c r="M25" i="1"/>
  <c r="CG25" i="1"/>
  <c r="AW25" i="1"/>
  <c r="IA25" i="1"/>
  <c r="CS25" i="1"/>
  <c r="AH25" i="1"/>
  <c r="AZ25" i="1"/>
  <c r="EI25" i="1"/>
  <c r="AJ21" i="45"/>
  <c r="P20" i="45"/>
  <c r="BR25" i="1"/>
  <c r="EC25" i="1"/>
  <c r="AT25" i="1"/>
  <c r="DH25" i="1"/>
  <c r="BI25" i="1"/>
  <c r="BX25" i="1"/>
  <c r="CP25" i="1"/>
  <c r="AN25" i="1"/>
  <c r="BC25" i="1"/>
  <c r="EU25" i="1"/>
  <c r="IJ25" i="1"/>
  <c r="Y25" i="1"/>
  <c r="IG25" i="1"/>
  <c r="HC25" i="1"/>
  <c r="AB19" i="45"/>
  <c r="AB25" i="1"/>
  <c r="T25" i="45"/>
  <c r="X20" i="45"/>
  <c r="DB25" i="1"/>
  <c r="FM25" i="1"/>
  <c r="FD25" i="1"/>
  <c r="EX25" i="1"/>
  <c r="CJ25" i="1"/>
  <c r="DN25" i="1"/>
  <c r="DQ25" i="1"/>
  <c r="CD25" i="1"/>
  <c r="BO25" i="1"/>
  <c r="FG25" i="1"/>
  <c r="IV25" i="1"/>
  <c r="E26" i="2"/>
  <c r="BU25" i="1"/>
  <c r="J25" i="1"/>
  <c r="GW25" i="1"/>
  <c r="CV25" i="1"/>
  <c r="AQ25" i="1"/>
  <c r="AJ19" i="45"/>
  <c r="GT25" i="1"/>
  <c r="HL25" i="1"/>
  <c r="GK25" i="1"/>
  <c r="GN25" i="1"/>
  <c r="FY25" i="1"/>
  <c r="DZ25" i="1"/>
  <c r="EO25" i="1"/>
  <c r="ER25" i="1"/>
  <c r="DE25" i="1"/>
  <c r="CA25" i="1"/>
  <c r="AE18" i="45"/>
  <c r="M44" i="29"/>
  <c r="J44" i="29"/>
  <c r="T14" i="39"/>
  <c r="P33" i="45"/>
  <c r="P15" i="45"/>
  <c r="M47" i="29"/>
  <c r="V14" i="39"/>
  <c r="AB15" i="45"/>
  <c r="AJ15" i="45"/>
  <c r="AF14" i="39"/>
  <c r="X15" i="45"/>
  <c r="J14" i="39"/>
  <c r="X19" i="45"/>
  <c r="G15" i="45"/>
  <c r="L18" i="45"/>
  <c r="I14" i="39"/>
  <c r="T15" i="45"/>
  <c r="BJ14" i="39"/>
  <c r="AL14" i="39"/>
  <c r="E14" i="1"/>
  <c r="HI14" i="1" s="1"/>
  <c r="P18" i="45"/>
  <c r="T33" i="45"/>
  <c r="T23" i="45"/>
  <c r="T18" i="45"/>
  <c r="X23" i="45"/>
  <c r="X18" i="45"/>
  <c r="AE23" i="45"/>
  <c r="AB18" i="45"/>
  <c r="AJ23" i="45"/>
  <c r="AJ18" i="45"/>
  <c r="AB17" i="45"/>
  <c r="G23" i="45"/>
  <c r="L17" i="45"/>
  <c r="AB23" i="45"/>
  <c r="L33" i="45"/>
  <c r="T21" i="45"/>
  <c r="X21" i="45"/>
  <c r="AB21" i="45"/>
  <c r="L21" i="45"/>
  <c r="P21" i="45"/>
  <c r="AE21" i="45"/>
  <c r="T34" i="45"/>
  <c r="J13" i="39"/>
  <c r="V13" i="39"/>
  <c r="E13" i="1"/>
  <c r="AX13" i="39"/>
  <c r="AL13" i="39"/>
  <c r="BD13" i="39"/>
  <c r="BJ13" i="39"/>
  <c r="T13" i="39"/>
  <c r="I13" i="39"/>
  <c r="AR13" i="39"/>
  <c r="C12" i="45"/>
  <c r="AF13" i="39"/>
  <c r="IY24" i="1"/>
  <c r="IM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V24" i="1"/>
  <c r="IJ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JB24" i="1"/>
  <c r="HX24" i="1"/>
  <c r="HI24" i="1"/>
  <c r="GB24" i="1"/>
  <c r="FM24" i="1"/>
  <c r="EF24" i="1"/>
  <c r="DQ24" i="1"/>
  <c r="CJ24" i="1"/>
  <c r="BU24" i="1"/>
  <c r="AN24" i="1"/>
  <c r="Y24" i="1"/>
  <c r="IG24" i="1"/>
  <c r="HU24" i="1"/>
  <c r="GN24" i="1"/>
  <c r="FY24" i="1"/>
  <c r="ER24" i="1"/>
  <c r="EC24" i="1"/>
  <c r="CV24" i="1"/>
  <c r="CG24" i="1"/>
  <c r="AZ24" i="1"/>
  <c r="AK24" i="1"/>
  <c r="IP24" i="1"/>
  <c r="FA24" i="1"/>
  <c r="BI24" i="1"/>
  <c r="JE24" i="1"/>
  <c r="GK24" i="1"/>
  <c r="FP24" i="1"/>
  <c r="CS24" i="1"/>
  <c r="BX24" i="1"/>
  <c r="GZ24" i="1"/>
  <c r="DH24" i="1"/>
  <c r="P24" i="1"/>
  <c r="HL24" i="1"/>
  <c r="EO24" i="1"/>
  <c r="DT24" i="1"/>
  <c r="AW24" i="1"/>
  <c r="AB24" i="1"/>
  <c r="DE24" i="1"/>
  <c r="BL24" i="1"/>
  <c r="M24" i="1"/>
  <c r="IS24" i="1"/>
  <c r="GW24" i="1"/>
  <c r="FD24" i="1"/>
  <c r="IV19" i="1"/>
  <c r="IJ19" i="1"/>
  <c r="IA19" i="1"/>
  <c r="HO19" i="1"/>
  <c r="HC19" i="1"/>
  <c r="GQ19" i="1"/>
  <c r="GE19" i="1"/>
  <c r="FS19" i="1"/>
  <c r="FG19" i="1"/>
  <c r="EU19" i="1"/>
  <c r="EI19" i="1"/>
  <c r="DW19" i="1"/>
  <c r="DK19" i="1"/>
  <c r="CY19" i="1"/>
  <c r="CM19" i="1"/>
  <c r="CA19" i="1"/>
  <c r="BO19" i="1"/>
  <c r="BC19" i="1"/>
  <c r="AQ19" i="1"/>
  <c r="AE19" i="1"/>
  <c r="S19" i="1"/>
  <c r="G19" i="1"/>
  <c r="JE19" i="1"/>
  <c r="IS19" i="1"/>
  <c r="IG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B19" i="1"/>
  <c r="IP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Y19" i="1"/>
  <c r="IM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G34" i="45"/>
  <c r="JE20" i="1"/>
  <c r="IS20" i="1"/>
  <c r="IG20" i="1"/>
  <c r="HX20" i="1"/>
  <c r="HL20" i="1"/>
  <c r="GZ20" i="1"/>
  <c r="GN20" i="1"/>
  <c r="GB20" i="1"/>
  <c r="FP20" i="1"/>
  <c r="FD20" i="1"/>
  <c r="ER20" i="1"/>
  <c r="IP20" i="1"/>
  <c r="HR20" i="1"/>
  <c r="GQ20" i="1"/>
  <c r="FA20" i="1"/>
  <c r="IM20" i="1"/>
  <c r="HO20" i="1"/>
  <c r="FY20" i="1"/>
  <c r="EX20" i="1"/>
  <c r="IY20" i="1"/>
  <c r="IA20" i="1"/>
  <c r="GK20" i="1"/>
  <c r="FJ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IJ20" i="1"/>
  <c r="GW20" i="1"/>
  <c r="FV20" i="1"/>
  <c r="EU20" i="1"/>
  <c r="HU20" i="1"/>
  <c r="GT20" i="1"/>
  <c r="FS20" i="1"/>
  <c r="FM20" i="1"/>
  <c r="DQ20" i="1"/>
  <c r="CP20" i="1"/>
  <c r="AZ20" i="1"/>
  <c r="Y20" i="1"/>
  <c r="GE20" i="1"/>
  <c r="EC20" i="1"/>
  <c r="DB20" i="1"/>
  <c r="BL20" i="1"/>
  <c r="AK20" i="1"/>
  <c r="J20" i="1"/>
  <c r="IV20" i="1"/>
  <c r="EO20" i="1"/>
  <c r="DN20" i="1"/>
  <c r="BX20" i="1"/>
  <c r="AW20" i="1"/>
  <c r="V20" i="1"/>
  <c r="ID20" i="1"/>
  <c r="HI20" i="1"/>
  <c r="FG20" i="1"/>
  <c r="DZ20" i="1"/>
  <c r="CJ20" i="1"/>
  <c r="BI20" i="1"/>
  <c r="AH20" i="1"/>
  <c r="DT20" i="1"/>
  <c r="CS20" i="1"/>
  <c r="BR20" i="1"/>
  <c r="AB20" i="1"/>
  <c r="JB20" i="1"/>
  <c r="EF20" i="1"/>
  <c r="DH20" i="1"/>
  <c r="BF20" i="1"/>
  <c r="AN20" i="1"/>
  <c r="HF20" i="1"/>
  <c r="P20" i="1"/>
  <c r="DE20" i="1"/>
  <c r="BU20" i="1"/>
  <c r="HC20" i="1"/>
  <c r="GH20" i="1"/>
  <c r="M20" i="1"/>
  <c r="EL20" i="1"/>
  <c r="CG20" i="1"/>
  <c r="AT20" i="1"/>
  <c r="CV20" i="1"/>
  <c r="CD20" i="1"/>
  <c r="IY26" i="1"/>
  <c r="IM26" i="1"/>
  <c r="ID26" i="1"/>
  <c r="HR26" i="1"/>
  <c r="HF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IV26" i="1"/>
  <c r="IJ26" i="1"/>
  <c r="IA26" i="1"/>
  <c r="HO26" i="1"/>
  <c r="HC26" i="1"/>
  <c r="GE26" i="1"/>
  <c r="FS26" i="1"/>
  <c r="FG26" i="1"/>
  <c r="EU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IS26" i="1"/>
  <c r="GZ26" i="1"/>
  <c r="FD26" i="1"/>
  <c r="EO26" i="1"/>
  <c r="DH26" i="1"/>
  <c r="CS26" i="1"/>
  <c r="BL26" i="1"/>
  <c r="AW26" i="1"/>
  <c r="P26" i="1"/>
  <c r="JB26" i="1"/>
  <c r="HX26" i="1"/>
  <c r="HI26" i="1"/>
  <c r="GB26" i="1"/>
  <c r="FM26" i="1"/>
  <c r="EF26" i="1"/>
  <c r="DQ26" i="1"/>
  <c r="CJ26" i="1"/>
  <c r="BU26" i="1"/>
  <c r="AN26" i="1"/>
  <c r="Y26" i="1"/>
  <c r="IG26" i="1"/>
  <c r="HU26" i="1"/>
  <c r="FY26" i="1"/>
  <c r="ER26" i="1"/>
  <c r="EC26" i="1"/>
  <c r="CV26" i="1"/>
  <c r="CG26" i="1"/>
  <c r="AZ26" i="1"/>
  <c r="AK26" i="1"/>
  <c r="JE26" i="1"/>
  <c r="GW26" i="1"/>
  <c r="BX26" i="1"/>
  <c r="M26" i="1"/>
  <c r="HL26" i="1"/>
  <c r="FA26" i="1"/>
  <c r="AB26" i="1"/>
  <c r="FP26" i="1"/>
  <c r="DE26" i="1"/>
  <c r="IP26" i="1"/>
  <c r="DT26" i="1"/>
  <c r="BI26" i="1"/>
  <c r="JB27" i="1"/>
  <c r="IP27" i="1"/>
  <c r="HU27" i="1"/>
  <c r="HI27" i="1"/>
  <c r="GW27" i="1"/>
  <c r="FY27" i="1"/>
  <c r="FM27" i="1"/>
  <c r="FA27" i="1"/>
  <c r="EO27" i="1"/>
  <c r="EC27" i="1"/>
  <c r="DQ27" i="1"/>
  <c r="DE27" i="1"/>
  <c r="CS27" i="1"/>
  <c r="CG27" i="1"/>
  <c r="IY27" i="1"/>
  <c r="IM27" i="1"/>
  <c r="ID27" i="1"/>
  <c r="HR27" i="1"/>
  <c r="HF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JE27" i="1"/>
  <c r="IS27" i="1"/>
  <c r="HX27" i="1"/>
  <c r="HL27" i="1"/>
  <c r="GZ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HC27" i="1"/>
  <c r="DK27" i="1"/>
  <c r="BI27" i="1"/>
  <c r="M27" i="1"/>
  <c r="IJ27" i="1"/>
  <c r="EU27" i="1"/>
  <c r="AQ27" i="1"/>
  <c r="HO27" i="1"/>
  <c r="DW27" i="1"/>
  <c r="BC27" i="1"/>
  <c r="G27" i="1"/>
  <c r="IV27" i="1"/>
  <c r="FG27" i="1"/>
  <c r="AK27" i="1"/>
  <c r="IA27" i="1"/>
  <c r="EI27" i="1"/>
  <c r="AW27" i="1"/>
  <c r="FS27" i="1"/>
  <c r="CY27" i="1"/>
  <c r="BO27" i="1"/>
  <c r="Y27" i="1"/>
  <c r="GE27" i="1"/>
  <c r="CA27" i="1"/>
  <c r="S27" i="1"/>
  <c r="AE27" i="1"/>
  <c r="BU27" i="1"/>
  <c r="CM27" i="1"/>
  <c r="L34" i="45"/>
  <c r="AB25" i="45"/>
  <c r="T17" i="45"/>
  <c r="X33" i="45"/>
  <c r="L26" i="45"/>
  <c r="AB20" i="45"/>
  <c r="JB22" i="1"/>
  <c r="IP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IY22" i="1"/>
  <c r="IM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G22" i="1"/>
  <c r="AE22" i="1"/>
  <c r="JE22" i="1"/>
  <c r="IA22" i="1"/>
  <c r="HL22" i="1"/>
  <c r="GE22" i="1"/>
  <c r="FP22" i="1"/>
  <c r="EI22" i="1"/>
  <c r="DT22" i="1"/>
  <c r="CM22" i="1"/>
  <c r="BX22" i="1"/>
  <c r="AQ22" i="1"/>
  <c r="P22" i="1"/>
  <c r="AB22" i="1"/>
  <c r="J22" i="1"/>
  <c r="HO22" i="1"/>
  <c r="EF22" i="1"/>
  <c r="IS22" i="1"/>
  <c r="EU22" i="1"/>
  <c r="DK22" i="1"/>
  <c r="CV22" i="1"/>
  <c r="BL22" i="1"/>
  <c r="GB22" i="1"/>
  <c r="CA22" i="1"/>
  <c r="GQ22" i="1"/>
  <c r="FG22" i="1"/>
  <c r="ER22" i="1"/>
  <c r="DH22" i="1"/>
  <c r="V22" i="1"/>
  <c r="FS22" i="1"/>
  <c r="CJ22" i="1"/>
  <c r="BO22" i="1"/>
  <c r="GN22" i="1"/>
  <c r="HX22" i="1"/>
  <c r="HC22" i="1"/>
  <c r="DW22" i="1"/>
  <c r="IJ22" i="1"/>
  <c r="CY22" i="1"/>
  <c r="GZ22" i="1"/>
  <c r="AN22" i="1"/>
  <c r="S22" i="1"/>
  <c r="IG22" i="1"/>
  <c r="BC22" i="1"/>
  <c r="IV22" i="1"/>
  <c r="FD22" i="1"/>
  <c r="AZ22" i="1"/>
  <c r="P26" i="45"/>
  <c r="IV28" i="1"/>
  <c r="IJ28" i="1"/>
  <c r="IA28" i="1"/>
  <c r="HO28" i="1"/>
  <c r="HC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E28" i="1"/>
  <c r="IS28" i="1"/>
  <c r="IG28" i="1"/>
  <c r="HX28" i="1"/>
  <c r="HL28" i="1"/>
  <c r="GZ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B28" i="1"/>
  <c r="IM28" i="1"/>
  <c r="HI28" i="1"/>
  <c r="FM28" i="1"/>
  <c r="EX28" i="1"/>
  <c r="DQ28" i="1"/>
  <c r="DB28" i="1"/>
  <c r="BU28" i="1"/>
  <c r="BF28" i="1"/>
  <c r="Y28" i="1"/>
  <c r="J28" i="1"/>
  <c r="IY28" i="1"/>
  <c r="HU28" i="1"/>
  <c r="HF28" i="1"/>
  <c r="FY28" i="1"/>
  <c r="FJ28" i="1"/>
  <c r="EC28" i="1"/>
  <c r="DN28" i="1"/>
  <c r="CG28" i="1"/>
  <c r="BR28" i="1"/>
  <c r="AK28" i="1"/>
  <c r="V28" i="1"/>
  <c r="EO28" i="1"/>
  <c r="AW28" i="1"/>
  <c r="ID28" i="1"/>
  <c r="EL28" i="1"/>
  <c r="AT28" i="1"/>
  <c r="IP28" i="1"/>
  <c r="FV28" i="1"/>
  <c r="FA28" i="1"/>
  <c r="CD28" i="1"/>
  <c r="BI28" i="1"/>
  <c r="CS28" i="1"/>
  <c r="GH28" i="1"/>
  <c r="CP28" i="1"/>
  <c r="AH28" i="1"/>
  <c r="M28" i="1"/>
  <c r="DZ28" i="1"/>
  <c r="DE28" i="1"/>
  <c r="HR28" i="1"/>
  <c r="GW28" i="1"/>
  <c r="AE34" i="45"/>
  <c r="AE17" i="45"/>
  <c r="G33" i="45"/>
  <c r="IY30" i="1"/>
  <c r="IM30" i="1"/>
  <c r="ID30" i="1"/>
  <c r="HR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IV30" i="1"/>
  <c r="IJ30" i="1"/>
  <c r="IA30" i="1"/>
  <c r="HO30" i="1"/>
  <c r="GE30" i="1"/>
  <c r="FS30" i="1"/>
  <c r="FG30" i="1"/>
  <c r="EU30" i="1"/>
  <c r="EI30" i="1"/>
  <c r="DW30" i="1"/>
  <c r="DK30" i="1"/>
  <c r="CY30" i="1"/>
  <c r="CM30" i="1"/>
  <c r="CA30" i="1"/>
  <c r="BO30" i="1"/>
  <c r="BC30" i="1"/>
  <c r="AQ30" i="1"/>
  <c r="AE30" i="1"/>
  <c r="S30" i="1"/>
  <c r="JB30" i="1"/>
  <c r="IP30" i="1"/>
  <c r="HU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DH30" i="1"/>
  <c r="IG30" i="1"/>
  <c r="ER30" i="1"/>
  <c r="AZ30" i="1"/>
  <c r="P30" i="1"/>
  <c r="GB30" i="1"/>
  <c r="CJ30" i="1"/>
  <c r="DT30" i="1"/>
  <c r="AB30" i="1"/>
  <c r="HX30" i="1"/>
  <c r="EF30" i="1"/>
  <c r="AN30" i="1"/>
  <c r="V30" i="1"/>
  <c r="G30" i="1"/>
  <c r="JE30" i="1"/>
  <c r="FP30" i="1"/>
  <c r="BX30" i="1"/>
  <c r="FD30" i="1"/>
  <c r="IS30" i="1"/>
  <c r="CV30" i="1"/>
  <c r="J30" i="1"/>
  <c r="BL30" i="1"/>
  <c r="E40" i="27"/>
  <c r="IV23" i="1"/>
  <c r="IJ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B23" i="1"/>
  <c r="IP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IY23" i="1"/>
  <c r="IM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JE23" i="1"/>
  <c r="FP23" i="1"/>
  <c r="BX23" i="1"/>
  <c r="IG23" i="1"/>
  <c r="ER23" i="1"/>
  <c r="AZ23" i="1"/>
  <c r="GB23" i="1"/>
  <c r="CJ23" i="1"/>
  <c r="HL23" i="1"/>
  <c r="DT23" i="1"/>
  <c r="AB23" i="1"/>
  <c r="GN23" i="1"/>
  <c r="CV23" i="1"/>
  <c r="BL23" i="1"/>
  <c r="AN23" i="1"/>
  <c r="IS23" i="1"/>
  <c r="P23" i="1"/>
  <c r="HX23" i="1"/>
  <c r="EF23" i="1"/>
  <c r="FD23" i="1"/>
  <c r="DH23" i="1"/>
  <c r="GZ23" i="1"/>
  <c r="X34" i="45"/>
  <c r="AE25" i="45"/>
  <c r="AJ17" i="45"/>
  <c r="AE33" i="45"/>
  <c r="AE26" i="45"/>
  <c r="G20" i="45"/>
  <c r="JE34" i="1"/>
  <c r="IS34" i="1"/>
  <c r="IG34" i="1"/>
  <c r="HX34" i="1"/>
  <c r="HL34" i="1"/>
  <c r="GB34" i="1"/>
  <c r="FP34" i="1"/>
  <c r="FD34" i="1"/>
  <c r="ER34" i="1"/>
  <c r="EF34" i="1"/>
  <c r="DT34" i="1"/>
  <c r="DH34" i="1"/>
  <c r="CV34" i="1"/>
  <c r="CJ34" i="1"/>
  <c r="BX34" i="1"/>
  <c r="BL34" i="1"/>
  <c r="AZ34" i="1"/>
  <c r="AN34" i="1"/>
  <c r="AB34" i="1"/>
  <c r="P34" i="1"/>
  <c r="JB34" i="1"/>
  <c r="IP34" i="1"/>
  <c r="HU34" i="1"/>
  <c r="HI34" i="1"/>
  <c r="FY34" i="1"/>
  <c r="FM34" i="1"/>
  <c r="FA34" i="1"/>
  <c r="EO34" i="1"/>
  <c r="EC34" i="1"/>
  <c r="DQ34" i="1"/>
  <c r="DE34" i="1"/>
  <c r="CS34" i="1"/>
  <c r="CG34" i="1"/>
  <c r="BU34" i="1"/>
  <c r="BI34" i="1"/>
  <c r="AW34" i="1"/>
  <c r="AK34" i="1"/>
  <c r="Y34" i="1"/>
  <c r="M34" i="1"/>
  <c r="IY34" i="1"/>
  <c r="IM34" i="1"/>
  <c r="ID34" i="1"/>
  <c r="HR34" i="1"/>
  <c r="HF34" i="1"/>
  <c r="GH34" i="1"/>
  <c r="FV34" i="1"/>
  <c r="FJ34" i="1"/>
  <c r="EX34" i="1"/>
  <c r="EL34" i="1"/>
  <c r="DZ34" i="1"/>
  <c r="DN34" i="1"/>
  <c r="DB34" i="1"/>
  <c r="CP34" i="1"/>
  <c r="CD34" i="1"/>
  <c r="BR34" i="1"/>
  <c r="BF34" i="1"/>
  <c r="AT34" i="1"/>
  <c r="AH34" i="1"/>
  <c r="V34" i="1"/>
  <c r="J34" i="1"/>
  <c r="IV34" i="1"/>
  <c r="IJ34" i="1"/>
  <c r="IA34" i="1"/>
  <c r="HO34" i="1"/>
  <c r="HC34" i="1"/>
  <c r="GE34" i="1"/>
  <c r="FS34" i="1"/>
  <c r="FG34" i="1"/>
  <c r="EU34" i="1"/>
  <c r="EI34" i="1"/>
  <c r="DW34" i="1"/>
  <c r="DK34" i="1"/>
  <c r="CY34" i="1"/>
  <c r="CM34" i="1"/>
  <c r="CA34" i="1"/>
  <c r="BO34" i="1"/>
  <c r="BC34" i="1"/>
  <c r="AQ34" i="1"/>
  <c r="AE34" i="1"/>
  <c r="S34" i="1"/>
  <c r="G34" i="1"/>
  <c r="AJ26" i="45"/>
  <c r="JB16" i="1"/>
  <c r="IP16" i="1"/>
  <c r="IG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IS16" i="1"/>
  <c r="JE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IJ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IV16" i="1"/>
  <c r="GT16" i="1"/>
  <c r="DB16" i="1"/>
  <c r="J16" i="1"/>
  <c r="ID16" i="1"/>
  <c r="EL16" i="1"/>
  <c r="AT16" i="1"/>
  <c r="FV16" i="1"/>
  <c r="CD16" i="1"/>
  <c r="HF16" i="1"/>
  <c r="DN16" i="1"/>
  <c r="V16" i="1"/>
  <c r="IM16" i="1"/>
  <c r="EX16" i="1"/>
  <c r="BF16" i="1"/>
  <c r="GH16" i="1"/>
  <c r="CP16" i="1"/>
  <c r="IY16" i="1"/>
  <c r="HR16" i="1"/>
  <c r="DZ16" i="1"/>
  <c r="AH16" i="1"/>
  <c r="FJ16" i="1"/>
  <c r="BR16" i="1"/>
  <c r="IY21" i="1"/>
  <c r="IM21" i="1"/>
  <c r="ID21" i="1"/>
  <c r="HR21" i="1"/>
  <c r="HF21" i="1"/>
  <c r="GT21" i="1"/>
  <c r="GH21" i="1"/>
  <c r="FV21" i="1"/>
  <c r="FJ21" i="1"/>
  <c r="EX21" i="1"/>
  <c r="EL21" i="1"/>
  <c r="DZ21" i="1"/>
  <c r="DN21" i="1"/>
  <c r="DB21" i="1"/>
  <c r="CP21" i="1"/>
  <c r="CD21" i="1"/>
  <c r="BR21" i="1"/>
  <c r="BF21" i="1"/>
  <c r="AT21" i="1"/>
  <c r="AH21" i="1"/>
  <c r="V21" i="1"/>
  <c r="J21" i="1"/>
  <c r="JB21" i="1"/>
  <c r="IP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IV21" i="1"/>
  <c r="IG21" i="1"/>
  <c r="HC21" i="1"/>
  <c r="GN21" i="1"/>
  <c r="FG21" i="1"/>
  <c r="ER21" i="1"/>
  <c r="DK21" i="1"/>
  <c r="CV21" i="1"/>
  <c r="BO21" i="1"/>
  <c r="AZ21" i="1"/>
  <c r="S21" i="1"/>
  <c r="JE21" i="1"/>
  <c r="HX21" i="1"/>
  <c r="DW21" i="1"/>
  <c r="CM21" i="1"/>
  <c r="BX21" i="1"/>
  <c r="AN21" i="1"/>
  <c r="IJ21" i="1"/>
  <c r="FD21" i="1"/>
  <c r="BC21" i="1"/>
  <c r="FS21" i="1"/>
  <c r="EI21" i="1"/>
  <c r="DT21" i="1"/>
  <c r="CJ21" i="1"/>
  <c r="GZ21" i="1"/>
  <c r="CY21" i="1"/>
  <c r="P21" i="1"/>
  <c r="IA21" i="1"/>
  <c r="HL21" i="1"/>
  <c r="GB21" i="1"/>
  <c r="CA21" i="1"/>
  <c r="AQ21" i="1"/>
  <c r="AB21" i="1"/>
  <c r="GQ21" i="1"/>
  <c r="G21" i="1"/>
  <c r="EF21" i="1"/>
  <c r="DH21" i="1"/>
  <c r="IS21" i="1"/>
  <c r="FP21" i="1"/>
  <c r="EU21" i="1"/>
  <c r="BL21" i="1"/>
  <c r="GE21" i="1"/>
  <c r="HO21" i="1"/>
  <c r="AE21" i="1"/>
  <c r="AB34" i="45"/>
  <c r="G25" i="45"/>
  <c r="G17" i="45"/>
  <c r="AJ33" i="45"/>
  <c r="G26" i="45"/>
  <c r="AE20" i="45"/>
  <c r="P34" i="45"/>
  <c r="P17" i="45"/>
  <c r="T26" i="45"/>
  <c r="E40" i="29"/>
  <c r="AJ25" i="45"/>
  <c r="AJ20" i="45"/>
  <c r="IY18" i="1"/>
  <c r="IM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JB18" i="1"/>
  <c r="HO18" i="1"/>
  <c r="GN18" i="1"/>
  <c r="FM18" i="1"/>
  <c r="DW18" i="1"/>
  <c r="CV18" i="1"/>
  <c r="BU18" i="1"/>
  <c r="AE18" i="1"/>
  <c r="IA18" i="1"/>
  <c r="GZ18" i="1"/>
  <c r="FY18" i="1"/>
  <c r="EI18" i="1"/>
  <c r="DH18" i="1"/>
  <c r="CG18" i="1"/>
  <c r="AQ18" i="1"/>
  <c r="P18" i="1"/>
  <c r="IJ18" i="1"/>
  <c r="HL18" i="1"/>
  <c r="GK18" i="1"/>
  <c r="EU18" i="1"/>
  <c r="DT18" i="1"/>
  <c r="CS18" i="1"/>
  <c r="BC18" i="1"/>
  <c r="AB18" i="1"/>
  <c r="IV18" i="1"/>
  <c r="HX18" i="1"/>
  <c r="GW18" i="1"/>
  <c r="FG18" i="1"/>
  <c r="EF18" i="1"/>
  <c r="DE18" i="1"/>
  <c r="BO18" i="1"/>
  <c r="AN18" i="1"/>
  <c r="M18" i="1"/>
  <c r="JE18" i="1"/>
  <c r="GQ18" i="1"/>
  <c r="FP18" i="1"/>
  <c r="EO18" i="1"/>
  <c r="CY18" i="1"/>
  <c r="BX18" i="1"/>
  <c r="AW18" i="1"/>
  <c r="G18" i="1"/>
  <c r="IP18" i="1"/>
  <c r="DQ18" i="1"/>
  <c r="BL18" i="1"/>
  <c r="FS18" i="1"/>
  <c r="FA18" i="1"/>
  <c r="Y18" i="1"/>
  <c r="HU18" i="1"/>
  <c r="HC18" i="1"/>
  <c r="CA18" i="1"/>
  <c r="BI18" i="1"/>
  <c r="GE18" i="1"/>
  <c r="EC18" i="1"/>
  <c r="DK18" i="1"/>
  <c r="IG18" i="1"/>
  <c r="CM18" i="1"/>
  <c r="AK18" i="1"/>
  <c r="S18" i="1"/>
  <c r="GB18" i="1"/>
  <c r="ER18" i="1"/>
  <c r="IS18" i="1"/>
  <c r="CJ18" i="1"/>
  <c r="AZ18" i="1"/>
  <c r="HI18" i="1"/>
  <c r="FD18" i="1"/>
  <c r="IY35" i="1"/>
  <c r="IM35" i="1"/>
  <c r="ID35" i="1"/>
  <c r="HR35" i="1"/>
  <c r="HF35" i="1"/>
  <c r="GH35" i="1"/>
  <c r="FV35" i="1"/>
  <c r="FJ35" i="1"/>
  <c r="EX35" i="1"/>
  <c r="EL35" i="1"/>
  <c r="JE35" i="1"/>
  <c r="IS35" i="1"/>
  <c r="IG35" i="1"/>
  <c r="HX35" i="1"/>
  <c r="HL35" i="1"/>
  <c r="GZ35" i="1"/>
  <c r="HU35" i="1"/>
  <c r="FM35" i="1"/>
  <c r="IV35" i="1"/>
  <c r="HC35" i="1"/>
  <c r="FY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U35" i="1"/>
  <c r="HO35" i="1"/>
  <c r="FG35" i="1"/>
  <c r="EF35" i="1"/>
  <c r="DT35" i="1"/>
  <c r="DH35" i="1"/>
  <c r="CV35" i="1"/>
  <c r="CJ35" i="1"/>
  <c r="BX35" i="1"/>
  <c r="BL35" i="1"/>
  <c r="AZ35" i="1"/>
  <c r="AN35" i="1"/>
  <c r="AB35" i="1"/>
  <c r="P35" i="1"/>
  <c r="IP35" i="1"/>
  <c r="FS35" i="1"/>
  <c r="ER35" i="1"/>
  <c r="JB35" i="1"/>
  <c r="HI35" i="1"/>
  <c r="FP35" i="1"/>
  <c r="EO35" i="1"/>
  <c r="FA35" i="1"/>
  <c r="IA35" i="1"/>
  <c r="EC35" i="1"/>
  <c r="DN35" i="1"/>
  <c r="CG35" i="1"/>
  <c r="BR35" i="1"/>
  <c r="AK35" i="1"/>
  <c r="V35" i="1"/>
  <c r="GE35" i="1"/>
  <c r="DZ35" i="1"/>
  <c r="CS35" i="1"/>
  <c r="CD35" i="1"/>
  <c r="AW35" i="1"/>
  <c r="AH35" i="1"/>
  <c r="FD35" i="1"/>
  <c r="DQ35" i="1"/>
  <c r="DB35" i="1"/>
  <c r="BU35" i="1"/>
  <c r="BF35" i="1"/>
  <c r="Y35" i="1"/>
  <c r="J35" i="1"/>
  <c r="IJ35" i="1"/>
  <c r="DE35" i="1"/>
  <c r="AT35" i="1"/>
  <c r="BI35" i="1"/>
  <c r="M35" i="1"/>
  <c r="GB35" i="1"/>
  <c r="CP35" i="1"/>
  <c r="E29" i="2"/>
  <c r="T27" i="45"/>
  <c r="P27" i="45"/>
  <c r="L27" i="45"/>
  <c r="AJ27" i="45"/>
  <c r="AE27" i="45"/>
  <c r="G27" i="45"/>
  <c r="AB27" i="45"/>
  <c r="X27" i="45"/>
  <c r="E31" i="2"/>
  <c r="T29" i="45"/>
  <c r="AB29" i="45"/>
  <c r="X29" i="45"/>
  <c r="P29" i="45"/>
  <c r="L29" i="45"/>
  <c r="AJ29" i="45"/>
  <c r="G29" i="45"/>
  <c r="AE29" i="45"/>
  <c r="AN16" i="45"/>
  <c r="AN24" i="45" s="1"/>
  <c r="E21" i="2"/>
  <c r="E36" i="2"/>
  <c r="E27" i="2"/>
  <c r="E28" i="2"/>
  <c r="E35" i="2"/>
  <c r="E24" i="2"/>
  <c r="E17" i="2"/>
  <c r="E22" i="2"/>
  <c r="E19" i="2"/>
  <c r="E20" i="2"/>
  <c r="E23" i="2"/>
  <c r="E25" i="2"/>
  <c r="I45" i="33"/>
  <c r="L45" i="33"/>
  <c r="I48" i="33"/>
  <c r="I51" i="33"/>
  <c r="J45" i="33"/>
  <c r="J40" i="32"/>
  <c r="M45" i="33"/>
  <c r="M48" i="33"/>
  <c r="J48" i="33"/>
  <c r="K57" i="33"/>
  <c r="K56" i="33"/>
  <c r="J51" i="33"/>
  <c r="J41" i="33"/>
  <c r="W153" i="46"/>
  <c r="M7" i="31"/>
  <c r="M7" i="30" s="1"/>
  <c r="M7" i="29" s="1"/>
  <c r="M7" i="27" s="1"/>
  <c r="M7" i="28" s="1"/>
  <c r="M7" i="26" s="1"/>
  <c r="M7" i="25" s="1"/>
  <c r="M7" i="24" s="1"/>
  <c r="M7" i="23" s="1"/>
  <c r="M7" i="21" s="1"/>
  <c r="M7" i="22" s="1"/>
  <c r="M7" i="20" s="1"/>
  <c r="M7" i="19" s="1"/>
  <c r="M7" i="18" s="1"/>
  <c r="M7" i="17" s="1"/>
  <c r="M7" i="16" s="1"/>
  <c r="M7" i="15" s="1"/>
  <c r="M7" i="14" s="1"/>
  <c r="M7" i="13" s="1"/>
  <c r="M7" i="12" s="1"/>
  <c r="M7" i="11" s="1"/>
  <c r="M7" i="10" s="1"/>
  <c r="M7" i="9" s="1"/>
  <c r="M7" i="8" s="1"/>
  <c r="M7" i="7" s="1"/>
  <c r="M7" i="6" s="1"/>
  <c r="M7" i="37" s="1"/>
  <c r="M7" i="4" s="1"/>
  <c r="M7" i="43" s="1"/>
  <c r="M34" i="32"/>
  <c r="A14" i="1"/>
  <c r="A15" i="2" s="1"/>
  <c r="D46" i="27"/>
  <c r="D46" i="28" s="1"/>
  <c r="E46" i="30"/>
  <c r="J46" i="30"/>
  <c r="J46" i="29" s="1"/>
  <c r="J46" i="27" s="1"/>
  <c r="J46" i="28" s="1"/>
  <c r="J46" i="26" s="1"/>
  <c r="J46" i="25" s="1"/>
  <c r="J46" i="24" s="1"/>
  <c r="J46" i="23" s="1"/>
  <c r="J46" i="21" s="1"/>
  <c r="J46" i="22" s="1"/>
  <c r="J46" i="20" s="1"/>
  <c r="J46" i="19" s="1"/>
  <c r="J46" i="18" s="1"/>
  <c r="J46" i="17" s="1"/>
  <c r="J46" i="16" s="1"/>
  <c r="J46" i="15" s="1"/>
  <c r="J46" i="14" s="1"/>
  <c r="J46" i="13" s="1"/>
  <c r="J46" i="12" s="1"/>
  <c r="J46" i="11" s="1"/>
  <c r="J46" i="10" s="1"/>
  <c r="J46" i="9" s="1"/>
  <c r="J46" i="8" s="1"/>
  <c r="J46" i="7" s="1"/>
  <c r="J46" i="6" s="1"/>
  <c r="J46" i="37" s="1"/>
  <c r="J46" i="4" s="1"/>
  <c r="J46" i="43" s="1"/>
  <c r="I40" i="31"/>
  <c r="D47" i="29"/>
  <c r="E47" i="29" s="1"/>
  <c r="AQ12" i="39"/>
  <c r="AK12" i="39"/>
  <c r="AE12" i="39"/>
  <c r="Q13" i="39"/>
  <c r="J44" i="27"/>
  <c r="J38" i="28"/>
  <c r="M47" i="27"/>
  <c r="M44" i="27"/>
  <c r="D48" i="27"/>
  <c r="E48" i="29"/>
  <c r="D44" i="29"/>
  <c r="E44" i="29" s="1"/>
  <c r="D42" i="26"/>
  <c r="E42" i="26" s="1"/>
  <c r="E42" i="27"/>
  <c r="D38" i="27"/>
  <c r="E38" i="29"/>
  <c r="D51" i="29"/>
  <c r="E51" i="30"/>
  <c r="E52" i="31"/>
  <c r="E53" i="31" s="1"/>
  <c r="E43" i="29"/>
  <c r="D43" i="27"/>
  <c r="E40" i="28"/>
  <c r="D40" i="26"/>
  <c r="D39" i="27"/>
  <c r="E39" i="29"/>
  <c r="E45" i="29"/>
  <c r="D45" i="27"/>
  <c r="D41" i="29"/>
  <c r="E41" i="30"/>
  <c r="D52" i="30"/>
  <c r="D53" i="30" s="1"/>
  <c r="E50" i="30"/>
  <c r="D50" i="29"/>
  <c r="M43" i="37"/>
  <c r="J39" i="30"/>
  <c r="J37" i="29"/>
  <c r="E49" i="30"/>
  <c r="D49" i="29"/>
  <c r="J49" i="27"/>
  <c r="J50" i="29"/>
  <c r="M8" i="29"/>
  <c r="J57" i="23"/>
  <c r="AU18" i="39"/>
  <c r="AA110" i="46" l="1"/>
  <c r="AB110" i="46" s="1"/>
  <c r="X110" i="46"/>
  <c r="AB31" i="45"/>
  <c r="EU32" i="1"/>
  <c r="GK32" i="1"/>
  <c r="BI32" i="1"/>
  <c r="BR32" i="1"/>
  <c r="P32" i="1"/>
  <c r="FD32" i="1"/>
  <c r="CY32" i="1"/>
  <c r="CS32" i="1"/>
  <c r="GE32" i="1"/>
  <c r="JB32" i="1"/>
  <c r="FY32" i="1"/>
  <c r="EX32" i="1"/>
  <c r="T31" i="45"/>
  <c r="S32" i="1"/>
  <c r="HO32" i="1"/>
  <c r="AW32" i="1"/>
  <c r="CJ32" i="1"/>
  <c r="GZ32" i="1"/>
  <c r="BL32" i="1"/>
  <c r="G32" i="1"/>
  <c r="CM32" i="1"/>
  <c r="EC32" i="1"/>
  <c r="FS32" i="1"/>
  <c r="FM32" i="1"/>
  <c r="GW32" i="1"/>
  <c r="BF32" i="1"/>
  <c r="AE31" i="45"/>
  <c r="GT32" i="1"/>
  <c r="HR32" i="1"/>
  <c r="ER32" i="1"/>
  <c r="JE32" i="1"/>
  <c r="E33" i="2"/>
  <c r="CA32" i="1"/>
  <c r="GN32" i="1"/>
  <c r="GB32" i="1"/>
  <c r="DN32" i="1"/>
  <c r="M32" i="1"/>
  <c r="IV32" i="1"/>
  <c r="CV32" i="1"/>
  <c r="AT32" i="1"/>
  <c r="HU32" i="1"/>
  <c r="IJ32" i="1"/>
  <c r="BX32" i="1"/>
  <c r="AH32" i="1"/>
  <c r="EI32" i="1"/>
  <c r="IY32" i="1"/>
  <c r="V32" i="1"/>
  <c r="HX32" i="1"/>
  <c r="DE32" i="1"/>
  <c r="BC32" i="1"/>
  <c r="IM32" i="1"/>
  <c r="DQ32" i="1"/>
  <c r="AQ32" i="1"/>
  <c r="ID32" i="1"/>
  <c r="Y32" i="1"/>
  <c r="AE32" i="1"/>
  <c r="EL32" i="1"/>
  <c r="IP32" i="1"/>
  <c r="DZ32" i="1"/>
  <c r="X31" i="45"/>
  <c r="HI32" i="1"/>
  <c r="J32" i="1"/>
  <c r="GH32" i="1"/>
  <c r="AN32" i="1"/>
  <c r="DT32" i="1"/>
  <c r="BO32" i="1"/>
  <c r="L31" i="45"/>
  <c r="FP32" i="1"/>
  <c r="IA32" i="1"/>
  <c r="FA32" i="1"/>
  <c r="CP32" i="1"/>
  <c r="FV32" i="1"/>
  <c r="AB32" i="1"/>
  <c r="IG32" i="1"/>
  <c r="HC32" i="1"/>
  <c r="GQ32" i="1"/>
  <c r="DB32" i="1"/>
  <c r="HL32" i="1"/>
  <c r="AZ32" i="1"/>
  <c r="EF32" i="1"/>
  <c r="IS32" i="1"/>
  <c r="FG32" i="1"/>
  <c r="BU32" i="1"/>
  <c r="G31" i="45"/>
  <c r="P31" i="45"/>
  <c r="DK32" i="1"/>
  <c r="AK32" i="1"/>
  <c r="EO32" i="1"/>
  <c r="CD32" i="1"/>
  <c r="FJ32" i="1"/>
  <c r="DH32" i="1"/>
  <c r="HF32" i="1"/>
  <c r="DW32" i="1"/>
  <c r="AJ13" i="45"/>
  <c r="AA110" i="54"/>
  <c r="AB110" i="54" s="1"/>
  <c r="G13" i="45"/>
  <c r="T13" i="45"/>
  <c r="P13" i="45"/>
  <c r="AE13" i="45"/>
  <c r="L13" i="45"/>
  <c r="AB13" i="45"/>
  <c r="DW16" i="2"/>
  <c r="DW20" i="2"/>
  <c r="DU20" i="2"/>
  <c r="DW19" i="2"/>
  <c r="DU19" i="2"/>
  <c r="DW21" i="2"/>
  <c r="DU21" i="2"/>
  <c r="DW22" i="2"/>
  <c r="DU22" i="2"/>
  <c r="DW26" i="2"/>
  <c r="DU26" i="2"/>
  <c r="DW36" i="2"/>
  <c r="DU36" i="2"/>
  <c r="DW17" i="2"/>
  <c r="DU17" i="2"/>
  <c r="DW31" i="2"/>
  <c r="DU31" i="2"/>
  <c r="DW24" i="2"/>
  <c r="DU24" i="2"/>
  <c r="DW29" i="2"/>
  <c r="DU29" i="2"/>
  <c r="DW35" i="2"/>
  <c r="DU35" i="2"/>
  <c r="DW25" i="2"/>
  <c r="DU25" i="2"/>
  <c r="DW28" i="2"/>
  <c r="DU28" i="2"/>
  <c r="DW23" i="2"/>
  <c r="DU23" i="2"/>
  <c r="DW27" i="2"/>
  <c r="DU27" i="2"/>
  <c r="X153" i="54"/>
  <c r="O42" i="52" s="1"/>
  <c r="P42" i="52" s="1"/>
  <c r="Q42" i="52" s="1"/>
  <c r="X158" i="54"/>
  <c r="AF12" i="39"/>
  <c r="E12" i="1"/>
  <c r="AW12" i="1" s="1"/>
  <c r="V12" i="39"/>
  <c r="J12" i="39"/>
  <c r="AR12" i="39"/>
  <c r="BD12" i="39"/>
  <c r="AX12" i="39"/>
  <c r="T12" i="39"/>
  <c r="I12" i="39"/>
  <c r="C11" i="45"/>
  <c r="AL12" i="39"/>
  <c r="BJ12" i="39"/>
  <c r="J11" i="19"/>
  <c r="J11" i="18" s="1"/>
  <c r="J27" i="43"/>
  <c r="J15" i="4"/>
  <c r="J15" i="43" s="1"/>
  <c r="J17" i="4"/>
  <c r="J17" i="43" s="1"/>
  <c r="J10" i="37"/>
  <c r="J10" i="4" s="1"/>
  <c r="J10" i="43" s="1"/>
  <c r="W9" i="39"/>
  <c r="AS9" i="39"/>
  <c r="BK9" i="39"/>
  <c r="U9" i="39"/>
  <c r="AG9" i="39"/>
  <c r="AM9" i="39"/>
  <c r="K9" i="39"/>
  <c r="BE9" i="39"/>
  <c r="AY9" i="39"/>
  <c r="EI14" i="1"/>
  <c r="AW14" i="1"/>
  <c r="E15" i="2"/>
  <c r="GW36" i="1"/>
  <c r="HL36" i="1"/>
  <c r="DH36" i="1"/>
  <c r="P36" i="1"/>
  <c r="FA36" i="1"/>
  <c r="BI36" i="1"/>
  <c r="HO36" i="1"/>
  <c r="DK36" i="1"/>
  <c r="S36" i="1"/>
  <c r="GH36" i="1"/>
  <c r="ID36" i="1"/>
  <c r="GN36" i="1"/>
  <c r="GZ36" i="1"/>
  <c r="CV36" i="1"/>
  <c r="JB36" i="1"/>
  <c r="EO36" i="1"/>
  <c r="AW36" i="1"/>
  <c r="HC36" i="1"/>
  <c r="CY36" i="1"/>
  <c r="G36" i="1"/>
  <c r="CP36" i="1"/>
  <c r="EL36" i="1"/>
  <c r="GQ36" i="1"/>
  <c r="GB36" i="1"/>
  <c r="CJ36" i="1"/>
  <c r="IP36" i="1"/>
  <c r="EC36" i="1"/>
  <c r="AK36" i="1"/>
  <c r="GE36" i="1"/>
  <c r="CM36" i="1"/>
  <c r="HF36" i="1"/>
  <c r="HR36" i="1"/>
  <c r="AT36" i="1"/>
  <c r="E37" i="2"/>
  <c r="GT36" i="1"/>
  <c r="FP36" i="1"/>
  <c r="BX36" i="1"/>
  <c r="DQ36" i="1"/>
  <c r="Y36" i="1"/>
  <c r="FS36" i="1"/>
  <c r="CA36" i="1"/>
  <c r="DN36" i="1"/>
  <c r="DZ36" i="1"/>
  <c r="FV36" i="1"/>
  <c r="JE36" i="1"/>
  <c r="FD36" i="1"/>
  <c r="BL36" i="1"/>
  <c r="HU36" i="1"/>
  <c r="DE36" i="1"/>
  <c r="M36" i="1"/>
  <c r="FG36" i="1"/>
  <c r="BO36" i="1"/>
  <c r="V36" i="1"/>
  <c r="AH36" i="1"/>
  <c r="DB36" i="1"/>
  <c r="IS36" i="1"/>
  <c r="ER36" i="1"/>
  <c r="AZ36" i="1"/>
  <c r="HI36" i="1"/>
  <c r="CS36" i="1"/>
  <c r="IV36" i="1"/>
  <c r="EU36" i="1"/>
  <c r="BC36" i="1"/>
  <c r="IM36" i="1"/>
  <c r="IY36" i="1"/>
  <c r="CD36" i="1"/>
  <c r="IG36" i="1"/>
  <c r="EF36" i="1"/>
  <c r="AN36" i="1"/>
  <c r="FY36" i="1"/>
  <c r="CG36" i="1"/>
  <c r="IJ36" i="1"/>
  <c r="EI36" i="1"/>
  <c r="AQ36" i="1"/>
  <c r="EX36" i="1"/>
  <c r="FJ36" i="1"/>
  <c r="J36" i="1"/>
  <c r="GK36" i="1"/>
  <c r="HX36" i="1"/>
  <c r="DT36" i="1"/>
  <c r="AB36" i="1"/>
  <c r="FM36" i="1"/>
  <c r="BU36" i="1"/>
  <c r="IA36" i="1"/>
  <c r="DW36" i="1"/>
  <c r="AE36" i="1"/>
  <c r="BF36" i="1"/>
  <c r="BR36" i="1"/>
  <c r="G35" i="45"/>
  <c r="P35" i="45"/>
  <c r="AJ35" i="45"/>
  <c r="X35" i="45"/>
  <c r="L35" i="45"/>
  <c r="AB35" i="45"/>
  <c r="T35" i="45"/>
  <c r="AE35" i="45"/>
  <c r="J19" i="12"/>
  <c r="J19" i="11" s="1"/>
  <c r="J19" i="10" s="1"/>
  <c r="J19" i="9" s="1"/>
  <c r="J19" i="8" s="1"/>
  <c r="J19" i="7" s="1"/>
  <c r="J19" i="6" s="1"/>
  <c r="J19" i="37" s="1"/>
  <c r="J59" i="23"/>
  <c r="I45" i="11"/>
  <c r="L45" i="11"/>
  <c r="R31" i="39"/>
  <c r="I51" i="11"/>
  <c r="I48" i="11"/>
  <c r="J21" i="16"/>
  <c r="J21" i="15" s="1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BL14" i="1"/>
  <c r="EO14" i="1"/>
  <c r="IS14" i="1"/>
  <c r="GN14" i="1"/>
  <c r="CY14" i="1"/>
  <c r="V14" i="1"/>
  <c r="DN14" i="1"/>
  <c r="HF14" i="1"/>
  <c r="J56" i="22"/>
  <c r="J59" i="21"/>
  <c r="J9" i="20"/>
  <c r="J9" i="19" s="1"/>
  <c r="J9" i="18" s="1"/>
  <c r="J9" i="17" s="1"/>
  <c r="J9" i="16" s="1"/>
  <c r="J9" i="15" s="1"/>
  <c r="J9" i="14" s="1"/>
  <c r="J9" i="13" s="1"/>
  <c r="J9" i="12" s="1"/>
  <c r="J9" i="11" s="1"/>
  <c r="J9" i="10" s="1"/>
  <c r="DT14" i="1"/>
  <c r="AE14" i="1"/>
  <c r="HO14" i="1"/>
  <c r="FG14" i="1"/>
  <c r="CJ14" i="1"/>
  <c r="J14" i="1"/>
  <c r="DB14" i="1"/>
  <c r="GT14" i="1"/>
  <c r="AK14" i="1"/>
  <c r="EC14" i="1"/>
  <c r="HU14" i="1"/>
  <c r="FP14" i="1"/>
  <c r="CA14" i="1"/>
  <c r="S14" i="1"/>
  <c r="HC14" i="1"/>
  <c r="EF14" i="1"/>
  <c r="AH14" i="1"/>
  <c r="DZ14" i="1"/>
  <c r="HR14" i="1"/>
  <c r="BI14" i="1"/>
  <c r="FA14" i="1"/>
  <c r="IP14" i="1"/>
  <c r="GE14" i="1"/>
  <c r="DH14" i="1"/>
  <c r="AZ14" i="1"/>
  <c r="IG14" i="1"/>
  <c r="EU14" i="1"/>
  <c r="AT14" i="1"/>
  <c r="EL14" i="1"/>
  <c r="ID14" i="1"/>
  <c r="BU14" i="1"/>
  <c r="FM14" i="1"/>
  <c r="JB14" i="1"/>
  <c r="AB14" i="1"/>
  <c r="HL14" i="1"/>
  <c r="DW14" i="1"/>
  <c r="BO14" i="1"/>
  <c r="IV14" i="1"/>
  <c r="GB14" i="1"/>
  <c r="BF14" i="1"/>
  <c r="EX14" i="1"/>
  <c r="IM14" i="1"/>
  <c r="CG14" i="1"/>
  <c r="FY14" i="1"/>
  <c r="AQ14" i="1"/>
  <c r="IA14" i="1"/>
  <c r="FD14" i="1"/>
  <c r="CV14" i="1"/>
  <c r="G14" i="1"/>
  <c r="GQ14" i="1"/>
  <c r="BR14" i="1"/>
  <c r="FJ14" i="1"/>
  <c r="IY14" i="1"/>
  <c r="CS14" i="1"/>
  <c r="GK14" i="1"/>
  <c r="BX14" i="1"/>
  <c r="JE14" i="1"/>
  <c r="FS14" i="1"/>
  <c r="DK14" i="1"/>
  <c r="AN14" i="1"/>
  <c r="HX14" i="1"/>
  <c r="CD14" i="1"/>
  <c r="FV14" i="1"/>
  <c r="M14" i="1"/>
  <c r="DE14" i="1"/>
  <c r="GW14" i="1"/>
  <c r="CM14" i="1"/>
  <c r="P14" i="1"/>
  <c r="GZ14" i="1"/>
  <c r="ER14" i="1"/>
  <c r="BC14" i="1"/>
  <c r="IJ14" i="1"/>
  <c r="CP14" i="1"/>
  <c r="GH14" i="1"/>
  <c r="Y14" i="1"/>
  <c r="DQ14" i="1"/>
  <c r="L12" i="45"/>
  <c r="AJ12" i="45"/>
  <c r="P12" i="45"/>
  <c r="G12" i="45"/>
  <c r="T12" i="45"/>
  <c r="X12" i="45"/>
  <c r="AB12" i="45"/>
  <c r="AE12" i="45"/>
  <c r="GH13" i="1"/>
  <c r="CP13" i="1"/>
  <c r="IV13" i="1"/>
  <c r="FG13" i="1"/>
  <c r="BO13" i="1"/>
  <c r="EO13" i="1"/>
  <c r="AW13" i="1"/>
  <c r="ER13" i="1"/>
  <c r="FD13" i="1"/>
  <c r="FP13" i="1"/>
  <c r="E14" i="2"/>
  <c r="FS13" i="1"/>
  <c r="FV13" i="1"/>
  <c r="CD13" i="1"/>
  <c r="IJ13" i="1"/>
  <c r="EU13" i="1"/>
  <c r="BC13" i="1"/>
  <c r="HU13" i="1"/>
  <c r="EC13" i="1"/>
  <c r="AK13" i="1"/>
  <c r="AZ13" i="1"/>
  <c r="BL13" i="1"/>
  <c r="BX13" i="1"/>
  <c r="GT13" i="1"/>
  <c r="FA13" i="1"/>
  <c r="IS13" i="1"/>
  <c r="IY13" i="1"/>
  <c r="FJ13" i="1"/>
  <c r="BR13" i="1"/>
  <c r="IA13" i="1"/>
  <c r="EI13" i="1"/>
  <c r="AQ13" i="1"/>
  <c r="HI13" i="1"/>
  <c r="DQ13" i="1"/>
  <c r="Y13" i="1"/>
  <c r="GB13" i="1"/>
  <c r="GN13" i="1"/>
  <c r="J13" i="1"/>
  <c r="IM13" i="1"/>
  <c r="EX13" i="1"/>
  <c r="BF13" i="1"/>
  <c r="HO13" i="1"/>
  <c r="DW13" i="1"/>
  <c r="AE13" i="1"/>
  <c r="GW13" i="1"/>
  <c r="DE13" i="1"/>
  <c r="M13" i="1"/>
  <c r="CJ13" i="1"/>
  <c r="CV13" i="1"/>
  <c r="IP13" i="1"/>
  <c r="ID13" i="1"/>
  <c r="EL13" i="1"/>
  <c r="AT13" i="1"/>
  <c r="HC13" i="1"/>
  <c r="DK13" i="1"/>
  <c r="S13" i="1"/>
  <c r="GK13" i="1"/>
  <c r="CS13" i="1"/>
  <c r="GZ13" i="1"/>
  <c r="HL13" i="1"/>
  <c r="HX13" i="1"/>
  <c r="BI13" i="1"/>
  <c r="HR13" i="1"/>
  <c r="DZ13" i="1"/>
  <c r="AH13" i="1"/>
  <c r="GQ13" i="1"/>
  <c r="CY13" i="1"/>
  <c r="G13" i="1"/>
  <c r="FY13" i="1"/>
  <c r="CG13" i="1"/>
  <c r="DH13" i="1"/>
  <c r="DT13" i="1"/>
  <c r="EF13" i="1"/>
  <c r="DB13" i="1"/>
  <c r="IG13" i="1"/>
  <c r="HF13" i="1"/>
  <c r="DN13" i="1"/>
  <c r="V13" i="1"/>
  <c r="GE13" i="1"/>
  <c r="CM13" i="1"/>
  <c r="JB13" i="1"/>
  <c r="FM13" i="1"/>
  <c r="BU13" i="1"/>
  <c r="P13" i="1"/>
  <c r="AB13" i="1"/>
  <c r="AN13" i="1"/>
  <c r="CA13" i="1"/>
  <c r="JE13" i="1"/>
  <c r="M34" i="31"/>
  <c r="A15" i="1"/>
  <c r="A16" i="2" s="1"/>
  <c r="M34" i="30"/>
  <c r="X158" i="46"/>
  <c r="K56" i="32"/>
  <c r="M48" i="32"/>
  <c r="K57" i="32"/>
  <c r="J45" i="32"/>
  <c r="J51" i="32"/>
  <c r="M45" i="32"/>
  <c r="J41" i="32"/>
  <c r="J48" i="32"/>
  <c r="C8" i="45"/>
  <c r="E9" i="1"/>
  <c r="GN9" i="1" s="1"/>
  <c r="E46" i="27"/>
  <c r="J47" i="29"/>
  <c r="J47" i="27"/>
  <c r="J47" i="30"/>
  <c r="L45" i="31"/>
  <c r="I45" i="31"/>
  <c r="R11" i="39"/>
  <c r="I48" i="31"/>
  <c r="I51" i="31"/>
  <c r="J40" i="31"/>
  <c r="D47" i="27"/>
  <c r="D47" i="28" s="1"/>
  <c r="D47" i="26" s="1"/>
  <c r="D44" i="27"/>
  <c r="E44" i="27" s="1"/>
  <c r="D42" i="25"/>
  <c r="D42" i="24" s="1"/>
  <c r="AQ13" i="39"/>
  <c r="Q14" i="39"/>
  <c r="AE13" i="39"/>
  <c r="AK13" i="39"/>
  <c r="J47" i="28"/>
  <c r="J38" i="26"/>
  <c r="J44" i="28"/>
  <c r="M47" i="28"/>
  <c r="M44" i="28"/>
  <c r="D48" i="28"/>
  <c r="E48" i="27"/>
  <c r="E51" i="29"/>
  <c r="D51" i="27"/>
  <c r="D38" i="28"/>
  <c r="E38" i="27"/>
  <c r="D43" i="28"/>
  <c r="E43" i="27"/>
  <c r="E40" i="26"/>
  <c r="D40" i="25"/>
  <c r="E46" i="28"/>
  <c r="D46" i="26"/>
  <c r="D39" i="28"/>
  <c r="E39" i="27"/>
  <c r="E49" i="29"/>
  <c r="D49" i="27"/>
  <c r="J39" i="29"/>
  <c r="J37" i="27"/>
  <c r="E52" i="30"/>
  <c r="E53" i="30" s="1"/>
  <c r="D45" i="28"/>
  <c r="E45" i="27"/>
  <c r="M43" i="4"/>
  <c r="D50" i="27"/>
  <c r="E50" i="29"/>
  <c r="D41" i="27"/>
  <c r="E41" i="29"/>
  <c r="D52" i="29"/>
  <c r="D53" i="29" s="1"/>
  <c r="J49" i="28"/>
  <c r="J50" i="27"/>
  <c r="M34" i="29"/>
  <c r="M8" i="27"/>
  <c r="AU19" i="39"/>
  <c r="J57" i="21"/>
  <c r="DU33" i="2" l="1"/>
  <c r="DW33" i="2"/>
  <c r="DW14" i="2"/>
  <c r="DU14" i="2"/>
  <c r="DW37" i="2"/>
  <c r="DU37" i="2"/>
  <c r="DW15" i="2"/>
  <c r="DU15" i="2"/>
  <c r="G11" i="45"/>
  <c r="X11" i="45"/>
  <c r="L11" i="45"/>
  <c r="AE11" i="45"/>
  <c r="P11" i="45"/>
  <c r="T11" i="45"/>
  <c r="AJ11" i="45"/>
  <c r="AB11" i="45"/>
  <c r="HX12" i="1"/>
  <c r="EF12" i="1"/>
  <c r="HR12" i="1"/>
  <c r="EL12" i="1"/>
  <c r="IM12" i="1"/>
  <c r="FJ12" i="1"/>
  <c r="J12" i="1"/>
  <c r="HI12" i="1"/>
  <c r="AE12" i="1"/>
  <c r="DB12" i="1"/>
  <c r="AZ12" i="1"/>
  <c r="HL12" i="1"/>
  <c r="DT12" i="1"/>
  <c r="GQ12" i="1"/>
  <c r="DK12" i="1"/>
  <c r="HO12" i="1"/>
  <c r="EI12" i="1"/>
  <c r="IY12" i="1"/>
  <c r="GH12" i="1"/>
  <c r="S12" i="1"/>
  <c r="CA12" i="1"/>
  <c r="AN12" i="1"/>
  <c r="GZ12" i="1"/>
  <c r="DH12" i="1"/>
  <c r="FA12" i="1"/>
  <c r="BU12" i="1"/>
  <c r="FY12" i="1"/>
  <c r="CS12" i="1"/>
  <c r="IJ12" i="1"/>
  <c r="FG12" i="1"/>
  <c r="G12" i="1"/>
  <c r="HF12" i="1"/>
  <c r="AB12" i="1"/>
  <c r="E13" i="2"/>
  <c r="GN12" i="1"/>
  <c r="CV12" i="1"/>
  <c r="DZ12" i="1"/>
  <c r="BI12" i="1"/>
  <c r="EX12" i="1"/>
  <c r="BR12" i="1"/>
  <c r="GW12" i="1"/>
  <c r="DQ12" i="1"/>
  <c r="IV12" i="1"/>
  <c r="GE12" i="1"/>
  <c r="P12" i="1"/>
  <c r="GB12" i="1"/>
  <c r="CJ12" i="1"/>
  <c r="CY12" i="1"/>
  <c r="DW12" i="1"/>
  <c r="BF12" i="1"/>
  <c r="FV12" i="1"/>
  <c r="CP12" i="1"/>
  <c r="HU12" i="1"/>
  <c r="EO12" i="1"/>
  <c r="JE12" i="1"/>
  <c r="FP12" i="1"/>
  <c r="BX12" i="1"/>
  <c r="ID12" i="1"/>
  <c r="AK12" i="1"/>
  <c r="CG12" i="1"/>
  <c r="AT12" i="1"/>
  <c r="EU12" i="1"/>
  <c r="BO12" i="1"/>
  <c r="GT12" i="1"/>
  <c r="DN12" i="1"/>
  <c r="IS12" i="1"/>
  <c r="FD12" i="1"/>
  <c r="JB12" i="1"/>
  <c r="HC12" i="1"/>
  <c r="Y12" i="1"/>
  <c r="IA12" i="1"/>
  <c r="AH12" i="1"/>
  <c r="DE12" i="1"/>
  <c r="BC12" i="1"/>
  <c r="FS12" i="1"/>
  <c r="CM12" i="1"/>
  <c r="IG12" i="1"/>
  <c r="ER12" i="1"/>
  <c r="IP12" i="1"/>
  <c r="FM12" i="1"/>
  <c r="M12" i="1"/>
  <c r="GK12" i="1"/>
  <c r="V12" i="1"/>
  <c r="CD12" i="1"/>
  <c r="AQ12" i="1"/>
  <c r="EC12" i="1"/>
  <c r="BL12" i="1"/>
  <c r="J11" i="17"/>
  <c r="J11" i="16" s="1"/>
  <c r="J11" i="15" s="1"/>
  <c r="J11" i="14" s="1"/>
  <c r="J11" i="13" s="1"/>
  <c r="J11" i="12" s="1"/>
  <c r="J11" i="11" s="1"/>
  <c r="J11" i="10" s="1"/>
  <c r="J11" i="9" s="1"/>
  <c r="J11" i="8" s="1"/>
  <c r="J11" i="7" s="1"/>
  <c r="J11" i="6" s="1"/>
  <c r="J18" i="4"/>
  <c r="J18" i="43" s="1"/>
  <c r="J22" i="4"/>
  <c r="J22" i="43" s="1"/>
  <c r="J16" i="4"/>
  <c r="J16" i="43" s="1"/>
  <c r="J14" i="4"/>
  <c r="J14" i="43" s="1"/>
  <c r="J9" i="9"/>
  <c r="J9" i="8" s="1"/>
  <c r="J9" i="7" s="1"/>
  <c r="J9" i="6" s="1"/>
  <c r="AX31" i="39"/>
  <c r="AR31" i="39"/>
  <c r="AF31" i="39"/>
  <c r="BJ31" i="39"/>
  <c r="T31" i="39"/>
  <c r="E31" i="1"/>
  <c r="C30" i="45"/>
  <c r="J31" i="39"/>
  <c r="V31" i="39"/>
  <c r="BD31" i="39"/>
  <c r="AL31" i="39"/>
  <c r="I31" i="39"/>
  <c r="J20" i="16"/>
  <c r="J56" i="20"/>
  <c r="J59" i="22"/>
  <c r="C10" i="45"/>
  <c r="X10" i="45" s="1"/>
  <c r="BJ11" i="39"/>
  <c r="JE9" i="1"/>
  <c r="IS9" i="1"/>
  <c r="HX9" i="1"/>
  <c r="HL9" i="1"/>
  <c r="GZ9" i="1"/>
  <c r="GB9" i="1"/>
  <c r="FP9" i="1"/>
  <c r="FD9" i="1"/>
  <c r="ER9" i="1"/>
  <c r="EF9" i="1"/>
  <c r="DT9" i="1"/>
  <c r="DH9" i="1"/>
  <c r="CV9" i="1"/>
  <c r="CJ9" i="1"/>
  <c r="BX9" i="1"/>
  <c r="BL9" i="1"/>
  <c r="AZ9" i="1"/>
  <c r="AN9" i="1"/>
  <c r="AB9" i="1"/>
  <c r="P9" i="1"/>
  <c r="JB9" i="1"/>
  <c r="IP9" i="1"/>
  <c r="HU9" i="1"/>
  <c r="HI9" i="1"/>
  <c r="GW9" i="1"/>
  <c r="GK9" i="1"/>
  <c r="FY9" i="1"/>
  <c r="FM9" i="1"/>
  <c r="FA9" i="1"/>
  <c r="EO9" i="1"/>
  <c r="EC9" i="1"/>
  <c r="DQ9" i="1"/>
  <c r="DE9" i="1"/>
  <c r="CS9" i="1"/>
  <c r="CG9" i="1"/>
  <c r="BU9" i="1"/>
  <c r="BI9" i="1"/>
  <c r="AW9" i="1"/>
  <c r="AK9" i="1"/>
  <c r="Y9" i="1"/>
  <c r="M9" i="1"/>
  <c r="IY9" i="1"/>
  <c r="IM9" i="1"/>
  <c r="ID9" i="1"/>
  <c r="HR9" i="1"/>
  <c r="HF9" i="1"/>
  <c r="GT9" i="1"/>
  <c r="GH9" i="1"/>
  <c r="FV9" i="1"/>
  <c r="FJ9" i="1"/>
  <c r="EX9" i="1"/>
  <c r="EL9" i="1"/>
  <c r="DZ9" i="1"/>
  <c r="DN9" i="1"/>
  <c r="DB9" i="1"/>
  <c r="CP9" i="1"/>
  <c r="CD9" i="1"/>
  <c r="BR9" i="1"/>
  <c r="BF9" i="1"/>
  <c r="AT9" i="1"/>
  <c r="AH9" i="1"/>
  <c r="V9" i="1"/>
  <c r="J9" i="1"/>
  <c r="IJ9" i="1"/>
  <c r="IA9" i="1"/>
  <c r="HO9" i="1"/>
  <c r="HC9" i="1"/>
  <c r="GQ9" i="1"/>
  <c r="GE9" i="1"/>
  <c r="FS9" i="1"/>
  <c r="FG9" i="1"/>
  <c r="EU9" i="1"/>
  <c r="EI9" i="1"/>
  <c r="DW9" i="1"/>
  <c r="DK9" i="1"/>
  <c r="CY9" i="1"/>
  <c r="CM9" i="1"/>
  <c r="CA9" i="1"/>
  <c r="BO9" i="1"/>
  <c r="BC9" i="1"/>
  <c r="AQ9" i="1"/>
  <c r="AE9" i="1"/>
  <c r="S9" i="1"/>
  <c r="G9" i="1"/>
  <c r="A16" i="1"/>
  <c r="A17" i="2" s="1"/>
  <c r="E10" i="2"/>
  <c r="S10" i="39"/>
  <c r="L8" i="45"/>
  <c r="T8" i="45"/>
  <c r="AB8" i="45"/>
  <c r="AE8" i="45"/>
  <c r="P8" i="45"/>
  <c r="X8" i="45"/>
  <c r="G8" i="45"/>
  <c r="AJ8" i="45"/>
  <c r="K57" i="31"/>
  <c r="J51" i="31"/>
  <c r="M45" i="31"/>
  <c r="J45" i="31"/>
  <c r="K56" i="31"/>
  <c r="M48" i="31"/>
  <c r="J48" i="31"/>
  <c r="J40" i="30"/>
  <c r="J41" i="31"/>
  <c r="AF11" i="39"/>
  <c r="E11" i="1"/>
  <c r="I11" i="39"/>
  <c r="T11" i="39"/>
  <c r="R41" i="39"/>
  <c r="BJ41" i="39" s="1"/>
  <c r="AX11" i="39"/>
  <c r="AR11" i="39"/>
  <c r="BD11" i="39"/>
  <c r="AL11" i="39"/>
  <c r="V11" i="39"/>
  <c r="J11" i="39"/>
  <c r="E47" i="28"/>
  <c r="D44" i="28"/>
  <c r="E44" i="28" s="1"/>
  <c r="E47" i="27"/>
  <c r="E42" i="25"/>
  <c r="J38" i="25"/>
  <c r="M44" i="26"/>
  <c r="J44" i="26"/>
  <c r="J47" i="26"/>
  <c r="M47" i="26"/>
  <c r="AE14" i="39"/>
  <c r="Q15" i="39"/>
  <c r="AQ14" i="39"/>
  <c r="AK14" i="39"/>
  <c r="D48" i="26"/>
  <c r="E48" i="28"/>
  <c r="D51" i="28"/>
  <c r="E51" i="27"/>
  <c r="D38" i="26"/>
  <c r="E38" i="28"/>
  <c r="E52" i="29"/>
  <c r="E53" i="29" s="1"/>
  <c r="E43" i="28"/>
  <c r="D43" i="26"/>
  <c r="E40" i="25"/>
  <c r="D40" i="24"/>
  <c r="E47" i="26"/>
  <c r="D47" i="25"/>
  <c r="D42" i="23"/>
  <c r="E42" i="24"/>
  <c r="D39" i="26"/>
  <c r="E39" i="28"/>
  <c r="E46" i="26"/>
  <c r="D46" i="25"/>
  <c r="E45" i="28"/>
  <c r="D45" i="26"/>
  <c r="J37" i="28"/>
  <c r="J39" i="27"/>
  <c r="E49" i="27"/>
  <c r="D49" i="28"/>
  <c r="E41" i="27"/>
  <c r="D41" i="28"/>
  <c r="D52" i="27"/>
  <c r="D53" i="27" s="1"/>
  <c r="E50" i="27"/>
  <c r="D50" i="28"/>
  <c r="M43" i="43"/>
  <c r="J49" i="26"/>
  <c r="J50" i="28"/>
  <c r="M34" i="27"/>
  <c r="M8" i="28"/>
  <c r="J57" i="22"/>
  <c r="AU20" i="39"/>
  <c r="DW13" i="2" l="1"/>
  <c r="DU13" i="2"/>
  <c r="F10" i="2"/>
  <c r="DW10" i="2"/>
  <c r="DU10" i="2"/>
  <c r="J20" i="15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3" i="4"/>
  <c r="J23" i="43" s="1"/>
  <c r="J19" i="4"/>
  <c r="J19" i="43" s="1"/>
  <c r="J11" i="37"/>
  <c r="J11" i="4" s="1"/>
  <c r="J11" i="43" s="1"/>
  <c r="J9" i="37"/>
  <c r="J9" i="4" s="1"/>
  <c r="J9" i="43" s="1"/>
  <c r="AE30" i="45"/>
  <c r="X30" i="45"/>
  <c r="P30" i="45"/>
  <c r="G30" i="45"/>
  <c r="T30" i="45"/>
  <c r="AJ30" i="45"/>
  <c r="L30" i="45"/>
  <c r="AB30" i="45"/>
  <c r="GK31" i="1"/>
  <c r="GW31" i="1"/>
  <c r="GN31" i="1"/>
  <c r="GZ31" i="1"/>
  <c r="GQ31" i="1"/>
  <c r="GT31" i="1"/>
  <c r="HL31" i="1"/>
  <c r="JB31" i="1"/>
  <c r="EC31" i="1"/>
  <c r="AK31" i="1"/>
  <c r="BX31" i="1"/>
  <c r="AT31" i="1"/>
  <c r="AE31" i="1"/>
  <c r="P31" i="1"/>
  <c r="IS31" i="1"/>
  <c r="FV31" i="1"/>
  <c r="AB31" i="1"/>
  <c r="DZ31" i="1"/>
  <c r="CV31" i="1"/>
  <c r="AZ31" i="1"/>
  <c r="EU31" i="1"/>
  <c r="HI31" i="1"/>
  <c r="EO31" i="1"/>
  <c r="CY31" i="1"/>
  <c r="BF31" i="1"/>
  <c r="AQ31" i="1"/>
  <c r="IV31" i="1"/>
  <c r="E32" i="2"/>
  <c r="HC31" i="1"/>
  <c r="IP31" i="1"/>
  <c r="DQ31" i="1"/>
  <c r="Y31" i="1"/>
  <c r="AH31" i="1"/>
  <c r="S31" i="1"/>
  <c r="IY31" i="1"/>
  <c r="IG31" i="1"/>
  <c r="GE31" i="1"/>
  <c r="EF31" i="1"/>
  <c r="FG31" i="1"/>
  <c r="CJ31" i="1"/>
  <c r="DE31" i="1"/>
  <c r="M31" i="1"/>
  <c r="G31" i="1"/>
  <c r="IM31" i="1"/>
  <c r="IA31" i="1"/>
  <c r="FS31" i="1"/>
  <c r="FD31" i="1"/>
  <c r="CP31" i="1"/>
  <c r="DT31" i="1"/>
  <c r="HF31" i="1"/>
  <c r="HU31" i="1"/>
  <c r="CS31" i="1"/>
  <c r="JE31" i="1"/>
  <c r="ID31" i="1"/>
  <c r="HO31" i="1"/>
  <c r="FJ31" i="1"/>
  <c r="ER31" i="1"/>
  <c r="DN31" i="1"/>
  <c r="BC31" i="1"/>
  <c r="CD31" i="1"/>
  <c r="FA31" i="1"/>
  <c r="BI31" i="1"/>
  <c r="DK31" i="1"/>
  <c r="BR31" i="1"/>
  <c r="V31" i="1"/>
  <c r="AW31" i="1"/>
  <c r="J31" i="1"/>
  <c r="BO31" i="1"/>
  <c r="FY31" i="1"/>
  <c r="CG31" i="1"/>
  <c r="HR31" i="1"/>
  <c r="GB31" i="1"/>
  <c r="EX31" i="1"/>
  <c r="EI31" i="1"/>
  <c r="DB31" i="1"/>
  <c r="CM31" i="1"/>
  <c r="HX31" i="1"/>
  <c r="IJ31" i="1"/>
  <c r="FM31" i="1"/>
  <c r="BU31" i="1"/>
  <c r="FP31" i="1"/>
  <c r="EL31" i="1"/>
  <c r="DW31" i="1"/>
  <c r="DH31" i="1"/>
  <c r="CA31" i="1"/>
  <c r="BL31" i="1"/>
  <c r="GH31" i="1"/>
  <c r="AN31" i="1"/>
  <c r="J56" i="19"/>
  <c r="J59" i="20"/>
  <c r="AE10" i="45"/>
  <c r="T10" i="45"/>
  <c r="G10" i="45"/>
  <c r="P10" i="45"/>
  <c r="BK10" i="39"/>
  <c r="JB11" i="1"/>
  <c r="IP11" i="1"/>
  <c r="HU11" i="1"/>
  <c r="HI11" i="1"/>
  <c r="GW11" i="1"/>
  <c r="GK11" i="1"/>
  <c r="FY11" i="1"/>
  <c r="FM11" i="1"/>
  <c r="FA11" i="1"/>
  <c r="IY11" i="1"/>
  <c r="IM11" i="1"/>
  <c r="ID11" i="1"/>
  <c r="HR11" i="1"/>
  <c r="HF11" i="1"/>
  <c r="GT11" i="1"/>
  <c r="GH11" i="1"/>
  <c r="FV11" i="1"/>
  <c r="FJ11" i="1"/>
  <c r="JE11" i="1"/>
  <c r="IS11" i="1"/>
  <c r="IG11" i="1"/>
  <c r="HX11" i="1"/>
  <c r="HL11" i="1"/>
  <c r="GZ11" i="1"/>
  <c r="GN11" i="1"/>
  <c r="GB11" i="1"/>
  <c r="FP11" i="1"/>
  <c r="FD11" i="1"/>
  <c r="GQ11" i="1"/>
  <c r="IA11" i="1"/>
  <c r="EO11" i="1"/>
  <c r="EC11" i="1"/>
  <c r="DQ11" i="1"/>
  <c r="DE11" i="1"/>
  <c r="CS11" i="1"/>
  <c r="CG11" i="1"/>
  <c r="BU11" i="1"/>
  <c r="BI11" i="1"/>
  <c r="AW11" i="1"/>
  <c r="AK11" i="1"/>
  <c r="Y11" i="1"/>
  <c r="M11" i="1"/>
  <c r="FS11" i="1"/>
  <c r="HC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IJ11" i="1"/>
  <c r="GE11" i="1"/>
  <c r="EU11" i="1"/>
  <c r="EI11" i="1"/>
  <c r="DW11" i="1"/>
  <c r="DK11" i="1"/>
  <c r="CY11" i="1"/>
  <c r="CM11" i="1"/>
  <c r="CA11" i="1"/>
  <c r="BO11" i="1"/>
  <c r="BC11" i="1"/>
  <c r="AQ11" i="1"/>
  <c r="AE11" i="1"/>
  <c r="S11" i="1"/>
  <c r="G11" i="1"/>
  <c r="HO11" i="1"/>
  <c r="IV11" i="1"/>
  <c r="FG11" i="1"/>
  <c r="ER11" i="1"/>
  <c r="EF11" i="1"/>
  <c r="DT11" i="1"/>
  <c r="DH11" i="1"/>
  <c r="CV11" i="1"/>
  <c r="CJ11" i="1"/>
  <c r="BX11" i="1"/>
  <c r="BL11" i="1"/>
  <c r="AZ11" i="1"/>
  <c r="AB11" i="1"/>
  <c r="P11" i="1"/>
  <c r="L10" i="45"/>
  <c r="A17" i="1"/>
  <c r="A18" i="2" s="1"/>
  <c r="AJ10" i="45"/>
  <c r="C40" i="45"/>
  <c r="AE40" i="45" s="1"/>
  <c r="AB10" i="45"/>
  <c r="E12" i="2"/>
  <c r="DX36" i="2" s="1"/>
  <c r="AS10" i="39"/>
  <c r="AG10" i="39"/>
  <c r="U10" i="39"/>
  <c r="AY10" i="39"/>
  <c r="BE10" i="39"/>
  <c r="AM10" i="39"/>
  <c r="S11" i="39"/>
  <c r="J40" i="29"/>
  <c r="M45" i="30"/>
  <c r="J51" i="30"/>
  <c r="M48" i="30"/>
  <c r="K57" i="30"/>
  <c r="J45" i="30"/>
  <c r="K56" i="30"/>
  <c r="J41" i="30"/>
  <c r="J48" i="30"/>
  <c r="AX41" i="39"/>
  <c r="AR41" i="39"/>
  <c r="AL41" i="39"/>
  <c r="BD41" i="39"/>
  <c r="AF41" i="39"/>
  <c r="I41" i="39"/>
  <c r="T41" i="39"/>
  <c r="Z41" i="39"/>
  <c r="D44" i="26"/>
  <c r="E44" i="26" s="1"/>
  <c r="AQ15" i="39"/>
  <c r="AK15" i="39"/>
  <c r="AE15" i="39"/>
  <c r="Q16" i="39"/>
  <c r="M47" i="25"/>
  <c r="J44" i="25"/>
  <c r="M44" i="25"/>
  <c r="J38" i="24"/>
  <c r="J47" i="25"/>
  <c r="D48" i="25"/>
  <c r="E48" i="26"/>
  <c r="E38" i="26"/>
  <c r="D38" i="25"/>
  <c r="D51" i="26"/>
  <c r="E51" i="28"/>
  <c r="D43" i="25"/>
  <c r="E43" i="26"/>
  <c r="E40" i="24"/>
  <c r="D40" i="23"/>
  <c r="D47" i="24"/>
  <c r="E47" i="25"/>
  <c r="D39" i="25"/>
  <c r="E39" i="26"/>
  <c r="D42" i="21"/>
  <c r="E42" i="23"/>
  <c r="D46" i="24"/>
  <c r="E46" i="25"/>
  <c r="E52" i="27"/>
  <c r="E53" i="27" s="1"/>
  <c r="D50" i="26"/>
  <c r="E50" i="28"/>
  <c r="E49" i="28"/>
  <c r="D49" i="26"/>
  <c r="D45" i="25"/>
  <c r="E45" i="26"/>
  <c r="D41" i="26"/>
  <c r="E41" i="28"/>
  <c r="D52" i="28"/>
  <c r="D53" i="28" s="1"/>
  <c r="J37" i="26"/>
  <c r="J39" i="28"/>
  <c r="J49" i="25"/>
  <c r="J50" i="26"/>
  <c r="M8" i="26"/>
  <c r="M34" i="28"/>
  <c r="AU21" i="39"/>
  <c r="J57" i="20"/>
  <c r="DX38" i="2" l="1"/>
  <c r="DX40" i="2"/>
  <c r="DX39" i="2"/>
  <c r="DX37" i="2"/>
  <c r="DW32" i="2"/>
  <c r="DU32" i="2"/>
  <c r="DW12" i="2"/>
  <c r="DU12" i="2"/>
  <c r="F11" i="2"/>
  <c r="DX10" i="2"/>
  <c r="DV10" i="2"/>
  <c r="J21" i="4"/>
  <c r="J21" i="43" s="1"/>
  <c r="J56" i="18"/>
  <c r="A18" i="1"/>
  <c r="A19" i="2" s="1"/>
  <c r="BK11" i="39"/>
  <c r="AJ40" i="45"/>
  <c r="T40" i="45"/>
  <c r="AO13" i="45" s="1"/>
  <c r="BE11" i="39"/>
  <c r="P40" i="45"/>
  <c r="AO12" i="45" s="1"/>
  <c r="X40" i="45"/>
  <c r="AO14" i="45" s="1"/>
  <c r="G40" i="45"/>
  <c r="AO10" i="45" s="1"/>
  <c r="AB40" i="45"/>
  <c r="AO15" i="45" s="1"/>
  <c r="E42" i="2"/>
  <c r="DU42" i="2" s="1"/>
  <c r="L40" i="45"/>
  <c r="AO11" i="45" s="1"/>
  <c r="AS11" i="39"/>
  <c r="S12" i="39"/>
  <c r="U11" i="39"/>
  <c r="AG11" i="39"/>
  <c r="AY11" i="39"/>
  <c r="AM11" i="39"/>
  <c r="K57" i="29"/>
  <c r="J45" i="29"/>
  <c r="J41" i="29"/>
  <c r="M48" i="29"/>
  <c r="K56" i="29"/>
  <c r="J40" i="27"/>
  <c r="J48" i="29"/>
  <c r="J51" i="29"/>
  <c r="M45" i="29"/>
  <c r="D44" i="25"/>
  <c r="D44" i="24" s="1"/>
  <c r="M47" i="24"/>
  <c r="J38" i="23"/>
  <c r="M44" i="24"/>
  <c r="J44" i="24"/>
  <c r="J47" i="24"/>
  <c r="Q17" i="39"/>
  <c r="AE16" i="39"/>
  <c r="AQ16" i="39"/>
  <c r="AK16" i="39"/>
  <c r="E48" i="25"/>
  <c r="D48" i="24"/>
  <c r="E38" i="25"/>
  <c r="D38" i="24"/>
  <c r="D51" i="25"/>
  <c r="E51" i="26"/>
  <c r="E52" i="28"/>
  <c r="E53" i="28" s="1"/>
  <c r="D43" i="24"/>
  <c r="E43" i="25"/>
  <c r="D40" i="21"/>
  <c r="E40" i="23"/>
  <c r="E47" i="24"/>
  <c r="D47" i="23"/>
  <c r="E46" i="24"/>
  <c r="D46" i="23"/>
  <c r="D42" i="22"/>
  <c r="E42" i="21"/>
  <c r="E39" i="25"/>
  <c r="D39" i="24"/>
  <c r="D41" i="25"/>
  <c r="E41" i="26"/>
  <c r="D52" i="26"/>
  <c r="D53" i="26" s="1"/>
  <c r="D45" i="24"/>
  <c r="E45" i="25"/>
  <c r="D50" i="25"/>
  <c r="E50" i="26"/>
  <c r="J37" i="25"/>
  <c r="J39" i="26"/>
  <c r="D49" i="25"/>
  <c r="E49" i="26"/>
  <c r="J49" i="24"/>
  <c r="J50" i="25"/>
  <c r="M34" i="26"/>
  <c r="M8" i="25"/>
  <c r="AU22" i="39"/>
  <c r="J57" i="19"/>
  <c r="F12" i="2" l="1"/>
  <c r="DX11" i="2"/>
  <c r="DV11" i="2"/>
  <c r="J20" i="4"/>
  <c r="J20" i="43" s="1"/>
  <c r="A19" i="1"/>
  <c r="A20" i="2" s="1"/>
  <c r="J56" i="17"/>
  <c r="J59" i="18"/>
  <c r="BK12" i="39"/>
  <c r="AO16" i="45"/>
  <c r="AO24" i="45" s="1"/>
  <c r="AO26" i="45" s="1"/>
  <c r="AG12" i="39"/>
  <c r="AY12" i="39"/>
  <c r="AM12" i="39"/>
  <c r="BE12" i="39"/>
  <c r="S13" i="39"/>
  <c r="U12" i="39"/>
  <c r="AS12" i="39"/>
  <c r="E44" i="25"/>
  <c r="J51" i="27"/>
  <c r="M48" i="27"/>
  <c r="J41" i="27"/>
  <c r="J45" i="27"/>
  <c r="M45" i="27"/>
  <c r="K57" i="27"/>
  <c r="K56" i="27"/>
  <c r="J40" i="28"/>
  <c r="J48" i="27"/>
  <c r="AE17" i="39"/>
  <c r="Q18" i="39"/>
  <c r="AQ17" i="39"/>
  <c r="AK17" i="39"/>
  <c r="M47" i="23"/>
  <c r="J47" i="23"/>
  <c r="J38" i="21"/>
  <c r="J44" i="23"/>
  <c r="M44" i="23"/>
  <c r="E48" i="24"/>
  <c r="D48" i="23"/>
  <c r="D38" i="23"/>
  <c r="E38" i="24"/>
  <c r="E51" i="25"/>
  <c r="D51" i="24"/>
  <c r="D44" i="23"/>
  <c r="E44" i="24"/>
  <c r="D43" i="23"/>
  <c r="E43" i="24"/>
  <c r="D40" i="22"/>
  <c r="E40" i="21"/>
  <c r="D47" i="21"/>
  <c r="E47" i="23"/>
  <c r="E42" i="22"/>
  <c r="D42" i="20"/>
  <c r="E39" i="24"/>
  <c r="D39" i="23"/>
  <c r="D46" i="21"/>
  <c r="E46" i="23"/>
  <c r="E50" i="25"/>
  <c r="D50" i="24"/>
  <c r="D45" i="23"/>
  <c r="E45" i="24"/>
  <c r="E52" i="26"/>
  <c r="E53" i="26" s="1"/>
  <c r="D49" i="24"/>
  <c r="E49" i="25"/>
  <c r="J39" i="25"/>
  <c r="J37" i="24"/>
  <c r="E41" i="25"/>
  <c r="D41" i="24"/>
  <c r="D52" i="25"/>
  <c r="D53" i="25" s="1"/>
  <c r="J49" i="23"/>
  <c r="J50" i="24"/>
  <c r="M8" i="24"/>
  <c r="M34" i="25"/>
  <c r="J57" i="18"/>
  <c r="AU23" i="39"/>
  <c r="DX12" i="2" l="1"/>
  <c r="F13" i="2"/>
  <c r="DV12" i="2"/>
  <c r="A20" i="1"/>
  <c r="A21" i="2" s="1"/>
  <c r="J56" i="16"/>
  <c r="J56" i="15" s="1"/>
  <c r="J56" i="14" s="1"/>
  <c r="J56" i="13" s="1"/>
  <c r="J56" i="12" s="1"/>
  <c r="J56" i="11" s="1"/>
  <c r="J56" i="10" s="1"/>
  <c r="J56" i="9" s="1"/>
  <c r="J56" i="8" s="1"/>
  <c r="J56" i="7" s="1"/>
  <c r="J56" i="6" s="1"/>
  <c r="J56" i="37" s="1"/>
  <c r="J56" i="4" s="1"/>
  <c r="J56" i="43" s="1"/>
  <c r="BE13" i="39"/>
  <c r="BK13" i="39"/>
  <c r="U13" i="39"/>
  <c r="S14" i="39"/>
  <c r="AS14" i="39" s="1"/>
  <c r="AY13" i="39"/>
  <c r="AM13" i="39"/>
  <c r="AG13" i="39"/>
  <c r="AS13" i="39"/>
  <c r="J45" i="28"/>
  <c r="J40" i="26"/>
  <c r="M48" i="28"/>
  <c r="J48" i="28"/>
  <c r="J51" i="28"/>
  <c r="M45" i="28"/>
  <c r="J41" i="28"/>
  <c r="K56" i="28"/>
  <c r="K57" i="28"/>
  <c r="AQ18" i="39"/>
  <c r="AK18" i="39"/>
  <c r="Q19" i="39"/>
  <c r="AE18" i="39"/>
  <c r="J38" i="22"/>
  <c r="M44" i="21"/>
  <c r="M47" i="21"/>
  <c r="J47" i="21"/>
  <c r="J44" i="21"/>
  <c r="E48" i="23"/>
  <c r="D48" i="21"/>
  <c r="E51" i="24"/>
  <c r="D51" i="23"/>
  <c r="E38" i="23"/>
  <c r="D38" i="21"/>
  <c r="D44" i="21"/>
  <c r="E44" i="23"/>
  <c r="E43" i="23"/>
  <c r="D43" i="21"/>
  <c r="E40" i="22"/>
  <c r="D40" i="20"/>
  <c r="E47" i="21"/>
  <c r="D47" i="22"/>
  <c r="D46" i="22"/>
  <c r="E46" i="21"/>
  <c r="D39" i="21"/>
  <c r="E39" i="23"/>
  <c r="E42" i="20"/>
  <c r="D42" i="19"/>
  <c r="E52" i="25"/>
  <c r="E53" i="25" s="1"/>
  <c r="D49" i="23"/>
  <c r="E49" i="24"/>
  <c r="E45" i="23"/>
  <c r="D45" i="21"/>
  <c r="D41" i="23"/>
  <c r="E41" i="24"/>
  <c r="D52" i="24"/>
  <c r="D53" i="24" s="1"/>
  <c r="J39" i="24"/>
  <c r="J37" i="23"/>
  <c r="E50" i="24"/>
  <c r="D50" i="23"/>
  <c r="J49" i="21"/>
  <c r="J50" i="23"/>
  <c r="M8" i="23"/>
  <c r="M34" i="24"/>
  <c r="AU24" i="39"/>
  <c r="J57" i="17"/>
  <c r="BE14" i="39" l="1"/>
  <c r="U14" i="39"/>
  <c r="DX26" i="2"/>
  <c r="DX14" i="2"/>
  <c r="DX30" i="2"/>
  <c r="DX25" i="2"/>
  <c r="DX20" i="2"/>
  <c r="DX24" i="2"/>
  <c r="DX31" i="2"/>
  <c r="DX27" i="2"/>
  <c r="DX35" i="2"/>
  <c r="DX23" i="2"/>
  <c r="DX34" i="2"/>
  <c r="DX22" i="2"/>
  <c r="DX32" i="2"/>
  <c r="DX19" i="2"/>
  <c r="DX33" i="2"/>
  <c r="DX21" i="2"/>
  <c r="DX18" i="2"/>
  <c r="DX29" i="2"/>
  <c r="DX16" i="2"/>
  <c r="DX15" i="2"/>
  <c r="DX17" i="2"/>
  <c r="DX28" i="2"/>
  <c r="DX13" i="2"/>
  <c r="F14" i="2"/>
  <c r="DV13" i="2"/>
  <c r="A21" i="1"/>
  <c r="A22" i="2" s="1"/>
  <c r="AY14" i="39"/>
  <c r="BK14" i="39"/>
  <c r="AM14" i="39"/>
  <c r="AG14" i="39"/>
  <c r="S15" i="39"/>
  <c r="J40" i="25"/>
  <c r="M45" i="26"/>
  <c r="J45" i="26"/>
  <c r="J48" i="26"/>
  <c r="J51" i="26"/>
  <c r="M48" i="26"/>
  <c r="J41" i="26"/>
  <c r="K56" i="26"/>
  <c r="K57" i="26"/>
  <c r="J47" i="22"/>
  <c r="J44" i="22"/>
  <c r="J38" i="20"/>
  <c r="M44" i="22"/>
  <c r="M47" i="22"/>
  <c r="Q20" i="39"/>
  <c r="AK19" i="39"/>
  <c r="AQ19" i="39"/>
  <c r="AE19" i="39"/>
  <c r="E48" i="21"/>
  <c r="D48" i="22"/>
  <c r="E38" i="21"/>
  <c r="D38" i="22"/>
  <c r="D51" i="21"/>
  <c r="E51" i="23"/>
  <c r="D44" i="22"/>
  <c r="E44" i="21"/>
  <c r="D43" i="22"/>
  <c r="E43" i="21"/>
  <c r="D40" i="19"/>
  <c r="E40" i="20"/>
  <c r="E47" i="22"/>
  <c r="D47" i="20"/>
  <c r="E39" i="21"/>
  <c r="D39" i="22"/>
  <c r="E46" i="22"/>
  <c r="D46" i="20"/>
  <c r="E42" i="19"/>
  <c r="D42" i="18"/>
  <c r="E50" i="23"/>
  <c r="D50" i="21"/>
  <c r="J39" i="23"/>
  <c r="J37" i="21"/>
  <c r="E41" i="23"/>
  <c r="D41" i="21"/>
  <c r="D52" i="23"/>
  <c r="D53" i="23" s="1"/>
  <c r="D45" i="22"/>
  <c r="E45" i="21"/>
  <c r="E52" i="24"/>
  <c r="E53" i="24" s="1"/>
  <c r="E49" i="23"/>
  <c r="D49" i="21"/>
  <c r="J49" i="22"/>
  <c r="J50" i="21"/>
  <c r="M8" i="21"/>
  <c r="M34" i="23"/>
  <c r="J57" i="16"/>
  <c r="AU25" i="39"/>
  <c r="A22" i="1" l="1"/>
  <c r="A23" i="2" s="1"/>
  <c r="F15" i="2"/>
  <c r="DV14" i="2"/>
  <c r="AM15" i="39"/>
  <c r="S16" i="39"/>
  <c r="S17" i="39" s="1"/>
  <c r="AG15" i="39"/>
  <c r="AY15" i="39"/>
  <c r="U15" i="39"/>
  <c r="BK15" i="39"/>
  <c r="AS15" i="39"/>
  <c r="BE15" i="39"/>
  <c r="A23" i="1"/>
  <c r="A24" i="2" s="1"/>
  <c r="J41" i="25"/>
  <c r="J48" i="25"/>
  <c r="J40" i="24"/>
  <c r="M48" i="25"/>
  <c r="K56" i="25"/>
  <c r="J45" i="25"/>
  <c r="M45" i="25"/>
  <c r="J51" i="25"/>
  <c r="K57" i="25"/>
  <c r="AQ20" i="39"/>
  <c r="AK20" i="39"/>
  <c r="Q21" i="39"/>
  <c r="AE20" i="39"/>
  <c r="M44" i="20"/>
  <c r="J47" i="20"/>
  <c r="J38" i="19"/>
  <c r="M47" i="20"/>
  <c r="J44" i="20"/>
  <c r="E48" i="22"/>
  <c r="D48" i="20"/>
  <c r="D38" i="20"/>
  <c r="E38" i="22"/>
  <c r="E51" i="21"/>
  <c r="D51" i="22"/>
  <c r="E44" i="22"/>
  <c r="D44" i="20"/>
  <c r="D43" i="20"/>
  <c r="E43" i="22"/>
  <c r="D40" i="18"/>
  <c r="E40" i="19"/>
  <c r="D47" i="19"/>
  <c r="E47" i="20"/>
  <c r="D42" i="17"/>
  <c r="E42" i="18"/>
  <c r="E46" i="20"/>
  <c r="D46" i="19"/>
  <c r="E39" i="22"/>
  <c r="D39" i="20"/>
  <c r="D45" i="20"/>
  <c r="E45" i="22"/>
  <c r="D41" i="22"/>
  <c r="E41" i="21"/>
  <c r="D52" i="21"/>
  <c r="D53" i="21" s="1"/>
  <c r="J39" i="21"/>
  <c r="J37" i="22"/>
  <c r="D50" i="22"/>
  <c r="E50" i="21"/>
  <c r="E49" i="21"/>
  <c r="D49" i="22"/>
  <c r="E52" i="23"/>
  <c r="E53" i="23" s="1"/>
  <c r="J49" i="20"/>
  <c r="J50" i="22"/>
  <c r="M8" i="22"/>
  <c r="M34" i="21"/>
  <c r="AU26" i="39"/>
  <c r="J57" i="15"/>
  <c r="AM16" i="39" l="1"/>
  <c r="U16" i="39"/>
  <c r="F16" i="2"/>
  <c r="DV15" i="2"/>
  <c r="BK16" i="39"/>
  <c r="AS16" i="39"/>
  <c r="AG16" i="39"/>
  <c r="AY16" i="39"/>
  <c r="BE16" i="39"/>
  <c r="BK17" i="39"/>
  <c r="A24" i="1"/>
  <c r="A25" i="2" s="1"/>
  <c r="J41" i="24"/>
  <c r="M48" i="24"/>
  <c r="J45" i="24"/>
  <c r="J48" i="24"/>
  <c r="K57" i="24"/>
  <c r="J40" i="23"/>
  <c r="J51" i="24"/>
  <c r="K56" i="24"/>
  <c r="M45" i="24"/>
  <c r="AS17" i="39"/>
  <c r="AM17" i="39"/>
  <c r="BE17" i="39"/>
  <c r="AY17" i="39"/>
  <c r="U17" i="39"/>
  <c r="S18" i="39"/>
  <c r="AG17" i="39"/>
  <c r="J44" i="19"/>
  <c r="M44" i="19"/>
  <c r="J38" i="18"/>
  <c r="J47" i="19"/>
  <c r="M47" i="19"/>
  <c r="AE21" i="39"/>
  <c r="Q22" i="39"/>
  <c r="AQ21" i="39"/>
  <c r="AK21" i="39"/>
  <c r="E48" i="20"/>
  <c r="D48" i="19"/>
  <c r="E51" i="22"/>
  <c r="D51" i="20"/>
  <c r="E38" i="20"/>
  <c r="D38" i="19"/>
  <c r="E44" i="20"/>
  <c r="D44" i="19"/>
  <c r="E43" i="20"/>
  <c r="D43" i="19"/>
  <c r="E40" i="18"/>
  <c r="D40" i="17"/>
  <c r="D47" i="18"/>
  <c r="E47" i="19"/>
  <c r="E42" i="17"/>
  <c r="D42" i="16"/>
  <c r="D39" i="19"/>
  <c r="E39" i="20"/>
  <c r="E46" i="19"/>
  <c r="D46" i="18"/>
  <c r="E49" i="22"/>
  <c r="D49" i="20"/>
  <c r="J39" i="22"/>
  <c r="J37" i="20"/>
  <c r="E41" i="22"/>
  <c r="D41" i="20"/>
  <c r="D52" i="22"/>
  <c r="D53" i="22" s="1"/>
  <c r="D45" i="19"/>
  <c r="E45" i="20"/>
  <c r="D50" i="20"/>
  <c r="E50" i="22"/>
  <c r="E52" i="21"/>
  <c r="E53" i="21" s="1"/>
  <c r="J49" i="19"/>
  <c r="J50" i="20"/>
  <c r="M34" i="22"/>
  <c r="M8" i="20"/>
  <c r="J57" i="14"/>
  <c r="AU27" i="39"/>
  <c r="F17" i="2" l="1"/>
  <c r="DV16" i="2"/>
  <c r="BK18" i="39"/>
  <c r="A25" i="1"/>
  <c r="A26" i="2" s="1"/>
  <c r="AG18" i="39"/>
  <c r="S19" i="39"/>
  <c r="AS18" i="39"/>
  <c r="U18" i="39"/>
  <c r="AM18" i="39"/>
  <c r="BE18" i="39"/>
  <c r="AY18" i="39"/>
  <c r="J41" i="23"/>
  <c r="M48" i="23"/>
  <c r="M45" i="23"/>
  <c r="J51" i="23"/>
  <c r="K57" i="23"/>
  <c r="J40" i="21"/>
  <c r="J48" i="23"/>
  <c r="K56" i="23"/>
  <c r="J45" i="23"/>
  <c r="AE22" i="39"/>
  <c r="Q23" i="39"/>
  <c r="AQ22" i="39"/>
  <c r="AK22" i="39"/>
  <c r="J47" i="18"/>
  <c r="M47" i="18"/>
  <c r="J44" i="18"/>
  <c r="M44" i="18"/>
  <c r="J38" i="17"/>
  <c r="E48" i="19"/>
  <c r="D48" i="18"/>
  <c r="D38" i="18"/>
  <c r="E38" i="19"/>
  <c r="E51" i="20"/>
  <c r="D51" i="19"/>
  <c r="D44" i="18"/>
  <c r="E44" i="19"/>
  <c r="E43" i="19"/>
  <c r="D43" i="18"/>
  <c r="D40" i="16"/>
  <c r="E40" i="17"/>
  <c r="E47" i="18"/>
  <c r="D47" i="17"/>
  <c r="E46" i="18"/>
  <c r="D46" i="17"/>
  <c r="E42" i="16"/>
  <c r="D42" i="15"/>
  <c r="D39" i="18"/>
  <c r="E39" i="19"/>
  <c r="E45" i="19"/>
  <c r="D45" i="18"/>
  <c r="E41" i="20"/>
  <c r="D41" i="19"/>
  <c r="D52" i="20"/>
  <c r="D53" i="20" s="1"/>
  <c r="J37" i="19"/>
  <c r="J39" i="20"/>
  <c r="D49" i="19"/>
  <c r="E49" i="20"/>
  <c r="D50" i="19"/>
  <c r="E50" i="20"/>
  <c r="E52" i="22"/>
  <c r="E53" i="22" s="1"/>
  <c r="J49" i="18"/>
  <c r="J50" i="19"/>
  <c r="M34" i="20"/>
  <c r="M8" i="19"/>
  <c r="AU28" i="39"/>
  <c r="J57" i="13"/>
  <c r="F18" i="2" l="1"/>
  <c r="DV17" i="2"/>
  <c r="BK19" i="39"/>
  <c r="A26" i="1"/>
  <c r="A27" i="2" s="1"/>
  <c r="J45" i="21"/>
  <c r="K56" i="21"/>
  <c r="J51" i="21"/>
  <c r="M45" i="21"/>
  <c r="J40" i="22"/>
  <c r="J48" i="21"/>
  <c r="J41" i="21"/>
  <c r="M48" i="21"/>
  <c r="K57" i="21"/>
  <c r="AS19" i="39"/>
  <c r="BE19" i="39"/>
  <c r="AM19" i="39"/>
  <c r="AY19" i="39"/>
  <c r="U19" i="39"/>
  <c r="AG19" i="39"/>
  <c r="S20" i="39"/>
  <c r="AQ23" i="39"/>
  <c r="AE23" i="39"/>
  <c r="Q24" i="39"/>
  <c r="AK23" i="39"/>
  <c r="J44" i="17"/>
  <c r="J38" i="16"/>
  <c r="M47" i="17"/>
  <c r="J47" i="17"/>
  <c r="M44" i="17"/>
  <c r="D48" i="17"/>
  <c r="E48" i="18"/>
  <c r="D51" i="18"/>
  <c r="E51" i="19"/>
  <c r="D38" i="17"/>
  <c r="E38" i="18"/>
  <c r="D44" i="17"/>
  <c r="E44" i="18"/>
  <c r="E43" i="18"/>
  <c r="D43" i="17"/>
  <c r="E40" i="16"/>
  <c r="D40" i="15"/>
  <c r="E47" i="17"/>
  <c r="D47" i="16"/>
  <c r="D39" i="17"/>
  <c r="E39" i="18"/>
  <c r="E42" i="15"/>
  <c r="D42" i="14"/>
  <c r="E46" i="17"/>
  <c r="D46" i="16"/>
  <c r="D49" i="18"/>
  <c r="E49" i="19"/>
  <c r="J39" i="19"/>
  <c r="J37" i="18"/>
  <c r="E41" i="19"/>
  <c r="D41" i="18"/>
  <c r="D52" i="19"/>
  <c r="D53" i="19" s="1"/>
  <c r="D45" i="17"/>
  <c r="E45" i="18"/>
  <c r="D50" i="18"/>
  <c r="E50" i="19"/>
  <c r="E52" i="20"/>
  <c r="E53" i="20" s="1"/>
  <c r="J49" i="17"/>
  <c r="J50" i="18"/>
  <c r="M34" i="19"/>
  <c r="M8" i="18"/>
  <c r="AU29" i="39"/>
  <c r="J57" i="12"/>
  <c r="F19" i="2" l="1"/>
  <c r="DV18" i="2"/>
  <c r="BK20" i="39"/>
  <c r="A27" i="1"/>
  <c r="A28" i="2" s="1"/>
  <c r="U20" i="39"/>
  <c r="AS20" i="39"/>
  <c r="S21" i="39"/>
  <c r="AY20" i="39"/>
  <c r="BE20" i="39"/>
  <c r="AG20" i="39"/>
  <c r="AM20" i="39"/>
  <c r="J51" i="22"/>
  <c r="M48" i="22"/>
  <c r="M45" i="22"/>
  <c r="J45" i="22"/>
  <c r="K57" i="22"/>
  <c r="J41" i="22"/>
  <c r="K56" i="22"/>
  <c r="J40" i="20"/>
  <c r="J48" i="22"/>
  <c r="J44" i="16"/>
  <c r="J47" i="16"/>
  <c r="M47" i="16"/>
  <c r="J38" i="15"/>
  <c r="M44" i="16"/>
  <c r="Q25" i="39"/>
  <c r="AE24" i="39"/>
  <c r="AQ24" i="39"/>
  <c r="AK24" i="39"/>
  <c r="E48" i="17"/>
  <c r="D48" i="16"/>
  <c r="D38" i="16"/>
  <c r="E38" i="17"/>
  <c r="D51" i="17"/>
  <c r="E51" i="18"/>
  <c r="E44" i="17"/>
  <c r="D44" i="16"/>
  <c r="D43" i="16"/>
  <c r="E43" i="17"/>
  <c r="E40" i="15"/>
  <c r="D40" i="14"/>
  <c r="E47" i="16"/>
  <c r="D47" i="15"/>
  <c r="D46" i="15"/>
  <c r="E46" i="16"/>
  <c r="E42" i="14"/>
  <c r="D42" i="13"/>
  <c r="D39" i="16"/>
  <c r="E39" i="17"/>
  <c r="D45" i="16"/>
  <c r="E45" i="17"/>
  <c r="D41" i="17"/>
  <c r="E41" i="18"/>
  <c r="D52" i="18"/>
  <c r="D53" i="18" s="1"/>
  <c r="J37" i="17"/>
  <c r="J39" i="18"/>
  <c r="E50" i="18"/>
  <c r="D50" i="17"/>
  <c r="E52" i="19"/>
  <c r="E53" i="19" s="1"/>
  <c r="E49" i="18"/>
  <c r="D49" i="17"/>
  <c r="J49" i="16"/>
  <c r="J50" i="17"/>
  <c r="M34" i="18"/>
  <c r="M8" i="17"/>
  <c r="J57" i="11"/>
  <c r="AU30" i="39"/>
  <c r="F20" i="2" l="1"/>
  <c r="DV19" i="2"/>
  <c r="BK21" i="39"/>
  <c r="A28" i="1"/>
  <c r="A29" i="2" s="1"/>
  <c r="J41" i="20"/>
  <c r="J51" i="20"/>
  <c r="M48" i="20"/>
  <c r="J48" i="20"/>
  <c r="K57" i="20"/>
  <c r="J45" i="20"/>
  <c r="J40" i="19"/>
  <c r="K56" i="20"/>
  <c r="M45" i="20"/>
  <c r="AM21" i="39"/>
  <c r="AS21" i="39"/>
  <c r="BE21" i="39"/>
  <c r="S22" i="39"/>
  <c r="AG21" i="39"/>
  <c r="U21" i="39"/>
  <c r="AY21" i="39"/>
  <c r="AQ25" i="39"/>
  <c r="AK25" i="39"/>
  <c r="Q26" i="39"/>
  <c r="AE25" i="39"/>
  <c r="J38" i="14"/>
  <c r="J47" i="15"/>
  <c r="M47" i="15"/>
  <c r="J44" i="15"/>
  <c r="M44" i="15"/>
  <c r="E48" i="16"/>
  <c r="D48" i="15"/>
  <c r="D51" i="16"/>
  <c r="E51" i="17"/>
  <c r="D38" i="15"/>
  <c r="E38" i="16"/>
  <c r="D44" i="15"/>
  <c r="E44" i="16"/>
  <c r="E43" i="16"/>
  <c r="D43" i="15"/>
  <c r="D40" i="13"/>
  <c r="E40" i="14"/>
  <c r="E47" i="15"/>
  <c r="D47" i="14"/>
  <c r="E39" i="16"/>
  <c r="D39" i="15"/>
  <c r="D46" i="14"/>
  <c r="E46" i="15"/>
  <c r="D42" i="12"/>
  <c r="E42" i="13"/>
  <c r="D50" i="16"/>
  <c r="E50" i="17"/>
  <c r="J39" i="17"/>
  <c r="J37" i="16"/>
  <c r="E52" i="18"/>
  <c r="E53" i="18" s="1"/>
  <c r="D49" i="16"/>
  <c r="E49" i="17"/>
  <c r="E41" i="17"/>
  <c r="D41" i="16"/>
  <c r="D52" i="17"/>
  <c r="D53" i="17" s="1"/>
  <c r="E45" i="16"/>
  <c r="D45" i="15"/>
  <c r="J49" i="15"/>
  <c r="J50" i="16"/>
  <c r="M34" i="17"/>
  <c r="M8" i="16"/>
  <c r="AU31" i="39"/>
  <c r="J57" i="10"/>
  <c r="F21" i="2" l="1"/>
  <c r="DV20" i="2"/>
  <c r="BK22" i="39"/>
  <c r="A29" i="1"/>
  <c r="A30" i="2" s="1"/>
  <c r="U22" i="39"/>
  <c r="AS22" i="39"/>
  <c r="S23" i="39"/>
  <c r="AY22" i="39"/>
  <c r="BE22" i="39"/>
  <c r="AG22" i="39"/>
  <c r="AM22" i="39"/>
  <c r="J41" i="19"/>
  <c r="M45" i="19"/>
  <c r="J40" i="18"/>
  <c r="J48" i="19"/>
  <c r="J51" i="19"/>
  <c r="M48" i="19"/>
  <c r="K56" i="19"/>
  <c r="J45" i="19"/>
  <c r="K57" i="19"/>
  <c r="J47" i="14"/>
  <c r="M47" i="14"/>
  <c r="J38" i="13"/>
  <c r="M44" i="14"/>
  <c r="J44" i="14"/>
  <c r="AE26" i="39"/>
  <c r="Q27" i="39"/>
  <c r="AQ26" i="39"/>
  <c r="AK26" i="39"/>
  <c r="E48" i="15"/>
  <c r="D48" i="14"/>
  <c r="E38" i="15"/>
  <c r="D38" i="14"/>
  <c r="E51" i="16"/>
  <c r="D51" i="15"/>
  <c r="E44" i="15"/>
  <c r="D44" i="14"/>
  <c r="E43" i="15"/>
  <c r="D43" i="14"/>
  <c r="E40" i="13"/>
  <c r="D40" i="12"/>
  <c r="D47" i="13"/>
  <c r="E47" i="14"/>
  <c r="D39" i="14"/>
  <c r="E39" i="15"/>
  <c r="E52" i="17"/>
  <c r="E53" i="17" s="1"/>
  <c r="D42" i="11"/>
  <c r="E42" i="12"/>
  <c r="D46" i="13"/>
  <c r="E46" i="14"/>
  <c r="D41" i="15"/>
  <c r="E41" i="16"/>
  <c r="D52" i="16"/>
  <c r="D53" i="16" s="1"/>
  <c r="D50" i="15"/>
  <c r="E50" i="16"/>
  <c r="E45" i="15"/>
  <c r="D45" i="14"/>
  <c r="D49" i="15"/>
  <c r="E49" i="16"/>
  <c r="J39" i="16"/>
  <c r="J37" i="15"/>
  <c r="J49" i="14"/>
  <c r="J50" i="15"/>
  <c r="M34" i="16"/>
  <c r="M8" i="15"/>
  <c r="J57" i="9"/>
  <c r="AU32" i="39"/>
  <c r="F22" i="2" l="1"/>
  <c r="DV21" i="2"/>
  <c r="BK23" i="39"/>
  <c r="A30" i="1"/>
  <c r="A31" i="2" s="1"/>
  <c r="J51" i="18"/>
  <c r="M48" i="18"/>
  <c r="J41" i="18"/>
  <c r="J48" i="18"/>
  <c r="K57" i="18"/>
  <c r="J40" i="17"/>
  <c r="K56" i="18"/>
  <c r="J45" i="18"/>
  <c r="M45" i="18"/>
  <c r="U23" i="39"/>
  <c r="S24" i="39"/>
  <c r="AG23" i="39"/>
  <c r="AS23" i="39"/>
  <c r="BE23" i="39"/>
  <c r="AM23" i="39"/>
  <c r="AY23" i="39"/>
  <c r="AQ27" i="39"/>
  <c r="Q28" i="39"/>
  <c r="AE27" i="39"/>
  <c r="AK27" i="39"/>
  <c r="J38" i="12"/>
  <c r="J44" i="13"/>
  <c r="M47" i="13"/>
  <c r="J47" i="13"/>
  <c r="M44" i="13"/>
  <c r="E48" i="14"/>
  <c r="D48" i="13"/>
  <c r="D51" i="14"/>
  <c r="E51" i="15"/>
  <c r="E38" i="14"/>
  <c r="D38" i="13"/>
  <c r="E44" i="14"/>
  <c r="D44" i="13"/>
  <c r="E43" i="14"/>
  <c r="D43" i="13"/>
  <c r="E40" i="12"/>
  <c r="D40" i="11"/>
  <c r="E47" i="13"/>
  <c r="D47" i="12"/>
  <c r="E39" i="14"/>
  <c r="D39" i="13"/>
  <c r="D46" i="12"/>
  <c r="E46" i="13"/>
  <c r="D42" i="10"/>
  <c r="E42" i="11"/>
  <c r="J37" i="14"/>
  <c r="J39" i="15"/>
  <c r="D45" i="13"/>
  <c r="E45" i="14"/>
  <c r="E41" i="15"/>
  <c r="D41" i="14"/>
  <c r="D52" i="15"/>
  <c r="D53" i="15" s="1"/>
  <c r="D49" i="14"/>
  <c r="E49" i="15"/>
  <c r="E50" i="15"/>
  <c r="D50" i="14"/>
  <c r="E52" i="16"/>
  <c r="E53" i="16" s="1"/>
  <c r="J49" i="13"/>
  <c r="J50" i="14"/>
  <c r="M8" i="14"/>
  <c r="M34" i="15"/>
  <c r="AU33" i="39"/>
  <c r="J57" i="8"/>
  <c r="F23" i="2" l="1"/>
  <c r="DV22" i="2"/>
  <c r="BK24" i="39"/>
  <c r="A31" i="1"/>
  <c r="A32" i="2" s="1"/>
  <c r="AG24" i="39"/>
  <c r="U24" i="39"/>
  <c r="AM24" i="39"/>
  <c r="S25" i="39"/>
  <c r="BE24" i="39"/>
  <c r="AS24" i="39"/>
  <c r="AY24" i="39"/>
  <c r="J51" i="17"/>
  <c r="M48" i="17"/>
  <c r="J41" i="17"/>
  <c r="M45" i="17"/>
  <c r="K56" i="17"/>
  <c r="J40" i="16"/>
  <c r="J48" i="17"/>
  <c r="J45" i="17"/>
  <c r="K57" i="17"/>
  <c r="AE28" i="39"/>
  <c r="Q29" i="39"/>
  <c r="AQ28" i="39"/>
  <c r="AK28" i="39"/>
  <c r="J44" i="12"/>
  <c r="M44" i="12"/>
  <c r="M47" i="12"/>
  <c r="J38" i="11"/>
  <c r="J47" i="12"/>
  <c r="E48" i="13"/>
  <c r="D48" i="12"/>
  <c r="E38" i="13"/>
  <c r="D38" i="12"/>
  <c r="D51" i="13"/>
  <c r="E51" i="14"/>
  <c r="D44" i="12"/>
  <c r="E44" i="13"/>
  <c r="D43" i="12"/>
  <c r="E43" i="13"/>
  <c r="E40" i="11"/>
  <c r="D40" i="10"/>
  <c r="E47" i="12"/>
  <c r="D47" i="11"/>
  <c r="E39" i="13"/>
  <c r="D39" i="12"/>
  <c r="E42" i="10"/>
  <c r="D42" i="9"/>
  <c r="D46" i="11"/>
  <c r="E46" i="12"/>
  <c r="D50" i="13"/>
  <c r="E50" i="14"/>
  <c r="E41" i="14"/>
  <c r="D41" i="13"/>
  <c r="D52" i="14"/>
  <c r="D53" i="14" s="1"/>
  <c r="E49" i="14"/>
  <c r="D49" i="13"/>
  <c r="E52" i="15"/>
  <c r="E53" i="15" s="1"/>
  <c r="E45" i="13"/>
  <c r="D45" i="12"/>
  <c r="J37" i="13"/>
  <c r="J39" i="14"/>
  <c r="J49" i="12"/>
  <c r="J50" i="13"/>
  <c r="M8" i="13"/>
  <c r="M34" i="14"/>
  <c r="AU34" i="39"/>
  <c r="J57" i="7"/>
  <c r="F24" i="2" l="1"/>
  <c r="DV23" i="2"/>
  <c r="BK25" i="39"/>
  <c r="A32" i="1"/>
  <c r="A33" i="2" s="1"/>
  <c r="U25" i="39"/>
  <c r="S26" i="39"/>
  <c r="BE25" i="39"/>
  <c r="AS25" i="39"/>
  <c r="AM25" i="39"/>
  <c r="AG25" i="39"/>
  <c r="AY25" i="39"/>
  <c r="J51" i="16"/>
  <c r="K56" i="16"/>
  <c r="J45" i="16"/>
  <c r="M45" i="16"/>
  <c r="J40" i="15"/>
  <c r="M48" i="16"/>
  <c r="J41" i="16"/>
  <c r="J48" i="16"/>
  <c r="K57" i="16"/>
  <c r="J44" i="11"/>
  <c r="J38" i="10"/>
  <c r="M47" i="11"/>
  <c r="J47" i="11"/>
  <c r="M44" i="11"/>
  <c r="AQ29" i="39"/>
  <c r="AK29" i="39"/>
  <c r="AE29" i="39"/>
  <c r="Q30" i="39"/>
  <c r="E48" i="12"/>
  <c r="D48" i="11"/>
  <c r="E38" i="12"/>
  <c r="D38" i="11"/>
  <c r="E51" i="13"/>
  <c r="D51" i="12"/>
  <c r="D44" i="11"/>
  <c r="E44" i="12"/>
  <c r="E43" i="12"/>
  <c r="D43" i="11"/>
  <c r="E40" i="10"/>
  <c r="D40" i="9"/>
  <c r="D47" i="10"/>
  <c r="E47" i="11"/>
  <c r="D46" i="10"/>
  <c r="E46" i="11"/>
  <c r="E42" i="9"/>
  <c r="D42" i="8"/>
  <c r="D39" i="11"/>
  <c r="E39" i="12"/>
  <c r="J37" i="12"/>
  <c r="J39" i="13"/>
  <c r="D49" i="12"/>
  <c r="E49" i="13"/>
  <c r="E52" i="14"/>
  <c r="E53" i="14" s="1"/>
  <c r="E50" i="13"/>
  <c r="D50" i="12"/>
  <c r="D45" i="11"/>
  <c r="E45" i="12"/>
  <c r="D41" i="12"/>
  <c r="E41" i="13"/>
  <c r="D52" i="13"/>
  <c r="D53" i="13" s="1"/>
  <c r="J49" i="11"/>
  <c r="J50" i="12"/>
  <c r="M34" i="13"/>
  <c r="M8" i="12"/>
  <c r="AU35" i="39"/>
  <c r="J57" i="6"/>
  <c r="F25" i="2" l="1"/>
  <c r="DV24" i="2"/>
  <c r="BK26" i="39"/>
  <c r="A33" i="1"/>
  <c r="A34" i="2" s="1"/>
  <c r="J41" i="15"/>
  <c r="M48" i="15"/>
  <c r="J45" i="15"/>
  <c r="J48" i="15"/>
  <c r="K57" i="15"/>
  <c r="J51" i="15"/>
  <c r="J40" i="14"/>
  <c r="K56" i="15"/>
  <c r="M45" i="15"/>
  <c r="AS26" i="39"/>
  <c r="AM26" i="39"/>
  <c r="BE26" i="39"/>
  <c r="AY26" i="39"/>
  <c r="AG26" i="39"/>
  <c r="U26" i="39"/>
  <c r="S27" i="39"/>
  <c r="J44" i="10"/>
  <c r="J38" i="9"/>
  <c r="M47" i="10"/>
  <c r="J47" i="10"/>
  <c r="M44" i="10"/>
  <c r="AQ30" i="39"/>
  <c r="AK30" i="39"/>
  <c r="Q31" i="39"/>
  <c r="AE30" i="39"/>
  <c r="E48" i="11"/>
  <c r="D48" i="10"/>
  <c r="E51" i="12"/>
  <c r="D51" i="11"/>
  <c r="E38" i="11"/>
  <c r="D38" i="10"/>
  <c r="D44" i="10"/>
  <c r="E44" i="11"/>
  <c r="E43" i="11"/>
  <c r="D43" i="10"/>
  <c r="D40" i="8"/>
  <c r="E40" i="9"/>
  <c r="E47" i="10"/>
  <c r="D47" i="9"/>
  <c r="E42" i="8"/>
  <c r="D42" i="7"/>
  <c r="D39" i="10"/>
  <c r="E39" i="11"/>
  <c r="D46" i="9"/>
  <c r="E46" i="10"/>
  <c r="E52" i="13"/>
  <c r="E53" i="13" s="1"/>
  <c r="D50" i="11"/>
  <c r="E50" i="12"/>
  <c r="D49" i="11"/>
  <c r="E49" i="12"/>
  <c r="J39" i="12"/>
  <c r="J37" i="11"/>
  <c r="D41" i="11"/>
  <c r="E41" i="12"/>
  <c r="D52" i="12"/>
  <c r="D53" i="12" s="1"/>
  <c r="D45" i="10"/>
  <c r="E45" i="11"/>
  <c r="J49" i="10"/>
  <c r="J50" i="11"/>
  <c r="M34" i="12"/>
  <c r="M8" i="11"/>
  <c r="J57" i="37"/>
  <c r="AU36" i="39"/>
  <c r="F26" i="2" l="1"/>
  <c r="DV25" i="2"/>
  <c r="Z153" i="54"/>
  <c r="Z153" i="46"/>
  <c r="BK27" i="39"/>
  <c r="A34" i="1"/>
  <c r="A35" i="2" s="1"/>
  <c r="AG27" i="39"/>
  <c r="U27" i="39"/>
  <c r="S28" i="39"/>
  <c r="AY27" i="39"/>
  <c r="AM27" i="39"/>
  <c r="AS27" i="39"/>
  <c r="BE27" i="39"/>
  <c r="J40" i="13"/>
  <c r="M48" i="14"/>
  <c r="J41" i="14"/>
  <c r="J48" i="14"/>
  <c r="K56" i="14"/>
  <c r="J51" i="14"/>
  <c r="M45" i="14"/>
  <c r="J45" i="14"/>
  <c r="K57" i="14"/>
  <c r="AE31" i="39"/>
  <c r="AK31" i="39"/>
  <c r="AQ31" i="39"/>
  <c r="Q32" i="39"/>
  <c r="M47" i="9"/>
  <c r="J47" i="9"/>
  <c r="J38" i="8"/>
  <c r="J44" i="9"/>
  <c r="M44" i="9"/>
  <c r="E48" i="10"/>
  <c r="D48" i="9"/>
  <c r="E38" i="10"/>
  <c r="D38" i="9"/>
  <c r="D51" i="10"/>
  <c r="E51" i="11"/>
  <c r="D44" i="9"/>
  <c r="E44" i="10"/>
  <c r="E43" i="10"/>
  <c r="D43" i="9"/>
  <c r="E40" i="8"/>
  <c r="D40" i="7"/>
  <c r="D47" i="8"/>
  <c r="E47" i="9"/>
  <c r="E46" i="9"/>
  <c r="D46" i="8"/>
  <c r="D39" i="9"/>
  <c r="E39" i="10"/>
  <c r="E52" i="12"/>
  <c r="E53" i="12" s="1"/>
  <c r="E42" i="7"/>
  <c r="D42" i="6"/>
  <c r="D41" i="10"/>
  <c r="E41" i="11"/>
  <c r="D52" i="11"/>
  <c r="D53" i="11" s="1"/>
  <c r="J39" i="11"/>
  <c r="J37" i="10"/>
  <c r="E45" i="10"/>
  <c r="D45" i="9"/>
  <c r="E49" i="11"/>
  <c r="D49" i="10"/>
  <c r="D50" i="10"/>
  <c r="E50" i="11"/>
  <c r="J49" i="9"/>
  <c r="J50" i="10"/>
  <c r="M34" i="11"/>
  <c r="M8" i="10"/>
  <c r="AU37" i="39"/>
  <c r="J57" i="4"/>
  <c r="F27" i="2" l="1"/>
  <c r="DV26" i="2"/>
  <c r="T2" i="53"/>
  <c r="N12" i="52" s="1"/>
  <c r="Z154" i="54"/>
  <c r="X162" i="54" s="1"/>
  <c r="Z155" i="54"/>
  <c r="I2" i="53"/>
  <c r="E12" i="52" s="1"/>
  <c r="Z155" i="46"/>
  <c r="AB153" i="54"/>
  <c r="AA153" i="54"/>
  <c r="BK28" i="39"/>
  <c r="A35" i="1"/>
  <c r="A36" i="2" s="1"/>
  <c r="J41" i="13"/>
  <c r="K56" i="13"/>
  <c r="M45" i="13"/>
  <c r="J51" i="13"/>
  <c r="K57" i="13"/>
  <c r="J45" i="13"/>
  <c r="J48" i="13"/>
  <c r="J40" i="12"/>
  <c r="M48" i="13"/>
  <c r="BE28" i="39"/>
  <c r="U28" i="39"/>
  <c r="AS28" i="39"/>
  <c r="S29" i="39"/>
  <c r="AG28" i="39"/>
  <c r="AM28" i="39"/>
  <c r="AY28" i="39"/>
  <c r="AE32" i="39"/>
  <c r="AQ32" i="39"/>
  <c r="Q33" i="39"/>
  <c r="AK32" i="39"/>
  <c r="J38" i="7"/>
  <c r="J47" i="8"/>
  <c r="J44" i="8"/>
  <c r="M47" i="8"/>
  <c r="M44" i="8"/>
  <c r="D48" i="8"/>
  <c r="E48" i="9"/>
  <c r="D38" i="8"/>
  <c r="E38" i="9"/>
  <c r="E51" i="10"/>
  <c r="D51" i="9"/>
  <c r="E44" i="9"/>
  <c r="D44" i="8"/>
  <c r="E43" i="9"/>
  <c r="D43" i="8"/>
  <c r="D40" i="6"/>
  <c r="E40" i="7"/>
  <c r="D47" i="7"/>
  <c r="E47" i="8"/>
  <c r="D46" i="7"/>
  <c r="E46" i="8"/>
  <c r="E42" i="6"/>
  <c r="D42" i="37"/>
  <c r="D39" i="8"/>
  <c r="E39" i="9"/>
  <c r="E50" i="10"/>
  <c r="D50" i="9"/>
  <c r="J39" i="10"/>
  <c r="J37" i="9"/>
  <c r="D41" i="9"/>
  <c r="E41" i="10"/>
  <c r="D52" i="10"/>
  <c r="D53" i="10" s="1"/>
  <c r="D49" i="9"/>
  <c r="E49" i="10"/>
  <c r="E45" i="9"/>
  <c r="D45" i="8"/>
  <c r="E52" i="11"/>
  <c r="E53" i="11" s="1"/>
  <c r="J49" i="8"/>
  <c r="J50" i="9"/>
  <c r="M34" i="10"/>
  <c r="M8" i="9"/>
  <c r="J57" i="43"/>
  <c r="AU38" i="39"/>
  <c r="F28" i="2" l="1"/>
  <c r="DV27" i="2"/>
  <c r="T4" i="53"/>
  <c r="N14" i="52" s="1"/>
  <c r="AB154" i="54"/>
  <c r="X165" i="54" s="1"/>
  <c r="AA154" i="54"/>
  <c r="X164" i="54" s="1"/>
  <c r="T3" i="53"/>
  <c r="N13" i="52" s="1"/>
  <c r="U2" i="53"/>
  <c r="O12" i="52" s="1"/>
  <c r="BK29" i="39"/>
  <c r="A36" i="1"/>
  <c r="A37" i="2" s="1"/>
  <c r="J41" i="12"/>
  <c r="M45" i="12"/>
  <c r="J45" i="12"/>
  <c r="J48" i="12"/>
  <c r="K56" i="12"/>
  <c r="J40" i="11"/>
  <c r="J41" i="11" s="1"/>
  <c r="M48" i="12"/>
  <c r="J51" i="12"/>
  <c r="K57" i="12"/>
  <c r="S30" i="39"/>
  <c r="U29" i="39"/>
  <c r="AG29" i="39"/>
  <c r="AY29" i="39"/>
  <c r="AM29" i="39"/>
  <c r="BE29" i="39"/>
  <c r="AS29" i="39"/>
  <c r="J44" i="7"/>
  <c r="J38" i="6"/>
  <c r="J44" i="6" s="1"/>
  <c r="M47" i="7"/>
  <c r="J47" i="7"/>
  <c r="M44" i="7"/>
  <c r="AE33" i="39"/>
  <c r="AK33" i="39"/>
  <c r="Q34" i="39"/>
  <c r="Q35" i="39" s="1"/>
  <c r="AK35" i="39" s="1"/>
  <c r="AQ33" i="39"/>
  <c r="D48" i="7"/>
  <c r="D48" i="6" s="1"/>
  <c r="E48" i="8"/>
  <c r="D51" i="8"/>
  <c r="E51" i="8" s="1"/>
  <c r="E51" i="9"/>
  <c r="E38" i="8"/>
  <c r="D38" i="7"/>
  <c r="D38" i="6" s="1"/>
  <c r="D38" i="37" s="1"/>
  <c r="D44" i="7"/>
  <c r="E44" i="7" s="1"/>
  <c r="E44" i="8"/>
  <c r="D43" i="7"/>
  <c r="D43" i="6" s="1"/>
  <c r="D43" i="37" s="1"/>
  <c r="E43" i="8"/>
  <c r="E40" i="6"/>
  <c r="D40" i="37"/>
  <c r="D40" i="4" s="1"/>
  <c r="E47" i="7"/>
  <c r="D47" i="6"/>
  <c r="E47" i="6" s="1"/>
  <c r="E39" i="8"/>
  <c r="D39" i="7"/>
  <c r="D39" i="6" s="1"/>
  <c r="D39" i="37" s="1"/>
  <c r="D46" i="6"/>
  <c r="E46" i="6" s="1"/>
  <c r="E46" i="7"/>
  <c r="E42" i="37"/>
  <c r="D42" i="4"/>
  <c r="E42" i="4" s="1"/>
  <c r="D45" i="7"/>
  <c r="D45" i="6" s="1"/>
  <c r="E45" i="8"/>
  <c r="E52" i="10"/>
  <c r="E53" i="10" s="1"/>
  <c r="J37" i="8"/>
  <c r="J37" i="7" s="1"/>
  <c r="J39" i="7" s="1"/>
  <c r="J39" i="9"/>
  <c r="E50" i="9"/>
  <c r="D50" i="8"/>
  <c r="E50" i="8" s="1"/>
  <c r="D49" i="8"/>
  <c r="E49" i="9"/>
  <c r="D41" i="8"/>
  <c r="E41" i="8" s="1"/>
  <c r="E41" i="9"/>
  <c r="D52" i="9"/>
  <c r="D53" i="9" s="1"/>
  <c r="J49" i="7"/>
  <c r="J50" i="7" s="1"/>
  <c r="J50" i="8"/>
  <c r="M8" i="8"/>
  <c r="M8" i="7" s="1"/>
  <c r="M8" i="6" s="1"/>
  <c r="M34" i="9"/>
  <c r="AU39" i="39"/>
  <c r="N41" i="52" l="1"/>
  <c r="U4" i="53"/>
  <c r="O14" i="52" s="1"/>
  <c r="P14" i="52" s="1"/>
  <c r="Q14" i="52" s="1"/>
  <c r="F29" i="2"/>
  <c r="DV28" i="2"/>
  <c r="D41" i="7"/>
  <c r="E41" i="7" s="1"/>
  <c r="J49" i="6"/>
  <c r="AK34" i="39"/>
  <c r="AE34" i="39"/>
  <c r="AQ34" i="39"/>
  <c r="A37" i="1"/>
  <c r="A38" i="2" s="1"/>
  <c r="X184" i="54"/>
  <c r="X186" i="54" s="1"/>
  <c r="M34" i="8"/>
  <c r="R66" i="53" s="1"/>
  <c r="J38" i="37"/>
  <c r="J44" i="37" s="1"/>
  <c r="D44" i="6"/>
  <c r="D44" i="37" s="1"/>
  <c r="D44" i="4" s="1"/>
  <c r="J45" i="11"/>
  <c r="AY30" i="39"/>
  <c r="M47" i="6"/>
  <c r="J47" i="6"/>
  <c r="AM30" i="39"/>
  <c r="K56" i="11"/>
  <c r="AG30" i="39"/>
  <c r="M44" i="6"/>
  <c r="D47" i="37"/>
  <c r="D47" i="4" s="1"/>
  <c r="D47" i="43" s="1"/>
  <c r="E47" i="43" s="1"/>
  <c r="E38" i="7"/>
  <c r="J40" i="10"/>
  <c r="J51" i="11"/>
  <c r="M34" i="7"/>
  <c r="K57" i="11"/>
  <c r="J48" i="11"/>
  <c r="M48" i="11"/>
  <c r="M45" i="11"/>
  <c r="BK30" i="39"/>
  <c r="S31" i="39"/>
  <c r="U3" i="53"/>
  <c r="O13" i="52" s="1"/>
  <c r="P13" i="52" s="1"/>
  <c r="E39" i="7"/>
  <c r="J39" i="8"/>
  <c r="D46" i="37"/>
  <c r="D46" i="4" s="1"/>
  <c r="D46" i="43" s="1"/>
  <c r="E46" i="43" s="1"/>
  <c r="E43" i="7"/>
  <c r="E38" i="6"/>
  <c r="BE30" i="39"/>
  <c r="AS30" i="39"/>
  <c r="U30" i="39"/>
  <c r="P12" i="52"/>
  <c r="AQ35" i="39"/>
  <c r="Q36" i="39"/>
  <c r="AK36" i="39" s="1"/>
  <c r="E52" i="9"/>
  <c r="E53" i="9" s="1"/>
  <c r="AE35" i="39"/>
  <c r="D52" i="8"/>
  <c r="D53" i="8" s="1"/>
  <c r="J37" i="6"/>
  <c r="J37" i="37" s="1"/>
  <c r="D51" i="7"/>
  <c r="E51" i="7" s="1"/>
  <c r="E43" i="6"/>
  <c r="E45" i="7"/>
  <c r="E39" i="6"/>
  <c r="E48" i="7"/>
  <c r="D48" i="37"/>
  <c r="D48" i="4" s="1"/>
  <c r="E48" i="6"/>
  <c r="D50" i="7"/>
  <c r="E50" i="7" s="1"/>
  <c r="D45" i="37"/>
  <c r="D45" i="4" s="1"/>
  <c r="E45" i="6"/>
  <c r="D42" i="43"/>
  <c r="E42" i="43" s="1"/>
  <c r="E40" i="4"/>
  <c r="D40" i="43"/>
  <c r="E40" i="43" s="1"/>
  <c r="D49" i="7"/>
  <c r="E40" i="37"/>
  <c r="E49" i="8"/>
  <c r="E52" i="8" s="1"/>
  <c r="E53" i="8" s="1"/>
  <c r="D38" i="4"/>
  <c r="E38" i="37"/>
  <c r="E43" i="37"/>
  <c r="D43" i="4"/>
  <c r="D39" i="4"/>
  <c r="E39" i="37"/>
  <c r="M34" i="6"/>
  <c r="M8" i="37"/>
  <c r="D41" i="6" l="1"/>
  <c r="E41" i="6" s="1"/>
  <c r="F30" i="2"/>
  <c r="DV29" i="2"/>
  <c r="E44" i="6"/>
  <c r="A38" i="1"/>
  <c r="J47" i="37"/>
  <c r="M47" i="37"/>
  <c r="J38" i="4"/>
  <c r="M47" i="4" s="1"/>
  <c r="M44" i="37"/>
  <c r="J50" i="6"/>
  <c r="J49" i="37"/>
  <c r="E44" i="37"/>
  <c r="AQ36" i="39"/>
  <c r="Q37" i="39"/>
  <c r="AE37" i="39" s="1"/>
  <c r="E47" i="37"/>
  <c r="AE36" i="39"/>
  <c r="E47" i="4"/>
  <c r="P41" i="52"/>
  <c r="P43" i="52" s="1"/>
  <c r="E46" i="4"/>
  <c r="M45" i="10"/>
  <c r="J41" i="10"/>
  <c r="J40" i="9"/>
  <c r="K56" i="10"/>
  <c r="J45" i="10"/>
  <c r="J48" i="10"/>
  <c r="K57" i="10"/>
  <c r="M48" i="10"/>
  <c r="J51" i="10"/>
  <c r="AG31" i="39"/>
  <c r="AS31" i="39"/>
  <c r="U31" i="39"/>
  <c r="AM31" i="39"/>
  <c r="S32" i="39"/>
  <c r="BE31" i="39"/>
  <c r="BK31" i="39"/>
  <c r="AY31" i="39"/>
  <c r="O41" i="52"/>
  <c r="O43" i="52" s="1"/>
  <c r="E46" i="37"/>
  <c r="J39" i="6"/>
  <c r="Q12" i="52"/>
  <c r="Q41" i="52" s="1"/>
  <c r="Q43" i="52" s="1"/>
  <c r="D51" i="6"/>
  <c r="E51" i="6" s="1"/>
  <c r="E48" i="37"/>
  <c r="D50" i="6"/>
  <c r="E50" i="6" s="1"/>
  <c r="E45" i="37"/>
  <c r="D49" i="6"/>
  <c r="E49" i="7"/>
  <c r="E52" i="7" s="1"/>
  <c r="E53" i="7" s="1"/>
  <c r="D52" i="7"/>
  <c r="D53" i="7" s="1"/>
  <c r="E48" i="4"/>
  <c r="D48" i="43"/>
  <c r="E48" i="43" s="1"/>
  <c r="D38" i="43"/>
  <c r="E38" i="43" s="1"/>
  <c r="E38" i="4"/>
  <c r="E44" i="4"/>
  <c r="D44" i="43"/>
  <c r="E44" i="43" s="1"/>
  <c r="E43" i="4"/>
  <c r="D43" i="43"/>
  <c r="E43" i="43" s="1"/>
  <c r="D39" i="43"/>
  <c r="E39" i="43" s="1"/>
  <c r="E39" i="4"/>
  <c r="J39" i="37"/>
  <c r="J37" i="4"/>
  <c r="E45" i="4"/>
  <c r="D45" i="43"/>
  <c r="E45" i="43" s="1"/>
  <c r="M8" i="4"/>
  <c r="M34" i="37"/>
  <c r="D41" i="37" l="1"/>
  <c r="D41" i="4" s="1"/>
  <c r="E41" i="4" s="1"/>
  <c r="AQ37" i="39"/>
  <c r="F31" i="2"/>
  <c r="DV30" i="2"/>
  <c r="AK37" i="39"/>
  <c r="Q38" i="39"/>
  <c r="AQ38" i="39" s="1"/>
  <c r="J47" i="4"/>
  <c r="J38" i="43"/>
  <c r="M44" i="4"/>
  <c r="A39" i="2"/>
  <c r="A39" i="1"/>
  <c r="A40" i="2" s="1"/>
  <c r="J44" i="4"/>
  <c r="J49" i="4"/>
  <c r="J50" i="37"/>
  <c r="M48" i="9"/>
  <c r="M45" i="9"/>
  <c r="J45" i="9"/>
  <c r="K57" i="9"/>
  <c r="J41" i="9"/>
  <c r="J48" i="9"/>
  <c r="J40" i="8"/>
  <c r="K56" i="9"/>
  <c r="J51" i="9"/>
  <c r="U32" i="39"/>
  <c r="S33" i="39"/>
  <c r="AY32" i="39"/>
  <c r="BE32" i="39"/>
  <c r="AM32" i="39"/>
  <c r="AS32" i="39"/>
  <c r="AG32" i="39"/>
  <c r="BK32" i="39"/>
  <c r="D51" i="37"/>
  <c r="D51" i="4" s="1"/>
  <c r="E51" i="4" s="1"/>
  <c r="D50" i="37"/>
  <c r="D50" i="4" s="1"/>
  <c r="E50" i="4" s="1"/>
  <c r="D49" i="37"/>
  <c r="D52" i="6"/>
  <c r="D53" i="6" s="1"/>
  <c r="E49" i="6"/>
  <c r="E52" i="6" s="1"/>
  <c r="E53" i="6" s="1"/>
  <c r="J37" i="43"/>
  <c r="J39" i="43" s="1"/>
  <c r="J39" i="4"/>
  <c r="M8" i="43"/>
  <c r="M34" i="43" s="1"/>
  <c r="M34" i="4"/>
  <c r="D41" i="43" l="1"/>
  <c r="E41" i="43" s="1"/>
  <c r="E41" i="37"/>
  <c r="AK38" i="39"/>
  <c r="M47" i="43"/>
  <c r="Q39" i="39"/>
  <c r="AQ39" i="39" s="1"/>
  <c r="J44" i="43"/>
  <c r="AE38" i="39"/>
  <c r="F32" i="2"/>
  <c r="DV31" i="2"/>
  <c r="J47" i="43"/>
  <c r="M44" i="43"/>
  <c r="J49" i="43"/>
  <c r="J50" i="43" s="1"/>
  <c r="J50" i="4"/>
  <c r="D51" i="43"/>
  <c r="E51" i="43" s="1"/>
  <c r="J41" i="8"/>
  <c r="K56" i="8"/>
  <c r="J40" i="7"/>
  <c r="J45" i="8"/>
  <c r="J51" i="8"/>
  <c r="J48" i="8"/>
  <c r="M48" i="8"/>
  <c r="M45" i="8"/>
  <c r="K57" i="8"/>
  <c r="AM33" i="39"/>
  <c r="U33" i="39"/>
  <c r="BK33" i="39"/>
  <c r="BE33" i="39"/>
  <c r="S34" i="39"/>
  <c r="AG33" i="39"/>
  <c r="AS33" i="39"/>
  <c r="AY33" i="39"/>
  <c r="E51" i="37"/>
  <c r="E50" i="37"/>
  <c r="D50" i="43"/>
  <c r="E50" i="43" s="1"/>
  <c r="D52" i="37"/>
  <c r="D53" i="37" s="1"/>
  <c r="E49" i="37"/>
  <c r="D49" i="4"/>
  <c r="W155" i="46"/>
  <c r="AE39" i="39" l="1"/>
  <c r="AK39" i="39"/>
  <c r="F33" i="2"/>
  <c r="DV32" i="2"/>
  <c r="E52" i="37"/>
  <c r="E53" i="37" s="1"/>
  <c r="M45" i="7"/>
  <c r="K57" i="7"/>
  <c r="J40" i="6"/>
  <c r="J41" i="7"/>
  <c r="J48" i="7"/>
  <c r="J51" i="7"/>
  <c r="J45" i="7"/>
  <c r="M48" i="7"/>
  <c r="K56" i="7"/>
  <c r="AG34" i="39"/>
  <c r="U34" i="39"/>
  <c r="AS34" i="39"/>
  <c r="AY34" i="39"/>
  <c r="BE34" i="39"/>
  <c r="AM34" i="39"/>
  <c r="BK34" i="39"/>
  <c r="S35" i="39"/>
  <c r="D52" i="4"/>
  <c r="D53" i="4" s="1"/>
  <c r="D49" i="43"/>
  <c r="E49" i="4"/>
  <c r="E52" i="4" s="1"/>
  <c r="E53" i="4" s="1"/>
  <c r="F34" i="2" l="1"/>
  <c r="DV33" i="2"/>
  <c r="K57" i="6"/>
  <c r="J48" i="6"/>
  <c r="J45" i="6"/>
  <c r="K56" i="6"/>
  <c r="J41" i="6"/>
  <c r="M48" i="6"/>
  <c r="J51" i="6"/>
  <c r="J40" i="37"/>
  <c r="M45" i="6"/>
  <c r="BE35" i="39"/>
  <c r="AS35" i="39"/>
  <c r="AY35" i="39"/>
  <c r="S36" i="39"/>
  <c r="AM35" i="39"/>
  <c r="U35" i="39"/>
  <c r="AG35" i="39"/>
  <c r="BK35" i="39"/>
  <c r="E49" i="43"/>
  <c r="E52" i="43" s="1"/>
  <c r="E53" i="43" s="1"/>
  <c r="D52" i="43"/>
  <c r="F35" i="2" l="1"/>
  <c r="DV34" i="2"/>
  <c r="J48" i="37"/>
  <c r="K56" i="37"/>
  <c r="J45" i="37"/>
  <c r="J51" i="37"/>
  <c r="J40" i="4"/>
  <c r="M48" i="37"/>
  <c r="M45" i="37"/>
  <c r="K57" i="37"/>
  <c r="J41" i="37"/>
  <c r="U36" i="39"/>
  <c r="S37" i="39"/>
  <c r="BK36" i="39"/>
  <c r="AY36" i="39"/>
  <c r="BE36" i="39"/>
  <c r="AG36" i="39"/>
  <c r="AS36" i="39"/>
  <c r="AM36" i="39"/>
  <c r="D53" i="43"/>
  <c r="F36" i="2" l="1"/>
  <c r="DV35" i="2"/>
  <c r="J40" i="43"/>
  <c r="K56" i="4"/>
  <c r="J48" i="4"/>
  <c r="K57" i="4"/>
  <c r="J51" i="4"/>
  <c r="J41" i="4"/>
  <c r="M45" i="4"/>
  <c r="J45" i="4"/>
  <c r="M48" i="4"/>
  <c r="BE37" i="39"/>
  <c r="BK37" i="39"/>
  <c r="AS37" i="39"/>
  <c r="U37" i="39"/>
  <c r="AG37" i="39"/>
  <c r="S38" i="39"/>
  <c r="AY37" i="39"/>
  <c r="AM37" i="39"/>
  <c r="F37" i="2" l="1"/>
  <c r="DV36" i="2"/>
  <c r="M48" i="43"/>
  <c r="J45" i="43"/>
  <c r="M45" i="43"/>
  <c r="J51" i="43"/>
  <c r="J48" i="43"/>
  <c r="J41" i="43"/>
  <c r="K56" i="43"/>
  <c r="K57" i="43"/>
  <c r="S39" i="39"/>
  <c r="AG38" i="39"/>
  <c r="AM38" i="39"/>
  <c r="BK38" i="39"/>
  <c r="BE38" i="39"/>
  <c r="U38" i="39"/>
  <c r="AY38" i="39"/>
  <c r="AS38" i="39"/>
  <c r="F38" i="2" l="1"/>
  <c r="DV37" i="2"/>
  <c r="BK39" i="39"/>
  <c r="AM39" i="39"/>
  <c r="AY39" i="39"/>
  <c r="AG39" i="39"/>
  <c r="AS39" i="39"/>
  <c r="BE39" i="39"/>
  <c r="U39" i="39"/>
  <c r="F39" i="2" l="1"/>
  <c r="DV38" i="2"/>
  <c r="BB10" i="39"/>
  <c r="H10" i="39"/>
  <c r="J10" i="39"/>
  <c r="AV10" i="39"/>
  <c r="V10" i="39"/>
  <c r="L41" i="39"/>
  <c r="M10" i="39"/>
  <c r="T153" i="46"/>
  <c r="P153" i="46"/>
  <c r="K153" i="46"/>
  <c r="C153" i="46"/>
  <c r="Q153" i="46"/>
  <c r="Q154" i="46" s="1"/>
  <c r="U153" i="46"/>
  <c r="X156" i="46" s="1"/>
  <c r="BE155" i="46" l="1"/>
  <c r="BD155" i="46"/>
  <c r="BF155" i="46"/>
  <c r="F40" i="2"/>
  <c r="DV39" i="2"/>
  <c r="BB155" i="46"/>
  <c r="BC155" i="46"/>
  <c r="AH4" i="50"/>
  <c r="AH3" i="50"/>
  <c r="AH38" i="50"/>
  <c r="O153" i="46"/>
  <c r="H41" i="39"/>
  <c r="J41" i="39"/>
  <c r="V41" i="39"/>
  <c r="BB41" i="39" s="1"/>
  <c r="BC10" i="39"/>
  <c r="M11" i="39"/>
  <c r="AW10" i="39"/>
  <c r="K10" i="39"/>
  <c r="W10" i="39"/>
  <c r="AC153" i="46"/>
  <c r="AA153" i="46"/>
  <c r="Z154" i="46"/>
  <c r="X162" i="46" s="1"/>
  <c r="X153" i="46"/>
  <c r="F42" i="52" s="1"/>
  <c r="G42" i="52" s="1"/>
  <c r="H42" i="52" s="1"/>
  <c r="Y154" i="46"/>
  <c r="X161" i="46" s="1"/>
  <c r="V154" i="46"/>
  <c r="I8" i="53"/>
  <c r="F12" i="52" s="1"/>
  <c r="G12" i="52" s="1"/>
  <c r="S154" i="46"/>
  <c r="R154" i="46"/>
  <c r="DV40" i="2" l="1"/>
  <c r="F42" i="2"/>
  <c r="AI3" i="50"/>
  <c r="AK154" i="46"/>
  <c r="X171" i="46" s="1"/>
  <c r="AS154" i="46"/>
  <c r="X177" i="46" s="1"/>
  <c r="AW154" i="46"/>
  <c r="X180" i="46" s="1"/>
  <c r="AM154" i="46"/>
  <c r="AU154" i="46"/>
  <c r="X179" i="46" s="1"/>
  <c r="AJ154" i="46"/>
  <c r="X170" i="46" s="1"/>
  <c r="AO154" i="46"/>
  <c r="X174" i="46" s="1"/>
  <c r="AR154" i="46"/>
  <c r="AI154" i="46"/>
  <c r="X169" i="46" s="1"/>
  <c r="AT154" i="46"/>
  <c r="X178" i="46" s="1"/>
  <c r="AY154" i="46"/>
  <c r="AF154" i="46"/>
  <c r="X166" i="46" s="1"/>
  <c r="AG154" i="46"/>
  <c r="X167" i="46" s="1"/>
  <c r="AV154" i="46"/>
  <c r="X181" i="46" s="1"/>
  <c r="AQ154" i="46"/>
  <c r="X176" i="46" s="1"/>
  <c r="AH154" i="46"/>
  <c r="X168" i="46" s="1"/>
  <c r="AP154" i="46"/>
  <c r="X175" i="46" s="1"/>
  <c r="AX154" i="46"/>
  <c r="AN154" i="46"/>
  <c r="X173" i="46" s="1"/>
  <c r="BA154" i="46"/>
  <c r="AL154" i="46"/>
  <c r="X172" i="46" s="1"/>
  <c r="AZ154" i="46"/>
  <c r="AC154" i="46"/>
  <c r="X163" i="46" s="1"/>
  <c r="I5" i="53"/>
  <c r="E15" i="52" s="1"/>
  <c r="F15" i="52" s="1"/>
  <c r="G15" i="52" s="1"/>
  <c r="G10" i="39"/>
  <c r="N41" i="39"/>
  <c r="G41" i="39" s="1"/>
  <c r="O10" i="39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AB153" i="46"/>
  <c r="AB154" i="46" s="1"/>
  <c r="X165" i="46" s="1"/>
  <c r="BC11" i="39"/>
  <c r="AW11" i="39"/>
  <c r="M12" i="39"/>
  <c r="W11" i="39"/>
  <c r="K11" i="39"/>
  <c r="J2" i="53"/>
  <c r="I11" i="53"/>
  <c r="F23" i="52" s="1"/>
  <c r="AA154" i="46"/>
  <c r="X164" i="46" s="1"/>
  <c r="I3" i="53"/>
  <c r="E13" i="52" s="1"/>
  <c r="F36" i="52" l="1"/>
  <c r="F9" i="52"/>
  <c r="G9" i="52" s="1"/>
  <c r="F30" i="52"/>
  <c r="F28" i="52"/>
  <c r="F40" i="52"/>
  <c r="F21" i="52"/>
  <c r="F19" i="52"/>
  <c r="F11" i="52"/>
  <c r="G11" i="52" s="1"/>
  <c r="F34" i="52"/>
  <c r="F32" i="52"/>
  <c r="F26" i="52"/>
  <c r="F24" i="52"/>
  <c r="F17" i="52"/>
  <c r="F7" i="52"/>
  <c r="G7" i="52" s="1"/>
  <c r="F10" i="52"/>
  <c r="G10" i="52" s="1"/>
  <c r="F4" i="52"/>
  <c r="G4" i="52" s="1"/>
  <c r="F8" i="52"/>
  <c r="G8" i="52" s="1"/>
  <c r="F18" i="52"/>
  <c r="G18" i="52" s="1"/>
  <c r="F16" i="52"/>
  <c r="F33" i="52"/>
  <c r="F38" i="52"/>
  <c r="F37" i="52"/>
  <c r="F27" i="52"/>
  <c r="F39" i="52"/>
  <c r="F22" i="52"/>
  <c r="F20" i="52"/>
  <c r="F35" i="52"/>
  <c r="F25" i="52"/>
  <c r="F6" i="52"/>
  <c r="G6" i="52" s="1"/>
  <c r="F5" i="52"/>
  <c r="G5" i="52" s="1"/>
  <c r="F31" i="52"/>
  <c r="F29" i="52"/>
  <c r="F13" i="52"/>
  <c r="X182" i="46"/>
  <c r="X184" i="46" s="1"/>
  <c r="X186" i="46" s="1"/>
  <c r="J5" i="53"/>
  <c r="I4" i="53"/>
  <c r="E14" i="52" s="1"/>
  <c r="F14" i="52" s="1"/>
  <c r="G14" i="52" s="1"/>
  <c r="BC12" i="39"/>
  <c r="M13" i="39"/>
  <c r="AW13" i="39" s="1"/>
  <c r="AW12" i="39"/>
  <c r="W12" i="39"/>
  <c r="K12" i="39"/>
  <c r="J3" i="53"/>
  <c r="G32" i="52" l="1"/>
  <c r="G34" i="52"/>
  <c r="G39" i="52"/>
  <c r="H39" i="52" s="1"/>
  <c r="G37" i="52"/>
  <c r="BC13" i="39"/>
  <c r="M14" i="39"/>
  <c r="W13" i="39"/>
  <c r="K13" i="39"/>
  <c r="G19" i="52"/>
  <c r="H4" i="52"/>
  <c r="G25" i="52"/>
  <c r="G16" i="52"/>
  <c r="E41" i="52"/>
  <c r="J4" i="53"/>
  <c r="G13" i="52"/>
  <c r="F41" i="52"/>
  <c r="F43" i="52" s="1"/>
  <c r="H25" i="52" l="1"/>
  <c r="H14" i="52"/>
  <c r="AW14" i="39"/>
  <c r="M15" i="39"/>
  <c r="W14" i="39"/>
  <c r="G68" i="53" s="1"/>
  <c r="BC14" i="39"/>
  <c r="K14" i="39"/>
  <c r="H12" i="52"/>
  <c r="G41" i="52"/>
  <c r="G43" i="52" s="1"/>
  <c r="H41" i="52" l="1"/>
  <c r="H43" i="52" s="1"/>
  <c r="AW15" i="39"/>
  <c r="BC15" i="39"/>
  <c r="W15" i="39"/>
  <c r="M16" i="39"/>
  <c r="K15" i="39"/>
  <c r="K16" i="39" l="1"/>
  <c r="BC16" i="39"/>
  <c r="AW16" i="39"/>
  <c r="M17" i="39"/>
  <c r="W16" i="39"/>
  <c r="AW17" i="39" l="1"/>
  <c r="W17" i="39"/>
  <c r="M18" i="39"/>
  <c r="K17" i="39"/>
  <c r="BC17" i="39"/>
  <c r="K18" i="39" l="1"/>
  <c r="W18" i="39"/>
  <c r="M19" i="39"/>
  <c r="AW18" i="39"/>
  <c r="BC18" i="39"/>
  <c r="K19" i="39" l="1"/>
  <c r="M20" i="39"/>
  <c r="W19" i="39"/>
  <c r="AW19" i="39"/>
  <c r="BC19" i="39"/>
  <c r="W20" i="39" l="1"/>
  <c r="K20" i="39"/>
  <c r="BC20" i="39"/>
  <c r="AW20" i="39"/>
  <c r="M21" i="39"/>
  <c r="K21" i="39" l="1"/>
  <c r="W21" i="39"/>
  <c r="AW21" i="39"/>
  <c r="M22" i="39"/>
  <c r="BC21" i="39"/>
  <c r="K22" i="39" l="1"/>
  <c r="W22" i="39"/>
  <c r="AW22" i="39"/>
  <c r="M23" i="39"/>
  <c r="BC22" i="39"/>
  <c r="W23" i="39" l="1"/>
  <c r="K23" i="39"/>
  <c r="BC23" i="39"/>
  <c r="M24" i="39"/>
  <c r="AW23" i="39"/>
  <c r="K24" i="39" l="1"/>
  <c r="W24" i="39"/>
  <c r="AW24" i="39"/>
  <c r="M25" i="39"/>
  <c r="BC24" i="39"/>
  <c r="K25" i="39" l="1"/>
  <c r="W25" i="39"/>
  <c r="AW25" i="39"/>
  <c r="BC25" i="39"/>
  <c r="M26" i="39"/>
  <c r="K26" i="39" l="1"/>
  <c r="W26" i="39"/>
  <c r="AW26" i="39"/>
  <c r="M27" i="39"/>
  <c r="BC26" i="39"/>
  <c r="K27" i="39" l="1"/>
  <c r="W27" i="39"/>
  <c r="BC27" i="39"/>
  <c r="M28" i="39"/>
  <c r="AW27" i="39"/>
  <c r="W28" i="39" l="1"/>
  <c r="K28" i="39"/>
  <c r="M29" i="39"/>
  <c r="BC28" i="39"/>
  <c r="AW28" i="39"/>
  <c r="K29" i="39" l="1"/>
  <c r="W29" i="39"/>
  <c r="AW29" i="39"/>
  <c r="M30" i="39"/>
  <c r="BC29" i="39"/>
  <c r="W30" i="39" l="1"/>
  <c r="K30" i="39"/>
  <c r="AW30" i="39"/>
  <c r="M31" i="39"/>
  <c r="BC30" i="39"/>
  <c r="W31" i="39" l="1"/>
  <c r="K31" i="39"/>
  <c r="M32" i="39"/>
  <c r="AW31" i="39"/>
  <c r="BC31" i="39"/>
  <c r="K32" i="39" l="1"/>
  <c r="W32" i="39"/>
  <c r="BC32" i="39"/>
  <c r="AW32" i="39"/>
  <c r="M33" i="39"/>
  <c r="W33" i="39" l="1"/>
  <c r="K33" i="39"/>
  <c r="M34" i="39"/>
  <c r="BC33" i="39"/>
  <c r="AW33" i="39"/>
  <c r="W34" i="39" l="1"/>
  <c r="K34" i="39"/>
  <c r="AW34" i="39"/>
  <c r="BC34" i="39"/>
  <c r="M35" i="39"/>
  <c r="K35" i="39" l="1"/>
  <c r="W35" i="39"/>
  <c r="AW35" i="39"/>
  <c r="BC35" i="39"/>
  <c r="M36" i="39"/>
  <c r="K36" i="39" l="1"/>
  <c r="W36" i="39"/>
  <c r="BC36" i="39"/>
  <c r="M37" i="39"/>
  <c r="AW36" i="39"/>
  <c r="K37" i="39" l="1"/>
  <c r="M38" i="39"/>
  <c r="BC37" i="39"/>
  <c r="W37" i="39"/>
  <c r="AW37" i="39"/>
  <c r="IH9" i="1"/>
  <c r="IG9" i="1"/>
  <c r="W38" i="39" l="1"/>
  <c r="M39" i="39"/>
  <c r="AW38" i="39"/>
  <c r="K38" i="39"/>
  <c r="BC38" i="39"/>
  <c r="AV41" i="1"/>
  <c r="AW10" i="1"/>
  <c r="AX10" i="1"/>
  <c r="KQ10" i="1" s="1"/>
  <c r="W39" i="39" l="1"/>
  <c r="BC39" i="39"/>
  <c r="AW39" i="39"/>
  <c r="K39" i="39"/>
  <c r="AW41" i="1"/>
  <c r="AX41" i="1"/>
  <c r="IH27" i="1" l="1"/>
  <c r="KR27" i="1" s="1"/>
  <c r="IG27" i="1"/>
  <c r="CH33" i="1" l="1"/>
  <c r="KQ33" i="1" s="1"/>
  <c r="CF41" i="1"/>
  <c r="CG33" i="1"/>
  <c r="CG41" i="1" l="1"/>
  <c r="CH41" i="1"/>
  <c r="IU41" i="1" l="1"/>
  <c r="IW41" i="1" s="1"/>
  <c r="IV9" i="1"/>
  <c r="IW9" i="1"/>
  <c r="KR9" i="1" s="1"/>
  <c r="IV41" i="1" l="1"/>
  <c r="KS10" i="1"/>
  <c r="IF41" i="1"/>
  <c r="IG41" i="1" s="1"/>
  <c r="IG10" i="1"/>
  <c r="IH10" i="1"/>
  <c r="KR10" i="1"/>
  <c r="IH41" i="1" l="1"/>
  <c r="KR41" i="1" s="1"/>
  <c r="KS11" i="1" l="1"/>
  <c r="AO11" i="1"/>
  <c r="KQ11" i="1"/>
  <c r="AM41" i="1"/>
  <c r="KS41" i="1" s="1"/>
  <c r="AN11" i="1"/>
  <c r="AN41" i="1" l="1"/>
  <c r="AO41" i="1"/>
  <c r="KQ41" i="1" s="1"/>
  <c r="I13" i="47" l="1"/>
  <c r="I12" i="47"/>
  <c r="K5" i="47" l="1"/>
  <c r="K6" i="47" s="1"/>
</calcChain>
</file>

<file path=xl/comments1.xml><?xml version="1.0" encoding="utf-8"?>
<comments xmlns="http://schemas.openxmlformats.org/spreadsheetml/2006/main">
  <authors>
    <author>win10</author>
  </authors>
  <commentList>
    <comment ref="H54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57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61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6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65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93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01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05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06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10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18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</commentList>
</comments>
</file>

<file path=xl/comments2.xml><?xml version="1.0" encoding="utf-8"?>
<comments xmlns="http://schemas.openxmlformats.org/spreadsheetml/2006/main">
  <authors>
    <author>win10</author>
  </authors>
  <commentList>
    <comment ref="H54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57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61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6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65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93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01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05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06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10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  <comment ref="H118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Spek Khusus std minim 75 ton</t>
        </r>
      </text>
    </comment>
  </commentList>
</comments>
</file>

<file path=xl/comments3.xml><?xml version="1.0" encoding="utf-8"?>
<comments xmlns="http://schemas.openxmlformats.org/spreadsheetml/2006/main">
  <authors>
    <author>win10</author>
  </authors>
  <commentList>
    <comment ref="X2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<sst xmlns="http://schemas.openxmlformats.org/spreadsheetml/2006/main" count="6151" uniqueCount="711">
  <si>
    <t xml:space="preserve"> </t>
  </si>
  <si>
    <t xml:space="preserve">  </t>
  </si>
  <si>
    <t>Efficiency</t>
  </si>
  <si>
    <t>Total</t>
  </si>
  <si>
    <t>PRODUCTION DAILY REPORT</t>
  </si>
  <si>
    <t>GRADE</t>
  </si>
  <si>
    <t>GSM</t>
  </si>
  <si>
    <t>LOSS</t>
  </si>
  <si>
    <t>Towel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</si>
  <si>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</si>
  <si>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</si>
  <si>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</si>
  <si>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</si>
  <si>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</si>
  <si>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</si>
  <si>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</si>
  <si>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</si>
  <si>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</si>
  <si>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</si>
  <si>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</si>
  <si>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</si>
  <si>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</si>
  <si>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</si>
  <si>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</si>
  <si>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</si>
  <si>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</si>
  <si>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</si>
  <si>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</si>
  <si>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</si>
  <si>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</si>
  <si>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</si>
  <si>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</si>
  <si>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</si>
  <si>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</si>
  <si>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</si>
  <si>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</si>
  <si>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</si>
  <si>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</si>
  <si>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</si>
  <si>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</si>
  <si>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</si>
  <si>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</si>
  <si>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</si>
  <si>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</si>
  <si>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</si>
  <si>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</si>
  <si>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</si>
  <si>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</si>
  <si>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</si>
  <si>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</si>
  <si>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</si>
  <si>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</si>
  <si>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</si>
  <si>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</si>
  <si>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</si>
  <si>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</si>
  <si>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</si>
  <si>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</si>
  <si>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</si>
  <si>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</si>
  <si>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</si>
  <si>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</si>
  <si>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</si>
  <si>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</si>
  <si>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</si>
  <si>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</si>
  <si>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</si>
  <si>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</si>
  <si>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</si>
  <si>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</si>
  <si>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</si>
  <si>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</si>
  <si>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</si>
  <si>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</si>
  <si>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</si>
  <si>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</si>
  <si>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</si>
  <si>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</si>
  <si>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</si>
  <si>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</si>
  <si>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</si>
  <si>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</si>
  <si>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</si>
  <si>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</si>
  <si>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</si>
  <si>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</si>
  <si>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</si>
  <si>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</si>
  <si>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</si>
  <si>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</si>
  <si>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</si>
  <si>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</si>
  <si>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</si>
  <si>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</si>
  <si>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</si>
  <si>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</si>
  <si>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</si>
  <si>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</si>
  <si>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</si>
  <si>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</si>
  <si>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</si>
  <si>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</si>
  <si>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</si>
  <si>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</si>
  <si>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</si>
  <si>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</si>
  <si>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</si>
  <si>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</si>
  <si>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</si>
  <si>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</si>
  <si>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</si>
  <si>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</si>
  <si>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</si>
  <si>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</si>
  <si>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</si>
  <si>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</si>
  <si>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</si>
  <si>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</si>
  <si>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</si>
  <si>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</si>
  <si>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</si>
  <si>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</si>
  <si>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</si>
  <si>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</si>
  <si>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</si>
  <si>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</si>
  <si>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</si>
  <si>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</si>
  <si>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</si>
  <si>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</si>
  <si>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</si>
  <si>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</si>
  <si>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</si>
  <si>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</si>
  <si>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</si>
  <si>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</si>
  <si>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</si>
  <si>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</si>
  <si>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</si>
  <si>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</si>
  <si>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</si>
  <si>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</si>
  <si>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</si>
  <si>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</si>
  <si>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</si>
  <si>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</si>
  <si>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</si>
  <si>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</si>
  <si>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</si>
  <si>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</si>
  <si>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</si>
  <si>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</si>
  <si>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</si>
  <si>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</si>
  <si>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</si>
  <si>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</si>
  <si>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</si>
  <si>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</si>
  <si>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</si>
  <si>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</si>
  <si>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</si>
  <si>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</si>
  <si>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</si>
  <si>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</si>
  <si>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</si>
  <si>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</si>
  <si>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</si>
  <si>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</si>
  <si>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</si>
  <si>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</si>
  <si>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</si>
  <si>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</si>
  <si>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</si>
  <si>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Kwh/ ton</t>
  </si>
  <si>
    <t>LEBIH TINGGI DARI OFF REEL</t>
  </si>
  <si>
    <t>TISSUE MACHINE 12</t>
  </si>
  <si>
    <t xml:space="preserve">PM12 Efficiency Report </t>
  </si>
  <si>
    <t>DDR 1 LF</t>
  </si>
  <si>
    <t>DDR TICKLING</t>
  </si>
  <si>
    <t>DEFLAKER</t>
  </si>
  <si>
    <t>INCOMING 3200 MCC</t>
  </si>
  <si>
    <t>INCOMING 1250A HOOD</t>
  </si>
  <si>
    <t>INCOMING PANEL ABB DRIVE</t>
  </si>
  <si>
    <t>Total PM12</t>
  </si>
  <si>
    <t>Total DEINKING</t>
  </si>
  <si>
    <t>DI N40</t>
  </si>
  <si>
    <t>DEINKING</t>
  </si>
  <si>
    <t>POWER (kWh) DEINKING</t>
  </si>
  <si>
    <t>STEAM (TON) DEINKING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</si>
  <si>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</si>
  <si>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</si>
  <si>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</si>
  <si>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</si>
  <si>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</si>
  <si>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</si>
  <si>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</si>
  <si>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PAPER MACHINE 12 DAILY REPORT 1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</si>
  <si>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</si>
  <si>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</si>
  <si>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</si>
  <si>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</si>
  <si>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</si>
  <si>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</si>
  <si>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</si>
  <si>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</si>
  <si>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</si>
  <si>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Gripis</t>
  </si>
  <si>
    <t>Ngelokor</t>
  </si>
  <si>
    <t>Keriput</t>
  </si>
  <si>
    <t>Start up</t>
  </si>
  <si>
    <t>Potongan jelek</t>
  </si>
  <si>
    <t>Hole</t>
  </si>
  <si>
    <t>Dirt</t>
  </si>
  <si>
    <t>Jumbo gandeng</t>
  </si>
  <si>
    <t>Formasi jelek</t>
  </si>
  <si>
    <t>Lembab</t>
  </si>
  <si>
    <t>Diameter &lt; std</t>
  </si>
  <si>
    <t>Gelembung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</si>
  <si>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</si>
  <si>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</si>
  <si>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</si>
  <si>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</si>
  <si>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</si>
  <si>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</si>
  <si>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</si>
  <si>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</si>
  <si>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</si>
  <si>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</si>
  <si>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M.DDR1LF</t>
  </si>
  <si>
    <t>DIP 1</t>
  </si>
  <si>
    <t>DIP 2</t>
  </si>
  <si>
    <t>TOTAL DIP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</si>
  <si>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</si>
  <si>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</si>
  <si>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</si>
  <si>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</si>
  <si>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</si>
  <si>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</si>
  <si>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</si>
  <si>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</si>
  <si>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</si>
  <si>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</si>
  <si>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</si>
  <si>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</si>
  <si>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</si>
  <si>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</si>
  <si>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</si>
  <si>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</si>
  <si>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</si>
  <si>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</si>
  <si>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</si>
  <si>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</si>
  <si>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</si>
  <si>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</si>
  <si>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</si>
  <si>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</si>
  <si>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</si>
  <si>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</si>
  <si>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</si>
  <si>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</si>
  <si>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</si>
  <si>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PM 12 Summary</t>
  </si>
  <si>
    <t>PM 12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</si>
  <si>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</si>
  <si>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</si>
  <si>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</si>
  <si>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</si>
  <si>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</si>
  <si>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</si>
  <si>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</si>
  <si>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</si>
  <si>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</si>
  <si>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</si>
  <si>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</si>
  <si>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</si>
  <si>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</si>
  <si>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</si>
  <si>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Pending</t>
  </si>
  <si>
    <t>Trim</t>
  </si>
  <si>
    <t>Kertas sobek pinggir</t>
  </si>
  <si>
    <t>Joint</t>
  </si>
  <si>
    <t>Seset Change Grade</t>
  </si>
  <si>
    <t>soping</t>
  </si>
  <si>
    <t>crushing</t>
  </si>
  <si>
    <t>UNKNOWN</t>
  </si>
  <si>
    <t>PULP AND BROKE DAILY REPORT PM 12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</si>
  <si>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</si>
  <si>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</si>
  <si>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</si>
  <si>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</si>
  <si>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</si>
  <si>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</si>
  <si>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</si>
  <si>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</si>
  <si>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</si>
  <si>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</si>
  <si>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</si>
  <si>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</si>
  <si>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</si>
  <si>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Rewinder</t>
  </si>
  <si>
    <t>Hood</t>
  </si>
  <si>
    <t>Yankee</t>
  </si>
  <si>
    <t>Report</t>
  </si>
  <si>
    <t>Kehilangan Effisiensi PM 12 terdiri dari: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</si>
  <si>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</si>
  <si>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</si>
  <si>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</si>
  <si>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</si>
  <si>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</si>
  <si>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</si>
  <si>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</si>
  <si>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</si>
  <si>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</si>
  <si>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</si>
  <si>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</si>
  <si>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</si>
  <si>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</si>
  <si>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</si>
  <si>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</si>
  <si>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</si>
  <si>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</si>
  <si>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</si>
  <si>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</si>
  <si>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</si>
  <si>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</si>
  <si>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</si>
  <si>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</si>
  <si>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</si>
  <si>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</si>
  <si>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</si>
  <si>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</si>
  <si>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</si>
  <si>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</si>
  <si>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</si>
  <si>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</si>
  <si>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</si>
  <si>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</si>
  <si>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</si>
  <si>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</si>
  <si>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</si>
  <si>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</si>
  <si>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</si>
  <si>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</si>
  <si>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</si>
  <si>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</si>
  <si>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</si>
  <si>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</si>
  <si>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</si>
  <si>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</si>
  <si>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</si>
  <si>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</si>
  <si>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</si>
  <si>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</si>
  <si>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</si>
  <si>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</si>
  <si>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</si>
  <si>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</si>
  <si>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</si>
  <si>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</si>
  <si>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</si>
  <si>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</si>
  <si>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</si>
  <si>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</si>
  <si>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DEKAWET NA30</t>
  </si>
  <si>
    <t>Burstrong Fixing Agent</t>
  </si>
  <si>
    <t>CHROMACLEAR</t>
  </si>
  <si>
    <t>Price</t>
  </si>
  <si>
    <t>CHEMICAL DAILY REPORT PM 12</t>
  </si>
  <si>
    <t>Running</t>
  </si>
  <si>
    <t>Down Time PLN</t>
  </si>
  <si>
    <t xml:space="preserve">Kapasitas Running (ton) </t>
  </si>
  <si>
    <t>Eff FG vs Target  Running(%)</t>
  </si>
  <si>
    <t>PM 12 Running Time</t>
  </si>
  <si>
    <t>EPOSTRONG</t>
  </si>
  <si>
    <t>Steam, &amp; gangguan sinergy (X)</t>
  </si>
  <si>
    <t>Freq, Trip PLN (X)</t>
  </si>
  <si>
    <t>Cleaning Holes (X)</t>
  </si>
  <si>
    <t>Per hari</t>
  </si>
  <si>
    <t>Seset Warna blm ACC</t>
  </si>
  <si>
    <t>DFR 810S</t>
  </si>
  <si>
    <t>sliting</t>
  </si>
  <si>
    <t>NBKP Crofton/Catalyst</t>
  </si>
  <si>
    <t>.06.24</t>
  </si>
  <si>
    <t>0</t>
  </si>
  <si>
    <t>RC BR</t>
  </si>
  <si>
    <t>NBKP SODRA</t>
  </si>
  <si>
    <t>SS</t>
  </si>
  <si>
    <t>PHP PM</t>
  </si>
  <si>
    <t xml:space="preserve">PM12 Efficiency Running Report </t>
  </si>
  <si>
    <t>- Change Blade (1x)</t>
  </si>
  <si>
    <t>- Change Blade (3x)</t>
  </si>
  <si>
    <t>- Sheet Breaks (0x)</t>
  </si>
  <si>
    <t>Marking</t>
  </si>
  <si>
    <t>NBKP ASPA</t>
  </si>
  <si>
    <t>SWL Curah</t>
  </si>
  <si>
    <t>SWL Buku</t>
  </si>
  <si>
    <t>TWS Brown</t>
  </si>
  <si>
    <t>TWS Recycle</t>
  </si>
  <si>
    <t>TWS + Core</t>
  </si>
  <si>
    <t>TWS White</t>
  </si>
  <si>
    <t>NCC Lokal</t>
  </si>
  <si>
    <t>CVT Recycle/White</t>
  </si>
  <si>
    <t>Bubur ex PM 18</t>
  </si>
  <si>
    <t>RR PPIC</t>
  </si>
  <si>
    <t>ONP</t>
  </si>
  <si>
    <t>BB Recycle</t>
  </si>
  <si>
    <t>Broke</t>
  </si>
  <si>
    <t>Warna</t>
  </si>
  <si>
    <t>Andik P</t>
  </si>
  <si>
    <t>Gani Satoto</t>
  </si>
  <si>
    <t>Aditya Indra</t>
  </si>
  <si>
    <t>AGUSTUS</t>
  </si>
  <si>
    <t>38/36</t>
  </si>
  <si>
    <t>NBKP CANFOR</t>
  </si>
  <si>
    <t>NCC Import</t>
  </si>
  <si>
    <t>NDLK</t>
  </si>
  <si>
    <t>TW 38 RC BR</t>
  </si>
  <si>
    <t>TW 36 RC BR</t>
  </si>
  <si>
    <t>TW 38</t>
  </si>
  <si>
    <t>TW 36</t>
  </si>
  <si>
    <t>41*8</t>
  </si>
  <si>
    <t>41*2+124*2</t>
  </si>
  <si>
    <t>165*2</t>
  </si>
  <si>
    <t>117,5*2+94</t>
  </si>
  <si>
    <t>SODIUM HYPOCHLORID</t>
  </si>
  <si>
    <t>INDOFLOC C360</t>
  </si>
  <si>
    <t>- awal shift persiapan jalan</t>
  </si>
  <si>
    <t>- 03:00 change grade N20 speed 800/-14%</t>
  </si>
  <si>
    <t>- 08:30 Change Grade N17.5 speed 800/-14%</t>
  </si>
  <si>
    <t>- loss speed 30 meter masalah formasi DS kurang bagus.</t>
  </si>
  <si>
    <t>- Awal shift PM produksi N17.5 speed 800/-14%</t>
  </si>
  <si>
    <t>- Awal shift PM produksi N17,5 speed 800/-14%</t>
  </si>
  <si>
    <t>- 23.35 on reel Shift 3 produksi TW20 speed 800/-14%</t>
  </si>
  <si>
    <t>800/688</t>
  </si>
  <si>
    <t>- Change Blade (2x)</t>
  </si>
  <si>
    <t>- Sheet Breaks (1x)</t>
  </si>
  <si>
    <t>- Sheet Breaks (2x)</t>
  </si>
  <si>
    <t>- 19.36 change grade TW 20 speed 800/-14%</t>
  </si>
  <si>
    <t>- 22.45 PM trip (all drive alarm)</t>
  </si>
  <si>
    <t>- Awal shift PM produksi N20 speed 800/-14%</t>
  </si>
  <si>
    <t>TW 34 RC BR</t>
  </si>
  <si>
    <t>TW 30 RC BR</t>
  </si>
  <si>
    <t>TW 20 RC BR</t>
  </si>
  <si>
    <t>N 20 RC BR</t>
  </si>
  <si>
    <t>N 17,5 RC BR</t>
  </si>
  <si>
    <t>Napkin</t>
  </si>
  <si>
    <t>- Change Blade (5x)</t>
  </si>
  <si>
    <t>- Change Grade</t>
  </si>
  <si>
    <t>- Change Blade (6x)</t>
  </si>
  <si>
    <t>PM trip (all drive alarm)</t>
  </si>
  <si>
    <t>Towel/Napkin</t>
  </si>
  <si>
    <t>36/34/30/20/20</t>
  </si>
  <si>
    <t>20/17,5</t>
  </si>
  <si>
    <t>TW 34</t>
  </si>
  <si>
    <t>TW 30</t>
  </si>
  <si>
    <t>84*3+63</t>
  </si>
  <si>
    <t>TW 20</t>
  </si>
  <si>
    <t>115*2+48*2</t>
  </si>
  <si>
    <t>N 20</t>
  </si>
  <si>
    <t>N 17,5</t>
  </si>
  <si>
    <t>51*5+66</t>
  </si>
  <si>
    <t>Aris Sukoco</t>
  </si>
  <si>
    <t>CHEMZYME CL</t>
  </si>
  <si>
    <t>- 14.20 change grade N16 speed 800/-14%</t>
  </si>
  <si>
    <t>- 22.00-22.20 pm putus2 lagi ( adjust lips headbox, besarkan hpp felt)</t>
  </si>
  <si>
    <t xml:space="preserve">- 19.20 - 19.35 pm kurang lancar kertas putus 2 (adjust coating release, temp yankee, kurangi load thickling &amp; pemakaian air di felt) </t>
  </si>
  <si>
    <t>- Awal shift PM produksi N16 speed 800/-14%</t>
  </si>
  <si>
    <t>- 06.30 change grade N15.5 speed 800 / 14%</t>
  </si>
  <si>
    <t>- Sheet Breaks (10x)</t>
  </si>
  <si>
    <t>- Sheet Breaks (4x)</t>
  </si>
  <si>
    <t>- Sheet Breaks (14x)</t>
  </si>
  <si>
    <t>- Change Blade (9x)</t>
  </si>
  <si>
    <t>17,5/16/15,5</t>
  </si>
  <si>
    <t>N 15,5</t>
  </si>
  <si>
    <t>112*2+96</t>
  </si>
  <si>
    <t>23*4+112*2</t>
  </si>
  <si>
    <t>N 16</t>
  </si>
  <si>
    <t>N 16 RC BR</t>
  </si>
  <si>
    <t>N 15,5 RC BR</t>
  </si>
  <si>
    <t>Awal shift PM. Stop .cuci 
Job 
* Flushing &amp; boil out all chest
* Flushing &amp; boil out approach group
* Boil out head box
* Pasang felt 
* persiapan pasang wire</t>
  </si>
  <si>
    <t>- 360 menit (pm stop cleaning) 
- cleaning all chest 
- cleaning hood 
- cleaning utm 
- cleaning area felt &amp; wire
- cleaning krofta 
- rewinder gulung reject</t>
  </si>
  <si>
    <t>- speed belum maksimal, felt baru</t>
  </si>
  <si>
    <t>- awal shift PM stop
- pasang wire
- cleaning area pm 
- cleaning couch pit &amp; silo pit
- flushing all chest
- pulping</t>
  </si>
  <si>
    <t>- 05.07 pm persiapan jalan</t>
  </si>
  <si>
    <t>700/602</t>
  </si>
  <si>
    <t>765/658</t>
  </si>
  <si>
    <t>- Change Blade (0x)</t>
  </si>
  <si>
    <t>MIX BR</t>
  </si>
  <si>
    <t>- PM Stop cuci, ganti grade</t>
  </si>
  <si>
    <t>PM Stop cuci, ganti grade</t>
  </si>
  <si>
    <t>16/17</t>
  </si>
  <si>
    <t>VP OW</t>
  </si>
  <si>
    <t>133*2+60</t>
  </si>
  <si>
    <t>RC BR/VP OW</t>
  </si>
  <si>
    <t>- Awal shift PM Produksi N 17 VP OW speed 700/-14%</t>
  </si>
  <si>
    <t>- 05.56 pm on reel N 17 VP OW</t>
  </si>
  <si>
    <t>- Speed naik bertahap felt baru</t>
  </si>
  <si>
    <t>- 09.30 : jumbo mulai ACC Cvt</t>
  </si>
  <si>
    <t>- 01.20 pm putus2, headbox meletus, adjust lips headbox</t>
  </si>
  <si>
    <t>763/656</t>
  </si>
  <si>
    <t>- Awal shift PM Produksi N 16 VP OW speed 785/-15%</t>
  </si>
  <si>
    <t>- 17.00 change grade N 16 speed 785/-15%</t>
  </si>
  <si>
    <t>785/667</t>
  </si>
  <si>
    <t>749/640</t>
  </si>
  <si>
    <t>PM putus2, headbox meletus, adjust lips headbox</t>
  </si>
  <si>
    <t>17/16</t>
  </si>
  <si>
    <t>NBKP KORAB/SCA</t>
  </si>
  <si>
    <t>TOTAL EBKP</t>
  </si>
  <si>
    <t>EBKP CAKRAWALA</t>
  </si>
  <si>
    <t>N 17</t>
  </si>
  <si>
    <t>33*10</t>
  </si>
  <si>
    <t>- 07:00 - 09:30 jumbo baru ACC Cvt</t>
  </si>
  <si>
    <t>Jumbo baru ACC Cvt</t>
  </si>
  <si>
    <t>- 08.15 pm naik speed bertahap</t>
  </si>
  <si>
    <t>- 16.20 PM stock off, formasi tiba-tiba jelek (speed wire dilapangan turun sendiri) 🔜 cek EID
- 16.30 PM stop
- 19.50 PM coba jalan lagi</t>
  </si>
  <si>
    <t>- Awal shift PM Produksi N 16 VP OW speed 830/-14%</t>
  </si>
  <si>
    <t>- Awal shift PM Produksi N 16 VP OW speed 785/-14%</t>
  </si>
  <si>
    <t>DT</t>
  </si>
  <si>
    <t>- awal shift PM stop 🔜 EID perbaikan speed wire</t>
  </si>
  <si>
    <t>- 23.20 pm persiapan jalan</t>
  </si>
  <si>
    <t>822/707</t>
  </si>
  <si>
    <t>830/713</t>
  </si>
  <si>
    <t>- 23.40 pm on reel change grade N19 speed 830/-14%</t>
  </si>
  <si>
    <t>- Sheet Breaks (3x)</t>
  </si>
  <si>
    <t>826/710</t>
  </si>
  <si>
    <t>- 21.40 PM coba jalan lagi
- 22.10 PM stop, speed wire masih turun sendiri MED cek gear box wire</t>
  </si>
  <si>
    <t>- 20.10 on reel
- 20.18 PM stop lagi, speed wire masih turun sendiri lagi EID ganti inverter</t>
  </si>
  <si>
    <t>- Change Blade (4x)</t>
  </si>
  <si>
    <t>- 16.20 PM stock off, formasi tiba-tiba jelek (speed wire dilapangan turun sendiri), cek EID</t>
  </si>
  <si>
    <t>PM stock off, formasi tiba-tiba jelek (speed wire dilapangan turun sendiri), cek EID</t>
  </si>
  <si>
    <t>16/19</t>
  </si>
  <si>
    <t>N 17 VP OW</t>
  </si>
  <si>
    <t>N 16 VP OW</t>
  </si>
  <si>
    <t>N 19 VP OW</t>
  </si>
  <si>
    <t>76*4</t>
  </si>
  <si>
    <t>162*2</t>
  </si>
  <si>
    <t>N 19</t>
  </si>
  <si>
    <t xml:space="preserve">- awal shift PM prod N25 speed 790/14%
</t>
  </si>
  <si>
    <t xml:space="preserve">- awal shift PM prod  N25 speed 780-790 / 14%
</t>
  </si>
  <si>
    <t>- 17.00 speed up 790 MPM
- 19.30-19.50 kertas  putus - putus bagian DS 🔜 udjust coating release dan temp. Yankee /Kertas sudah gak putus 
- Lost speed 40 MPM (felt baru)</t>
  </si>
  <si>
    <t>- awal shift PM prod N19 speed 830/14%
N25 speed 750-780/14%</t>
  </si>
  <si>
    <t>* 10.05  -10.25 kertas diputus masuk utm speed wire turun ( formasi jelek)
* 11.00 change grade napkin 25 GSM 
- 13.25 speed naik bertahap 750-780</t>
  </si>
  <si>
    <t>STOP</t>
  </si>
  <si>
    <t>N 25</t>
  </si>
  <si>
    <t>797,5/685,85</t>
  </si>
  <si>
    <t>787,5/677,25</t>
  </si>
  <si>
    <t>790/679,4</t>
  </si>
  <si>
    <t>791,67/680,83</t>
  </si>
  <si>
    <t>19/25</t>
  </si>
  <si>
    <t>- Sheet Breaks (7x)</t>
  </si>
  <si>
    <t>- Change Blade (7x)</t>
  </si>
  <si>
    <t>Gani S</t>
  </si>
  <si>
    <t>N 25 VP OW</t>
  </si>
  <si>
    <t>Acacia</t>
  </si>
  <si>
    <t>Tel Pelita</t>
  </si>
  <si>
    <t>TOTAL LBKP</t>
  </si>
  <si>
    <t>- awal shift PM prod Tw 23
speed 830 / 14 %</t>
  </si>
  <si>
    <t>- awal shift PM prod  TW23
speed 830 / 14%</t>
  </si>
  <si>
    <t>- awal shift PM prod - N25 speed 830/14%
- N23 speed 830/14%</t>
  </si>
  <si>
    <t>- 20 menit (change blade, sheet brake, cleaning )
- 15 menit (pm stock off 🔜 thickling trip)
- 15 menit (pompa release buntu)</t>
  </si>
  <si>
    <t>- awal shift PM prod N25
speed 830 / 14%</t>
  </si>
  <si>
    <t>- 21.00 - 21.15 motor thickling trip🔜  pm stock off,/reset  (Ok)</t>
  </si>
  <si>
    <t>- awal shift PM prod N25
speed 790-830 / 14%</t>
  </si>
  <si>
    <t xml:space="preserve">- 07.10 speed up 830 MPM
- 10.40 PM trip, All Drive alarm 🔜 cek EID
- 11.35 on reel speed 800, speed up bertahap. </t>
  </si>
  <si>
    <t>- awal shift PM prod Tw23 speed 830/14 %
N17 speed 830/14 %</t>
  </si>
  <si>
    <t>- 06.40 change grade N17</t>
  </si>
  <si>
    <t>N 23</t>
  </si>
  <si>
    <t>- 00.40 change grade N23
- 02.18 - 02.33 motor thickling trip 🔜 pm stock off
- 04.00 - 04.15 pompa release buntu</t>
  </si>
  <si>
    <t>825,27/709,73</t>
  </si>
  <si>
    <t>814,588/700,546</t>
  </si>
  <si>
    <t>830/713,8</t>
  </si>
  <si>
    <t>Change Grade 07.10 TW 23</t>
  </si>
  <si>
    <t>TW 23</t>
  </si>
  <si>
    <t>Napkin/Towel</t>
  </si>
  <si>
    <t>23/23/17</t>
  </si>
  <si>
    <t>25/23</t>
  </si>
  <si>
    <t>- 10.40 PM trip, All Drive alarm 🔜 cek EID</t>
  </si>
  <si>
    <t>- Change grade</t>
  </si>
  <si>
    <t>164*2</t>
  </si>
  <si>
    <t>56*5+48*1</t>
  </si>
  <si>
    <t>48*6+42*1</t>
  </si>
  <si>
    <t>N 23 VP OW</t>
  </si>
  <si>
    <t>TW 23 VP OW</t>
  </si>
  <si>
    <t>- awal shift PM prod N 17 speed 830/-18% (spek khusus)</t>
  </si>
  <si>
    <t>- 02.35 - 03.00  kertas putus". Adjust coating release.</t>
  </si>
  <si>
    <t>830/680</t>
  </si>
  <si>
    <t>- Sheet Breaks (5x)</t>
  </si>
  <si>
    <t>PM trip, All Drive alarm, cek EID</t>
  </si>
  <si>
    <t>Motor thickling trip, pm stock off,/reset  (Ok)</t>
  </si>
  <si>
    <t>17</t>
  </si>
  <si>
    <t>830/712</t>
  </si>
  <si>
    <t>- 08:20 CG TW 17 speed 830/-18%</t>
  </si>
  <si>
    <t>- awal shift PM prod TW 17 speed 830/-18% (spek khusus)</t>
  </si>
  <si>
    <t>TW 17 VP OW</t>
  </si>
  <si>
    <t>TW 17</t>
  </si>
  <si>
    <t>170+153</t>
  </si>
  <si>
    <t>190+133</t>
  </si>
  <si>
    <t>- 11.23 - 11.53 pm tidak lancar, kertas brosot setelah WSR jalan adjust coating release &amp; temp yankee</t>
  </si>
  <si>
    <t>- 00.04 - 00.29 kertas brosot, langsung ganti doctor crep, tp brosot2🔜 adjust coating release &amp; temperatur yankee</t>
  </si>
  <si>
    <t>- 02.00 change grade N 16 speed 830/-15%</t>
  </si>
  <si>
    <t>830/696</t>
  </si>
  <si>
    <t>830/685</t>
  </si>
  <si>
    <t>MDWT &lt; std</t>
  </si>
  <si>
    <t>- Sheet Breaks (6x)</t>
  </si>
  <si>
    <t>68+21*4+42*4</t>
  </si>
  <si>
    <t>- awal shift PM prod N 16 speed 830/-15%</t>
  </si>
  <si>
    <t>830/705</t>
  </si>
  <si>
    <t>Andik Prasetyo</t>
  </si>
  <si>
    <t>16</t>
  </si>
  <si>
    <t>PM tidak lancar, kertas brosot setelah WSR jalan adjust coating release &amp; temp yankee</t>
  </si>
  <si>
    <t>- 21.00 - 21.15 dozing pump masuk angin</t>
  </si>
  <si>
    <t>Dozing pump masuk angin</t>
  </si>
  <si>
    <t>830/721</t>
  </si>
  <si>
    <t>830/730</t>
  </si>
  <si>
    <t>- awal shift PM prod TW 23 speed 830/-12%</t>
  </si>
  <si>
    <t>- 18.00 change grade TW 23 speed 830/-12%</t>
  </si>
  <si>
    <t>830/718</t>
  </si>
  <si>
    <t>16/23</t>
  </si>
  <si>
    <t>76*3+99</t>
  </si>
  <si>
    <t>- 21:00 change grade TW 17 speed 830/-18% (Spek khusus)</t>
  </si>
  <si>
    <t>- awal shift PM prod TW 17 speed 830/-18% (Spek khusus)</t>
  </si>
  <si>
    <t>830/717</t>
  </si>
  <si>
    <t>830/709</t>
  </si>
  <si>
    <t>23/17</t>
  </si>
  <si>
    <t>154+176</t>
  </si>
  <si>
    <t>152+171</t>
  </si>
  <si>
    <t>152+168</t>
  </si>
  <si>
    <t>102+170+56</t>
  </si>
  <si>
    <t>- 00:19 change grade TW 16 speed 830/-18% (Spek khusus)</t>
  </si>
  <si>
    <t>TW 16 VP OW</t>
  </si>
  <si>
    <t>TW 16</t>
  </si>
  <si>
    <t>126*2+75</t>
  </si>
  <si>
    <t>102*2+56*2</t>
  </si>
  <si>
    <t>- Awal shift PM prod TW 16 speed 830/-18% (Spek khusus)</t>
  </si>
  <si>
    <t>120*2+88</t>
  </si>
  <si>
    <t>- 14.00 change grade N18 speed 830/-14%</t>
  </si>
  <si>
    <t>830/684</t>
  </si>
  <si>
    <t>830/704</t>
  </si>
  <si>
    <t>16/18</t>
  </si>
  <si>
    <t>114*2+98</t>
  </si>
  <si>
    <t>18</t>
  </si>
  <si>
    <t>- Awal shift PM prod N 18 speed 830/-14%</t>
  </si>
  <si>
    <t>N 18 VP OW</t>
  </si>
  <si>
    <t>N 18</t>
  </si>
  <si>
    <t>- 11:50 change grade N 20 HW speed 830/-14%</t>
  </si>
  <si>
    <t>- Awal shift PM prod N 20 speed 830/-14%</t>
  </si>
  <si>
    <t>N 20 RC HW</t>
  </si>
  <si>
    <t>18/20</t>
  </si>
  <si>
    <t>- 21.10 change grade TW 36 speed 455/-12%</t>
  </si>
  <si>
    <t>- Awal Shift pm produksi TW 36 speed 455/-12%</t>
  </si>
  <si>
    <t>455/400</t>
  </si>
  <si>
    <t>440/387</t>
  </si>
  <si>
    <t>- 10.20 Change grade TW 34 speed 480/-12%</t>
  </si>
  <si>
    <t>- Awal Shift pm produksi TW 34 speed 480/-12%</t>
  </si>
  <si>
    <t>- 16.05 change grade TW 30 speed 545/-12%</t>
  </si>
  <si>
    <t>469/413</t>
  </si>
  <si>
    <t>639/556</t>
  </si>
  <si>
    <t>632/549</t>
  </si>
  <si>
    <t>114*2+38,5+63,5</t>
  </si>
  <si>
    <t>RC HW</t>
  </si>
  <si>
    <t>- Awal shift PM prod TW 30 speed 550 / 12 %</t>
  </si>
  <si>
    <t>587/514</t>
  </si>
  <si>
    <t>658/573</t>
  </si>
  <si>
    <t>550/484</t>
  </si>
  <si>
    <t>TW 30 RC HW</t>
  </si>
  <si>
    <t>- 16.00 change grade TW 30 speed 550 / 12 %</t>
  </si>
  <si>
    <t>- 20.38 proxymity DS alarm ( wire tdk geser )</t>
  </si>
  <si>
    <t>- 21.12 pm on reel</t>
  </si>
  <si>
    <t>Proxymity DS alarm ( wire tdk geser )</t>
  </si>
  <si>
    <t>20/30</t>
  </si>
  <si>
    <t>63,5*5</t>
  </si>
  <si>
    <t>- Awal Shift pm produksi TW 38 speed 500/-12%</t>
  </si>
  <si>
    <t>489/430</t>
  </si>
  <si>
    <t>500/440</t>
  </si>
  <si>
    <t>- 11.00 pm speed up to 600 mpm</t>
  </si>
  <si>
    <t>- Awal shift PM prod TW 30 speed 600 / 12 %</t>
  </si>
  <si>
    <t>575/506</t>
  </si>
  <si>
    <t>600/528</t>
  </si>
  <si>
    <t>591/520</t>
  </si>
  <si>
    <t>30</t>
  </si>
  <si>
    <t>- 09.50 - 10.05 : wire trip, proximity OS alarm.</t>
  </si>
  <si>
    <t>- 16.50 change grade TW 36 speed 520/-12%</t>
  </si>
  <si>
    <t>- Awal shift PM prod TW 33.5 speed 550/-12%</t>
  </si>
  <si>
    <t>- 08.55 : change grade TW 31.5 speed 600/-12%</t>
  </si>
  <si>
    <t>- 14.00 : change grade TW 33.5 speed 550/-12%</t>
  </si>
  <si>
    <t>- Awal shift PM prod TW 30 speed 600/-12%</t>
  </si>
  <si>
    <t>- Awal shift PM prod TW 36 speed 520/-12%</t>
  </si>
  <si>
    <t>- 03.00 change grade TW 38 speed 480/12%</t>
  </si>
  <si>
    <t>- Awal shift PM prod TW 38 speed 480/12%</t>
  </si>
  <si>
    <t>- 07.40 speed up to 500 mpm</t>
  </si>
  <si>
    <t>- Awal shift PM prod TW 38 speed 500/12%</t>
  </si>
  <si>
    <t>- 01.30 change grade TW 35.5 speed 530/-12%</t>
  </si>
  <si>
    <t>593/522</t>
  </si>
  <si>
    <t>526/463</t>
  </si>
  <si>
    <t>540/475</t>
  </si>
  <si>
    <t>TW 31,5 RC HW</t>
  </si>
  <si>
    <t>TW 33,5 RC HW</t>
  </si>
  <si>
    <t>TW 36 RC HW</t>
  </si>
  <si>
    <t>TW 38 RC HW</t>
  </si>
  <si>
    <t>498/438</t>
  </si>
  <si>
    <t>520/458</t>
  </si>
  <si>
    <t>506/445</t>
  </si>
  <si>
    <t>TW 35,5 RC HW</t>
  </si>
  <si>
    <t>30/31,5/33,5/36/38</t>
  </si>
  <si>
    <t>38/35,5</t>
  </si>
  <si>
    <t>TW 31,5</t>
  </si>
  <si>
    <t>TW 33,5</t>
  </si>
  <si>
    <t>169,5+149</t>
  </si>
  <si>
    <t>169+149</t>
  </si>
  <si>
    <t>TW 35,5</t>
  </si>
  <si>
    <t>157*2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</si>
</sst>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  <numFmt numFmtId="183" formatCode="_-* #,##0.000_-;\-* #,##0.000_-;_-* &quot;-&quot;???_-;_-@_-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</cellStyleXfs>
  <cellXfs count="806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165" fontId="27" fillId="0" borderId="11" xfId="0" applyNumberFormat="1" applyFont="1" applyBorder="1"/>
    <xf numFmtId="0" fontId="27" fillId="0" borderId="0" xfId="0" applyFont="1"/>
    <xf numFmtId="0" fontId="26" fillId="24" borderId="11" xfId="0" quotePrefix="1" applyFont="1" applyFill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8" fontId="41" fillId="0" borderId="0" xfId="0" applyNumberFormat="1" applyFont="1" applyAlignment="1">
      <alignment horizontal="center" vertical="center" wrapText="1"/>
    </xf>
    <xf numFmtId="179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9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8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8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9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9" fontId="38" fillId="0" borderId="11" xfId="29" applyNumberFormat="1" applyFont="1" applyFill="1" applyBorder="1" applyAlignment="1">
      <alignment horizontal="center"/>
    </xf>
    <xf numFmtId="179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9" fontId="42" fillId="0" borderId="11" xfId="29" applyNumberFormat="1" applyFont="1" applyFill="1" applyBorder="1" applyAlignment="1">
      <alignment vertical="center"/>
    </xf>
    <xf numFmtId="179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8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9" fontId="42" fillId="25" borderId="11" xfId="29" applyNumberFormat="1" applyFont="1" applyFill="1" applyBorder="1" applyAlignment="1">
      <alignment vertical="center"/>
    </xf>
    <xf numFmtId="178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9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9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29" xfId="0" applyFont="1" applyFill="1" applyBorder="1" applyAlignment="1">
      <alignment horizontal="left" vertical="center"/>
    </xf>
    <xf numFmtId="0" fontId="26" fillId="24" borderId="40" xfId="0" applyFont="1" applyFill="1" applyBorder="1" applyAlignment="1">
      <alignment vertical="center" wrapText="1"/>
    </xf>
    <xf numFmtId="0" fontId="26" fillId="24" borderId="54" xfId="0" applyFont="1" applyFill="1" applyBorder="1" applyAlignment="1">
      <alignment horizontal="left" vertical="center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0" fontId="26" fillId="24" borderId="63" xfId="0" applyFont="1" applyFill="1" applyBorder="1" applyAlignment="1" applyProtection="1">
      <alignment horizontal="left" vertical="center"/>
      <protection locked="0"/>
    </xf>
    <xf numFmtId="165" fontId="26" fillId="24" borderId="55" xfId="50" applyNumberFormat="1" applyFont="1" applyFill="1" applyBorder="1" applyAlignment="1" applyProtection="1">
      <alignment horizontal="center" vertic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79" fontId="41" fillId="0" borderId="17" xfId="29" applyNumberFormat="1" applyFont="1" applyBorder="1" applyAlignment="1">
      <alignment vertical="center"/>
    </xf>
    <xf numFmtId="179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50" fillId="0" borderId="0" xfId="41" applyFont="1"/>
    <xf numFmtId="0" fontId="51" fillId="0" borderId="0" xfId="41" applyFont="1"/>
    <xf numFmtId="0" fontId="51" fillId="0" borderId="0" xfId="41" applyFont="1" applyAlignment="1">
      <alignment horizontal="center"/>
    </xf>
    <xf numFmtId="2" fontId="51" fillId="0" borderId="0" xfId="41" applyNumberFormat="1" applyFont="1" applyAlignment="1">
      <alignment horizontal="center"/>
    </xf>
    <xf numFmtId="0" fontId="47" fillId="0" borderId="0" xfId="41"/>
    <xf numFmtId="0" fontId="47" fillId="0" borderId="0" xfId="41" applyAlignment="1">
      <alignment horizontal="center"/>
    </xf>
    <xf numFmtId="2" fontId="47" fillId="0" borderId="0" xfId="41" applyNumberFormat="1" applyAlignment="1">
      <alignment horizontal="center"/>
    </xf>
    <xf numFmtId="2" fontId="47" fillId="0" borderId="0" xfId="41" applyNumberFormat="1"/>
    <xf numFmtId="0" fontId="52" fillId="0" borderId="0" xfId="41" applyFont="1"/>
    <xf numFmtId="16" fontId="47" fillId="0" borderId="10" xfId="41" applyNumberFormat="1" applyBorder="1"/>
    <xf numFmtId="0" fontId="47" fillId="0" borderId="11" xfId="41" applyBorder="1"/>
    <xf numFmtId="2" fontId="47" fillId="0" borderId="11" xfId="41" applyNumberFormat="1" applyBorder="1" applyAlignment="1">
      <alignment horizontal="center"/>
    </xf>
    <xf numFmtId="165" fontId="47" fillId="11" borderId="11" xfId="28" applyFont="1" applyFill="1" applyBorder="1" applyAlignment="1" applyProtection="1">
      <alignment horizontal="center"/>
    </xf>
    <xf numFmtId="0" fontId="53" fillId="0" borderId="0" xfId="41" applyFont="1"/>
    <xf numFmtId="0" fontId="47" fillId="0" borderId="10" xfId="41" applyBorder="1"/>
    <xf numFmtId="0" fontId="47" fillId="0" borderId="11" xfId="41" applyBorder="1" applyAlignment="1">
      <alignment horizontal="left"/>
    </xf>
    <xf numFmtId="0" fontId="47" fillId="0" borderId="11" xfId="41" applyBorder="1" applyAlignment="1">
      <alignment horizontal="right"/>
    </xf>
    <xf numFmtId="165" fontId="53" fillId="0" borderId="23" xfId="28" applyFont="1" applyBorder="1" applyProtection="1"/>
    <xf numFmtId="0" fontId="47" fillId="0" borderId="0" xfId="42" applyAlignment="1">
      <alignment horizontal="center"/>
    </xf>
    <xf numFmtId="39" fontId="47" fillId="0" borderId="0" xfId="42" quotePrefix="1" applyNumberFormat="1" applyAlignment="1">
      <alignment horizontal="left"/>
    </xf>
    <xf numFmtId="0" fontId="47" fillId="0" borderId="0" xfId="41" quotePrefix="1"/>
    <xf numFmtId="39" fontId="47" fillId="0" borderId="0" xfId="42" applyNumberFormat="1"/>
    <xf numFmtId="39" fontId="47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4" fontId="30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right"/>
    </xf>
    <xf numFmtId="2" fontId="30" fillId="0" borderId="0" xfId="0" applyNumberFormat="1" applyFont="1"/>
    <xf numFmtId="170" fontId="30" fillId="0" borderId="0" xfId="0" applyNumberFormat="1" applyFont="1" applyAlignment="1">
      <alignment horizontal="right"/>
    </xf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 vertical="center" wrapText="1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7" fillId="0" borderId="66" xfId="0" applyNumberFormat="1" applyFont="1" applyBorder="1"/>
    <xf numFmtId="0" fontId="27" fillId="0" borderId="66" xfId="0" applyFont="1" applyBorder="1" applyAlignment="1">
      <alignment horizontal="center"/>
    </xf>
    <xf numFmtId="171" fontId="27" fillId="0" borderId="66" xfId="0" applyNumberFormat="1" applyFont="1" applyBorder="1"/>
    <xf numFmtId="10" fontId="27" fillId="0" borderId="66" xfId="0" applyNumberFormat="1" applyFont="1" applyBorder="1"/>
    <xf numFmtId="168" fontId="27" fillId="0" borderId="66" xfId="0" applyNumberFormat="1" applyFont="1" applyBorder="1"/>
    <xf numFmtId="10" fontId="27" fillId="0" borderId="66" xfId="0" applyNumberFormat="1" applyFont="1" applyBorder="1" applyAlignment="1">
      <alignment horizontal="center" vertical="center" wrapText="1"/>
    </xf>
    <xf numFmtId="10" fontId="27" fillId="0" borderId="66" xfId="0" applyNumberFormat="1" applyFont="1" applyBorder="1" applyAlignment="1">
      <alignment vertical="justify" wrapText="1"/>
    </xf>
    <xf numFmtId="2" fontId="27" fillId="0" borderId="66" xfId="0" applyNumberFormat="1" applyFont="1" applyBorder="1"/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 wrapText="1"/>
    </xf>
    <xf numFmtId="4" fontId="27" fillId="0" borderId="66" xfId="0" applyNumberFormat="1" applyFont="1" applyBorder="1" applyAlignment="1">
      <alignment vertical="justify" wrapText="1"/>
    </xf>
    <xf numFmtId="165" fontId="30" fillId="0" borderId="0" xfId="28" applyFont="1" applyBorder="1" applyProtection="1"/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8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5" fillId="24" borderId="10" xfId="0" applyNumberFormat="1" applyFont="1" applyFill="1" applyBorder="1" applyAlignment="1">
      <alignment horizontal="left"/>
    </xf>
    <xf numFmtId="173" fontId="46" fillId="0" borderId="11" xfId="44" applyNumberFormat="1" applyFont="1" applyBorder="1" applyAlignment="1">
      <alignment horizontal="center"/>
    </xf>
    <xf numFmtId="16" fontId="22" fillId="24" borderId="0" xfId="28" applyNumberFormat="1" applyFont="1" applyFill="1" applyBorder="1" applyProtection="1">
      <protection locked="0"/>
    </xf>
    <xf numFmtId="173" fontId="47" fillId="0" borderId="67" xfId="0" applyNumberFormat="1" applyFont="1" applyBorder="1"/>
    <xf numFmtId="0" fontId="0" fillId="0" borderId="45" xfId="0" applyBorder="1"/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179" fontId="26" fillId="24" borderId="21" xfId="29" applyNumberFormat="1" applyFont="1" applyFill="1" applyBorder="1" applyAlignment="1" applyProtection="1">
      <alignment horizontal="right" vertical="center"/>
    </xf>
    <xf numFmtId="179" fontId="26" fillId="24" borderId="17" xfId="29" applyNumberFormat="1" applyFont="1" applyFill="1" applyBorder="1" applyAlignment="1" applyProtection="1">
      <alignment horizontal="right" vertical="center"/>
    </xf>
    <xf numFmtId="179" fontId="26" fillId="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 vertical="center"/>
    </xf>
    <xf numFmtId="179" fontId="22" fillId="2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/>
    </xf>
    <xf numFmtId="179" fontId="26" fillId="24" borderId="14" xfId="29" applyNumberFormat="1" applyFont="1" applyFill="1" applyBorder="1" applyAlignment="1" applyProtection="1">
      <alignment horizontal="right"/>
    </xf>
    <xf numFmtId="179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9" fillId="28" borderId="0" xfId="0" applyFont="1" applyFill="1"/>
    <xf numFmtId="179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9" fontId="42" fillId="25" borderId="13" xfId="29" applyNumberFormat="1" applyFont="1" applyFill="1" applyBorder="1" applyAlignment="1">
      <alignment vertical="center"/>
    </xf>
    <xf numFmtId="179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9" fontId="42" fillId="4" borderId="11" xfId="29" applyNumberFormat="1" applyFont="1" applyFill="1" applyBorder="1" applyAlignment="1">
      <alignment horizontal="center"/>
    </xf>
    <xf numFmtId="0" fontId="44" fillId="0" borderId="0" xfId="0" applyFont="1"/>
    <xf numFmtId="0" fontId="44" fillId="0" borderId="45" xfId="0" applyFont="1" applyBorder="1"/>
    <xf numFmtId="0" fontId="0" fillId="0" borderId="55" xfId="0" applyBorder="1" applyAlignment="1">
      <alignment horizontal="center" vertical="center"/>
    </xf>
    <xf numFmtId="167" fontId="0" fillId="0" borderId="55" xfId="28" applyNumberFormat="1" applyFont="1" applyBorder="1" applyAlignment="1">
      <alignment horizontal="center" vertical="center" wrapText="1"/>
    </xf>
    <xf numFmtId="0" fontId="0" fillId="0" borderId="68" xfId="0" applyBorder="1"/>
    <xf numFmtId="0" fontId="47" fillId="0" borderId="36" xfId="0" applyFont="1" applyBorder="1"/>
    <xf numFmtId="0" fontId="0" fillId="0" borderId="26" xfId="0" applyBorder="1"/>
    <xf numFmtId="0" fontId="44" fillId="0" borderId="26" xfId="0" applyFont="1" applyBorder="1"/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8" fontId="36" fillId="34" borderId="13" xfId="0" applyNumberFormat="1" applyFont="1" applyFill="1" applyBorder="1" applyAlignment="1">
      <alignment horizontal="center" vertical="center" wrapText="1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3" fontId="44" fillId="0" borderId="55" xfId="0" applyNumberFormat="1" applyFont="1" applyBorder="1" applyAlignment="1">
      <alignment horizontal="center" vertical="center"/>
    </xf>
    <xf numFmtId="179" fontId="54" fillId="0" borderId="0" xfId="29" applyNumberFormat="1" applyFont="1" applyProtection="1"/>
    <xf numFmtId="9" fontId="0" fillId="0" borderId="0" xfId="50" applyFont="1" applyProtection="1"/>
    <xf numFmtId="0" fontId="26" fillId="24" borderId="56" xfId="0" applyFont="1" applyFill="1" applyBorder="1"/>
    <xf numFmtId="0" fontId="26" fillId="24" borderId="47" xfId="0" applyFont="1" applyFill="1" applyBorder="1"/>
    <xf numFmtId="0" fontId="26" fillId="24" borderId="10" xfId="0" applyFont="1" applyFill="1" applyBorder="1"/>
    <xf numFmtId="0" fontId="26" fillId="24" borderId="49" xfId="0" applyFont="1" applyFill="1" applyBorder="1"/>
    <xf numFmtId="4" fontId="26" fillId="24" borderId="10" xfId="0" applyNumberFormat="1" applyFont="1" applyFill="1" applyBorder="1"/>
    <xf numFmtId="4" fontId="26" fillId="24" borderId="49" xfId="0" applyNumberFormat="1" applyFont="1" applyFill="1" applyBorder="1"/>
    <xf numFmtId="165" fontId="26" fillId="24" borderId="10" xfId="0" applyNumberFormat="1" applyFont="1" applyFill="1" applyBorder="1"/>
    <xf numFmtId="165" fontId="26" fillId="24" borderId="49" xfId="0" applyNumberFormat="1" applyFont="1" applyFill="1" applyBorder="1"/>
    <xf numFmtId="39" fontId="26" fillId="24" borderId="49" xfId="0" applyNumberFormat="1" applyFont="1" applyFill="1" applyBorder="1"/>
    <xf numFmtId="0" fontId="22" fillId="24" borderId="57" xfId="0" applyFont="1" applyFill="1" applyBorder="1"/>
    <xf numFmtId="0" fontId="22" fillId="24" borderId="24" xfId="0" applyFont="1" applyFill="1" applyBorder="1"/>
    <xf numFmtId="0" fontId="44" fillId="0" borderId="11" xfId="0" applyFont="1" applyBorder="1" applyAlignment="1" applyProtection="1">
      <alignment horizontal="center"/>
      <protection locked="0"/>
    </xf>
    <xf numFmtId="0" fontId="44" fillId="0" borderId="11" xfId="0" quotePrefix="1" applyFont="1" applyBorder="1" applyAlignment="1" applyProtection="1">
      <alignment horizontal="center"/>
      <protection locked="0"/>
    </xf>
    <xf numFmtId="0" fontId="44" fillId="0" borderId="55" xfId="0" applyFont="1" applyBorder="1"/>
    <xf numFmtId="2" fontId="0" fillId="0" borderId="40" xfId="0" applyNumberFormat="1" applyBorder="1" applyAlignment="1">
      <alignment vertical="center"/>
    </xf>
    <xf numFmtId="165" fontId="0" fillId="0" borderId="70" xfId="0" applyNumberFormat="1" applyBorder="1" applyAlignment="1">
      <alignment vertical="center"/>
    </xf>
    <xf numFmtId="177" fontId="0" fillId="0" borderId="11" xfId="0" applyNumberFormat="1" applyBorder="1"/>
    <xf numFmtId="167" fontId="44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7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0" fontId="0" fillId="0" borderId="11" xfId="0" quotePrefix="1" applyBorder="1" applyAlignment="1" applyProtection="1">
      <alignment horizontal="center"/>
      <protection locked="0"/>
    </xf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0" fontId="55" fillId="27" borderId="11" xfId="50" applyNumberFormat="1" applyFont="1" applyFill="1" applyBorder="1" applyAlignment="1" applyProtection="1">
      <alignment horizontal="center" vertical="center"/>
      <protection locked="0"/>
    </xf>
    <xf numFmtId="165" fontId="42" fillId="33" borderId="11" xfId="29" applyNumberFormat="1" applyFont="1" applyFill="1" applyBorder="1" applyAlignment="1">
      <alignment vertical="center"/>
    </xf>
    <xf numFmtId="169" fontId="34" fillId="0" borderId="0" xfId="0" applyNumberFormat="1" applyFont="1" applyAlignment="1">
      <alignment vertical="center"/>
    </xf>
    <xf numFmtId="2" fontId="27" fillId="0" borderId="11" xfId="28" applyNumberFormat="1" applyFont="1" applyBorder="1" applyProtection="1"/>
    <xf numFmtId="165" fontId="26" fillId="24" borderId="45" xfId="0" applyNumberFormat="1" applyFont="1" applyFill="1" applyBorder="1" applyAlignment="1">
      <alignment horizontal="left"/>
    </xf>
    <xf numFmtId="181" fontId="42" fillId="25" borderId="11" xfId="29" applyNumberFormat="1" applyFont="1" applyFill="1" applyBorder="1" applyAlignment="1">
      <alignment vertical="center"/>
    </xf>
    <xf numFmtId="1" fontId="47" fillId="0" borderId="39" xfId="0" applyNumberFormat="1" applyFont="1" applyBorder="1" applyAlignment="1">
      <alignment horizontal="center" vertical="center"/>
    </xf>
    <xf numFmtId="0" fontId="37" fillId="27" borderId="11" xfId="0" applyFont="1" applyFill="1" applyBorder="1" applyAlignment="1">
      <alignment horizontal="center" vertical="center" wrapText="1"/>
    </xf>
    <xf numFmtId="10" fontId="55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179" fontId="42" fillId="0" borderId="17" xfId="29" applyNumberFormat="1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0" fillId="0" borderId="11" xfId="55" applyFont="1" applyBorder="1" applyAlignment="1">
      <alignment horizontal="left"/>
    </xf>
    <xf numFmtId="0" fontId="56" fillId="0" borderId="0" xfId="0" applyFont="1"/>
    <xf numFmtId="4" fontId="57" fillId="29" borderId="75" xfId="0" applyNumberFormat="1" applyFont="1" applyFill="1" applyBorder="1" applyAlignment="1">
      <alignment horizontal="center" vertical="center" wrapText="1"/>
    </xf>
    <xf numFmtId="3" fontId="0" fillId="36" borderId="65" xfId="0" applyNumberFormat="1" applyFill="1" applyBorder="1"/>
    <xf numFmtId="0" fontId="0" fillId="0" borderId="0" xfId="0" applyAlignment="1">
      <alignment horizontal="right"/>
    </xf>
    <xf numFmtId="2" fontId="56" fillId="27" borderId="11" xfId="0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 wrapText="1"/>
    </xf>
    <xf numFmtId="9" fontId="56" fillId="27" borderId="11" xfId="50" applyFont="1" applyFill="1" applyBorder="1" applyAlignment="1">
      <alignment horizontal="center" vertical="center" wrapText="1"/>
    </xf>
    <xf numFmtId="2" fontId="56" fillId="35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6" fillId="35" borderId="11" xfId="50" applyNumberFormat="1" applyFont="1" applyFill="1" applyBorder="1" applyAlignment="1">
      <alignment horizontal="center"/>
    </xf>
    <xf numFmtId="10" fontId="27" fillId="0" borderId="11" xfId="0" applyNumberFormat="1" applyFont="1" applyBorder="1"/>
    <xf numFmtId="0" fontId="56" fillId="27" borderId="11" xfId="0" applyFont="1" applyFill="1" applyBorder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7" fillId="35" borderId="11" xfId="0" applyFont="1" applyFill="1" applyBorder="1"/>
    <xf numFmtId="0" fontId="38" fillId="37" borderId="11" xfId="55" applyFont="1" applyFill="1" applyBorder="1" applyAlignment="1">
      <alignment horizontal="left"/>
    </xf>
    <xf numFmtId="0" fontId="0" fillId="38" borderId="11" xfId="0" applyFill="1" applyBorder="1"/>
    <xf numFmtId="0" fontId="44" fillId="38" borderId="11" xfId="0" applyFont="1" applyFill="1" applyBorder="1"/>
    <xf numFmtId="10" fontId="0" fillId="37" borderId="17" xfId="50" applyNumberFormat="1" applyFont="1" applyFill="1" applyBorder="1"/>
    <xf numFmtId="10" fontId="0" fillId="0" borderId="17" xfId="50" applyNumberFormat="1" applyFont="1" applyBorder="1"/>
    <xf numFmtId="0" fontId="38" fillId="0" borderId="19" xfId="55" applyFont="1" applyBorder="1" applyAlignment="1">
      <alignment horizontal="left"/>
    </xf>
    <xf numFmtId="0" fontId="60" fillId="0" borderId="11" xfId="55" applyFont="1" applyBorder="1" applyAlignment="1">
      <alignment horizontal="left"/>
    </xf>
    <xf numFmtId="10" fontId="59" fillId="27" borderId="11" xfId="50" applyNumberFormat="1" applyFont="1" applyFill="1" applyBorder="1"/>
    <xf numFmtId="0" fontId="0" fillId="0" borderId="0" xfId="0" quotePrefix="1"/>
    <xf numFmtId="0" fontId="63" fillId="36" borderId="0" xfId="0" applyFont="1" applyFill="1"/>
    <xf numFmtId="43" fontId="0" fillId="0" borderId="11" xfId="0" applyNumberFormat="1" applyBorder="1"/>
    <xf numFmtId="9" fontId="0" fillId="0" borderId="11" xfId="0" applyNumberFormat="1" applyBorder="1"/>
    <xf numFmtId="166" fontId="0" fillId="0" borderId="0" xfId="0" applyNumberFormat="1"/>
    <xf numFmtId="0" fontId="21" fillId="0" borderId="0" xfId="41" applyFont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1" fillId="0" borderId="11" xfId="0" applyNumberFormat="1" applyFont="1" applyBorder="1" applyAlignment="1">
      <alignment horizontal="center" vertical="center" wrapText="1"/>
    </xf>
    <xf numFmtId="2" fontId="38" fillId="0" borderId="11" xfId="45" applyNumberFormat="1" applyFont="1" applyBorder="1" applyAlignment="1">
      <alignment horizontal="center"/>
    </xf>
    <xf numFmtId="10" fontId="41" fillId="0" borderId="11" xfId="50" applyNumberFormat="1" applyFont="1" applyFill="1" applyBorder="1" applyAlignment="1">
      <alignment vertical="center"/>
    </xf>
    <xf numFmtId="179" fontId="41" fillId="0" borderId="19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2" fontId="41" fillId="0" borderId="0" xfId="0" applyNumberFormat="1" applyFont="1"/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82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0" fontId="41" fillId="28" borderId="0" xfId="0" applyNumberFormat="1" applyFont="1" applyFill="1" applyAlignment="1">
      <alignment horizontal="right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0" fontId="44" fillId="0" borderId="11" xfId="0" applyFont="1" applyBorder="1" applyAlignment="1">
      <alignment horizontal="center" vertical="center"/>
    </xf>
    <xf numFmtId="10" fontId="0" fillId="0" borderId="0" xfId="0" applyNumberFormat="1"/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9" fontId="42" fillId="39" borderId="11" xfId="56" applyNumberFormat="1" applyFont="1" applyFill="1" applyBorder="1" applyAlignment="1">
      <alignment horizontal="center" vertical="center" wrapText="1"/>
    </xf>
    <xf numFmtId="179" fontId="42" fillId="26" borderId="14" xfId="56" applyNumberFormat="1" applyFont="1" applyFill="1" applyBorder="1" applyAlignment="1">
      <alignment horizontal="center" vertical="center" wrapText="1"/>
    </xf>
    <xf numFmtId="179" fontId="42" fillId="26" borderId="11" xfId="56" applyNumberFormat="1" applyFont="1" applyFill="1" applyBorder="1" applyAlignment="1">
      <alignment horizontal="center" vertical="center" wrapText="1"/>
    </xf>
    <xf numFmtId="179" fontId="42" fillId="39" borderId="14" xfId="56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6" xfId="28" applyNumberFormat="1" applyFont="1" applyBorder="1" applyAlignment="1"/>
    <xf numFmtId="2" fontId="0" fillId="0" borderId="86" xfId="28" applyNumberFormat="1" applyFont="1" applyBorder="1" applyAlignment="1" applyProtection="1">
      <alignment horizontal="center" vertical="center"/>
      <protection hidden="1"/>
    </xf>
    <xf numFmtId="0" fontId="27" fillId="0" borderId="0" xfId="41" applyFont="1"/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173" fontId="47" fillId="0" borderId="87" xfId="0" applyNumberFormat="1" applyFont="1" applyBorder="1"/>
    <xf numFmtId="0" fontId="44" fillId="0" borderId="69" xfId="0" applyFont="1" applyBorder="1"/>
    <xf numFmtId="0" fontId="0" fillId="0" borderId="0" xfId="0" applyBorder="1"/>
    <xf numFmtId="0" fontId="44" fillId="0" borderId="0" xfId="0" applyFont="1" applyBorder="1"/>
    <xf numFmtId="171" fontId="0" fillId="0" borderId="11" xfId="0" applyNumberFormat="1" applyBorder="1" applyAlignment="1" applyProtection="1">
      <alignment vertical="justify" wrapText="1"/>
      <protection locked="0"/>
    </xf>
    <xf numFmtId="165" fontId="27" fillId="0" borderId="11" xfId="28" applyFont="1" applyBorder="1"/>
    <xf numFmtId="1" fontId="42" fillId="0" borderId="0" xfId="50" applyNumberFormat="1" applyFont="1" applyFill="1" applyBorder="1" applyAlignment="1">
      <alignment vertical="center"/>
    </xf>
    <xf numFmtId="174" fontId="22" fillId="24" borderId="0" xfId="28" applyNumberFormat="1" applyFont="1" applyFill="1" applyBorder="1" applyAlignment="1" applyProtection="1">
      <alignment horizontal="center"/>
      <protection locked="0"/>
    </xf>
    <xf numFmtId="177" fontId="22" fillId="24" borderId="0" xfId="0" applyNumberFormat="1" applyFont="1" applyFill="1"/>
    <xf numFmtId="181" fontId="41" fillId="0" borderId="0" xfId="29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56" fillId="0" borderId="60" xfId="0" applyFont="1" applyBorder="1" applyAlignment="1">
      <alignment vertical="center"/>
    </xf>
    <xf numFmtId="10" fontId="56" fillId="0" borderId="11" xfId="50" applyNumberFormat="1" applyFont="1" applyBorder="1" applyAlignment="1">
      <alignment horizontal="center"/>
    </xf>
    <xf numFmtId="0" fontId="26" fillId="24" borderId="88" xfId="0" applyFont="1" applyFill="1" applyBorder="1" applyAlignment="1" applyProtection="1">
      <alignment horizontal="center"/>
      <protection locked="0"/>
    </xf>
    <xf numFmtId="183" fontId="22" fillId="24" borderId="0" xfId="0" applyNumberFormat="1" applyFont="1" applyFill="1"/>
    <xf numFmtId="0" fontId="0" fillId="0" borderId="11" xfId="0" applyBorder="1" applyAlignment="1">
      <alignment vertical="top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44" fillId="0" borderId="0" xfId="0" quotePrefix="1" applyFont="1"/>
    <xf numFmtId="1" fontId="44" fillId="27" borderId="39" xfId="0" applyNumberFormat="1" applyFont="1" applyFill="1" applyBorder="1" applyAlignment="1">
      <alignment horizontal="center" vertical="center"/>
    </xf>
    <xf numFmtId="2" fontId="0" fillId="0" borderId="70" xfId="0" applyNumberFormat="1" applyBorder="1" applyAlignment="1">
      <alignment vertical="center"/>
    </xf>
    <xf numFmtId="0" fontId="26" fillId="24" borderId="14" xfId="0" quotePrefix="1" applyFont="1" applyFill="1" applyBorder="1" applyAlignment="1" applyProtection="1">
      <alignment wrapText="1"/>
      <protection locked="0"/>
    </xf>
    <xf numFmtId="0" fontId="27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27" fillId="0" borderId="18" xfId="28" applyNumberFormat="1" applyFont="1" applyBorder="1"/>
    <xf numFmtId="0" fontId="44" fillId="0" borderId="0" xfId="0" applyFont="1" applyFill="1" applyBorder="1"/>
    <xf numFmtId="0" fontId="26" fillId="24" borderId="0" xfId="0" quotePrefix="1" applyFont="1" applyFill="1"/>
    <xf numFmtId="0" fontId="0" fillId="0" borderId="0" xfId="0" applyFill="1" applyBorder="1"/>
    <xf numFmtId="4" fontId="0" fillId="27" borderId="11" xfId="0" applyNumberFormat="1" applyFill="1" applyBorder="1" applyAlignment="1" applyProtection="1">
      <alignment vertical="justify" wrapText="1"/>
      <protection locked="0"/>
    </xf>
    <xf numFmtId="0" fontId="27" fillId="0" borderId="17" xfId="0" applyFont="1" applyBorder="1" applyAlignment="1">
      <alignment horizontal="center" vertical="center" wrapText="1"/>
    </xf>
    <xf numFmtId="178" fontId="41" fillId="0" borderId="11" xfId="0" applyNumberFormat="1" applyFont="1" applyFill="1" applyBorder="1" applyAlignment="1">
      <alignment horizontal="center" vertical="center" wrapText="1"/>
    </xf>
    <xf numFmtId="9" fontId="41" fillId="0" borderId="11" xfId="0" applyNumberFormat="1" applyFont="1" applyFill="1" applyBorder="1" applyAlignment="1">
      <alignment horizontal="center" vertical="center" wrapText="1"/>
    </xf>
    <xf numFmtId="0" fontId="41" fillId="0" borderId="11" xfId="0" applyFont="1" applyFill="1" applyBorder="1" applyAlignment="1">
      <alignment horizontal="center" vertical="center" wrapText="1"/>
    </xf>
    <xf numFmtId="165" fontId="0" fillId="0" borderId="0" xfId="0" applyNumberFormat="1" applyBorder="1" applyAlignment="1">
      <alignment vertical="center"/>
    </xf>
    <xf numFmtId="2" fontId="0" fillId="0" borderId="67" xfId="0" applyNumberFormat="1" applyBorder="1" applyAlignment="1">
      <alignment vertical="center"/>
    </xf>
    <xf numFmtId="0" fontId="0" fillId="0" borderId="87" xfId="0" applyBorder="1"/>
    <xf numFmtId="0" fontId="44" fillId="0" borderId="69" xfId="0" applyFont="1" applyFill="1" applyBorder="1"/>
    <xf numFmtId="173" fontId="47" fillId="0" borderId="0" xfId="0" applyNumberFormat="1" applyFont="1" applyBorder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1" fontId="37" fillId="0" borderId="11" xfId="0" applyNumberFormat="1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9" fontId="34" fillId="0" borderId="0" xfId="0" applyNumberFormat="1" applyFont="1" applyAlignment="1">
      <alignment horizontal="center" vertical="justify" wrapText="1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79" fontId="42" fillId="0" borderId="13" xfId="29" applyNumberFormat="1" applyFont="1" applyFill="1" applyBorder="1" applyAlignment="1">
      <alignment horizontal="right"/>
    </xf>
    <xf numFmtId="179" fontId="42" fillId="0" borderId="19" xfId="29" applyNumberFormat="1" applyFont="1" applyFill="1" applyBorder="1" applyAlignment="1">
      <alignment horizontal="right"/>
    </xf>
    <xf numFmtId="0" fontId="42" fillId="0" borderId="14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179" fontId="42" fillId="0" borderId="14" xfId="29" applyNumberFormat="1" applyFont="1" applyFill="1" applyBorder="1" applyAlignment="1">
      <alignment horizontal="center" vertical="center" wrapText="1"/>
    </xf>
    <xf numFmtId="179" fontId="42" fillId="0" borderId="62" xfId="29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8" fontId="42" fillId="0" borderId="58" xfId="0" applyNumberFormat="1" applyFont="1" applyBorder="1" applyAlignment="1">
      <alignment horizontal="center" vertical="center"/>
    </xf>
    <xf numFmtId="178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8" fontId="42" fillId="0" borderId="30" xfId="0" applyNumberFormat="1" applyFont="1" applyBorder="1" applyAlignment="1">
      <alignment horizontal="center" vertical="center"/>
    </xf>
    <xf numFmtId="178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9" fontId="42" fillId="25" borderId="14" xfId="29" applyNumberFormat="1" applyFont="1" applyFill="1" applyBorder="1" applyAlignment="1">
      <alignment horizontal="center" vertical="center" wrapText="1"/>
    </xf>
    <xf numFmtId="179" fontId="42" fillId="25" borderId="62" xfId="29" applyNumberFormat="1" applyFont="1" applyFill="1" applyBorder="1" applyAlignment="1">
      <alignment horizontal="center" vertical="center" wrapText="1"/>
    </xf>
    <xf numFmtId="0" fontId="49" fillId="22" borderId="11" xfId="0" applyFont="1" applyFill="1" applyBorder="1" applyAlignment="1">
      <alignment horizontal="center"/>
    </xf>
    <xf numFmtId="0" fontId="42" fillId="0" borderId="17" xfId="0" applyFont="1" applyBorder="1" applyAlignment="1">
      <alignment horizontal="center" vertical="center" wrapText="1"/>
    </xf>
    <xf numFmtId="179" fontId="42" fillId="26" borderId="13" xfId="56" applyNumberFormat="1" applyFont="1" applyFill="1" applyBorder="1" applyAlignment="1">
      <alignment horizontal="center" vertical="center" wrapText="1"/>
    </xf>
    <xf numFmtId="179" fontId="42" fillId="26" borderId="19" xfId="56" applyNumberFormat="1" applyFont="1" applyFill="1" applyBorder="1" applyAlignment="1">
      <alignment horizontal="center" vertical="center" wrapText="1"/>
    </xf>
    <xf numFmtId="179" fontId="42" fillId="26" borderId="14" xfId="29" applyNumberFormat="1" applyFont="1" applyFill="1" applyBorder="1" applyAlignment="1">
      <alignment horizontal="center" vertical="center" wrapText="1"/>
    </xf>
    <xf numFmtId="179" fontId="42" fillId="26" borderId="62" xfId="29" applyNumberFormat="1" applyFont="1" applyFill="1" applyBorder="1" applyAlignment="1">
      <alignment horizontal="center" vertical="center" wrapText="1"/>
    </xf>
    <xf numFmtId="179" fontId="42" fillId="26" borderId="17" xfId="29" applyNumberFormat="1" applyFont="1" applyFill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179" fontId="42" fillId="0" borderId="13" xfId="29" applyNumberFormat="1" applyFont="1" applyFill="1" applyBorder="1" applyAlignment="1">
      <alignment horizontal="center" vertical="center" wrapText="1"/>
    </xf>
    <xf numFmtId="179" fontId="42" fillId="0" borderId="20" xfId="29" applyNumberFormat="1" applyFont="1" applyFill="1" applyBorder="1" applyAlignment="1">
      <alignment horizontal="center" vertical="center" wrapText="1"/>
    </xf>
    <xf numFmtId="179" fontId="42" fillId="0" borderId="19" xfId="29" applyNumberFormat="1" applyFont="1" applyFill="1" applyBorder="1" applyAlignment="1">
      <alignment horizontal="center" vertical="center" wrapText="1"/>
    </xf>
    <xf numFmtId="179" fontId="42" fillId="39" borderId="88" xfId="56" applyNumberFormat="1" applyFont="1" applyFill="1" applyBorder="1" applyAlignment="1">
      <alignment horizontal="center" vertical="center" wrapText="1"/>
    </xf>
    <xf numFmtId="179" fontId="42" fillId="39" borderId="62" xfId="56" applyNumberFormat="1" applyFont="1" applyFill="1" applyBorder="1" applyAlignment="1">
      <alignment horizontal="center" vertical="center" wrapText="1"/>
    </xf>
    <xf numFmtId="179" fontId="42" fillId="39" borderId="17" xfId="56" applyNumberFormat="1" applyFont="1" applyFill="1" applyBorder="1" applyAlignment="1">
      <alignment horizontal="center" vertical="center" wrapText="1"/>
    </xf>
    <xf numFmtId="179" fontId="42" fillId="26" borderId="88" xfId="56" applyNumberFormat="1" applyFont="1" applyFill="1" applyBorder="1" applyAlignment="1">
      <alignment horizontal="center" vertical="center" wrapText="1"/>
    </xf>
    <xf numFmtId="179" fontId="42" fillId="26" borderId="62" xfId="56" applyNumberFormat="1" applyFont="1" applyFill="1" applyBorder="1" applyAlignment="1">
      <alignment horizontal="center" vertical="center" wrapText="1"/>
    </xf>
    <xf numFmtId="179" fontId="42" fillId="26" borderId="17" xfId="56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8" xfId="0" applyFont="1" applyBorder="1" applyAlignment="1">
      <alignment horizontal="center" vertical="center" wrapText="1"/>
    </xf>
    <xf numFmtId="179" fontId="42" fillId="22" borderId="14" xfId="29" applyNumberFormat="1" applyFont="1" applyFill="1" applyBorder="1" applyAlignment="1">
      <alignment horizontal="center" vertical="center" wrapText="1"/>
    </xf>
    <xf numFmtId="179" fontId="42" fillId="22" borderId="62" xfId="29" applyNumberFormat="1" applyFont="1" applyFill="1" applyBorder="1" applyAlignment="1">
      <alignment horizontal="center" vertical="center" wrapText="1"/>
    </xf>
    <xf numFmtId="179" fontId="42" fillId="22" borderId="17" xfId="29" applyNumberFormat="1" applyFont="1" applyFill="1" applyBorder="1" applyAlignment="1">
      <alignment horizontal="center" vertical="center" wrapText="1"/>
    </xf>
    <xf numFmtId="179" fontId="42" fillId="25" borderId="11" xfId="29" applyNumberFormat="1" applyFont="1" applyFill="1" applyBorder="1" applyAlignment="1">
      <alignment horizontal="center" vertical="center" wrapText="1"/>
    </xf>
    <xf numFmtId="179" fontId="42" fillId="0" borderId="11" xfId="29" applyNumberFormat="1" applyFont="1" applyFill="1" applyBorder="1" applyAlignment="1">
      <alignment horizontal="center" vertical="center" wrapText="1"/>
    </xf>
    <xf numFmtId="179" fontId="42" fillId="4" borderId="58" xfId="29" applyNumberFormat="1" applyFont="1" applyFill="1" applyBorder="1" applyAlignment="1">
      <alignment horizontal="center" vertical="center" wrapText="1"/>
    </xf>
    <xf numFmtId="179" fontId="42" fillId="4" borderId="31" xfId="29" applyNumberFormat="1" applyFont="1" applyFill="1" applyBorder="1" applyAlignment="1">
      <alignment horizontal="center" vertical="center" wrapText="1"/>
    </xf>
    <xf numFmtId="179" fontId="42" fillId="4" borderId="30" xfId="29" applyNumberFormat="1" applyFont="1" applyFill="1" applyBorder="1" applyAlignment="1">
      <alignment horizontal="center" vertical="center" wrapText="1"/>
    </xf>
    <xf numFmtId="179" fontId="42" fillId="4" borderId="16" xfId="29" applyNumberFormat="1" applyFont="1" applyFill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/>
    </xf>
    <xf numFmtId="179" fontId="42" fillId="4" borderId="11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79" fontId="42" fillId="39" borderId="58" xfId="56" applyNumberFormat="1" applyFont="1" applyFill="1" applyBorder="1" applyAlignment="1">
      <alignment horizontal="center" vertical="center" wrapText="1"/>
    </xf>
    <xf numFmtId="179" fontId="42" fillId="39" borderId="31" xfId="56" applyNumberFormat="1" applyFont="1" applyFill="1" applyBorder="1" applyAlignment="1">
      <alignment horizontal="center" vertical="center" wrapText="1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27" borderId="30" xfId="28" applyNumberFormat="1" applyFont="1" applyFill="1" applyBorder="1" applyAlignment="1">
      <alignment horizontal="center" vertical="center"/>
    </xf>
    <xf numFmtId="2" fontId="27" fillId="27" borderId="61" xfId="28" applyNumberFormat="1" applyFont="1" applyFill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0" fontId="53" fillId="0" borderId="78" xfId="41" applyFont="1" applyBorder="1" applyAlignment="1">
      <alignment horizontal="center"/>
    </xf>
    <xf numFmtId="0" fontId="53" fillId="0" borderId="79" xfId="41" applyFont="1" applyBorder="1" applyAlignment="1">
      <alignment horizontal="center"/>
    </xf>
    <xf numFmtId="0" fontId="53" fillId="0" borderId="22" xfId="41" applyFont="1" applyBorder="1" applyAlignment="1">
      <alignment horizontal="center"/>
    </xf>
    <xf numFmtId="0" fontId="53" fillId="0" borderId="44" xfId="41" applyFont="1" applyBorder="1" applyAlignment="1">
      <alignment horizontal="center" vertical="center"/>
    </xf>
    <xf numFmtId="0" fontId="53" fillId="0" borderId="77" xfId="41" applyFont="1" applyBorder="1" applyAlignment="1">
      <alignment horizontal="center" vertical="center"/>
    </xf>
    <xf numFmtId="0" fontId="53" fillId="0" borderId="46" xfId="41" applyFont="1" applyBorder="1" applyAlignment="1">
      <alignment horizontal="center" vertical="center"/>
    </xf>
    <xf numFmtId="0" fontId="53" fillId="0" borderId="54" xfId="41" applyFont="1" applyBorder="1" applyAlignment="1">
      <alignment horizontal="center" vertical="center"/>
    </xf>
    <xf numFmtId="0" fontId="53" fillId="0" borderId="62" xfId="41" applyFont="1" applyBorder="1" applyAlignment="1">
      <alignment horizontal="center" vertical="center"/>
    </xf>
    <xf numFmtId="0" fontId="53" fillId="0" borderId="29" xfId="41" applyFont="1" applyBorder="1" applyAlignment="1">
      <alignment horizontal="center" vertical="center"/>
    </xf>
    <xf numFmtId="0" fontId="53" fillId="11" borderId="54" xfId="41" applyFont="1" applyFill="1" applyBorder="1" applyAlignment="1">
      <alignment horizontal="center" vertical="center" wrapText="1"/>
    </xf>
    <xf numFmtId="0" fontId="53" fillId="11" borderId="62" xfId="41" applyFont="1" applyFill="1" applyBorder="1" applyAlignment="1">
      <alignment horizontal="center" vertical="center" wrapText="1"/>
    </xf>
    <xf numFmtId="0" fontId="53" fillId="11" borderId="29" xfId="41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27" fillId="0" borderId="80" xfId="0" quotePrefix="1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3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 wrapText="1"/>
    </xf>
    <xf numFmtId="0" fontId="27" fillId="0" borderId="85" xfId="0" applyFont="1" applyBorder="1" applyAlignment="1">
      <alignment horizontal="center" vertical="center" wrapText="1"/>
    </xf>
    <xf numFmtId="10" fontId="59" fillId="27" borderId="11" xfId="0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top" wrapText="1"/>
    </xf>
    <xf numFmtId="0" fontId="56" fillId="27" borderId="11" xfId="0" applyFont="1" applyFill="1" applyBorder="1" applyAlignment="1">
      <alignment horizontal="center" vertical="center"/>
    </xf>
    <xf numFmtId="0" fontId="56" fillId="27" borderId="88" xfId="0" applyFont="1" applyFill="1" applyBorder="1" applyAlignment="1">
      <alignment horizontal="center" vertical="center" wrapText="1"/>
    </xf>
    <xf numFmtId="0" fontId="56" fillId="27" borderId="17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88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10" fontId="5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6" fillId="0" borderId="88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6" fillId="0" borderId="62" xfId="0" applyFont="1" applyBorder="1" applyAlignment="1">
      <alignment horizontal="left" vertical="center"/>
    </xf>
    <xf numFmtId="10" fontId="1" fillId="0" borderId="88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/>
    </xf>
    <xf numFmtId="10" fontId="56" fillId="0" borderId="88" xfId="50" applyNumberFormat="1" applyFont="1" applyFill="1" applyBorder="1" applyAlignment="1">
      <alignment horizontal="center" vertical="center"/>
    </xf>
    <xf numFmtId="10" fontId="56" fillId="0" borderId="17" xfId="50" applyNumberFormat="1" applyFont="1" applyFill="1" applyBorder="1" applyAlignment="1">
      <alignment horizontal="center" vertical="center"/>
    </xf>
    <xf numFmtId="0" fontId="26" fillId="24" borderId="26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4" fillId="0" borderId="77" xfId="0" applyFont="1" applyBorder="1" applyAlignment="1" applyProtection="1">
      <alignment horizontal="center" vertical="center" textRotation="180" wrapText="1"/>
      <protection locked="0"/>
    </xf>
    <xf numFmtId="0" fontId="44" fillId="0" borderId="46" xfId="0" applyFont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7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6" fillId="24" borderId="77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9" xfId="0" applyFont="1" applyFill="1" applyBorder="1" applyAlignment="1">
      <alignment horizontal="center"/>
    </xf>
    <xf numFmtId="0" fontId="26" fillId="24" borderId="70" xfId="0" applyFont="1" applyFill="1" applyBorder="1" applyAlignment="1">
      <alignment horizontal="center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6" xfId="0" applyFont="1" applyFill="1" applyBorder="1" applyAlignment="1">
      <alignment horizontal="center"/>
    </xf>
    <xf numFmtId="0" fontId="26" fillId="24" borderId="74" xfId="0" applyFont="1" applyFill="1" applyBorder="1" applyAlignment="1">
      <alignment horizontal="center"/>
    </xf>
    <xf numFmtId="0" fontId="26" fillId="24" borderId="78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22" fillId="24" borderId="78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  <xf numFmtId="0" fontId="26" fillId="24" borderId="43" xfId="0" applyFont="1" applyFill="1" applyBorder="1" applyAlignment="1" applyProtection="1">
      <alignment horizontal="center" vertical="center" wrapText="1"/>
      <protection locked="0"/>
    </xf>
    <xf numFmtId="0" fontId="26" fillId="24" borderId="37" xfId="0" applyFont="1" applyFill="1" applyBorder="1" applyAlignment="1" applyProtection="1">
      <alignment horizontal="center" vertical="center" wrapText="1"/>
      <protection locked="0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3300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Lit>
              <c:formatCode>General</c:formatCode>
              <c:ptCount val="31"/>
              <c:pt idx="0">
                <c:v>42736</c:v>
              </c:pt>
              <c:pt idx="1">
                <c:v>42737</c:v>
              </c:pt>
              <c:pt idx="2">
                <c:v>42738</c:v>
              </c:pt>
              <c:pt idx="3">
                <c:v>42739</c:v>
              </c:pt>
              <c:pt idx="4">
                <c:v>42740</c:v>
              </c:pt>
              <c:pt idx="5">
                <c:v>42741</c:v>
              </c:pt>
              <c:pt idx="6">
                <c:v>42742</c:v>
              </c:pt>
              <c:pt idx="7">
                <c:v>42743</c:v>
              </c:pt>
              <c:pt idx="8">
                <c:v>42744</c:v>
              </c:pt>
              <c:pt idx="9">
                <c:v>42745</c:v>
              </c:pt>
              <c:pt idx="10">
                <c:v>42746</c:v>
              </c:pt>
              <c:pt idx="11">
                <c:v>42747</c:v>
              </c:pt>
              <c:pt idx="12">
                <c:v>42748</c:v>
              </c:pt>
              <c:pt idx="13">
                <c:v>42749</c:v>
              </c:pt>
              <c:pt idx="14">
                <c:v>42750</c:v>
              </c:pt>
              <c:pt idx="15">
                <c:v>42751</c:v>
              </c:pt>
              <c:pt idx="16">
                <c:v>42752</c:v>
              </c:pt>
              <c:pt idx="17">
                <c:v>42753</c:v>
              </c:pt>
              <c:pt idx="18">
                <c:v>42754</c:v>
              </c:pt>
              <c:pt idx="19">
                <c:v>42755</c:v>
              </c:pt>
              <c:pt idx="20">
                <c:v>42756</c:v>
              </c:pt>
              <c:pt idx="21">
                <c:v>42757</c:v>
              </c:pt>
              <c:pt idx="22">
                <c:v>42758</c:v>
              </c:pt>
              <c:pt idx="23">
                <c:v>42759</c:v>
              </c:pt>
              <c:pt idx="24">
                <c:v>42760</c:v>
              </c:pt>
              <c:pt idx="25">
                <c:v>42761</c:v>
              </c:pt>
              <c:pt idx="26">
                <c:v>42762</c:v>
              </c:pt>
              <c:pt idx="27">
                <c:v>42763</c:v>
              </c:pt>
              <c:pt idx="28">
                <c:v>42764</c:v>
              </c:pt>
              <c:pt idx="29">
                <c:v>42765</c:v>
              </c:pt>
              <c:pt idx="30">
                <c:v>42766</c:v>
              </c:pt>
            </c:numLit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80.168999999999997</c:v>
                </c:pt>
                <c:pt idx="1">
                  <c:v>68.052000000000007</c:v>
                </c:pt>
                <c:pt idx="2">
                  <c:v>53.136000000000003</c:v>
                </c:pt>
                <c:pt idx="3">
                  <c:v>42.997999999999998</c:v>
                </c:pt>
                <c:pt idx="4">
                  <c:v>2.3740000000000001</c:v>
                </c:pt>
                <c:pt idx="5">
                  <c:v>33.033000000000001</c:v>
                </c:pt>
                <c:pt idx="6">
                  <c:v>31.478000000000002</c:v>
                </c:pt>
                <c:pt idx="7">
                  <c:v>68.77</c:v>
                </c:pt>
                <c:pt idx="8">
                  <c:v>67.869</c:v>
                </c:pt>
                <c:pt idx="9">
                  <c:v>75.066999999999993</c:v>
                </c:pt>
                <c:pt idx="10">
                  <c:v>47.152999999999999</c:v>
                </c:pt>
                <c:pt idx="11">
                  <c:v>49.026000000000003</c:v>
                </c:pt>
                <c:pt idx="12">
                  <c:v>43.253999999999998</c:v>
                </c:pt>
                <c:pt idx="13">
                  <c:v>45.267000000000003</c:v>
                </c:pt>
                <c:pt idx="14">
                  <c:v>48.418999999999997</c:v>
                </c:pt>
                <c:pt idx="15">
                  <c:v>48.912999999999997</c:v>
                </c:pt>
                <c:pt idx="16">
                  <c:v>49.252000000000002</c:v>
                </c:pt>
                <c:pt idx="17">
                  <c:v>62.594000000000001</c:v>
                </c:pt>
                <c:pt idx="18">
                  <c:v>61.991999999999997</c:v>
                </c:pt>
                <c:pt idx="19">
                  <c:v>50.192999999999998</c:v>
                </c:pt>
                <c:pt idx="20">
                  <c:v>49.95</c:v>
                </c:pt>
                <c:pt idx="21">
                  <c:v>49.984999999999999</c:v>
                </c:pt>
                <c:pt idx="22">
                  <c:v>50.241</c:v>
                </c:pt>
                <c:pt idx="23">
                  <c:v>51.228999999999999</c:v>
                </c:pt>
                <c:pt idx="24">
                  <c:v>54.878999999999998</c:v>
                </c:pt>
                <c:pt idx="25">
                  <c:v>57.335000000000001</c:v>
                </c:pt>
                <c:pt idx="26">
                  <c:v>62.234000000000002</c:v>
                </c:pt>
                <c:pt idx="27">
                  <c:v>63.216000000000001</c:v>
                </c:pt>
                <c:pt idx="28">
                  <c:v>68.724999999999994</c:v>
                </c:pt>
                <c:pt idx="29">
                  <c:v>70.441999999999993</c:v>
                </c:pt>
                <c:pt idx="30">
                  <c:v>73.796000000000006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29752"/>
        <c:axId val="55353132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Report1!$J$9:$J$39</c:f>
              <c:numCache>
                <c:formatCode>0.00%</c:formatCode>
                <c:ptCount val="31"/>
                <c:pt idx="0">
                  <c:v>1.0736612946546025</c:v>
                </c:pt>
                <c:pt idx="1">
                  <c:v>1.0084006925939923</c:v>
                </c:pt>
                <c:pt idx="2">
                  <c:v>0.91110339907076565</c:v>
                </c:pt>
                <c:pt idx="3">
                  <c:v>0.80052628435133444</c:v>
                </c:pt>
                <c:pt idx="4">
                  <c:v>4.5486570452663515E-2</c:v>
                </c:pt>
                <c:pt idx="5">
                  <c:v>0.60009356716637552</c:v>
                </c:pt>
                <c:pt idx="6">
                  <c:v>0.55646883810175429</c:v>
                </c:pt>
                <c:pt idx="7">
                  <c:v>0.86040660712842121</c:v>
                </c:pt>
                <c:pt idx="8">
                  <c:v>0.83020675659207965</c:v>
                </c:pt>
                <c:pt idx="9">
                  <c:v>0.9720304898436728</c:v>
                </c:pt>
                <c:pt idx="10">
                  <c:v>0.86127935191573768</c:v>
                </c:pt>
                <c:pt idx="11">
                  <c:v>0.91022183735166273</c:v>
                </c:pt>
                <c:pt idx="12">
                  <c:v>0.80938961655449282</c:v>
                </c:pt>
                <c:pt idx="13">
                  <c:v>0.87026645183675888</c:v>
                </c:pt>
                <c:pt idx="14">
                  <c:v>0.93086423512678151</c:v>
                </c:pt>
                <c:pt idx="15">
                  <c:v>0.9403614765434285</c:v>
                </c:pt>
                <c:pt idx="16">
                  <c:v>0.94687881427671472</c:v>
                </c:pt>
                <c:pt idx="17">
                  <c:v>0.93131339103461508</c:v>
                </c:pt>
                <c:pt idx="18">
                  <c:v>0.8981666494042837</c:v>
                </c:pt>
                <c:pt idx="19">
                  <c:v>0.93268989894130183</c:v>
                </c:pt>
                <c:pt idx="20">
                  <c:v>0.92668258275493076</c:v>
                </c:pt>
                <c:pt idx="21">
                  <c:v>0.94399890877308856</c:v>
                </c:pt>
                <c:pt idx="22">
                  <c:v>0.97979699434719558</c:v>
                </c:pt>
                <c:pt idx="23">
                  <c:v>0.99753962165299936</c:v>
                </c:pt>
                <c:pt idx="24">
                  <c:v>0.9506970633727001</c:v>
                </c:pt>
                <c:pt idx="25">
                  <c:v>0.95058438496035369</c:v>
                </c:pt>
                <c:pt idx="26">
                  <c:v>0.9383288248377758</c:v>
                </c:pt>
                <c:pt idx="27">
                  <c:v>0.95200122713825619</c:v>
                </c:pt>
                <c:pt idx="28">
                  <c:v>1.0434582719936254</c:v>
                </c:pt>
                <c:pt idx="29">
                  <c:v>0.91878251905884101</c:v>
                </c:pt>
                <c:pt idx="30">
                  <c:v>0.96985461089263214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Report1!$K$9:$K$39</c:f>
              <c:numCache>
                <c:formatCode>0.00%</c:formatCode>
                <c:ptCount val="31"/>
                <c:pt idx="0">
                  <c:v>1.0736612946546025</c:v>
                </c:pt>
                <c:pt idx="1">
                  <c:v>1.0426799600844918</c:v>
                </c:pt>
                <c:pt idx="2">
                  <c:v>1.0044026983975332</c:v>
                </c:pt>
                <c:pt idx="3">
                  <c:v>0.9613215669015448</c:v>
                </c:pt>
                <c:pt idx="4">
                  <c:v>0.80530974396073562</c:v>
                </c:pt>
                <c:pt idx="5">
                  <c:v>0.77405446118790122</c:v>
                </c:pt>
                <c:pt idx="6">
                  <c:v>0.74460828309688887</c:v>
                </c:pt>
                <c:pt idx="7">
                  <c:v>0.76319655153210064</c:v>
                </c:pt>
                <c:pt idx="8">
                  <c:v>0.77264687086455175</c:v>
                </c:pt>
                <c:pt idx="9">
                  <c:v>0.79608712975948037</c:v>
                </c:pt>
                <c:pt idx="10">
                  <c:v>0.80110245220455134</c:v>
                </c:pt>
                <c:pt idx="11">
                  <c:v>0.80878019015104674</c:v>
                </c:pt>
                <c:pt idx="12">
                  <c:v>0.80881995828541453</c:v>
                </c:pt>
                <c:pt idx="13">
                  <c:v>0.81248963960997045</c:v>
                </c:pt>
                <c:pt idx="14">
                  <c:v>0.81916074772247494</c:v>
                </c:pt>
                <c:pt idx="15">
                  <c:v>0.82562672889425337</c:v>
                </c:pt>
                <c:pt idx="16">
                  <c:v>0.83176782629675139</c:v>
                </c:pt>
                <c:pt idx="17">
                  <c:v>0.83788225367884606</c:v>
                </c:pt>
                <c:pt idx="18">
                  <c:v>0.84145922659684025</c:v>
                </c:pt>
                <c:pt idx="19">
                  <c:v>0.84549324359895961</c:v>
                </c:pt>
                <c:pt idx="20">
                  <c:v>0.84893653502373134</c:v>
                </c:pt>
                <c:pt idx="21">
                  <c:v>0.85273860744503582</c:v>
                </c:pt>
                <c:pt idx="22">
                  <c:v>0.85747628699385758</c:v>
                </c:pt>
                <c:pt idx="23">
                  <c:v>0.86251857185039715</c:v>
                </c:pt>
                <c:pt idx="24">
                  <c:v>0.86594795770164679</c:v>
                </c:pt>
                <c:pt idx="25">
                  <c:v>0.86925299953692914</c:v>
                </c:pt>
                <c:pt idx="26">
                  <c:v>0.87209700134365442</c:v>
                </c:pt>
                <c:pt idx="27">
                  <c:v>0.8752603523035809</c:v>
                </c:pt>
                <c:pt idx="28">
                  <c:v>0.88161543590567792</c:v>
                </c:pt>
                <c:pt idx="29">
                  <c:v>0.88318126803303565</c:v>
                </c:pt>
                <c:pt idx="30">
                  <c:v>0.88665975535746266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227112"/>
        <c:axId val="304226720"/>
      </c:lineChart>
      <c:catAx>
        <c:axId val="553529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3531320"/>
        <c:crosses val="autoZero"/>
        <c:auto val="1"/>
        <c:lblAlgn val="ctr"/>
        <c:lblOffset val="100"/>
        <c:noMultiLvlLbl val="0"/>
      </c:catAx>
      <c:valAx>
        <c:axId val="55353132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553529752"/>
        <c:crosses val="autoZero"/>
        <c:crossBetween val="between"/>
      </c:valAx>
      <c:valAx>
        <c:axId val="3042267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04227112"/>
        <c:crosses val="max"/>
        <c:crossBetween val="between"/>
      </c:valAx>
      <c:catAx>
        <c:axId val="304227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042267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D7">
            <v>105.82000000029802</v>
          </cell>
          <cell r="O7">
            <v>725.30000000000427</v>
          </cell>
          <cell r="P7">
            <v>864.90000000002328</v>
          </cell>
          <cell r="Q7">
            <v>7729</v>
          </cell>
          <cell r="R7">
            <v>0</v>
          </cell>
          <cell r="S7">
            <v>14597.709999999341</v>
          </cell>
          <cell r="T7">
            <v>5281.0099999998838</v>
          </cell>
          <cell r="U7">
            <v>5194.01</v>
          </cell>
          <cell r="BH7">
            <v>31567</v>
          </cell>
        </row>
        <row r="8">
          <cell r="O8">
            <v>767.40000000000919</v>
          </cell>
          <cell r="P8">
            <v>238.09999999997672</v>
          </cell>
          <cell r="Q8">
            <v>6041</v>
          </cell>
          <cell r="R8">
            <v>0</v>
          </cell>
          <cell r="S8">
            <v>15303.330000001009</v>
          </cell>
          <cell r="T8">
            <v>7388.7300000003197</v>
          </cell>
          <cell r="U8">
            <v>6398.9300000000694</v>
          </cell>
          <cell r="BH8">
            <v>31411</v>
          </cell>
        </row>
        <row r="9">
          <cell r="O9">
            <v>849.49999999997772</v>
          </cell>
          <cell r="P9">
            <v>0</v>
          </cell>
          <cell r="Q9">
            <v>6243</v>
          </cell>
          <cell r="R9">
            <v>0</v>
          </cell>
          <cell r="S9">
            <v>15157.250000000022</v>
          </cell>
          <cell r="T9">
            <v>7804.7499999997744</v>
          </cell>
          <cell r="U9">
            <v>5951.4499999999534</v>
          </cell>
          <cell r="BH9">
            <v>25392</v>
          </cell>
        </row>
        <row r="10">
          <cell r="O10">
            <v>758.30000000001974</v>
          </cell>
          <cell r="P10">
            <v>1522.3000000000466</v>
          </cell>
          <cell r="Q10">
            <v>6180</v>
          </cell>
          <cell r="R10">
            <v>0</v>
          </cell>
          <cell r="S10">
            <v>15843.929999999689</v>
          </cell>
          <cell r="T10">
            <v>7694.2300000002615</v>
          </cell>
          <cell r="U10">
            <v>5812.5300000000461</v>
          </cell>
          <cell r="BH10">
            <v>16754</v>
          </cell>
        </row>
        <row r="11">
          <cell r="O11">
            <v>203.59999999999445</v>
          </cell>
          <cell r="P11">
            <v>277</v>
          </cell>
          <cell r="Q11">
            <v>819</v>
          </cell>
          <cell r="R11">
            <v>286.79999999998836</v>
          </cell>
          <cell r="S11">
            <v>5505.3500000001513</v>
          </cell>
          <cell r="T11">
            <v>1540.9500000000255</v>
          </cell>
          <cell r="U11">
            <v>1424.45</v>
          </cell>
          <cell r="BH11">
            <v>627</v>
          </cell>
        </row>
        <row r="12">
          <cell r="O12">
            <v>687.20000000001846</v>
          </cell>
          <cell r="P12">
            <v>2712.6999999999534</v>
          </cell>
          <cell r="Q12">
            <v>5723</v>
          </cell>
          <cell r="R12">
            <v>2385.6000000000058</v>
          </cell>
          <cell r="S12">
            <v>17442.290000000201</v>
          </cell>
          <cell r="T12">
            <v>8138.4899999997779</v>
          </cell>
          <cell r="U12">
            <v>8189.7899999999299</v>
          </cell>
          <cell r="BH12">
            <v>613</v>
          </cell>
        </row>
        <row r="13">
          <cell r="O13">
            <v>608.79999999997381</v>
          </cell>
          <cell r="P13">
            <v>2052</v>
          </cell>
          <cell r="Q13">
            <v>4404</v>
          </cell>
          <cell r="R13">
            <v>1744</v>
          </cell>
          <cell r="S13">
            <v>13830.870000000172</v>
          </cell>
          <cell r="T13">
            <v>6567.6699999998473</v>
          </cell>
          <cell r="U13">
            <v>5839.5700000000234</v>
          </cell>
          <cell r="BH13">
            <v>474</v>
          </cell>
        </row>
        <row r="14">
          <cell r="O14">
            <v>757.0999999999799</v>
          </cell>
          <cell r="P14">
            <v>2746.7000000000698</v>
          </cell>
          <cell r="Q14">
            <v>5432</v>
          </cell>
          <cell r="R14">
            <v>2323.3000000000029</v>
          </cell>
          <cell r="S14">
            <v>17163.169999998929</v>
          </cell>
          <cell r="T14">
            <v>8628.270000000357</v>
          </cell>
          <cell r="U14">
            <v>6741.27</v>
          </cell>
          <cell r="BH14">
            <v>519</v>
          </cell>
        </row>
        <row r="15">
          <cell r="O15">
            <v>805.3000000000452</v>
          </cell>
          <cell r="P15">
            <v>2652.8999999999069</v>
          </cell>
          <cell r="Q15">
            <v>5409</v>
          </cell>
          <cell r="R15">
            <v>2299</v>
          </cell>
          <cell r="S15">
            <v>17531.410000000535</v>
          </cell>
          <cell r="T15">
            <v>9229.7099999997008</v>
          </cell>
          <cell r="U15">
            <v>7396.1100000000233</v>
          </cell>
          <cell r="BH15">
            <v>451</v>
          </cell>
        </row>
        <row r="16">
          <cell r="O16">
            <v>760.49999999997908</v>
          </cell>
          <cell r="P16">
            <v>2714.3000000000466</v>
          </cell>
          <cell r="Q16">
            <v>6627</v>
          </cell>
          <cell r="R16">
            <v>2370.3000000000029</v>
          </cell>
          <cell r="S16">
            <v>17060.769999999658</v>
          </cell>
          <cell r="T16">
            <v>8792.270000000095</v>
          </cell>
          <cell r="U16">
            <v>7048.6700000000237</v>
          </cell>
          <cell r="BH16">
            <v>455</v>
          </cell>
        </row>
        <row r="17">
          <cell r="O17">
            <v>787.89999999997917</v>
          </cell>
          <cell r="P17">
            <v>3192.0999999999767</v>
          </cell>
          <cell r="Q17">
            <v>5008</v>
          </cell>
          <cell r="R17">
            <v>2349.5</v>
          </cell>
          <cell r="S17">
            <v>17486.210000000166</v>
          </cell>
          <cell r="T17">
            <v>8882.109999999866</v>
          </cell>
          <cell r="U17">
            <v>7824.9099999999298</v>
          </cell>
          <cell r="BH17">
            <v>459</v>
          </cell>
        </row>
        <row r="18">
          <cell r="O18">
            <v>850.00000000002274</v>
          </cell>
          <cell r="P18">
            <v>3409.2000000000698</v>
          </cell>
          <cell r="Q18">
            <v>5143</v>
          </cell>
          <cell r="R18">
            <v>2373.5</v>
          </cell>
          <cell r="S18">
            <v>17571.760000000413</v>
          </cell>
          <cell r="T18">
            <v>8948.7600000000257</v>
          </cell>
          <cell r="U18">
            <v>7938.6600000000235</v>
          </cell>
          <cell r="BH18">
            <v>456</v>
          </cell>
        </row>
        <row r="19">
          <cell r="O19">
            <v>794.19999999998936</v>
          </cell>
          <cell r="P19">
            <v>2878.6999999999534</v>
          </cell>
          <cell r="Q19">
            <v>4885</v>
          </cell>
          <cell r="R19">
            <v>2355.3999999999942</v>
          </cell>
          <cell r="S19">
            <v>17677.709999999719</v>
          </cell>
          <cell r="T19">
            <v>9021.9100000003455</v>
          </cell>
          <cell r="U19">
            <v>7881.91</v>
          </cell>
          <cell r="BH19">
            <v>531</v>
          </cell>
        </row>
        <row r="20">
          <cell r="O20">
            <v>845.10000000000218</v>
          </cell>
          <cell r="P20">
            <v>1958.3000000000466</v>
          </cell>
          <cell r="Q20">
            <v>4132</v>
          </cell>
          <cell r="R20">
            <v>2187.8999999999942</v>
          </cell>
          <cell r="S20">
            <v>16540.980000000363</v>
          </cell>
          <cell r="T20">
            <v>8422.0799999995124</v>
          </cell>
          <cell r="U20">
            <v>7379.8800000000465</v>
          </cell>
          <cell r="BH20">
            <v>363</v>
          </cell>
        </row>
        <row r="21">
          <cell r="O21">
            <v>844.20000000000073</v>
          </cell>
          <cell r="P21">
            <v>2189.0999999999767</v>
          </cell>
          <cell r="Q21">
            <v>5056</v>
          </cell>
          <cell r="R21">
            <v>2377.7000000000116</v>
          </cell>
          <cell r="S21">
            <v>17715.029999998835</v>
          </cell>
          <cell r="T21">
            <v>9164.2300000002178</v>
          </cell>
          <cell r="U21">
            <v>8098.0299999999297</v>
          </cell>
          <cell r="BH21">
            <v>444</v>
          </cell>
        </row>
        <row r="22">
          <cell r="O22">
            <v>835.30000000001792</v>
          </cell>
          <cell r="P22">
            <v>2327.4000000000233</v>
          </cell>
          <cell r="Q22">
            <v>5278</v>
          </cell>
          <cell r="R22">
            <v>2385.0999999999913</v>
          </cell>
          <cell r="S22">
            <v>17608.099999999984</v>
          </cell>
          <cell r="T22">
            <v>9007.4000000003052</v>
          </cell>
          <cell r="U22">
            <v>8009.9</v>
          </cell>
          <cell r="BH22">
            <v>438</v>
          </cell>
        </row>
        <row r="23">
          <cell r="O23">
            <v>872.50000000000227</v>
          </cell>
          <cell r="P23">
            <v>1979.0999999999767</v>
          </cell>
          <cell r="Q23">
            <v>5539</v>
          </cell>
          <cell r="R23">
            <v>2387.9000000000087</v>
          </cell>
          <cell r="S23">
            <v>16712.27000000167</v>
          </cell>
          <cell r="T23">
            <v>8346.7699999995712</v>
          </cell>
          <cell r="U23">
            <v>7347.1700000000237</v>
          </cell>
          <cell r="BH23">
            <v>422</v>
          </cell>
        </row>
        <row r="24">
          <cell r="O24">
            <v>732.89999999997235</v>
          </cell>
          <cell r="P24">
            <v>1941.2999999999302</v>
          </cell>
          <cell r="Q24">
            <v>6599</v>
          </cell>
          <cell r="R24">
            <v>2485</v>
          </cell>
          <cell r="S24">
            <v>17656.389999999592</v>
          </cell>
          <cell r="T24">
            <v>9201.2900000003719</v>
          </cell>
          <cell r="U24">
            <v>7726.5900000000465</v>
          </cell>
          <cell r="BH24">
            <v>451</v>
          </cell>
        </row>
        <row r="25">
          <cell r="O25">
            <v>660.20000000003165</v>
          </cell>
          <cell r="P25">
            <v>4464.6000000000931</v>
          </cell>
          <cell r="Q25">
            <v>6897</v>
          </cell>
          <cell r="R25">
            <v>2418.8999999999942</v>
          </cell>
          <cell r="S25">
            <v>17693.030000000188</v>
          </cell>
          <cell r="T25">
            <v>8760.2299999994611</v>
          </cell>
          <cell r="U25">
            <v>7215.3299999999763</v>
          </cell>
          <cell r="BH25">
            <v>448</v>
          </cell>
        </row>
        <row r="26">
          <cell r="O26">
            <v>853.79999999997835</v>
          </cell>
          <cell r="P26">
            <v>3994.5999999999767</v>
          </cell>
          <cell r="Q26">
            <v>5546</v>
          </cell>
          <cell r="R26">
            <v>2442.3999999999942</v>
          </cell>
          <cell r="S26">
            <v>18294.599999999078</v>
          </cell>
          <cell r="T26">
            <v>9511.400000000247</v>
          </cell>
          <cell r="U26">
            <v>7646.4</v>
          </cell>
          <cell r="BH26">
            <v>448</v>
          </cell>
        </row>
        <row r="27">
          <cell r="O27">
            <v>804.30000000001201</v>
          </cell>
          <cell r="P27">
            <v>2472.4000000000233</v>
          </cell>
          <cell r="Q27">
            <v>5068</v>
          </cell>
          <cell r="R27">
            <v>2328.3000000000029</v>
          </cell>
          <cell r="S27">
            <v>16876.650000000569</v>
          </cell>
          <cell r="T27">
            <v>8512.950000000008</v>
          </cell>
          <cell r="U27">
            <v>6855.0499999999765</v>
          </cell>
          <cell r="BH27">
            <v>426</v>
          </cell>
        </row>
        <row r="28">
          <cell r="O28">
            <v>791.29999999997835</v>
          </cell>
          <cell r="P28">
            <v>2602.0999999999767</v>
          </cell>
          <cell r="Q28">
            <v>5008</v>
          </cell>
          <cell r="R28">
            <v>2385.6000000000058</v>
          </cell>
          <cell r="S28">
            <v>17186.260000000097</v>
          </cell>
          <cell r="T28">
            <v>8777.5600000002541</v>
          </cell>
          <cell r="U28">
            <v>7011.4600000000237</v>
          </cell>
          <cell r="BH28">
            <v>442</v>
          </cell>
        </row>
        <row r="29">
          <cell r="O29">
            <v>599.30000000002792</v>
          </cell>
          <cell r="P29">
            <v>3091.5</v>
          </cell>
          <cell r="Q29">
            <v>5185</v>
          </cell>
          <cell r="R29">
            <v>2296.3000000000029</v>
          </cell>
          <cell r="S29">
            <v>16495.470000000409</v>
          </cell>
          <cell r="T29">
            <v>8857.7699999994475</v>
          </cell>
          <cell r="U29">
            <v>7026.0699999999306</v>
          </cell>
          <cell r="BH29">
            <v>269</v>
          </cell>
        </row>
        <row r="30">
          <cell r="O30">
            <v>546.40000000000555</v>
          </cell>
          <cell r="P30">
            <v>2434.5999999999767</v>
          </cell>
          <cell r="Q30">
            <v>4895</v>
          </cell>
          <cell r="R30">
            <v>2413.3999999999942</v>
          </cell>
          <cell r="S30">
            <v>16905.159999999851</v>
          </cell>
          <cell r="T30">
            <v>8886.5600000002541</v>
          </cell>
          <cell r="U30">
            <v>7046.7600000000702</v>
          </cell>
          <cell r="BH30">
            <v>736</v>
          </cell>
        </row>
        <row r="31">
          <cell r="O31">
            <v>578.39999999998781</v>
          </cell>
          <cell r="P31">
            <v>1905.1999999999534</v>
          </cell>
          <cell r="Q31">
            <v>4095</v>
          </cell>
          <cell r="R31">
            <v>2366.5</v>
          </cell>
          <cell r="S31">
            <v>17336.189999999795</v>
          </cell>
          <cell r="T31">
            <v>9410.5899999998765</v>
          </cell>
          <cell r="U31">
            <v>7561.2899999999536</v>
          </cell>
          <cell r="BH31">
            <v>436</v>
          </cell>
        </row>
        <row r="32">
          <cell r="O32">
            <v>574.99999999998863</v>
          </cell>
          <cell r="P32">
            <v>1805.5</v>
          </cell>
          <cell r="Q32">
            <v>4162</v>
          </cell>
          <cell r="R32">
            <v>2439.1000000000058</v>
          </cell>
          <cell r="S32">
            <v>18241.529999998773</v>
          </cell>
          <cell r="T32">
            <v>10196.530000000692</v>
          </cell>
          <cell r="U32">
            <v>8269.3300000000472</v>
          </cell>
          <cell r="BH32">
            <v>451</v>
          </cell>
        </row>
        <row r="33">
          <cell r="O33">
            <v>773.30000000000609</v>
          </cell>
          <cell r="P33">
            <v>304.20000000006985</v>
          </cell>
          <cell r="Q33">
            <v>4949</v>
          </cell>
          <cell r="R33">
            <v>420.89999999999418</v>
          </cell>
          <cell r="S33">
            <v>15177.010000001157</v>
          </cell>
          <cell r="T33">
            <v>8903.3099999997739</v>
          </cell>
          <cell r="U33">
            <v>7277.9099999999771</v>
          </cell>
          <cell r="BH33">
            <v>9244</v>
          </cell>
          <cell r="BL33">
            <v>19553.239999999994</v>
          </cell>
        </row>
        <row r="34">
          <cell r="O34">
            <v>732.10000000000264</v>
          </cell>
          <cell r="P34">
            <v>0</v>
          </cell>
          <cell r="Q34">
            <v>5290</v>
          </cell>
          <cell r="R34">
            <v>0</v>
          </cell>
          <cell r="S34">
            <v>14940.199999999706</v>
          </cell>
          <cell r="T34">
            <v>7170.3000000002112</v>
          </cell>
          <cell r="U34">
            <v>6319.6000000000467</v>
          </cell>
          <cell r="BH34">
            <v>30215</v>
          </cell>
        </row>
        <row r="35">
          <cell r="O35">
            <v>706.50000000000546</v>
          </cell>
          <cell r="P35">
            <v>0</v>
          </cell>
          <cell r="Q35">
            <v>6040</v>
          </cell>
          <cell r="R35">
            <v>0</v>
          </cell>
          <cell r="S35">
            <v>15403.839999999558</v>
          </cell>
          <cell r="T35">
            <v>7450.3399999997091</v>
          </cell>
          <cell r="U35">
            <v>5954.9399999999769</v>
          </cell>
          <cell r="BH35">
            <v>31212</v>
          </cell>
        </row>
        <row r="36">
          <cell r="O36">
            <v>755.59999999995853</v>
          </cell>
          <cell r="P36">
            <v>1359.6999999999534</v>
          </cell>
          <cell r="Q36">
            <v>6812</v>
          </cell>
          <cell r="R36">
            <v>0</v>
          </cell>
          <cell r="S36">
            <v>15616.870000001278</v>
          </cell>
          <cell r="T36">
            <v>5508.4699999998402</v>
          </cell>
          <cell r="U36">
            <v>6162.6699999999537</v>
          </cell>
          <cell r="BH36">
            <v>32502</v>
          </cell>
        </row>
        <row r="37">
          <cell r="O37">
            <v>634.30000000005293</v>
          </cell>
          <cell r="P37">
            <v>0</v>
          </cell>
          <cell r="Q37">
            <v>5202</v>
          </cell>
          <cell r="R37">
            <v>0</v>
          </cell>
          <cell r="S37">
            <v>14712.269999999946</v>
          </cell>
          <cell r="T37">
            <v>5535.5700000003053</v>
          </cell>
          <cell r="U37">
            <v>5990.07</v>
          </cell>
          <cell r="BH37">
            <v>31426</v>
          </cell>
        </row>
        <row r="38">
          <cell r="V38">
            <v>1263171.0300000012</v>
          </cell>
          <cell r="BH38">
            <v>250082</v>
          </cell>
          <cell r="BL38">
            <v>19553.239999999994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K65536"/>
  <sheetViews>
    <sheetView zoomScaleNormal="100" workbookViewId="0">
      <pane xSplit="3" ySplit="8" topLeftCell="AH30" activePane="bottomRight" state="frozen"/>
      <selection pane="topRight" activeCell="E1" sqref="E1"/>
      <selection pane="bottomLeft" activeCell="A9" sqref="A9"/>
      <selection pane="bottomRight" activeCell="BC35" sqref="BC35:BI35"/>
    </sheetView>
  </sheetViews>
  <sheetFormatPr defaultColWidth="9.140625" defaultRowHeight="12.75"/>
  <cols>
    <col min="1" max="1" width="7.42578125" style="283" bestFit="1" customWidth="1"/>
    <col min="2" max="2" width="12" style="282" bestFit="1" customWidth="1"/>
    <col min="3" max="3" width="16.5703125" style="282" bestFit="1" customWidth="1"/>
    <col min="4" max="5" width="8.42578125" style="282" customWidth="1"/>
    <col min="6" max="6" width="6.28515625" style="282" customWidth="1"/>
    <col min="7" max="7" width="8.28515625" style="282" customWidth="1"/>
    <col min="8" max="8" width="10.42578125" style="282" customWidth="1"/>
    <col min="9" max="9" width="12.28515625" style="282" customWidth="1"/>
    <col min="10" max="11" width="10.5703125" style="282" customWidth="1"/>
    <col min="12" max="12" width="10" style="284" bestFit="1" customWidth="1"/>
    <col min="13" max="15" width="9.42578125" style="285" customWidth="1"/>
    <col min="16" max="16" width="10.28515625" style="284" bestFit="1" customWidth="1"/>
    <col min="17" max="17" width="8.140625" style="285" customWidth="1"/>
    <col min="18" max="18" width="10.28515625" style="284" bestFit="1" customWidth="1"/>
    <col min="19" max="19" width="8.28515625" style="286" bestFit="1" customWidth="1"/>
    <col min="20" max="20" width="9" style="286" hidden="1" customWidth="1"/>
    <col min="21" max="21" width="7.28515625" style="286" hidden="1" customWidth="1"/>
    <col min="22" max="22" width="8.28515625" style="287" hidden="1" customWidth="1"/>
    <col min="23" max="23" width="7.28515625" style="288" hidden="1" customWidth="1"/>
    <col min="24" max="24" width="6.85546875" style="286" hidden="1" customWidth="1"/>
    <col min="25" max="25" width="6.28515625" style="286" hidden="1" customWidth="1"/>
    <col min="26" max="26" width="10" style="289" hidden="1" customWidth="1"/>
    <col min="27" max="27" width="7.140625" style="286" hidden="1" customWidth="1"/>
    <col min="28" max="28" width="11.140625" style="285" hidden="1" customWidth="1"/>
    <col min="29" max="29" width="10.140625" style="285" hidden="1" customWidth="1"/>
    <col min="30" max="30" width="7.5703125" style="285" hidden="1" customWidth="1"/>
    <col min="31" max="31" width="7.140625" style="285" hidden="1" customWidth="1"/>
    <col min="32" max="32" width="6.5703125" style="290" hidden="1" customWidth="1"/>
    <col min="33" max="33" width="6.85546875" style="288" hidden="1" customWidth="1"/>
    <col min="34" max="34" width="9.28515625" style="286" bestFit="1" customWidth="1"/>
    <col min="35" max="35" width="7.85546875" style="286" customWidth="1"/>
    <col min="36" max="36" width="8.7109375" style="289" bestFit="1" customWidth="1"/>
    <col min="37" max="37" width="6.85546875" style="289" bestFit="1" customWidth="1"/>
    <col min="38" max="38" width="8.140625" style="286" bestFit="1" customWidth="1"/>
    <col min="39" max="39" width="7.5703125" style="289" bestFit="1" customWidth="1"/>
    <col min="40" max="45" width="7.5703125" style="289" customWidth="1"/>
    <col min="46" max="47" width="10.7109375" style="286" bestFit="1" customWidth="1"/>
    <col min="48" max="51" width="7.5703125" style="289" customWidth="1"/>
    <col min="54" max="54" width="9.5703125" bestFit="1" customWidth="1"/>
    <col min="58" max="59" width="9.140625" style="95"/>
    <col min="60" max="60" width="8.7109375" style="284" customWidth="1"/>
    <col min="61" max="61" width="8.7109375" style="285" customWidth="1"/>
    <col min="62" max="63" width="8.7109375" style="282" customWidth="1"/>
  </cols>
  <sheetData>
    <row r="1" spans="1:63" ht="12.75" customHeight="1">
      <c r="A1" s="281"/>
    </row>
    <row r="2" spans="1:63">
      <c r="A2" s="281"/>
    </row>
    <row r="3" spans="1:63" ht="12.75" customHeight="1">
      <c r="A3" s="463" t="s">
        <v>196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H3"/>
      <c r="BI3"/>
      <c r="BJ3"/>
      <c r="BK3"/>
    </row>
    <row r="4" spans="1:63" ht="12.75" customHeight="1">
      <c r="A4" s="463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H4"/>
      <c r="BI4"/>
      <c r="BJ4"/>
      <c r="BK4"/>
    </row>
    <row r="5" spans="1:63">
      <c r="BJ5" s="285"/>
      <c r="BK5" s="285"/>
    </row>
    <row r="6" spans="1:63" ht="22.7" customHeight="1">
      <c r="A6" s="612" t="s">
        <v>31</v>
      </c>
      <c r="B6" s="615" t="s">
        <v>5</v>
      </c>
      <c r="C6" s="615" t="s">
        <v>6</v>
      </c>
      <c r="D6" s="615" t="s">
        <v>189</v>
      </c>
      <c r="E6" s="615" t="s">
        <v>190</v>
      </c>
      <c r="F6" s="615" t="s">
        <v>191</v>
      </c>
      <c r="G6" s="615" t="s">
        <v>197</v>
      </c>
      <c r="H6" s="615" t="s">
        <v>192</v>
      </c>
      <c r="I6" s="615" t="s">
        <v>193</v>
      </c>
      <c r="J6" s="616" t="s">
        <v>194</v>
      </c>
      <c r="K6" s="617"/>
      <c r="L6" s="611" t="s">
        <v>195</v>
      </c>
      <c r="M6" s="611"/>
      <c r="N6" s="611" t="s">
        <v>198</v>
      </c>
      <c r="O6" s="611"/>
      <c r="P6" s="624" t="s">
        <v>32</v>
      </c>
      <c r="Q6" s="624"/>
      <c r="R6" s="622" t="s">
        <v>24</v>
      </c>
      <c r="S6" s="622"/>
      <c r="T6" s="622" t="s">
        <v>33</v>
      </c>
      <c r="U6" s="622"/>
      <c r="V6" s="622" t="s">
        <v>34</v>
      </c>
      <c r="W6" s="622"/>
      <c r="X6" s="622" t="s">
        <v>35</v>
      </c>
      <c r="Y6" s="622"/>
      <c r="Z6" s="622"/>
      <c r="AA6" s="622"/>
      <c r="AB6" s="622" t="s">
        <v>36</v>
      </c>
      <c r="AC6" s="622"/>
      <c r="AD6" s="622"/>
      <c r="AE6" s="622"/>
      <c r="AF6" s="622"/>
      <c r="AG6" s="622"/>
      <c r="AH6" s="622" t="s">
        <v>37</v>
      </c>
      <c r="AI6" s="622"/>
      <c r="AJ6" s="622"/>
      <c r="AK6" s="622"/>
      <c r="AL6" s="622"/>
      <c r="AM6" s="622"/>
      <c r="AN6" s="622" t="s">
        <v>188</v>
      </c>
      <c r="AO6" s="622"/>
      <c r="AP6" s="622"/>
      <c r="AQ6" s="622"/>
      <c r="AR6" s="622"/>
      <c r="AS6" s="622"/>
      <c r="AT6" s="622" t="s">
        <v>38</v>
      </c>
      <c r="AU6" s="622"/>
      <c r="AV6" s="622"/>
      <c r="AW6" s="622"/>
      <c r="AX6" s="622"/>
      <c r="AY6" s="622"/>
      <c r="AZ6" s="622" t="s">
        <v>187</v>
      </c>
      <c r="BA6" s="622"/>
      <c r="BB6" s="622"/>
      <c r="BC6" s="622"/>
      <c r="BD6" s="622"/>
      <c r="BE6" s="622"/>
      <c r="BF6" s="620" t="s">
        <v>302</v>
      </c>
      <c r="BG6" s="621"/>
      <c r="BH6" s="611" t="s">
        <v>370</v>
      </c>
      <c r="BI6" s="611"/>
      <c r="BJ6" s="616" t="s">
        <v>371</v>
      </c>
      <c r="BK6" s="617"/>
    </row>
    <row r="7" spans="1:63" ht="22.7" customHeight="1">
      <c r="A7" s="613"/>
      <c r="B7" s="615"/>
      <c r="C7" s="615"/>
      <c r="D7" s="615"/>
      <c r="E7" s="615"/>
      <c r="F7" s="615"/>
      <c r="G7" s="615"/>
      <c r="H7" s="615"/>
      <c r="I7" s="615"/>
      <c r="J7" s="618"/>
      <c r="K7" s="619"/>
      <c r="L7" s="611"/>
      <c r="M7" s="611"/>
      <c r="N7" s="611"/>
      <c r="O7" s="611"/>
      <c r="P7" s="624"/>
      <c r="Q7" s="624"/>
      <c r="R7" s="622"/>
      <c r="S7" s="622"/>
      <c r="T7" s="622"/>
      <c r="U7" s="622"/>
      <c r="V7" s="622"/>
      <c r="W7" s="622"/>
      <c r="X7" s="622" t="s">
        <v>41</v>
      </c>
      <c r="Y7" s="622"/>
      <c r="Z7" s="622" t="s">
        <v>40</v>
      </c>
      <c r="AA7" s="622"/>
      <c r="AB7" s="622" t="s">
        <v>41</v>
      </c>
      <c r="AC7" s="622"/>
      <c r="AD7" s="622" t="s">
        <v>39</v>
      </c>
      <c r="AE7" s="622"/>
      <c r="AF7" s="622" t="s">
        <v>40</v>
      </c>
      <c r="AG7" s="622"/>
      <c r="AH7" s="622" t="s">
        <v>41</v>
      </c>
      <c r="AI7" s="622"/>
      <c r="AJ7" s="623" t="s">
        <v>39</v>
      </c>
      <c r="AK7" s="623"/>
      <c r="AL7" s="622" t="s">
        <v>40</v>
      </c>
      <c r="AM7" s="622"/>
      <c r="AN7" s="622" t="s">
        <v>41</v>
      </c>
      <c r="AO7" s="622"/>
      <c r="AP7" s="623" t="s">
        <v>39</v>
      </c>
      <c r="AQ7" s="623"/>
      <c r="AR7" s="622" t="s">
        <v>40</v>
      </c>
      <c r="AS7" s="622"/>
      <c r="AT7" s="622" t="s">
        <v>41</v>
      </c>
      <c r="AU7" s="622"/>
      <c r="AV7" s="622" t="s">
        <v>27</v>
      </c>
      <c r="AW7" s="622"/>
      <c r="AX7" s="622" t="s">
        <v>28</v>
      </c>
      <c r="AY7" s="622"/>
      <c r="AZ7" s="622" t="s">
        <v>41</v>
      </c>
      <c r="BA7" s="622"/>
      <c r="BB7" s="622" t="s">
        <v>27</v>
      </c>
      <c r="BC7" s="622"/>
      <c r="BD7" s="622" t="s">
        <v>28</v>
      </c>
      <c r="BE7" s="622"/>
      <c r="BF7" s="528" t="s">
        <v>300</v>
      </c>
      <c r="BG7" s="528" t="s">
        <v>301</v>
      </c>
      <c r="BH7" s="611"/>
      <c r="BI7" s="611"/>
      <c r="BJ7" s="618"/>
      <c r="BK7" s="619"/>
    </row>
    <row r="8" spans="1:63" s="1" customFormat="1">
      <c r="A8" s="614"/>
      <c r="B8" s="615"/>
      <c r="C8" s="615"/>
      <c r="D8" s="615"/>
      <c r="E8" s="615"/>
      <c r="F8" s="615"/>
      <c r="G8" s="615"/>
      <c r="H8" s="615"/>
      <c r="I8" s="615"/>
      <c r="J8" s="470" t="s">
        <v>42</v>
      </c>
      <c r="K8" s="468" t="s">
        <v>43</v>
      </c>
      <c r="L8" s="291" t="s">
        <v>42</v>
      </c>
      <c r="M8" s="292" t="s">
        <v>43</v>
      </c>
      <c r="N8" s="291" t="s">
        <v>42</v>
      </c>
      <c r="O8" s="292" t="s">
        <v>43</v>
      </c>
      <c r="P8" s="291" t="s">
        <v>42</v>
      </c>
      <c r="Q8" s="292" t="s">
        <v>43</v>
      </c>
      <c r="R8" s="291" t="s">
        <v>42</v>
      </c>
      <c r="S8" s="293" t="s">
        <v>43</v>
      </c>
      <c r="T8" s="294" t="s">
        <v>42</v>
      </c>
      <c r="U8" s="293" t="s">
        <v>43</v>
      </c>
      <c r="V8" s="295" t="s">
        <v>42</v>
      </c>
      <c r="W8" s="292" t="s">
        <v>43</v>
      </c>
      <c r="X8" s="294" t="s">
        <v>42</v>
      </c>
      <c r="Y8" s="293" t="s">
        <v>43</v>
      </c>
      <c r="Z8" s="296" t="s">
        <v>42</v>
      </c>
      <c r="AA8" s="293" t="s">
        <v>43</v>
      </c>
      <c r="AB8" s="297" t="s">
        <v>42</v>
      </c>
      <c r="AC8" s="292" t="s">
        <v>43</v>
      </c>
      <c r="AD8" s="298" t="s">
        <v>42</v>
      </c>
      <c r="AE8" s="292" t="s">
        <v>43</v>
      </c>
      <c r="AF8" s="298" t="s">
        <v>42</v>
      </c>
      <c r="AG8" s="292" t="s">
        <v>43</v>
      </c>
      <c r="AH8" s="294" t="s">
        <v>42</v>
      </c>
      <c r="AI8" s="293" t="s">
        <v>43</v>
      </c>
      <c r="AJ8" s="296" t="s">
        <v>42</v>
      </c>
      <c r="AK8" s="299" t="s">
        <v>43</v>
      </c>
      <c r="AL8" s="294" t="s">
        <v>42</v>
      </c>
      <c r="AM8" s="299" t="s">
        <v>43</v>
      </c>
      <c r="AN8" s="294" t="s">
        <v>42</v>
      </c>
      <c r="AO8" s="293" t="s">
        <v>43</v>
      </c>
      <c r="AP8" s="296" t="s">
        <v>42</v>
      </c>
      <c r="AQ8" s="299" t="s">
        <v>43</v>
      </c>
      <c r="AR8" s="294" t="s">
        <v>42</v>
      </c>
      <c r="AS8" s="299" t="s">
        <v>43</v>
      </c>
      <c r="AT8" s="294" t="s">
        <v>42</v>
      </c>
      <c r="AU8" s="293" t="s">
        <v>43</v>
      </c>
      <c r="AV8" s="296" t="s">
        <v>42</v>
      </c>
      <c r="AW8" s="299" t="s">
        <v>43</v>
      </c>
      <c r="AX8" s="296" t="s">
        <v>42</v>
      </c>
      <c r="AY8" s="299" t="s">
        <v>43</v>
      </c>
      <c r="AZ8" s="294" t="s">
        <v>42</v>
      </c>
      <c r="BA8" s="293" t="s">
        <v>43</v>
      </c>
      <c r="BB8" s="296" t="s">
        <v>42</v>
      </c>
      <c r="BC8" s="299" t="s">
        <v>43</v>
      </c>
      <c r="BD8" s="296" t="s">
        <v>42</v>
      </c>
      <c r="BE8" s="299" t="s">
        <v>43</v>
      </c>
      <c r="BF8" s="530"/>
      <c r="BG8" s="530"/>
      <c r="BH8" s="291" t="s">
        <v>42</v>
      </c>
      <c r="BI8" s="292" t="s">
        <v>43</v>
      </c>
      <c r="BJ8" s="470" t="s">
        <v>42</v>
      </c>
      <c r="BK8" s="468" t="s">
        <v>43</v>
      </c>
    </row>
    <row r="9" spans="1:63">
      <c r="A9" s="17">
        <v>45870</v>
      </c>
      <c r="B9" s="448" t="s">
        <v>8</v>
      </c>
      <c r="C9" s="449" t="s">
        <v>412</v>
      </c>
      <c r="D9" s="454">
        <f>+'1'!F42</f>
        <v>481.5625</v>
      </c>
      <c r="E9" s="454">
        <f>+'1'!G42</f>
        <v>423.77499999999998</v>
      </c>
      <c r="F9" s="49">
        <f t="shared" ref="F9:F39" si="0">1-(E9/D9)</f>
        <v>0.12</v>
      </c>
      <c r="G9" s="459">
        <f>+P9/N9</f>
        <v>1.0910447266602616</v>
      </c>
      <c r="H9" s="457">
        <f>+P9/L9</f>
        <v>1.0910447266602616</v>
      </c>
      <c r="I9" s="457">
        <f>+R9/P9</f>
        <v>0.98406716830127516</v>
      </c>
      <c r="J9" s="461">
        <f>+R9/L9</f>
        <v>1.0736612946546025</v>
      </c>
      <c r="K9" s="461">
        <f>+S9/M9</f>
        <v>1.0736612946546025</v>
      </c>
      <c r="L9" s="305">
        <f>+SUM(Efficiency1!K6:K7)</f>
        <v>74.668799554509803</v>
      </c>
      <c r="M9" s="300">
        <f>L9</f>
        <v>74.668799554509803</v>
      </c>
      <c r="N9" s="305">
        <f>+SUM(Efficiency1!C6:C7)</f>
        <v>74.668799554509803</v>
      </c>
      <c r="O9" s="300">
        <f>N9</f>
        <v>74.668799554509803</v>
      </c>
      <c r="P9" s="301">
        <f>'1'!I38</f>
        <v>81.467000000000013</v>
      </c>
      <c r="Q9" s="300">
        <f>P9</f>
        <v>81.467000000000013</v>
      </c>
      <c r="R9" s="15">
        <f>'1'!I40</f>
        <v>80.168999999999997</v>
      </c>
      <c r="S9" s="302">
        <f>R9</f>
        <v>80.168999999999997</v>
      </c>
      <c r="T9" s="7">
        <f t="shared" ref="T9:T38" si="1">R9/P9</f>
        <v>0.98406716830127516</v>
      </c>
      <c r="U9" s="7">
        <f t="shared" ref="U9:U38" si="2">S9/Q9</f>
        <v>0.98406716830127516</v>
      </c>
      <c r="V9" s="303">
        <f t="shared" ref="V9:V38" si="3">R9/L9</f>
        <v>1.0736612946546025</v>
      </c>
      <c r="W9" s="304">
        <f t="shared" ref="W9:W38" si="4">S9/M9</f>
        <v>1.0736612946546025</v>
      </c>
      <c r="X9" s="302"/>
      <c r="Y9" s="302"/>
      <c r="Z9" s="6"/>
      <c r="AA9" s="302"/>
      <c r="AB9" s="98">
        <v>0</v>
      </c>
      <c r="AC9" s="300">
        <f>AB9</f>
        <v>0</v>
      </c>
      <c r="AD9" s="300">
        <f t="shared" ref="AD9:AD39" si="5">AB9/P9</f>
        <v>0</v>
      </c>
      <c r="AE9" s="300">
        <f t="shared" ref="AE9:AE39" si="6">AC9/Q9</f>
        <v>0</v>
      </c>
      <c r="AF9" s="306">
        <f t="shared" ref="AF9:AF39" si="7">IF(AND(R9&gt;0,AB9&gt;0),(AB9/(R9*1000))*1000,0)</f>
        <v>0</v>
      </c>
      <c r="AG9" s="300">
        <f t="shared" ref="AG9:AG39" si="8">IF(AND(S9&gt;0,AC9&gt;0),AC9/S9,0)</f>
        <v>0</v>
      </c>
      <c r="AH9" s="568">
        <f t="shared" ref="AH9:AH39" si="9">+BF9+BG9</f>
        <v>184.398</v>
      </c>
      <c r="AI9" s="307">
        <f>AH9</f>
        <v>184.398</v>
      </c>
      <c r="AJ9" s="308">
        <f t="shared" ref="AJ9:AJ39" si="10">AH9/(P9)</f>
        <v>2.2634686437453198</v>
      </c>
      <c r="AK9" s="308">
        <f t="shared" ref="AK9:AK39" si="11">AI9/(Q9)</f>
        <v>2.2634686437453198</v>
      </c>
      <c r="AL9" s="305">
        <f t="shared" ref="AL9:AL39" si="12">IF(AND(R9&gt;0,AH9&gt;0),AH9/(R9),0)</f>
        <v>2.3001160049395653</v>
      </c>
      <c r="AM9" s="308">
        <f t="shared" ref="AM9:AM39" si="13">IF(AND(S9&gt;0,AI9&gt;0),AI9/(S9),0)</f>
        <v>2.3001160049395653</v>
      </c>
      <c r="AN9" s="98">
        <v>19.2</v>
      </c>
      <c r="AO9" s="307">
        <f>AN9</f>
        <v>19.2</v>
      </c>
      <c r="AP9" s="308">
        <f>AN9/(P9)</f>
        <v>0.23567825008899304</v>
      </c>
      <c r="AQ9" s="308">
        <f>AO9/(Q9)</f>
        <v>0.23567825008899304</v>
      </c>
      <c r="AR9" s="305">
        <f>IF(AND(R9&gt;0,AN9&gt;0),AN9/(R9),0)</f>
        <v>0.23949406877970289</v>
      </c>
      <c r="AS9" s="308">
        <f>IF(AND(S9&gt;0,AO9&gt;0),AO9/(S9),0)</f>
        <v>0.23949406877970289</v>
      </c>
      <c r="AT9" s="307">
        <f>'1'!I46</f>
        <v>34391.929999999258</v>
      </c>
      <c r="AU9" s="307">
        <f>AT9</f>
        <v>34391.929999999258</v>
      </c>
      <c r="AV9" s="308">
        <f t="shared" ref="AV9:AV39" si="14">IF(AND(L9&gt;0,AT9&gt;0),(AT9/(P9*1000)*1000),0)</f>
        <v>422.15780622827958</v>
      </c>
      <c r="AW9" s="308">
        <f t="shared" ref="AW9:AW39" si="15">IF(AND(M9&gt;0,AU9&gt;0),(AU9/(Q9*1000)*1000),0)</f>
        <v>422.15780622827958</v>
      </c>
      <c r="AX9" s="308">
        <f t="shared" ref="AX9:AX39" si="16">IF(AND(R9&gt;0,AT9&gt;0),(AT9/(R9*1000)*1000),0)</f>
        <v>428.99287754617444</v>
      </c>
      <c r="AY9" s="308">
        <f t="shared" ref="AY9:AY39" si="17">IF(AND(S9&gt;0,AU9&gt;0),(AU9/(S9*1000)*1000),0)</f>
        <v>428.99287754617444</v>
      </c>
      <c r="AZ9" s="307">
        <f>+Listrik!AH8</f>
        <v>31567</v>
      </c>
      <c r="BA9" s="307">
        <f>AZ9</f>
        <v>31567</v>
      </c>
      <c r="BB9" s="308">
        <f t="shared" ref="BB9:BB39" si="18">IF(AND(L9&gt;0,AZ9&gt;0),(AZ9/(P9*1000)*1000),0)</f>
        <v>387.48204794579397</v>
      </c>
      <c r="BC9" s="308">
        <f>IF(AND(M9&gt;0,BA9&gt;0),(BA9/(Q9*1000)*1000),0)</f>
        <v>387.48204794579397</v>
      </c>
      <c r="BD9" s="308">
        <f t="shared" ref="BD9:BD39" si="19">IF(AND(R9&gt;0,AZ9&gt;0),(AZ9/(R9*1000)*1000),0)</f>
        <v>393.75569110254588</v>
      </c>
      <c r="BE9" s="308">
        <f t="shared" ref="BE9:BE39" si="20">IF(AND(S9&gt;0,BA9&gt;0),(BA9/(S9*1000)*1000),0)</f>
        <v>393.75569110254588</v>
      </c>
      <c r="BF9" s="530">
        <v>32.546999999999997</v>
      </c>
      <c r="BG9" s="531">
        <v>151.851</v>
      </c>
      <c r="BH9" s="554">
        <f>+SUM(Efficiency2!K6:K7)</f>
        <v>74.668799554509803</v>
      </c>
      <c r="BI9" s="555">
        <f>BH9</f>
        <v>74.668799554509803</v>
      </c>
      <c r="BJ9" s="556">
        <f>+R9/BH9</f>
        <v>1.0736612946546025</v>
      </c>
      <c r="BK9" s="556">
        <f>+S9/BI9</f>
        <v>1.0736612946546025</v>
      </c>
    </row>
    <row r="10" spans="1:63">
      <c r="A10" s="17">
        <f t="shared" ref="A10:A38" si="21">A9+1</f>
        <v>45871</v>
      </c>
      <c r="B10" s="448" t="s">
        <v>450</v>
      </c>
      <c r="C10" s="449" t="s">
        <v>451</v>
      </c>
      <c r="D10" s="454">
        <f>+'2'!F42</f>
        <v>632.226618705036</v>
      </c>
      <c r="E10" s="454">
        <f>+'2'!G42</f>
        <v>549.061582733813</v>
      </c>
      <c r="F10" s="49">
        <f t="shared" si="0"/>
        <v>0.13154307887505046</v>
      </c>
      <c r="G10" s="459">
        <f t="shared" ref="G10:G41" si="22">+P10/N10</f>
        <v>1.0675109174374546</v>
      </c>
      <c r="H10" s="457">
        <f t="shared" ref="H10:H39" si="23">+P10/L10</f>
        <v>1.0491652594741143</v>
      </c>
      <c r="I10" s="457">
        <f t="shared" ref="I10:I41" si="24">+R10/P10</f>
        <v>0.96114571416465422</v>
      </c>
      <c r="J10" s="461">
        <f t="shared" ref="J10:J41" si="25">+R10/L10</f>
        <v>1.0084006925939923</v>
      </c>
      <c r="K10" s="461">
        <f t="shared" ref="K10:K40" si="26">+S10/M10</f>
        <v>1.0426799600844918</v>
      </c>
      <c r="L10" s="305">
        <f>+SUM(Efficiency1!K10:K14)</f>
        <v>67.485078599999994</v>
      </c>
      <c r="M10" s="13">
        <f t="shared" ref="M10:O38" si="27">M9+L10</f>
        <v>142.15387815450981</v>
      </c>
      <c r="N10" s="305">
        <f>+SUM(Efficiency1!C10:C14)</f>
        <v>66.325316999999998</v>
      </c>
      <c r="O10" s="13">
        <f t="shared" si="27"/>
        <v>140.99411655450979</v>
      </c>
      <c r="P10" s="301">
        <f>'2'!I38</f>
        <v>70.802999999999997</v>
      </c>
      <c r="Q10" s="13">
        <f t="shared" ref="Q10:Q38" si="28">Q9+P10</f>
        <v>152.27000000000001</v>
      </c>
      <c r="R10" s="15">
        <f>'2'!I40</f>
        <v>68.052000000000007</v>
      </c>
      <c r="S10" s="302">
        <f t="shared" ref="S10:S38" si="29">S9+R10</f>
        <v>148.221</v>
      </c>
      <c r="T10" s="7">
        <f t="shared" si="1"/>
        <v>0.96114571416465422</v>
      </c>
      <c r="U10" s="7">
        <f t="shared" si="2"/>
        <v>0.97340907598345039</v>
      </c>
      <c r="V10" s="303">
        <f t="shared" si="3"/>
        <v>1.0084006925939923</v>
      </c>
      <c r="W10" s="304">
        <f t="shared" si="4"/>
        <v>1.0426799600844918</v>
      </c>
      <c r="X10" s="302"/>
      <c r="Y10" s="302"/>
      <c r="Z10" s="6"/>
      <c r="AA10" s="302"/>
      <c r="AB10" s="98">
        <v>0</v>
      </c>
      <c r="AC10" s="13">
        <f t="shared" ref="AC10:AC38" si="30">AB10+AC9</f>
        <v>0</v>
      </c>
      <c r="AD10" s="300">
        <f t="shared" si="5"/>
        <v>0</v>
      </c>
      <c r="AE10" s="300">
        <f t="shared" si="6"/>
        <v>0</v>
      </c>
      <c r="AF10" s="306">
        <f t="shared" si="7"/>
        <v>0</v>
      </c>
      <c r="AG10" s="300">
        <f t="shared" si="8"/>
        <v>0</v>
      </c>
      <c r="AH10" s="568">
        <f t="shared" si="9"/>
        <v>182.523</v>
      </c>
      <c r="AI10" s="302">
        <f t="shared" ref="AI10:AI38" si="31">AH10+AI9</f>
        <v>366.92099999999999</v>
      </c>
      <c r="AJ10" s="308">
        <f t="shared" si="10"/>
        <v>2.577899241557561</v>
      </c>
      <c r="AK10" s="308">
        <f t="shared" si="11"/>
        <v>2.4096736060944375</v>
      </c>
      <c r="AL10" s="305">
        <f t="shared" si="12"/>
        <v>2.682110738846764</v>
      </c>
      <c r="AM10" s="308">
        <f t="shared" si="13"/>
        <v>2.4754994231586616</v>
      </c>
      <c r="AN10" s="98">
        <v>17.899999999999999</v>
      </c>
      <c r="AO10" s="302">
        <f t="shared" ref="AO10:AO38" si="32">AN10+AO9</f>
        <v>37.099999999999994</v>
      </c>
      <c r="AP10" s="308">
        <f t="shared" ref="AP10:AP39" si="33">AN10/(P10)</f>
        <v>0.25281414629323617</v>
      </c>
      <c r="AQ10" s="308">
        <f t="shared" ref="AQ10:AQ39" si="34">AO10/(Q10)</f>
        <v>0.24364615485650484</v>
      </c>
      <c r="AR10" s="305">
        <f t="shared" ref="AR10:AR39" si="35">IF(AND(R10&gt;0,AN10&gt;0),AN10/(R10),0)</f>
        <v>0.26303415035561034</v>
      </c>
      <c r="AS10" s="308">
        <f t="shared" ref="AS10:AS39" si="36">IF(AND(S10&gt;0,AO10&gt;0),AO10/(S10),0)</f>
        <v>0.25030191403377383</v>
      </c>
      <c r="AT10" s="307">
        <f>'2'!I46</f>
        <v>36137.490000001388</v>
      </c>
      <c r="AU10" s="302">
        <f t="shared" ref="AU10:AU38" si="37">AT10+AU9</f>
        <v>70529.420000000653</v>
      </c>
      <c r="AV10" s="308">
        <f t="shared" si="14"/>
        <v>510.39489852126871</v>
      </c>
      <c r="AW10" s="308">
        <f t="shared" si="15"/>
        <v>463.18657647600088</v>
      </c>
      <c r="AX10" s="308">
        <f t="shared" si="16"/>
        <v>531.02759654383976</v>
      </c>
      <c r="AY10" s="308">
        <f t="shared" si="17"/>
        <v>475.8395908811886</v>
      </c>
      <c r="AZ10" s="307">
        <f>+Listrik!AH9</f>
        <v>31411</v>
      </c>
      <c r="BA10" s="302">
        <f t="shared" ref="BA10:BA38" si="38">AZ10+BA9</f>
        <v>62978</v>
      </c>
      <c r="BB10" s="308">
        <f t="shared" si="18"/>
        <v>443.63939381099669</v>
      </c>
      <c r="BC10" s="308">
        <f t="shared" ref="BC10:BC39" si="39">IF(AND(M10&gt;0,BA10&gt;0),(BA10/(Q10*1000)*1000),0)</f>
        <v>413.59427333026861</v>
      </c>
      <c r="BD10" s="308">
        <f t="shared" si="19"/>
        <v>461.57350261564682</v>
      </c>
      <c r="BE10" s="308">
        <f t="shared" si="20"/>
        <v>424.8925590840704</v>
      </c>
      <c r="BF10" s="574">
        <v>31.045999999999999</v>
      </c>
      <c r="BG10" s="531">
        <v>151.477</v>
      </c>
      <c r="BH10" s="554">
        <f>+SUM(Efficiency2!K10:K14)</f>
        <v>67.485078599999994</v>
      </c>
      <c r="BI10" s="555">
        <f t="shared" ref="BI10:BI38" si="40">BI9+BH10</f>
        <v>142.15387815450981</v>
      </c>
      <c r="BJ10" s="556">
        <f t="shared" ref="BJ10:BJ41" si="41">+R10/BH10</f>
        <v>1.0084006925939923</v>
      </c>
      <c r="BK10" s="556">
        <f t="shared" ref="BK10:BK39" si="42">+S10/BI10</f>
        <v>1.0426799600844918</v>
      </c>
    </row>
    <row r="11" spans="1:63">
      <c r="A11" s="17">
        <f t="shared" si="21"/>
        <v>45872</v>
      </c>
      <c r="B11" s="448" t="s">
        <v>445</v>
      </c>
      <c r="C11" s="449" t="s">
        <v>452</v>
      </c>
      <c r="D11" s="454">
        <f>+'3'!F42</f>
        <v>800</v>
      </c>
      <c r="E11" s="454">
        <f>+'3'!G42</f>
        <v>688</v>
      </c>
      <c r="F11" s="49">
        <f t="shared" si="0"/>
        <v>0.14000000000000001</v>
      </c>
      <c r="G11" s="459">
        <f t="shared" si="22"/>
        <v>0.96439362872231105</v>
      </c>
      <c r="H11" s="457">
        <f t="shared" si="23"/>
        <v>0.92953602768415533</v>
      </c>
      <c r="I11" s="457">
        <f t="shared" si="24"/>
        <v>0.98017007618380037</v>
      </c>
      <c r="J11" s="461">
        <f t="shared" si="25"/>
        <v>0.91110339907076565</v>
      </c>
      <c r="K11" s="461">
        <f t="shared" si="26"/>
        <v>1.0044026983975332</v>
      </c>
      <c r="L11" s="305">
        <f>+SUM(Efficiency1!K16:K17)</f>
        <v>58.320493649999996</v>
      </c>
      <c r="M11" s="13">
        <f t="shared" si="27"/>
        <v>200.47437180450981</v>
      </c>
      <c r="N11" s="305">
        <f>+SUM(Efficiency1!C16:C17)</f>
        <v>56.212524000000002</v>
      </c>
      <c r="O11" s="13">
        <f t="shared" si="27"/>
        <v>197.20664055450979</v>
      </c>
      <c r="P11" s="301">
        <f>'3'!I38</f>
        <v>54.210999999999999</v>
      </c>
      <c r="Q11" s="13">
        <f t="shared" si="28"/>
        <v>206.48099999999999</v>
      </c>
      <c r="R11" s="15">
        <f>'3'!I40</f>
        <v>53.136000000000003</v>
      </c>
      <c r="S11" s="302">
        <f t="shared" si="29"/>
        <v>201.357</v>
      </c>
      <c r="T11" s="7">
        <f t="shared" si="1"/>
        <v>0.98017007618380037</v>
      </c>
      <c r="U11" s="7">
        <f t="shared" si="2"/>
        <v>0.975184157380098</v>
      </c>
      <c r="V11" s="303">
        <f t="shared" si="3"/>
        <v>0.91110339907076565</v>
      </c>
      <c r="W11" s="304">
        <f t="shared" si="4"/>
        <v>1.0044026983975332</v>
      </c>
      <c r="X11" s="302"/>
      <c r="Y11" s="302"/>
      <c r="Z11" s="6"/>
      <c r="AA11" s="302"/>
      <c r="AB11" s="98">
        <v>0</v>
      </c>
      <c r="AC11" s="13">
        <f t="shared" si="30"/>
        <v>0</v>
      </c>
      <c r="AD11" s="300">
        <f t="shared" si="5"/>
        <v>0</v>
      </c>
      <c r="AE11" s="300">
        <f t="shared" si="6"/>
        <v>0</v>
      </c>
      <c r="AF11" s="306">
        <f t="shared" si="7"/>
        <v>0</v>
      </c>
      <c r="AG11" s="300">
        <f t="shared" si="8"/>
        <v>0</v>
      </c>
      <c r="AH11" s="568">
        <f t="shared" si="9"/>
        <v>153.78700000000001</v>
      </c>
      <c r="AI11" s="302">
        <f t="shared" si="31"/>
        <v>520.70799999999997</v>
      </c>
      <c r="AJ11" s="308">
        <f t="shared" si="10"/>
        <v>2.8368227850436258</v>
      </c>
      <c r="AK11" s="308">
        <f t="shared" si="11"/>
        <v>2.5218204096260672</v>
      </c>
      <c r="AL11" s="305">
        <f t="shared" si="12"/>
        <v>2.894214844926227</v>
      </c>
      <c r="AM11" s="308">
        <f t="shared" si="13"/>
        <v>2.5859940305030369</v>
      </c>
      <c r="AN11" s="98">
        <v>15.2</v>
      </c>
      <c r="AO11" s="302">
        <f t="shared" si="32"/>
        <v>52.3</v>
      </c>
      <c r="AP11" s="308">
        <f t="shared" si="33"/>
        <v>0.2803858995406836</v>
      </c>
      <c r="AQ11" s="308">
        <f t="shared" si="34"/>
        <v>0.25329207045684587</v>
      </c>
      <c r="AR11" s="305">
        <f t="shared" si="35"/>
        <v>0.28605841613971694</v>
      </c>
      <c r="AS11" s="308">
        <f t="shared" si="36"/>
        <v>0.2597376798422702</v>
      </c>
      <c r="AT11" s="307">
        <f>'3'!I46</f>
        <v>36005.949999999728</v>
      </c>
      <c r="AU11" s="302">
        <f t="shared" si="37"/>
        <v>106535.37000000037</v>
      </c>
      <c r="AV11" s="308">
        <f t="shared" si="14"/>
        <v>664.18162365571061</v>
      </c>
      <c r="AW11" s="308">
        <f t="shared" si="15"/>
        <v>515.95725514696448</v>
      </c>
      <c r="AX11" s="308">
        <f t="shared" si="16"/>
        <v>677.61875188195825</v>
      </c>
      <c r="AY11" s="308">
        <f t="shared" si="17"/>
        <v>529.08699474068635</v>
      </c>
      <c r="AZ11" s="307">
        <f>+Listrik!AH10</f>
        <v>25392</v>
      </c>
      <c r="BA11" s="302">
        <f t="shared" si="38"/>
        <v>88370</v>
      </c>
      <c r="BB11" s="308">
        <f t="shared" si="18"/>
        <v>468.39202375901567</v>
      </c>
      <c r="BC11" s="308">
        <f t="shared" si="39"/>
        <v>427.98126704151957</v>
      </c>
      <c r="BD11" s="308">
        <f t="shared" si="19"/>
        <v>477.86811201445352</v>
      </c>
      <c r="BE11" s="308">
        <f t="shared" si="20"/>
        <v>438.87225177172883</v>
      </c>
      <c r="BF11" s="574">
        <v>12.443</v>
      </c>
      <c r="BG11" s="531">
        <v>141.34399999999999</v>
      </c>
      <c r="BH11" s="554">
        <f>+SUM(Efficiency2!K16:K17)</f>
        <v>58.320493649999996</v>
      </c>
      <c r="BI11" s="555">
        <f t="shared" si="40"/>
        <v>200.47437180450981</v>
      </c>
      <c r="BJ11" s="556">
        <f t="shared" si="41"/>
        <v>0.91110339907076565</v>
      </c>
      <c r="BK11" s="556">
        <f t="shared" si="42"/>
        <v>1.0044026983975332</v>
      </c>
    </row>
    <row r="12" spans="1:63">
      <c r="A12" s="17">
        <f t="shared" si="21"/>
        <v>45873</v>
      </c>
      <c r="B12" s="448" t="s">
        <v>445</v>
      </c>
      <c r="C12" s="449" t="s">
        <v>472</v>
      </c>
      <c r="D12" s="454">
        <f>+'4'!F42</f>
        <v>800</v>
      </c>
      <c r="E12" s="454">
        <f>+'4'!G42</f>
        <v>688</v>
      </c>
      <c r="F12" s="49">
        <f t="shared" si="0"/>
        <v>0.14000000000000001</v>
      </c>
      <c r="G12" s="459">
        <f t="shared" si="22"/>
        <v>0.93606890264484732</v>
      </c>
      <c r="H12" s="457">
        <f t="shared" si="23"/>
        <v>0.90223508688659981</v>
      </c>
      <c r="I12" s="457">
        <f t="shared" si="24"/>
        <v>0.88727017601782876</v>
      </c>
      <c r="J12" s="461">
        <f t="shared" si="25"/>
        <v>0.80052628435133444</v>
      </c>
      <c r="K12" s="461">
        <f t="shared" si="26"/>
        <v>0.9613215669015448</v>
      </c>
      <c r="L12" s="305">
        <f>+SUM(Efficiency1!K20:K22)</f>
        <v>53.712165159999998</v>
      </c>
      <c r="M12" s="13">
        <f t="shared" si="27"/>
        <v>254.1865369645098</v>
      </c>
      <c r="N12" s="305">
        <f>+SUM(Efficiency1!C20:C22)</f>
        <v>51.7707616</v>
      </c>
      <c r="O12" s="13">
        <f t="shared" si="27"/>
        <v>248.97740215450978</v>
      </c>
      <c r="P12" s="301">
        <f>'4'!I38</f>
        <v>48.460999999999999</v>
      </c>
      <c r="Q12" s="13">
        <f t="shared" si="28"/>
        <v>254.94200000000001</v>
      </c>
      <c r="R12" s="15">
        <f>'4'!I40</f>
        <v>42.997999999999998</v>
      </c>
      <c r="S12" s="302">
        <f t="shared" si="29"/>
        <v>244.35499999999999</v>
      </c>
      <c r="T12" s="7">
        <f t="shared" si="1"/>
        <v>0.88727017601782876</v>
      </c>
      <c r="U12" s="7">
        <f t="shared" si="2"/>
        <v>0.95847290756328885</v>
      </c>
      <c r="V12" s="303">
        <f t="shared" si="3"/>
        <v>0.80052628435133444</v>
      </c>
      <c r="W12" s="304">
        <f t="shared" si="4"/>
        <v>0.9613215669015448</v>
      </c>
      <c r="X12" s="302"/>
      <c r="Y12" s="302"/>
      <c r="Z12" s="6"/>
      <c r="AA12" s="302"/>
      <c r="AB12" s="98">
        <v>0</v>
      </c>
      <c r="AC12" s="13">
        <f t="shared" si="30"/>
        <v>0</v>
      </c>
      <c r="AD12" s="300">
        <f t="shared" si="5"/>
        <v>0</v>
      </c>
      <c r="AE12" s="300">
        <f t="shared" si="6"/>
        <v>0</v>
      </c>
      <c r="AF12" s="306">
        <f t="shared" si="7"/>
        <v>0</v>
      </c>
      <c r="AG12" s="300">
        <f t="shared" si="8"/>
        <v>0</v>
      </c>
      <c r="AH12" s="568">
        <f t="shared" si="9"/>
        <v>147.404</v>
      </c>
      <c r="AI12" s="302">
        <f t="shared" si="31"/>
        <v>668.11199999999997</v>
      </c>
      <c r="AJ12" s="308">
        <f t="shared" si="10"/>
        <v>3.04170363797693</v>
      </c>
      <c r="AK12" s="308">
        <f t="shared" si="11"/>
        <v>2.6206431266719488</v>
      </c>
      <c r="AL12" s="305">
        <f t="shared" si="12"/>
        <v>3.4281594492767105</v>
      </c>
      <c r="AM12" s="308">
        <f t="shared" si="13"/>
        <v>2.7341859180290968</v>
      </c>
      <c r="AN12" s="98">
        <v>10.199999999999999</v>
      </c>
      <c r="AO12" s="302">
        <f t="shared" si="32"/>
        <v>62.5</v>
      </c>
      <c r="AP12" s="308">
        <f t="shared" si="33"/>
        <v>0.2104785291265141</v>
      </c>
      <c r="AQ12" s="308">
        <f t="shared" si="34"/>
        <v>0.24515379968777212</v>
      </c>
      <c r="AR12" s="305">
        <f t="shared" si="35"/>
        <v>0.23722033582957347</v>
      </c>
      <c r="AS12" s="308">
        <f t="shared" si="36"/>
        <v>0.25577540872910315</v>
      </c>
      <c r="AT12" s="307">
        <f>'4'!I46</f>
        <v>37811.290000000066</v>
      </c>
      <c r="AU12" s="302">
        <f t="shared" si="37"/>
        <v>144346.66000000044</v>
      </c>
      <c r="AV12" s="308">
        <f t="shared" si="14"/>
        <v>780.24163760549857</v>
      </c>
      <c r="AW12" s="308">
        <f t="shared" si="15"/>
        <v>566.19411473982495</v>
      </c>
      <c r="AX12" s="308">
        <f t="shared" si="16"/>
        <v>879.37322666170667</v>
      </c>
      <c r="AY12" s="308">
        <f t="shared" si="17"/>
        <v>590.72521536289594</v>
      </c>
      <c r="AZ12" s="307">
        <f>+Listrik!AH11</f>
        <v>16754</v>
      </c>
      <c r="BA12" s="302">
        <f t="shared" si="38"/>
        <v>105124</v>
      </c>
      <c r="BB12" s="308">
        <f t="shared" si="18"/>
        <v>345.72130166525659</v>
      </c>
      <c r="BC12" s="308">
        <f t="shared" si="39"/>
        <v>412.34476861403766</v>
      </c>
      <c r="BD12" s="308">
        <f t="shared" si="19"/>
        <v>389.64603004790922</v>
      </c>
      <c r="BE12" s="308">
        <f t="shared" si="20"/>
        <v>430.21014507581185</v>
      </c>
      <c r="BF12" s="574">
        <v>8.093</v>
      </c>
      <c r="BG12" s="531">
        <v>139.31100000000001</v>
      </c>
      <c r="BH12" s="554">
        <f>+SUM(Efficiency2!K20:K22)</f>
        <v>53.712165159999998</v>
      </c>
      <c r="BI12" s="555">
        <f t="shared" si="40"/>
        <v>254.1865369645098</v>
      </c>
      <c r="BJ12" s="556">
        <f t="shared" si="41"/>
        <v>0.80052628435133444</v>
      </c>
      <c r="BK12" s="556">
        <f t="shared" si="42"/>
        <v>0.9613215669015448</v>
      </c>
    </row>
    <row r="13" spans="1:63">
      <c r="A13" s="17">
        <f t="shared" si="21"/>
        <v>45874</v>
      </c>
      <c r="B13" s="448" t="s">
        <v>445</v>
      </c>
      <c r="C13" s="449" t="s">
        <v>490</v>
      </c>
      <c r="D13" s="454">
        <f>+'5'!F42</f>
        <v>765.21739130434787</v>
      </c>
      <c r="E13" s="454">
        <f>+'5'!G42</f>
        <v>658.08695652173913</v>
      </c>
      <c r="F13" s="49">
        <f t="shared" si="0"/>
        <v>0.14000000000000001</v>
      </c>
      <c r="G13" s="459">
        <f t="shared" si="22"/>
        <v>3.5520165495555069E-2</v>
      </c>
      <c r="H13" s="457">
        <f t="shared" si="23"/>
        <v>3.4028706454899069E-2</v>
      </c>
      <c r="I13" s="457">
        <f t="shared" si="24"/>
        <v>1.336711711711712</v>
      </c>
      <c r="J13" s="461">
        <f t="shared" si="25"/>
        <v>4.5486570452663515E-2</v>
      </c>
      <c r="K13" s="461">
        <f t="shared" si="26"/>
        <v>0.80530974396073562</v>
      </c>
      <c r="L13" s="305">
        <f>+SUM(Efficiency1!K25:K26)</f>
        <v>52.191228672000001</v>
      </c>
      <c r="M13" s="13">
        <f t="shared" si="27"/>
        <v>306.37776563650982</v>
      </c>
      <c r="N13" s="305">
        <f>+SUM(Efficiency1!C25:C26)</f>
        <v>49.999767040000002</v>
      </c>
      <c r="O13" s="13">
        <f t="shared" si="27"/>
        <v>298.97716919450977</v>
      </c>
      <c r="P13" s="301">
        <f>'5'!I38</f>
        <v>1.7759999999999998</v>
      </c>
      <c r="Q13" s="13">
        <f t="shared" si="28"/>
        <v>256.71800000000002</v>
      </c>
      <c r="R13" s="15">
        <f>'5'!I40</f>
        <v>2.3740000000000001</v>
      </c>
      <c r="S13" s="302">
        <f t="shared" si="29"/>
        <v>246.72899999999998</v>
      </c>
      <c r="T13" s="7">
        <f t="shared" si="1"/>
        <v>1.336711711711712</v>
      </c>
      <c r="U13" s="7">
        <f t="shared" si="2"/>
        <v>0.96108960026176571</v>
      </c>
      <c r="V13" s="303">
        <f t="shared" si="3"/>
        <v>4.5486570452663515E-2</v>
      </c>
      <c r="W13" s="304">
        <f t="shared" si="4"/>
        <v>0.80530974396073562</v>
      </c>
      <c r="X13" s="302"/>
      <c r="Y13" s="302"/>
      <c r="Z13" s="6"/>
      <c r="AA13" s="302"/>
      <c r="AB13" s="98">
        <v>0</v>
      </c>
      <c r="AC13" s="13">
        <f t="shared" si="30"/>
        <v>0</v>
      </c>
      <c r="AD13" s="300">
        <f t="shared" si="5"/>
        <v>0</v>
      </c>
      <c r="AE13" s="300">
        <f t="shared" si="6"/>
        <v>0</v>
      </c>
      <c r="AF13" s="306">
        <f t="shared" si="7"/>
        <v>0</v>
      </c>
      <c r="AG13" s="300">
        <f t="shared" si="8"/>
        <v>0</v>
      </c>
      <c r="AH13" s="568">
        <f t="shared" si="9"/>
        <v>46.216999999999999</v>
      </c>
      <c r="AI13" s="302">
        <f t="shared" si="31"/>
        <v>714.32899999999995</v>
      </c>
      <c r="AJ13" s="308">
        <f t="shared" si="10"/>
        <v>26.023085585585587</v>
      </c>
      <c r="AK13" s="308">
        <f t="shared" si="11"/>
        <v>2.7825434913017393</v>
      </c>
      <c r="AL13" s="305">
        <f t="shared" si="12"/>
        <v>19.467986520640267</v>
      </c>
      <c r="AM13" s="308">
        <f t="shared" si="13"/>
        <v>2.895196754333702</v>
      </c>
      <c r="AN13" s="599">
        <v>0</v>
      </c>
      <c r="AO13" s="302">
        <f t="shared" si="32"/>
        <v>62.5</v>
      </c>
      <c r="AP13" s="308">
        <f t="shared" si="33"/>
        <v>0</v>
      </c>
      <c r="AQ13" s="308">
        <f t="shared" si="34"/>
        <v>0.24345780194610428</v>
      </c>
      <c r="AR13" s="305">
        <f t="shared" si="35"/>
        <v>0</v>
      </c>
      <c r="AS13" s="308">
        <f t="shared" si="36"/>
        <v>0.25331436515367062</v>
      </c>
      <c r="AT13" s="307">
        <f>'5'!I46</f>
        <v>10057.150000000162</v>
      </c>
      <c r="AU13" s="302">
        <f t="shared" si="37"/>
        <v>154403.81000000061</v>
      </c>
      <c r="AV13" s="308">
        <f t="shared" si="14"/>
        <v>5662.8096846847766</v>
      </c>
      <c r="AW13" s="308">
        <f t="shared" si="15"/>
        <v>601.45299511526491</v>
      </c>
      <c r="AX13" s="308">
        <f t="shared" si="16"/>
        <v>4236.3732097726042</v>
      </c>
      <c r="AY13" s="308">
        <f t="shared" si="17"/>
        <v>625.80324971933021</v>
      </c>
      <c r="AZ13" s="307">
        <f>+Listrik!AH12</f>
        <v>627</v>
      </c>
      <c r="BA13" s="302">
        <f t="shared" si="38"/>
        <v>105751</v>
      </c>
      <c r="BB13" s="308">
        <f t="shared" si="18"/>
        <v>353.04054054054058</v>
      </c>
      <c r="BC13" s="308">
        <f t="shared" si="39"/>
        <v>411.93449621763955</v>
      </c>
      <c r="BD13" s="308">
        <f t="shared" si="19"/>
        <v>264.11120471777588</v>
      </c>
      <c r="BE13" s="308">
        <f t="shared" si="20"/>
        <v>428.6119588698532</v>
      </c>
      <c r="BF13" s="574">
        <v>2.6920000000000002</v>
      </c>
      <c r="BG13" s="531">
        <v>43.524999999999999</v>
      </c>
      <c r="BH13" s="554">
        <f>+SUM(Efficiency2!K25:K26)</f>
        <v>6.8625303039999999</v>
      </c>
      <c r="BI13" s="555">
        <f t="shared" si="40"/>
        <v>261.04906726850982</v>
      </c>
      <c r="BJ13" s="556">
        <f t="shared" si="41"/>
        <v>0.34593654160131782</v>
      </c>
      <c r="BK13" s="556">
        <f t="shared" si="42"/>
        <v>0.9451441546282926</v>
      </c>
    </row>
    <row r="14" spans="1:63">
      <c r="A14" s="17">
        <f t="shared" si="21"/>
        <v>45875</v>
      </c>
      <c r="B14" s="448" t="s">
        <v>445</v>
      </c>
      <c r="C14" s="449" t="s">
        <v>505</v>
      </c>
      <c r="D14" s="454">
        <f>+'6'!F42</f>
        <v>749.58333333333337</v>
      </c>
      <c r="E14" s="454">
        <f>+'6'!G42</f>
        <v>640.0625</v>
      </c>
      <c r="F14" s="49">
        <f t="shared" si="0"/>
        <v>0.14610894941634245</v>
      </c>
      <c r="G14" s="459">
        <f t="shared" si="22"/>
        <v>0.87113491321058445</v>
      </c>
      <c r="H14" s="457">
        <f t="shared" si="23"/>
        <v>0.78522823682981913</v>
      </c>
      <c r="I14" s="457">
        <f t="shared" si="24"/>
        <v>0.76422820655191559</v>
      </c>
      <c r="J14" s="461">
        <f t="shared" si="25"/>
        <v>0.60009356716637552</v>
      </c>
      <c r="K14" s="461">
        <f t="shared" si="26"/>
        <v>0.77405446118790122</v>
      </c>
      <c r="L14" s="305">
        <f>+SUM(Efficiency1!K30:K31)</f>
        <v>55.04641577142857</v>
      </c>
      <c r="M14" s="13">
        <f t="shared" si="27"/>
        <v>361.42418140793836</v>
      </c>
      <c r="N14" s="305">
        <f>+SUM(Efficiency1!C30:C31)</f>
        <v>49.618031999999999</v>
      </c>
      <c r="O14" s="13">
        <f t="shared" si="27"/>
        <v>348.59520119450974</v>
      </c>
      <c r="P14" s="301">
        <f>'6'!I38</f>
        <v>43.224000000000004</v>
      </c>
      <c r="Q14" s="13">
        <f t="shared" si="28"/>
        <v>299.94200000000001</v>
      </c>
      <c r="R14" s="15">
        <f>'6'!I40</f>
        <v>33.033000000000001</v>
      </c>
      <c r="S14" s="302">
        <f t="shared" si="29"/>
        <v>279.762</v>
      </c>
      <c r="T14" s="7">
        <f t="shared" si="1"/>
        <v>0.76422820655191559</v>
      </c>
      <c r="U14" s="7">
        <f t="shared" si="2"/>
        <v>0.93272032592967968</v>
      </c>
      <c r="V14" s="303">
        <f t="shared" si="3"/>
        <v>0.60009356716637552</v>
      </c>
      <c r="W14" s="304">
        <f t="shared" si="4"/>
        <v>0.77405446118790122</v>
      </c>
      <c r="X14" s="302"/>
      <c r="Y14" s="302"/>
      <c r="Z14" s="6"/>
      <c r="AA14" s="302"/>
      <c r="AB14" s="98">
        <v>0</v>
      </c>
      <c r="AC14" s="13">
        <f t="shared" si="30"/>
        <v>0</v>
      </c>
      <c r="AD14" s="300">
        <f t="shared" si="5"/>
        <v>0</v>
      </c>
      <c r="AE14" s="300">
        <f t="shared" si="6"/>
        <v>0</v>
      </c>
      <c r="AF14" s="306">
        <f t="shared" si="7"/>
        <v>0</v>
      </c>
      <c r="AG14" s="300">
        <f t="shared" si="8"/>
        <v>0</v>
      </c>
      <c r="AH14" s="568">
        <f t="shared" si="9"/>
        <v>132.04499999999999</v>
      </c>
      <c r="AI14" s="302">
        <f t="shared" si="31"/>
        <v>846.37399999999991</v>
      </c>
      <c r="AJ14" s="308">
        <f t="shared" si="10"/>
        <v>3.0549000555247079</v>
      </c>
      <c r="AK14" s="308">
        <f t="shared" si="11"/>
        <v>2.8217922131612108</v>
      </c>
      <c r="AL14" s="305">
        <f t="shared" si="12"/>
        <v>3.9973662700935422</v>
      </c>
      <c r="AM14" s="308">
        <f t="shared" si="13"/>
        <v>3.0253358211622734</v>
      </c>
      <c r="AN14" s="599">
        <v>0</v>
      </c>
      <c r="AO14" s="302">
        <f t="shared" si="32"/>
        <v>62.5</v>
      </c>
      <c r="AP14" s="308">
        <f t="shared" si="33"/>
        <v>0</v>
      </c>
      <c r="AQ14" s="308">
        <f t="shared" si="34"/>
        <v>0.20837361889965392</v>
      </c>
      <c r="AR14" s="305">
        <f t="shared" si="35"/>
        <v>0</v>
      </c>
      <c r="AS14" s="308">
        <f t="shared" si="36"/>
        <v>0.22340417926666237</v>
      </c>
      <c r="AT14" s="307">
        <f>'6'!I46</f>
        <v>45279.069999999883</v>
      </c>
      <c r="AU14" s="302">
        <f t="shared" si="37"/>
        <v>199682.8800000005</v>
      </c>
      <c r="AV14" s="308">
        <f t="shared" si="14"/>
        <v>1047.5446511197456</v>
      </c>
      <c r="AW14" s="308">
        <f t="shared" si="15"/>
        <v>665.73830940648691</v>
      </c>
      <c r="AX14" s="308">
        <f t="shared" si="16"/>
        <v>1370.7223079950318</v>
      </c>
      <c r="AY14" s="308">
        <f t="shared" si="17"/>
        <v>713.75983872005668</v>
      </c>
      <c r="AZ14" s="307">
        <f>+Listrik!AH13</f>
        <v>613</v>
      </c>
      <c r="BA14" s="302">
        <f t="shared" si="38"/>
        <v>106364</v>
      </c>
      <c r="BB14" s="308">
        <f t="shared" si="18"/>
        <v>14.181935961502866</v>
      </c>
      <c r="BC14" s="308">
        <f t="shared" si="39"/>
        <v>354.61522561028465</v>
      </c>
      <c r="BD14" s="308">
        <f t="shared" si="19"/>
        <v>18.557200375382195</v>
      </c>
      <c r="BE14" s="308">
        <f t="shared" si="20"/>
        <v>380.19459397630845</v>
      </c>
      <c r="BF14" s="574">
        <v>33.814</v>
      </c>
      <c r="BG14" s="531">
        <v>98.230999999999995</v>
      </c>
      <c r="BH14" s="554">
        <f>+SUM(Efficiency2!K30:K31)</f>
        <v>49.107395828571427</v>
      </c>
      <c r="BI14" s="555">
        <f t="shared" si="40"/>
        <v>310.15646309708126</v>
      </c>
      <c r="BJ14" s="556">
        <f t="shared" si="41"/>
        <v>0.67266853480307953</v>
      </c>
      <c r="BK14" s="556">
        <f t="shared" si="42"/>
        <v>0.90200280595936655</v>
      </c>
    </row>
    <row r="15" spans="1:63">
      <c r="A15" s="17">
        <f t="shared" si="21"/>
        <v>45876</v>
      </c>
      <c r="B15" s="448" t="s">
        <v>445</v>
      </c>
      <c r="C15" s="449" t="s">
        <v>530</v>
      </c>
      <c r="D15" s="454">
        <f>+'7'!F42</f>
        <v>826.625</v>
      </c>
      <c r="E15" s="454">
        <f>+'7'!G42</f>
        <v>710.89750000000004</v>
      </c>
      <c r="F15" s="49">
        <f t="shared" si="0"/>
        <v>0.1399999999999999</v>
      </c>
      <c r="G15" s="459">
        <f t="shared" si="22"/>
        <v>0.61550263996306753</v>
      </c>
      <c r="H15" s="457">
        <f t="shared" si="23"/>
        <v>0.61208390146880809</v>
      </c>
      <c r="I15" s="457">
        <f t="shared" si="24"/>
        <v>0.90913817005545283</v>
      </c>
      <c r="J15" s="461">
        <f t="shared" si="25"/>
        <v>0.55646883810175429</v>
      </c>
      <c r="K15" s="461">
        <f t="shared" si="26"/>
        <v>0.74460828309688887</v>
      </c>
      <c r="L15" s="305">
        <f>+SUM(Efficiency1!K37:K38)</f>
        <v>56.567408351883358</v>
      </c>
      <c r="M15" s="13">
        <f t="shared" si="27"/>
        <v>417.99158975982175</v>
      </c>
      <c r="N15" s="305">
        <f>+SUM(Efficiency1!C37:C38)</f>
        <v>56.25321120000001</v>
      </c>
      <c r="O15" s="13">
        <f t="shared" si="27"/>
        <v>404.84841239450975</v>
      </c>
      <c r="P15" s="301">
        <f>'7'!I38</f>
        <v>34.624000000000002</v>
      </c>
      <c r="Q15" s="13">
        <f t="shared" si="28"/>
        <v>334.56600000000003</v>
      </c>
      <c r="R15" s="15">
        <f>'7'!I40</f>
        <v>31.478000000000002</v>
      </c>
      <c r="S15" s="302">
        <f t="shared" si="29"/>
        <v>311.24</v>
      </c>
      <c r="T15" s="7">
        <f t="shared" si="1"/>
        <v>0.90913817005545283</v>
      </c>
      <c r="U15" s="7">
        <f t="shared" si="2"/>
        <v>0.93027982520638675</v>
      </c>
      <c r="V15" s="303">
        <f t="shared" si="3"/>
        <v>0.55646883810175429</v>
      </c>
      <c r="W15" s="304">
        <f t="shared" si="4"/>
        <v>0.74460828309688887</v>
      </c>
      <c r="X15" s="302"/>
      <c r="Y15" s="302"/>
      <c r="Z15" s="6"/>
      <c r="AA15" s="302"/>
      <c r="AB15" s="98">
        <v>0</v>
      </c>
      <c r="AC15" s="13">
        <f t="shared" si="30"/>
        <v>0</v>
      </c>
      <c r="AD15" s="300">
        <f t="shared" si="5"/>
        <v>0</v>
      </c>
      <c r="AE15" s="300">
        <f t="shared" si="6"/>
        <v>0</v>
      </c>
      <c r="AF15" s="306">
        <f t="shared" si="7"/>
        <v>0</v>
      </c>
      <c r="AG15" s="300">
        <f t="shared" si="8"/>
        <v>0</v>
      </c>
      <c r="AH15" s="568">
        <f t="shared" si="9"/>
        <v>108.702</v>
      </c>
      <c r="AI15" s="302">
        <f t="shared" si="31"/>
        <v>955.07599999999991</v>
      </c>
      <c r="AJ15" s="308">
        <f t="shared" si="10"/>
        <v>3.1394986136783731</v>
      </c>
      <c r="AK15" s="308">
        <f t="shared" si="11"/>
        <v>2.8546714250700904</v>
      </c>
      <c r="AL15" s="305">
        <f t="shared" si="12"/>
        <v>3.4532689497426774</v>
      </c>
      <c r="AM15" s="308">
        <f t="shared" si="13"/>
        <v>3.0686158591440686</v>
      </c>
      <c r="AN15" s="599">
        <v>0</v>
      </c>
      <c r="AO15" s="302">
        <f t="shared" si="32"/>
        <v>62.5</v>
      </c>
      <c r="AP15" s="308">
        <f t="shared" si="33"/>
        <v>0</v>
      </c>
      <c r="AQ15" s="308">
        <f t="shared" si="34"/>
        <v>0.18680917965364083</v>
      </c>
      <c r="AR15" s="305">
        <f t="shared" si="35"/>
        <v>0</v>
      </c>
      <c r="AS15" s="308">
        <f t="shared" si="36"/>
        <v>0.20080966456753629</v>
      </c>
      <c r="AT15" s="307">
        <f>'7'!I46</f>
        <v>35046.910000000011</v>
      </c>
      <c r="AU15" s="302">
        <f t="shared" si="37"/>
        <v>234729.7900000005</v>
      </c>
      <c r="AV15" s="308">
        <f t="shared" si="14"/>
        <v>1012.2143599815161</v>
      </c>
      <c r="AW15" s="308">
        <f t="shared" si="15"/>
        <v>701.59487216274351</v>
      </c>
      <c r="AX15" s="308">
        <f t="shared" si="16"/>
        <v>1113.3779147341004</v>
      </c>
      <c r="AY15" s="308">
        <f t="shared" si="17"/>
        <v>754.17616630253349</v>
      </c>
      <c r="AZ15" s="307">
        <f>+Listrik!AH14</f>
        <v>474</v>
      </c>
      <c r="BA15" s="302">
        <f t="shared" si="38"/>
        <v>106838</v>
      </c>
      <c r="BB15" s="308">
        <f t="shared" si="18"/>
        <v>13.689926062846581</v>
      </c>
      <c r="BC15" s="308">
        <f t="shared" si="39"/>
        <v>319.33310617337082</v>
      </c>
      <c r="BD15" s="308">
        <f t="shared" si="19"/>
        <v>15.058135840904759</v>
      </c>
      <c r="BE15" s="308">
        <f t="shared" si="20"/>
        <v>343.26564708906312</v>
      </c>
      <c r="BF15" s="574">
        <v>15.377000000000001</v>
      </c>
      <c r="BG15" s="531">
        <v>93.325000000000003</v>
      </c>
      <c r="BH15" s="554">
        <f>+SUM(Efficiency2!K37:K38)</f>
        <v>56.567408351883358</v>
      </c>
      <c r="BI15" s="555">
        <f t="shared" si="40"/>
        <v>366.72387144896459</v>
      </c>
      <c r="BJ15" s="556">
        <f t="shared" si="41"/>
        <v>0.55646883810175429</v>
      </c>
      <c r="BK15" s="556">
        <f t="shared" si="42"/>
        <v>0.84870395475009042</v>
      </c>
    </row>
    <row r="16" spans="1:63">
      <c r="A16" s="17">
        <f t="shared" si="21"/>
        <v>45877</v>
      </c>
      <c r="B16" s="448" t="s">
        <v>445</v>
      </c>
      <c r="C16" s="449" t="s">
        <v>548</v>
      </c>
      <c r="D16" s="454">
        <f>+'8'!F42</f>
        <v>791.66666666666663</v>
      </c>
      <c r="E16" s="454">
        <f>+'8'!G42</f>
        <v>680.83333333333337</v>
      </c>
      <c r="F16" s="49">
        <f t="shared" si="0"/>
        <v>0.1399999999999999</v>
      </c>
      <c r="G16" s="459">
        <f t="shared" si="22"/>
        <v>0.91226457756498525</v>
      </c>
      <c r="H16" s="457">
        <f t="shared" si="23"/>
        <v>0.8683763469676069</v>
      </c>
      <c r="I16" s="457">
        <f t="shared" si="24"/>
        <v>0.99082225135793223</v>
      </c>
      <c r="J16" s="461">
        <f t="shared" si="25"/>
        <v>0.86040660712842121</v>
      </c>
      <c r="K16" s="461">
        <f t="shared" si="26"/>
        <v>0.76319655153210064</v>
      </c>
      <c r="L16" s="305">
        <f>+SUM(Efficiency1!K42:K43)</f>
        <v>79.927326719999996</v>
      </c>
      <c r="M16" s="13">
        <f t="shared" si="27"/>
        <v>497.91891647982175</v>
      </c>
      <c r="N16" s="305">
        <f>+SUM(Efficiency1!C42:C43)</f>
        <v>76.082094720000001</v>
      </c>
      <c r="O16" s="13">
        <f t="shared" si="27"/>
        <v>480.93050711450974</v>
      </c>
      <c r="P16" s="301">
        <f>'8'!I38</f>
        <v>69.406999999999996</v>
      </c>
      <c r="Q16" s="13">
        <f t="shared" si="28"/>
        <v>403.97300000000001</v>
      </c>
      <c r="R16" s="15">
        <f>'8'!I40</f>
        <v>68.77</v>
      </c>
      <c r="S16" s="302">
        <f t="shared" si="29"/>
        <v>380.01</v>
      </c>
      <c r="T16" s="7">
        <f t="shared" si="1"/>
        <v>0.99082225135793223</v>
      </c>
      <c r="U16" s="7">
        <f t="shared" si="2"/>
        <v>0.94068167922113599</v>
      </c>
      <c r="V16" s="303">
        <f t="shared" si="3"/>
        <v>0.86040660712842121</v>
      </c>
      <c r="W16" s="304">
        <f t="shared" si="4"/>
        <v>0.76319655153210064</v>
      </c>
      <c r="X16" s="302"/>
      <c r="Y16" s="302"/>
      <c r="Z16" s="6"/>
      <c r="AA16" s="302"/>
      <c r="AB16" s="98">
        <v>0</v>
      </c>
      <c r="AC16" s="13">
        <f t="shared" si="30"/>
        <v>0</v>
      </c>
      <c r="AD16" s="300">
        <f t="shared" si="5"/>
        <v>0</v>
      </c>
      <c r="AE16" s="300">
        <f t="shared" si="6"/>
        <v>0</v>
      </c>
      <c r="AF16" s="306">
        <f t="shared" si="7"/>
        <v>0</v>
      </c>
      <c r="AG16" s="300">
        <f t="shared" si="8"/>
        <v>0</v>
      </c>
      <c r="AH16" s="568">
        <f t="shared" si="9"/>
        <v>146.91199999999998</v>
      </c>
      <c r="AI16" s="302">
        <f t="shared" si="31"/>
        <v>1101.9879999999998</v>
      </c>
      <c r="AJ16" s="308">
        <f t="shared" si="10"/>
        <v>2.1166741106804787</v>
      </c>
      <c r="AK16" s="308">
        <f t="shared" si="11"/>
        <v>2.7278753778099025</v>
      </c>
      <c r="AL16" s="305">
        <f t="shared" si="12"/>
        <v>2.1362803548058746</v>
      </c>
      <c r="AM16" s="308">
        <f t="shared" si="13"/>
        <v>2.899892108102418</v>
      </c>
      <c r="AN16" s="599">
        <v>0</v>
      </c>
      <c r="AO16" s="302">
        <f t="shared" si="32"/>
        <v>62.5</v>
      </c>
      <c r="AP16" s="308">
        <f t="shared" si="33"/>
        <v>0</v>
      </c>
      <c r="AQ16" s="308">
        <f t="shared" si="34"/>
        <v>0.15471331004794875</v>
      </c>
      <c r="AR16" s="305">
        <f t="shared" si="35"/>
        <v>0</v>
      </c>
      <c r="AS16" s="308">
        <f t="shared" si="36"/>
        <v>0.16446935606957713</v>
      </c>
      <c r="AT16" s="307">
        <f>'8'!I46</f>
        <v>43791.809999999343</v>
      </c>
      <c r="AU16" s="302">
        <f t="shared" si="37"/>
        <v>278521.59999999986</v>
      </c>
      <c r="AV16" s="308">
        <f t="shared" si="14"/>
        <v>630.94226807093435</v>
      </c>
      <c r="AW16" s="308">
        <f t="shared" si="15"/>
        <v>689.45597849361184</v>
      </c>
      <c r="AX16" s="308">
        <f t="shared" si="16"/>
        <v>636.78653482622281</v>
      </c>
      <c r="AY16" s="308">
        <f t="shared" si="17"/>
        <v>732.93229125549283</v>
      </c>
      <c r="AZ16" s="307">
        <f>+Listrik!AH15</f>
        <v>519</v>
      </c>
      <c r="BA16" s="302">
        <f t="shared" si="38"/>
        <v>107357</v>
      </c>
      <c r="BB16" s="308">
        <f t="shared" si="18"/>
        <v>7.4776319391415846</v>
      </c>
      <c r="BC16" s="308">
        <f t="shared" si="39"/>
        <v>265.75290922908215</v>
      </c>
      <c r="BD16" s="308">
        <f t="shared" si="19"/>
        <v>7.5468954485967723</v>
      </c>
      <c r="BE16" s="308">
        <f t="shared" si="20"/>
        <v>282.51098655298546</v>
      </c>
      <c r="BF16" s="574">
        <v>24.582999999999998</v>
      </c>
      <c r="BG16" s="531">
        <v>122.32899999999999</v>
      </c>
      <c r="BH16" s="305">
        <f>+SUM(Efficiency2!K42:K43)</f>
        <v>79.927326719999996</v>
      </c>
      <c r="BI16" s="555">
        <f t="shared" si="40"/>
        <v>446.65119816896458</v>
      </c>
      <c r="BJ16" s="556">
        <f t="shared" si="41"/>
        <v>0.86040660712842121</v>
      </c>
      <c r="BK16" s="556">
        <f t="shared" si="42"/>
        <v>0.85079812067636107</v>
      </c>
    </row>
    <row r="17" spans="1:63">
      <c r="A17" s="17">
        <f t="shared" si="21"/>
        <v>45878</v>
      </c>
      <c r="B17" s="448" t="s">
        <v>445</v>
      </c>
      <c r="C17" s="449" t="s">
        <v>575</v>
      </c>
      <c r="D17" s="454">
        <f>+'9'!F42</f>
        <v>825.2707581227437</v>
      </c>
      <c r="E17" s="454">
        <f>+'9'!G42</f>
        <v>709.73285198555959</v>
      </c>
      <c r="F17" s="49">
        <f t="shared" si="0"/>
        <v>0.14000000000000001</v>
      </c>
      <c r="G17" s="459">
        <f t="shared" si="22"/>
        <v>0.86613137080598157</v>
      </c>
      <c r="H17" s="457">
        <f t="shared" si="23"/>
        <v>0.86103262741104025</v>
      </c>
      <c r="I17" s="457">
        <f t="shared" si="24"/>
        <v>0.96419895154072377</v>
      </c>
      <c r="J17" s="461">
        <f t="shared" si="25"/>
        <v>0.83020675659207965</v>
      </c>
      <c r="K17" s="461">
        <f t="shared" si="26"/>
        <v>0.77264687086455175</v>
      </c>
      <c r="L17" s="305">
        <f>+SUM(Efficiency1!K46:K47)</f>
        <v>81.749515360000004</v>
      </c>
      <c r="M17" s="13">
        <f t="shared" si="27"/>
        <v>579.66843183982178</v>
      </c>
      <c r="N17" s="305">
        <f>+SUM(Efficiency1!C46:C47)</f>
        <v>81.268272195820899</v>
      </c>
      <c r="O17" s="13">
        <f t="shared" si="27"/>
        <v>562.19877931033068</v>
      </c>
      <c r="P17" s="301">
        <f>'9'!I38</f>
        <v>70.388999999999996</v>
      </c>
      <c r="Q17" s="13">
        <f t="shared" si="28"/>
        <v>474.36200000000002</v>
      </c>
      <c r="R17" s="15">
        <f>'9'!I40</f>
        <v>67.869</v>
      </c>
      <c r="S17" s="302">
        <f t="shared" si="29"/>
        <v>447.87900000000002</v>
      </c>
      <c r="T17" s="7">
        <f t="shared" si="1"/>
        <v>0.96419895154072377</v>
      </c>
      <c r="U17" s="7">
        <f t="shared" si="2"/>
        <v>0.94417132906936052</v>
      </c>
      <c r="V17" s="303">
        <f t="shared" si="3"/>
        <v>0.83020675659207965</v>
      </c>
      <c r="W17" s="304">
        <f t="shared" si="4"/>
        <v>0.77264687086455175</v>
      </c>
      <c r="X17" s="302"/>
      <c r="Y17" s="302"/>
      <c r="Z17" s="6"/>
      <c r="AA17" s="302"/>
      <c r="AB17" s="98">
        <v>0</v>
      </c>
      <c r="AC17" s="13">
        <f t="shared" si="30"/>
        <v>0</v>
      </c>
      <c r="AD17" s="300">
        <f t="shared" si="5"/>
        <v>0</v>
      </c>
      <c r="AE17" s="300">
        <f t="shared" si="6"/>
        <v>0</v>
      </c>
      <c r="AF17" s="306">
        <f t="shared" si="7"/>
        <v>0</v>
      </c>
      <c r="AG17" s="300">
        <f t="shared" si="8"/>
        <v>0</v>
      </c>
      <c r="AH17" s="568">
        <f t="shared" si="9"/>
        <v>158.43700000000001</v>
      </c>
      <c r="AI17" s="302">
        <f t="shared" si="31"/>
        <v>1260.4249999999997</v>
      </c>
      <c r="AJ17" s="308">
        <f t="shared" si="10"/>
        <v>2.2508772677549054</v>
      </c>
      <c r="AK17" s="308">
        <f t="shared" si="11"/>
        <v>2.657095214203498</v>
      </c>
      <c r="AL17" s="305">
        <f t="shared" si="12"/>
        <v>2.3344531376622615</v>
      </c>
      <c r="AM17" s="308">
        <f t="shared" si="13"/>
        <v>2.8142087483449765</v>
      </c>
      <c r="AN17" s="599">
        <v>0</v>
      </c>
      <c r="AO17" s="302">
        <f t="shared" si="32"/>
        <v>62.5</v>
      </c>
      <c r="AP17" s="308">
        <f t="shared" si="33"/>
        <v>0</v>
      </c>
      <c r="AQ17" s="308">
        <f t="shared" si="34"/>
        <v>0.13175591636766856</v>
      </c>
      <c r="AR17" s="305">
        <f t="shared" si="35"/>
        <v>0</v>
      </c>
      <c r="AS17" s="308">
        <f t="shared" si="36"/>
        <v>0.13954661861797493</v>
      </c>
      <c r="AT17" s="307">
        <f>'9'!I46</f>
        <v>45323.430000000211</v>
      </c>
      <c r="AU17" s="302">
        <f t="shared" si="37"/>
        <v>323845.03000000009</v>
      </c>
      <c r="AV17" s="308">
        <f t="shared" si="14"/>
        <v>643.8993308613592</v>
      </c>
      <c r="AW17" s="308">
        <f t="shared" si="15"/>
        <v>682.69597902024213</v>
      </c>
      <c r="AX17" s="308">
        <f t="shared" si="16"/>
        <v>667.80754099810235</v>
      </c>
      <c r="AY17" s="308">
        <f t="shared" si="17"/>
        <v>723.0636622837867</v>
      </c>
      <c r="AZ17" s="307">
        <f>+Listrik!AH16</f>
        <v>451</v>
      </c>
      <c r="BA17" s="302">
        <f t="shared" si="38"/>
        <v>107808</v>
      </c>
      <c r="BB17" s="308">
        <f t="shared" si="18"/>
        <v>6.4072511329895292</v>
      </c>
      <c r="BC17" s="308">
        <f t="shared" si="39"/>
        <v>227.26946930824982</v>
      </c>
      <c r="BD17" s="308">
        <f t="shared" si="19"/>
        <v>6.6451546361372644</v>
      </c>
      <c r="BE17" s="308">
        <f t="shared" si="20"/>
        <v>240.70786975946629</v>
      </c>
      <c r="BF17" s="574">
        <v>29.199000000000002</v>
      </c>
      <c r="BG17" s="531">
        <v>129.238</v>
      </c>
      <c r="BH17" s="305">
        <f>+SUM(Efficiency2!K46:K47)</f>
        <v>81.749515360000004</v>
      </c>
      <c r="BI17" s="555">
        <f t="shared" si="40"/>
        <v>528.40071352896462</v>
      </c>
      <c r="BJ17" s="556">
        <f t="shared" si="41"/>
        <v>0.83020675659207965</v>
      </c>
      <c r="BK17" s="556">
        <f t="shared" si="42"/>
        <v>0.84761240576078301</v>
      </c>
    </row>
    <row r="18" spans="1:63">
      <c r="A18" s="17">
        <f t="shared" si="21"/>
        <v>45879</v>
      </c>
      <c r="B18" s="448" t="s">
        <v>573</v>
      </c>
      <c r="C18" s="449" t="s">
        <v>574</v>
      </c>
      <c r="D18" s="454">
        <f>+'10'!F42</f>
        <v>830</v>
      </c>
      <c r="E18" s="454">
        <f>+'10'!G42</f>
        <v>713.8</v>
      </c>
      <c r="F18" s="49">
        <f t="shared" si="0"/>
        <v>0.14000000000000001</v>
      </c>
      <c r="G18" s="459">
        <f t="shared" si="22"/>
        <v>0.95879677648600259</v>
      </c>
      <c r="H18" s="457">
        <f t="shared" si="23"/>
        <v>0.95879677648600259</v>
      </c>
      <c r="I18" s="457">
        <f t="shared" si="24"/>
        <v>1.0138024174488485</v>
      </c>
      <c r="J18" s="461">
        <f t="shared" si="25"/>
        <v>0.9720304898436728</v>
      </c>
      <c r="K18" s="461">
        <f t="shared" si="26"/>
        <v>0.79608712975948037</v>
      </c>
      <c r="L18" s="305">
        <f>+SUM(Efficiency1!K52:K55)</f>
        <v>77.227001399999992</v>
      </c>
      <c r="M18" s="13">
        <f t="shared" si="27"/>
        <v>656.89543323982173</v>
      </c>
      <c r="N18" s="305">
        <f>+SUM(Efficiency1!C52:C55)</f>
        <v>77.227001399999992</v>
      </c>
      <c r="O18" s="13">
        <f t="shared" si="27"/>
        <v>639.42578071033063</v>
      </c>
      <c r="P18" s="301">
        <f>'10'!I38</f>
        <v>74.045000000000002</v>
      </c>
      <c r="Q18" s="13">
        <f t="shared" si="28"/>
        <v>548.40700000000004</v>
      </c>
      <c r="R18" s="15">
        <f>'10'!I40</f>
        <v>75.066999999999993</v>
      </c>
      <c r="S18" s="302">
        <f t="shared" si="29"/>
        <v>522.94600000000003</v>
      </c>
      <c r="T18" s="7">
        <f t="shared" si="1"/>
        <v>1.0138024174488485</v>
      </c>
      <c r="U18" s="7">
        <f t="shared" si="2"/>
        <v>0.95357280268122036</v>
      </c>
      <c r="V18" s="303">
        <f t="shared" si="3"/>
        <v>0.9720304898436728</v>
      </c>
      <c r="W18" s="304">
        <f t="shared" si="4"/>
        <v>0.79608712975948037</v>
      </c>
      <c r="X18" s="302"/>
      <c r="Y18" s="302"/>
      <c r="Z18" s="6"/>
      <c r="AA18" s="302"/>
      <c r="AB18" s="98">
        <v>0</v>
      </c>
      <c r="AC18" s="13">
        <f t="shared" si="30"/>
        <v>0</v>
      </c>
      <c r="AD18" s="300">
        <f t="shared" si="5"/>
        <v>0</v>
      </c>
      <c r="AE18" s="300">
        <f t="shared" si="6"/>
        <v>0</v>
      </c>
      <c r="AF18" s="306">
        <f t="shared" si="7"/>
        <v>0</v>
      </c>
      <c r="AG18" s="300">
        <f t="shared" si="8"/>
        <v>0</v>
      </c>
      <c r="AH18" s="568">
        <f t="shared" si="9"/>
        <v>157.11799999999999</v>
      </c>
      <c r="AI18" s="302">
        <f t="shared" si="31"/>
        <v>1417.5429999999997</v>
      </c>
      <c r="AJ18" s="308">
        <f t="shared" si="10"/>
        <v>2.1219258558984402</v>
      </c>
      <c r="AK18" s="308">
        <f t="shared" si="11"/>
        <v>2.5848375385434532</v>
      </c>
      <c r="AL18" s="305">
        <f t="shared" si="12"/>
        <v>2.0930368870475711</v>
      </c>
      <c r="AM18" s="308">
        <f t="shared" si="13"/>
        <v>2.710687145517892</v>
      </c>
      <c r="AN18" s="599">
        <v>0</v>
      </c>
      <c r="AO18" s="302">
        <f t="shared" si="32"/>
        <v>62.5</v>
      </c>
      <c r="AP18" s="308">
        <f t="shared" si="33"/>
        <v>0</v>
      </c>
      <c r="AQ18" s="308">
        <f t="shared" si="34"/>
        <v>0.11396645192348018</v>
      </c>
      <c r="AR18" s="305">
        <f t="shared" si="35"/>
        <v>0</v>
      </c>
      <c r="AS18" s="308">
        <f t="shared" si="36"/>
        <v>0.11951520807119664</v>
      </c>
      <c r="AT18" s="307">
        <f>'10'!I46</f>
        <v>45373.809999999808</v>
      </c>
      <c r="AU18" s="302">
        <f t="shared" si="37"/>
        <v>369218.83999999991</v>
      </c>
      <c r="AV18" s="308">
        <f t="shared" si="14"/>
        <v>612.78695387939513</v>
      </c>
      <c r="AW18" s="308">
        <f t="shared" si="15"/>
        <v>673.25697884964984</v>
      </c>
      <c r="AX18" s="308">
        <f t="shared" si="16"/>
        <v>604.44416321419283</v>
      </c>
      <c r="AY18" s="308">
        <f t="shared" si="17"/>
        <v>706.03626378249362</v>
      </c>
      <c r="AZ18" s="307">
        <f>+Listrik!AH17</f>
        <v>455</v>
      </c>
      <c r="BA18" s="302">
        <f t="shared" si="38"/>
        <v>108263</v>
      </c>
      <c r="BB18" s="308">
        <f t="shared" si="18"/>
        <v>6.1449118779120804</v>
      </c>
      <c r="BC18" s="308">
        <f t="shared" si="39"/>
        <v>197.41359975346779</v>
      </c>
      <c r="BD18" s="308">
        <f t="shared" si="19"/>
        <v>6.0612519482595548</v>
      </c>
      <c r="BE18" s="308">
        <f t="shared" si="20"/>
        <v>207.02519954259142</v>
      </c>
      <c r="BF18" s="574">
        <v>29.489000000000001</v>
      </c>
      <c r="BG18" s="531">
        <v>127.629</v>
      </c>
      <c r="BH18" s="305">
        <f>+SUM(Efficiency2!K52:K54)</f>
        <v>77.227001399999992</v>
      </c>
      <c r="BI18" s="555">
        <f t="shared" si="40"/>
        <v>605.62771492896456</v>
      </c>
      <c r="BJ18" s="556">
        <f t="shared" si="41"/>
        <v>0.9720304898436728</v>
      </c>
      <c r="BK18" s="556">
        <f t="shared" si="42"/>
        <v>0.86347765650278663</v>
      </c>
    </row>
    <row r="19" spans="1:63">
      <c r="A19" s="17">
        <f t="shared" si="21"/>
        <v>45880</v>
      </c>
      <c r="B19" s="448" t="s">
        <v>445</v>
      </c>
      <c r="C19" s="449" t="s">
        <v>589</v>
      </c>
      <c r="D19" s="454">
        <f>+'11'!F42</f>
        <v>830</v>
      </c>
      <c r="E19" s="454">
        <f>+'11'!G42</f>
        <v>680.6</v>
      </c>
      <c r="F19" s="49">
        <f t="shared" si="0"/>
        <v>0.17999999999999994</v>
      </c>
      <c r="G19" s="459">
        <f t="shared" si="22"/>
        <v>0.9090074486764067</v>
      </c>
      <c r="H19" s="457">
        <f t="shared" si="23"/>
        <v>0.9090074486764067</v>
      </c>
      <c r="I19" s="457">
        <f t="shared" si="24"/>
        <v>0.94749427319856927</v>
      </c>
      <c r="J19" s="461">
        <f t="shared" si="25"/>
        <v>0.86127935191573768</v>
      </c>
      <c r="K19" s="461">
        <f t="shared" si="26"/>
        <v>0.80110245220455134</v>
      </c>
      <c r="L19" s="305">
        <f>+Efficiency1!K57</f>
        <v>54.747626185531914</v>
      </c>
      <c r="M19" s="13">
        <f t="shared" si="27"/>
        <v>711.64305942535361</v>
      </c>
      <c r="N19" s="305">
        <f>+Efficiency1!C57</f>
        <v>54.747626185531914</v>
      </c>
      <c r="O19" s="13">
        <f t="shared" si="27"/>
        <v>694.17340689586251</v>
      </c>
      <c r="P19" s="301">
        <f>'11'!I38</f>
        <v>49.765999999999998</v>
      </c>
      <c r="Q19" s="13">
        <f t="shared" si="28"/>
        <v>598.173</v>
      </c>
      <c r="R19" s="15">
        <f>'11'!I40</f>
        <v>47.152999999999999</v>
      </c>
      <c r="S19" s="302">
        <f t="shared" si="29"/>
        <v>570.09900000000005</v>
      </c>
      <c r="T19" s="7">
        <f t="shared" si="1"/>
        <v>0.94749427319856927</v>
      </c>
      <c r="U19" s="7">
        <f t="shared" si="2"/>
        <v>0.95306708928687867</v>
      </c>
      <c r="V19" s="303">
        <f t="shared" si="3"/>
        <v>0.86127935191573768</v>
      </c>
      <c r="W19" s="304">
        <f t="shared" si="4"/>
        <v>0.80110245220455134</v>
      </c>
      <c r="X19" s="302"/>
      <c r="Y19" s="302"/>
      <c r="Z19" s="6"/>
      <c r="AA19" s="302"/>
      <c r="AB19" s="98">
        <v>0</v>
      </c>
      <c r="AC19" s="13">
        <f t="shared" si="30"/>
        <v>0</v>
      </c>
      <c r="AD19" s="300">
        <f t="shared" si="5"/>
        <v>0</v>
      </c>
      <c r="AE19" s="300">
        <f t="shared" si="6"/>
        <v>0</v>
      </c>
      <c r="AF19" s="306">
        <f t="shared" si="7"/>
        <v>0</v>
      </c>
      <c r="AG19" s="300">
        <f t="shared" si="8"/>
        <v>0</v>
      </c>
      <c r="AH19" s="568">
        <f t="shared" si="9"/>
        <v>133.88400000000001</v>
      </c>
      <c r="AI19" s="302">
        <f t="shared" si="31"/>
        <v>1551.4269999999997</v>
      </c>
      <c r="AJ19" s="308">
        <f t="shared" si="10"/>
        <v>2.6902704657798502</v>
      </c>
      <c r="AK19" s="308">
        <f t="shared" si="11"/>
        <v>2.5936092067010708</v>
      </c>
      <c r="AL19" s="305">
        <f t="shared" si="12"/>
        <v>2.8393527453184317</v>
      </c>
      <c r="AM19" s="308">
        <f t="shared" si="13"/>
        <v>2.7213291024892161</v>
      </c>
      <c r="AN19" s="599">
        <v>0</v>
      </c>
      <c r="AO19" s="302">
        <f t="shared" si="32"/>
        <v>62.5</v>
      </c>
      <c r="AP19" s="308">
        <f t="shared" si="33"/>
        <v>0</v>
      </c>
      <c r="AQ19" s="308">
        <f t="shared" si="34"/>
        <v>0.1044848229525572</v>
      </c>
      <c r="AR19" s="305">
        <f t="shared" si="35"/>
        <v>0</v>
      </c>
      <c r="AS19" s="308">
        <f t="shared" si="36"/>
        <v>0.10963008179281142</v>
      </c>
      <c r="AT19" s="307">
        <f>'11'!I46</f>
        <v>45530.729999999923</v>
      </c>
      <c r="AU19" s="302">
        <f t="shared" si="37"/>
        <v>414749.56999999983</v>
      </c>
      <c r="AV19" s="308">
        <f t="shared" si="14"/>
        <v>914.8963147530427</v>
      </c>
      <c r="AW19" s="308">
        <f t="shared" si="15"/>
        <v>693.36056625758749</v>
      </c>
      <c r="AX19" s="308">
        <f t="shared" si="16"/>
        <v>965.59561427692665</v>
      </c>
      <c r="AY19" s="308">
        <f t="shared" si="17"/>
        <v>727.50446852213361</v>
      </c>
      <c r="AZ19" s="307">
        <f>+Listrik!AH18</f>
        <v>459</v>
      </c>
      <c r="BA19" s="302">
        <f t="shared" si="38"/>
        <v>108722</v>
      </c>
      <c r="BB19" s="308">
        <f t="shared" si="18"/>
        <v>9.2231644094361602</v>
      </c>
      <c r="BC19" s="308">
        <f t="shared" si="39"/>
        <v>181.75678273676678</v>
      </c>
      <c r="BD19" s="308">
        <f t="shared" si="19"/>
        <v>9.7342692935762312</v>
      </c>
      <c r="BE19" s="308">
        <f t="shared" si="20"/>
        <v>190.7072280428487</v>
      </c>
      <c r="BF19" s="574">
        <v>24.867999999999999</v>
      </c>
      <c r="BG19" s="531">
        <v>109.01600000000001</v>
      </c>
      <c r="BH19" s="554">
        <f>+Efficiency2!K57</f>
        <v>54.747626185531914</v>
      </c>
      <c r="BI19" s="555">
        <f t="shared" si="40"/>
        <v>660.37534111449645</v>
      </c>
      <c r="BJ19" s="556">
        <f t="shared" si="41"/>
        <v>0.86127935191573768</v>
      </c>
      <c r="BK19" s="556">
        <f t="shared" si="42"/>
        <v>0.86329540869569776</v>
      </c>
    </row>
    <row r="20" spans="1:63">
      <c r="A20" s="17">
        <f t="shared" si="21"/>
        <v>45881</v>
      </c>
      <c r="B20" s="448" t="s">
        <v>445</v>
      </c>
      <c r="C20" s="449" t="s">
        <v>589</v>
      </c>
      <c r="D20" s="454">
        <f>+'12'!F42</f>
        <v>830</v>
      </c>
      <c r="E20" s="454">
        <f>+'12'!G42</f>
        <v>680.6</v>
      </c>
      <c r="F20" s="49">
        <f t="shared" si="0"/>
        <v>0.17999999999999994</v>
      </c>
      <c r="G20" s="459">
        <f t="shared" si="22"/>
        <v>0.93771823805981369</v>
      </c>
      <c r="H20" s="457">
        <f t="shared" si="23"/>
        <v>0.93771823805981369</v>
      </c>
      <c r="I20" s="457">
        <f t="shared" si="24"/>
        <v>0.9706773318549905</v>
      </c>
      <c r="J20" s="461">
        <f t="shared" si="25"/>
        <v>0.91022183735166273</v>
      </c>
      <c r="K20" s="461">
        <f t="shared" si="26"/>
        <v>0.80878019015104674</v>
      </c>
      <c r="L20" s="305">
        <f>+SUM(Efficiency1!K61:K62)</f>
        <v>53.861595039999997</v>
      </c>
      <c r="M20" s="13">
        <f t="shared" si="27"/>
        <v>765.50465446535361</v>
      </c>
      <c r="N20" s="305">
        <f>+SUM(Efficiency1!C61:C62)</f>
        <v>53.861595039999997</v>
      </c>
      <c r="O20" s="13">
        <f t="shared" si="27"/>
        <v>748.03500193586251</v>
      </c>
      <c r="P20" s="301">
        <f>'12'!I38</f>
        <v>50.506999999999998</v>
      </c>
      <c r="Q20" s="13">
        <f t="shared" si="28"/>
        <v>648.67999999999995</v>
      </c>
      <c r="R20" s="15">
        <f>'12'!I40</f>
        <v>49.026000000000003</v>
      </c>
      <c r="S20" s="302">
        <f t="shared" si="29"/>
        <v>619.125</v>
      </c>
      <c r="T20" s="7">
        <f t="shared" si="1"/>
        <v>0.9706773318549905</v>
      </c>
      <c r="U20" s="7">
        <f t="shared" si="2"/>
        <v>0.95443824381821551</v>
      </c>
      <c r="V20" s="303">
        <f t="shared" si="3"/>
        <v>0.91022183735166273</v>
      </c>
      <c r="W20" s="304">
        <f t="shared" si="4"/>
        <v>0.80878019015104674</v>
      </c>
      <c r="X20" s="302"/>
      <c r="Y20" s="302"/>
      <c r="Z20" s="6"/>
      <c r="AA20" s="302"/>
      <c r="AB20" s="98">
        <v>0</v>
      </c>
      <c r="AC20" s="13">
        <f t="shared" si="30"/>
        <v>0</v>
      </c>
      <c r="AD20" s="300">
        <f t="shared" si="5"/>
        <v>0</v>
      </c>
      <c r="AE20" s="300">
        <f t="shared" si="6"/>
        <v>0</v>
      </c>
      <c r="AF20" s="306">
        <f t="shared" si="7"/>
        <v>0</v>
      </c>
      <c r="AG20" s="300">
        <f t="shared" si="8"/>
        <v>0</v>
      </c>
      <c r="AH20" s="568">
        <f t="shared" si="9"/>
        <v>116.59099999999999</v>
      </c>
      <c r="AI20" s="302">
        <f t="shared" si="31"/>
        <v>1668.0179999999996</v>
      </c>
      <c r="AJ20" s="308">
        <f t="shared" si="10"/>
        <v>2.3084126952699626</v>
      </c>
      <c r="AK20" s="308">
        <f t="shared" si="11"/>
        <v>2.5714034654991669</v>
      </c>
      <c r="AL20" s="305">
        <f t="shared" si="12"/>
        <v>2.3781462897238197</v>
      </c>
      <c r="AM20" s="308">
        <f t="shared" si="13"/>
        <v>2.6941538461538457</v>
      </c>
      <c r="AN20" s="599">
        <v>0</v>
      </c>
      <c r="AO20" s="302">
        <f t="shared" si="32"/>
        <v>62.5</v>
      </c>
      <c r="AP20" s="308">
        <f t="shared" si="33"/>
        <v>0</v>
      </c>
      <c r="AQ20" s="308">
        <f t="shared" si="34"/>
        <v>9.6349509773694275E-2</v>
      </c>
      <c r="AR20" s="305">
        <f t="shared" si="35"/>
        <v>0</v>
      </c>
      <c r="AS20" s="308">
        <f t="shared" si="36"/>
        <v>0.10094891984655764</v>
      </c>
      <c r="AT20" s="307">
        <f>'12'!I46</f>
        <v>46234.880000000558</v>
      </c>
      <c r="AU20" s="302">
        <f t="shared" si="37"/>
        <v>460984.45000000042</v>
      </c>
      <c r="AV20" s="308">
        <f t="shared" si="14"/>
        <v>915.41528896985676</v>
      </c>
      <c r="AW20" s="308">
        <f t="shared" si="15"/>
        <v>710.6500123327379</v>
      </c>
      <c r="AX20" s="308">
        <f t="shared" si="16"/>
        <v>943.06857585771957</v>
      </c>
      <c r="AY20" s="308">
        <f t="shared" si="17"/>
        <v>744.57411669695205</v>
      </c>
      <c r="AZ20" s="307">
        <f>+Listrik!AH19</f>
        <v>456</v>
      </c>
      <c r="BA20" s="302">
        <f t="shared" si="38"/>
        <v>109178</v>
      </c>
      <c r="BB20" s="308">
        <f t="shared" si="18"/>
        <v>9.0284515017720324</v>
      </c>
      <c r="BC20" s="308">
        <f t="shared" si="39"/>
        <v>168.30794844915829</v>
      </c>
      <c r="BD20" s="308">
        <f t="shared" si="19"/>
        <v>9.301187125198874</v>
      </c>
      <c r="BE20" s="308">
        <f t="shared" si="20"/>
        <v>176.34241873611953</v>
      </c>
      <c r="BF20" s="574">
        <v>9.3680000000000003</v>
      </c>
      <c r="BG20" s="531">
        <v>107.223</v>
      </c>
      <c r="BH20" s="554">
        <f>+SUM(Efficiency2!K61:K62)</f>
        <v>53.861595039999997</v>
      </c>
      <c r="BI20" s="555">
        <f t="shared" si="40"/>
        <v>714.23693615449645</v>
      </c>
      <c r="BJ20" s="556">
        <f t="shared" si="41"/>
        <v>0.91022183735166273</v>
      </c>
      <c r="BK20" s="556">
        <f t="shared" si="42"/>
        <v>0.86683419557299013</v>
      </c>
    </row>
    <row r="21" spans="1:63">
      <c r="A21" s="17">
        <f t="shared" si="21"/>
        <v>45882</v>
      </c>
      <c r="B21" s="448" t="s">
        <v>445</v>
      </c>
      <c r="C21" s="449" t="s">
        <v>505</v>
      </c>
      <c r="D21" s="454">
        <f>+'13'!F42</f>
        <v>830</v>
      </c>
      <c r="E21" s="454">
        <f>+'13'!G42</f>
        <v>685.78750000000002</v>
      </c>
      <c r="F21" s="49">
        <f t="shared" si="0"/>
        <v>0.17374999999999996</v>
      </c>
      <c r="G21" s="459">
        <f t="shared" si="22"/>
        <v>0.88931061928959798</v>
      </c>
      <c r="H21" s="457">
        <f t="shared" si="23"/>
        <v>0.88931061928959798</v>
      </c>
      <c r="I21" s="457">
        <f t="shared" si="24"/>
        <v>0.91013150973172008</v>
      </c>
      <c r="J21" s="461">
        <f t="shared" si="25"/>
        <v>0.80938961655449282</v>
      </c>
      <c r="K21" s="461">
        <f t="shared" si="26"/>
        <v>0.80881995828541453</v>
      </c>
      <c r="L21" s="305">
        <f>+SUM(Efficiency1!K65:K66)</f>
        <v>53.440270439999999</v>
      </c>
      <c r="M21" s="13">
        <f t="shared" si="27"/>
        <v>818.94492490535356</v>
      </c>
      <c r="N21" s="305">
        <f>+SUM(Efficiency1!C65:C66)</f>
        <v>53.440270439999999</v>
      </c>
      <c r="O21" s="13">
        <f t="shared" si="27"/>
        <v>801.47527237586246</v>
      </c>
      <c r="P21" s="301">
        <f>'13'!I38</f>
        <v>47.524999999999999</v>
      </c>
      <c r="Q21" s="13">
        <f t="shared" si="28"/>
        <v>696.20499999999993</v>
      </c>
      <c r="R21" s="15">
        <f>'13'!I40</f>
        <v>43.253999999999998</v>
      </c>
      <c r="S21" s="302">
        <f t="shared" si="29"/>
        <v>662.37900000000002</v>
      </c>
      <c r="T21" s="7">
        <f t="shared" si="1"/>
        <v>0.91013150973172008</v>
      </c>
      <c r="U21" s="7">
        <f t="shared" si="2"/>
        <v>0.95141373589675471</v>
      </c>
      <c r="V21" s="303">
        <f t="shared" si="3"/>
        <v>0.80938961655449282</v>
      </c>
      <c r="W21" s="304">
        <f t="shared" si="4"/>
        <v>0.80881995828541453</v>
      </c>
      <c r="X21" s="302"/>
      <c r="Y21" s="302"/>
      <c r="Z21" s="6"/>
      <c r="AA21" s="302"/>
      <c r="AB21" s="98">
        <v>0</v>
      </c>
      <c r="AC21" s="13">
        <f t="shared" si="30"/>
        <v>0</v>
      </c>
      <c r="AD21" s="300">
        <f t="shared" si="5"/>
        <v>0</v>
      </c>
      <c r="AE21" s="300">
        <f t="shared" si="6"/>
        <v>0</v>
      </c>
      <c r="AF21" s="306">
        <f t="shared" si="7"/>
        <v>0</v>
      </c>
      <c r="AG21" s="300">
        <f t="shared" si="8"/>
        <v>0</v>
      </c>
      <c r="AH21" s="568">
        <f t="shared" si="9"/>
        <v>116.601</v>
      </c>
      <c r="AI21" s="302">
        <f t="shared" si="31"/>
        <v>1784.6189999999997</v>
      </c>
      <c r="AJ21" s="308">
        <f t="shared" si="10"/>
        <v>2.453466596528143</v>
      </c>
      <c r="AK21" s="308">
        <f t="shared" si="11"/>
        <v>2.5633527481129836</v>
      </c>
      <c r="AL21" s="305">
        <f t="shared" si="12"/>
        <v>2.6957275627687616</v>
      </c>
      <c r="AM21" s="308">
        <f t="shared" si="13"/>
        <v>2.6942566113961939</v>
      </c>
      <c r="AN21" s="599">
        <v>0</v>
      </c>
      <c r="AO21" s="302">
        <f t="shared" si="32"/>
        <v>62.5</v>
      </c>
      <c r="AP21" s="308">
        <f t="shared" si="33"/>
        <v>0</v>
      </c>
      <c r="AQ21" s="308">
        <f t="shared" si="34"/>
        <v>8.9772408988731775E-2</v>
      </c>
      <c r="AR21" s="305">
        <f t="shared" si="35"/>
        <v>0</v>
      </c>
      <c r="AS21" s="308">
        <f t="shared" si="36"/>
        <v>9.4356856120136653E-2</v>
      </c>
      <c r="AT21" s="307">
        <f>'13'!I46</f>
        <v>45494.83</v>
      </c>
      <c r="AU21" s="302">
        <f t="shared" si="37"/>
        <v>506479.28000000044</v>
      </c>
      <c r="AV21" s="308">
        <f t="shared" si="14"/>
        <v>957.28206207259336</v>
      </c>
      <c r="AW21" s="308">
        <f t="shared" si="15"/>
        <v>727.48584109565502</v>
      </c>
      <c r="AX21" s="308">
        <f t="shared" si="16"/>
        <v>1051.8063069311509</v>
      </c>
      <c r="AY21" s="308">
        <f t="shared" si="17"/>
        <v>764.63668081264723</v>
      </c>
      <c r="AZ21" s="307">
        <f>+Listrik!AH20</f>
        <v>531</v>
      </c>
      <c r="BA21" s="302">
        <f t="shared" si="38"/>
        <v>109709</v>
      </c>
      <c r="BB21" s="308">
        <f t="shared" si="18"/>
        <v>11.173066806943714</v>
      </c>
      <c r="BC21" s="308">
        <f t="shared" si="39"/>
        <v>157.5814594839164</v>
      </c>
      <c r="BD21" s="308">
        <f t="shared" si="19"/>
        <v>12.27632126508531</v>
      </c>
      <c r="BE21" s="308">
        <f t="shared" si="20"/>
        <v>165.62874124934515</v>
      </c>
      <c r="BF21" s="574">
        <v>9.407</v>
      </c>
      <c r="BG21" s="531">
        <v>107.194</v>
      </c>
      <c r="BH21" s="554">
        <f>+SUM(Efficiency2!K65:K66)</f>
        <v>53.440270439999999</v>
      </c>
      <c r="BI21" s="555">
        <f t="shared" si="40"/>
        <v>767.6772065944964</v>
      </c>
      <c r="BJ21" s="556">
        <f t="shared" si="41"/>
        <v>0.80938961655449282</v>
      </c>
      <c r="BK21" s="556">
        <f t="shared" si="42"/>
        <v>0.86283530930713548</v>
      </c>
    </row>
    <row r="22" spans="1:63">
      <c r="A22" s="17">
        <f t="shared" si="21"/>
        <v>45883</v>
      </c>
      <c r="B22" s="448" t="s">
        <v>445</v>
      </c>
      <c r="C22" s="449" t="s">
        <v>608</v>
      </c>
      <c r="D22" s="454">
        <f>+'14'!F42</f>
        <v>830</v>
      </c>
      <c r="E22" s="454">
        <f>+'14'!G42</f>
        <v>705.5</v>
      </c>
      <c r="F22" s="49">
        <f t="shared" si="0"/>
        <v>0.15000000000000002</v>
      </c>
      <c r="G22" s="459">
        <f t="shared" si="22"/>
        <v>0.9242699966532798</v>
      </c>
      <c r="H22" s="457">
        <f t="shared" si="23"/>
        <v>0.9242699966532798</v>
      </c>
      <c r="I22" s="457">
        <f t="shared" si="24"/>
        <v>0.94157167817622101</v>
      </c>
      <c r="J22" s="461">
        <f t="shared" si="25"/>
        <v>0.87026645183675888</v>
      </c>
      <c r="K22" s="461">
        <f t="shared" si="26"/>
        <v>0.81248963960997045</v>
      </c>
      <c r="L22" s="305">
        <f>+Efficiency1!K70</f>
        <v>52.015104000000001</v>
      </c>
      <c r="M22" s="13">
        <f t="shared" si="27"/>
        <v>870.96002890535351</v>
      </c>
      <c r="N22" s="305">
        <f>+Efficiency1!C70</f>
        <v>52.015104000000001</v>
      </c>
      <c r="O22" s="13">
        <f t="shared" si="27"/>
        <v>853.49037637586241</v>
      </c>
      <c r="P22" s="301">
        <f>'14'!I38</f>
        <v>48.076000000000001</v>
      </c>
      <c r="Q22" s="13">
        <f t="shared" si="28"/>
        <v>744.28099999999995</v>
      </c>
      <c r="R22" s="15">
        <f>'14'!I40</f>
        <v>45.267000000000003</v>
      </c>
      <c r="S22" s="302">
        <f t="shared" si="29"/>
        <v>707.64600000000007</v>
      </c>
      <c r="T22" s="7">
        <f t="shared" si="1"/>
        <v>0.94157167817622101</v>
      </c>
      <c r="U22" s="7">
        <f t="shared" si="2"/>
        <v>0.95077799916966865</v>
      </c>
      <c r="V22" s="303">
        <f t="shared" si="3"/>
        <v>0.87026645183675888</v>
      </c>
      <c r="W22" s="304">
        <f t="shared" si="4"/>
        <v>0.81248963960997045</v>
      </c>
      <c r="X22" s="302"/>
      <c r="Y22" s="302"/>
      <c r="Z22" s="6"/>
      <c r="AA22" s="302"/>
      <c r="AB22" s="98">
        <v>0</v>
      </c>
      <c r="AC22" s="13">
        <f t="shared" si="30"/>
        <v>0</v>
      </c>
      <c r="AD22" s="300">
        <f t="shared" si="5"/>
        <v>0</v>
      </c>
      <c r="AE22" s="300">
        <f t="shared" si="6"/>
        <v>0</v>
      </c>
      <c r="AF22" s="306">
        <f t="shared" si="7"/>
        <v>0</v>
      </c>
      <c r="AG22" s="300">
        <f t="shared" si="8"/>
        <v>0</v>
      </c>
      <c r="AH22" s="568">
        <f t="shared" si="9"/>
        <v>115.741</v>
      </c>
      <c r="AI22" s="302">
        <f t="shared" si="31"/>
        <v>1900.3599999999997</v>
      </c>
      <c r="AJ22" s="308">
        <f t="shared" si="10"/>
        <v>2.4074590232132458</v>
      </c>
      <c r="AK22" s="308">
        <f t="shared" si="11"/>
        <v>2.5532829670514223</v>
      </c>
      <c r="AL22" s="305">
        <f t="shared" si="12"/>
        <v>2.5568515695760707</v>
      </c>
      <c r="AM22" s="308">
        <f t="shared" si="13"/>
        <v>2.6854670272989596</v>
      </c>
      <c r="AN22" s="599">
        <v>0</v>
      </c>
      <c r="AO22" s="302">
        <f t="shared" si="32"/>
        <v>62.5</v>
      </c>
      <c r="AP22" s="308">
        <f t="shared" si="33"/>
        <v>0</v>
      </c>
      <c r="AQ22" s="308">
        <f t="shared" si="34"/>
        <v>8.3973660485757398E-2</v>
      </c>
      <c r="AR22" s="305">
        <f t="shared" si="35"/>
        <v>0</v>
      </c>
      <c r="AS22" s="308">
        <f t="shared" si="36"/>
        <v>8.8320996656520337E-2</v>
      </c>
      <c r="AT22" s="307">
        <f>'14'!I46</f>
        <v>41466.239999999969</v>
      </c>
      <c r="AU22" s="302">
        <f t="shared" si="37"/>
        <v>547945.52000000037</v>
      </c>
      <c r="AV22" s="308">
        <f t="shared" si="14"/>
        <v>862.51435227556306</v>
      </c>
      <c r="AW22" s="308">
        <f t="shared" si="15"/>
        <v>736.20785697874908</v>
      </c>
      <c r="AX22" s="308">
        <f t="shared" si="16"/>
        <v>916.03684803499164</v>
      </c>
      <c r="AY22" s="308">
        <f t="shared" si="17"/>
        <v>774.32151103800527</v>
      </c>
      <c r="AZ22" s="307">
        <f>+Listrik!AH21</f>
        <v>363</v>
      </c>
      <c r="BA22" s="302">
        <f t="shared" si="38"/>
        <v>110072</v>
      </c>
      <c r="BB22" s="308">
        <f t="shared" si="18"/>
        <v>7.5505449704634326</v>
      </c>
      <c r="BC22" s="308">
        <f t="shared" si="39"/>
        <v>147.89038011181259</v>
      </c>
      <c r="BD22" s="308">
        <f t="shared" si="19"/>
        <v>8.019086751938497</v>
      </c>
      <c r="BE22" s="308">
        <f t="shared" si="20"/>
        <v>155.5466999036241</v>
      </c>
      <c r="BF22" s="574">
        <v>10.371</v>
      </c>
      <c r="BG22" s="531">
        <v>105.37</v>
      </c>
      <c r="BH22" s="554">
        <f>+Efficiency2!K70</f>
        <v>52.015104000000001</v>
      </c>
      <c r="BI22" s="555">
        <f t="shared" si="40"/>
        <v>819.69231059449635</v>
      </c>
      <c r="BJ22" s="556">
        <f t="shared" si="41"/>
        <v>0.87026645183675888</v>
      </c>
      <c r="BK22" s="556">
        <f t="shared" si="42"/>
        <v>0.86330686631275988</v>
      </c>
    </row>
    <row r="23" spans="1:63">
      <c r="A23" s="17">
        <f t="shared" si="21"/>
        <v>45884</v>
      </c>
      <c r="B23" s="448" t="s">
        <v>445</v>
      </c>
      <c r="C23" s="449" t="s">
        <v>608</v>
      </c>
      <c r="D23" s="454">
        <f>+'15'!F42</f>
        <v>830</v>
      </c>
      <c r="E23" s="454">
        <f>+'15'!G42</f>
        <v>705.5</v>
      </c>
      <c r="F23" s="49">
        <f t="shared" si="0"/>
        <v>0.15000000000000002</v>
      </c>
      <c r="G23" s="459">
        <f t="shared" si="22"/>
        <v>0.94151498764666508</v>
      </c>
      <c r="H23" s="457">
        <f t="shared" si="23"/>
        <v>0.94151498764666508</v>
      </c>
      <c r="I23" s="457">
        <f t="shared" si="24"/>
        <v>0.98868764421211686</v>
      </c>
      <c r="J23" s="461">
        <f t="shared" si="25"/>
        <v>0.93086423512678151</v>
      </c>
      <c r="K23" s="461">
        <f t="shared" si="26"/>
        <v>0.81916074772247494</v>
      </c>
      <c r="L23" s="305">
        <f>+Efficiency1!K74</f>
        <v>52.015104000000001</v>
      </c>
      <c r="M23" s="13">
        <f t="shared" si="27"/>
        <v>922.97513290535346</v>
      </c>
      <c r="N23" s="305">
        <f>+Efficiency1!C74</f>
        <v>52.015104000000001</v>
      </c>
      <c r="O23" s="13">
        <f t="shared" si="27"/>
        <v>905.50548037586236</v>
      </c>
      <c r="P23" s="301">
        <f>'15'!I38</f>
        <v>48.972999999999999</v>
      </c>
      <c r="Q23" s="13">
        <f t="shared" si="28"/>
        <v>793.25399999999991</v>
      </c>
      <c r="R23" s="15">
        <f>'15'!I40</f>
        <v>48.418999999999997</v>
      </c>
      <c r="S23" s="302">
        <f t="shared" si="29"/>
        <v>756.06500000000005</v>
      </c>
      <c r="T23" s="7">
        <f t="shared" si="1"/>
        <v>0.98868764421211686</v>
      </c>
      <c r="U23" s="7">
        <f t="shared" si="2"/>
        <v>0.95311842108580624</v>
      </c>
      <c r="V23" s="303">
        <f t="shared" si="3"/>
        <v>0.93086423512678151</v>
      </c>
      <c r="W23" s="304">
        <f t="shared" si="4"/>
        <v>0.81916074772247494</v>
      </c>
      <c r="X23" s="302"/>
      <c r="Y23" s="302"/>
      <c r="Z23" s="6"/>
      <c r="AA23" s="302"/>
      <c r="AB23" s="98">
        <v>0</v>
      </c>
      <c r="AC23" s="13">
        <f t="shared" si="30"/>
        <v>0</v>
      </c>
      <c r="AD23" s="300">
        <f t="shared" si="5"/>
        <v>0</v>
      </c>
      <c r="AE23" s="300">
        <f t="shared" si="6"/>
        <v>0</v>
      </c>
      <c r="AF23" s="306">
        <f t="shared" si="7"/>
        <v>0</v>
      </c>
      <c r="AG23" s="300">
        <f t="shared" si="8"/>
        <v>0</v>
      </c>
      <c r="AH23" s="568">
        <f t="shared" si="9"/>
        <v>117.89099999999999</v>
      </c>
      <c r="AI23" s="302">
        <f t="shared" si="31"/>
        <v>2018.2509999999997</v>
      </c>
      <c r="AJ23" s="308">
        <f t="shared" si="10"/>
        <v>2.4072652277785718</v>
      </c>
      <c r="AK23" s="308">
        <f t="shared" si="11"/>
        <v>2.544268292375456</v>
      </c>
      <c r="AL23" s="305">
        <f t="shared" si="12"/>
        <v>2.4348086494970982</v>
      </c>
      <c r="AM23" s="308">
        <f t="shared" si="13"/>
        <v>2.6694146667283891</v>
      </c>
      <c r="AN23" s="599">
        <v>0</v>
      </c>
      <c r="AO23" s="302">
        <f t="shared" si="32"/>
        <v>62.5</v>
      </c>
      <c r="AP23" s="308">
        <f t="shared" si="33"/>
        <v>0</v>
      </c>
      <c r="AQ23" s="308">
        <f t="shared" si="34"/>
        <v>7.8789391544196452E-2</v>
      </c>
      <c r="AR23" s="305">
        <f t="shared" si="35"/>
        <v>0</v>
      </c>
      <c r="AS23" s="308">
        <f t="shared" si="36"/>
        <v>8.2664850244357296E-2</v>
      </c>
      <c r="AT23" s="307">
        <f>'15'!I46</f>
        <v>45444.289999998975</v>
      </c>
      <c r="AU23" s="302">
        <f t="shared" si="37"/>
        <v>593389.80999999936</v>
      </c>
      <c r="AV23" s="308">
        <f t="shared" si="14"/>
        <v>927.94580687315408</v>
      </c>
      <c r="AW23" s="308">
        <f t="shared" si="15"/>
        <v>748.04515325482055</v>
      </c>
      <c r="AX23" s="308">
        <f t="shared" si="16"/>
        <v>938.5631673516383</v>
      </c>
      <c r="AY23" s="308">
        <f t="shared" si="17"/>
        <v>784.83967648284124</v>
      </c>
      <c r="AZ23" s="307">
        <f>+Listrik!AH22</f>
        <v>444</v>
      </c>
      <c r="BA23" s="302">
        <f t="shared" si="38"/>
        <v>110516</v>
      </c>
      <c r="BB23" s="308">
        <f t="shared" si="18"/>
        <v>9.0662201621301524</v>
      </c>
      <c r="BC23" s="308">
        <f t="shared" si="39"/>
        <v>139.31981433437463</v>
      </c>
      <c r="BD23" s="308">
        <f t="shared" si="19"/>
        <v>9.1699539436997863</v>
      </c>
      <c r="BE23" s="308">
        <f t="shared" si="20"/>
        <v>146.17261743368627</v>
      </c>
      <c r="BF23" s="574">
        <v>11.933</v>
      </c>
      <c r="BG23" s="531">
        <v>105.958</v>
      </c>
      <c r="BH23" s="554">
        <f>+Efficiency2!K74</f>
        <v>52.015104000000001</v>
      </c>
      <c r="BI23" s="555">
        <f t="shared" si="40"/>
        <v>871.7074145944963</v>
      </c>
      <c r="BJ23" s="556">
        <f t="shared" si="41"/>
        <v>0.93086423512678151</v>
      </c>
      <c r="BK23" s="556">
        <f t="shared" si="42"/>
        <v>0.86733803950917276</v>
      </c>
    </row>
    <row r="24" spans="1:63">
      <c r="A24" s="17">
        <f t="shared" si="21"/>
        <v>45885</v>
      </c>
      <c r="B24" s="448" t="s">
        <v>445</v>
      </c>
      <c r="C24" s="449" t="s">
        <v>608</v>
      </c>
      <c r="D24" s="454">
        <f>+'16'!F42</f>
        <v>830</v>
      </c>
      <c r="E24" s="454">
        <f>+'16'!G42</f>
        <v>705.5</v>
      </c>
      <c r="F24" s="49">
        <f t="shared" si="0"/>
        <v>0.15000000000000002</v>
      </c>
      <c r="G24" s="459">
        <f t="shared" si="22"/>
        <v>0.9390541639597606</v>
      </c>
      <c r="H24" s="457">
        <f t="shared" si="23"/>
        <v>0.9390541639597606</v>
      </c>
      <c r="I24" s="457">
        <f t="shared" si="24"/>
        <v>1.0013921588698944</v>
      </c>
      <c r="J24" s="461">
        <f t="shared" si="25"/>
        <v>0.9403614765434285</v>
      </c>
      <c r="K24" s="461">
        <f t="shared" si="26"/>
        <v>0.82562672889425337</v>
      </c>
      <c r="L24" s="305">
        <f>+Efficiency1!K78</f>
        <v>52.015104000000001</v>
      </c>
      <c r="M24" s="13">
        <f t="shared" si="27"/>
        <v>974.99023690535341</v>
      </c>
      <c r="N24" s="305">
        <f>+Efficiency1!C78</f>
        <v>52.015104000000001</v>
      </c>
      <c r="O24" s="13">
        <f t="shared" si="27"/>
        <v>957.52058437586231</v>
      </c>
      <c r="P24" s="301">
        <f>'16'!I38</f>
        <v>48.844999999999999</v>
      </c>
      <c r="Q24" s="13">
        <f t="shared" si="28"/>
        <v>842.09899999999993</v>
      </c>
      <c r="R24" s="15">
        <f>'16'!I40</f>
        <v>48.912999999999997</v>
      </c>
      <c r="S24" s="302">
        <f t="shared" si="29"/>
        <v>804.97800000000007</v>
      </c>
      <c r="T24" s="7">
        <f t="shared" si="1"/>
        <v>1.0013921588698944</v>
      </c>
      <c r="U24" s="7">
        <f t="shared" si="2"/>
        <v>0.95591848464372964</v>
      </c>
      <c r="V24" s="303">
        <f t="shared" si="3"/>
        <v>0.9403614765434285</v>
      </c>
      <c r="W24" s="304">
        <f t="shared" si="4"/>
        <v>0.82562672889425337</v>
      </c>
      <c r="X24" s="302"/>
      <c r="Y24" s="302"/>
      <c r="Z24" s="6"/>
      <c r="AA24" s="302"/>
      <c r="AB24" s="98">
        <v>0</v>
      </c>
      <c r="AC24" s="13">
        <f t="shared" si="30"/>
        <v>0</v>
      </c>
      <c r="AD24" s="300">
        <f t="shared" si="5"/>
        <v>0</v>
      </c>
      <c r="AE24" s="300">
        <f t="shared" si="6"/>
        <v>0</v>
      </c>
      <c r="AF24" s="306">
        <f t="shared" si="7"/>
        <v>0</v>
      </c>
      <c r="AG24" s="300">
        <f t="shared" si="8"/>
        <v>0</v>
      </c>
      <c r="AH24" s="568">
        <f t="shared" si="9"/>
        <v>115.42999999999999</v>
      </c>
      <c r="AI24" s="302">
        <f t="shared" si="31"/>
        <v>2133.6809999999996</v>
      </c>
      <c r="AJ24" s="308">
        <f t="shared" si="10"/>
        <v>2.3631896816460229</v>
      </c>
      <c r="AK24" s="308">
        <f t="shared" si="11"/>
        <v>2.5337650323774281</v>
      </c>
      <c r="AL24" s="305">
        <f t="shared" si="12"/>
        <v>2.3599043199149512</v>
      </c>
      <c r="AM24" s="308">
        <f t="shared" si="13"/>
        <v>2.6506078426988058</v>
      </c>
      <c r="AN24" s="599">
        <v>0</v>
      </c>
      <c r="AO24" s="302">
        <f t="shared" si="32"/>
        <v>62.5</v>
      </c>
      <c r="AP24" s="308">
        <f t="shared" si="33"/>
        <v>0</v>
      </c>
      <c r="AQ24" s="308">
        <f t="shared" si="34"/>
        <v>7.4219302006058682E-2</v>
      </c>
      <c r="AR24" s="305">
        <f t="shared" si="35"/>
        <v>0</v>
      </c>
      <c r="AS24" s="308">
        <f t="shared" si="36"/>
        <v>7.7641873442504006E-2</v>
      </c>
      <c r="AT24" s="307">
        <f>'16'!I46</f>
        <v>45451.200000000325</v>
      </c>
      <c r="AU24" s="302">
        <f t="shared" si="37"/>
        <v>638841.00999999966</v>
      </c>
      <c r="AV24" s="308">
        <f t="shared" si="14"/>
        <v>930.51898863753343</v>
      </c>
      <c r="AW24" s="308">
        <f t="shared" si="15"/>
        <v>758.62934168072843</v>
      </c>
      <c r="AX24" s="308">
        <f t="shared" si="16"/>
        <v>929.22535931143716</v>
      </c>
      <c r="AY24" s="308">
        <f t="shared" si="17"/>
        <v>793.61300557282254</v>
      </c>
      <c r="AZ24" s="307">
        <f>+Listrik!AH23</f>
        <v>438</v>
      </c>
      <c r="BA24" s="302">
        <f t="shared" si="38"/>
        <v>110954</v>
      </c>
      <c r="BB24" s="308">
        <f t="shared" si="18"/>
        <v>8.9671409560855775</v>
      </c>
      <c r="BC24" s="308">
        <f t="shared" si="39"/>
        <v>131.75885495648376</v>
      </c>
      <c r="BD24" s="308">
        <f t="shared" si="19"/>
        <v>8.9546746263774466</v>
      </c>
      <c r="BE24" s="308">
        <f t="shared" si="20"/>
        <v>137.83482281503342</v>
      </c>
      <c r="BF24" s="574">
        <v>10.510999999999999</v>
      </c>
      <c r="BG24" s="531">
        <v>104.919</v>
      </c>
      <c r="BH24" s="554">
        <f>+Efficiency2!K78</f>
        <v>52.015104000000001</v>
      </c>
      <c r="BI24" s="555">
        <f t="shared" si="40"/>
        <v>923.72251859449625</v>
      </c>
      <c r="BJ24" s="556">
        <f t="shared" si="41"/>
        <v>0.9403614765434285</v>
      </c>
      <c r="BK24" s="556">
        <f t="shared" si="42"/>
        <v>0.87145001209327055</v>
      </c>
    </row>
    <row r="25" spans="1:63">
      <c r="A25" s="17">
        <f t="shared" si="21"/>
        <v>45886</v>
      </c>
      <c r="B25" s="448" t="s">
        <v>445</v>
      </c>
      <c r="C25" s="449" t="s">
        <v>608</v>
      </c>
      <c r="D25" s="454">
        <f>+'17'!F42</f>
        <v>830</v>
      </c>
      <c r="E25" s="454">
        <f>+'17'!G42</f>
        <v>705.5</v>
      </c>
      <c r="F25" s="49">
        <f t="shared" si="0"/>
        <v>0.15000000000000002</v>
      </c>
      <c r="G25" s="459">
        <f t="shared" si="22"/>
        <v>0.93313280696314682</v>
      </c>
      <c r="H25" s="457">
        <f t="shared" si="23"/>
        <v>0.93313280696314682</v>
      </c>
      <c r="I25" s="457">
        <f t="shared" si="24"/>
        <v>1.0147310299359251</v>
      </c>
      <c r="J25" s="461">
        <f t="shared" si="25"/>
        <v>0.94687881427671472</v>
      </c>
      <c r="K25" s="461">
        <f t="shared" si="26"/>
        <v>0.83176782629675139</v>
      </c>
      <c r="L25" s="305">
        <f>+Efficiency1!K82</f>
        <v>52.015104000000001</v>
      </c>
      <c r="M25" s="13">
        <f t="shared" si="27"/>
        <v>1027.0053409053535</v>
      </c>
      <c r="N25" s="305">
        <f>+Efficiency1!C82</f>
        <v>52.015104000000001</v>
      </c>
      <c r="O25" s="13">
        <f t="shared" si="27"/>
        <v>1009.5356883758623</v>
      </c>
      <c r="P25" s="301">
        <f>'17'!I38</f>
        <v>48.537000000000006</v>
      </c>
      <c r="Q25" s="13">
        <f t="shared" si="28"/>
        <v>890.63599999999997</v>
      </c>
      <c r="R25" s="15">
        <f>'17'!I40</f>
        <v>49.252000000000002</v>
      </c>
      <c r="S25" s="302">
        <f t="shared" si="29"/>
        <v>854.23</v>
      </c>
      <c r="T25" s="7">
        <f t="shared" si="1"/>
        <v>1.0147310299359251</v>
      </c>
      <c r="U25" s="7">
        <f t="shared" si="2"/>
        <v>0.95912359257878643</v>
      </c>
      <c r="V25" s="303">
        <f t="shared" si="3"/>
        <v>0.94687881427671472</v>
      </c>
      <c r="W25" s="304">
        <f t="shared" si="4"/>
        <v>0.83176782629675139</v>
      </c>
      <c r="X25" s="302"/>
      <c r="Y25" s="302"/>
      <c r="Z25" s="6"/>
      <c r="AA25" s="302"/>
      <c r="AB25" s="98">
        <v>0</v>
      </c>
      <c r="AC25" s="13">
        <f t="shared" si="30"/>
        <v>0</v>
      </c>
      <c r="AD25" s="300">
        <f t="shared" si="5"/>
        <v>0</v>
      </c>
      <c r="AE25" s="300">
        <f t="shared" si="6"/>
        <v>0</v>
      </c>
      <c r="AF25" s="306">
        <f t="shared" si="7"/>
        <v>0</v>
      </c>
      <c r="AG25" s="300">
        <f t="shared" si="8"/>
        <v>0</v>
      </c>
      <c r="AH25" s="568">
        <f t="shared" si="9"/>
        <v>113.32499999999999</v>
      </c>
      <c r="AI25" s="302">
        <f t="shared" si="31"/>
        <v>2247.0059999999994</v>
      </c>
      <c r="AJ25" s="308">
        <f t="shared" si="10"/>
        <v>2.3348167377464608</v>
      </c>
      <c r="AK25" s="308">
        <f t="shared" si="11"/>
        <v>2.5229229449516968</v>
      </c>
      <c r="AL25" s="305">
        <f t="shared" si="12"/>
        <v>2.3009217899780716</v>
      </c>
      <c r="AM25" s="308">
        <f t="shared" si="13"/>
        <v>2.6304461327745448</v>
      </c>
      <c r="AN25" s="599">
        <v>0</v>
      </c>
      <c r="AO25" s="302">
        <f t="shared" si="32"/>
        <v>62.5</v>
      </c>
      <c r="AP25" s="308">
        <f t="shared" si="33"/>
        <v>0</v>
      </c>
      <c r="AQ25" s="308">
        <f t="shared" si="34"/>
        <v>7.0174571878971886E-2</v>
      </c>
      <c r="AR25" s="305">
        <f t="shared" si="35"/>
        <v>0</v>
      </c>
      <c r="AS25" s="308">
        <f t="shared" si="36"/>
        <v>7.3165306767498217E-2</v>
      </c>
      <c r="AT25" s="307">
        <f>'17'!I46</f>
        <v>43184.710000001258</v>
      </c>
      <c r="AU25" s="302">
        <f t="shared" si="37"/>
        <v>682025.7200000009</v>
      </c>
      <c r="AV25" s="308">
        <f t="shared" si="14"/>
        <v>889.72763046750424</v>
      </c>
      <c r="AW25" s="308">
        <f t="shared" si="15"/>
        <v>765.7738065831619</v>
      </c>
      <c r="AX25" s="308">
        <f t="shared" si="16"/>
        <v>876.81129700319298</v>
      </c>
      <c r="AY25" s="308">
        <f t="shared" si="17"/>
        <v>798.40993643398247</v>
      </c>
      <c r="AZ25" s="307">
        <f>+Listrik!AH24</f>
        <v>422</v>
      </c>
      <c r="BA25" s="302">
        <f t="shared" si="38"/>
        <v>111376</v>
      </c>
      <c r="BB25" s="308">
        <f t="shared" si="18"/>
        <v>8.6943980880565341</v>
      </c>
      <c r="BC25" s="308">
        <f t="shared" si="39"/>
        <v>125.05220988147795</v>
      </c>
      <c r="BD25" s="308">
        <f t="shared" si="19"/>
        <v>8.5681799723869077</v>
      </c>
      <c r="BE25" s="308">
        <f t="shared" si="20"/>
        <v>130.38174730459011</v>
      </c>
      <c r="BF25" s="574">
        <v>9.7490000000000006</v>
      </c>
      <c r="BG25" s="531">
        <v>103.57599999999999</v>
      </c>
      <c r="BH25" s="554">
        <f>+Efficiency2!K82</f>
        <v>52.015104000000001</v>
      </c>
      <c r="BI25" s="555">
        <f t="shared" si="40"/>
        <v>975.7376225944962</v>
      </c>
      <c r="BJ25" s="556">
        <f t="shared" si="41"/>
        <v>0.94687881427671472</v>
      </c>
      <c r="BK25" s="556">
        <f t="shared" si="42"/>
        <v>0.87547100800376421</v>
      </c>
    </row>
    <row r="26" spans="1:63">
      <c r="A26" s="17">
        <f t="shared" si="21"/>
        <v>45887</v>
      </c>
      <c r="B26" s="448" t="s">
        <v>573</v>
      </c>
      <c r="C26" s="449" t="s">
        <v>617</v>
      </c>
      <c r="D26" s="454">
        <f>+'18'!F42</f>
        <v>830</v>
      </c>
      <c r="E26" s="454">
        <f>+'18'!G42</f>
        <v>718.98749999999995</v>
      </c>
      <c r="F26" s="49">
        <f t="shared" si="0"/>
        <v>0.13375000000000004</v>
      </c>
      <c r="G26" s="459">
        <f t="shared" si="22"/>
        <v>0.94948020655133014</v>
      </c>
      <c r="H26" s="457">
        <f t="shared" si="23"/>
        <v>0.94948020655133014</v>
      </c>
      <c r="I26" s="457">
        <f t="shared" si="24"/>
        <v>0.98086656742145273</v>
      </c>
      <c r="J26" s="461">
        <f t="shared" si="25"/>
        <v>0.93131339103461508</v>
      </c>
      <c r="K26" s="461">
        <f t="shared" si="26"/>
        <v>0.83788225367884606</v>
      </c>
      <c r="L26" s="305">
        <f>+SUM(Efficiency1!K87:K88)</f>
        <v>67.21045848</v>
      </c>
      <c r="M26" s="13">
        <f t="shared" si="27"/>
        <v>1094.2157993853534</v>
      </c>
      <c r="N26" s="305">
        <f>+SUM(Efficiency1!C87:C88)</f>
        <v>67.21045848</v>
      </c>
      <c r="O26" s="13">
        <f t="shared" si="27"/>
        <v>1076.7461468558622</v>
      </c>
      <c r="P26" s="301">
        <f>'18'!I38</f>
        <v>63.814999999999998</v>
      </c>
      <c r="Q26" s="13">
        <f t="shared" si="28"/>
        <v>954.45100000000002</v>
      </c>
      <c r="R26" s="15">
        <f>'18'!I40</f>
        <v>62.594000000000001</v>
      </c>
      <c r="S26" s="302">
        <f t="shared" si="29"/>
        <v>916.82400000000007</v>
      </c>
      <c r="T26" s="7">
        <f t="shared" si="1"/>
        <v>0.98086656742145273</v>
      </c>
      <c r="U26" s="7">
        <f t="shared" si="2"/>
        <v>0.9605773371288836</v>
      </c>
      <c r="V26" s="303">
        <f t="shared" si="3"/>
        <v>0.93131339103461508</v>
      </c>
      <c r="W26" s="304">
        <f t="shared" si="4"/>
        <v>0.83788225367884606</v>
      </c>
      <c r="X26" s="302"/>
      <c r="Y26" s="302"/>
      <c r="Z26" s="6"/>
      <c r="AA26" s="302"/>
      <c r="AB26" s="98">
        <v>0</v>
      </c>
      <c r="AC26" s="13">
        <f t="shared" si="30"/>
        <v>0</v>
      </c>
      <c r="AD26" s="300">
        <f t="shared" si="5"/>
        <v>0</v>
      </c>
      <c r="AE26" s="300">
        <f t="shared" si="6"/>
        <v>0</v>
      </c>
      <c r="AF26" s="306">
        <f t="shared" si="7"/>
        <v>0</v>
      </c>
      <c r="AG26" s="300">
        <f t="shared" si="8"/>
        <v>0</v>
      </c>
      <c r="AH26" s="568">
        <f t="shared" si="9"/>
        <v>135.75200000000001</v>
      </c>
      <c r="AI26" s="302">
        <f t="shared" si="31"/>
        <v>2382.7579999999994</v>
      </c>
      <c r="AJ26" s="308">
        <f t="shared" si="10"/>
        <v>2.1272741518451777</v>
      </c>
      <c r="AK26" s="308">
        <f t="shared" si="11"/>
        <v>2.4964696982872869</v>
      </c>
      <c r="AL26" s="305">
        <f t="shared" si="12"/>
        <v>2.1687701696648243</v>
      </c>
      <c r="AM26" s="308">
        <f t="shared" si="13"/>
        <v>2.5989262933780086</v>
      </c>
      <c r="AN26" s="599">
        <v>0</v>
      </c>
      <c r="AO26" s="302">
        <f t="shared" si="32"/>
        <v>62.5</v>
      </c>
      <c r="AP26" s="308">
        <f t="shared" si="33"/>
        <v>0</v>
      </c>
      <c r="AQ26" s="308">
        <f t="shared" si="34"/>
        <v>6.5482670142312183E-2</v>
      </c>
      <c r="AR26" s="305">
        <f t="shared" si="35"/>
        <v>0</v>
      </c>
      <c r="AS26" s="308">
        <f t="shared" si="36"/>
        <v>6.8170117710705649E-2</v>
      </c>
      <c r="AT26" s="307">
        <f>'18'!I46</f>
        <v>46342.469999999914</v>
      </c>
      <c r="AU26" s="302">
        <f t="shared" si="37"/>
        <v>728368.19000000088</v>
      </c>
      <c r="AV26" s="308">
        <f t="shared" si="14"/>
        <v>726.20026639504681</v>
      </c>
      <c r="AW26" s="308">
        <f t="shared" si="15"/>
        <v>763.12790284676839</v>
      </c>
      <c r="AX26" s="308">
        <f t="shared" si="16"/>
        <v>740.36600952167794</v>
      </c>
      <c r="AY26" s="308">
        <f t="shared" si="17"/>
        <v>794.44712398453873</v>
      </c>
      <c r="AZ26" s="307">
        <f>+Listrik!AH25</f>
        <v>451</v>
      </c>
      <c r="BA26" s="302">
        <f t="shared" si="38"/>
        <v>111827</v>
      </c>
      <c r="BB26" s="308">
        <f t="shared" si="18"/>
        <v>7.0673039254093863</v>
      </c>
      <c r="BC26" s="308">
        <f t="shared" si="39"/>
        <v>117.1636888640695</v>
      </c>
      <c r="BD26" s="308">
        <f t="shared" si="19"/>
        <v>7.2051634341949704</v>
      </c>
      <c r="BE26" s="308">
        <f t="shared" si="20"/>
        <v>121.97215605176129</v>
      </c>
      <c r="BF26" s="574">
        <v>20.451000000000001</v>
      </c>
      <c r="BG26" s="531">
        <v>115.301</v>
      </c>
      <c r="BH26" s="554">
        <f>+SUM(Efficiency2!K87:K88)</f>
        <v>67.21045848</v>
      </c>
      <c r="BI26" s="555">
        <f t="shared" si="40"/>
        <v>1042.9480810744963</v>
      </c>
      <c r="BJ26" s="556">
        <f t="shared" si="41"/>
        <v>0.93131339103461508</v>
      </c>
      <c r="BK26" s="556">
        <f t="shared" si="42"/>
        <v>0.87906964559102796</v>
      </c>
    </row>
    <row r="27" spans="1:63">
      <c r="A27" s="17">
        <f t="shared" si="21"/>
        <v>45888</v>
      </c>
      <c r="B27" s="448" t="s">
        <v>8</v>
      </c>
      <c r="C27" s="449" t="s">
        <v>623</v>
      </c>
      <c r="D27" s="454">
        <f>+'19'!F42</f>
        <v>830</v>
      </c>
      <c r="E27" s="454">
        <f>+'19'!G42</f>
        <v>709.65</v>
      </c>
      <c r="F27" s="49">
        <f t="shared" si="0"/>
        <v>0.14500000000000002</v>
      </c>
      <c r="G27" s="459">
        <f t="shared" si="22"/>
        <v>0.95443970506124343</v>
      </c>
      <c r="H27" s="457">
        <f t="shared" si="23"/>
        <v>0.95443970506124343</v>
      </c>
      <c r="I27" s="457">
        <f t="shared" si="24"/>
        <v>0.94104074321452413</v>
      </c>
      <c r="J27" s="461">
        <f t="shared" si="25"/>
        <v>0.8981666494042837</v>
      </c>
      <c r="K27" s="461">
        <f t="shared" si="26"/>
        <v>0.84145922659684025</v>
      </c>
      <c r="L27" s="305">
        <f>+SUM(Efficiency1!K92:K93)</f>
        <v>69.020598840000005</v>
      </c>
      <c r="M27" s="13">
        <f t="shared" si="27"/>
        <v>1163.2363982253535</v>
      </c>
      <c r="N27" s="305">
        <f>+SUM(Efficiency1!C92:C93)</f>
        <v>69.020598840000005</v>
      </c>
      <c r="O27" s="13">
        <f t="shared" si="27"/>
        <v>1145.7667456958623</v>
      </c>
      <c r="P27" s="301">
        <f>'19'!I38</f>
        <v>65.876000000000005</v>
      </c>
      <c r="Q27" s="13">
        <f t="shared" si="28"/>
        <v>1020.327</v>
      </c>
      <c r="R27" s="15">
        <f>'19'!I40</f>
        <v>61.991999999999997</v>
      </c>
      <c r="S27" s="302">
        <f t="shared" si="29"/>
        <v>978.81600000000003</v>
      </c>
      <c r="T27" s="7">
        <f t="shared" si="1"/>
        <v>0.94104074321452413</v>
      </c>
      <c r="U27" s="7">
        <f t="shared" si="2"/>
        <v>0.95931598399336682</v>
      </c>
      <c r="V27" s="303">
        <f t="shared" si="3"/>
        <v>0.8981666494042837</v>
      </c>
      <c r="W27" s="304">
        <f t="shared" si="4"/>
        <v>0.84145922659684025</v>
      </c>
      <c r="X27" s="302"/>
      <c r="Y27" s="302"/>
      <c r="Z27" s="6"/>
      <c r="AA27" s="302"/>
      <c r="AB27" s="98">
        <v>0</v>
      </c>
      <c r="AC27" s="13">
        <f t="shared" si="30"/>
        <v>0</v>
      </c>
      <c r="AD27" s="300">
        <f t="shared" si="5"/>
        <v>0</v>
      </c>
      <c r="AE27" s="300">
        <f t="shared" si="6"/>
        <v>0</v>
      </c>
      <c r="AF27" s="306">
        <f t="shared" si="7"/>
        <v>0</v>
      </c>
      <c r="AG27" s="300">
        <f t="shared" si="8"/>
        <v>0</v>
      </c>
      <c r="AH27" s="568">
        <f t="shared" si="9"/>
        <v>138.81700000000001</v>
      </c>
      <c r="AI27" s="302">
        <f t="shared" si="31"/>
        <v>2521.5749999999994</v>
      </c>
      <c r="AJ27" s="308">
        <f t="shared" si="10"/>
        <v>2.1072469488129211</v>
      </c>
      <c r="AK27" s="308">
        <f t="shared" si="11"/>
        <v>2.4713400703891981</v>
      </c>
      <c r="AL27" s="305">
        <f t="shared" si="12"/>
        <v>2.2392728093947607</v>
      </c>
      <c r="AM27" s="308">
        <f t="shared" si="13"/>
        <v>2.5761481218124747</v>
      </c>
      <c r="AN27" s="599">
        <v>0</v>
      </c>
      <c r="AO27" s="302">
        <f t="shared" si="32"/>
        <v>62.5</v>
      </c>
      <c r="AP27" s="308">
        <f t="shared" si="33"/>
        <v>0</v>
      </c>
      <c r="AQ27" s="308">
        <f t="shared" si="34"/>
        <v>6.1254872212535783E-2</v>
      </c>
      <c r="AR27" s="305">
        <f t="shared" si="35"/>
        <v>0</v>
      </c>
      <c r="AS27" s="308">
        <f t="shared" si="36"/>
        <v>6.385265463580489E-2</v>
      </c>
      <c r="AT27" s="307">
        <f>'19'!I46</f>
        <v>48109.289999999746</v>
      </c>
      <c r="AU27" s="302">
        <f t="shared" si="37"/>
        <v>776477.48000000068</v>
      </c>
      <c r="AV27" s="308">
        <f t="shared" si="14"/>
        <v>730.30071649765841</v>
      </c>
      <c r="AW27" s="308">
        <f t="shared" si="15"/>
        <v>761.00846101298964</v>
      </c>
      <c r="AX27" s="308">
        <f t="shared" si="16"/>
        <v>776.05642663569085</v>
      </c>
      <c r="AY27" s="308">
        <f t="shared" si="17"/>
        <v>793.28237380672226</v>
      </c>
      <c r="AZ27" s="307">
        <f>+Listrik!AH26</f>
        <v>448</v>
      </c>
      <c r="BA27" s="302">
        <f t="shared" si="38"/>
        <v>112275</v>
      </c>
      <c r="BB27" s="308">
        <f t="shared" si="18"/>
        <v>6.8006557775214045</v>
      </c>
      <c r="BC27" s="308">
        <f t="shared" si="39"/>
        <v>110.03825244259927</v>
      </c>
      <c r="BD27" s="308">
        <f t="shared" si="19"/>
        <v>7.2267389340560069</v>
      </c>
      <c r="BE27" s="308">
        <f t="shared" si="20"/>
        <v>114.7049087877599</v>
      </c>
      <c r="BF27" s="574">
        <v>22.283999999999999</v>
      </c>
      <c r="BG27" s="531">
        <v>116.533</v>
      </c>
      <c r="BH27" s="554">
        <f>+SUM(Efficiency2!K92:K93)</f>
        <v>69.020598840000005</v>
      </c>
      <c r="BI27" s="555">
        <f t="shared" si="40"/>
        <v>1111.9686799144963</v>
      </c>
      <c r="BJ27" s="556">
        <f t="shared" si="41"/>
        <v>0.8981666494042837</v>
      </c>
      <c r="BK27" s="556">
        <f t="shared" si="42"/>
        <v>0.88025500868897233</v>
      </c>
    </row>
    <row r="28" spans="1:63">
      <c r="A28" s="17">
        <f t="shared" si="21"/>
        <v>45889</v>
      </c>
      <c r="B28" s="448" t="s">
        <v>8</v>
      </c>
      <c r="C28" s="458" t="s">
        <v>589</v>
      </c>
      <c r="D28" s="454">
        <f>+'20'!F42</f>
        <v>830</v>
      </c>
      <c r="E28" s="454">
        <f>+'20'!G42</f>
        <v>680.6</v>
      </c>
      <c r="F28" s="49">
        <f t="shared" si="0"/>
        <v>0.17999999999999994</v>
      </c>
      <c r="G28" s="459">
        <f t="shared" si="22"/>
        <v>0.94227824767227453</v>
      </c>
      <c r="H28" s="457">
        <f t="shared" si="23"/>
        <v>0.94227824767227453</v>
      </c>
      <c r="I28" s="457">
        <f t="shared" si="24"/>
        <v>0.98982429154587936</v>
      </c>
      <c r="J28" s="461">
        <f t="shared" si="25"/>
        <v>0.93268989894130183</v>
      </c>
      <c r="K28" s="461">
        <f t="shared" si="26"/>
        <v>0.84549324359895961</v>
      </c>
      <c r="L28" s="305">
        <f>+Efficiency1!K97</f>
        <v>53.815314239999999</v>
      </c>
      <c r="M28" s="13">
        <f t="shared" si="27"/>
        <v>1217.0517124653534</v>
      </c>
      <c r="N28" s="305">
        <f>+Efficiency1!C97</f>
        <v>53.815314239999999</v>
      </c>
      <c r="O28" s="13">
        <f t="shared" si="27"/>
        <v>1199.5820599358622</v>
      </c>
      <c r="P28" s="301">
        <f>'20'!I38</f>
        <v>50.709000000000003</v>
      </c>
      <c r="Q28" s="13">
        <f t="shared" si="28"/>
        <v>1071.0360000000001</v>
      </c>
      <c r="R28" s="15">
        <f>'20'!I40</f>
        <v>50.192999999999998</v>
      </c>
      <c r="S28" s="302">
        <f t="shared" si="29"/>
        <v>1029.009</v>
      </c>
      <c r="T28" s="7">
        <f t="shared" si="1"/>
        <v>0.98982429154587936</v>
      </c>
      <c r="U28" s="7">
        <f t="shared" si="2"/>
        <v>0.96076042261884753</v>
      </c>
      <c r="V28" s="303">
        <f t="shared" si="3"/>
        <v>0.93268989894130183</v>
      </c>
      <c r="W28" s="304">
        <f t="shared" si="4"/>
        <v>0.84549324359895961</v>
      </c>
      <c r="X28" s="302"/>
      <c r="Y28" s="302"/>
      <c r="Z28" s="6"/>
      <c r="AA28" s="302"/>
      <c r="AB28" s="98">
        <v>0</v>
      </c>
      <c r="AC28" s="13">
        <f t="shared" si="30"/>
        <v>0</v>
      </c>
      <c r="AD28" s="300">
        <f t="shared" si="5"/>
        <v>0</v>
      </c>
      <c r="AE28" s="300">
        <f t="shared" si="6"/>
        <v>0</v>
      </c>
      <c r="AF28" s="306">
        <f t="shared" si="7"/>
        <v>0</v>
      </c>
      <c r="AG28" s="300">
        <f t="shared" si="8"/>
        <v>0</v>
      </c>
      <c r="AH28" s="568">
        <f t="shared" si="9"/>
        <v>123.075</v>
      </c>
      <c r="AI28" s="302">
        <f t="shared" si="31"/>
        <v>2644.6499999999992</v>
      </c>
      <c r="AJ28" s="308">
        <f t="shared" si="10"/>
        <v>2.4270839495947465</v>
      </c>
      <c r="AK28" s="308">
        <f t="shared" si="11"/>
        <v>2.4692447312695363</v>
      </c>
      <c r="AL28" s="305">
        <f t="shared" si="12"/>
        <v>2.4520351443428368</v>
      </c>
      <c r="AM28" s="308">
        <f t="shared" si="13"/>
        <v>2.5700941391183161</v>
      </c>
      <c r="AN28" s="599">
        <v>0</v>
      </c>
      <c r="AO28" s="302">
        <f t="shared" si="32"/>
        <v>62.5</v>
      </c>
      <c r="AP28" s="308">
        <f t="shared" si="33"/>
        <v>0</v>
      </c>
      <c r="AQ28" s="308">
        <f t="shared" si="34"/>
        <v>5.8354714500726393E-2</v>
      </c>
      <c r="AR28" s="305">
        <f t="shared" si="35"/>
        <v>0</v>
      </c>
      <c r="AS28" s="308">
        <f t="shared" si="36"/>
        <v>6.0738049910156279E-2</v>
      </c>
      <c r="AT28" s="307">
        <f>'20'!I46</f>
        <v>48289.199999999277</v>
      </c>
      <c r="AU28" s="302">
        <f t="shared" si="37"/>
        <v>824766.67999999993</v>
      </c>
      <c r="AV28" s="308">
        <f t="shared" si="14"/>
        <v>952.28066023781332</v>
      </c>
      <c r="AW28" s="308">
        <f t="shared" si="15"/>
        <v>770.06438625779151</v>
      </c>
      <c r="AX28" s="308">
        <f t="shared" si="16"/>
        <v>962.07040822423994</v>
      </c>
      <c r="AY28" s="308">
        <f t="shared" si="17"/>
        <v>801.5155163851822</v>
      </c>
      <c r="AZ28" s="307">
        <f>+Listrik!AH27</f>
        <v>448</v>
      </c>
      <c r="BA28" s="302">
        <f t="shared" si="38"/>
        <v>112723</v>
      </c>
      <c r="BB28" s="308">
        <f t="shared" si="18"/>
        <v>8.8347236190814264</v>
      </c>
      <c r="BC28" s="308">
        <f t="shared" si="39"/>
        <v>105.24669572264611</v>
      </c>
      <c r="BD28" s="308">
        <f t="shared" si="19"/>
        <v>8.9255473870858477</v>
      </c>
      <c r="BE28" s="308">
        <f t="shared" si="20"/>
        <v>109.54520320036073</v>
      </c>
      <c r="BF28" s="574">
        <v>23.2</v>
      </c>
      <c r="BG28" s="531">
        <v>99.875</v>
      </c>
      <c r="BH28" s="554">
        <f>+Efficiency2!K97</f>
        <v>53.815314239999999</v>
      </c>
      <c r="BI28" s="555">
        <f t="shared" si="40"/>
        <v>1165.7839941544962</v>
      </c>
      <c r="BJ28" s="556">
        <f t="shared" si="41"/>
        <v>0.93268989894130183</v>
      </c>
      <c r="BK28" s="556">
        <f t="shared" si="42"/>
        <v>0.88267552579181319</v>
      </c>
    </row>
    <row r="29" spans="1:63" ht="12.2" customHeight="1">
      <c r="A29" s="17">
        <f t="shared" si="21"/>
        <v>45890</v>
      </c>
      <c r="B29" s="448" t="s">
        <v>8</v>
      </c>
      <c r="C29" s="458" t="s">
        <v>589</v>
      </c>
      <c r="D29" s="454">
        <f>+'21'!F42</f>
        <v>830</v>
      </c>
      <c r="E29" s="454">
        <f>+'21'!G42</f>
        <v>680.6</v>
      </c>
      <c r="F29" s="49">
        <f t="shared" si="0"/>
        <v>0.17999999999999994</v>
      </c>
      <c r="G29" s="459">
        <f t="shared" si="22"/>
        <v>0.94286010451994173</v>
      </c>
      <c r="H29" s="457">
        <f t="shared" si="23"/>
        <v>0.94286010451994173</v>
      </c>
      <c r="I29" s="457">
        <f t="shared" si="24"/>
        <v>0.98284207626618392</v>
      </c>
      <c r="J29" s="461">
        <f t="shared" si="25"/>
        <v>0.92668258275493076</v>
      </c>
      <c r="K29" s="461">
        <f t="shared" si="26"/>
        <v>0.84893653502373134</v>
      </c>
      <c r="L29" s="305">
        <f>+Efficiency1!K101</f>
        <v>53.901951897599993</v>
      </c>
      <c r="M29" s="13">
        <f t="shared" si="27"/>
        <v>1270.9536643629533</v>
      </c>
      <c r="N29" s="305">
        <f>+Efficiency1!C101</f>
        <v>53.901951897599993</v>
      </c>
      <c r="O29" s="13">
        <f t="shared" si="27"/>
        <v>1253.4840118334621</v>
      </c>
      <c r="P29" s="301">
        <f>'21'!I38</f>
        <v>50.822000000000003</v>
      </c>
      <c r="Q29" s="13">
        <f t="shared" si="28"/>
        <v>1121.8580000000002</v>
      </c>
      <c r="R29" s="15">
        <f>'21'!I40</f>
        <v>49.95</v>
      </c>
      <c r="S29" s="302">
        <f t="shared" si="29"/>
        <v>1078.9590000000001</v>
      </c>
      <c r="T29" s="7">
        <f t="shared" si="1"/>
        <v>0.98284207626618392</v>
      </c>
      <c r="U29" s="7">
        <f t="shared" si="2"/>
        <v>0.96176075760033797</v>
      </c>
      <c r="V29" s="303">
        <f t="shared" si="3"/>
        <v>0.92668258275493076</v>
      </c>
      <c r="W29" s="304">
        <f t="shared" si="4"/>
        <v>0.84893653502373134</v>
      </c>
      <c r="X29" s="302"/>
      <c r="Y29" s="302"/>
      <c r="Z29" s="6"/>
      <c r="AA29" s="302"/>
      <c r="AB29" s="98">
        <v>0</v>
      </c>
      <c r="AC29" s="13">
        <f t="shared" si="30"/>
        <v>0</v>
      </c>
      <c r="AD29" s="300">
        <f t="shared" si="5"/>
        <v>0</v>
      </c>
      <c r="AE29" s="300">
        <f t="shared" si="6"/>
        <v>0</v>
      </c>
      <c r="AF29" s="306">
        <f t="shared" si="7"/>
        <v>0</v>
      </c>
      <c r="AG29" s="300">
        <f t="shared" si="8"/>
        <v>0</v>
      </c>
      <c r="AH29" s="568">
        <f t="shared" si="9"/>
        <v>108.176</v>
      </c>
      <c r="AI29" s="302">
        <f t="shared" si="31"/>
        <v>2752.8259999999991</v>
      </c>
      <c r="AJ29" s="308">
        <f t="shared" si="10"/>
        <v>2.1285270158592735</v>
      </c>
      <c r="AK29" s="308">
        <f t="shared" si="11"/>
        <v>2.4538096621854093</v>
      </c>
      <c r="AL29" s="305">
        <f t="shared" si="12"/>
        <v>2.1656856856856854</v>
      </c>
      <c r="AM29" s="308">
        <f t="shared" si="13"/>
        <v>2.5513722022801599</v>
      </c>
      <c r="AN29" s="599">
        <v>0</v>
      </c>
      <c r="AO29" s="302">
        <f t="shared" si="32"/>
        <v>62.5</v>
      </c>
      <c r="AP29" s="308">
        <f t="shared" si="33"/>
        <v>0</v>
      </c>
      <c r="AQ29" s="308">
        <f t="shared" si="34"/>
        <v>5.5711150609078858E-2</v>
      </c>
      <c r="AR29" s="305">
        <f t="shared" si="35"/>
        <v>0</v>
      </c>
      <c r="AS29" s="308">
        <f t="shared" si="36"/>
        <v>5.7926204795548296E-2</v>
      </c>
      <c r="AT29" s="307">
        <f>'21'!I46</f>
        <v>42917.650000000591</v>
      </c>
      <c r="AU29" s="302">
        <f t="shared" si="37"/>
        <v>867684.33000000054</v>
      </c>
      <c r="AV29" s="308">
        <f t="shared" si="14"/>
        <v>844.46991460392326</v>
      </c>
      <c r="AW29" s="308">
        <f t="shared" si="15"/>
        <v>773.43507823628329</v>
      </c>
      <c r="AX29" s="308">
        <f t="shared" si="16"/>
        <v>859.21221221222402</v>
      </c>
      <c r="AY29" s="308">
        <f t="shared" si="17"/>
        <v>804.18656315949033</v>
      </c>
      <c r="AZ29" s="307">
        <f>+Listrik!AH28</f>
        <v>426</v>
      </c>
      <c r="BA29" s="302">
        <f t="shared" si="38"/>
        <v>113149</v>
      </c>
      <c r="BB29" s="308">
        <f t="shared" si="18"/>
        <v>8.3821966864743622</v>
      </c>
      <c r="BC29" s="308">
        <f t="shared" si="39"/>
        <v>100.85857568426663</v>
      </c>
      <c r="BD29" s="308">
        <f t="shared" si="19"/>
        <v>8.5285285285285291</v>
      </c>
      <c r="BE29" s="308">
        <f t="shared" si="20"/>
        <v>104.86867434258392</v>
      </c>
      <c r="BF29" s="574">
        <v>7.726</v>
      </c>
      <c r="BG29" s="531">
        <v>100.45</v>
      </c>
      <c r="BH29" s="554">
        <f>+Efficiency2!K101</f>
        <v>53.901951897599993</v>
      </c>
      <c r="BI29" s="555">
        <f t="shared" si="40"/>
        <v>1219.6859460520961</v>
      </c>
      <c r="BJ29" s="556">
        <f t="shared" si="41"/>
        <v>0.92668258275493076</v>
      </c>
      <c r="BK29" s="556">
        <f t="shared" si="42"/>
        <v>0.88462034304190851</v>
      </c>
    </row>
    <row r="30" spans="1:63" ht="12.75" customHeight="1">
      <c r="A30" s="17">
        <f t="shared" si="21"/>
        <v>45891</v>
      </c>
      <c r="B30" s="448" t="s">
        <v>8</v>
      </c>
      <c r="C30" s="458" t="s">
        <v>505</v>
      </c>
      <c r="D30" s="454">
        <f>+'22'!F42</f>
        <v>830</v>
      </c>
      <c r="E30" s="454">
        <f>+'22'!G42</f>
        <v>680.6</v>
      </c>
      <c r="F30" s="49">
        <f t="shared" si="0"/>
        <v>0.17999999999999994</v>
      </c>
      <c r="G30" s="459">
        <f t="shared" si="22"/>
        <v>0.94815375042418548</v>
      </c>
      <c r="H30" s="457">
        <f t="shared" si="23"/>
        <v>0.94815375042418548</v>
      </c>
      <c r="I30" s="457">
        <f t="shared" si="24"/>
        <v>0.99561796633801414</v>
      </c>
      <c r="J30" s="461">
        <f t="shared" si="25"/>
        <v>0.94399890877308856</v>
      </c>
      <c r="K30" s="461">
        <f t="shared" si="26"/>
        <v>0.85273860744503582</v>
      </c>
      <c r="L30" s="305">
        <f>+SUM(Efficiency1!K105:K106)</f>
        <v>52.950273072842101</v>
      </c>
      <c r="M30" s="13">
        <f t="shared" si="27"/>
        <v>1323.9039374357953</v>
      </c>
      <c r="N30" s="305">
        <f>+SUM(Efficiency1!C105:C106)</f>
        <v>52.950273072842101</v>
      </c>
      <c r="O30" s="13">
        <f t="shared" si="27"/>
        <v>1306.4342849063041</v>
      </c>
      <c r="P30" s="301">
        <f>'22'!I38</f>
        <v>50.204999999999998</v>
      </c>
      <c r="Q30" s="13">
        <f t="shared" si="28"/>
        <v>1172.0630000000001</v>
      </c>
      <c r="R30" s="15">
        <f>'22'!I40</f>
        <v>49.984999999999999</v>
      </c>
      <c r="S30" s="302">
        <f t="shared" si="29"/>
        <v>1128.944</v>
      </c>
      <c r="T30" s="7">
        <f t="shared" si="1"/>
        <v>0.99561796633801414</v>
      </c>
      <c r="U30" s="7">
        <f t="shared" si="2"/>
        <v>0.96321102193312125</v>
      </c>
      <c r="V30" s="303">
        <f t="shared" si="3"/>
        <v>0.94399890877308856</v>
      </c>
      <c r="W30" s="304">
        <f t="shared" si="4"/>
        <v>0.85273860744503582</v>
      </c>
      <c r="X30" s="302"/>
      <c r="Y30" s="302"/>
      <c r="Z30" s="6"/>
      <c r="AA30" s="302"/>
      <c r="AB30" s="98">
        <v>0</v>
      </c>
      <c r="AC30" s="13">
        <f t="shared" si="30"/>
        <v>0</v>
      </c>
      <c r="AD30" s="300">
        <f t="shared" si="5"/>
        <v>0</v>
      </c>
      <c r="AE30" s="300">
        <f t="shared" si="6"/>
        <v>0</v>
      </c>
      <c r="AF30" s="306">
        <f t="shared" si="7"/>
        <v>0</v>
      </c>
      <c r="AG30" s="300">
        <f t="shared" si="8"/>
        <v>0</v>
      </c>
      <c r="AH30" s="568">
        <f t="shared" si="9"/>
        <v>105.152</v>
      </c>
      <c r="AI30" s="302">
        <f t="shared" si="31"/>
        <v>2857.9779999999992</v>
      </c>
      <c r="AJ30" s="308">
        <f t="shared" si="10"/>
        <v>2.0944527437506224</v>
      </c>
      <c r="AK30" s="308">
        <f t="shared" si="11"/>
        <v>2.4384167062692015</v>
      </c>
      <c r="AL30" s="305">
        <f t="shared" si="12"/>
        <v>2.103671101330399</v>
      </c>
      <c r="AM30" s="308">
        <f t="shared" si="13"/>
        <v>2.531549837724457</v>
      </c>
      <c r="AN30" s="599">
        <v>0</v>
      </c>
      <c r="AO30" s="302">
        <f t="shared" si="32"/>
        <v>62.5</v>
      </c>
      <c r="AP30" s="308">
        <f t="shared" si="33"/>
        <v>0</v>
      </c>
      <c r="AQ30" s="308">
        <f t="shared" si="34"/>
        <v>5.3324778616849089E-2</v>
      </c>
      <c r="AR30" s="305">
        <f t="shared" si="35"/>
        <v>0</v>
      </c>
      <c r="AS30" s="308">
        <f t="shared" si="36"/>
        <v>5.5361470542382975E-2</v>
      </c>
      <c r="AT30" s="307">
        <f>'22'!I46</f>
        <v>43762.280000000334</v>
      </c>
      <c r="AU30" s="302">
        <f t="shared" si="37"/>
        <v>911446.61000000092</v>
      </c>
      <c r="AV30" s="308">
        <f t="shared" si="14"/>
        <v>871.67174584205418</v>
      </c>
      <c r="AW30" s="308">
        <f t="shared" si="15"/>
        <v>777.6430191892423</v>
      </c>
      <c r="AX30" s="308">
        <f t="shared" si="16"/>
        <v>875.50825247574937</v>
      </c>
      <c r="AY30" s="308">
        <f t="shared" si="17"/>
        <v>807.34439440751794</v>
      </c>
      <c r="AZ30" s="307">
        <f>+Listrik!AH29</f>
        <v>442</v>
      </c>
      <c r="BA30" s="302">
        <f t="shared" si="38"/>
        <v>113591</v>
      </c>
      <c r="BB30" s="308">
        <f t="shared" si="18"/>
        <v>8.8039039936261325</v>
      </c>
      <c r="BC30" s="308">
        <f t="shared" si="39"/>
        <v>96.915438845864088</v>
      </c>
      <c r="BD30" s="308">
        <f t="shared" si="19"/>
        <v>8.8426527958387524</v>
      </c>
      <c r="BE30" s="308">
        <f t="shared" si="20"/>
        <v>100.61703680607718</v>
      </c>
      <c r="BF30" s="574">
        <v>6.2859999999999996</v>
      </c>
      <c r="BG30" s="531">
        <v>98.866</v>
      </c>
      <c r="BH30" s="554">
        <f>+SUM(Efficiency2!K105:K106)</f>
        <v>52.950273072842101</v>
      </c>
      <c r="BI30" s="555">
        <f t="shared" si="40"/>
        <v>1272.6362191249382</v>
      </c>
      <c r="BJ30" s="556">
        <f t="shared" si="41"/>
        <v>0.94399890877308856</v>
      </c>
      <c r="BK30" s="556">
        <f t="shared" si="42"/>
        <v>0.88709089293109966</v>
      </c>
    </row>
    <row r="31" spans="1:63">
      <c r="A31" s="17">
        <f t="shared" si="21"/>
        <v>45892</v>
      </c>
      <c r="B31" s="448" t="s">
        <v>8</v>
      </c>
      <c r="C31" s="458" t="s">
        <v>608</v>
      </c>
      <c r="D31" s="454">
        <f>+'23'!F42</f>
        <v>830</v>
      </c>
      <c r="E31" s="454">
        <f>+'23'!G42</f>
        <v>680.6</v>
      </c>
      <c r="F31" s="49">
        <f t="shared" si="0"/>
        <v>0.17999999999999994</v>
      </c>
      <c r="G31" s="459">
        <f t="shared" si="22"/>
        <v>0.95912493738160909</v>
      </c>
      <c r="H31" s="457">
        <f t="shared" si="23"/>
        <v>0.95912493738160909</v>
      </c>
      <c r="I31" s="457">
        <f t="shared" si="24"/>
        <v>1.0215530387751368</v>
      </c>
      <c r="J31" s="461">
        <f t="shared" si="25"/>
        <v>0.97979699434719558</v>
      </c>
      <c r="K31" s="461">
        <f t="shared" si="26"/>
        <v>0.85747628699385758</v>
      </c>
      <c r="L31" s="305">
        <f>+Efficiency1!K110</f>
        <v>51.276948480000001</v>
      </c>
      <c r="M31" s="13">
        <f t="shared" si="27"/>
        <v>1375.1808859157954</v>
      </c>
      <c r="N31" s="305">
        <f>+Efficiency1!C110</f>
        <v>51.276948480000001</v>
      </c>
      <c r="O31" s="13">
        <f t="shared" si="27"/>
        <v>1357.7112333863042</v>
      </c>
      <c r="P31" s="301">
        <f>'23'!I38</f>
        <v>49.180999999999997</v>
      </c>
      <c r="Q31" s="13">
        <f t="shared" si="28"/>
        <v>1221.2440000000001</v>
      </c>
      <c r="R31" s="15">
        <f>'23'!I40</f>
        <v>50.241</v>
      </c>
      <c r="S31" s="302">
        <f t="shared" si="29"/>
        <v>1179.1849999999999</v>
      </c>
      <c r="T31" s="7">
        <f t="shared" si="1"/>
        <v>1.0215530387751368</v>
      </c>
      <c r="U31" s="7">
        <f t="shared" si="2"/>
        <v>0.96556052680709159</v>
      </c>
      <c r="V31" s="303">
        <f t="shared" si="3"/>
        <v>0.97979699434719558</v>
      </c>
      <c r="W31" s="304">
        <f t="shared" si="4"/>
        <v>0.85747628699385758</v>
      </c>
      <c r="X31" s="302"/>
      <c r="Y31" s="302"/>
      <c r="Z31" s="6"/>
      <c r="AA31" s="302"/>
      <c r="AB31" s="98">
        <v>0</v>
      </c>
      <c r="AC31" s="13">
        <f t="shared" si="30"/>
        <v>0</v>
      </c>
      <c r="AD31" s="300">
        <f t="shared" si="5"/>
        <v>0</v>
      </c>
      <c r="AE31" s="300">
        <f t="shared" si="6"/>
        <v>0</v>
      </c>
      <c r="AF31" s="306">
        <f t="shared" si="7"/>
        <v>0</v>
      </c>
      <c r="AG31" s="300">
        <f t="shared" si="8"/>
        <v>0</v>
      </c>
      <c r="AH31" s="568">
        <f t="shared" si="9"/>
        <v>105.31100000000001</v>
      </c>
      <c r="AI31" s="302">
        <f t="shared" si="31"/>
        <v>2963.2889999999993</v>
      </c>
      <c r="AJ31" s="308">
        <f t="shared" si="10"/>
        <v>2.1412944023098355</v>
      </c>
      <c r="AK31" s="308">
        <f t="shared" si="11"/>
        <v>2.4264512251441963</v>
      </c>
      <c r="AL31" s="305">
        <f t="shared" si="12"/>
        <v>2.0961167174220261</v>
      </c>
      <c r="AM31" s="308">
        <f t="shared" si="13"/>
        <v>2.512997536434062</v>
      </c>
      <c r="AN31" s="599">
        <v>0</v>
      </c>
      <c r="AO31" s="302">
        <f t="shared" si="32"/>
        <v>62.5</v>
      </c>
      <c r="AP31" s="308">
        <f t="shared" si="33"/>
        <v>0</v>
      </c>
      <c r="AQ31" s="308">
        <f t="shared" si="34"/>
        <v>5.1177324105584135E-2</v>
      </c>
      <c r="AR31" s="305">
        <f t="shared" si="35"/>
        <v>0</v>
      </c>
      <c r="AS31" s="308">
        <f t="shared" si="36"/>
        <v>5.3002709498509569E-2</v>
      </c>
      <c r="AT31" s="307">
        <f>'23'!I46</f>
        <v>43551.409999999814</v>
      </c>
      <c r="AU31" s="302">
        <f t="shared" si="37"/>
        <v>954998.02000000072</v>
      </c>
      <c r="AV31" s="308">
        <f t="shared" si="14"/>
        <v>885.53323437912638</v>
      </c>
      <c r="AW31" s="308">
        <f t="shared" si="15"/>
        <v>781.98789103569845</v>
      </c>
      <c r="AX31" s="308">
        <f t="shared" si="16"/>
        <v>866.84998308154331</v>
      </c>
      <c r="AY31" s="308">
        <f t="shared" si="17"/>
        <v>809.87972201138984</v>
      </c>
      <c r="AZ31" s="307">
        <f>+Listrik!AH30</f>
        <v>269</v>
      </c>
      <c r="BA31" s="302">
        <f t="shared" si="38"/>
        <v>113860</v>
      </c>
      <c r="BB31" s="308">
        <f t="shared" si="18"/>
        <v>5.4695919155771531</v>
      </c>
      <c r="BC31" s="308">
        <f t="shared" si="39"/>
        <v>93.232801962588937</v>
      </c>
      <c r="BD31" s="308">
        <f t="shared" si="19"/>
        <v>5.3541927907485913</v>
      </c>
      <c r="BE31" s="308">
        <f t="shared" si="20"/>
        <v>96.558216056004781</v>
      </c>
      <c r="BF31" s="574">
        <v>6.3849999999999998</v>
      </c>
      <c r="BG31" s="531">
        <v>98.926000000000002</v>
      </c>
      <c r="BH31" s="554">
        <f>+Efficiency2!K110</f>
        <v>51.276948480000001</v>
      </c>
      <c r="BI31" s="555">
        <f t="shared" si="40"/>
        <v>1323.9131676049383</v>
      </c>
      <c r="BJ31" s="556">
        <f t="shared" si="41"/>
        <v>0.97979699434719558</v>
      </c>
      <c r="BK31" s="556">
        <f t="shared" si="42"/>
        <v>0.89068152568739622</v>
      </c>
    </row>
    <row r="32" spans="1:63">
      <c r="A32" s="17">
        <f t="shared" si="21"/>
        <v>45893</v>
      </c>
      <c r="B32" s="448" t="s">
        <v>8</v>
      </c>
      <c r="C32" s="458" t="s">
        <v>608</v>
      </c>
      <c r="D32" s="454">
        <f>+'24'!F42</f>
        <v>830</v>
      </c>
      <c r="E32" s="454">
        <f>+'24'!G42</f>
        <v>680.6</v>
      </c>
      <c r="F32" s="49">
        <f t="shared" si="0"/>
        <v>0.17999999999999994</v>
      </c>
      <c r="G32" s="459">
        <f t="shared" si="22"/>
        <v>0.98511637937587893</v>
      </c>
      <c r="H32" s="457">
        <f t="shared" si="23"/>
        <v>0.98511637937587893</v>
      </c>
      <c r="I32" s="457">
        <f t="shared" si="24"/>
        <v>1.0126109387045126</v>
      </c>
      <c r="J32" s="461">
        <f t="shared" si="25"/>
        <v>0.99753962165299936</v>
      </c>
      <c r="K32" s="461">
        <f t="shared" si="26"/>
        <v>0.86251857185039715</v>
      </c>
      <c r="L32" s="305">
        <f>+Efficiency1!K114</f>
        <v>51.355353600000001</v>
      </c>
      <c r="M32" s="13">
        <f t="shared" si="27"/>
        <v>1426.5362395157954</v>
      </c>
      <c r="N32" s="305">
        <f>+Efficiency1!C114</f>
        <v>51.355353600000001</v>
      </c>
      <c r="O32" s="13">
        <f t="shared" si="27"/>
        <v>1409.0665869863042</v>
      </c>
      <c r="P32" s="301">
        <f>'24'!I38</f>
        <v>50.591000000000008</v>
      </c>
      <c r="Q32" s="13">
        <f t="shared" si="28"/>
        <v>1271.835</v>
      </c>
      <c r="R32" s="15">
        <f>'24'!I40</f>
        <v>51.228999999999999</v>
      </c>
      <c r="S32" s="302">
        <f t="shared" si="29"/>
        <v>1230.414</v>
      </c>
      <c r="T32" s="7">
        <f t="shared" si="1"/>
        <v>1.0126109387045126</v>
      </c>
      <c r="U32" s="7">
        <f t="shared" si="2"/>
        <v>0.96743209614454706</v>
      </c>
      <c r="V32" s="303">
        <f t="shared" si="3"/>
        <v>0.99753962165299936</v>
      </c>
      <c r="W32" s="304">
        <f t="shared" si="4"/>
        <v>0.86251857185039715</v>
      </c>
      <c r="X32" s="302"/>
      <c r="Y32" s="302"/>
      <c r="Z32" s="6"/>
      <c r="AA32" s="302"/>
      <c r="AB32" s="98">
        <v>0</v>
      </c>
      <c r="AC32" s="13">
        <f t="shared" si="30"/>
        <v>0</v>
      </c>
      <c r="AD32" s="300">
        <f t="shared" si="5"/>
        <v>0</v>
      </c>
      <c r="AE32" s="300">
        <f t="shared" si="6"/>
        <v>0</v>
      </c>
      <c r="AF32" s="306">
        <f t="shared" si="7"/>
        <v>0</v>
      </c>
      <c r="AG32" s="300">
        <f t="shared" si="8"/>
        <v>0</v>
      </c>
      <c r="AH32" s="568">
        <f t="shared" si="9"/>
        <v>105.10600000000001</v>
      </c>
      <c r="AI32" s="302">
        <f t="shared" si="31"/>
        <v>3068.3949999999995</v>
      </c>
      <c r="AJ32" s="308">
        <f t="shared" si="10"/>
        <v>2.0775632029412345</v>
      </c>
      <c r="AK32" s="308">
        <f t="shared" si="11"/>
        <v>2.4125731718343961</v>
      </c>
      <c r="AL32" s="305">
        <f t="shared" si="12"/>
        <v>2.0516894727595698</v>
      </c>
      <c r="AM32" s="308">
        <f t="shared" si="13"/>
        <v>2.493790707843051</v>
      </c>
      <c r="AN32" s="599">
        <v>0</v>
      </c>
      <c r="AO32" s="302">
        <f t="shared" si="32"/>
        <v>62.5</v>
      </c>
      <c r="AP32" s="308">
        <f t="shared" si="33"/>
        <v>0</v>
      </c>
      <c r="AQ32" s="308">
        <f t="shared" si="34"/>
        <v>4.9141594625088943E-2</v>
      </c>
      <c r="AR32" s="305">
        <f t="shared" si="35"/>
        <v>0</v>
      </c>
      <c r="AS32" s="308">
        <f t="shared" si="36"/>
        <v>5.0795910969803661E-2</v>
      </c>
      <c r="AT32" s="307">
        <f>+'24'!I46</f>
        <v>43127.88000000015</v>
      </c>
      <c r="AU32" s="302">
        <f t="shared" si="37"/>
        <v>998125.90000000084</v>
      </c>
      <c r="AV32" s="308">
        <f t="shared" si="14"/>
        <v>852.48127137238123</v>
      </c>
      <c r="AW32" s="308">
        <f t="shared" si="15"/>
        <v>784.79197380163373</v>
      </c>
      <c r="AX32" s="308">
        <f t="shared" si="16"/>
        <v>841.86456889652641</v>
      </c>
      <c r="AY32" s="308">
        <f t="shared" si="17"/>
        <v>811.21142964888304</v>
      </c>
      <c r="AZ32" s="307">
        <f>+Listrik!AH31</f>
        <v>736</v>
      </c>
      <c r="BA32" s="302">
        <f t="shared" si="38"/>
        <v>114596</v>
      </c>
      <c r="BB32" s="308">
        <f t="shared" si="18"/>
        <v>14.548042141882942</v>
      </c>
      <c r="BC32" s="308">
        <f t="shared" si="39"/>
        <v>90.102882842507086</v>
      </c>
      <c r="BD32" s="308">
        <f t="shared" si="19"/>
        <v>14.366862519276191</v>
      </c>
      <c r="BE32" s="308">
        <f t="shared" si="20"/>
        <v>93.136131415929924</v>
      </c>
      <c r="BF32" s="574">
        <v>6.468</v>
      </c>
      <c r="BG32" s="531">
        <v>98.638000000000005</v>
      </c>
      <c r="BH32" s="554">
        <f>+Efficiency2!K114</f>
        <v>51.355353600000001</v>
      </c>
      <c r="BI32" s="555">
        <f t="shared" si="40"/>
        <v>1375.2685212049382</v>
      </c>
      <c r="BJ32" s="556">
        <f t="shared" si="41"/>
        <v>0.99753962165299936</v>
      </c>
      <c r="BK32" s="556">
        <f t="shared" si="42"/>
        <v>0.8946718266495155</v>
      </c>
    </row>
    <row r="33" spans="1:63">
      <c r="A33" s="17">
        <f t="shared" si="21"/>
        <v>45894</v>
      </c>
      <c r="B33" s="448" t="s">
        <v>450</v>
      </c>
      <c r="C33" s="458" t="s">
        <v>638</v>
      </c>
      <c r="D33" s="454">
        <f>+'25'!F42</f>
        <v>830</v>
      </c>
      <c r="E33" s="454">
        <f>+'25'!G42</f>
        <v>704.11666666666667</v>
      </c>
      <c r="F33" s="49">
        <f t="shared" si="0"/>
        <v>0.15166666666666662</v>
      </c>
      <c r="G33" s="459">
        <f t="shared" si="22"/>
        <v>0.95970529007059557</v>
      </c>
      <c r="H33" s="457">
        <f t="shared" si="23"/>
        <v>0.95970529007059557</v>
      </c>
      <c r="I33" s="457">
        <f t="shared" si="24"/>
        <v>0.99061354898102849</v>
      </c>
      <c r="J33" s="461">
        <f t="shared" si="25"/>
        <v>0.9506970633727001</v>
      </c>
      <c r="K33" s="461">
        <f t="shared" si="26"/>
        <v>0.86594795770164679</v>
      </c>
      <c r="L33" s="305">
        <f>+SUM(Efficiency1!K118:K119)</f>
        <v>57.725012640000003</v>
      </c>
      <c r="M33" s="13">
        <f t="shared" si="27"/>
        <v>1484.2612521557953</v>
      </c>
      <c r="N33" s="305">
        <f>+SUM(Efficiency1!C118:C119)</f>
        <v>57.725012640000003</v>
      </c>
      <c r="O33" s="13">
        <f t="shared" si="27"/>
        <v>1466.7915996263041</v>
      </c>
      <c r="P33" s="301">
        <f>'25'!I38</f>
        <v>55.399000000000001</v>
      </c>
      <c r="Q33" s="13">
        <f t="shared" si="28"/>
        <v>1327.2339999999999</v>
      </c>
      <c r="R33" s="15">
        <f>'25'!I40</f>
        <v>54.878999999999998</v>
      </c>
      <c r="S33" s="302">
        <f t="shared" si="29"/>
        <v>1285.2929999999999</v>
      </c>
      <c r="T33" s="7">
        <f t="shared" si="1"/>
        <v>0.99061354898102849</v>
      </c>
      <c r="U33" s="7">
        <f t="shared" si="2"/>
        <v>0.9683996944020421</v>
      </c>
      <c r="V33" s="303">
        <f t="shared" si="3"/>
        <v>0.9506970633727001</v>
      </c>
      <c r="W33" s="304">
        <f t="shared" si="4"/>
        <v>0.86594795770164679</v>
      </c>
      <c r="X33" s="302"/>
      <c r="Y33" s="302"/>
      <c r="Z33" s="6"/>
      <c r="AA33" s="302"/>
      <c r="AB33" s="98">
        <v>0</v>
      </c>
      <c r="AC33" s="13">
        <f t="shared" si="30"/>
        <v>0</v>
      </c>
      <c r="AD33" s="300">
        <f t="shared" si="5"/>
        <v>0</v>
      </c>
      <c r="AE33" s="300">
        <f t="shared" si="6"/>
        <v>0</v>
      </c>
      <c r="AF33" s="306">
        <f t="shared" si="7"/>
        <v>0</v>
      </c>
      <c r="AG33" s="300">
        <f t="shared" si="8"/>
        <v>0</v>
      </c>
      <c r="AH33" s="568">
        <f t="shared" si="9"/>
        <v>109.325</v>
      </c>
      <c r="AI33" s="302">
        <f t="shared" si="31"/>
        <v>3177.7199999999993</v>
      </c>
      <c r="AJ33" s="308">
        <f t="shared" si="10"/>
        <v>1.9734110724020288</v>
      </c>
      <c r="AK33" s="308">
        <f t="shared" si="11"/>
        <v>2.3942424621430733</v>
      </c>
      <c r="AL33" s="305">
        <f t="shared" si="12"/>
        <v>1.9921099145392591</v>
      </c>
      <c r="AM33" s="308">
        <f t="shared" si="13"/>
        <v>2.4723701132737825</v>
      </c>
      <c r="AN33" s="599">
        <v>0</v>
      </c>
      <c r="AO33" s="302">
        <f t="shared" si="32"/>
        <v>62.5</v>
      </c>
      <c r="AP33" s="308">
        <f t="shared" si="33"/>
        <v>0</v>
      </c>
      <c r="AQ33" s="308">
        <f t="shared" si="34"/>
        <v>4.7090415103892759E-2</v>
      </c>
      <c r="AR33" s="305">
        <f t="shared" si="35"/>
        <v>0</v>
      </c>
      <c r="AS33" s="308">
        <f t="shared" si="36"/>
        <v>4.8627044572716112E-2</v>
      </c>
      <c r="AT33" s="307">
        <f>+'25'!I46</f>
        <v>43253.169999999562</v>
      </c>
      <c r="AU33" s="302">
        <f t="shared" si="37"/>
        <v>1041379.0700000004</v>
      </c>
      <c r="AV33" s="308">
        <f t="shared" si="14"/>
        <v>780.75723388508027</v>
      </c>
      <c r="AW33" s="308">
        <f t="shared" si="15"/>
        <v>784.62356298889301</v>
      </c>
      <c r="AX33" s="308">
        <f t="shared" si="16"/>
        <v>788.15521419850143</v>
      </c>
      <c r="AY33" s="308">
        <f t="shared" si="17"/>
        <v>810.2269832637387</v>
      </c>
      <c r="AZ33" s="307">
        <f>+Listrik!AH32</f>
        <v>436</v>
      </c>
      <c r="BA33" s="302">
        <f t="shared" si="38"/>
        <v>115032</v>
      </c>
      <c r="BB33" s="308">
        <f t="shared" si="18"/>
        <v>7.8701781620606859</v>
      </c>
      <c r="BC33" s="308">
        <f t="shared" si="39"/>
        <v>86.670474083695865</v>
      </c>
      <c r="BD33" s="308">
        <f t="shared" si="19"/>
        <v>7.9447511798684376</v>
      </c>
      <c r="BE33" s="308">
        <f t="shared" si="20"/>
        <v>89.498659060618863</v>
      </c>
      <c r="BF33" s="574">
        <f>6.979</f>
        <v>6.9790000000000001</v>
      </c>
      <c r="BG33" s="531">
        <v>102.346</v>
      </c>
      <c r="BH33" s="554">
        <f>+SUM(Efficiency2!K118:K119)</f>
        <v>57.725012640000003</v>
      </c>
      <c r="BI33" s="555">
        <f t="shared" si="40"/>
        <v>1432.9935338449382</v>
      </c>
      <c r="BJ33" s="556">
        <f t="shared" si="41"/>
        <v>0.9506970633727001</v>
      </c>
      <c r="BK33" s="556">
        <f t="shared" si="42"/>
        <v>0.89692868086526856</v>
      </c>
    </row>
    <row r="34" spans="1:63">
      <c r="A34" s="17">
        <f t="shared" si="21"/>
        <v>45895</v>
      </c>
      <c r="B34" s="448" t="s">
        <v>445</v>
      </c>
      <c r="C34" s="458" t="s">
        <v>640</v>
      </c>
      <c r="D34" s="454">
        <f>+'26'!F42</f>
        <v>830</v>
      </c>
      <c r="E34" s="454">
        <f>+'26'!G42</f>
        <v>713.8</v>
      </c>
      <c r="F34" s="49">
        <f t="shared" si="0"/>
        <v>0.14000000000000001</v>
      </c>
      <c r="G34" s="459">
        <f t="shared" si="22"/>
        <v>0.95867517034206906</v>
      </c>
      <c r="H34" s="457">
        <f t="shared" si="23"/>
        <v>0.95867517034206906</v>
      </c>
      <c r="I34" s="457">
        <f t="shared" si="24"/>
        <v>0.99156045172336271</v>
      </c>
      <c r="J34" s="461">
        <f t="shared" si="25"/>
        <v>0.95058438496035369</v>
      </c>
      <c r="K34" s="461">
        <f t="shared" si="26"/>
        <v>0.86925299953692914</v>
      </c>
      <c r="L34" s="305">
        <f>+Efficiency1!K123</f>
        <v>60.315528960000002</v>
      </c>
      <c r="M34" s="13">
        <f t="shared" si="27"/>
        <v>1544.5767811157953</v>
      </c>
      <c r="N34" s="305">
        <f>+Efficiency1!C123</f>
        <v>60.315528960000002</v>
      </c>
      <c r="O34" s="13">
        <f t="shared" si="27"/>
        <v>1527.107128586304</v>
      </c>
      <c r="P34" s="301">
        <f>'26'!I38</f>
        <v>57.823</v>
      </c>
      <c r="Q34" s="13">
        <f t="shared" si="28"/>
        <v>1385.057</v>
      </c>
      <c r="R34" s="15">
        <f>'26'!I40</f>
        <v>57.335000000000001</v>
      </c>
      <c r="S34" s="302">
        <f t="shared" si="29"/>
        <v>1342.6279999999999</v>
      </c>
      <c r="T34" s="7">
        <f t="shared" si="1"/>
        <v>0.99156045172336271</v>
      </c>
      <c r="U34" s="7">
        <f t="shared" si="2"/>
        <v>0.96936660368490246</v>
      </c>
      <c r="V34" s="303">
        <f t="shared" si="3"/>
        <v>0.95058438496035369</v>
      </c>
      <c r="W34" s="304">
        <f t="shared" si="4"/>
        <v>0.86925299953692914</v>
      </c>
      <c r="X34" s="302"/>
      <c r="Y34" s="302"/>
      <c r="Z34" s="6"/>
      <c r="AA34" s="302"/>
      <c r="AB34" s="98">
        <v>0</v>
      </c>
      <c r="AC34" s="13">
        <f t="shared" si="30"/>
        <v>0</v>
      </c>
      <c r="AD34" s="300">
        <f t="shared" si="5"/>
        <v>0</v>
      </c>
      <c r="AE34" s="300">
        <f t="shared" si="6"/>
        <v>0</v>
      </c>
      <c r="AF34" s="306">
        <f t="shared" si="7"/>
        <v>0</v>
      </c>
      <c r="AG34" s="300">
        <f t="shared" si="8"/>
        <v>0</v>
      </c>
      <c r="AH34" s="568">
        <f t="shared" si="9"/>
        <v>122.66800000000001</v>
      </c>
      <c r="AI34" s="302">
        <f t="shared" si="31"/>
        <v>3300.3879999999995</v>
      </c>
      <c r="AJ34" s="308">
        <f t="shared" si="10"/>
        <v>2.1214395655707938</v>
      </c>
      <c r="AK34" s="308">
        <f t="shared" si="11"/>
        <v>2.3828535576514174</v>
      </c>
      <c r="AL34" s="305">
        <f t="shared" si="12"/>
        <v>2.139495944885323</v>
      </c>
      <c r="AM34" s="308">
        <f t="shared" si="13"/>
        <v>2.4581552001001019</v>
      </c>
      <c r="AN34" s="599">
        <v>0</v>
      </c>
      <c r="AO34" s="302">
        <f t="shared" si="32"/>
        <v>62.5</v>
      </c>
      <c r="AP34" s="308">
        <f t="shared" si="33"/>
        <v>0</v>
      </c>
      <c r="AQ34" s="308">
        <f t="shared" si="34"/>
        <v>4.5124496681364014E-2</v>
      </c>
      <c r="AR34" s="305">
        <f t="shared" si="35"/>
        <v>0</v>
      </c>
      <c r="AS34" s="308">
        <f t="shared" si="36"/>
        <v>4.6550496488975357E-2</v>
      </c>
      <c r="AT34" s="307">
        <f>'26'!I46</f>
        <v>45688.989999999503</v>
      </c>
      <c r="AU34" s="302">
        <f t="shared" si="37"/>
        <v>1087068.0599999998</v>
      </c>
      <c r="AV34" s="308">
        <f t="shared" si="14"/>
        <v>790.15253445859787</v>
      </c>
      <c r="AW34" s="308">
        <f t="shared" si="15"/>
        <v>784.85438505418904</v>
      </c>
      <c r="AX34" s="308">
        <f t="shared" si="16"/>
        <v>796.8778233190809</v>
      </c>
      <c r="AY34" s="308">
        <f t="shared" si="17"/>
        <v>809.65692656491581</v>
      </c>
      <c r="AZ34" s="307">
        <f>+Listrik!AH33</f>
        <v>451</v>
      </c>
      <c r="BA34" s="302">
        <f t="shared" si="38"/>
        <v>115483</v>
      </c>
      <c r="BB34" s="308">
        <f t="shared" si="18"/>
        <v>7.7996644933676906</v>
      </c>
      <c r="BC34" s="308">
        <f t="shared" si="39"/>
        <v>83.37779600406337</v>
      </c>
      <c r="BD34" s="308">
        <f t="shared" si="19"/>
        <v>7.8660504055114675</v>
      </c>
      <c r="BE34" s="308">
        <f t="shared" si="20"/>
        <v>86.01265577658144</v>
      </c>
      <c r="BF34" s="574">
        <f>18.756</f>
        <v>18.756</v>
      </c>
      <c r="BG34" s="531">
        <v>103.91200000000001</v>
      </c>
      <c r="BH34" s="554">
        <f>+Efficiency2!K123</f>
        <v>60.315528960000002</v>
      </c>
      <c r="BI34" s="555">
        <f t="shared" si="40"/>
        <v>1493.3090628049381</v>
      </c>
      <c r="BJ34" s="556">
        <f t="shared" si="41"/>
        <v>0.95058438496035369</v>
      </c>
      <c r="BK34" s="556">
        <f t="shared" si="42"/>
        <v>0.89909586263281072</v>
      </c>
    </row>
    <row r="35" spans="1:63">
      <c r="A35" s="17">
        <f t="shared" si="21"/>
        <v>45896</v>
      </c>
      <c r="B35" s="448" t="s">
        <v>445</v>
      </c>
      <c r="C35" s="458" t="s">
        <v>647</v>
      </c>
      <c r="D35" s="454">
        <f>+'27'!F42</f>
        <v>830</v>
      </c>
      <c r="E35" s="454">
        <f>+'27'!G42</f>
        <v>713.8</v>
      </c>
      <c r="F35" s="49">
        <f t="shared" si="0"/>
        <v>0.14000000000000001</v>
      </c>
      <c r="G35" s="459">
        <f t="shared" si="22"/>
        <v>0.97707782184637382</v>
      </c>
      <c r="H35" s="457">
        <f t="shared" si="23"/>
        <v>0.97707782184637382</v>
      </c>
      <c r="I35" s="457">
        <f t="shared" si="24"/>
        <v>0.96034195420035795</v>
      </c>
      <c r="J35" s="461">
        <f t="shared" si="25"/>
        <v>0.9383288248377758</v>
      </c>
      <c r="K35" s="461">
        <f t="shared" si="26"/>
        <v>0.87209700134365442</v>
      </c>
      <c r="L35" s="305">
        <f>+SUM(Efficiency1!K127:K128)</f>
        <v>66.324297360000003</v>
      </c>
      <c r="M35" s="13">
        <f t="shared" si="27"/>
        <v>1610.9010784757952</v>
      </c>
      <c r="N35" s="305">
        <f>+SUM(Efficiency1!C127:C128)</f>
        <v>66.324297360000003</v>
      </c>
      <c r="O35" s="13">
        <f t="shared" si="27"/>
        <v>1593.431425946304</v>
      </c>
      <c r="P35" s="301">
        <f>'27'!I38</f>
        <v>64.804000000000002</v>
      </c>
      <c r="Q35" s="13">
        <f t="shared" si="28"/>
        <v>1449.8610000000001</v>
      </c>
      <c r="R35" s="15">
        <f>'27'!I40</f>
        <v>62.234000000000002</v>
      </c>
      <c r="S35" s="302">
        <f t="shared" si="29"/>
        <v>1404.8619999999999</v>
      </c>
      <c r="T35" s="7">
        <f t="shared" si="1"/>
        <v>0.96034195420035795</v>
      </c>
      <c r="U35" s="7">
        <f t="shared" si="2"/>
        <v>0.96896323164772336</v>
      </c>
      <c r="V35" s="303">
        <f t="shared" si="3"/>
        <v>0.9383288248377758</v>
      </c>
      <c r="W35" s="304">
        <f t="shared" si="4"/>
        <v>0.87209700134365442</v>
      </c>
      <c r="X35" s="302"/>
      <c r="Y35" s="302"/>
      <c r="Z35" s="6"/>
      <c r="AA35" s="302"/>
      <c r="AB35" s="98">
        <v>0</v>
      </c>
      <c r="AC35" s="13">
        <f t="shared" si="30"/>
        <v>0</v>
      </c>
      <c r="AD35" s="300">
        <f t="shared" si="5"/>
        <v>0</v>
      </c>
      <c r="AE35" s="300">
        <f t="shared" si="6"/>
        <v>0</v>
      </c>
      <c r="AF35" s="306">
        <f t="shared" si="7"/>
        <v>0</v>
      </c>
      <c r="AG35" s="300">
        <f t="shared" si="8"/>
        <v>0</v>
      </c>
      <c r="AH35" s="568">
        <f t="shared" si="9"/>
        <v>129.30799999999999</v>
      </c>
      <c r="AI35" s="302">
        <f t="shared" si="31"/>
        <v>3429.6959999999995</v>
      </c>
      <c r="AJ35" s="308">
        <f t="shared" si="10"/>
        <v>1.9953706561323374</v>
      </c>
      <c r="AK35" s="308">
        <f t="shared" si="11"/>
        <v>2.3655343512240132</v>
      </c>
      <c r="AL35" s="305">
        <f t="shared" si="12"/>
        <v>2.0777709933476878</v>
      </c>
      <c r="AM35" s="308">
        <f t="shared" si="13"/>
        <v>2.4413045551805088</v>
      </c>
      <c r="AN35" s="98">
        <v>9.1999999999999993</v>
      </c>
      <c r="AO35" s="302">
        <f t="shared" si="32"/>
        <v>71.7</v>
      </c>
      <c r="AP35" s="308">
        <f t="shared" si="33"/>
        <v>0.14196654527498301</v>
      </c>
      <c r="AQ35" s="308">
        <f t="shared" si="34"/>
        <v>4.9453016530550169E-2</v>
      </c>
      <c r="AR35" s="305">
        <f t="shared" si="35"/>
        <v>0.14782916090882794</v>
      </c>
      <c r="AS35" s="308">
        <f t="shared" si="36"/>
        <v>5.1037041360646108E-2</v>
      </c>
      <c r="AT35" s="307">
        <f>'27'!I46</f>
        <v>37805.630000000972</v>
      </c>
      <c r="AU35" s="302">
        <f t="shared" si="37"/>
        <v>1124873.6900000009</v>
      </c>
      <c r="AV35" s="308">
        <f t="shared" si="14"/>
        <v>583.38420467873857</v>
      </c>
      <c r="AW35" s="308">
        <f t="shared" si="15"/>
        <v>775.84933314297086</v>
      </c>
      <c r="AX35" s="308">
        <f t="shared" si="16"/>
        <v>607.47549570975627</v>
      </c>
      <c r="AY35" s="308">
        <f t="shared" si="17"/>
        <v>800.70048873127826</v>
      </c>
      <c r="AZ35" s="307">
        <f>+Listrik!AH34</f>
        <v>28797.239999999994</v>
      </c>
      <c r="BA35" s="302">
        <f t="shared" si="38"/>
        <v>144280.24</v>
      </c>
      <c r="BB35" s="308">
        <f t="shared" si="18"/>
        <v>444.37442133201642</v>
      </c>
      <c r="BC35" s="308">
        <f t="shared" si="39"/>
        <v>99.513153329870931</v>
      </c>
      <c r="BD35" s="308">
        <f t="shared" si="19"/>
        <v>462.72519844458003</v>
      </c>
      <c r="BE35" s="308">
        <f t="shared" si="20"/>
        <v>102.7006496011708</v>
      </c>
      <c r="BF35" s="574">
        <f>21.847</f>
        <v>21.847000000000001</v>
      </c>
      <c r="BG35" s="531">
        <v>107.461</v>
      </c>
      <c r="BH35" s="554">
        <f>+SUM(Efficiency2!K127:K128)</f>
        <v>66.324297360000003</v>
      </c>
      <c r="BI35" s="555">
        <f t="shared" si="40"/>
        <v>1559.633360164938</v>
      </c>
      <c r="BJ35" s="556">
        <f t="shared" si="41"/>
        <v>0.9383288248377758</v>
      </c>
      <c r="BK35" s="556">
        <f t="shared" si="42"/>
        <v>0.90076426670652232</v>
      </c>
    </row>
    <row r="36" spans="1:63">
      <c r="A36" s="17">
        <f t="shared" si="21"/>
        <v>45897</v>
      </c>
      <c r="B36" s="448" t="s">
        <v>573</v>
      </c>
      <c r="C36" s="458" t="s">
        <v>669</v>
      </c>
      <c r="D36" s="454">
        <f>+'28'!F42</f>
        <v>658.45001243868364</v>
      </c>
      <c r="E36" s="454">
        <f>+'28'!G42</f>
        <v>573.00647449431972</v>
      </c>
      <c r="F36" s="49">
        <f t="shared" si="0"/>
        <v>0.12976465385414604</v>
      </c>
      <c r="G36" s="459">
        <f t="shared" si="22"/>
        <v>0.97210565700141693</v>
      </c>
      <c r="H36" s="457">
        <f t="shared" si="23"/>
        <v>0.97210565700141693</v>
      </c>
      <c r="I36" s="457">
        <f t="shared" si="24"/>
        <v>0.97931867825440344</v>
      </c>
      <c r="J36" s="461">
        <f t="shared" si="25"/>
        <v>0.95200122713825619</v>
      </c>
      <c r="K36" s="461">
        <f t="shared" si="26"/>
        <v>0.8752603523035809</v>
      </c>
      <c r="L36" s="305">
        <f>+SUM(Efficiency1!K132:K133)</f>
        <v>66.403275749999992</v>
      </c>
      <c r="M36" s="13">
        <f t="shared" si="27"/>
        <v>1677.3043542257951</v>
      </c>
      <c r="N36" s="13">
        <f>+SUM(Efficiency1!C132:C133)</f>
        <v>66.403275749999992</v>
      </c>
      <c r="O36" s="13">
        <f t="shared" si="27"/>
        <v>1659.8347016963039</v>
      </c>
      <c r="P36" s="301">
        <f>'28'!I38</f>
        <v>64.551000000000002</v>
      </c>
      <c r="Q36" s="13">
        <f t="shared" si="28"/>
        <v>1514.412</v>
      </c>
      <c r="R36" s="15">
        <f>'28'!I40</f>
        <v>63.216000000000001</v>
      </c>
      <c r="S36" s="302">
        <f t="shared" si="29"/>
        <v>1468.0779999999997</v>
      </c>
      <c r="T36" s="7">
        <f t="shared" si="1"/>
        <v>0.97931867825440344</v>
      </c>
      <c r="U36" s="7">
        <f t="shared" si="2"/>
        <v>0.96940462701035102</v>
      </c>
      <c r="V36" s="303">
        <f t="shared" si="3"/>
        <v>0.95200122713825619</v>
      </c>
      <c r="W36" s="304">
        <f t="shared" si="4"/>
        <v>0.8752603523035809</v>
      </c>
      <c r="X36" s="302"/>
      <c r="Y36" s="302"/>
      <c r="Z36" s="6"/>
      <c r="AA36" s="302"/>
      <c r="AB36" s="98">
        <v>0</v>
      </c>
      <c r="AC36" s="13">
        <f t="shared" si="30"/>
        <v>0</v>
      </c>
      <c r="AD36" s="300">
        <f t="shared" si="5"/>
        <v>0</v>
      </c>
      <c r="AE36" s="300">
        <f t="shared" si="6"/>
        <v>0</v>
      </c>
      <c r="AF36" s="306">
        <f t="shared" si="7"/>
        <v>0</v>
      </c>
      <c r="AG36" s="300">
        <f t="shared" si="8"/>
        <v>0</v>
      </c>
      <c r="AH36" s="568">
        <f t="shared" si="9"/>
        <v>122.242</v>
      </c>
      <c r="AI36" s="302">
        <f t="shared" si="31"/>
        <v>3551.9379999999996</v>
      </c>
      <c r="AJ36" s="308">
        <f t="shared" si="10"/>
        <v>1.8937274403185078</v>
      </c>
      <c r="AK36" s="308">
        <f t="shared" si="11"/>
        <v>2.3454238344651253</v>
      </c>
      <c r="AL36" s="305">
        <f t="shared" si="12"/>
        <v>1.933719311566692</v>
      </c>
      <c r="AM36" s="308">
        <f t="shared" si="13"/>
        <v>2.41944774051515</v>
      </c>
      <c r="AN36" s="98">
        <v>16.2</v>
      </c>
      <c r="AO36" s="302">
        <f t="shared" si="32"/>
        <v>87.9</v>
      </c>
      <c r="AP36" s="308">
        <f t="shared" si="33"/>
        <v>0.25096435376678905</v>
      </c>
      <c r="AQ36" s="308">
        <f t="shared" si="34"/>
        <v>5.8042329300084787E-2</v>
      </c>
      <c r="AR36" s="305">
        <f t="shared" si="35"/>
        <v>0.25626423690205008</v>
      </c>
      <c r="AS36" s="308">
        <f t="shared" si="36"/>
        <v>5.9874202869329846E-2</v>
      </c>
      <c r="AT36" s="307">
        <f>'28'!I46</f>
        <v>34452.199999999968</v>
      </c>
      <c r="AU36" s="302">
        <f t="shared" si="37"/>
        <v>1159325.8900000008</v>
      </c>
      <c r="AV36" s="308">
        <f t="shared" si="14"/>
        <v>533.72062400272603</v>
      </c>
      <c r="AW36" s="308">
        <f t="shared" si="15"/>
        <v>765.52872666090923</v>
      </c>
      <c r="AX36" s="308">
        <f t="shared" si="16"/>
        <v>544.9917742343705</v>
      </c>
      <c r="AY36" s="308">
        <f t="shared" si="17"/>
        <v>789.6895737147488</v>
      </c>
      <c r="AZ36" s="307">
        <f>+Listrik!AH35</f>
        <v>30215</v>
      </c>
      <c r="BA36" s="302">
        <f t="shared" si="38"/>
        <v>174495.24</v>
      </c>
      <c r="BB36" s="308">
        <f t="shared" si="18"/>
        <v>468.07950302861303</v>
      </c>
      <c r="BC36" s="308">
        <f t="shared" si="39"/>
        <v>115.2230964889343</v>
      </c>
      <c r="BD36" s="308">
        <f t="shared" si="19"/>
        <v>477.96443938243482</v>
      </c>
      <c r="BE36" s="308">
        <f t="shared" si="20"/>
        <v>118.85965187135834</v>
      </c>
      <c r="BF36" s="574">
        <f>16.369</f>
        <v>16.369</v>
      </c>
      <c r="BG36" s="531">
        <v>105.873</v>
      </c>
      <c r="BH36" s="554">
        <f>+SUM(Efficiency2!K132:K133)</f>
        <v>66.403275749999992</v>
      </c>
      <c r="BI36" s="555">
        <f t="shared" si="40"/>
        <v>1626.036635914938</v>
      </c>
      <c r="BJ36" s="556">
        <f t="shared" si="41"/>
        <v>0.95200122713825619</v>
      </c>
      <c r="BK36" s="556">
        <f t="shared" si="42"/>
        <v>0.90285665622407207</v>
      </c>
    </row>
    <row r="37" spans="1:63">
      <c r="A37" s="17">
        <f t="shared" si="21"/>
        <v>45898</v>
      </c>
      <c r="B37" s="448" t="s">
        <v>8</v>
      </c>
      <c r="C37" s="449" t="s">
        <v>679</v>
      </c>
      <c r="D37" s="454">
        <f>+'29'!F42</f>
        <v>591.66666666666663</v>
      </c>
      <c r="E37" s="454">
        <f>+'29'!G42</f>
        <v>520.66666666666663</v>
      </c>
      <c r="F37" s="49">
        <f t="shared" si="0"/>
        <v>0.12</v>
      </c>
      <c r="G37" s="459">
        <f t="shared" si="22"/>
        <v>1.0443692577530961</v>
      </c>
      <c r="H37" s="457">
        <f t="shared" si="23"/>
        <v>1.0443692577530961</v>
      </c>
      <c r="I37" s="457">
        <f t="shared" si="24"/>
        <v>0.99912771679872059</v>
      </c>
      <c r="J37" s="461">
        <f t="shared" si="25"/>
        <v>1.0434582719936254</v>
      </c>
      <c r="K37" s="461">
        <f t="shared" si="26"/>
        <v>0.88161543590567792</v>
      </c>
      <c r="L37" s="305">
        <f>+Efficiency1!K138</f>
        <v>65.862719999999996</v>
      </c>
      <c r="M37" s="13">
        <f t="shared" si="27"/>
        <v>1743.1670742257952</v>
      </c>
      <c r="N37" s="305">
        <f>+Efficiency1!C138</f>
        <v>65.862719999999996</v>
      </c>
      <c r="O37" s="13">
        <f t="shared" si="27"/>
        <v>1725.697421696304</v>
      </c>
      <c r="P37" s="301">
        <f>'29'!I38</f>
        <v>68.784999999999997</v>
      </c>
      <c r="Q37" s="13">
        <f t="shared" si="28"/>
        <v>1583.1970000000001</v>
      </c>
      <c r="R37" s="15">
        <f>'29'!I40</f>
        <v>68.724999999999994</v>
      </c>
      <c r="S37" s="302">
        <f t="shared" si="29"/>
        <v>1536.8029999999997</v>
      </c>
      <c r="T37" s="7">
        <f t="shared" si="1"/>
        <v>0.99912771679872059</v>
      </c>
      <c r="U37" s="7">
        <f t="shared" si="2"/>
        <v>0.97069600308742343</v>
      </c>
      <c r="V37" s="303">
        <f t="shared" si="3"/>
        <v>1.0434582719936254</v>
      </c>
      <c r="W37" s="304">
        <f t="shared" si="4"/>
        <v>0.88161543590567792</v>
      </c>
      <c r="X37" s="302"/>
      <c r="Y37" s="302"/>
      <c r="Z37" s="6"/>
      <c r="AA37" s="302"/>
      <c r="AB37" s="98">
        <v>0</v>
      </c>
      <c r="AC37" s="13">
        <f t="shared" si="30"/>
        <v>0</v>
      </c>
      <c r="AD37" s="300">
        <f t="shared" si="5"/>
        <v>0</v>
      </c>
      <c r="AE37" s="300">
        <f t="shared" si="6"/>
        <v>0</v>
      </c>
      <c r="AF37" s="306">
        <f t="shared" si="7"/>
        <v>0</v>
      </c>
      <c r="AG37" s="300">
        <f t="shared" si="8"/>
        <v>0</v>
      </c>
      <c r="AH37" s="568">
        <f t="shared" si="9"/>
        <v>133.08799999999999</v>
      </c>
      <c r="AI37" s="302">
        <f t="shared" si="31"/>
        <v>3685.0259999999998</v>
      </c>
      <c r="AJ37" s="308">
        <f t="shared" si="10"/>
        <v>1.9348404448644327</v>
      </c>
      <c r="AK37" s="308">
        <f t="shared" si="11"/>
        <v>2.32758525944655</v>
      </c>
      <c r="AL37" s="305">
        <f t="shared" si="12"/>
        <v>1.9365296471444162</v>
      </c>
      <c r="AM37" s="308">
        <f t="shared" si="13"/>
        <v>2.3978519042453721</v>
      </c>
      <c r="AN37" s="98">
        <v>17.600000000000001</v>
      </c>
      <c r="AO37" s="302">
        <f t="shared" si="32"/>
        <v>105.5</v>
      </c>
      <c r="AP37" s="308">
        <f t="shared" si="33"/>
        <v>0.25586973904194232</v>
      </c>
      <c r="AQ37" s="308">
        <f t="shared" si="34"/>
        <v>6.663731677106513E-2</v>
      </c>
      <c r="AR37" s="305">
        <f t="shared" si="35"/>
        <v>0.25609312477264462</v>
      </c>
      <c r="AS37" s="308">
        <f t="shared" si="36"/>
        <v>6.8649007062063269E-2</v>
      </c>
      <c r="AT37" s="307">
        <f>'29'!I46</f>
        <v>35555.619999999253</v>
      </c>
      <c r="AU37" s="302">
        <f t="shared" si="37"/>
        <v>1194881.51</v>
      </c>
      <c r="AV37" s="308">
        <f t="shared" si="14"/>
        <v>516.90950061785645</v>
      </c>
      <c r="AW37" s="308">
        <f t="shared" si="15"/>
        <v>754.72699228207227</v>
      </c>
      <c r="AX37" s="308">
        <f t="shared" si="16"/>
        <v>517.36078574025839</v>
      </c>
      <c r="AY37" s="308">
        <f t="shared" si="17"/>
        <v>777.51117742482302</v>
      </c>
      <c r="AZ37" s="307">
        <f>+Listrik!AH36</f>
        <v>31212</v>
      </c>
      <c r="BA37" s="302">
        <f t="shared" si="38"/>
        <v>205707.24</v>
      </c>
      <c r="BB37" s="308">
        <f t="shared" si="18"/>
        <v>453.7617213055172</v>
      </c>
      <c r="BC37" s="308">
        <f t="shared" si="39"/>
        <v>129.93154989555941</v>
      </c>
      <c r="BD37" s="308">
        <f t="shared" si="19"/>
        <v>454.15787559112403</v>
      </c>
      <c r="BE37" s="308">
        <f t="shared" si="20"/>
        <v>133.85400731258335</v>
      </c>
      <c r="BF37" s="574">
        <f>24.639</f>
        <v>24.638999999999999</v>
      </c>
      <c r="BG37" s="531">
        <v>108.449</v>
      </c>
      <c r="BH37" s="554">
        <f>+Efficiency2!K138</f>
        <v>65.862719999999996</v>
      </c>
      <c r="BI37" s="555">
        <f t="shared" si="40"/>
        <v>1691.899355914938</v>
      </c>
      <c r="BJ37" s="556">
        <f t="shared" si="41"/>
        <v>1.0434582719936254</v>
      </c>
      <c r="BK37" s="556">
        <f t="shared" si="42"/>
        <v>0.90833003430569537</v>
      </c>
    </row>
    <row r="38" spans="1:63">
      <c r="A38" s="17">
        <f t="shared" si="21"/>
        <v>45899</v>
      </c>
      <c r="B38" s="448" t="s">
        <v>8</v>
      </c>
      <c r="C38" s="449" t="s">
        <v>703</v>
      </c>
      <c r="D38" s="454">
        <f>+'30'!F42</f>
        <v>540.20833333333337</v>
      </c>
      <c r="E38" s="454">
        <f>+'30'!G42</f>
        <v>475.38333333333333</v>
      </c>
      <c r="F38" s="49">
        <f t="shared" si="0"/>
        <v>0.12000000000000011</v>
      </c>
      <c r="G38" s="459">
        <f t="shared" si="22"/>
        <v>0.96442034924803066</v>
      </c>
      <c r="H38" s="457">
        <f t="shared" si="23"/>
        <v>0.96442034924803066</v>
      </c>
      <c r="I38" s="457">
        <f t="shared" si="24"/>
        <v>0.95267848690171886</v>
      </c>
      <c r="J38" s="461">
        <f t="shared" si="25"/>
        <v>0.91878251905884101</v>
      </c>
      <c r="K38" s="461">
        <f t="shared" si="26"/>
        <v>0.88318126803303565</v>
      </c>
      <c r="L38" s="305">
        <f>+SUM(Efficiency1!K142:K146)</f>
        <v>76.668850939999999</v>
      </c>
      <c r="M38" s="13">
        <f t="shared" si="27"/>
        <v>1819.8359251657953</v>
      </c>
      <c r="N38" s="305">
        <f>+SUM(Efficiency1!C142:C146)</f>
        <v>76.668850939999999</v>
      </c>
      <c r="O38" s="13">
        <f t="shared" si="27"/>
        <v>1802.3662726363041</v>
      </c>
      <c r="P38" s="301">
        <f>'30'!I38</f>
        <v>73.941000000000003</v>
      </c>
      <c r="Q38" s="13">
        <f t="shared" si="28"/>
        <v>1657.1380000000001</v>
      </c>
      <c r="R38" s="15">
        <f>'30'!I40</f>
        <v>70.441999999999993</v>
      </c>
      <c r="S38" s="302">
        <f t="shared" si="29"/>
        <v>1607.2449999999997</v>
      </c>
      <c r="T38" s="7">
        <f t="shared" si="1"/>
        <v>0.95267848690171886</v>
      </c>
      <c r="U38" s="7">
        <f t="shared" si="2"/>
        <v>0.9698920669250235</v>
      </c>
      <c r="V38" s="303">
        <f t="shared" si="3"/>
        <v>0.91878251905884101</v>
      </c>
      <c r="W38" s="304">
        <f t="shared" si="4"/>
        <v>0.88318126803303565</v>
      </c>
      <c r="X38" s="302"/>
      <c r="Y38" s="302"/>
      <c r="Z38" s="6"/>
      <c r="AA38" s="302"/>
      <c r="AB38" s="98">
        <v>0</v>
      </c>
      <c r="AC38" s="13">
        <f t="shared" si="30"/>
        <v>0</v>
      </c>
      <c r="AD38" s="300">
        <f t="shared" si="5"/>
        <v>0</v>
      </c>
      <c r="AE38" s="300">
        <f t="shared" si="6"/>
        <v>0</v>
      </c>
      <c r="AF38" s="306">
        <f t="shared" si="7"/>
        <v>0</v>
      </c>
      <c r="AG38" s="300">
        <f t="shared" si="8"/>
        <v>0</v>
      </c>
      <c r="AH38" s="568">
        <f t="shared" si="9"/>
        <v>148.339</v>
      </c>
      <c r="AI38" s="302">
        <f t="shared" si="31"/>
        <v>3833.3649999999998</v>
      </c>
      <c r="AJ38" s="308">
        <f t="shared" si="10"/>
        <v>2.0061806034541054</v>
      </c>
      <c r="AK38" s="308">
        <f t="shared" si="11"/>
        <v>2.3132442801987518</v>
      </c>
      <c r="AL38" s="305">
        <f t="shared" si="12"/>
        <v>2.1058317481048241</v>
      </c>
      <c r="AM38" s="308">
        <f t="shared" si="13"/>
        <v>2.3850533055010286</v>
      </c>
      <c r="AN38" s="98">
        <v>19.2</v>
      </c>
      <c r="AO38" s="302">
        <f t="shared" si="32"/>
        <v>124.7</v>
      </c>
      <c r="AP38" s="308">
        <f t="shared" si="33"/>
        <v>0.25966649085081345</v>
      </c>
      <c r="AQ38" s="308">
        <f t="shared" si="34"/>
        <v>7.5250220560991288E-2</v>
      </c>
      <c r="AR38" s="305">
        <f t="shared" si="35"/>
        <v>0.27256466312711169</v>
      </c>
      <c r="AS38" s="308">
        <f t="shared" si="36"/>
        <v>7.7586180078332817E-2</v>
      </c>
      <c r="AT38" s="307">
        <f>'30'!I46</f>
        <v>36215.310000000987</v>
      </c>
      <c r="AU38" s="302">
        <f t="shared" si="37"/>
        <v>1231096.820000001</v>
      </c>
      <c r="AV38" s="308">
        <f t="shared" si="14"/>
        <v>489.78658660284538</v>
      </c>
      <c r="AW38" s="308">
        <f t="shared" si="15"/>
        <v>742.90543092971188</v>
      </c>
      <c r="AX38" s="308">
        <f t="shared" si="16"/>
        <v>514.11530053094725</v>
      </c>
      <c r="AY38" s="308">
        <f t="shared" si="17"/>
        <v>765.9671176454126</v>
      </c>
      <c r="AZ38" s="307">
        <f>+Listrik!AH37</f>
        <v>32502</v>
      </c>
      <c r="BA38" s="302">
        <f t="shared" si="38"/>
        <v>238209.24</v>
      </c>
      <c r="BB38" s="308">
        <f t="shared" si="18"/>
        <v>439.56668154339269</v>
      </c>
      <c r="BC38" s="308">
        <f t="shared" si="39"/>
        <v>143.7473765009311</v>
      </c>
      <c r="BD38" s="308">
        <f t="shared" si="19"/>
        <v>461.4008687998637</v>
      </c>
      <c r="BE38" s="308">
        <f t="shared" si="20"/>
        <v>148.20966311918843</v>
      </c>
      <c r="BF38" s="530">
        <f>31.198</f>
        <v>31.198</v>
      </c>
      <c r="BG38" s="531">
        <v>117.14100000000001</v>
      </c>
      <c r="BH38" s="554">
        <f>+SUM(Efficiency2!K142:K146)</f>
        <v>76.668850939999999</v>
      </c>
      <c r="BI38" s="555">
        <f t="shared" si="40"/>
        <v>1768.5682068549381</v>
      </c>
      <c r="BJ38" s="556">
        <f t="shared" si="41"/>
        <v>0.91878251905884101</v>
      </c>
      <c r="BK38" s="556">
        <f t="shared" si="42"/>
        <v>0.90878315790725361</v>
      </c>
    </row>
    <row r="39" spans="1:63">
      <c r="A39" s="17">
        <f>A38+1</f>
        <v>45900</v>
      </c>
      <c r="B39" s="448" t="s">
        <v>8</v>
      </c>
      <c r="C39" s="449" t="s">
        <v>704</v>
      </c>
      <c r="D39" s="454">
        <f>+'31'!F42</f>
        <v>506.31944444444446</v>
      </c>
      <c r="E39" s="454">
        <f>+'31'!G42</f>
        <v>445.56111111111113</v>
      </c>
      <c r="F39" s="49">
        <f t="shared" si="0"/>
        <v>0.12</v>
      </c>
      <c r="G39" s="459">
        <f t="shared" si="22"/>
        <v>0.99291947676770076</v>
      </c>
      <c r="H39" s="457">
        <f t="shared" si="23"/>
        <v>0.99291947676770076</v>
      </c>
      <c r="I39" s="457">
        <f t="shared" si="24"/>
        <v>0.97677065823086395</v>
      </c>
      <c r="J39" s="461">
        <f t="shared" si="25"/>
        <v>0.96985461089263214</v>
      </c>
      <c r="K39" s="461">
        <f t="shared" si="26"/>
        <v>0.88665975535746266</v>
      </c>
      <c r="L39" s="305">
        <f>+SUM(Efficiency1!K148:K149)</f>
        <v>76.089755280000006</v>
      </c>
      <c r="M39" s="13">
        <f>M38+L39</f>
        <v>1895.9256804457953</v>
      </c>
      <c r="N39" s="305">
        <f>+SUM(Efficiency1!C148:C149)</f>
        <v>76.089755280000006</v>
      </c>
      <c r="O39" s="13">
        <f>O38+N39</f>
        <v>1878.456027916304</v>
      </c>
      <c r="P39" s="301">
        <f>'31'!I38</f>
        <v>75.551000000000002</v>
      </c>
      <c r="Q39" s="13">
        <f>Q38+P39</f>
        <v>1732.6890000000001</v>
      </c>
      <c r="R39" s="15">
        <f>'31'!I40</f>
        <v>73.796000000000006</v>
      </c>
      <c r="S39" s="302">
        <f>S38+R39</f>
        <v>1681.0409999999997</v>
      </c>
      <c r="T39" s="7">
        <f>R39/P39</f>
        <v>0.97677065823086395</v>
      </c>
      <c r="U39" s="7">
        <f>S39/Q39</f>
        <v>0.97019199637095843</v>
      </c>
      <c r="V39" s="303">
        <f>R39/L39</f>
        <v>0.96985461089263214</v>
      </c>
      <c r="W39" s="304">
        <f>S39/M39</f>
        <v>0.88665975535746266</v>
      </c>
      <c r="X39" s="302"/>
      <c r="Y39" s="302"/>
      <c r="Z39" s="6"/>
      <c r="AA39" s="302"/>
      <c r="AB39" s="98">
        <v>0</v>
      </c>
      <c r="AC39" s="13">
        <f>AB39+AC38</f>
        <v>0</v>
      </c>
      <c r="AD39" s="300">
        <f t="shared" si="5"/>
        <v>0</v>
      </c>
      <c r="AE39" s="300">
        <f t="shared" si="6"/>
        <v>0</v>
      </c>
      <c r="AF39" s="306">
        <f t="shared" si="7"/>
        <v>0</v>
      </c>
      <c r="AG39" s="300">
        <f t="shared" si="8"/>
        <v>0</v>
      </c>
      <c r="AH39" s="568">
        <f t="shared" si="9"/>
        <v>135.745</v>
      </c>
      <c r="AI39" s="302">
        <f>AH39+AI38</f>
        <v>3969.1099999999997</v>
      </c>
      <c r="AJ39" s="308">
        <f t="shared" si="10"/>
        <v>1.7967333324509271</v>
      </c>
      <c r="AK39" s="308">
        <f t="shared" si="11"/>
        <v>2.2907226859522969</v>
      </c>
      <c r="AL39" s="305">
        <f t="shared" si="12"/>
        <v>1.8394628435145535</v>
      </c>
      <c r="AM39" s="308">
        <f t="shared" si="13"/>
        <v>2.3611024359310693</v>
      </c>
      <c r="AN39" s="98">
        <v>19.2</v>
      </c>
      <c r="AO39" s="302">
        <f>AN39+AO38</f>
        <v>143.9</v>
      </c>
      <c r="AP39" s="308">
        <f t="shared" si="33"/>
        <v>0.25413296978200156</v>
      </c>
      <c r="AQ39" s="308">
        <f t="shared" si="34"/>
        <v>8.3050103047921472E-2</v>
      </c>
      <c r="AR39" s="305">
        <f t="shared" si="35"/>
        <v>0.26017670334435467</v>
      </c>
      <c r="AS39" s="308">
        <f t="shared" si="36"/>
        <v>8.5601719410769897E-2</v>
      </c>
      <c r="AT39" s="307">
        <f>'31'!I46</f>
        <v>32074.210000000305</v>
      </c>
      <c r="AU39" s="302">
        <f>AT39+AU38</f>
        <v>1263171.0300000012</v>
      </c>
      <c r="AV39" s="308">
        <f t="shared" si="14"/>
        <v>424.53720003706508</v>
      </c>
      <c r="AW39" s="308">
        <f t="shared" si="15"/>
        <v>729.0235177807449</v>
      </c>
      <c r="AX39" s="308">
        <f t="shared" si="16"/>
        <v>434.63344896742785</v>
      </c>
      <c r="AY39" s="308">
        <f t="shared" si="17"/>
        <v>751.421904641232</v>
      </c>
      <c r="AZ39" s="307">
        <f>+Listrik!AH38</f>
        <v>31426</v>
      </c>
      <c r="BA39" s="302">
        <f>AZ39+BA38</f>
        <v>269635.24</v>
      </c>
      <c r="BB39" s="308">
        <f t="shared" si="18"/>
        <v>415.95743272756152</v>
      </c>
      <c r="BC39" s="308">
        <f t="shared" si="39"/>
        <v>155.61663980091058</v>
      </c>
      <c r="BD39" s="308">
        <f t="shared" si="19"/>
        <v>425.8496395468589</v>
      </c>
      <c r="BE39" s="308">
        <f t="shared" si="20"/>
        <v>160.39777732964276</v>
      </c>
      <c r="BF39" s="530">
        <f>32.255</f>
        <v>32.255000000000003</v>
      </c>
      <c r="BG39" s="531">
        <v>103.49</v>
      </c>
      <c r="BH39" s="554">
        <f>+SUM(Efficiency2!K148:K149)</f>
        <v>76.089755280000006</v>
      </c>
      <c r="BI39" s="555">
        <f>BI38+BH39</f>
        <v>1844.6579621349381</v>
      </c>
      <c r="BJ39" s="556">
        <f t="shared" si="41"/>
        <v>0.96985461089263214</v>
      </c>
      <c r="BK39" s="556">
        <f t="shared" si="42"/>
        <v>0.91130227636045102</v>
      </c>
    </row>
    <row r="40" spans="1:63" ht="13.5" thickBot="1">
      <c r="A40" s="17"/>
      <c r="B40" s="309"/>
      <c r="C40" s="309"/>
      <c r="D40" s="455"/>
      <c r="E40" s="455"/>
      <c r="F40" s="309"/>
      <c r="G40" s="459"/>
      <c r="H40" s="457"/>
      <c r="I40" s="457"/>
      <c r="J40" s="461" t="e">
        <f t="shared" si="25"/>
        <v>#DIV/0!</v>
      </c>
      <c r="K40" s="461" t="e">
        <f t="shared" si="26"/>
        <v>#DIV/0!</v>
      </c>
      <c r="L40" s="317"/>
      <c r="M40" s="310"/>
      <c r="N40" s="310"/>
      <c r="O40" s="310"/>
      <c r="P40" s="311"/>
      <c r="Q40" s="310"/>
      <c r="R40" s="312"/>
      <c r="S40" s="313"/>
      <c r="T40" s="314"/>
      <c r="U40" s="314"/>
      <c r="V40" s="315"/>
      <c r="W40" s="316"/>
      <c r="X40" s="313"/>
      <c r="Y40" s="313"/>
      <c r="Z40" s="318"/>
      <c r="AA40" s="313"/>
      <c r="AB40" s="313"/>
      <c r="AC40" s="310"/>
      <c r="AD40" s="319"/>
      <c r="AE40" s="319"/>
      <c r="AF40" s="320"/>
      <c r="AG40" s="319"/>
      <c r="AH40" s="313"/>
      <c r="AI40" s="313"/>
      <c r="AJ40" s="308"/>
      <c r="AK40" s="321"/>
      <c r="AL40" s="317"/>
      <c r="AM40" s="321"/>
      <c r="AN40" s="313"/>
      <c r="AO40" s="313"/>
      <c r="AP40" s="321"/>
      <c r="AQ40" s="321"/>
      <c r="AR40" s="317"/>
      <c r="AS40" s="321"/>
      <c r="AT40" s="313"/>
      <c r="AU40" s="313"/>
      <c r="AV40" s="321"/>
      <c r="AW40" s="321"/>
      <c r="AX40" s="321"/>
      <c r="AY40" s="321"/>
      <c r="AZ40" s="313"/>
      <c r="BA40" s="313"/>
      <c r="BB40" s="321"/>
      <c r="BC40" s="321"/>
      <c r="BD40" s="321"/>
      <c r="BE40" s="321"/>
      <c r="BF40" s="530"/>
      <c r="BG40" s="531"/>
      <c r="BH40" s="557"/>
      <c r="BI40" s="558"/>
      <c r="BJ40" s="556"/>
      <c r="BK40" s="559"/>
    </row>
    <row r="41" spans="1:63" ht="14.25" thickTop="1" thickBot="1">
      <c r="A41" s="322"/>
      <c r="B41" s="323"/>
      <c r="C41" s="323"/>
      <c r="D41" s="456"/>
      <c r="E41" s="456"/>
      <c r="F41" s="323"/>
      <c r="G41" s="459">
        <f t="shared" si="22"/>
        <v>0.92240061744857693</v>
      </c>
      <c r="H41" s="457">
        <f>+P41/L41</f>
        <v>0.91390132950390079</v>
      </c>
      <c r="I41" s="457">
        <f t="shared" si="24"/>
        <v>0.97019199637095843</v>
      </c>
      <c r="J41" s="461">
        <f t="shared" si="25"/>
        <v>0.88665975535746266</v>
      </c>
      <c r="K41" s="469"/>
      <c r="L41" s="330">
        <f>SUM(L9:L39)</f>
        <v>1895.9256804457953</v>
      </c>
      <c r="M41" s="324"/>
      <c r="N41" s="330">
        <f>SUM(N9:N39)</f>
        <v>1878.456027916304</v>
      </c>
      <c r="O41" s="324"/>
      <c r="P41" s="324">
        <f>SUM(P9:P39)</f>
        <v>1732.6890000000001</v>
      </c>
      <c r="Q41" s="324"/>
      <c r="R41" s="324">
        <f>SUM(R9:R39)</f>
        <v>1681.0409999999997</v>
      </c>
      <c r="S41" s="324"/>
      <c r="T41" s="325">
        <f>R41/P41</f>
        <v>0.97019199637095843</v>
      </c>
      <c r="U41" s="326"/>
      <c r="V41" s="327">
        <f>(R41/L41)</f>
        <v>0.88665975535746266</v>
      </c>
      <c r="W41" s="328"/>
      <c r="X41" s="326"/>
      <c r="Y41" s="326">
        <f>Y38+X41</f>
        <v>0</v>
      </c>
      <c r="Z41" s="329">
        <f>IF(AND(R41&gt;0,X41&gt;0),X41/R41*1000,0)</f>
        <v>0</v>
      </c>
      <c r="AA41" s="326">
        <f>IF(AND(S41&gt;0,Y41&gt;0),Y41/S41*1000,0)</f>
        <v>0</v>
      </c>
      <c r="AB41" s="330">
        <f>SUM(AB9:AB39)</f>
        <v>0</v>
      </c>
      <c r="AC41" s="330"/>
      <c r="AD41" s="331">
        <f>AB41/P41</f>
        <v>0</v>
      </c>
      <c r="AE41" s="331"/>
      <c r="AF41" s="332">
        <f>AB41/R41</f>
        <v>0</v>
      </c>
      <c r="AG41" s="331"/>
      <c r="AH41" s="330">
        <f>SUM(AH9:AH40)</f>
        <v>3969.1099999999997</v>
      </c>
      <c r="AI41" s="326"/>
      <c r="AJ41" s="333">
        <f>AH41/P41</f>
        <v>2.2907226859522969</v>
      </c>
      <c r="AK41" s="333"/>
      <c r="AL41" s="334">
        <f>AH41/R41</f>
        <v>2.3611024359310693</v>
      </c>
      <c r="AM41" s="333"/>
      <c r="AN41" s="326">
        <f>SUM(AN9:AN40)</f>
        <v>143.9</v>
      </c>
      <c r="AO41" s="326"/>
      <c r="AP41" s="333">
        <f>AN41/P41</f>
        <v>8.3050103047921472E-2</v>
      </c>
      <c r="AQ41" s="333"/>
      <c r="AR41" s="334">
        <f>AN41/R41</f>
        <v>8.5601719410769897E-2</v>
      </c>
      <c r="AS41" s="333"/>
      <c r="AT41" s="326">
        <f>SUM(AT9:AT39)</f>
        <v>1263171.0300000012</v>
      </c>
      <c r="AU41" s="326"/>
      <c r="AV41" s="333">
        <f>AT41/P41</f>
        <v>729.0235177807449</v>
      </c>
      <c r="AW41" s="333"/>
      <c r="AX41" s="333">
        <f>AT41/R41</f>
        <v>751.42190464123212</v>
      </c>
      <c r="AY41" s="333"/>
      <c r="AZ41" s="326">
        <f>SUM(AZ9:AZ39)</f>
        <v>269635.24</v>
      </c>
      <c r="BA41" s="326"/>
      <c r="BB41" s="333">
        <f>AZ41/V41</f>
        <v>304102.26512569614</v>
      </c>
      <c r="BC41" s="333"/>
      <c r="BD41" s="333">
        <f>AZ41/R41</f>
        <v>160.39777732964279</v>
      </c>
      <c r="BE41" s="333"/>
      <c r="BF41" s="530"/>
      <c r="BG41" s="530"/>
      <c r="BH41" s="560">
        <f>SUM(BH9:BH39)</f>
        <v>1844.6579621349381</v>
      </c>
      <c r="BI41" s="561"/>
      <c r="BJ41" s="556">
        <f t="shared" si="41"/>
        <v>0.91130227636045102</v>
      </c>
      <c r="BK41" s="559"/>
    </row>
    <row r="42" spans="1:63" ht="13.5" thickTop="1">
      <c r="S42" s="285"/>
      <c r="T42" s="285"/>
      <c r="U42" s="285"/>
      <c r="X42" s="285"/>
      <c r="Z42" s="285"/>
      <c r="AA42" s="285"/>
      <c r="AH42" s="285"/>
      <c r="AI42" s="285"/>
      <c r="AL42" s="285"/>
      <c r="AT42" s="285"/>
      <c r="AU42" s="285"/>
    </row>
    <row r="43" spans="1:63">
      <c r="S43" s="285"/>
      <c r="T43" s="285"/>
      <c r="U43" s="285"/>
      <c r="X43" s="285"/>
      <c r="Z43" s="285"/>
      <c r="AA43" s="285"/>
      <c r="AH43" s="285"/>
      <c r="AI43" s="285"/>
      <c r="AL43" s="285"/>
      <c r="AT43" s="285"/>
      <c r="AU43" s="285"/>
    </row>
    <row r="44" spans="1:63">
      <c r="S44" s="285"/>
      <c r="T44" s="285"/>
      <c r="U44" s="285"/>
      <c r="X44" s="285"/>
      <c r="Z44" s="285"/>
      <c r="AA44" s="285"/>
      <c r="AG44" s="335"/>
      <c r="AH44" s="285"/>
      <c r="AI44" s="285"/>
      <c r="AL44" s="285"/>
      <c r="AT44" s="285"/>
      <c r="AU44" s="285"/>
    </row>
    <row r="45" spans="1:63">
      <c r="R45" s="336"/>
      <c r="S45" s="337"/>
      <c r="T45" s="337"/>
      <c r="U45" s="337"/>
      <c r="V45" s="338"/>
      <c r="W45" s="339"/>
      <c r="AG45" s="335"/>
    </row>
    <row r="46" spans="1:63">
      <c r="R46" s="340"/>
      <c r="AG46" s="335"/>
    </row>
    <row r="47" spans="1:63">
      <c r="R47" s="340"/>
      <c r="AG47" s="335"/>
    </row>
    <row r="48" spans="1:63">
      <c r="R48" s="340"/>
      <c r="AG48" s="335"/>
    </row>
    <row r="49" spans="18:63">
      <c r="R49" s="340"/>
      <c r="AG49" s="335"/>
      <c r="BJ49"/>
      <c r="BK49"/>
    </row>
    <row r="50" spans="18:63">
      <c r="R50" s="340"/>
      <c r="AG50" s="335"/>
      <c r="BJ50"/>
      <c r="BK50"/>
    </row>
    <row r="51" spans="18:63">
      <c r="R51" s="340"/>
      <c r="AG51" s="335"/>
      <c r="BJ51"/>
      <c r="BK51"/>
    </row>
    <row r="52" spans="18:63">
      <c r="R52" s="340"/>
      <c r="AG52" s="335"/>
      <c r="BJ52"/>
      <c r="BK52"/>
    </row>
    <row r="53" spans="18:63">
      <c r="R53" s="340"/>
      <c r="AG53" s="335"/>
      <c r="BJ53"/>
      <c r="BK53"/>
    </row>
    <row r="54" spans="18:63">
      <c r="R54" s="340"/>
      <c r="BJ54"/>
      <c r="BK54"/>
    </row>
    <row r="55" spans="18:63">
      <c r="R55" s="340"/>
      <c r="BJ55"/>
      <c r="BK55"/>
    </row>
    <row r="56" spans="18:63">
      <c r="R56" s="340"/>
      <c r="BJ56"/>
      <c r="BK56"/>
    </row>
    <row r="57" spans="18:63">
      <c r="R57" s="340"/>
      <c r="BJ57"/>
      <c r="BK57"/>
    </row>
    <row r="58" spans="18:63">
      <c r="R58" s="340"/>
      <c r="BJ58"/>
      <c r="BK58"/>
    </row>
    <row r="59" spans="18:63">
      <c r="R59" s="340"/>
      <c r="BJ59"/>
      <c r="BK59"/>
    </row>
    <row r="60" spans="18:63">
      <c r="BJ60"/>
      <c r="BK60"/>
    </row>
    <row r="65536" spans="3:61">
      <c r="C65536" s="341"/>
      <c r="BH65536"/>
      <c r="BI65536"/>
    </row>
  </sheetData>
  <mergeCells count="42">
    <mergeCell ref="AV7:AW7"/>
    <mergeCell ref="AN6:AS6"/>
    <mergeCell ref="AP7:AQ7"/>
    <mergeCell ref="P6:Q7"/>
    <mergeCell ref="R6:S7"/>
    <mergeCell ref="X7:Y7"/>
    <mergeCell ref="AB7:AC7"/>
    <mergeCell ref="T6:U7"/>
    <mergeCell ref="V6:W7"/>
    <mergeCell ref="X6:AA6"/>
    <mergeCell ref="Z7:AA7"/>
    <mergeCell ref="AH7:AI7"/>
    <mergeCell ref="AJ7:AK7"/>
    <mergeCell ref="AL7:AM7"/>
    <mergeCell ref="AN7:AO7"/>
    <mergeCell ref="BH6:BI7"/>
    <mergeCell ref="BJ6:BK7"/>
    <mergeCell ref="N6:O7"/>
    <mergeCell ref="BF6:BG6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L6:M7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</mergeCells>
  <phoneticPr fontId="30" type="noConversion"/>
  <pageMargins left="7.3611111111111113E-2" right="7.3611111111111113E-2" top="0.97847222222222219" bottom="0.70972222222222225" header="0" footer="0"/>
  <pageSetup paperSize="9" scale="78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O45"/>
  <sheetViews>
    <sheetView zoomScaleNormal="100" workbookViewId="0">
      <pane xSplit="3" ySplit="6" topLeftCell="Z7" activePane="bottomRight" state="frozen"/>
      <selection pane="topRight" activeCell="D1" sqref="D1"/>
      <selection pane="bottomLeft" activeCell="A7" sqref="A7"/>
      <selection pane="bottomRight" activeCell="AG34" sqref="AG34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5.5703125" customWidth="1"/>
    <col min="9" max="9" width="18.85546875" bestFit="1" customWidth="1"/>
    <col min="10" max="10" width="12.85546875" bestFit="1" customWidth="1"/>
    <col min="11" max="11" width="11.5703125" bestFit="1" customWidth="1"/>
    <col min="12" max="12" width="12" bestFit="1" customWidth="1"/>
    <col min="13" max="13" width="12.28515625" bestFit="1" customWidth="1"/>
    <col min="14" max="14" width="13" bestFit="1" customWidth="1"/>
    <col min="15" max="16" width="11" bestFit="1" customWidth="1"/>
    <col min="17" max="17" width="13.5703125" bestFit="1" customWidth="1"/>
    <col min="18" max="18" width="12.42578125" bestFit="1" customWidth="1"/>
    <col min="19" max="20" width="13.140625" bestFit="1" customWidth="1"/>
    <col min="21" max="21" width="13" bestFit="1" customWidth="1"/>
    <col min="22" max="22" width="13.7109375" bestFit="1" customWidth="1"/>
    <col min="23" max="28" width="13.5703125" customWidth="1"/>
    <col min="29" max="29" width="13.85546875" bestFit="1" customWidth="1"/>
    <col min="30" max="31" width="10.85546875" bestFit="1" customWidth="1"/>
    <col min="32" max="32" width="17.42578125" bestFit="1" customWidth="1"/>
    <col min="33" max="36" width="10.85546875" customWidth="1"/>
    <col min="39" max="39" width="39" bestFit="1" customWidth="1"/>
  </cols>
  <sheetData>
    <row r="2" spans="1:41" ht="24.75" customHeight="1">
      <c r="A2" s="643" t="s">
        <v>22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643"/>
      <c r="AA2" s="643"/>
      <c r="AB2" s="643"/>
      <c r="AC2" s="643"/>
      <c r="AD2" s="342"/>
      <c r="AE2" s="342"/>
      <c r="AF2" s="342"/>
      <c r="AG2" s="342"/>
      <c r="AH2" s="342"/>
      <c r="AI2" s="342"/>
      <c r="AJ2" s="342"/>
      <c r="AK2" s="342"/>
      <c r="AL2" s="342"/>
      <c r="AM2" s="342"/>
    </row>
    <row r="3" spans="1:41" ht="12.75" customHeight="1">
      <c r="A3" s="342"/>
      <c r="B3" s="342"/>
      <c r="C3" s="342"/>
      <c r="D3" s="343"/>
      <c r="E3" s="344"/>
      <c r="F3" s="345"/>
      <c r="G3" s="346"/>
      <c r="H3" s="346"/>
      <c r="I3" s="347"/>
      <c r="J3" s="348"/>
      <c r="K3" s="348"/>
      <c r="L3" s="348"/>
      <c r="M3" s="349"/>
      <c r="N3" s="348"/>
      <c r="O3" s="348"/>
      <c r="P3" s="348"/>
      <c r="Q3" s="350"/>
      <c r="R3" s="348"/>
      <c r="S3" s="348"/>
      <c r="T3" s="348"/>
      <c r="U3" s="351"/>
      <c r="V3" s="348"/>
      <c r="W3" s="348"/>
      <c r="X3" s="348"/>
      <c r="Y3" s="348"/>
      <c r="Z3" s="348"/>
      <c r="AA3" s="348"/>
      <c r="AB3" s="348"/>
      <c r="AC3" s="348"/>
      <c r="AD3" s="5"/>
      <c r="AE3" s="5"/>
      <c r="AK3" s="342"/>
      <c r="AL3" s="342"/>
      <c r="AM3" s="342"/>
    </row>
    <row r="4" spans="1:41" ht="13.5" thickBot="1">
      <c r="A4" s="644" t="s">
        <v>9</v>
      </c>
      <c r="B4" s="647" t="s">
        <v>23</v>
      </c>
      <c r="C4" s="647" t="s">
        <v>24</v>
      </c>
      <c r="D4" s="641"/>
      <c r="E4" s="642"/>
      <c r="F4" s="642"/>
      <c r="G4" s="642"/>
      <c r="H4" s="642"/>
      <c r="I4" s="642"/>
      <c r="J4" s="642"/>
      <c r="K4" s="642"/>
      <c r="L4" s="642"/>
      <c r="M4" s="642"/>
      <c r="N4" s="642"/>
      <c r="O4" s="642"/>
      <c r="P4" s="642"/>
      <c r="Q4" s="642"/>
      <c r="R4" s="642"/>
      <c r="S4" s="642"/>
      <c r="T4" s="642"/>
      <c r="U4" s="642"/>
      <c r="V4" s="642"/>
      <c r="W4" s="642"/>
      <c r="X4" s="642"/>
      <c r="Y4" s="642"/>
      <c r="Z4" s="642"/>
      <c r="AA4" s="642"/>
      <c r="AB4" s="642"/>
      <c r="AC4" s="625" t="s">
        <v>183</v>
      </c>
      <c r="AD4" s="626"/>
      <c r="AE4" s="627"/>
      <c r="AF4" s="625" t="s">
        <v>184</v>
      </c>
      <c r="AG4" s="626"/>
      <c r="AH4" s="626"/>
      <c r="AI4" s="626"/>
      <c r="AJ4" s="627"/>
    </row>
    <row r="5" spans="1:41" ht="14.25" customHeight="1" thickBot="1">
      <c r="A5" s="645"/>
      <c r="B5" s="648"/>
      <c r="C5" s="648"/>
      <c r="D5" s="650" t="s">
        <v>299</v>
      </c>
      <c r="E5" s="651"/>
      <c r="F5" s="651"/>
      <c r="G5" s="652"/>
      <c r="H5" s="476" t="s">
        <v>228</v>
      </c>
      <c r="I5" s="653" t="s">
        <v>178</v>
      </c>
      <c r="J5" s="654"/>
      <c r="K5" s="654"/>
      <c r="L5" s="655"/>
      <c r="M5" s="631" t="s">
        <v>179</v>
      </c>
      <c r="N5" s="632"/>
      <c r="O5" s="632"/>
      <c r="P5" s="633"/>
      <c r="Q5" s="634" t="s">
        <v>180</v>
      </c>
      <c r="R5" s="635"/>
      <c r="S5" s="635"/>
      <c r="T5" s="636"/>
      <c r="U5" s="637" t="s">
        <v>181</v>
      </c>
      <c r="V5" s="637"/>
      <c r="W5" s="637"/>
      <c r="X5" s="637"/>
      <c r="Y5" s="638" t="s">
        <v>182</v>
      </c>
      <c r="Z5" s="639"/>
      <c r="AA5" s="639"/>
      <c r="AB5" s="640"/>
      <c r="AC5" s="628"/>
      <c r="AD5" s="629"/>
      <c r="AE5" s="630"/>
      <c r="AF5" s="628"/>
      <c r="AG5" s="629"/>
      <c r="AH5" s="629"/>
      <c r="AI5" s="629"/>
      <c r="AJ5" s="630"/>
    </row>
    <row r="6" spans="1:41" ht="14.25" customHeight="1">
      <c r="A6" s="646"/>
      <c r="B6" s="649"/>
      <c r="C6" s="649"/>
      <c r="D6" s="523" t="s">
        <v>25</v>
      </c>
      <c r="E6" s="421" t="s">
        <v>26</v>
      </c>
      <c r="F6" s="422" t="s">
        <v>27</v>
      </c>
      <c r="G6" s="422" t="s">
        <v>28</v>
      </c>
      <c r="H6" s="476"/>
      <c r="I6" s="524" t="s">
        <v>25</v>
      </c>
      <c r="J6" s="423" t="s">
        <v>26</v>
      </c>
      <c r="K6" s="424" t="s">
        <v>27</v>
      </c>
      <c r="L6" s="424" t="s">
        <v>28</v>
      </c>
      <c r="M6" s="525" t="s">
        <v>25</v>
      </c>
      <c r="N6" s="427" t="s">
        <v>26</v>
      </c>
      <c r="O6" s="428" t="s">
        <v>27</v>
      </c>
      <c r="P6" s="428" t="s">
        <v>28</v>
      </c>
      <c r="Q6" s="526" t="s">
        <v>25</v>
      </c>
      <c r="R6" s="429" t="s">
        <v>26</v>
      </c>
      <c r="S6" s="430" t="s">
        <v>27</v>
      </c>
      <c r="T6" s="430" t="s">
        <v>28</v>
      </c>
      <c r="U6" s="425" t="s">
        <v>25</v>
      </c>
      <c r="V6" s="527" t="s">
        <v>26</v>
      </c>
      <c r="W6" s="426" t="s">
        <v>27</v>
      </c>
      <c r="X6" s="426" t="s">
        <v>28</v>
      </c>
      <c r="Y6" s="431" t="s">
        <v>25</v>
      </c>
      <c r="Z6" s="431" t="s">
        <v>26</v>
      </c>
      <c r="AA6" s="431" t="s">
        <v>27</v>
      </c>
      <c r="AB6" s="431" t="s">
        <v>28</v>
      </c>
      <c r="AC6" s="432" t="s">
        <v>26</v>
      </c>
      <c r="AD6" s="433" t="s">
        <v>27</v>
      </c>
      <c r="AE6" s="433" t="s">
        <v>28</v>
      </c>
      <c r="AF6" s="432" t="s">
        <v>229</v>
      </c>
      <c r="AG6" s="432" t="s">
        <v>230</v>
      </c>
      <c r="AH6" s="432" t="s">
        <v>231</v>
      </c>
      <c r="AI6" s="433" t="s">
        <v>27</v>
      </c>
      <c r="AJ6" s="433" t="s">
        <v>28</v>
      </c>
      <c r="AL6" s="413"/>
    </row>
    <row r="7" spans="1:41">
      <c r="A7" s="352">
        <f>A8-1</f>
        <v>45716</v>
      </c>
      <c r="B7" s="353">
        <v>0</v>
      </c>
      <c r="C7" s="353">
        <v>0</v>
      </c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356"/>
      <c r="AD7" s="101"/>
      <c r="AE7" s="101"/>
      <c r="AF7" s="356"/>
      <c r="AG7" s="356"/>
      <c r="AH7" s="356"/>
      <c r="AI7" s="101"/>
      <c r="AJ7" s="101"/>
    </row>
    <row r="8" spans="1:41" ht="15">
      <c r="A8" s="352">
        <v>45717</v>
      </c>
      <c r="B8" s="359">
        <f>Report1!P9</f>
        <v>81.467000000000013</v>
      </c>
      <c r="C8" s="359">
        <f>Report1!R9</f>
        <v>80.168999999999997</v>
      </c>
      <c r="D8" s="360">
        <f>+D7+E8</f>
        <v>725.30000000000427</v>
      </c>
      <c r="E8" s="360">
        <f>+[1]DailyAug!O7</f>
        <v>725.30000000000427</v>
      </c>
      <c r="F8" s="360">
        <f t="shared" ref="F8:F38" si="0">E8/B8</f>
        <v>8.9029913952889412</v>
      </c>
      <c r="G8" s="360">
        <f t="shared" ref="G8:G38" si="1">E8/C8</f>
        <v>9.0471379211416423</v>
      </c>
      <c r="H8" s="360">
        <f>+[1]DailyAug!P7</f>
        <v>864.90000000002328</v>
      </c>
      <c r="I8" s="360">
        <f>+I7+J8</f>
        <v>7729</v>
      </c>
      <c r="J8" s="360">
        <f>+[1]DailyAug!Q7</f>
        <v>7729</v>
      </c>
      <c r="K8" s="360">
        <f t="shared" ref="K8:K38" si="2">J8/B8</f>
        <v>94.872770569678508</v>
      </c>
      <c r="L8" s="360">
        <f t="shared" ref="L8:L38" si="3">J8/C8</f>
        <v>96.408836333246015</v>
      </c>
      <c r="M8" s="360">
        <f>+M7+N8</f>
        <v>0</v>
      </c>
      <c r="N8" s="360">
        <f>+[1]DailyAug!R7</f>
        <v>0</v>
      </c>
      <c r="O8" s="360">
        <f t="shared" ref="O8:O38" si="4">N8/B8</f>
        <v>0</v>
      </c>
      <c r="P8" s="360">
        <f t="shared" ref="P8:P38" si="5">N8/C8</f>
        <v>0</v>
      </c>
      <c r="Q8" s="360">
        <f>+Q7+R8</f>
        <v>14597.709999999341</v>
      </c>
      <c r="R8" s="360">
        <f>+[1]DailyAug!S7</f>
        <v>14597.709999999341</v>
      </c>
      <c r="S8" s="360">
        <f t="shared" ref="S8:S38" si="6">R8/B8</f>
        <v>179.18555979721037</v>
      </c>
      <c r="T8" s="360">
        <f t="shared" ref="T8:T38" si="7">R8/C8</f>
        <v>182.08671681072909</v>
      </c>
      <c r="U8" s="360">
        <f>+U7+V8</f>
        <v>5281.0099999998838</v>
      </c>
      <c r="V8" s="360">
        <f>+[1]DailyAug!T7</f>
        <v>5281.0099999998838</v>
      </c>
      <c r="W8" s="360">
        <f t="shared" ref="W8:W38" si="8">V8/B8</f>
        <v>64.823916432419054</v>
      </c>
      <c r="X8" s="360">
        <f t="shared" ref="X8:X38" si="9">V8/C8</f>
        <v>65.87346730032661</v>
      </c>
      <c r="Y8" s="360">
        <f>+Y7+Z8</f>
        <v>5194.01</v>
      </c>
      <c r="Z8" s="360">
        <f>+[1]DailyAug!U7</f>
        <v>5194.01</v>
      </c>
      <c r="AA8" s="360">
        <f>Z8/B8</f>
        <v>63.755999361704731</v>
      </c>
      <c r="AB8" s="360">
        <f>Z8/C8</f>
        <v>64.788259801170028</v>
      </c>
      <c r="AC8" s="360">
        <f>+E8+J8+N8+R8+V8+Z8+H8</f>
        <v>34391.929999999258</v>
      </c>
      <c r="AD8" s="6">
        <f t="shared" ref="AD8:AD38" si="10">AC8/B8</f>
        <v>422.15780622827958</v>
      </c>
      <c r="AE8" s="358">
        <f t="shared" ref="AE8:AE38" si="11">AC8/C8</f>
        <v>428.99287754617444</v>
      </c>
      <c r="AF8" s="360">
        <f>+[1]DailyAug!BH7</f>
        <v>31567</v>
      </c>
      <c r="AG8" s="360">
        <f>+[1]DailyAug!BL7</f>
        <v>0</v>
      </c>
      <c r="AH8" s="360">
        <f>+AG8+AF8</f>
        <v>31567</v>
      </c>
      <c r="AI8" s="6">
        <f>AH8/B8</f>
        <v>387.48204794579397</v>
      </c>
      <c r="AJ8" s="6">
        <f>AH8/C8</f>
        <v>393.75569110254588</v>
      </c>
      <c r="AN8" s="435" t="s">
        <v>171</v>
      </c>
      <c r="AO8" s="435" t="s">
        <v>172</v>
      </c>
    </row>
    <row r="9" spans="1:41" ht="15">
      <c r="A9" s="352">
        <f t="shared" ref="A9:A38" si="12">A8+1</f>
        <v>45718</v>
      </c>
      <c r="B9" s="359">
        <f>Report1!P10</f>
        <v>70.802999999999997</v>
      </c>
      <c r="C9" s="359">
        <f>Report1!R10</f>
        <v>68.052000000000007</v>
      </c>
      <c r="D9" s="360">
        <f t="shared" ref="D9:D38" si="13">+D8+E9</f>
        <v>1492.7000000000135</v>
      </c>
      <c r="E9" s="360">
        <f>+[1]DailyAug!O8</f>
        <v>767.40000000000919</v>
      </c>
      <c r="F9" s="360">
        <f t="shared" si="0"/>
        <v>10.838523791364903</v>
      </c>
      <c r="G9" s="360">
        <f t="shared" si="1"/>
        <v>11.276670781167477</v>
      </c>
      <c r="H9" s="360">
        <f>+[1]DailyAug!P8</f>
        <v>238.09999999997672</v>
      </c>
      <c r="I9" s="360">
        <f t="shared" ref="I9:I38" si="14">+I8+J9</f>
        <v>13770</v>
      </c>
      <c r="J9" s="360">
        <f>+[1]DailyAug!Q8</f>
        <v>6041</v>
      </c>
      <c r="K9" s="360">
        <f t="shared" si="2"/>
        <v>85.321243450136294</v>
      </c>
      <c r="L9" s="360">
        <f t="shared" si="3"/>
        <v>88.770352083700686</v>
      </c>
      <c r="M9" s="360">
        <f t="shared" ref="M9:M38" si="15">+M8+N9</f>
        <v>0</v>
      </c>
      <c r="N9" s="360">
        <f>+[1]DailyAug!R8</f>
        <v>0</v>
      </c>
      <c r="O9" s="360">
        <f t="shared" si="4"/>
        <v>0</v>
      </c>
      <c r="P9" s="360">
        <f t="shared" si="5"/>
        <v>0</v>
      </c>
      <c r="Q9" s="360">
        <f t="shared" ref="Q9:Q38" si="16">+Q8+R9</f>
        <v>29901.04000000035</v>
      </c>
      <c r="R9" s="360">
        <f>+[1]DailyAug!S8</f>
        <v>15303.330000001009</v>
      </c>
      <c r="S9" s="360">
        <f t="shared" si="6"/>
        <v>216.13957035720253</v>
      </c>
      <c r="T9" s="360">
        <f t="shared" si="7"/>
        <v>224.87700581909434</v>
      </c>
      <c r="U9" s="360">
        <f t="shared" ref="U9:U38" si="17">+U8+V9</f>
        <v>12669.740000000204</v>
      </c>
      <c r="V9" s="360">
        <f>+[1]DailyAug!T8</f>
        <v>7388.7300000003197</v>
      </c>
      <c r="W9" s="360">
        <f t="shared" si="8"/>
        <v>104.35617134867618</v>
      </c>
      <c r="X9" s="360">
        <f t="shared" si="9"/>
        <v>108.57476635514487</v>
      </c>
      <c r="Y9" s="360">
        <f t="shared" ref="Y9:Y38" si="18">+Y8+Z9</f>
        <v>11592.94000000007</v>
      </c>
      <c r="Z9" s="360">
        <f>+[1]DailyAug!U8</f>
        <v>6398.9300000000694</v>
      </c>
      <c r="AA9" s="360">
        <f t="shared" ref="AA9:AA38" si="19">Z9/B9</f>
        <v>90.376537717329342</v>
      </c>
      <c r="AB9" s="360">
        <f t="shared" ref="AB9:AB38" si="20">Z9/C9</f>
        <v>94.030006465644931</v>
      </c>
      <c r="AC9" s="360">
        <f t="shared" ref="AC9:AC38" si="21">+E9+J9+N9+R9+V9+Z9+H9</f>
        <v>36137.490000001388</v>
      </c>
      <c r="AD9" s="357">
        <f t="shared" si="10"/>
        <v>510.39489852126871</v>
      </c>
      <c r="AE9" s="358">
        <f t="shared" si="11"/>
        <v>531.02759654383976</v>
      </c>
      <c r="AF9" s="360">
        <f>+[1]DailyAug!BH8</f>
        <v>31411</v>
      </c>
      <c r="AG9" s="360">
        <f>+[1]DailyAug!BL8</f>
        <v>0</v>
      </c>
      <c r="AH9" s="360">
        <f t="shared" ref="AH9:AH38" si="22">+AG9+AF9</f>
        <v>31411</v>
      </c>
      <c r="AI9" s="6">
        <f t="shared" ref="AI9:AI38" si="23">AH9/B9</f>
        <v>443.63939381099675</v>
      </c>
      <c r="AJ9" s="6">
        <f t="shared" ref="AJ9:AJ38" si="24">AH9/C9</f>
        <v>461.57350261564682</v>
      </c>
      <c r="AN9" s="435" t="s">
        <v>173</v>
      </c>
      <c r="AO9" s="435" t="s">
        <v>173</v>
      </c>
    </row>
    <row r="10" spans="1:41">
      <c r="A10" s="352">
        <f t="shared" si="12"/>
        <v>45719</v>
      </c>
      <c r="B10" s="359">
        <f>Report1!P11</f>
        <v>54.210999999999999</v>
      </c>
      <c r="C10" s="359">
        <f>Report1!R11</f>
        <v>53.136000000000003</v>
      </c>
      <c r="D10" s="360">
        <f t="shared" si="13"/>
        <v>2342.1999999999912</v>
      </c>
      <c r="E10" s="360">
        <f>+[1]DailyAug!O9</f>
        <v>849.49999999997772</v>
      </c>
      <c r="F10" s="360">
        <f t="shared" si="0"/>
        <v>15.670251424987137</v>
      </c>
      <c r="G10" s="360">
        <f t="shared" si="1"/>
        <v>15.987277928334418</v>
      </c>
      <c r="H10" s="360">
        <f>+[1]DailyAug!P9</f>
        <v>0</v>
      </c>
      <c r="I10" s="360">
        <f t="shared" si="14"/>
        <v>20013</v>
      </c>
      <c r="J10" s="360">
        <f>+[1]DailyAug!Q9</f>
        <v>6243</v>
      </c>
      <c r="K10" s="360">
        <f t="shared" si="2"/>
        <v>115.1611296600321</v>
      </c>
      <c r="L10" s="360">
        <f t="shared" si="3"/>
        <v>117.49096657633243</v>
      </c>
      <c r="M10" s="360">
        <f t="shared" si="15"/>
        <v>0</v>
      </c>
      <c r="N10" s="360">
        <f>+[1]DailyAug!R9</f>
        <v>0</v>
      </c>
      <c r="O10" s="360">
        <f t="shared" si="4"/>
        <v>0</v>
      </c>
      <c r="P10" s="360">
        <f t="shared" si="5"/>
        <v>0</v>
      </c>
      <c r="Q10" s="360">
        <f t="shared" si="16"/>
        <v>45058.290000000372</v>
      </c>
      <c r="R10" s="360">
        <f>+[1]DailyAug!S9</f>
        <v>15157.250000000022</v>
      </c>
      <c r="S10" s="360">
        <f t="shared" si="6"/>
        <v>279.59731419822589</v>
      </c>
      <c r="T10" s="360">
        <f t="shared" si="7"/>
        <v>285.2538768443244</v>
      </c>
      <c r="U10" s="360">
        <f t="shared" si="17"/>
        <v>20474.489999999976</v>
      </c>
      <c r="V10" s="360">
        <f>+[1]DailyAug!T9</f>
        <v>7804.7499999997744</v>
      </c>
      <c r="W10" s="360">
        <f t="shared" si="8"/>
        <v>143.96985851579521</v>
      </c>
      <c r="X10" s="360">
        <f t="shared" si="9"/>
        <v>146.88252785305207</v>
      </c>
      <c r="Y10" s="360">
        <f t="shared" si="18"/>
        <v>17544.390000000021</v>
      </c>
      <c r="Z10" s="360">
        <f>+[1]DailyAug!U9</f>
        <v>5951.4499999999534</v>
      </c>
      <c r="AA10" s="360">
        <f t="shared" si="19"/>
        <v>109.78306985667029</v>
      </c>
      <c r="AB10" s="360">
        <f t="shared" si="20"/>
        <v>112.00410267991481</v>
      </c>
      <c r="AC10" s="360">
        <f t="shared" si="21"/>
        <v>36005.949999999728</v>
      </c>
      <c r="AD10" s="357">
        <f t="shared" si="10"/>
        <v>664.18162365571061</v>
      </c>
      <c r="AE10" s="358">
        <f t="shared" si="11"/>
        <v>677.61875188195813</v>
      </c>
      <c r="AF10" s="360">
        <f>+[1]DailyAug!BH9</f>
        <v>25392</v>
      </c>
      <c r="AG10" s="360">
        <f>+[1]DailyAug!BL9</f>
        <v>0</v>
      </c>
      <c r="AH10" s="360">
        <f t="shared" si="22"/>
        <v>25392</v>
      </c>
      <c r="AI10" s="6">
        <f t="shared" si="23"/>
        <v>468.39202375901573</v>
      </c>
      <c r="AJ10" s="6">
        <f t="shared" si="24"/>
        <v>477.86811201445346</v>
      </c>
      <c r="AL10" s="22" t="s">
        <v>30</v>
      </c>
      <c r="AM10" s="413" t="s">
        <v>177</v>
      </c>
      <c r="AN10" s="14">
        <f>+F40</f>
        <v>12.983056970985574</v>
      </c>
      <c r="AO10" s="14">
        <f>+G40</f>
        <v>13.38194606794244</v>
      </c>
    </row>
    <row r="11" spans="1:41">
      <c r="A11" s="352">
        <f t="shared" si="12"/>
        <v>45720</v>
      </c>
      <c r="B11" s="359">
        <f>Report1!P12</f>
        <v>48.460999999999999</v>
      </c>
      <c r="C11" s="359">
        <f>Report1!R12</f>
        <v>42.997999999999998</v>
      </c>
      <c r="D11" s="360">
        <f t="shared" si="13"/>
        <v>3100.5000000000109</v>
      </c>
      <c r="E11" s="360">
        <f>+[1]DailyAug!O10</f>
        <v>758.30000000001974</v>
      </c>
      <c r="F11" s="360">
        <f t="shared" si="0"/>
        <v>15.647634180062726</v>
      </c>
      <c r="G11" s="360">
        <f t="shared" si="1"/>
        <v>17.635703986232379</v>
      </c>
      <c r="H11" s="360">
        <f>+[1]DailyAug!P10</f>
        <v>1522.3000000000466</v>
      </c>
      <c r="I11" s="360">
        <f t="shared" si="14"/>
        <v>26193</v>
      </c>
      <c r="J11" s="360">
        <f>+[1]DailyAug!Q10</f>
        <v>6180</v>
      </c>
      <c r="K11" s="360">
        <f t="shared" si="2"/>
        <v>127.52522647077032</v>
      </c>
      <c r="L11" s="360">
        <f t="shared" si="3"/>
        <v>143.72761523791806</v>
      </c>
      <c r="M11" s="360">
        <f t="shared" si="15"/>
        <v>0</v>
      </c>
      <c r="N11" s="360">
        <f>+[1]DailyAug!R10</f>
        <v>0</v>
      </c>
      <c r="O11" s="360">
        <f t="shared" si="4"/>
        <v>0</v>
      </c>
      <c r="P11" s="360">
        <f t="shared" si="5"/>
        <v>0</v>
      </c>
      <c r="Q11" s="360">
        <f t="shared" si="16"/>
        <v>60902.220000000059</v>
      </c>
      <c r="R11" s="360">
        <f>+[1]DailyAug!S10</f>
        <v>15843.929999999689</v>
      </c>
      <c r="S11" s="360">
        <f t="shared" si="6"/>
        <v>326.94187078268482</v>
      </c>
      <c r="T11" s="360">
        <f t="shared" si="7"/>
        <v>368.48062700590003</v>
      </c>
      <c r="U11" s="360">
        <f t="shared" si="17"/>
        <v>28168.720000000238</v>
      </c>
      <c r="V11" s="360">
        <f>+[1]DailyAug!T10</f>
        <v>7694.2300000002615</v>
      </c>
      <c r="W11" s="360">
        <f t="shared" si="8"/>
        <v>158.7715895256033</v>
      </c>
      <c r="X11" s="360">
        <f t="shared" si="9"/>
        <v>178.9439043676511</v>
      </c>
      <c r="Y11" s="360">
        <f t="shared" si="18"/>
        <v>23356.920000000067</v>
      </c>
      <c r="Z11" s="360">
        <f>+[1]DailyAug!U10</f>
        <v>5812.5300000000461</v>
      </c>
      <c r="AA11" s="360">
        <f t="shared" si="19"/>
        <v>119.94242793173989</v>
      </c>
      <c r="AB11" s="360">
        <f t="shared" si="20"/>
        <v>135.18140378622368</v>
      </c>
      <c r="AC11" s="360">
        <f t="shared" si="21"/>
        <v>37811.290000000066</v>
      </c>
      <c r="AD11" s="357">
        <f t="shared" si="10"/>
        <v>780.24163760549857</v>
      </c>
      <c r="AE11" s="358">
        <f t="shared" si="11"/>
        <v>879.37322666170678</v>
      </c>
      <c r="AF11" s="360">
        <f>+[1]DailyAug!BH10</f>
        <v>16754</v>
      </c>
      <c r="AG11" s="360">
        <f>+[1]DailyAug!BL10</f>
        <v>0</v>
      </c>
      <c r="AH11" s="360">
        <f t="shared" si="22"/>
        <v>16754</v>
      </c>
      <c r="AI11" s="6">
        <f t="shared" si="23"/>
        <v>345.72130166525659</v>
      </c>
      <c r="AJ11" s="6">
        <f t="shared" si="24"/>
        <v>389.64603004790922</v>
      </c>
      <c r="AL11" s="22"/>
      <c r="AM11" s="413" t="s">
        <v>178</v>
      </c>
      <c r="AN11" s="14">
        <f>+K40</f>
        <v>95.456253257220425</v>
      </c>
      <c r="AO11" s="14">
        <f>+L40</f>
        <v>98.389033937899214</v>
      </c>
    </row>
    <row r="12" spans="1:41">
      <c r="A12" s="352">
        <f t="shared" si="12"/>
        <v>45721</v>
      </c>
      <c r="B12" s="359">
        <f>Report1!P13</f>
        <v>1.7759999999999998</v>
      </c>
      <c r="C12" s="359">
        <f>Report1!R13</f>
        <v>2.3740000000000001</v>
      </c>
      <c r="D12" s="360">
        <f t="shared" si="13"/>
        <v>3304.1000000000054</v>
      </c>
      <c r="E12" s="360">
        <f>+[1]DailyAug!O11</f>
        <v>203.59999999999445</v>
      </c>
      <c r="F12" s="360">
        <f t="shared" si="0"/>
        <v>114.63963963963653</v>
      </c>
      <c r="G12" s="360">
        <f t="shared" si="1"/>
        <v>85.762426284749139</v>
      </c>
      <c r="H12" s="360">
        <f>+[1]DailyAug!P11</f>
        <v>277</v>
      </c>
      <c r="I12" s="360">
        <f t="shared" si="14"/>
        <v>27012</v>
      </c>
      <c r="J12" s="360">
        <f>+[1]DailyAug!Q11</f>
        <v>819</v>
      </c>
      <c r="K12" s="360">
        <f t="shared" si="2"/>
        <v>461.1486486486487</v>
      </c>
      <c r="L12" s="360">
        <f t="shared" si="3"/>
        <v>344.98736310025271</v>
      </c>
      <c r="M12" s="360">
        <f t="shared" si="15"/>
        <v>286.79999999998836</v>
      </c>
      <c r="N12" s="360">
        <f>+[1]DailyAug!R11</f>
        <v>286.79999999998836</v>
      </c>
      <c r="O12" s="360">
        <f t="shared" si="4"/>
        <v>161.48648648647995</v>
      </c>
      <c r="P12" s="360">
        <f t="shared" si="5"/>
        <v>120.80876158381986</v>
      </c>
      <c r="Q12" s="360">
        <f t="shared" si="16"/>
        <v>66407.570000000211</v>
      </c>
      <c r="R12" s="360">
        <f>+[1]DailyAug!S11</f>
        <v>5505.3500000001513</v>
      </c>
      <c r="S12" s="360">
        <f t="shared" si="6"/>
        <v>3099.85923423432</v>
      </c>
      <c r="T12" s="360">
        <f t="shared" si="7"/>
        <v>2319.018534119693</v>
      </c>
      <c r="U12" s="360">
        <f t="shared" si="17"/>
        <v>29709.670000000264</v>
      </c>
      <c r="V12" s="360">
        <f>+[1]DailyAug!T11</f>
        <v>1540.9500000000255</v>
      </c>
      <c r="W12" s="360">
        <f t="shared" si="8"/>
        <v>867.65202702704153</v>
      </c>
      <c r="X12" s="360">
        <f>V12/C12</f>
        <v>649.09435551812362</v>
      </c>
      <c r="Y12" s="360">
        <f t="shared" si="18"/>
        <v>24781.370000000068</v>
      </c>
      <c r="Z12" s="360">
        <f>+[1]DailyAug!U11</f>
        <v>1424.45</v>
      </c>
      <c r="AA12" s="360">
        <f t="shared" si="19"/>
        <v>802.05518018018029</v>
      </c>
      <c r="AB12" s="360">
        <f t="shared" si="20"/>
        <v>600.02106149957876</v>
      </c>
      <c r="AC12" s="360">
        <f t="shared" si="21"/>
        <v>10057.150000000162</v>
      </c>
      <c r="AD12" s="357">
        <f t="shared" si="10"/>
        <v>5662.8096846847766</v>
      </c>
      <c r="AE12" s="358">
        <f t="shared" si="11"/>
        <v>4236.3732097726033</v>
      </c>
      <c r="AF12" s="360">
        <f>+[1]DailyAug!BH11</f>
        <v>627</v>
      </c>
      <c r="AG12" s="360">
        <f>+[1]DailyAug!BL11</f>
        <v>0</v>
      </c>
      <c r="AH12" s="360">
        <f t="shared" si="22"/>
        <v>627</v>
      </c>
      <c r="AI12" s="6">
        <f t="shared" si="23"/>
        <v>353.04054054054058</v>
      </c>
      <c r="AJ12" s="6">
        <f t="shared" si="24"/>
        <v>264.11120471777588</v>
      </c>
      <c r="AL12" s="22"/>
      <c r="AM12" s="413" t="s">
        <v>179</v>
      </c>
      <c r="AN12" s="14">
        <f>+O40</f>
        <v>28.754381195933021</v>
      </c>
      <c r="AO12" s="14">
        <f>+P40</f>
        <v>29.637825609250459</v>
      </c>
    </row>
    <row r="13" spans="1:41">
      <c r="A13" s="352">
        <f t="shared" si="12"/>
        <v>45722</v>
      </c>
      <c r="B13" s="359">
        <f>Report1!P14</f>
        <v>43.224000000000004</v>
      </c>
      <c r="C13" s="359">
        <f>Report1!R14</f>
        <v>33.033000000000001</v>
      </c>
      <c r="D13" s="360">
        <f t="shared" si="13"/>
        <v>3991.3000000000238</v>
      </c>
      <c r="E13" s="360">
        <f>+[1]DailyAug!O12</f>
        <v>687.20000000001846</v>
      </c>
      <c r="F13" s="360">
        <f t="shared" si="0"/>
        <v>15.898574865815714</v>
      </c>
      <c r="G13" s="360">
        <f t="shared" si="1"/>
        <v>20.803438985257724</v>
      </c>
      <c r="H13" s="360">
        <f>+[1]DailyAug!P12</f>
        <v>2712.6999999999534</v>
      </c>
      <c r="I13" s="360">
        <f t="shared" si="14"/>
        <v>32735</v>
      </c>
      <c r="J13" s="360">
        <f>+[1]DailyAug!Q12</f>
        <v>5723</v>
      </c>
      <c r="K13" s="360">
        <f t="shared" si="2"/>
        <v>132.40329446603738</v>
      </c>
      <c r="L13" s="360">
        <f t="shared" si="3"/>
        <v>173.2509914328096</v>
      </c>
      <c r="M13" s="360">
        <f t="shared" si="15"/>
        <v>2672.3999999999942</v>
      </c>
      <c r="N13" s="360">
        <f>+[1]DailyAug!R12</f>
        <v>2385.6000000000058</v>
      </c>
      <c r="O13" s="360">
        <f t="shared" si="4"/>
        <v>55.191560244308846</v>
      </c>
      <c r="P13" s="360">
        <f t="shared" si="5"/>
        <v>72.218690400508763</v>
      </c>
      <c r="Q13" s="360">
        <f t="shared" si="16"/>
        <v>83849.860000000408</v>
      </c>
      <c r="R13" s="360">
        <f>+[1]DailyAug!S12</f>
        <v>17442.290000000201</v>
      </c>
      <c r="S13" s="360">
        <f t="shared" si="6"/>
        <v>403.53252822506477</v>
      </c>
      <c r="T13" s="360">
        <f t="shared" si="7"/>
        <v>528.02621620804041</v>
      </c>
      <c r="U13" s="360">
        <f t="shared" si="17"/>
        <v>37848.16000000004</v>
      </c>
      <c r="V13" s="360">
        <f>+[1]DailyAug!T12</f>
        <v>8138.4899999997779</v>
      </c>
      <c r="W13" s="360">
        <f t="shared" si="8"/>
        <v>188.28636868405925</v>
      </c>
      <c r="X13" s="360">
        <f t="shared" si="9"/>
        <v>246.37453455634599</v>
      </c>
      <c r="Y13" s="360">
        <f t="shared" si="18"/>
        <v>32971.159999999996</v>
      </c>
      <c r="Z13" s="360">
        <f>+[1]DailyAug!U12</f>
        <v>8189.7899999999299</v>
      </c>
      <c r="AA13" s="360">
        <f t="shared" si="19"/>
        <v>189.47320932814938</v>
      </c>
      <c r="AB13" s="360">
        <f t="shared" si="20"/>
        <v>247.92752701843398</v>
      </c>
      <c r="AC13" s="360">
        <f t="shared" si="21"/>
        <v>45279.069999999883</v>
      </c>
      <c r="AD13" s="357">
        <f t="shared" si="10"/>
        <v>1047.5446511197456</v>
      </c>
      <c r="AE13" s="358">
        <f t="shared" si="11"/>
        <v>1370.7223079950318</v>
      </c>
      <c r="AF13" s="360">
        <f>+[1]DailyAug!BH12</f>
        <v>613</v>
      </c>
      <c r="AG13" s="360">
        <f>+[1]DailyAug!BL12</f>
        <v>0</v>
      </c>
      <c r="AH13" s="360">
        <f t="shared" si="22"/>
        <v>613</v>
      </c>
      <c r="AI13" s="6">
        <f t="shared" si="23"/>
        <v>14.181935961502868</v>
      </c>
      <c r="AJ13" s="6">
        <f t="shared" si="24"/>
        <v>18.557200375382195</v>
      </c>
      <c r="AL13" s="22"/>
      <c r="AM13" s="413" t="s">
        <v>180</v>
      </c>
      <c r="AN13" s="14">
        <f>+S40</f>
        <v>290.46390321633072</v>
      </c>
      <c r="AO13" s="14">
        <f>+T40</f>
        <v>299.3880637057639</v>
      </c>
    </row>
    <row r="14" spans="1:41">
      <c r="A14" s="352">
        <f t="shared" si="12"/>
        <v>45723</v>
      </c>
      <c r="B14" s="359">
        <f>Report1!P15</f>
        <v>34.624000000000002</v>
      </c>
      <c r="C14" s="359">
        <f>Report1!R15</f>
        <v>31.478000000000002</v>
      </c>
      <c r="D14" s="360">
        <f t="shared" si="13"/>
        <v>4600.0999999999976</v>
      </c>
      <c r="E14" s="360">
        <f>+[1]DailyAug!O13</f>
        <v>608.79999999997381</v>
      </c>
      <c r="F14" s="360">
        <f t="shared" si="0"/>
        <v>17.583179297596285</v>
      </c>
      <c r="G14" s="360">
        <f t="shared" si="1"/>
        <v>19.340491772030425</v>
      </c>
      <c r="H14" s="360">
        <f>+[1]DailyAug!P13</f>
        <v>2052</v>
      </c>
      <c r="I14" s="360">
        <f t="shared" si="14"/>
        <v>37139</v>
      </c>
      <c r="J14" s="360">
        <f>+[1]DailyAug!Q13</f>
        <v>4404</v>
      </c>
      <c r="K14" s="360">
        <f t="shared" si="2"/>
        <v>127.19500924214417</v>
      </c>
      <c r="L14" s="360">
        <f t="shared" si="3"/>
        <v>139.90723680030496</v>
      </c>
      <c r="M14" s="360">
        <f t="shared" si="15"/>
        <v>4416.3999999999942</v>
      </c>
      <c r="N14" s="360">
        <f>+[1]DailyAug!R13</f>
        <v>1744</v>
      </c>
      <c r="O14" s="360">
        <f t="shared" si="4"/>
        <v>50.369685767097963</v>
      </c>
      <c r="P14" s="360">
        <f t="shared" si="5"/>
        <v>55.403774064425946</v>
      </c>
      <c r="Q14" s="360">
        <f t="shared" si="16"/>
        <v>97680.730000000578</v>
      </c>
      <c r="R14" s="360">
        <f>+[1]DailyAug!S13</f>
        <v>13830.870000000172</v>
      </c>
      <c r="S14" s="360">
        <f t="shared" si="6"/>
        <v>399.45904574861862</v>
      </c>
      <c r="T14" s="360">
        <f t="shared" si="7"/>
        <v>439.38210813902316</v>
      </c>
      <c r="U14" s="360">
        <f t="shared" si="17"/>
        <v>44415.829999999885</v>
      </c>
      <c r="V14" s="360">
        <f>+[1]DailyAug!T13</f>
        <v>6567.6699999998473</v>
      </c>
      <c r="W14" s="360">
        <f t="shared" si="8"/>
        <v>189.68547828095677</v>
      </c>
      <c r="X14" s="360">
        <f t="shared" si="9"/>
        <v>208.64317936336002</v>
      </c>
      <c r="Y14" s="360">
        <f t="shared" si="18"/>
        <v>38810.730000000018</v>
      </c>
      <c r="Z14" s="360">
        <f>+[1]DailyAug!U13</f>
        <v>5839.5700000000234</v>
      </c>
      <c r="AA14" s="360">
        <f t="shared" si="19"/>
        <v>168.65671210720953</v>
      </c>
      <c r="AB14" s="360">
        <f t="shared" si="20"/>
        <v>185.51273905584927</v>
      </c>
      <c r="AC14" s="360">
        <f t="shared" si="21"/>
        <v>35046.910000000011</v>
      </c>
      <c r="AD14" s="357">
        <f t="shared" si="10"/>
        <v>1012.2143599815159</v>
      </c>
      <c r="AE14" s="358">
        <f t="shared" si="11"/>
        <v>1113.3779147341004</v>
      </c>
      <c r="AF14" s="360">
        <f>+[1]DailyAug!BH13</f>
        <v>474</v>
      </c>
      <c r="AG14" s="360">
        <f>+[1]DailyAug!BL13</f>
        <v>0</v>
      </c>
      <c r="AH14" s="360">
        <f t="shared" si="22"/>
        <v>474</v>
      </c>
      <c r="AI14" s="6">
        <f t="shared" si="23"/>
        <v>13.689926062846579</v>
      </c>
      <c r="AJ14" s="6">
        <f t="shared" si="24"/>
        <v>15.058135840904757</v>
      </c>
      <c r="AL14" s="22"/>
      <c r="AM14" s="413" t="s">
        <v>181</v>
      </c>
      <c r="AN14" s="14">
        <f>+W40</f>
        <v>144.02019635376013</v>
      </c>
      <c r="AO14" s="14">
        <f>+X40</f>
        <v>148.44504684894679</v>
      </c>
    </row>
    <row r="15" spans="1:41">
      <c r="A15" s="352">
        <f t="shared" si="12"/>
        <v>45724</v>
      </c>
      <c r="B15" s="359">
        <f>Report1!P16</f>
        <v>69.406999999999996</v>
      </c>
      <c r="C15" s="359">
        <f>Report1!R16</f>
        <v>68.77</v>
      </c>
      <c r="D15" s="360">
        <f t="shared" si="13"/>
        <v>5357.1999999999771</v>
      </c>
      <c r="E15" s="360">
        <f>+[1]DailyAug!O14</f>
        <v>757.0999999999799</v>
      </c>
      <c r="F15" s="360">
        <f t="shared" si="0"/>
        <v>10.908121659198351</v>
      </c>
      <c r="G15" s="360">
        <f t="shared" si="1"/>
        <v>11.009160971353497</v>
      </c>
      <c r="H15" s="360">
        <f>+[1]DailyAug!P14</f>
        <v>2746.7000000000698</v>
      </c>
      <c r="I15" s="360">
        <f t="shared" si="14"/>
        <v>42571</v>
      </c>
      <c r="J15" s="360">
        <f>+[1]DailyAug!Q14</f>
        <v>5432</v>
      </c>
      <c r="K15" s="360">
        <f t="shared" si="2"/>
        <v>78.262999409281491</v>
      </c>
      <c r="L15" s="360">
        <f t="shared" si="3"/>
        <v>78.987930783772001</v>
      </c>
      <c r="M15" s="360">
        <f t="shared" si="15"/>
        <v>6739.6999999999971</v>
      </c>
      <c r="N15" s="360">
        <f>+[1]DailyAug!R14</f>
        <v>2323.3000000000029</v>
      </c>
      <c r="O15" s="360">
        <f t="shared" si="4"/>
        <v>33.473568948377007</v>
      </c>
      <c r="P15" s="360">
        <f t="shared" si="5"/>
        <v>33.783626581358192</v>
      </c>
      <c r="Q15" s="360">
        <f t="shared" si="16"/>
        <v>114843.8999999995</v>
      </c>
      <c r="R15" s="360">
        <f>+[1]DailyAug!S14</f>
        <v>17163.169999998929</v>
      </c>
      <c r="S15" s="360">
        <f t="shared" si="6"/>
        <v>247.28298298440978</v>
      </c>
      <c r="T15" s="360">
        <f t="shared" si="7"/>
        <v>249.5735058891803</v>
      </c>
      <c r="U15" s="360">
        <f t="shared" si="17"/>
        <v>53044.100000000239</v>
      </c>
      <c r="V15" s="360">
        <f>+[1]DailyAug!T14</f>
        <v>8628.270000000357</v>
      </c>
      <c r="W15" s="360">
        <f t="shared" si="8"/>
        <v>124.31411817252378</v>
      </c>
      <c r="X15" s="360">
        <f t="shared" si="9"/>
        <v>125.46561000436756</v>
      </c>
      <c r="Y15" s="360">
        <f t="shared" si="18"/>
        <v>45552.000000000015</v>
      </c>
      <c r="Z15" s="360">
        <f>+[1]DailyAug!U14</f>
        <v>6741.27</v>
      </c>
      <c r="AA15" s="360">
        <f t="shared" si="19"/>
        <v>97.126658694368018</v>
      </c>
      <c r="AB15" s="360">
        <f t="shared" si="20"/>
        <v>98.026319616111692</v>
      </c>
      <c r="AC15" s="360">
        <f t="shared" si="21"/>
        <v>43791.809999999343</v>
      </c>
      <c r="AD15" s="357">
        <f t="shared" si="10"/>
        <v>630.94226807093446</v>
      </c>
      <c r="AE15" s="358">
        <f t="shared" si="11"/>
        <v>636.78653482622281</v>
      </c>
      <c r="AF15" s="360">
        <f>+[1]DailyAug!BH14</f>
        <v>519</v>
      </c>
      <c r="AG15" s="360">
        <f>+[1]DailyAug!BL14</f>
        <v>0</v>
      </c>
      <c r="AH15" s="360">
        <f t="shared" si="22"/>
        <v>519</v>
      </c>
      <c r="AI15" s="6">
        <f t="shared" si="23"/>
        <v>7.4776319391415855</v>
      </c>
      <c r="AJ15" s="6">
        <f t="shared" si="24"/>
        <v>7.5468954485967723</v>
      </c>
      <c r="AL15" s="22"/>
      <c r="AM15" s="413" t="s">
        <v>182</v>
      </c>
      <c r="AN15" s="14">
        <f>+AA40</f>
        <v>122.66523882820285</v>
      </c>
      <c r="AO15" s="14">
        <f>+AB40</f>
        <v>126.43398346619743</v>
      </c>
    </row>
    <row r="16" spans="1:41">
      <c r="A16" s="352">
        <f t="shared" si="12"/>
        <v>45725</v>
      </c>
      <c r="B16" s="359">
        <f>Report1!P17</f>
        <v>70.388999999999996</v>
      </c>
      <c r="C16" s="359">
        <f>Report1!R17</f>
        <v>67.869</v>
      </c>
      <c r="D16" s="360">
        <f t="shared" si="13"/>
        <v>6162.5000000000218</v>
      </c>
      <c r="E16" s="360">
        <f>+[1]DailyAug!O15</f>
        <v>805.3000000000452</v>
      </c>
      <c r="F16" s="360">
        <f t="shared" si="0"/>
        <v>11.440708065181282</v>
      </c>
      <c r="G16" s="360">
        <f t="shared" si="1"/>
        <v>11.865505606389444</v>
      </c>
      <c r="H16" s="360">
        <f>+[1]DailyAug!P15</f>
        <v>2652.8999999999069</v>
      </c>
      <c r="I16" s="360">
        <f t="shared" si="14"/>
        <v>47980</v>
      </c>
      <c r="J16" s="360">
        <f>+[1]DailyAug!Q15</f>
        <v>5409</v>
      </c>
      <c r="K16" s="360">
        <f t="shared" si="2"/>
        <v>76.844393300089507</v>
      </c>
      <c r="L16" s="360">
        <f t="shared" si="3"/>
        <v>79.697652831189501</v>
      </c>
      <c r="M16" s="360">
        <f t="shared" si="15"/>
        <v>9038.6999999999971</v>
      </c>
      <c r="N16" s="360">
        <f>+[1]DailyAug!R15</f>
        <v>2299</v>
      </c>
      <c r="O16" s="360">
        <f t="shared" si="4"/>
        <v>32.661353336458824</v>
      </c>
      <c r="P16" s="360">
        <f t="shared" si="5"/>
        <v>33.874080950065569</v>
      </c>
      <c r="Q16" s="360">
        <f t="shared" si="16"/>
        <v>132375.31000000003</v>
      </c>
      <c r="R16" s="360">
        <f>+[1]DailyAug!S15</f>
        <v>17531.410000000535</v>
      </c>
      <c r="S16" s="360">
        <f t="shared" si="6"/>
        <v>249.0646265751827</v>
      </c>
      <c r="T16" s="360">
        <f t="shared" si="7"/>
        <v>258.31248434484866</v>
      </c>
      <c r="U16" s="360">
        <f t="shared" si="17"/>
        <v>62273.809999999939</v>
      </c>
      <c r="V16" s="360">
        <f>+[1]DailyAug!T15</f>
        <v>9229.7099999997008</v>
      </c>
      <c r="W16" s="360">
        <f t="shared" si="8"/>
        <v>131.12432340280017</v>
      </c>
      <c r="X16" s="360">
        <f t="shared" si="9"/>
        <v>135.99301595720729</v>
      </c>
      <c r="Y16" s="360">
        <f t="shared" si="18"/>
        <v>52948.110000000037</v>
      </c>
      <c r="Z16" s="360">
        <f>+[1]DailyAug!U15</f>
        <v>7396.1100000000233</v>
      </c>
      <c r="AA16" s="360">
        <f t="shared" si="19"/>
        <v>105.07479861910275</v>
      </c>
      <c r="AB16" s="360">
        <f t="shared" si="20"/>
        <v>108.97626309508057</v>
      </c>
      <c r="AC16" s="360">
        <f t="shared" si="21"/>
        <v>45323.430000000211</v>
      </c>
      <c r="AD16" s="357">
        <f t="shared" si="10"/>
        <v>643.8993308613592</v>
      </c>
      <c r="AE16" s="358">
        <f t="shared" si="11"/>
        <v>667.80754099810235</v>
      </c>
      <c r="AF16" s="360">
        <f>+[1]DailyAug!BH15</f>
        <v>451</v>
      </c>
      <c r="AG16" s="360">
        <f>+[1]DailyAug!BL15</f>
        <v>0</v>
      </c>
      <c r="AH16" s="360">
        <f t="shared" si="22"/>
        <v>451</v>
      </c>
      <c r="AI16" s="6">
        <f t="shared" si="23"/>
        <v>6.4072511329895301</v>
      </c>
      <c r="AJ16" s="6">
        <f t="shared" si="24"/>
        <v>6.6451546361372644</v>
      </c>
      <c r="AL16" s="22"/>
      <c r="AN16" s="19">
        <f>SUM(AN10:AN15)</f>
        <v>694.34302982243264</v>
      </c>
      <c r="AO16" s="19">
        <f>SUM(AO10:AO15)</f>
        <v>715.67589963600028</v>
      </c>
    </row>
    <row r="17" spans="1:41">
      <c r="A17" s="352">
        <f t="shared" si="12"/>
        <v>45726</v>
      </c>
      <c r="B17" s="359">
        <f>Report1!P18</f>
        <v>74.045000000000002</v>
      </c>
      <c r="C17" s="359">
        <f>Report1!R18</f>
        <v>75.066999999999993</v>
      </c>
      <c r="D17" s="360">
        <f t="shared" si="13"/>
        <v>6923.0000000000009</v>
      </c>
      <c r="E17" s="360">
        <f>+[1]DailyAug!O16</f>
        <v>760.49999999997908</v>
      </c>
      <c r="F17" s="360">
        <f t="shared" si="0"/>
        <v>10.270781281652766</v>
      </c>
      <c r="G17" s="360">
        <f t="shared" si="1"/>
        <v>10.130949684947835</v>
      </c>
      <c r="H17" s="360">
        <f>+[1]DailyAug!P16</f>
        <v>2714.3000000000466</v>
      </c>
      <c r="I17" s="360">
        <f t="shared" si="14"/>
        <v>54607</v>
      </c>
      <c r="J17" s="360">
        <f>+[1]DailyAug!Q16</f>
        <v>6627</v>
      </c>
      <c r="K17" s="360">
        <f t="shared" si="2"/>
        <v>89.499628604227155</v>
      </c>
      <c r="L17" s="360">
        <f t="shared" si="3"/>
        <v>88.281135518936424</v>
      </c>
      <c r="M17" s="360">
        <f t="shared" si="15"/>
        <v>11409</v>
      </c>
      <c r="N17" s="360">
        <f>+[1]DailyAug!R16</f>
        <v>2370.3000000000029</v>
      </c>
      <c r="O17" s="360">
        <f t="shared" si="4"/>
        <v>32.011614558714335</v>
      </c>
      <c r="P17" s="360">
        <f t="shared" si="5"/>
        <v>31.575792292218992</v>
      </c>
      <c r="Q17" s="360">
        <f t="shared" si="16"/>
        <v>149436.0799999997</v>
      </c>
      <c r="R17" s="360">
        <f>+[1]DailyAug!S16</f>
        <v>17060.769999999658</v>
      </c>
      <c r="S17" s="360">
        <f t="shared" si="6"/>
        <v>230.4108312512615</v>
      </c>
      <c r="T17" s="360">
        <f t="shared" si="7"/>
        <v>227.27390198089253</v>
      </c>
      <c r="U17" s="360">
        <f t="shared" si="17"/>
        <v>71066.080000000031</v>
      </c>
      <c r="V17" s="360">
        <f>+[1]DailyAug!T16</f>
        <v>8792.270000000095</v>
      </c>
      <c r="W17" s="360">
        <f t="shared" si="8"/>
        <v>118.74225133364973</v>
      </c>
      <c r="X17" s="360">
        <f t="shared" si="9"/>
        <v>117.12563443324092</v>
      </c>
      <c r="Y17" s="360">
        <f t="shared" si="18"/>
        <v>59996.780000000057</v>
      </c>
      <c r="Z17" s="360">
        <f>+[1]DailyAug!U16</f>
        <v>7048.6700000000237</v>
      </c>
      <c r="AA17" s="360">
        <f t="shared" si="19"/>
        <v>95.194408805456462</v>
      </c>
      <c r="AB17" s="360">
        <f t="shared" si="20"/>
        <v>93.898384110195224</v>
      </c>
      <c r="AC17" s="360">
        <f t="shared" si="21"/>
        <v>45373.809999999808</v>
      </c>
      <c r="AD17" s="357">
        <f t="shared" si="10"/>
        <v>612.78695387939501</v>
      </c>
      <c r="AE17" s="358">
        <f t="shared" si="11"/>
        <v>604.44416321419283</v>
      </c>
      <c r="AF17" s="360">
        <f>+[1]DailyAug!BH16</f>
        <v>455</v>
      </c>
      <c r="AG17" s="360">
        <f>+[1]DailyAug!BL16</f>
        <v>0</v>
      </c>
      <c r="AH17" s="360">
        <f t="shared" si="22"/>
        <v>455</v>
      </c>
      <c r="AI17" s="6">
        <f t="shared" si="23"/>
        <v>6.1449118779120804</v>
      </c>
      <c r="AJ17" s="6">
        <f t="shared" si="24"/>
        <v>6.0612519482595557</v>
      </c>
      <c r="AL17" s="22"/>
      <c r="AN17" s="14"/>
      <c r="AO17" s="14"/>
    </row>
    <row r="18" spans="1:41">
      <c r="A18" s="352">
        <f t="shared" si="12"/>
        <v>45727</v>
      </c>
      <c r="B18" s="359">
        <f>Report1!P19</f>
        <v>49.765999999999998</v>
      </c>
      <c r="C18" s="359">
        <f>Report1!R19</f>
        <v>47.152999999999999</v>
      </c>
      <c r="D18" s="360">
        <f t="shared" si="13"/>
        <v>7710.8999999999796</v>
      </c>
      <c r="E18" s="360">
        <f>+[1]DailyAug!O17</f>
        <v>787.89999999997917</v>
      </c>
      <c r="F18" s="354">
        <f t="shared" si="0"/>
        <v>15.832094200859608</v>
      </c>
      <c r="G18" s="354">
        <f t="shared" si="1"/>
        <v>16.709435242720065</v>
      </c>
      <c r="H18" s="360">
        <f>+[1]DailyAug!P17</f>
        <v>3192.0999999999767</v>
      </c>
      <c r="I18" s="360">
        <f t="shared" si="14"/>
        <v>59615</v>
      </c>
      <c r="J18" s="360">
        <f>+[1]DailyAug!Q17</f>
        <v>5008</v>
      </c>
      <c r="K18" s="354">
        <f t="shared" si="2"/>
        <v>100.63095285938191</v>
      </c>
      <c r="L18" s="354">
        <f t="shared" si="3"/>
        <v>106.20745233601255</v>
      </c>
      <c r="M18" s="360">
        <f t="shared" si="15"/>
        <v>13758.5</v>
      </c>
      <c r="N18" s="360">
        <f>+[1]DailyAug!R17</f>
        <v>2349.5</v>
      </c>
      <c r="O18" s="354">
        <f t="shared" si="4"/>
        <v>47.210947233050682</v>
      </c>
      <c r="P18" s="354">
        <f t="shared" si="5"/>
        <v>49.827158399253499</v>
      </c>
      <c r="Q18" s="360">
        <f t="shared" si="16"/>
        <v>166922.28999999986</v>
      </c>
      <c r="R18" s="360">
        <f>+[1]DailyAug!S17</f>
        <v>17486.210000000166</v>
      </c>
      <c r="S18" s="354">
        <f t="shared" si="6"/>
        <v>351.36860507173907</v>
      </c>
      <c r="T18" s="354">
        <f t="shared" si="7"/>
        <v>370.83981931160622</v>
      </c>
      <c r="U18" s="360">
        <f t="shared" si="17"/>
        <v>79948.1899999999</v>
      </c>
      <c r="V18" s="360">
        <f>+[1]DailyAug!T17</f>
        <v>8882.109999999866</v>
      </c>
      <c r="W18" s="354">
        <f t="shared" si="8"/>
        <v>178.47747458103657</v>
      </c>
      <c r="X18" s="354">
        <f t="shared" si="9"/>
        <v>188.36786630754918</v>
      </c>
      <c r="Y18" s="360">
        <f t="shared" si="18"/>
        <v>67821.689999999988</v>
      </c>
      <c r="Z18" s="360">
        <f>+[1]DailyAug!U17</f>
        <v>7824.9099999999298</v>
      </c>
      <c r="AA18" s="360">
        <f t="shared" si="19"/>
        <v>157.23405537917313</v>
      </c>
      <c r="AB18" s="360">
        <f t="shared" si="20"/>
        <v>165.94723559476449</v>
      </c>
      <c r="AC18" s="360">
        <f t="shared" si="21"/>
        <v>45530.729999999923</v>
      </c>
      <c r="AD18" s="357">
        <f t="shared" si="10"/>
        <v>914.8963147530427</v>
      </c>
      <c r="AE18" s="358">
        <f t="shared" si="11"/>
        <v>965.59561427692665</v>
      </c>
      <c r="AF18" s="360">
        <f>+[1]DailyAug!BH17</f>
        <v>459</v>
      </c>
      <c r="AG18" s="360">
        <f>+[1]DailyAug!BL17</f>
        <v>0</v>
      </c>
      <c r="AH18" s="360">
        <f t="shared" si="22"/>
        <v>459</v>
      </c>
      <c r="AI18" s="6">
        <f t="shared" si="23"/>
        <v>9.223164409436162</v>
      </c>
      <c r="AJ18" s="6">
        <f t="shared" si="24"/>
        <v>9.7342692935762312</v>
      </c>
      <c r="AL18" s="22"/>
      <c r="AN18" s="14"/>
      <c r="AO18" s="14"/>
    </row>
    <row r="19" spans="1:41">
      <c r="A19" s="352">
        <f t="shared" si="12"/>
        <v>45728</v>
      </c>
      <c r="B19" s="359">
        <f>Report1!P20</f>
        <v>50.506999999999998</v>
      </c>
      <c r="C19" s="359">
        <f>Report1!R20</f>
        <v>49.026000000000003</v>
      </c>
      <c r="D19" s="360">
        <f t="shared" si="13"/>
        <v>8560.9000000000015</v>
      </c>
      <c r="E19" s="360">
        <f>+[1]DailyAug!O18</f>
        <v>850.00000000002274</v>
      </c>
      <c r="F19" s="354">
        <f t="shared" si="0"/>
        <v>16.829350387075511</v>
      </c>
      <c r="G19" s="354">
        <f t="shared" si="1"/>
        <v>17.337739158814152</v>
      </c>
      <c r="H19" s="360">
        <f>+[1]DailyAug!P18</f>
        <v>3409.2000000000698</v>
      </c>
      <c r="I19" s="360">
        <f t="shared" si="14"/>
        <v>64758</v>
      </c>
      <c r="J19" s="360">
        <f>+[1]DailyAug!Q18</f>
        <v>5143</v>
      </c>
      <c r="K19" s="354">
        <f t="shared" si="2"/>
        <v>101.82746945967887</v>
      </c>
      <c r="L19" s="354">
        <f t="shared" si="3"/>
        <v>104.90352058091624</v>
      </c>
      <c r="M19" s="360">
        <f t="shared" si="15"/>
        <v>16132</v>
      </c>
      <c r="N19" s="360">
        <f>+[1]DailyAug!R18</f>
        <v>2373.5</v>
      </c>
      <c r="O19" s="354">
        <f t="shared" si="4"/>
        <v>46.993486051438417</v>
      </c>
      <c r="P19" s="354">
        <f t="shared" si="5"/>
        <v>48.413086933463873</v>
      </c>
      <c r="Q19" s="360">
        <f t="shared" si="16"/>
        <v>184494.05000000028</v>
      </c>
      <c r="R19" s="360">
        <f>+[1]DailyAug!S18</f>
        <v>17571.760000000413</v>
      </c>
      <c r="S19" s="354">
        <f t="shared" si="6"/>
        <v>347.90741877364354</v>
      </c>
      <c r="T19" s="354">
        <f t="shared" si="7"/>
        <v>358.41716640150963</v>
      </c>
      <c r="U19" s="360">
        <f t="shared" si="17"/>
        <v>88896.949999999924</v>
      </c>
      <c r="V19" s="360">
        <f>+[1]DailyAug!T18</f>
        <v>8948.7600000000257</v>
      </c>
      <c r="W19" s="354">
        <f t="shared" si="8"/>
        <v>177.17860890569676</v>
      </c>
      <c r="X19" s="354">
        <f t="shared" si="9"/>
        <v>182.53090197038358</v>
      </c>
      <c r="Y19" s="360">
        <f t="shared" si="18"/>
        <v>75760.350000000006</v>
      </c>
      <c r="Z19" s="360">
        <f>+[1]DailyAug!U18</f>
        <v>7938.6600000000235</v>
      </c>
      <c r="AA19" s="360">
        <f t="shared" si="19"/>
        <v>157.1794008751267</v>
      </c>
      <c r="AB19" s="360">
        <f t="shared" si="20"/>
        <v>161.92754864765681</v>
      </c>
      <c r="AC19" s="360">
        <f t="shared" si="21"/>
        <v>46234.880000000558</v>
      </c>
      <c r="AD19" s="357">
        <f t="shared" si="10"/>
        <v>915.41528896985687</v>
      </c>
      <c r="AE19" s="358">
        <f t="shared" si="11"/>
        <v>943.06857585771945</v>
      </c>
      <c r="AF19" s="360">
        <f>+[1]DailyAug!BH18</f>
        <v>456</v>
      </c>
      <c r="AG19" s="360">
        <f>+[1]DailyAug!BL18</f>
        <v>0</v>
      </c>
      <c r="AH19" s="360">
        <f t="shared" si="22"/>
        <v>456</v>
      </c>
      <c r="AI19" s="6">
        <f t="shared" si="23"/>
        <v>9.0284515017720324</v>
      </c>
      <c r="AJ19" s="6">
        <f t="shared" si="24"/>
        <v>9.301187125198874</v>
      </c>
      <c r="AL19" s="22"/>
      <c r="AN19" s="19"/>
      <c r="AO19" s="19"/>
    </row>
    <row r="20" spans="1:41">
      <c r="A20" s="352">
        <f t="shared" si="12"/>
        <v>45729</v>
      </c>
      <c r="B20" s="359">
        <f>Report1!P21</f>
        <v>47.524999999999999</v>
      </c>
      <c r="C20" s="359">
        <f>Report1!R21</f>
        <v>43.253999999999998</v>
      </c>
      <c r="D20" s="360">
        <f t="shared" si="13"/>
        <v>9355.0999999999913</v>
      </c>
      <c r="E20" s="360">
        <f>+[1]DailyAug!O19</f>
        <v>794.19999999998936</v>
      </c>
      <c r="F20" s="354">
        <f t="shared" si="0"/>
        <v>16.711204629142333</v>
      </c>
      <c r="G20" s="354">
        <f t="shared" si="1"/>
        <v>18.361307624728102</v>
      </c>
      <c r="H20" s="360">
        <f>+[1]DailyAug!P19</f>
        <v>2878.6999999999534</v>
      </c>
      <c r="I20" s="360">
        <f t="shared" si="14"/>
        <v>69643</v>
      </c>
      <c r="J20" s="360">
        <f>+[1]DailyAug!Q19</f>
        <v>4885</v>
      </c>
      <c r="K20" s="354">
        <f t="shared" si="2"/>
        <v>102.78800631246713</v>
      </c>
      <c r="L20" s="354">
        <f t="shared" si="3"/>
        <v>112.9375317889675</v>
      </c>
      <c r="M20" s="360">
        <f t="shared" si="15"/>
        <v>18487.399999999994</v>
      </c>
      <c r="N20" s="360">
        <f>+[1]DailyAug!R19</f>
        <v>2355.3999999999942</v>
      </c>
      <c r="O20" s="354">
        <f t="shared" si="4"/>
        <v>49.56128353498147</v>
      </c>
      <c r="P20" s="354">
        <f t="shared" si="5"/>
        <v>54.455079299024234</v>
      </c>
      <c r="Q20" s="360">
        <f t="shared" si="16"/>
        <v>202171.76</v>
      </c>
      <c r="R20" s="360">
        <f>+[1]DailyAug!S19</f>
        <v>17677.709999999719</v>
      </c>
      <c r="S20" s="354">
        <f t="shared" si="6"/>
        <v>371.96654392424449</v>
      </c>
      <c r="T20" s="354">
        <f t="shared" si="7"/>
        <v>408.69538077402598</v>
      </c>
      <c r="U20" s="360">
        <f t="shared" si="17"/>
        <v>97918.860000000277</v>
      </c>
      <c r="V20" s="360">
        <f>+[1]DailyAug!T19</f>
        <v>9021.9100000003455</v>
      </c>
      <c r="W20" s="354">
        <f t="shared" si="8"/>
        <v>189.83503419253753</v>
      </c>
      <c r="X20" s="354">
        <f t="shared" si="9"/>
        <v>208.5797845286065</v>
      </c>
      <c r="Y20" s="360">
        <f t="shared" si="18"/>
        <v>83642.260000000009</v>
      </c>
      <c r="Z20" s="360">
        <f>+[1]DailyAug!U19</f>
        <v>7881.91</v>
      </c>
      <c r="AA20" s="360">
        <f t="shared" si="19"/>
        <v>165.8476591267754</v>
      </c>
      <c r="AB20" s="360">
        <f t="shared" si="20"/>
        <v>182.22384056965831</v>
      </c>
      <c r="AC20" s="360">
        <f t="shared" si="21"/>
        <v>45494.83</v>
      </c>
      <c r="AD20" s="357">
        <f t="shared" si="10"/>
        <v>957.28206207259348</v>
      </c>
      <c r="AE20" s="358">
        <f t="shared" si="11"/>
        <v>1051.8063069311509</v>
      </c>
      <c r="AF20" s="360">
        <f>+[1]DailyAug!BH19</f>
        <v>531</v>
      </c>
      <c r="AG20" s="360">
        <f>+[1]DailyAug!BL19</f>
        <v>0</v>
      </c>
      <c r="AH20" s="360">
        <f t="shared" si="22"/>
        <v>531</v>
      </c>
      <c r="AI20" s="6">
        <f t="shared" si="23"/>
        <v>11.173066806943714</v>
      </c>
      <c r="AJ20" s="6">
        <f t="shared" si="24"/>
        <v>12.276321265085311</v>
      </c>
      <c r="AL20" s="22"/>
      <c r="AN20" s="14"/>
      <c r="AO20" s="14"/>
    </row>
    <row r="21" spans="1:41">
      <c r="A21" s="352">
        <f t="shared" si="12"/>
        <v>45730</v>
      </c>
      <c r="B21" s="359">
        <f>Report1!P22</f>
        <v>48.076000000000001</v>
      </c>
      <c r="C21" s="359">
        <f>Report1!R22</f>
        <v>45.267000000000003</v>
      </c>
      <c r="D21" s="360">
        <f t="shared" si="13"/>
        <v>10200.199999999993</v>
      </c>
      <c r="E21" s="360">
        <f>+[1]DailyAug!O20</f>
        <v>845.10000000000218</v>
      </c>
      <c r="F21" s="354">
        <f t="shared" si="0"/>
        <v>17.578417505616152</v>
      </c>
      <c r="G21" s="354">
        <f t="shared" si="1"/>
        <v>18.669229239843641</v>
      </c>
      <c r="H21" s="360">
        <f>+[1]DailyAug!P20</f>
        <v>1958.3000000000466</v>
      </c>
      <c r="I21" s="360">
        <f t="shared" si="14"/>
        <v>73775</v>
      </c>
      <c r="J21" s="360">
        <f>+[1]DailyAug!Q20</f>
        <v>4132</v>
      </c>
      <c r="K21" s="354">
        <f t="shared" si="2"/>
        <v>85.947250187203593</v>
      </c>
      <c r="L21" s="354">
        <f t="shared" si="3"/>
        <v>91.280623854021684</v>
      </c>
      <c r="M21" s="360">
        <f t="shared" si="15"/>
        <v>20675.299999999988</v>
      </c>
      <c r="N21" s="360">
        <f>+[1]DailyAug!R20</f>
        <v>2187.8999999999942</v>
      </c>
      <c r="O21" s="354">
        <f t="shared" si="4"/>
        <v>45.509193776520391</v>
      </c>
      <c r="P21" s="354">
        <f t="shared" si="5"/>
        <v>48.333222877592817</v>
      </c>
      <c r="Q21" s="360">
        <f t="shared" si="16"/>
        <v>218712.74000000037</v>
      </c>
      <c r="R21" s="360">
        <f>+[1]DailyAug!S20</f>
        <v>16540.980000000363</v>
      </c>
      <c r="S21" s="354">
        <f t="shared" si="6"/>
        <v>344.05898993261428</v>
      </c>
      <c r="T21" s="354">
        <f t="shared" si="7"/>
        <v>365.4092385181338</v>
      </c>
      <c r="U21" s="360">
        <f t="shared" si="17"/>
        <v>106340.93999999978</v>
      </c>
      <c r="V21" s="360">
        <f>+[1]DailyAug!T20</f>
        <v>8422.0799999995124</v>
      </c>
      <c r="W21" s="354">
        <f t="shared" si="8"/>
        <v>175.18262750643797</v>
      </c>
      <c r="X21" s="354">
        <f t="shared" si="9"/>
        <v>186.05341639603932</v>
      </c>
      <c r="Y21" s="360">
        <f t="shared" si="18"/>
        <v>91022.140000000058</v>
      </c>
      <c r="Z21" s="360">
        <f>+[1]DailyAug!U20</f>
        <v>7379.8800000000465</v>
      </c>
      <c r="AA21" s="360">
        <f t="shared" si="19"/>
        <v>153.50445128546565</v>
      </c>
      <c r="AB21" s="360">
        <f t="shared" si="20"/>
        <v>163.03002187023762</v>
      </c>
      <c r="AC21" s="360">
        <f t="shared" si="21"/>
        <v>41466.239999999969</v>
      </c>
      <c r="AD21" s="357">
        <f t="shared" si="10"/>
        <v>862.51435227556306</v>
      </c>
      <c r="AE21" s="358">
        <f t="shared" si="11"/>
        <v>916.03684803499164</v>
      </c>
      <c r="AF21" s="360">
        <f>+[1]DailyAug!BH20</f>
        <v>363</v>
      </c>
      <c r="AG21" s="360">
        <f>+[1]DailyAug!BL20</f>
        <v>0</v>
      </c>
      <c r="AH21" s="360">
        <f t="shared" si="22"/>
        <v>363</v>
      </c>
      <c r="AI21" s="6">
        <f t="shared" si="23"/>
        <v>7.5505449704634326</v>
      </c>
      <c r="AJ21" s="6">
        <f t="shared" si="24"/>
        <v>8.019086751938497</v>
      </c>
      <c r="AN21" s="14"/>
      <c r="AO21" s="14"/>
    </row>
    <row r="22" spans="1:41">
      <c r="A22" s="352">
        <f t="shared" si="12"/>
        <v>45731</v>
      </c>
      <c r="B22" s="359">
        <f>Report1!P23</f>
        <v>48.972999999999999</v>
      </c>
      <c r="C22" s="359">
        <f>Report1!R23</f>
        <v>48.418999999999997</v>
      </c>
      <c r="D22" s="360">
        <f>+D21+E22</f>
        <v>11044.399999999994</v>
      </c>
      <c r="E22" s="360">
        <f>+[1]DailyAug!O21</f>
        <v>844.20000000000073</v>
      </c>
      <c r="F22" s="354">
        <f>E22/B22</f>
        <v>17.238069956915052</v>
      </c>
      <c r="G22" s="354">
        <f>E22/C22</f>
        <v>17.435304322683262</v>
      </c>
      <c r="H22" s="360">
        <f>+[1]DailyAug!P21</f>
        <v>2189.0999999999767</v>
      </c>
      <c r="I22" s="360">
        <f>+I21+J22</f>
        <v>78831</v>
      </c>
      <c r="J22" s="360">
        <f>+[1]DailyAug!Q21</f>
        <v>5056</v>
      </c>
      <c r="K22" s="354">
        <f>J22/B22</f>
        <v>103.24056112551814</v>
      </c>
      <c r="L22" s="354">
        <f>J22/C22</f>
        <v>104.42181788141019</v>
      </c>
      <c r="M22" s="360">
        <f>+M21+N22</f>
        <v>23053</v>
      </c>
      <c r="N22" s="360">
        <f>+[1]DailyAug!R21</f>
        <v>2377.7000000000116</v>
      </c>
      <c r="O22" s="354">
        <f>N22/B22</f>
        <v>48.551242521389575</v>
      </c>
      <c r="P22" s="354">
        <f>N22/C22</f>
        <v>49.106755612466422</v>
      </c>
      <c r="Q22" s="360">
        <f>+Q21+R22</f>
        <v>236427.7699999992</v>
      </c>
      <c r="R22" s="360">
        <f>+[1]DailyAug!S21</f>
        <v>17715.029999998835</v>
      </c>
      <c r="S22" s="354">
        <f>R22/B22</f>
        <v>361.73054540254498</v>
      </c>
      <c r="T22" s="354">
        <f>R22/C22</f>
        <v>365.86939011542648</v>
      </c>
      <c r="U22" s="360">
        <f>+U21+V22</f>
        <v>115505.17</v>
      </c>
      <c r="V22" s="360">
        <f>+[1]DailyAug!T21</f>
        <v>9164.2300000002178</v>
      </c>
      <c r="W22" s="354">
        <f>V22/B22</f>
        <v>187.1282135054054</v>
      </c>
      <c r="X22" s="354">
        <f>V22/C22</f>
        <v>189.26929511142771</v>
      </c>
      <c r="Y22" s="360">
        <f>+Y21+Z22</f>
        <v>99120.169999999984</v>
      </c>
      <c r="Z22" s="360">
        <f>+[1]DailyAug!U21</f>
        <v>8098.0299999999297</v>
      </c>
      <c r="AA22" s="360">
        <f>Z22/B22</f>
        <v>165.3570334674194</v>
      </c>
      <c r="AB22" s="360">
        <f>Z22/C22</f>
        <v>167.24901381688863</v>
      </c>
      <c r="AC22" s="360">
        <f>+E22+J22+N22+R22+V22+Z22+H22</f>
        <v>45444.289999998975</v>
      </c>
      <c r="AD22" s="357">
        <f>AC22/B22</f>
        <v>927.94580687315408</v>
      </c>
      <c r="AE22" s="358">
        <f>AC22/C22</f>
        <v>938.56316735163841</v>
      </c>
      <c r="AF22" s="360">
        <f>+[1]DailyAug!BH21</f>
        <v>444</v>
      </c>
      <c r="AG22" s="360">
        <f>+[1]DailyAug!BL21</f>
        <v>0</v>
      </c>
      <c r="AH22" s="360">
        <f>+AG22+AF22</f>
        <v>444</v>
      </c>
      <c r="AI22" s="6">
        <f>AH22/B22</f>
        <v>9.0662201621301541</v>
      </c>
      <c r="AJ22" s="6">
        <f>AH22/C22</f>
        <v>9.1699539436997881</v>
      </c>
      <c r="AN22" s="14"/>
      <c r="AO22" s="14"/>
    </row>
    <row r="23" spans="1:41">
      <c r="A23" s="352">
        <f t="shared" si="12"/>
        <v>45732</v>
      </c>
      <c r="B23" s="359">
        <f>Report1!P24</f>
        <v>48.844999999999999</v>
      </c>
      <c r="C23" s="359">
        <f>Report1!R24</f>
        <v>48.912999999999997</v>
      </c>
      <c r="D23" s="360">
        <f t="shared" si="13"/>
        <v>11879.700000000012</v>
      </c>
      <c r="E23" s="360">
        <f>+[1]DailyAug!O22</f>
        <v>835.30000000001792</v>
      </c>
      <c r="F23" s="354">
        <f t="shared" si="0"/>
        <v>17.101033882690508</v>
      </c>
      <c r="G23" s="354">
        <f t="shared" si="1"/>
        <v>17.077259624231143</v>
      </c>
      <c r="H23" s="360">
        <f>+[1]DailyAug!P22</f>
        <v>2327.4000000000233</v>
      </c>
      <c r="I23" s="360">
        <f t="shared" si="14"/>
        <v>84109</v>
      </c>
      <c r="J23" s="360">
        <f>+[1]DailyAug!Q22</f>
        <v>5278</v>
      </c>
      <c r="K23" s="354">
        <f t="shared" si="2"/>
        <v>108.05609581328693</v>
      </c>
      <c r="L23" s="354">
        <f t="shared" si="3"/>
        <v>107.90587369410996</v>
      </c>
      <c r="M23" s="360">
        <f t="shared" si="15"/>
        <v>25438.099999999991</v>
      </c>
      <c r="N23" s="360">
        <f>+[1]DailyAug!R22</f>
        <v>2385.0999999999913</v>
      </c>
      <c r="O23" s="354">
        <f t="shared" si="4"/>
        <v>48.829972361551668</v>
      </c>
      <c r="P23" s="354">
        <f t="shared" si="5"/>
        <v>48.762087788522301</v>
      </c>
      <c r="Q23" s="360">
        <f t="shared" si="16"/>
        <v>254035.86999999918</v>
      </c>
      <c r="R23" s="360">
        <f>+[1]DailyAug!S22</f>
        <v>17608.099999999984</v>
      </c>
      <c r="S23" s="354">
        <f t="shared" si="6"/>
        <v>360.4893028969185</v>
      </c>
      <c r="T23" s="354">
        <f t="shared" si="7"/>
        <v>359.98814221168169</v>
      </c>
      <c r="U23" s="360">
        <f t="shared" si="17"/>
        <v>124512.5700000003</v>
      </c>
      <c r="V23" s="360">
        <f>+[1]DailyAug!T22</f>
        <v>9007.4000000003052</v>
      </c>
      <c r="W23" s="354">
        <f t="shared" si="8"/>
        <v>184.40782065718713</v>
      </c>
      <c r="X23" s="354">
        <f t="shared" si="9"/>
        <v>184.15145257907523</v>
      </c>
      <c r="Y23" s="360">
        <f t="shared" si="18"/>
        <v>107130.06999999998</v>
      </c>
      <c r="Z23" s="360">
        <f>+[1]DailyAug!U22</f>
        <v>8009.9</v>
      </c>
      <c r="AA23" s="360">
        <f t="shared" si="19"/>
        <v>163.98607841130104</v>
      </c>
      <c r="AB23" s="360">
        <f t="shared" si="20"/>
        <v>163.75810111831211</v>
      </c>
      <c r="AC23" s="360">
        <f t="shared" si="21"/>
        <v>45451.200000000325</v>
      </c>
      <c r="AD23" s="357">
        <f t="shared" si="10"/>
        <v>930.51898863753354</v>
      </c>
      <c r="AE23" s="358">
        <f t="shared" si="11"/>
        <v>929.22535931143716</v>
      </c>
      <c r="AF23" s="360">
        <f>+[1]DailyAug!BH22</f>
        <v>438</v>
      </c>
      <c r="AG23" s="360">
        <f>+[1]DailyAug!BL22</f>
        <v>0</v>
      </c>
      <c r="AH23" s="360">
        <f t="shared" si="22"/>
        <v>438</v>
      </c>
      <c r="AI23" s="6">
        <f t="shared" si="23"/>
        <v>8.9671409560855775</v>
      </c>
      <c r="AJ23" s="6">
        <f t="shared" si="24"/>
        <v>8.9546746263774466</v>
      </c>
    </row>
    <row r="24" spans="1:41">
      <c r="A24" s="352">
        <f t="shared" si="12"/>
        <v>45733</v>
      </c>
      <c r="B24" s="359">
        <f>Report1!P25</f>
        <v>48.537000000000006</v>
      </c>
      <c r="C24" s="359">
        <f>Report1!R25</f>
        <v>49.252000000000002</v>
      </c>
      <c r="D24" s="360">
        <f t="shared" si="13"/>
        <v>12752.200000000013</v>
      </c>
      <c r="E24" s="360">
        <f>+[1]DailyAug!O23</f>
        <v>872.50000000000227</v>
      </c>
      <c r="F24" s="354">
        <f t="shared" si="0"/>
        <v>17.975977089642999</v>
      </c>
      <c r="G24" s="354">
        <f t="shared" si="1"/>
        <v>17.715016649070133</v>
      </c>
      <c r="H24" s="360">
        <f>+[1]DailyAug!P23</f>
        <v>1979.0999999999767</v>
      </c>
      <c r="I24" s="360">
        <f t="shared" si="14"/>
        <v>89648</v>
      </c>
      <c r="J24" s="360">
        <f>+[1]DailyAug!Q23</f>
        <v>5539</v>
      </c>
      <c r="K24" s="354">
        <f t="shared" si="2"/>
        <v>114.1191256155098</v>
      </c>
      <c r="L24" s="354">
        <f t="shared" si="3"/>
        <v>112.46243807358076</v>
      </c>
      <c r="M24" s="360">
        <f t="shared" si="15"/>
        <v>27826</v>
      </c>
      <c r="N24" s="360">
        <f>+[1]DailyAug!R23</f>
        <v>2387.9000000000087</v>
      </c>
      <c r="O24" s="354">
        <f t="shared" si="4"/>
        <v>49.197519418176</v>
      </c>
      <c r="P24" s="354">
        <f t="shared" si="5"/>
        <v>48.483310322423627</v>
      </c>
      <c r="Q24" s="360">
        <f t="shared" si="16"/>
        <v>270748.14000000083</v>
      </c>
      <c r="R24" s="360">
        <f>+[1]DailyAug!S23</f>
        <v>16712.27000000167</v>
      </c>
      <c r="S24" s="354">
        <f t="shared" si="6"/>
        <v>344.32020932487933</v>
      </c>
      <c r="T24" s="354">
        <f t="shared" si="7"/>
        <v>339.32165191264659</v>
      </c>
      <c r="U24" s="360">
        <f t="shared" si="17"/>
        <v>132859.33999999988</v>
      </c>
      <c r="V24" s="360">
        <f>+[1]DailyAug!T23</f>
        <v>8346.7699999995712</v>
      </c>
      <c r="W24" s="354">
        <f t="shared" si="8"/>
        <v>171.96715907451161</v>
      </c>
      <c r="X24" s="354">
        <f t="shared" si="9"/>
        <v>169.47068139364026</v>
      </c>
      <c r="Y24" s="360">
        <f t="shared" si="18"/>
        <v>114477.24</v>
      </c>
      <c r="Z24" s="360">
        <f>+[1]DailyAug!U23</f>
        <v>7347.1700000000237</v>
      </c>
      <c r="AA24" s="360">
        <f t="shared" si="19"/>
        <v>151.37256113892542</v>
      </c>
      <c r="AB24" s="360">
        <f t="shared" si="20"/>
        <v>149.1750588808581</v>
      </c>
      <c r="AC24" s="360">
        <f t="shared" si="21"/>
        <v>43184.710000001258</v>
      </c>
      <c r="AD24" s="357">
        <f t="shared" si="10"/>
        <v>889.72763046750424</v>
      </c>
      <c r="AE24" s="358">
        <f t="shared" si="11"/>
        <v>876.81129700319286</v>
      </c>
      <c r="AF24" s="360">
        <f>+[1]DailyAug!BH23</f>
        <v>422</v>
      </c>
      <c r="AG24" s="360">
        <f>+[1]DailyAug!BL23</f>
        <v>0</v>
      </c>
      <c r="AH24" s="360">
        <f t="shared" si="22"/>
        <v>422</v>
      </c>
      <c r="AI24" s="6">
        <f t="shared" si="23"/>
        <v>8.6943980880565324</v>
      </c>
      <c r="AJ24" s="6">
        <f t="shared" si="24"/>
        <v>8.5681799723869077</v>
      </c>
      <c r="AM24" s="22" t="s">
        <v>3</v>
      </c>
      <c r="AN24" s="19">
        <f>+AN16+AN19+AN22</f>
        <v>694.34302982243264</v>
      </c>
      <c r="AO24" s="19">
        <f>+AO16+AO19+AO22</f>
        <v>715.67589963600028</v>
      </c>
    </row>
    <row r="25" spans="1:41">
      <c r="A25" s="352">
        <f t="shared" si="12"/>
        <v>45734</v>
      </c>
      <c r="B25" s="359">
        <f>Report1!P26</f>
        <v>63.814999999999998</v>
      </c>
      <c r="C25" s="359">
        <f>Report1!R26</f>
        <v>62.594000000000001</v>
      </c>
      <c r="D25" s="360">
        <f t="shared" si="13"/>
        <v>13485.099999999986</v>
      </c>
      <c r="E25" s="360">
        <f>+[1]DailyAug!O24</f>
        <v>732.89999999997235</v>
      </c>
      <c r="F25" s="354">
        <f t="shared" si="0"/>
        <v>11.484760636213624</v>
      </c>
      <c r="G25" s="354">
        <f t="shared" si="1"/>
        <v>11.708789979869833</v>
      </c>
      <c r="H25" s="360">
        <f>+[1]DailyAug!P24</f>
        <v>1941.2999999999302</v>
      </c>
      <c r="I25" s="360">
        <f t="shared" si="14"/>
        <v>96247</v>
      </c>
      <c r="J25" s="360">
        <f>+[1]DailyAug!Q24</f>
        <v>6599</v>
      </c>
      <c r="K25" s="354">
        <f t="shared" si="2"/>
        <v>103.40828958708768</v>
      </c>
      <c r="L25" s="354">
        <f t="shared" si="3"/>
        <v>105.4254401380324</v>
      </c>
      <c r="M25" s="360">
        <f t="shared" si="15"/>
        <v>30311</v>
      </c>
      <c r="N25" s="360">
        <f>+[1]DailyAug!R24</f>
        <v>2485</v>
      </c>
      <c r="O25" s="354">
        <f t="shared" si="4"/>
        <v>38.940687926036198</v>
      </c>
      <c r="P25" s="354">
        <f t="shared" si="5"/>
        <v>39.700290762692909</v>
      </c>
      <c r="Q25" s="360">
        <f t="shared" si="16"/>
        <v>288404.53000000044</v>
      </c>
      <c r="R25" s="360">
        <f>+[1]DailyAug!S24</f>
        <v>17656.389999999592</v>
      </c>
      <c r="S25" s="354">
        <f t="shared" si="6"/>
        <v>276.68087440256352</v>
      </c>
      <c r="T25" s="354">
        <f t="shared" si="7"/>
        <v>282.07799469597074</v>
      </c>
      <c r="U25" s="360">
        <f t="shared" si="17"/>
        <v>142060.63000000024</v>
      </c>
      <c r="V25" s="360">
        <f>+[1]DailyAug!T24</f>
        <v>9201.2900000003719</v>
      </c>
      <c r="W25" s="354">
        <f t="shared" si="8"/>
        <v>144.1869466426447</v>
      </c>
      <c r="X25" s="354">
        <f t="shared" si="9"/>
        <v>146.99955267278608</v>
      </c>
      <c r="Y25" s="360">
        <f t="shared" si="18"/>
        <v>122203.83000000005</v>
      </c>
      <c r="Z25" s="360">
        <f>+[1]DailyAug!U24</f>
        <v>7726.5900000000465</v>
      </c>
      <c r="AA25" s="360">
        <f t="shared" si="19"/>
        <v>121.07795972733757</v>
      </c>
      <c r="AB25" s="360">
        <f t="shared" si="20"/>
        <v>123.43978656101298</v>
      </c>
      <c r="AC25" s="360">
        <f t="shared" si="21"/>
        <v>46342.469999999914</v>
      </c>
      <c r="AD25" s="357">
        <f t="shared" si="10"/>
        <v>726.20026639504681</v>
      </c>
      <c r="AE25" s="358">
        <f t="shared" si="11"/>
        <v>740.36600952167805</v>
      </c>
      <c r="AF25" s="360">
        <f>+[1]DailyAug!BH24</f>
        <v>451</v>
      </c>
      <c r="AG25" s="360">
        <f>+[1]DailyAug!BL24</f>
        <v>0</v>
      </c>
      <c r="AH25" s="360">
        <f t="shared" si="22"/>
        <v>451</v>
      </c>
      <c r="AI25" s="6">
        <f t="shared" si="23"/>
        <v>7.0673039254093863</v>
      </c>
      <c r="AJ25" s="6">
        <f t="shared" si="24"/>
        <v>7.2051634341949704</v>
      </c>
    </row>
    <row r="26" spans="1:41">
      <c r="A26" s="352">
        <f t="shared" si="12"/>
        <v>45735</v>
      </c>
      <c r="B26" s="359">
        <f>Report1!P27</f>
        <v>65.876000000000005</v>
      </c>
      <c r="C26" s="359">
        <f>Report1!R27</f>
        <v>61.991999999999997</v>
      </c>
      <c r="D26" s="360">
        <f t="shared" si="13"/>
        <v>14145.300000000017</v>
      </c>
      <c r="E26" s="360">
        <f>+[1]DailyAug!O25</f>
        <v>660.20000000003165</v>
      </c>
      <c r="F26" s="354">
        <f t="shared" si="0"/>
        <v>10.021859250713941</v>
      </c>
      <c r="G26" s="354">
        <f t="shared" si="1"/>
        <v>10.649761259517868</v>
      </c>
      <c r="H26" s="360">
        <f>+[1]DailyAug!P25</f>
        <v>4464.6000000000931</v>
      </c>
      <c r="I26" s="360">
        <f t="shared" si="14"/>
        <v>103144</v>
      </c>
      <c r="J26" s="360">
        <f>+[1]DailyAug!Q25</f>
        <v>6897</v>
      </c>
      <c r="K26" s="354">
        <f t="shared" si="2"/>
        <v>104.69670289635071</v>
      </c>
      <c r="L26" s="354">
        <f t="shared" si="3"/>
        <v>111.25629113433992</v>
      </c>
      <c r="M26" s="360">
        <f t="shared" si="15"/>
        <v>32729.899999999994</v>
      </c>
      <c r="N26" s="360">
        <f>+[1]DailyAug!R25</f>
        <v>2418.8999999999942</v>
      </c>
      <c r="O26" s="354">
        <f t="shared" si="4"/>
        <v>36.718987188050185</v>
      </c>
      <c r="P26" s="354">
        <f t="shared" si="5"/>
        <v>39.019550909794717</v>
      </c>
      <c r="Q26" s="360">
        <f t="shared" si="16"/>
        <v>306097.56000000064</v>
      </c>
      <c r="R26" s="360">
        <f>+[1]DailyAug!S25</f>
        <v>17693.030000000188</v>
      </c>
      <c r="S26" s="354">
        <f t="shared" si="6"/>
        <v>268.58081850750176</v>
      </c>
      <c r="T26" s="354">
        <f t="shared" si="7"/>
        <v>285.40827848754981</v>
      </c>
      <c r="U26" s="360">
        <f t="shared" si="17"/>
        <v>150820.85999999969</v>
      </c>
      <c r="V26" s="360">
        <f>+[1]DailyAug!T25</f>
        <v>8760.2299999994611</v>
      </c>
      <c r="W26" s="354">
        <f t="shared" si="8"/>
        <v>132.9805999149836</v>
      </c>
      <c r="X26" s="354">
        <f t="shared" si="9"/>
        <v>141.31226609884277</v>
      </c>
      <c r="Y26" s="360">
        <f t="shared" si="18"/>
        <v>129419.16000000002</v>
      </c>
      <c r="Z26" s="360">
        <f>+[1]DailyAug!U25</f>
        <v>7215.3299999999763</v>
      </c>
      <c r="AA26" s="360">
        <f t="shared" si="19"/>
        <v>109.52896350719497</v>
      </c>
      <c r="AB26" s="360">
        <f t="shared" si="20"/>
        <v>116.39130855594233</v>
      </c>
      <c r="AC26" s="360">
        <f t="shared" si="21"/>
        <v>48109.289999999746</v>
      </c>
      <c r="AD26" s="357">
        <f t="shared" si="10"/>
        <v>730.30071649765841</v>
      </c>
      <c r="AE26" s="358">
        <f t="shared" si="11"/>
        <v>776.05642663569085</v>
      </c>
      <c r="AF26" s="360">
        <f>+[1]DailyAug!BH25</f>
        <v>448</v>
      </c>
      <c r="AG26" s="360">
        <f>+[1]DailyAug!BL25</f>
        <v>0</v>
      </c>
      <c r="AH26" s="360">
        <f t="shared" si="22"/>
        <v>448</v>
      </c>
      <c r="AI26" s="6">
        <f t="shared" si="23"/>
        <v>6.8006557775214036</v>
      </c>
      <c r="AJ26" s="6">
        <f t="shared" si="24"/>
        <v>7.2267389340560078</v>
      </c>
      <c r="AM26" s="22" t="s">
        <v>174</v>
      </c>
      <c r="AO26" s="436">
        <f>+AO24/AN24-1</f>
        <v>3.0723819347654668E-2</v>
      </c>
    </row>
    <row r="27" spans="1:41">
      <c r="A27" s="352">
        <f t="shared" si="12"/>
        <v>45736</v>
      </c>
      <c r="B27" s="359">
        <f>Report1!P28</f>
        <v>50.709000000000003</v>
      </c>
      <c r="C27" s="359">
        <f>Report1!R28</f>
        <v>50.192999999999998</v>
      </c>
      <c r="D27" s="360">
        <f t="shared" si="13"/>
        <v>14999.099999999995</v>
      </c>
      <c r="E27" s="360">
        <f>+[1]DailyAug!O26</f>
        <v>853.79999999997835</v>
      </c>
      <c r="F27" s="354">
        <f t="shared" si="0"/>
        <v>16.837247825829305</v>
      </c>
      <c r="G27" s="354">
        <f t="shared" si="1"/>
        <v>17.010340087262733</v>
      </c>
      <c r="H27" s="360">
        <f>+[1]DailyAug!P26</f>
        <v>3994.5999999999767</v>
      </c>
      <c r="I27" s="360">
        <f t="shared" si="14"/>
        <v>108690</v>
      </c>
      <c r="J27" s="360">
        <f>+[1]DailyAug!Q26</f>
        <v>5546</v>
      </c>
      <c r="K27" s="354">
        <f t="shared" si="2"/>
        <v>109.36914551657496</v>
      </c>
      <c r="L27" s="354">
        <f t="shared" si="3"/>
        <v>110.49349510887973</v>
      </c>
      <c r="M27" s="360">
        <f t="shared" si="15"/>
        <v>35172.299999999988</v>
      </c>
      <c r="N27" s="360">
        <f>+[1]DailyAug!R26</f>
        <v>2442.3999999999942</v>
      </c>
      <c r="O27" s="354">
        <f t="shared" si="4"/>
        <v>48.16502001617058</v>
      </c>
      <c r="P27" s="354">
        <f t="shared" si="5"/>
        <v>48.6601717370947</v>
      </c>
      <c r="Q27" s="360">
        <f t="shared" si="16"/>
        <v>324392.15999999974</v>
      </c>
      <c r="R27" s="360">
        <f>+[1]DailyAug!S26</f>
        <v>18294.599999999078</v>
      </c>
      <c r="S27" s="354">
        <f t="shared" si="6"/>
        <v>360.77619357508684</v>
      </c>
      <c r="T27" s="354">
        <f t="shared" si="7"/>
        <v>364.48508756199232</v>
      </c>
      <c r="U27" s="360">
        <f t="shared" si="17"/>
        <v>160332.25999999995</v>
      </c>
      <c r="V27" s="360">
        <f>+[1]DailyAug!T26</f>
        <v>9511.400000000247</v>
      </c>
      <c r="W27" s="354">
        <f t="shared" si="8"/>
        <v>187.56828176458313</v>
      </c>
      <c r="X27" s="354">
        <f t="shared" si="9"/>
        <v>189.49654334270213</v>
      </c>
      <c r="Y27" s="360">
        <f t="shared" si="18"/>
        <v>137065.56000000003</v>
      </c>
      <c r="Z27" s="360">
        <f>+[1]DailyAug!U26</f>
        <v>7646.4</v>
      </c>
      <c r="AA27" s="360">
        <f t="shared" si="19"/>
        <v>150.78980062710761</v>
      </c>
      <c r="AB27" s="360">
        <f t="shared" si="20"/>
        <v>152.33996772458312</v>
      </c>
      <c r="AC27" s="360">
        <f t="shared" si="21"/>
        <v>48289.199999999277</v>
      </c>
      <c r="AD27" s="357">
        <f t="shared" si="10"/>
        <v>952.28066023781332</v>
      </c>
      <c r="AE27" s="358">
        <f t="shared" si="11"/>
        <v>962.07040822424005</v>
      </c>
      <c r="AF27" s="360">
        <f>+[1]DailyAug!BH26</f>
        <v>448</v>
      </c>
      <c r="AG27" s="360">
        <f>+[1]DailyAug!BL26</f>
        <v>0</v>
      </c>
      <c r="AH27" s="360">
        <f t="shared" si="22"/>
        <v>448</v>
      </c>
      <c r="AI27" s="6">
        <f t="shared" si="23"/>
        <v>8.8347236190814247</v>
      </c>
      <c r="AJ27" s="6">
        <f t="shared" si="24"/>
        <v>8.9255473870858495</v>
      </c>
    </row>
    <row r="28" spans="1:41">
      <c r="A28" s="352">
        <f t="shared" si="12"/>
        <v>45737</v>
      </c>
      <c r="B28" s="359">
        <f>Report1!P29</f>
        <v>50.822000000000003</v>
      </c>
      <c r="C28" s="359">
        <f>Report1!R29</f>
        <v>49.95</v>
      </c>
      <c r="D28" s="360">
        <f t="shared" si="13"/>
        <v>15803.400000000007</v>
      </c>
      <c r="E28" s="360">
        <f>+[1]DailyAug!O27</f>
        <v>804.30000000001201</v>
      </c>
      <c r="F28" s="355">
        <f t="shared" si="0"/>
        <v>15.825823462280351</v>
      </c>
      <c r="G28" s="354">
        <f t="shared" si="1"/>
        <v>16.102102102102343</v>
      </c>
      <c r="H28" s="360">
        <f>+[1]DailyAug!P27</f>
        <v>2472.4000000000233</v>
      </c>
      <c r="I28" s="360">
        <f t="shared" si="14"/>
        <v>113758</v>
      </c>
      <c r="J28" s="360">
        <f>+[1]DailyAug!Q27</f>
        <v>5068</v>
      </c>
      <c r="K28" s="354">
        <f t="shared" si="2"/>
        <v>99.720593443784182</v>
      </c>
      <c r="L28" s="354">
        <f t="shared" si="3"/>
        <v>101.46146146146145</v>
      </c>
      <c r="M28" s="360">
        <f t="shared" si="15"/>
        <v>37500.599999999991</v>
      </c>
      <c r="N28" s="360">
        <f>+[1]DailyAug!R27</f>
        <v>2328.3000000000029</v>
      </c>
      <c r="O28" s="354">
        <f t="shared" si="4"/>
        <v>45.812836960371548</v>
      </c>
      <c r="P28" s="354">
        <f t="shared" si="5"/>
        <v>46.612612612612665</v>
      </c>
      <c r="Q28" s="360">
        <f t="shared" si="16"/>
        <v>341268.81000000029</v>
      </c>
      <c r="R28" s="360">
        <f>+[1]DailyAug!S27</f>
        <v>16876.650000000569</v>
      </c>
      <c r="S28" s="354">
        <f t="shared" si="6"/>
        <v>332.07370823660165</v>
      </c>
      <c r="T28" s="354">
        <f t="shared" si="7"/>
        <v>337.87087087088224</v>
      </c>
      <c r="U28" s="360">
        <f t="shared" si="17"/>
        <v>168845.20999999996</v>
      </c>
      <c r="V28" s="360">
        <f>+[1]DailyAug!T27</f>
        <v>8512.950000000008</v>
      </c>
      <c r="W28" s="354">
        <f t="shared" si="8"/>
        <v>167.50521427728165</v>
      </c>
      <c r="X28" s="354">
        <f t="shared" si="9"/>
        <v>170.42942942942958</v>
      </c>
      <c r="Y28" s="360">
        <f t="shared" si="18"/>
        <v>143920.61000000002</v>
      </c>
      <c r="Z28" s="360">
        <f>+[1]DailyAug!U27</f>
        <v>6855.0499999999765</v>
      </c>
      <c r="AA28" s="360">
        <f t="shared" si="19"/>
        <v>134.8835150131828</v>
      </c>
      <c r="AB28" s="360">
        <f t="shared" si="20"/>
        <v>137.23823823823776</v>
      </c>
      <c r="AC28" s="360">
        <f t="shared" si="21"/>
        <v>42917.650000000591</v>
      </c>
      <c r="AD28" s="357">
        <f t="shared" si="10"/>
        <v>844.46991460392326</v>
      </c>
      <c r="AE28" s="358">
        <f t="shared" si="11"/>
        <v>859.21221221222402</v>
      </c>
      <c r="AF28" s="360">
        <f>+[1]DailyAug!BH27</f>
        <v>426</v>
      </c>
      <c r="AG28" s="360">
        <f>+[1]DailyAug!BL27</f>
        <v>0</v>
      </c>
      <c r="AH28" s="360">
        <f t="shared" si="22"/>
        <v>426</v>
      </c>
      <c r="AI28" s="6">
        <f t="shared" si="23"/>
        <v>8.3821966864743604</v>
      </c>
      <c r="AJ28" s="6">
        <f t="shared" si="24"/>
        <v>8.5285285285285273</v>
      </c>
    </row>
    <row r="29" spans="1:41">
      <c r="A29" s="352">
        <f t="shared" si="12"/>
        <v>45738</v>
      </c>
      <c r="B29" s="359">
        <f>Report1!P30</f>
        <v>50.204999999999998</v>
      </c>
      <c r="C29" s="359">
        <f>Report1!R30</f>
        <v>49.984999999999999</v>
      </c>
      <c r="D29" s="360">
        <f t="shared" si="13"/>
        <v>16594.699999999986</v>
      </c>
      <c r="E29" s="360">
        <f>+[1]DailyAug!O28</f>
        <v>791.29999999997835</v>
      </c>
      <c r="F29" s="354">
        <f t="shared" si="0"/>
        <v>15.761378348769613</v>
      </c>
      <c r="G29" s="354">
        <f t="shared" si="1"/>
        <v>15.830749224766997</v>
      </c>
      <c r="H29" s="360">
        <f>+[1]DailyAug!P28</f>
        <v>2602.0999999999767</v>
      </c>
      <c r="I29" s="360">
        <f t="shared" si="14"/>
        <v>118766</v>
      </c>
      <c r="J29" s="360">
        <f>+[1]DailyAug!Q28</f>
        <v>5008</v>
      </c>
      <c r="K29" s="354">
        <f t="shared" si="2"/>
        <v>99.751020814659896</v>
      </c>
      <c r="L29" s="354">
        <f t="shared" si="3"/>
        <v>100.19005701710513</v>
      </c>
      <c r="M29" s="360">
        <f t="shared" si="15"/>
        <v>39886.199999999997</v>
      </c>
      <c r="N29" s="360">
        <f>+[1]DailyAug!R28</f>
        <v>2385.6000000000058</v>
      </c>
      <c r="O29" s="354">
        <f t="shared" si="4"/>
        <v>47.517179563788588</v>
      </c>
      <c r="P29" s="354">
        <f t="shared" si="5"/>
        <v>47.72631789536873</v>
      </c>
      <c r="Q29" s="360">
        <f t="shared" si="16"/>
        <v>358455.07000000041</v>
      </c>
      <c r="R29" s="360">
        <f>+[1]DailyAug!S28</f>
        <v>17186.260000000097</v>
      </c>
      <c r="S29" s="354">
        <f t="shared" si="6"/>
        <v>342.32168110746136</v>
      </c>
      <c r="T29" s="354">
        <f t="shared" si="7"/>
        <v>343.82834850455328</v>
      </c>
      <c r="U29" s="360">
        <f t="shared" si="17"/>
        <v>177622.77000000022</v>
      </c>
      <c r="V29" s="360">
        <f>+[1]DailyAug!T28</f>
        <v>8777.5600000002541</v>
      </c>
      <c r="W29" s="354">
        <f t="shared" si="8"/>
        <v>174.83437904591682</v>
      </c>
      <c r="X29" s="354">
        <f t="shared" si="9"/>
        <v>175.60388116435439</v>
      </c>
      <c r="Y29" s="360">
        <f t="shared" si="18"/>
        <v>150932.07000000004</v>
      </c>
      <c r="Z29" s="360">
        <f>+[1]DailyAug!U28</f>
        <v>7011.4600000000237</v>
      </c>
      <c r="AA29" s="360">
        <f t="shared" si="19"/>
        <v>139.6566079075794</v>
      </c>
      <c r="AB29" s="360">
        <f t="shared" si="20"/>
        <v>140.2712813844158</v>
      </c>
      <c r="AC29" s="360">
        <f t="shared" si="21"/>
        <v>43762.280000000334</v>
      </c>
      <c r="AD29" s="357">
        <f t="shared" si="10"/>
        <v>871.67174584205429</v>
      </c>
      <c r="AE29" s="358">
        <f t="shared" si="11"/>
        <v>875.50825247574937</v>
      </c>
      <c r="AF29" s="360">
        <f>+[1]DailyAug!BH28</f>
        <v>442</v>
      </c>
      <c r="AG29" s="360">
        <f>+[1]DailyAug!BL28</f>
        <v>0</v>
      </c>
      <c r="AH29" s="360">
        <f t="shared" si="22"/>
        <v>442</v>
      </c>
      <c r="AI29" s="6">
        <f t="shared" si="23"/>
        <v>8.8039039936261325</v>
      </c>
      <c r="AJ29" s="6">
        <f t="shared" si="24"/>
        <v>8.8426527958387524</v>
      </c>
    </row>
    <row r="30" spans="1:41">
      <c r="A30" s="352">
        <f t="shared" si="12"/>
        <v>45739</v>
      </c>
      <c r="B30" s="359">
        <f>Report1!P31</f>
        <v>49.180999999999997</v>
      </c>
      <c r="C30" s="359">
        <f>Report1!R31</f>
        <v>50.241</v>
      </c>
      <c r="D30" s="360">
        <f t="shared" si="13"/>
        <v>17194.000000000015</v>
      </c>
      <c r="E30" s="360">
        <f>+[1]DailyAug!O29</f>
        <v>599.30000000002792</v>
      </c>
      <c r="F30" s="354">
        <f t="shared" si="0"/>
        <v>12.185600130132123</v>
      </c>
      <c r="G30" s="354">
        <f t="shared" si="1"/>
        <v>11.928504607791005</v>
      </c>
      <c r="H30" s="360">
        <f>+[1]DailyAug!P29</f>
        <v>3091.5</v>
      </c>
      <c r="I30" s="360">
        <f t="shared" si="14"/>
        <v>123951</v>
      </c>
      <c r="J30" s="360">
        <f>+[1]DailyAug!Q29</f>
        <v>5185</v>
      </c>
      <c r="K30" s="354">
        <f t="shared" si="2"/>
        <v>105.42689249913585</v>
      </c>
      <c r="L30" s="354">
        <f t="shared" si="3"/>
        <v>103.20256364323959</v>
      </c>
      <c r="M30" s="360">
        <f t="shared" si="15"/>
        <v>42182.5</v>
      </c>
      <c r="N30" s="360">
        <f>+[1]DailyAug!R29</f>
        <v>2296.3000000000029</v>
      </c>
      <c r="O30" s="354">
        <f t="shared" si="4"/>
        <v>46.690795225798645</v>
      </c>
      <c r="P30" s="354">
        <f t="shared" si="5"/>
        <v>45.70569853307066</v>
      </c>
      <c r="Q30" s="360">
        <f t="shared" si="16"/>
        <v>374950.54000000085</v>
      </c>
      <c r="R30" s="360">
        <f>+[1]DailyAug!S29</f>
        <v>16495.470000000409</v>
      </c>
      <c r="S30" s="354">
        <f t="shared" si="6"/>
        <v>335.40330615482424</v>
      </c>
      <c r="T30" s="354">
        <f t="shared" si="7"/>
        <v>328.32686451305523</v>
      </c>
      <c r="U30" s="360">
        <f t="shared" si="17"/>
        <v>186480.53999999966</v>
      </c>
      <c r="V30" s="360">
        <f>+[1]DailyAug!T29</f>
        <v>8857.7699999994475</v>
      </c>
      <c r="W30" s="354">
        <f t="shared" si="8"/>
        <v>180.10552855776515</v>
      </c>
      <c r="X30" s="354">
        <f t="shared" si="9"/>
        <v>176.30560697437247</v>
      </c>
      <c r="Y30" s="360">
        <f t="shared" si="18"/>
        <v>157958.13999999996</v>
      </c>
      <c r="Z30" s="360">
        <f>+[1]DailyAug!U29</f>
        <v>7026.0699999999306</v>
      </c>
      <c r="AA30" s="360">
        <f t="shared" si="19"/>
        <v>142.86147089322972</v>
      </c>
      <c r="AB30" s="360">
        <f t="shared" si="20"/>
        <v>139.84733584124382</v>
      </c>
      <c r="AC30" s="360">
        <f t="shared" si="21"/>
        <v>43551.409999999814</v>
      </c>
      <c r="AD30" s="357">
        <f t="shared" si="10"/>
        <v>885.53323437912638</v>
      </c>
      <c r="AE30" s="358">
        <f t="shared" si="11"/>
        <v>866.8499830815432</v>
      </c>
      <c r="AF30" s="360">
        <f>+[1]DailyAug!BH29</f>
        <v>269</v>
      </c>
      <c r="AG30" s="360">
        <f>+[1]DailyAug!BL29</f>
        <v>0</v>
      </c>
      <c r="AH30" s="360">
        <f t="shared" si="22"/>
        <v>269</v>
      </c>
      <c r="AI30" s="6">
        <f t="shared" si="23"/>
        <v>5.469591915577154</v>
      </c>
      <c r="AJ30" s="6">
        <f t="shared" si="24"/>
        <v>5.3541927907485922</v>
      </c>
    </row>
    <row r="31" spans="1:41">
      <c r="A31" s="352">
        <f t="shared" si="12"/>
        <v>45740</v>
      </c>
      <c r="B31" s="359">
        <f>Report1!P32</f>
        <v>50.591000000000008</v>
      </c>
      <c r="C31" s="359">
        <f>Report1!R32</f>
        <v>51.228999999999999</v>
      </c>
      <c r="D31" s="360">
        <f t="shared" si="13"/>
        <v>17740.40000000002</v>
      </c>
      <c r="E31" s="360">
        <f>+[1]DailyAug!O30</f>
        <v>546.40000000000555</v>
      </c>
      <c r="F31" s="354">
        <f t="shared" si="0"/>
        <v>10.800339981419729</v>
      </c>
      <c r="G31" s="354">
        <f t="shared" si="1"/>
        <v>10.665833805071454</v>
      </c>
      <c r="H31" s="360">
        <f>+[1]DailyAug!P30</f>
        <v>2434.5999999999767</v>
      </c>
      <c r="I31" s="360">
        <f t="shared" si="14"/>
        <v>128846</v>
      </c>
      <c r="J31" s="360">
        <f>+[1]DailyAug!Q30</f>
        <v>4895</v>
      </c>
      <c r="K31" s="354">
        <f t="shared" si="2"/>
        <v>96.756340060485044</v>
      </c>
      <c r="L31" s="354">
        <f t="shared" si="3"/>
        <v>95.551347869370872</v>
      </c>
      <c r="M31" s="360">
        <f t="shared" si="15"/>
        <v>44595.899999999994</v>
      </c>
      <c r="N31" s="360">
        <f>+[1]DailyAug!R30</f>
        <v>2413.3999999999942</v>
      </c>
      <c r="O31" s="354">
        <f t="shared" si="4"/>
        <v>47.704137099483972</v>
      </c>
      <c r="P31" s="354">
        <f t="shared" si="5"/>
        <v>47.110035331550378</v>
      </c>
      <c r="Q31" s="360">
        <f t="shared" si="16"/>
        <v>391855.70000000071</v>
      </c>
      <c r="R31" s="360">
        <f>+[1]DailyAug!S30</f>
        <v>16905.159999999851</v>
      </c>
      <c r="S31" s="354">
        <f t="shared" si="6"/>
        <v>334.15350556422777</v>
      </c>
      <c r="T31" s="354">
        <f t="shared" si="7"/>
        <v>329.99199672060456</v>
      </c>
      <c r="U31" s="360">
        <f t="shared" si="17"/>
        <v>195367.09999999992</v>
      </c>
      <c r="V31" s="360">
        <f>+[1]DailyAug!T30</f>
        <v>8886.5600000002541</v>
      </c>
      <c r="W31" s="354">
        <f t="shared" si="8"/>
        <v>175.65495839181381</v>
      </c>
      <c r="X31" s="354">
        <f t="shared" si="9"/>
        <v>173.46737199633517</v>
      </c>
      <c r="Y31" s="360">
        <f t="shared" si="18"/>
        <v>165004.90000000002</v>
      </c>
      <c r="Z31" s="360">
        <f>+[1]DailyAug!U30</f>
        <v>7046.7600000000702</v>
      </c>
      <c r="AA31" s="360">
        <f t="shared" si="19"/>
        <v>139.28880630942399</v>
      </c>
      <c r="AB31" s="360">
        <f t="shared" si="20"/>
        <v>137.55411973686915</v>
      </c>
      <c r="AC31" s="360">
        <f t="shared" si="21"/>
        <v>43127.88000000015</v>
      </c>
      <c r="AD31" s="357">
        <f t="shared" si="10"/>
        <v>852.48127137238134</v>
      </c>
      <c r="AE31" s="358">
        <f t="shared" si="11"/>
        <v>841.86456889652641</v>
      </c>
      <c r="AF31" s="360">
        <f>+[1]DailyAug!BH30</f>
        <v>736</v>
      </c>
      <c r="AG31" s="360">
        <f>+[1]DailyAug!BL30</f>
        <v>0</v>
      </c>
      <c r="AH31" s="360">
        <f t="shared" si="22"/>
        <v>736</v>
      </c>
      <c r="AI31" s="6">
        <f t="shared" si="23"/>
        <v>14.548042141882942</v>
      </c>
      <c r="AJ31" s="6">
        <f t="shared" si="24"/>
        <v>14.366862519276191</v>
      </c>
    </row>
    <row r="32" spans="1:41">
      <c r="A32" s="352">
        <f t="shared" si="12"/>
        <v>45741</v>
      </c>
      <c r="B32" s="359">
        <f>Report1!P33</f>
        <v>55.399000000000001</v>
      </c>
      <c r="C32" s="359">
        <f>Report1!R33</f>
        <v>54.878999999999998</v>
      </c>
      <c r="D32" s="360">
        <f t="shared" si="13"/>
        <v>18318.800000000007</v>
      </c>
      <c r="E32" s="360">
        <f>+[1]DailyAug!O31</f>
        <v>578.39999999998781</v>
      </c>
      <c r="F32" s="354">
        <f t="shared" si="0"/>
        <v>10.440621671871114</v>
      </c>
      <c r="G32" s="354">
        <f t="shared" si="1"/>
        <v>10.53955064778855</v>
      </c>
      <c r="H32" s="360">
        <f>+[1]DailyAug!P31</f>
        <v>1905.1999999999534</v>
      </c>
      <c r="I32" s="360">
        <f t="shared" si="14"/>
        <v>132941</v>
      </c>
      <c r="J32" s="360">
        <f>+[1]DailyAug!Q31</f>
        <v>4095</v>
      </c>
      <c r="K32" s="354">
        <f t="shared" si="2"/>
        <v>73.918301774400263</v>
      </c>
      <c r="L32" s="354">
        <f t="shared" si="3"/>
        <v>74.61870660908545</v>
      </c>
      <c r="M32" s="360">
        <f t="shared" si="15"/>
        <v>46962.399999999994</v>
      </c>
      <c r="N32" s="360">
        <f>+[1]DailyAug!R31</f>
        <v>2366.5</v>
      </c>
      <c r="O32" s="354">
        <f t="shared" si="4"/>
        <v>42.717377569992237</v>
      </c>
      <c r="P32" s="354">
        <f t="shared" si="5"/>
        <v>43.122141438437289</v>
      </c>
      <c r="Q32" s="360">
        <f t="shared" si="16"/>
        <v>409191.89000000048</v>
      </c>
      <c r="R32" s="360">
        <f>+[1]DailyAug!S31</f>
        <v>17336.189999999795</v>
      </c>
      <c r="S32" s="354">
        <f t="shared" si="6"/>
        <v>312.93326594342489</v>
      </c>
      <c r="T32" s="354">
        <f t="shared" si="7"/>
        <v>315.89843109385731</v>
      </c>
      <c r="U32" s="360">
        <f t="shared" si="17"/>
        <v>204777.6899999998</v>
      </c>
      <c r="V32" s="360">
        <f>+[1]DailyAug!T31</f>
        <v>9410.5899999998765</v>
      </c>
      <c r="W32" s="354">
        <f t="shared" si="8"/>
        <v>169.86931172042594</v>
      </c>
      <c r="X32" s="354">
        <f t="shared" si="9"/>
        <v>171.47888992146133</v>
      </c>
      <c r="Y32" s="360">
        <f t="shared" si="18"/>
        <v>172566.18999999997</v>
      </c>
      <c r="Z32" s="360">
        <f>+[1]DailyAug!U31</f>
        <v>7561.2899999999536</v>
      </c>
      <c r="AA32" s="360">
        <f t="shared" si="19"/>
        <v>136.48784274084286</v>
      </c>
      <c r="AB32" s="360">
        <f t="shared" si="20"/>
        <v>137.7811184606125</v>
      </c>
      <c r="AC32" s="360">
        <f t="shared" si="21"/>
        <v>43253.169999999562</v>
      </c>
      <c r="AD32" s="357">
        <f t="shared" si="10"/>
        <v>780.75723388508027</v>
      </c>
      <c r="AE32" s="358">
        <f t="shared" si="11"/>
        <v>788.15521419850154</v>
      </c>
      <c r="AF32" s="360">
        <f>+[1]DailyAug!BH31</f>
        <v>436</v>
      </c>
      <c r="AG32" s="360">
        <f>+[1]DailyAug!BL31</f>
        <v>0</v>
      </c>
      <c r="AH32" s="360">
        <f t="shared" si="22"/>
        <v>436</v>
      </c>
      <c r="AI32" s="6">
        <f t="shared" si="23"/>
        <v>7.8701781620606868</v>
      </c>
      <c r="AJ32" s="6">
        <f t="shared" si="24"/>
        <v>7.9447511798684385</v>
      </c>
    </row>
    <row r="33" spans="1:36">
      <c r="A33" s="352">
        <f t="shared" si="12"/>
        <v>45742</v>
      </c>
      <c r="B33" s="359">
        <f>Report1!P34</f>
        <v>57.823</v>
      </c>
      <c r="C33" s="359">
        <f>Report1!R34</f>
        <v>57.335000000000001</v>
      </c>
      <c r="D33" s="360">
        <f t="shared" si="13"/>
        <v>18893.799999999996</v>
      </c>
      <c r="E33" s="360">
        <f>+[1]DailyAug!O32</f>
        <v>574.99999999998863</v>
      </c>
      <c r="F33" s="354">
        <f t="shared" si="0"/>
        <v>9.9441398751359955</v>
      </c>
      <c r="G33" s="354">
        <f t="shared" si="1"/>
        <v>10.028778233190698</v>
      </c>
      <c r="H33" s="360">
        <f>+[1]DailyAug!P32</f>
        <v>1805.5</v>
      </c>
      <c r="I33" s="360">
        <f t="shared" si="14"/>
        <v>137103</v>
      </c>
      <c r="J33" s="360">
        <f>+[1]DailyAug!Q32</f>
        <v>4162</v>
      </c>
      <c r="K33" s="354">
        <f t="shared" si="2"/>
        <v>71.97827853968144</v>
      </c>
      <c r="L33" s="354">
        <f t="shared" si="3"/>
        <v>72.590913054853061</v>
      </c>
      <c r="M33" s="360">
        <f t="shared" si="15"/>
        <v>49401.5</v>
      </c>
      <c r="N33" s="360">
        <f>+[1]DailyAug!R32</f>
        <v>2439.1000000000058</v>
      </c>
      <c r="O33" s="354">
        <f t="shared" si="4"/>
        <v>42.182176642512594</v>
      </c>
      <c r="P33" s="354">
        <f t="shared" si="5"/>
        <v>42.541205197523432</v>
      </c>
      <c r="Q33" s="360">
        <f t="shared" si="16"/>
        <v>427433.41999999923</v>
      </c>
      <c r="R33" s="360">
        <f>+[1]DailyAug!S32</f>
        <v>18241.529999998773</v>
      </c>
      <c r="S33" s="354">
        <f t="shared" si="6"/>
        <v>315.47187105474939</v>
      </c>
      <c r="T33" s="354">
        <f t="shared" si="7"/>
        <v>318.15697218101985</v>
      </c>
      <c r="U33" s="360">
        <f t="shared" si="17"/>
        <v>214974.2200000005</v>
      </c>
      <c r="V33" s="360">
        <f>+[1]DailyAug!T32</f>
        <v>10196.530000000692</v>
      </c>
      <c r="W33" s="354">
        <f t="shared" si="8"/>
        <v>176.34038358439881</v>
      </c>
      <c r="X33" s="354">
        <f t="shared" si="9"/>
        <v>177.8412836836259</v>
      </c>
      <c r="Y33" s="360">
        <f t="shared" si="18"/>
        <v>180835.52000000002</v>
      </c>
      <c r="Z33" s="360">
        <f>+[1]DailyAug!U32</f>
        <v>8269.3300000000472</v>
      </c>
      <c r="AA33" s="360">
        <f t="shared" si="19"/>
        <v>143.01108555419205</v>
      </c>
      <c r="AB33" s="360">
        <f t="shared" si="20"/>
        <v>144.2283073166486</v>
      </c>
      <c r="AC33" s="360">
        <f t="shared" si="21"/>
        <v>45688.989999999503</v>
      </c>
      <c r="AD33" s="357">
        <f t="shared" si="10"/>
        <v>790.15253445859787</v>
      </c>
      <c r="AE33" s="358">
        <f t="shared" si="11"/>
        <v>796.8778233190809</v>
      </c>
      <c r="AF33" s="360">
        <f>+[1]DailyAug!BH32</f>
        <v>451</v>
      </c>
      <c r="AG33" s="360">
        <f>+[1]DailyAug!BL32</f>
        <v>0</v>
      </c>
      <c r="AH33" s="360">
        <f t="shared" si="22"/>
        <v>451</v>
      </c>
      <c r="AI33" s="6">
        <f t="shared" si="23"/>
        <v>7.7996644933676906</v>
      </c>
      <c r="AJ33" s="6">
        <f t="shared" si="24"/>
        <v>7.8660504055114675</v>
      </c>
    </row>
    <row r="34" spans="1:36">
      <c r="A34" s="352">
        <f t="shared" si="12"/>
        <v>45743</v>
      </c>
      <c r="B34" s="359">
        <f>Report1!P35</f>
        <v>64.804000000000002</v>
      </c>
      <c r="C34" s="359">
        <f>Report1!R35</f>
        <v>62.234000000000002</v>
      </c>
      <c r="D34" s="360">
        <f t="shared" si="13"/>
        <v>19667.100000000002</v>
      </c>
      <c r="E34" s="360">
        <f>+[1]DailyAug!O33</f>
        <v>773.30000000000609</v>
      </c>
      <c r="F34" s="354">
        <f t="shared" si="0"/>
        <v>11.932905376211439</v>
      </c>
      <c r="G34" s="354">
        <f t="shared" si="1"/>
        <v>12.4256837098693</v>
      </c>
      <c r="H34" s="360">
        <f>+[1]DailyAug!P33</f>
        <v>304.20000000006985</v>
      </c>
      <c r="I34" s="360">
        <f t="shared" si="14"/>
        <v>142052</v>
      </c>
      <c r="J34" s="360">
        <f>+[1]DailyAug!Q33</f>
        <v>4949</v>
      </c>
      <c r="K34" s="354">
        <f t="shared" si="2"/>
        <v>76.368742670205535</v>
      </c>
      <c r="L34" s="354">
        <f t="shared" si="3"/>
        <v>79.522447536716257</v>
      </c>
      <c r="M34" s="360">
        <f t="shared" si="15"/>
        <v>49822.399999999994</v>
      </c>
      <c r="N34" s="360">
        <f>+[1]DailyAug!R33</f>
        <v>420.89999999999418</v>
      </c>
      <c r="O34" s="354">
        <f t="shared" si="4"/>
        <v>6.4949694463303835</v>
      </c>
      <c r="P34" s="354">
        <f t="shared" si="5"/>
        <v>6.7631841115787861</v>
      </c>
      <c r="Q34" s="360">
        <f t="shared" si="16"/>
        <v>442610.4300000004</v>
      </c>
      <c r="R34" s="360">
        <f>+[1]DailyAug!S33</f>
        <v>15177.010000001157</v>
      </c>
      <c r="S34" s="354">
        <f t="shared" si="6"/>
        <v>234.19866057652547</v>
      </c>
      <c r="T34" s="354">
        <f t="shared" si="7"/>
        <v>243.87007102228938</v>
      </c>
      <c r="U34" s="360">
        <f t="shared" si="17"/>
        <v>223877.53000000026</v>
      </c>
      <c r="V34" s="360">
        <f>+[1]DailyAug!T33</f>
        <v>8903.3099999997739</v>
      </c>
      <c r="W34" s="354">
        <f t="shared" si="8"/>
        <v>137.38827850132358</v>
      </c>
      <c r="X34" s="354">
        <f t="shared" si="9"/>
        <v>143.06183115338519</v>
      </c>
      <c r="Y34" s="360">
        <f t="shared" si="18"/>
        <v>188113.43</v>
      </c>
      <c r="Z34" s="360">
        <f>+[1]DailyAug!U33</f>
        <v>7277.9099999999771</v>
      </c>
      <c r="AA34" s="360">
        <f t="shared" si="19"/>
        <v>112.30649342633136</v>
      </c>
      <c r="AB34" s="360">
        <f t="shared" si="20"/>
        <v>116.94427483369182</v>
      </c>
      <c r="AC34" s="360">
        <f t="shared" si="21"/>
        <v>37805.630000000972</v>
      </c>
      <c r="AD34" s="357">
        <f t="shared" si="10"/>
        <v>583.38420467873857</v>
      </c>
      <c r="AE34" s="358">
        <f t="shared" si="11"/>
        <v>607.47549570975627</v>
      </c>
      <c r="AF34" s="360">
        <f>+[1]DailyAug!BH33</f>
        <v>9244</v>
      </c>
      <c r="AG34" s="360">
        <f>+[1]DailyAug!BL33</f>
        <v>19553.239999999994</v>
      </c>
      <c r="AH34" s="360">
        <f t="shared" si="22"/>
        <v>28797.239999999994</v>
      </c>
      <c r="AI34" s="6">
        <f t="shared" si="23"/>
        <v>444.37442133201642</v>
      </c>
      <c r="AJ34" s="6">
        <f t="shared" si="24"/>
        <v>462.72519844458003</v>
      </c>
    </row>
    <row r="35" spans="1:36">
      <c r="A35" s="352">
        <f t="shared" si="12"/>
        <v>45744</v>
      </c>
      <c r="B35" s="359">
        <f>Report1!P36</f>
        <v>64.551000000000002</v>
      </c>
      <c r="C35" s="359">
        <f>Report1!R36</f>
        <v>63.216000000000001</v>
      </c>
      <c r="D35" s="360">
        <f t="shared" si="13"/>
        <v>20399.200000000004</v>
      </c>
      <c r="E35" s="360">
        <f>+[1]DailyAug!O34</f>
        <v>732.10000000000264</v>
      </c>
      <c r="F35" s="354">
        <f t="shared" si="0"/>
        <v>11.341419962510304</v>
      </c>
      <c r="G35" s="354">
        <f t="shared" si="1"/>
        <v>11.580928878764912</v>
      </c>
      <c r="H35" s="360">
        <f>+[1]DailyAug!P34</f>
        <v>0</v>
      </c>
      <c r="I35" s="360">
        <f t="shared" si="14"/>
        <v>147342</v>
      </c>
      <c r="J35" s="360">
        <f>+[1]DailyAug!Q34</f>
        <v>5290</v>
      </c>
      <c r="K35" s="354">
        <f t="shared" si="2"/>
        <v>81.950705643599633</v>
      </c>
      <c r="L35" s="354">
        <f t="shared" si="3"/>
        <v>83.681346494558341</v>
      </c>
      <c r="M35" s="360">
        <f t="shared" si="15"/>
        <v>49822.399999999994</v>
      </c>
      <c r="N35" s="360">
        <f>+[1]DailyAug!R34</f>
        <v>0</v>
      </c>
      <c r="O35" s="354">
        <f t="shared" si="4"/>
        <v>0</v>
      </c>
      <c r="P35" s="354">
        <f t="shared" si="5"/>
        <v>0</v>
      </c>
      <c r="Q35" s="360">
        <f t="shared" si="16"/>
        <v>457550.63000000012</v>
      </c>
      <c r="R35" s="360">
        <f>+[1]DailyAug!S34</f>
        <v>14940.199999999706</v>
      </c>
      <c r="S35" s="354">
        <f t="shared" si="6"/>
        <v>231.44800235472272</v>
      </c>
      <c r="T35" s="354">
        <f t="shared" si="7"/>
        <v>236.33573778789713</v>
      </c>
      <c r="U35" s="360">
        <f t="shared" si="17"/>
        <v>231047.83000000048</v>
      </c>
      <c r="V35" s="360">
        <f>+[1]DailyAug!T34</f>
        <v>7170.3000000002112</v>
      </c>
      <c r="W35" s="354">
        <f t="shared" si="8"/>
        <v>111.07961147000373</v>
      </c>
      <c r="X35" s="354">
        <f t="shared" si="9"/>
        <v>113.42539863326074</v>
      </c>
      <c r="Y35" s="360">
        <f t="shared" si="18"/>
        <v>194433.03000000003</v>
      </c>
      <c r="Z35" s="360">
        <f>+[1]DailyAug!U34</f>
        <v>6319.6000000000467</v>
      </c>
      <c r="AA35" s="360">
        <f t="shared" si="19"/>
        <v>97.90088457188962</v>
      </c>
      <c r="AB35" s="360">
        <f t="shared" si="20"/>
        <v>99.968362439889376</v>
      </c>
      <c r="AC35" s="360">
        <f t="shared" si="21"/>
        <v>34452.199999999968</v>
      </c>
      <c r="AD35" s="357">
        <f t="shared" si="10"/>
        <v>533.72062400272603</v>
      </c>
      <c r="AE35" s="358">
        <f t="shared" si="11"/>
        <v>544.9917742343705</v>
      </c>
      <c r="AF35" s="360">
        <f>+[1]DailyAug!BH34</f>
        <v>30215</v>
      </c>
      <c r="AG35" s="360">
        <f>+[1]DailyAug!BL34</f>
        <v>0</v>
      </c>
      <c r="AH35" s="360">
        <f t="shared" si="22"/>
        <v>30215</v>
      </c>
      <c r="AI35" s="6">
        <f t="shared" si="23"/>
        <v>468.07950302861303</v>
      </c>
      <c r="AJ35" s="6">
        <f t="shared" si="24"/>
        <v>477.96443938243482</v>
      </c>
    </row>
    <row r="36" spans="1:36">
      <c r="A36" s="352">
        <f t="shared" si="12"/>
        <v>45745</v>
      </c>
      <c r="B36" s="359">
        <f>+Report1!P37</f>
        <v>68.784999999999997</v>
      </c>
      <c r="C36" s="359">
        <f>Report1!R37</f>
        <v>68.724999999999994</v>
      </c>
      <c r="D36" s="360">
        <f t="shared" si="13"/>
        <v>21105.700000000012</v>
      </c>
      <c r="E36" s="360">
        <f>+[1]DailyAug!O35</f>
        <v>706.50000000000546</v>
      </c>
      <c r="F36" s="354">
        <f t="shared" si="0"/>
        <v>10.271134695064411</v>
      </c>
      <c r="G36" s="354">
        <f t="shared" si="1"/>
        <v>10.28010185522016</v>
      </c>
      <c r="H36" s="360">
        <f>+[1]DailyAug!P35</f>
        <v>0</v>
      </c>
      <c r="I36" s="360">
        <f t="shared" si="14"/>
        <v>153382</v>
      </c>
      <c r="J36" s="360">
        <f>+[1]DailyAug!Q35</f>
        <v>6040</v>
      </c>
      <c r="K36" s="354">
        <f t="shared" si="2"/>
        <v>87.809842262121109</v>
      </c>
      <c r="L36" s="354">
        <f t="shared" si="3"/>
        <v>87.886504183339397</v>
      </c>
      <c r="M36" s="360">
        <f t="shared" si="15"/>
        <v>49822.399999999994</v>
      </c>
      <c r="N36" s="360">
        <f>+[1]DailyAug!R35</f>
        <v>0</v>
      </c>
      <c r="O36" s="354">
        <f t="shared" si="4"/>
        <v>0</v>
      </c>
      <c r="P36" s="354">
        <f t="shared" si="5"/>
        <v>0</v>
      </c>
      <c r="Q36" s="360">
        <f t="shared" si="16"/>
        <v>472954.46999999968</v>
      </c>
      <c r="R36" s="360">
        <f>+[1]DailyAug!S35</f>
        <v>15403.839999999558</v>
      </c>
      <c r="S36" s="354">
        <f t="shared" si="6"/>
        <v>223.94184778657495</v>
      </c>
      <c r="T36" s="354">
        <f t="shared" si="7"/>
        <v>224.13735903964437</v>
      </c>
      <c r="U36" s="360">
        <f t="shared" si="17"/>
        <v>238498.17000000019</v>
      </c>
      <c r="V36" s="360">
        <f>+[1]DailyAug!T35</f>
        <v>7450.3399999997091</v>
      </c>
      <c r="W36" s="354">
        <f t="shared" si="8"/>
        <v>108.31344043032216</v>
      </c>
      <c r="X36" s="354">
        <f t="shared" si="9"/>
        <v>108.40800291014492</v>
      </c>
      <c r="Y36" s="360">
        <f t="shared" si="18"/>
        <v>200387.97</v>
      </c>
      <c r="Z36" s="360">
        <f>+[1]DailyAug!U35</f>
        <v>5954.9399999999769</v>
      </c>
      <c r="AA36" s="360">
        <f t="shared" si="19"/>
        <v>86.57323544377374</v>
      </c>
      <c r="AB36" s="360">
        <f t="shared" si="20"/>
        <v>86.648817751909462</v>
      </c>
      <c r="AC36" s="360">
        <f t="shared" si="21"/>
        <v>35555.619999999253</v>
      </c>
      <c r="AD36" s="357">
        <f t="shared" si="10"/>
        <v>516.90950061785645</v>
      </c>
      <c r="AE36" s="358">
        <f t="shared" si="11"/>
        <v>517.36078574025839</v>
      </c>
      <c r="AF36" s="360">
        <f>+[1]DailyAug!BH35</f>
        <v>31212</v>
      </c>
      <c r="AG36" s="360">
        <f>+[1]DailyAug!BL35</f>
        <v>0</v>
      </c>
      <c r="AH36" s="360">
        <f t="shared" si="22"/>
        <v>31212</v>
      </c>
      <c r="AI36" s="6">
        <f t="shared" si="23"/>
        <v>453.7617213055172</v>
      </c>
      <c r="AJ36" s="6">
        <f t="shared" si="24"/>
        <v>454.15787559112408</v>
      </c>
    </row>
    <row r="37" spans="1:36">
      <c r="A37" s="352">
        <f t="shared" si="12"/>
        <v>45746</v>
      </c>
      <c r="B37" s="359">
        <f>Report1!P38</f>
        <v>73.941000000000003</v>
      </c>
      <c r="C37" s="359">
        <f>Report1!R38</f>
        <v>70.441999999999993</v>
      </c>
      <c r="D37" s="360">
        <f t="shared" si="13"/>
        <v>21861.29999999997</v>
      </c>
      <c r="E37" s="360">
        <f>+[1]DailyAug!O36</f>
        <v>755.59999999995853</v>
      </c>
      <c r="F37" s="354">
        <f t="shared" si="0"/>
        <v>10.218958358690827</v>
      </c>
      <c r="G37" s="354">
        <f t="shared" si="1"/>
        <v>10.726555180147619</v>
      </c>
      <c r="H37" s="360">
        <f>+[1]DailyAug!P36</f>
        <v>1359.6999999999534</v>
      </c>
      <c r="I37" s="360">
        <f t="shared" si="14"/>
        <v>160194</v>
      </c>
      <c r="J37" s="360">
        <f>+[1]DailyAug!Q36</f>
        <v>6812</v>
      </c>
      <c r="K37" s="354">
        <f t="shared" si="2"/>
        <v>92.127507066444863</v>
      </c>
      <c r="L37" s="354">
        <f t="shared" si="3"/>
        <v>96.703671105306498</v>
      </c>
      <c r="M37" s="360">
        <f t="shared" si="15"/>
        <v>49822.399999999994</v>
      </c>
      <c r="N37" s="360">
        <f>+[1]DailyAug!R36</f>
        <v>0</v>
      </c>
      <c r="O37" s="354">
        <f t="shared" si="4"/>
        <v>0</v>
      </c>
      <c r="P37" s="354">
        <f t="shared" si="5"/>
        <v>0</v>
      </c>
      <c r="Q37" s="360">
        <f t="shared" si="16"/>
        <v>488571.34000000096</v>
      </c>
      <c r="R37" s="360">
        <f>+[1]DailyAug!S36</f>
        <v>15616.870000001278</v>
      </c>
      <c r="S37" s="354">
        <f t="shared" si="6"/>
        <v>211.20717869654558</v>
      </c>
      <c r="T37" s="354">
        <f t="shared" si="7"/>
        <v>221.69827659636692</v>
      </c>
      <c r="U37" s="360">
        <f t="shared" si="17"/>
        <v>244006.64</v>
      </c>
      <c r="V37" s="360">
        <f>+[1]DailyAug!T36</f>
        <v>5508.4699999998402</v>
      </c>
      <c r="W37" s="354">
        <f t="shared" si="8"/>
        <v>74.49818098213224</v>
      </c>
      <c r="X37" s="354">
        <f t="shared" si="9"/>
        <v>78.198659890404031</v>
      </c>
      <c r="Y37" s="360">
        <f t="shared" si="18"/>
        <v>206550.63999999996</v>
      </c>
      <c r="Z37" s="360">
        <f>+[1]DailyAug!U36</f>
        <v>6162.6699999999537</v>
      </c>
      <c r="AA37" s="360">
        <f t="shared" si="19"/>
        <v>83.345775686019309</v>
      </c>
      <c r="AB37" s="360">
        <f t="shared" si="20"/>
        <v>87.485732943413794</v>
      </c>
      <c r="AC37" s="360">
        <f t="shared" si="21"/>
        <v>36215.310000000987</v>
      </c>
      <c r="AD37" s="357">
        <f t="shared" si="10"/>
        <v>489.78658660284532</v>
      </c>
      <c r="AE37" s="358">
        <f t="shared" si="11"/>
        <v>514.11530053094737</v>
      </c>
      <c r="AF37" s="360">
        <f>+[1]DailyAug!BH36</f>
        <v>32502</v>
      </c>
      <c r="AG37" s="360">
        <f>+[1]DailyAug!BL36</f>
        <v>0</v>
      </c>
      <c r="AH37" s="360">
        <f t="shared" si="22"/>
        <v>32502</v>
      </c>
      <c r="AI37" s="6">
        <f t="shared" si="23"/>
        <v>439.56668154339269</v>
      </c>
      <c r="AJ37" s="6">
        <f t="shared" si="24"/>
        <v>461.40086879986376</v>
      </c>
    </row>
    <row r="38" spans="1:36">
      <c r="A38" s="352">
        <f t="shared" si="12"/>
        <v>45747</v>
      </c>
      <c r="B38" s="359">
        <f>Report1!P39</f>
        <v>75.551000000000002</v>
      </c>
      <c r="C38" s="359">
        <f>Report1!R39</f>
        <v>73.796000000000006</v>
      </c>
      <c r="D38" s="360">
        <f t="shared" si="13"/>
        <v>22495.600000000024</v>
      </c>
      <c r="E38" s="360">
        <f>+[1]DailyAug!O37</f>
        <v>634.30000000005293</v>
      </c>
      <c r="F38" s="354">
        <f t="shared" si="0"/>
        <v>8.3956532673300543</v>
      </c>
      <c r="G38" s="354">
        <f t="shared" si="1"/>
        <v>8.5953168193405176</v>
      </c>
      <c r="H38" s="360">
        <f>+[1]DailyAug!P37</f>
        <v>0</v>
      </c>
      <c r="I38" s="360">
        <f t="shared" si="14"/>
        <v>165396</v>
      </c>
      <c r="J38" s="360">
        <f>+[1]DailyAug!Q37</f>
        <v>5202</v>
      </c>
      <c r="K38" s="354">
        <f t="shared" si="2"/>
        <v>68.854151500311048</v>
      </c>
      <c r="L38" s="354">
        <f t="shared" si="3"/>
        <v>70.491625562361094</v>
      </c>
      <c r="M38" s="360">
        <f t="shared" si="15"/>
        <v>49822.399999999994</v>
      </c>
      <c r="N38" s="360">
        <f>+[1]DailyAug!R37</f>
        <v>0</v>
      </c>
      <c r="O38" s="354">
        <f t="shared" si="4"/>
        <v>0</v>
      </c>
      <c r="P38" s="354">
        <f t="shared" si="5"/>
        <v>0</v>
      </c>
      <c r="Q38" s="360">
        <f t="shared" si="16"/>
        <v>503283.61000000092</v>
      </c>
      <c r="R38" s="360">
        <f>+[1]DailyAug!S37</f>
        <v>14712.269999999946</v>
      </c>
      <c r="S38" s="355">
        <f t="shared" si="6"/>
        <v>194.73296184034552</v>
      </c>
      <c r="T38" s="355">
        <f t="shared" si="7"/>
        <v>199.36405767250181</v>
      </c>
      <c r="U38" s="360">
        <f t="shared" si="17"/>
        <v>249542.21000000031</v>
      </c>
      <c r="V38" s="360">
        <f>+[1]DailyAug!T37</f>
        <v>5535.5700000003053</v>
      </c>
      <c r="W38" s="354">
        <f t="shared" si="8"/>
        <v>73.269314767512085</v>
      </c>
      <c r="X38" s="354">
        <f t="shared" si="9"/>
        <v>75.011789256874422</v>
      </c>
      <c r="Y38" s="360">
        <f t="shared" si="18"/>
        <v>212540.70999999996</v>
      </c>
      <c r="Z38" s="360">
        <f>+[1]DailyAug!U37</f>
        <v>5990.07</v>
      </c>
      <c r="AA38" s="360">
        <f t="shared" si="19"/>
        <v>79.285118661566358</v>
      </c>
      <c r="AB38" s="360">
        <f t="shared" si="20"/>
        <v>81.170659656349926</v>
      </c>
      <c r="AC38" s="360">
        <f t="shared" si="21"/>
        <v>32074.210000000305</v>
      </c>
      <c r="AD38" s="357">
        <f t="shared" si="10"/>
        <v>424.53720003706508</v>
      </c>
      <c r="AE38" s="358">
        <f t="shared" si="11"/>
        <v>434.6334489674278</v>
      </c>
      <c r="AF38" s="360">
        <f>+[1]DailyAug!BH37</f>
        <v>31426</v>
      </c>
      <c r="AG38" s="360">
        <f>+[1]DailyAug!BL37</f>
        <v>0</v>
      </c>
      <c r="AH38" s="360">
        <f t="shared" si="22"/>
        <v>31426</v>
      </c>
      <c r="AI38" s="6">
        <f t="shared" si="23"/>
        <v>415.95743272756152</v>
      </c>
      <c r="AJ38" s="6">
        <f t="shared" si="24"/>
        <v>425.8496395468589</v>
      </c>
    </row>
    <row r="39" spans="1:36">
      <c r="A39" s="352"/>
      <c r="B39" s="359"/>
      <c r="C39" s="359"/>
      <c r="D39" s="343"/>
      <c r="E39" s="360"/>
      <c r="F39" s="354"/>
      <c r="G39" s="354"/>
      <c r="H39" s="360"/>
      <c r="I39" s="347"/>
      <c r="J39" s="360"/>
      <c r="K39" s="354"/>
      <c r="L39" s="354"/>
      <c r="M39" s="349"/>
      <c r="N39" s="360"/>
      <c r="O39" s="354"/>
      <c r="P39" s="354"/>
      <c r="Q39" s="350"/>
      <c r="R39" s="360"/>
      <c r="S39" s="355"/>
      <c r="T39" s="355"/>
      <c r="U39" s="351"/>
      <c r="V39" s="360"/>
      <c r="W39" s="354"/>
      <c r="X39" s="354"/>
      <c r="Y39" s="360"/>
      <c r="Z39" s="360"/>
      <c r="AA39" s="360"/>
      <c r="AB39" s="360"/>
      <c r="AC39" s="360"/>
      <c r="AD39" s="357"/>
      <c r="AE39" s="358"/>
      <c r="AF39" s="360"/>
      <c r="AG39" s="360"/>
      <c r="AH39" s="356"/>
      <c r="AI39" s="453"/>
      <c r="AJ39" s="453"/>
    </row>
    <row r="40" spans="1:36">
      <c r="A40" s="361" t="s">
        <v>29</v>
      </c>
      <c r="B40" s="362">
        <f>SUM(B8:B38)</f>
        <v>1732.6890000000001</v>
      </c>
      <c r="C40" s="362">
        <f>SUM(C8:C38)</f>
        <v>1681.0409999999997</v>
      </c>
      <c r="D40" s="356"/>
      <c r="E40" s="360">
        <f>SUM(E8:E39)</f>
        <v>22495.600000000024</v>
      </c>
      <c r="F40" s="363">
        <f>E40/B40</f>
        <v>12.983056970985574</v>
      </c>
      <c r="G40" s="363">
        <f>E40/C40</f>
        <v>13.38194606794244</v>
      </c>
      <c r="H40" s="360">
        <f>SUM(H8:H39)</f>
        <v>60090.5</v>
      </c>
      <c r="I40" s="364"/>
      <c r="J40" s="360">
        <f>SUM(J8:J39)</f>
        <v>165396</v>
      </c>
      <c r="K40" s="363">
        <f>J40/B40</f>
        <v>95.456253257220425</v>
      </c>
      <c r="L40" s="363">
        <f>J40/C40</f>
        <v>98.389033937899214</v>
      </c>
      <c r="M40" s="365"/>
      <c r="N40" s="360">
        <f>SUM(N8:N39)</f>
        <v>49822.399999999994</v>
      </c>
      <c r="O40" s="363">
        <f>N40/B40</f>
        <v>28.754381195933021</v>
      </c>
      <c r="P40" s="363">
        <f>N40/C40</f>
        <v>29.637825609250459</v>
      </c>
      <c r="Q40" s="366"/>
      <c r="R40" s="360">
        <f>SUM(R8:R39)</f>
        <v>503283.61000000092</v>
      </c>
      <c r="S40" s="363">
        <f>R40/B40</f>
        <v>290.46390321633072</v>
      </c>
      <c r="T40" s="363">
        <f>R40/C40</f>
        <v>299.3880637057639</v>
      </c>
      <c r="U40" s="367"/>
      <c r="V40" s="360">
        <f>SUM(V8:V39)</f>
        <v>249542.21000000031</v>
      </c>
      <c r="W40" s="363">
        <f>V40/B40</f>
        <v>144.02019635376013</v>
      </c>
      <c r="X40" s="363">
        <f>V40/C40</f>
        <v>148.44504684894679</v>
      </c>
      <c r="Y40" s="368"/>
      <c r="Z40" s="360">
        <f>SUM(Z8:Z39)</f>
        <v>212540.70999999996</v>
      </c>
      <c r="AA40" s="363">
        <f>Z40/B40</f>
        <v>122.66523882820285</v>
      </c>
      <c r="AB40" s="363">
        <f>Z40/C40</f>
        <v>126.43398346619743</v>
      </c>
      <c r="AC40" s="360">
        <f>+E40+J40+N40+R40+V40+Z40+H40</f>
        <v>1263171.0300000012</v>
      </c>
      <c r="AD40" s="464">
        <f>AC40/B40</f>
        <v>729.0235177807449</v>
      </c>
      <c r="AE40" s="18">
        <f>AC40/C40</f>
        <v>751.42190464123212</v>
      </c>
      <c r="AF40" s="360">
        <f>SUM(AF8:AF39)</f>
        <v>250082</v>
      </c>
      <c r="AG40" s="360">
        <f>SUM(AG8:AG39)</f>
        <v>19553.239999999994</v>
      </c>
      <c r="AH40" s="356">
        <f>+SUM(AH8:AH38)</f>
        <v>269635.24</v>
      </c>
      <c r="AI40" s="363">
        <f>AF40/B40</f>
        <v>144.33172946789642</v>
      </c>
      <c r="AJ40" s="21">
        <f>AF40/C40</f>
        <v>148.76615145020261</v>
      </c>
    </row>
    <row r="41" spans="1:36">
      <c r="U41" s="369"/>
    </row>
    <row r="42" spans="1:36">
      <c r="AC42" s="4">
        <f>+AC40-[1]DailyAug!$V$38</f>
        <v>0</v>
      </c>
      <c r="AF42" s="4">
        <f>+AF40-[1]DailyAug!$BH$38</f>
        <v>0</v>
      </c>
      <c r="AG42" s="4">
        <f>+AG40-[1]DailyAug!$BL$38</f>
        <v>0</v>
      </c>
    </row>
    <row r="43" spans="1:36">
      <c r="G43" s="370"/>
      <c r="H43" s="370"/>
      <c r="I43" s="371"/>
    </row>
    <row r="44" spans="1:36">
      <c r="G44" s="370"/>
      <c r="H44" s="370"/>
      <c r="J44" s="370"/>
      <c r="M44" s="370"/>
    </row>
    <row r="45" spans="1:36">
      <c r="E45" t="s">
        <v>0</v>
      </c>
      <c r="G45" s="370"/>
      <c r="H45" s="370"/>
    </row>
  </sheetData>
  <mergeCells count="13">
    <mergeCell ref="A2:AC2"/>
    <mergeCell ref="A4:A6"/>
    <mergeCell ref="B4:B6"/>
    <mergeCell ref="C4:C6"/>
    <mergeCell ref="D5:G5"/>
    <mergeCell ref="I5:L5"/>
    <mergeCell ref="AC4:AE5"/>
    <mergeCell ref="AF4:AJ5"/>
    <mergeCell ref="M5:P5"/>
    <mergeCell ref="Q5:T5"/>
    <mergeCell ref="U5:X5"/>
    <mergeCell ref="Y5:AB5"/>
    <mergeCell ref="D4:AB4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8"/>
  <sheetViews>
    <sheetView topLeftCell="A84" zoomScaleNormal="100" workbookViewId="0">
      <selection activeCell="F110" sqref="F110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9.5703125" bestFit="1" customWidth="1"/>
  </cols>
  <sheetData>
    <row r="1" spans="1:11">
      <c r="A1" s="94" t="s">
        <v>262</v>
      </c>
      <c r="B1" s="376">
        <f>+Report1!A9</f>
        <v>45870</v>
      </c>
      <c r="C1" s="95"/>
      <c r="G1" s="96"/>
      <c r="H1" s="97"/>
    </row>
    <row r="2" spans="1:11" ht="13.5" thickBot="1">
      <c r="A2" s="94"/>
      <c r="B2" s="95"/>
      <c r="C2" s="95"/>
      <c r="G2" s="96"/>
      <c r="H2" s="97"/>
    </row>
    <row r="3" spans="1:11" ht="26.25" thickBot="1">
      <c r="A3" s="434" t="s">
        <v>122</v>
      </c>
      <c r="B3" s="415" t="s">
        <v>10</v>
      </c>
      <c r="C3" s="415" t="s">
        <v>95</v>
      </c>
      <c r="D3" s="415" t="s">
        <v>123</v>
      </c>
      <c r="E3" s="415" t="s">
        <v>124</v>
      </c>
      <c r="F3" s="415" t="s">
        <v>125</v>
      </c>
      <c r="G3" s="416" t="s">
        <v>126</v>
      </c>
      <c r="H3" s="467" t="s">
        <v>127</v>
      </c>
      <c r="I3" s="590" t="s">
        <v>387</v>
      </c>
    </row>
    <row r="4" spans="1:11">
      <c r="A4" s="380">
        <f>+B1</f>
        <v>45870</v>
      </c>
      <c r="B4" s="450" t="s">
        <v>418</v>
      </c>
      <c r="C4" s="381">
        <v>2</v>
      </c>
      <c r="D4" s="414" t="s">
        <v>420</v>
      </c>
      <c r="E4" s="414">
        <f>41*8</f>
        <v>328</v>
      </c>
      <c r="F4" s="414">
        <f>9+6+8+9</f>
        <v>32</v>
      </c>
      <c r="G4" s="381">
        <f>+E4*F4</f>
        <v>10496</v>
      </c>
      <c r="H4" s="452">
        <f>+(E4*F4+E5*F5)/(SUM(F4:F5))</f>
        <v>328.06060606060606</v>
      </c>
      <c r="I4" s="591">
        <f>+'1'!N37</f>
        <v>48.856000000000009</v>
      </c>
    </row>
    <row r="5" spans="1:11">
      <c r="A5" s="564"/>
      <c r="B5" s="565" t="s">
        <v>418</v>
      </c>
      <c r="C5" s="566">
        <v>2</v>
      </c>
      <c r="D5" s="567" t="s">
        <v>421</v>
      </c>
      <c r="E5" s="567">
        <f>41*2+124*2</f>
        <v>330</v>
      </c>
      <c r="F5" s="567">
        <v>1</v>
      </c>
      <c r="G5" s="566">
        <f>+E5*F5</f>
        <v>330</v>
      </c>
      <c r="H5" s="452"/>
      <c r="I5" s="591"/>
      <c r="K5">
        <f>SUM(I:I)</f>
        <v>1732.6890000000008</v>
      </c>
    </row>
    <row r="6" spans="1:11">
      <c r="A6" s="564"/>
      <c r="B6" s="565" t="s">
        <v>419</v>
      </c>
      <c r="C6" s="566">
        <v>2</v>
      </c>
      <c r="D6" s="596" t="s">
        <v>422</v>
      </c>
      <c r="E6" s="596">
        <f>165*2</f>
        <v>330</v>
      </c>
      <c r="F6" s="567">
        <f>8+5</f>
        <v>13</v>
      </c>
      <c r="G6" s="566">
        <f>+E6*F6</f>
        <v>4290</v>
      </c>
      <c r="H6" s="452">
        <f>+(E6*F6+E7*F7)/(SUM(F6:F7))</f>
        <v>329.76470588235293</v>
      </c>
      <c r="I6" s="591">
        <f>+'1'!N38</f>
        <v>32.611000000000004</v>
      </c>
      <c r="K6">
        <f>+K5-'31'!J38</f>
        <v>0</v>
      </c>
    </row>
    <row r="7" spans="1:11">
      <c r="A7" s="564"/>
      <c r="B7" s="565" t="s">
        <v>419</v>
      </c>
      <c r="C7" s="566">
        <v>2</v>
      </c>
      <c r="D7" s="596" t="s">
        <v>423</v>
      </c>
      <c r="E7" s="596">
        <f>117.5*2+94</f>
        <v>329</v>
      </c>
      <c r="F7" s="567">
        <v>4</v>
      </c>
      <c r="G7" s="566">
        <f>+E7*F7</f>
        <v>1316</v>
      </c>
      <c r="H7" s="452"/>
      <c r="I7" s="591"/>
    </row>
    <row r="8" spans="1:11" ht="13.5" thickBot="1">
      <c r="A8" s="417"/>
      <c r="B8" s="418"/>
      <c r="C8" s="419"/>
      <c r="D8" s="420"/>
      <c r="E8" s="419"/>
      <c r="F8" s="419"/>
      <c r="G8" s="419"/>
      <c r="H8" s="451"/>
      <c r="I8" s="451"/>
    </row>
    <row r="9" spans="1:11">
      <c r="A9" s="380">
        <v>45871</v>
      </c>
      <c r="B9" s="565" t="s">
        <v>419</v>
      </c>
      <c r="C9" s="566">
        <v>2</v>
      </c>
      <c r="D9" s="596" t="s">
        <v>423</v>
      </c>
      <c r="E9" s="596">
        <f>117.5*2+94</f>
        <v>329</v>
      </c>
      <c r="F9" s="567">
        <f>5+8</f>
        <v>13</v>
      </c>
      <c r="G9" s="566">
        <f>+E9*F9</f>
        <v>4277</v>
      </c>
      <c r="H9" s="452">
        <f>+G9/F9</f>
        <v>329</v>
      </c>
      <c r="I9" s="591">
        <f>+'2'!N37</f>
        <v>14.495000000000001</v>
      </c>
    </row>
    <row r="10" spans="1:11">
      <c r="B10" s="565" t="s">
        <v>453</v>
      </c>
      <c r="C10" s="566">
        <v>2</v>
      </c>
      <c r="D10" s="596" t="s">
        <v>422</v>
      </c>
      <c r="E10" s="596">
        <f>165*2</f>
        <v>330</v>
      </c>
      <c r="F10" s="567">
        <f>3+2+4+5+2</f>
        <v>16</v>
      </c>
      <c r="G10" s="566">
        <f>+E10*F10</f>
        <v>5280</v>
      </c>
      <c r="H10" s="452">
        <f t="shared" ref="H10:H16" si="0">+G10/F10</f>
        <v>330</v>
      </c>
      <c r="I10" s="591">
        <f>+'2'!N38</f>
        <v>19.186</v>
      </c>
    </row>
    <row r="11" spans="1:11">
      <c r="B11" s="565" t="s">
        <v>454</v>
      </c>
      <c r="C11" s="598">
        <v>2</v>
      </c>
      <c r="D11" s="596" t="s">
        <v>455</v>
      </c>
      <c r="E11" s="596">
        <f>84*3+63</f>
        <v>315</v>
      </c>
      <c r="F11">
        <f>5+3</f>
        <v>8</v>
      </c>
      <c r="G11" s="566">
        <f>+E11*F11</f>
        <v>2520</v>
      </c>
      <c r="H11" s="452">
        <f t="shared" si="0"/>
        <v>315</v>
      </c>
      <c r="I11" s="591">
        <f>+'2'!N39</f>
        <v>11.198</v>
      </c>
    </row>
    <row r="12" spans="1:11">
      <c r="B12" s="565" t="s">
        <v>456</v>
      </c>
      <c r="C12" s="598">
        <v>2</v>
      </c>
      <c r="D12" s="596" t="s">
        <v>422</v>
      </c>
      <c r="E12" s="596">
        <f>165*2</f>
        <v>330</v>
      </c>
      <c r="F12">
        <f>7+6</f>
        <v>13</v>
      </c>
      <c r="G12" s="566">
        <f>+E12*F12</f>
        <v>4290</v>
      </c>
      <c r="H12" s="452">
        <f t="shared" si="0"/>
        <v>330</v>
      </c>
      <c r="I12" s="591">
        <f>+'2'!N40</f>
        <v>14.156000000000001</v>
      </c>
    </row>
    <row r="13" spans="1:11">
      <c r="B13" s="565" t="s">
        <v>458</v>
      </c>
      <c r="C13" s="598">
        <v>2</v>
      </c>
      <c r="D13" s="596" t="s">
        <v>457</v>
      </c>
      <c r="E13" s="596">
        <f>115*2+48*2</f>
        <v>326</v>
      </c>
      <c r="F13">
        <f>2+2</f>
        <v>4</v>
      </c>
      <c r="G13" s="566">
        <f>+E13*F13</f>
        <v>1304</v>
      </c>
      <c r="H13" s="452">
        <f t="shared" si="0"/>
        <v>326</v>
      </c>
      <c r="I13" s="591">
        <f>+'2'!N41</f>
        <v>11.768000000000001</v>
      </c>
    </row>
    <row r="14" spans="1:11" ht="13.5" thickBot="1">
      <c r="A14" s="417"/>
      <c r="B14" s="418"/>
      <c r="C14" s="419"/>
      <c r="D14" s="420"/>
      <c r="E14" s="419"/>
      <c r="F14" s="419"/>
      <c r="G14" s="419"/>
      <c r="H14" s="451"/>
      <c r="I14" s="451"/>
    </row>
    <row r="15" spans="1:11">
      <c r="A15" s="380">
        <v>45872</v>
      </c>
      <c r="B15" s="565" t="s">
        <v>458</v>
      </c>
      <c r="C15" s="598">
        <v>2</v>
      </c>
      <c r="D15" s="596" t="s">
        <v>457</v>
      </c>
      <c r="E15" s="596">
        <f>115*2+48*2</f>
        <v>326</v>
      </c>
      <c r="F15">
        <f>6+5</f>
        <v>11</v>
      </c>
      <c r="G15" s="566">
        <f>+E15*F15</f>
        <v>3586</v>
      </c>
      <c r="H15" s="452">
        <f t="shared" si="0"/>
        <v>326</v>
      </c>
      <c r="I15" s="591">
        <f>+'3'!N37</f>
        <v>4.694</v>
      </c>
    </row>
    <row r="16" spans="1:11">
      <c r="B16" s="565" t="s">
        <v>459</v>
      </c>
      <c r="C16" s="598">
        <v>2</v>
      </c>
      <c r="D16" s="596" t="s">
        <v>460</v>
      </c>
      <c r="E16" s="596">
        <f>51*5+66</f>
        <v>321</v>
      </c>
      <c r="F16">
        <f>2+2+9+9+9+9</f>
        <v>40</v>
      </c>
      <c r="G16" s="566">
        <f>+E16*F16</f>
        <v>12840</v>
      </c>
      <c r="H16" s="452">
        <f t="shared" si="0"/>
        <v>321</v>
      </c>
      <c r="I16" s="591">
        <f>+'3'!N38</f>
        <v>49.516999999999996</v>
      </c>
    </row>
    <row r="17" spans="1:9" ht="13.5" thickBot="1">
      <c r="A17" s="417"/>
      <c r="B17" s="418"/>
      <c r="C17" s="419"/>
      <c r="D17" s="420"/>
      <c r="E17" s="419"/>
      <c r="F17" s="419"/>
      <c r="G17" s="419"/>
      <c r="H17" s="451"/>
      <c r="I17" s="451"/>
    </row>
    <row r="18" spans="1:9">
      <c r="A18" s="380">
        <v>45873</v>
      </c>
      <c r="B18" s="565" t="s">
        <v>459</v>
      </c>
      <c r="C18" s="598">
        <v>2</v>
      </c>
      <c r="D18" s="596" t="s">
        <v>460</v>
      </c>
      <c r="E18" s="596">
        <f>51*5+66</f>
        <v>321</v>
      </c>
      <c r="F18">
        <f>10+8+3</f>
        <v>21</v>
      </c>
      <c r="G18" s="566">
        <f>+E18*F18</f>
        <v>6741</v>
      </c>
      <c r="H18" s="452">
        <f>+G18/F18</f>
        <v>321</v>
      </c>
      <c r="I18" s="591">
        <f>+'4'!N37</f>
        <v>19.055</v>
      </c>
    </row>
    <row r="19" spans="1:9">
      <c r="B19" s="565" t="s">
        <v>476</v>
      </c>
      <c r="C19" s="598">
        <v>2</v>
      </c>
      <c r="D19" s="596" t="s">
        <v>475</v>
      </c>
      <c r="E19" s="596">
        <f>23*4+112*2</f>
        <v>316</v>
      </c>
      <c r="F19">
        <f>1+7+6+9</f>
        <v>23</v>
      </c>
      <c r="G19" s="566">
        <f>+E19*F19</f>
        <v>7268</v>
      </c>
      <c r="H19" s="452">
        <f>+G19/F19</f>
        <v>316</v>
      </c>
      <c r="I19" s="591">
        <f>+'4'!N38</f>
        <v>29.405999999999999</v>
      </c>
    </row>
    <row r="20" spans="1:9">
      <c r="B20" s="565" t="s">
        <v>473</v>
      </c>
      <c r="C20" s="598">
        <v>2</v>
      </c>
      <c r="D20" s="596" t="s">
        <v>474</v>
      </c>
      <c r="E20" s="596">
        <f>112*2+96</f>
        <v>320</v>
      </c>
      <c r="F20">
        <v>0</v>
      </c>
      <c r="G20" s="566">
        <f>+E20*F20</f>
        <v>0</v>
      </c>
      <c r="H20" s="452">
        <f>+E20</f>
        <v>320</v>
      </c>
      <c r="I20" s="591">
        <f>+'4'!N39</f>
        <v>0</v>
      </c>
    </row>
    <row r="21" spans="1:9" ht="13.5" thickBot="1">
      <c r="A21" s="417"/>
      <c r="B21" s="418"/>
      <c r="C21" s="419"/>
      <c r="D21" s="420"/>
      <c r="E21" s="419"/>
      <c r="F21" s="419"/>
      <c r="G21" s="419"/>
      <c r="H21" s="451"/>
      <c r="I21" s="451"/>
    </row>
    <row r="22" spans="1:9">
      <c r="A22" s="380">
        <v>45874</v>
      </c>
      <c r="B22" s="565" t="s">
        <v>476</v>
      </c>
      <c r="C22" s="598">
        <v>2</v>
      </c>
      <c r="D22" s="596" t="s">
        <v>475</v>
      </c>
      <c r="E22" s="596">
        <f>23*4+112*2</f>
        <v>316</v>
      </c>
      <c r="F22">
        <v>2</v>
      </c>
      <c r="G22" s="566">
        <f>+E22*F22</f>
        <v>632</v>
      </c>
      <c r="H22" s="452">
        <f>+G22/F22</f>
        <v>316</v>
      </c>
      <c r="I22" s="591">
        <f>+'5'!I38</f>
        <v>1.7759999999999998</v>
      </c>
    </row>
    <row r="23" spans="1:9">
      <c r="B23" s="565" t="s">
        <v>509</v>
      </c>
      <c r="C23" s="598">
        <v>2</v>
      </c>
      <c r="D23" s="596" t="s">
        <v>492</v>
      </c>
      <c r="E23" s="596">
        <f>133*2+60</f>
        <v>326</v>
      </c>
      <c r="F23">
        <v>0</v>
      </c>
      <c r="G23" s="566">
        <f>+E23*F23</f>
        <v>0</v>
      </c>
      <c r="H23" s="452">
        <f>+E23</f>
        <v>326</v>
      </c>
      <c r="I23" s="591">
        <f>+'5'!I39</f>
        <v>0</v>
      </c>
    </row>
    <row r="24" spans="1:9" ht="13.5" thickBot="1">
      <c r="A24" s="417"/>
      <c r="B24" s="418"/>
      <c r="C24" s="419"/>
      <c r="D24" s="420"/>
      <c r="E24" s="419"/>
      <c r="F24" s="419"/>
      <c r="G24" s="419"/>
      <c r="H24" s="451"/>
      <c r="I24" s="451"/>
    </row>
    <row r="25" spans="1:9">
      <c r="A25" s="380">
        <v>45875</v>
      </c>
      <c r="B25" s="565" t="s">
        <v>509</v>
      </c>
      <c r="C25" s="598">
        <v>2</v>
      </c>
      <c r="D25" s="596" t="s">
        <v>492</v>
      </c>
      <c r="E25" s="596">
        <f>133*2+60</f>
        <v>326</v>
      </c>
      <c r="F25">
        <f>8+2+3</f>
        <v>13</v>
      </c>
      <c r="G25" s="566">
        <f>+E25*F25</f>
        <v>4238</v>
      </c>
      <c r="H25" s="452">
        <f>+(E25*F25+E26*F26)/(SUM(F25:F26))</f>
        <v>326.28571428571428</v>
      </c>
      <c r="I25" s="591">
        <f>+'6'!N37</f>
        <v>19.231999999999999</v>
      </c>
    </row>
    <row r="26" spans="1:9">
      <c r="B26" s="565" t="s">
        <v>509</v>
      </c>
      <c r="C26" s="598">
        <v>2</v>
      </c>
      <c r="D26" s="596" t="s">
        <v>510</v>
      </c>
      <c r="E26" s="596">
        <f>33*10</f>
        <v>330</v>
      </c>
      <c r="F26">
        <v>1</v>
      </c>
      <c r="G26" s="566">
        <f>+E26*F26</f>
        <v>330</v>
      </c>
      <c r="H26" s="452"/>
      <c r="I26" s="591"/>
    </row>
    <row r="27" spans="1:9">
      <c r="B27" s="565" t="s">
        <v>476</v>
      </c>
      <c r="C27" s="598">
        <v>2</v>
      </c>
      <c r="D27" s="596" t="s">
        <v>510</v>
      </c>
      <c r="E27">
        <f>33*10</f>
        <v>330</v>
      </c>
      <c r="F27">
        <f>4+1+8+5</f>
        <v>18</v>
      </c>
      <c r="G27" s="566">
        <f>+E27*F27</f>
        <v>5940</v>
      </c>
      <c r="H27" s="452">
        <f>+G27/F27</f>
        <v>330</v>
      </c>
      <c r="I27" s="591">
        <f>+'6'!N38</f>
        <v>23.992000000000004</v>
      </c>
    </row>
    <row r="28" spans="1:9" ht="13.5" thickBot="1">
      <c r="A28" s="417"/>
      <c r="B28" s="418"/>
      <c r="C28" s="419"/>
      <c r="D28" s="420"/>
      <c r="E28" s="419"/>
      <c r="F28" s="419"/>
      <c r="G28" s="419"/>
      <c r="H28" s="451"/>
      <c r="I28" s="451"/>
    </row>
    <row r="29" spans="1:9">
      <c r="A29" s="380">
        <v>45876</v>
      </c>
      <c r="B29" s="565" t="s">
        <v>476</v>
      </c>
      <c r="C29" s="598">
        <v>2</v>
      </c>
      <c r="D29" s="596" t="s">
        <v>510</v>
      </c>
      <c r="E29">
        <f>33*10</f>
        <v>330</v>
      </c>
      <c r="F29">
        <f>6+7+3+1</f>
        <v>17</v>
      </c>
      <c r="G29" s="566">
        <f>+E29*F29</f>
        <v>5610</v>
      </c>
      <c r="H29" s="452">
        <f>+(E29*F29+E30*F30)/(SUM(F29:F30))</f>
        <v>326.10000000000002</v>
      </c>
      <c r="I29" s="591">
        <f>+'7'!N37</f>
        <v>18.126000000000001</v>
      </c>
    </row>
    <row r="30" spans="1:9">
      <c r="B30" s="565" t="s">
        <v>476</v>
      </c>
      <c r="C30" s="598">
        <v>2</v>
      </c>
      <c r="D30" s="596" t="s">
        <v>534</v>
      </c>
      <c r="E30" s="596">
        <f>76*4</f>
        <v>304</v>
      </c>
      <c r="F30">
        <v>3</v>
      </c>
      <c r="G30" s="566">
        <f>+E30*F30</f>
        <v>912</v>
      </c>
      <c r="H30" s="452"/>
      <c r="I30" s="591"/>
    </row>
    <row r="31" spans="1:9">
      <c r="B31" s="565" t="s">
        <v>536</v>
      </c>
      <c r="C31" s="598">
        <v>2</v>
      </c>
      <c r="D31" s="596" t="s">
        <v>535</v>
      </c>
      <c r="E31" s="596">
        <f>162*2</f>
        <v>324</v>
      </c>
      <c r="F31">
        <f>2+9</f>
        <v>11</v>
      </c>
      <c r="G31" s="566">
        <f>+E31*F31</f>
        <v>3564</v>
      </c>
      <c r="H31" s="452">
        <f>+G31/F31</f>
        <v>324</v>
      </c>
      <c r="I31" s="591">
        <f>+'7'!N38</f>
        <v>16.498000000000001</v>
      </c>
    </row>
    <row r="32" spans="1:9" ht="13.5" thickBot="1">
      <c r="A32" s="417"/>
      <c r="B32" s="418"/>
      <c r="C32" s="419"/>
      <c r="D32" s="420"/>
      <c r="E32" s="419"/>
      <c r="F32" s="419"/>
      <c r="G32" s="419"/>
      <c r="H32" s="451"/>
      <c r="I32" s="451"/>
    </row>
    <row r="33" spans="1:9">
      <c r="A33" s="380">
        <v>45877</v>
      </c>
      <c r="B33" s="565" t="s">
        <v>536</v>
      </c>
      <c r="C33" s="598">
        <v>2</v>
      </c>
      <c r="D33" s="596" t="s">
        <v>535</v>
      </c>
      <c r="E33" s="596">
        <f>162*2</f>
        <v>324</v>
      </c>
      <c r="F33">
        <v>11</v>
      </c>
      <c r="G33" s="566">
        <f>+E33*F33</f>
        <v>3564</v>
      </c>
      <c r="H33" s="452">
        <f>+G33/F33</f>
        <v>324</v>
      </c>
      <c r="I33" s="591">
        <f>+'8'!I38</f>
        <v>69.406999999999996</v>
      </c>
    </row>
    <row r="34" spans="1:9">
      <c r="B34" s="565" t="s">
        <v>543</v>
      </c>
      <c r="C34" s="598">
        <v>2</v>
      </c>
      <c r="D34" s="596" t="s">
        <v>535</v>
      </c>
      <c r="E34" s="596">
        <f>162*2</f>
        <v>324</v>
      </c>
      <c r="F34">
        <f>90/2</f>
        <v>45</v>
      </c>
      <c r="G34" s="566">
        <f>+E34*F34</f>
        <v>14580</v>
      </c>
      <c r="H34" s="452">
        <f>+G34/F34</f>
        <v>324</v>
      </c>
      <c r="I34" s="591"/>
    </row>
    <row r="35" spans="1:9" ht="13.5" thickBot="1">
      <c r="A35" s="417"/>
      <c r="B35" s="418"/>
      <c r="C35" s="419"/>
      <c r="D35" s="420"/>
      <c r="E35" s="419"/>
      <c r="F35" s="419"/>
      <c r="G35" s="419"/>
      <c r="H35" s="451"/>
      <c r="I35" s="451"/>
    </row>
    <row r="36" spans="1:9">
      <c r="A36" s="380">
        <v>45878</v>
      </c>
      <c r="B36" s="565" t="s">
        <v>543</v>
      </c>
      <c r="C36" s="598">
        <v>2</v>
      </c>
      <c r="D36" s="596" t="s">
        <v>535</v>
      </c>
      <c r="E36" s="596">
        <f>162*2</f>
        <v>324</v>
      </c>
      <c r="F36">
        <f>9+8+10+8+5</f>
        <v>40</v>
      </c>
      <c r="G36" s="566">
        <f>+E36*F36</f>
        <v>12960</v>
      </c>
      <c r="H36" s="452">
        <f>+G36/F36</f>
        <v>324</v>
      </c>
      <c r="I36" s="591">
        <f>+'9'!I38</f>
        <v>70.388999999999996</v>
      </c>
    </row>
    <row r="37" spans="1:9">
      <c r="B37" s="565" t="s">
        <v>566</v>
      </c>
      <c r="C37" s="598">
        <v>2</v>
      </c>
      <c r="D37" s="596" t="s">
        <v>578</v>
      </c>
      <c r="E37" s="596">
        <f>164*2</f>
        <v>328</v>
      </c>
      <c r="F37">
        <v>8</v>
      </c>
      <c r="G37" s="566">
        <f>+E37*F37</f>
        <v>2624</v>
      </c>
      <c r="H37" s="452">
        <f>+G37/F37</f>
        <v>328</v>
      </c>
      <c r="I37" s="591"/>
    </row>
    <row r="38" spans="1:9">
      <c r="B38" s="565" t="s">
        <v>572</v>
      </c>
      <c r="C38" s="598">
        <v>2</v>
      </c>
      <c r="D38" s="596" t="s">
        <v>578</v>
      </c>
      <c r="E38" s="596">
        <f>164*2</f>
        <v>328</v>
      </c>
      <c r="F38">
        <v>4</v>
      </c>
      <c r="G38" s="566">
        <f>+E38*F38</f>
        <v>1312</v>
      </c>
      <c r="H38" s="452">
        <f>+G38/F38</f>
        <v>328</v>
      </c>
      <c r="I38" s="591"/>
    </row>
    <row r="39" spans="1:9" ht="13.5" thickBot="1">
      <c r="A39" s="417"/>
      <c r="B39" s="418"/>
      <c r="C39" s="419"/>
      <c r="D39" s="420"/>
      <c r="E39" s="419"/>
      <c r="F39" s="419"/>
      <c r="G39" s="419"/>
      <c r="H39" s="451"/>
      <c r="I39" s="451"/>
    </row>
    <row r="40" spans="1:9">
      <c r="A40" s="380">
        <v>45879</v>
      </c>
      <c r="B40" s="565" t="s">
        <v>572</v>
      </c>
      <c r="C40" s="598">
        <v>2</v>
      </c>
      <c r="D40" s="596" t="s">
        <v>578</v>
      </c>
      <c r="E40" s="596">
        <f>164*2</f>
        <v>328</v>
      </c>
      <c r="F40">
        <f>13+6+11+11+10+10</f>
        <v>61</v>
      </c>
      <c r="G40" s="566">
        <f>+E40*F40</f>
        <v>20008</v>
      </c>
      <c r="H40" s="452">
        <f>+G40/F40</f>
        <v>328</v>
      </c>
      <c r="I40" s="591">
        <f>+'10'!I38</f>
        <v>74.045000000000002</v>
      </c>
    </row>
    <row r="41" spans="1:9">
      <c r="A41" s="564"/>
      <c r="B41" s="565" t="s">
        <v>509</v>
      </c>
      <c r="C41" s="598">
        <v>2</v>
      </c>
      <c r="D41" s="596" t="s">
        <v>579</v>
      </c>
      <c r="E41" s="596">
        <f>56*5+48*1</f>
        <v>328</v>
      </c>
      <c r="F41">
        <v>1</v>
      </c>
      <c r="G41" s="566">
        <f>+E41*F41</f>
        <v>328</v>
      </c>
      <c r="H41" s="452">
        <f>+(E41*F41+E42*F42)/(SUM(F41:F42))</f>
        <v>329</v>
      </c>
      <c r="I41" s="591"/>
    </row>
    <row r="42" spans="1:9">
      <c r="A42" s="564"/>
      <c r="B42" s="565" t="s">
        <v>509</v>
      </c>
      <c r="C42" s="598">
        <v>2</v>
      </c>
      <c r="D42" s="596" t="s">
        <v>580</v>
      </c>
      <c r="E42" s="596">
        <f>48*6+42*1</f>
        <v>330</v>
      </c>
      <c r="F42">
        <v>1</v>
      </c>
      <c r="G42" s="566">
        <f>+E42*F42</f>
        <v>330</v>
      </c>
      <c r="H42" s="452"/>
      <c r="I42" s="591"/>
    </row>
    <row r="43" spans="1:9" ht="13.5" thickBot="1">
      <c r="A43" s="417"/>
      <c r="B43" s="418"/>
      <c r="C43" s="419"/>
      <c r="D43" s="420"/>
      <c r="E43" s="419"/>
      <c r="F43" s="419"/>
      <c r="G43" s="419"/>
      <c r="H43" s="451"/>
      <c r="I43" s="451"/>
    </row>
    <row r="44" spans="1:9">
      <c r="A44" s="380">
        <v>45880</v>
      </c>
      <c r="B44" s="565" t="s">
        <v>572</v>
      </c>
      <c r="C44" s="598">
        <v>2</v>
      </c>
      <c r="D44" s="596" t="s">
        <v>578</v>
      </c>
      <c r="E44" s="596">
        <f>164*2</f>
        <v>328</v>
      </c>
      <c r="F44">
        <v>2</v>
      </c>
      <c r="G44" s="566">
        <f>+E44*F44</f>
        <v>656</v>
      </c>
      <c r="H44" s="604">
        <f>+G44/F44</f>
        <v>328</v>
      </c>
      <c r="I44" s="605" t="s">
        <v>291</v>
      </c>
    </row>
    <row r="45" spans="1:9">
      <c r="B45" s="565" t="s">
        <v>509</v>
      </c>
      <c r="C45" s="598">
        <v>2</v>
      </c>
      <c r="D45" s="596" t="s">
        <v>580</v>
      </c>
      <c r="E45" s="596">
        <f>48*6+42*1</f>
        <v>330</v>
      </c>
      <c r="F45">
        <f>7+7</f>
        <v>14</v>
      </c>
      <c r="G45" s="566">
        <f t="shared" ref="G45:G50" si="1">+E45*F45</f>
        <v>4620</v>
      </c>
      <c r="H45" s="452">
        <f>+(E45*F45+E46*F46)/(SUM(F45:F46))</f>
        <v>328.59574468085106</v>
      </c>
      <c r="I45" s="606">
        <f>+'11'!I38</f>
        <v>49.765999999999998</v>
      </c>
    </row>
    <row r="46" spans="1:9">
      <c r="B46" s="565" t="s">
        <v>509</v>
      </c>
      <c r="C46" s="598">
        <v>2</v>
      </c>
      <c r="D46" s="596" t="s">
        <v>579</v>
      </c>
      <c r="E46" s="596">
        <f>56*5+48*1</f>
        <v>328</v>
      </c>
      <c r="F46">
        <f>7+1+10+6+7+2</f>
        <v>33</v>
      </c>
      <c r="G46" s="566">
        <f t="shared" si="1"/>
        <v>10824</v>
      </c>
      <c r="H46" s="604"/>
      <c r="I46" s="606"/>
    </row>
    <row r="47" spans="1:9" ht="13.5" thickBot="1">
      <c r="A47" s="417"/>
      <c r="B47" s="418"/>
      <c r="C47" s="419"/>
      <c r="D47" s="420"/>
      <c r="E47" s="419"/>
      <c r="F47" s="419"/>
      <c r="G47" s="419"/>
      <c r="H47" s="451"/>
      <c r="I47" s="451"/>
    </row>
    <row r="48" spans="1:9">
      <c r="A48" s="380">
        <v>45881</v>
      </c>
      <c r="B48" s="565" t="s">
        <v>509</v>
      </c>
      <c r="C48" s="598">
        <v>2</v>
      </c>
      <c r="D48" s="596" t="s">
        <v>579</v>
      </c>
      <c r="E48" s="596">
        <f>56*5+48*1</f>
        <v>328</v>
      </c>
      <c r="F48">
        <f>2+2</f>
        <v>4</v>
      </c>
      <c r="G48" s="566">
        <f t="shared" si="1"/>
        <v>1312</v>
      </c>
      <c r="H48" s="604">
        <f>+G48/F48</f>
        <v>328</v>
      </c>
      <c r="I48" s="605">
        <f>+'12'!N37</f>
        <v>1.9219999999999999</v>
      </c>
    </row>
    <row r="49" spans="1:9">
      <c r="B49" s="607" t="s">
        <v>594</v>
      </c>
      <c r="C49" s="598">
        <v>2</v>
      </c>
      <c r="D49" s="596" t="s">
        <v>595</v>
      </c>
      <c r="E49" s="596">
        <f>170+153</f>
        <v>323</v>
      </c>
      <c r="F49">
        <f>7+7+9+9+3+7</f>
        <v>42</v>
      </c>
      <c r="G49" s="566">
        <f t="shared" si="1"/>
        <v>13566</v>
      </c>
      <c r="H49" s="452">
        <f>+(E49*F49+E50*F50)/(SUM(F49:F50))</f>
        <v>323</v>
      </c>
      <c r="I49" s="606">
        <f>+'12'!N38</f>
        <v>48.585000000000001</v>
      </c>
    </row>
    <row r="50" spans="1:9">
      <c r="B50" s="607" t="s">
        <v>594</v>
      </c>
      <c r="C50" s="598">
        <v>2</v>
      </c>
      <c r="D50" s="596" t="s">
        <v>596</v>
      </c>
      <c r="E50" s="596">
        <f>190+133</f>
        <v>323</v>
      </c>
      <c r="F50">
        <f>3+3</f>
        <v>6</v>
      </c>
      <c r="G50" s="566">
        <f t="shared" si="1"/>
        <v>1938</v>
      </c>
      <c r="I50" s="606"/>
    </row>
    <row r="51" spans="1:9" ht="13.5" thickBot="1">
      <c r="A51" s="417"/>
      <c r="B51" s="418"/>
      <c r="C51" s="419"/>
      <c r="D51" s="420"/>
      <c r="E51" s="419"/>
      <c r="F51" s="419"/>
      <c r="G51" s="419"/>
      <c r="H51" s="451"/>
      <c r="I51" s="451"/>
    </row>
    <row r="52" spans="1:9">
      <c r="A52" s="380">
        <v>45882</v>
      </c>
      <c r="B52" s="607" t="s">
        <v>594</v>
      </c>
      <c r="C52" s="598">
        <v>2</v>
      </c>
      <c r="D52" s="596" t="s">
        <v>596</v>
      </c>
      <c r="E52" s="596">
        <f>190+133</f>
        <v>323</v>
      </c>
      <c r="F52">
        <f>17+7+13</f>
        <v>37</v>
      </c>
      <c r="G52" s="566">
        <f>+E52*F52</f>
        <v>11951</v>
      </c>
      <c r="H52" s="604">
        <f>+G52/F52</f>
        <v>323</v>
      </c>
      <c r="I52" s="606">
        <f>+'13'!N37</f>
        <v>37.284999999999997</v>
      </c>
    </row>
    <row r="53" spans="1:9">
      <c r="B53" s="607" t="s">
        <v>476</v>
      </c>
      <c r="C53" s="598">
        <v>2</v>
      </c>
      <c r="D53" s="596" t="s">
        <v>604</v>
      </c>
      <c r="E53" s="596">
        <f>68+21*4+42*4</f>
        <v>320</v>
      </c>
      <c r="F53">
        <v>7</v>
      </c>
      <c r="G53" s="566">
        <f>+E53*F53</f>
        <v>2240</v>
      </c>
      <c r="H53" s="604">
        <f>+G53/F53</f>
        <v>320</v>
      </c>
      <c r="I53" s="606">
        <f>+'13'!N38</f>
        <v>10.239999999999998</v>
      </c>
    </row>
    <row r="54" spans="1:9" ht="13.5" thickBot="1">
      <c r="A54" s="417"/>
      <c r="B54" s="418"/>
      <c r="C54" s="419"/>
      <c r="D54" s="420"/>
      <c r="E54" s="419"/>
      <c r="F54" s="419"/>
      <c r="G54" s="419"/>
      <c r="H54" s="451"/>
      <c r="I54" s="451"/>
    </row>
    <row r="55" spans="1:9">
      <c r="A55" s="380">
        <v>45883</v>
      </c>
      <c r="B55" s="607" t="s">
        <v>476</v>
      </c>
      <c r="C55" s="598">
        <v>2</v>
      </c>
      <c r="D55" s="596" t="s">
        <v>604</v>
      </c>
      <c r="E55" s="596">
        <f>68+21*4+42*4</f>
        <v>320</v>
      </c>
      <c r="F55">
        <f>16+14+15</f>
        <v>45</v>
      </c>
      <c r="G55" s="566">
        <f>+E55*F55</f>
        <v>14400</v>
      </c>
      <c r="H55" s="604">
        <f>+G55/F55</f>
        <v>320</v>
      </c>
      <c r="I55" s="606">
        <f>+'14'!I38</f>
        <v>48.076000000000001</v>
      </c>
    </row>
    <row r="56" spans="1:9" ht="13.5" thickBot="1">
      <c r="A56" s="417"/>
      <c r="B56" s="418"/>
      <c r="C56" s="419"/>
      <c r="D56" s="420"/>
      <c r="E56" s="419"/>
      <c r="F56" s="419"/>
      <c r="G56" s="419"/>
      <c r="H56" s="451"/>
      <c r="I56" s="451"/>
    </row>
    <row r="57" spans="1:9">
      <c r="A57" s="380">
        <v>45884</v>
      </c>
      <c r="B57" s="607" t="s">
        <v>476</v>
      </c>
      <c r="C57" s="598">
        <v>2</v>
      </c>
      <c r="D57" s="596" t="s">
        <v>604</v>
      </c>
      <c r="E57" s="596">
        <f>68+21*4+42*4</f>
        <v>320</v>
      </c>
      <c r="F57">
        <f>17+16+15</f>
        <v>48</v>
      </c>
      <c r="G57" s="566">
        <f>+E57*F57</f>
        <v>15360</v>
      </c>
      <c r="H57" s="604">
        <f>+G57/F57</f>
        <v>320</v>
      </c>
      <c r="I57" s="606">
        <f>+'15'!I38</f>
        <v>48.972999999999999</v>
      </c>
    </row>
    <row r="58" spans="1:9" ht="13.5" thickBot="1">
      <c r="A58" s="417"/>
      <c r="B58" s="418"/>
      <c r="C58" s="419"/>
      <c r="D58" s="420"/>
      <c r="E58" s="419"/>
      <c r="F58" s="419"/>
      <c r="G58" s="419"/>
      <c r="H58" s="451"/>
      <c r="I58" s="451"/>
    </row>
    <row r="59" spans="1:9">
      <c r="A59" s="380">
        <v>45885</v>
      </c>
      <c r="B59" s="607" t="s">
        <v>476</v>
      </c>
      <c r="C59" s="598">
        <v>2</v>
      </c>
      <c r="D59" s="596" t="s">
        <v>604</v>
      </c>
      <c r="E59" s="596">
        <f>68+21*4+42*4</f>
        <v>320</v>
      </c>
      <c r="F59">
        <f>18+16+16</f>
        <v>50</v>
      </c>
      <c r="G59" s="566">
        <f>+E59*F59</f>
        <v>16000</v>
      </c>
      <c r="H59" s="604">
        <f>+G59/F59</f>
        <v>320</v>
      </c>
      <c r="I59" s="606">
        <f>+'16'!I38</f>
        <v>48.844999999999999</v>
      </c>
    </row>
    <row r="60" spans="1:9" ht="13.5" thickBot="1">
      <c r="A60" s="417"/>
      <c r="B60" s="418"/>
      <c r="C60" s="419"/>
      <c r="D60" s="420"/>
      <c r="E60" s="419"/>
      <c r="F60" s="419"/>
      <c r="G60" s="419"/>
      <c r="H60" s="451"/>
      <c r="I60" s="451"/>
    </row>
    <row r="61" spans="1:9">
      <c r="A61" s="380">
        <v>45886</v>
      </c>
      <c r="B61" s="607" t="s">
        <v>476</v>
      </c>
      <c r="C61" s="598">
        <v>2</v>
      </c>
      <c r="D61" s="596" t="s">
        <v>604</v>
      </c>
      <c r="E61" s="596">
        <f>68+21*4+42*4</f>
        <v>320</v>
      </c>
      <c r="F61">
        <f>15+18+20</f>
        <v>53</v>
      </c>
      <c r="G61" s="566">
        <f>+E61*F61</f>
        <v>16960</v>
      </c>
      <c r="H61" s="604">
        <f>+G61/F61</f>
        <v>320</v>
      </c>
      <c r="I61" s="606">
        <f>+'17'!I38</f>
        <v>48.537000000000006</v>
      </c>
    </row>
    <row r="62" spans="1:9" ht="13.5" thickBot="1">
      <c r="A62" s="417"/>
      <c r="B62" s="418"/>
      <c r="C62" s="419"/>
      <c r="D62" s="420"/>
      <c r="E62" s="419"/>
      <c r="F62" s="419"/>
      <c r="G62" s="419"/>
      <c r="H62" s="451"/>
      <c r="I62" s="451"/>
    </row>
    <row r="63" spans="1:9">
      <c r="A63" s="380">
        <v>45887</v>
      </c>
      <c r="B63" s="607" t="s">
        <v>476</v>
      </c>
      <c r="C63" s="598">
        <v>2</v>
      </c>
      <c r="D63" s="596" t="s">
        <v>604</v>
      </c>
      <c r="E63" s="596">
        <f>68+21*4+42*4</f>
        <v>320</v>
      </c>
      <c r="F63">
        <v>7</v>
      </c>
      <c r="G63" s="566">
        <f>+E63*F63</f>
        <v>2240</v>
      </c>
      <c r="H63" s="452">
        <f>+(E63*F63+E64*F64)/(SUM(F63:F64))</f>
        <v>325.25</v>
      </c>
      <c r="I63" s="606">
        <f>+'18'!N37</f>
        <v>25.016999999999999</v>
      </c>
    </row>
    <row r="64" spans="1:9">
      <c r="B64" s="565" t="s">
        <v>476</v>
      </c>
      <c r="C64" s="598">
        <v>2</v>
      </c>
      <c r="D64" s="596" t="s">
        <v>618</v>
      </c>
      <c r="E64" s="596">
        <f>76*3+99</f>
        <v>327</v>
      </c>
      <c r="F64">
        <f>9+12</f>
        <v>21</v>
      </c>
      <c r="G64" s="566">
        <f>+E64*F64</f>
        <v>6867</v>
      </c>
      <c r="H64" s="604"/>
      <c r="I64" s="606"/>
    </row>
    <row r="65" spans="1:9">
      <c r="B65" s="607" t="s">
        <v>572</v>
      </c>
      <c r="C65" s="598">
        <v>2</v>
      </c>
      <c r="D65" s="596" t="s">
        <v>578</v>
      </c>
      <c r="E65" s="596">
        <f>164*2</f>
        <v>328</v>
      </c>
      <c r="F65">
        <f>1+8+13+8</f>
        <v>30</v>
      </c>
      <c r="G65" s="566">
        <f>+E65*F65</f>
        <v>9840</v>
      </c>
      <c r="H65" s="604">
        <f>+G65/F65</f>
        <v>328</v>
      </c>
      <c r="I65" s="606">
        <f>+'18'!N38</f>
        <v>38.798000000000002</v>
      </c>
    </row>
    <row r="66" spans="1:9" ht="13.5" thickBot="1">
      <c r="A66" s="417"/>
      <c r="B66" s="418"/>
      <c r="C66" s="419"/>
      <c r="D66" s="420"/>
      <c r="E66" s="419"/>
      <c r="F66" s="419"/>
      <c r="G66" s="419"/>
      <c r="H66" s="451"/>
      <c r="I66" s="451"/>
    </row>
    <row r="67" spans="1:9">
      <c r="A67" s="380">
        <v>45888</v>
      </c>
      <c r="B67" s="607" t="s">
        <v>572</v>
      </c>
      <c r="C67" s="598">
        <v>2</v>
      </c>
      <c r="D67" s="596" t="s">
        <v>578</v>
      </c>
      <c r="E67" s="596">
        <f>164*2</f>
        <v>328</v>
      </c>
      <c r="F67">
        <v>40</v>
      </c>
      <c r="G67" s="566">
        <f>+E67*F67</f>
        <v>13120</v>
      </c>
      <c r="H67" s="604">
        <f>+G67/F67</f>
        <v>328</v>
      </c>
      <c r="I67" s="606">
        <f>+'19'!N37</f>
        <v>46.024000000000001</v>
      </c>
    </row>
    <row r="68" spans="1:9">
      <c r="B68" s="607" t="s">
        <v>594</v>
      </c>
      <c r="C68" s="598">
        <v>2</v>
      </c>
      <c r="D68" s="596" t="s">
        <v>624</v>
      </c>
      <c r="E68" s="596">
        <f>154+176</f>
        <v>330</v>
      </c>
      <c r="F68">
        <f>8+1</f>
        <v>9</v>
      </c>
      <c r="G68" s="566">
        <f>+E68*F68</f>
        <v>2970</v>
      </c>
      <c r="H68" s="452">
        <f>+(E68*F68+E69*F69)/(SUM(F68:F69))</f>
        <v>327.5</v>
      </c>
      <c r="I68" s="606">
        <f>+'19'!N38</f>
        <v>19.852</v>
      </c>
    </row>
    <row r="69" spans="1:9">
      <c r="B69" s="607" t="s">
        <v>594</v>
      </c>
      <c r="C69" s="598">
        <v>2</v>
      </c>
      <c r="D69" s="596" t="s">
        <v>625</v>
      </c>
      <c r="E69" s="596">
        <f>152+171</f>
        <v>323</v>
      </c>
      <c r="F69">
        <v>5</v>
      </c>
      <c r="G69" s="566">
        <f>+E69*F69</f>
        <v>1615</v>
      </c>
      <c r="I69" s="606"/>
    </row>
    <row r="70" spans="1:9" ht="13.5" thickBot="1">
      <c r="A70" s="417"/>
      <c r="B70" s="418"/>
      <c r="C70" s="419"/>
      <c r="D70" s="420"/>
      <c r="E70" s="419"/>
      <c r="F70" s="419"/>
      <c r="G70" s="419"/>
      <c r="H70" s="451"/>
      <c r="I70" s="451"/>
    </row>
    <row r="71" spans="1:9">
      <c r="A71" s="380">
        <v>45889</v>
      </c>
      <c r="B71" s="607" t="s">
        <v>594</v>
      </c>
      <c r="C71" s="598">
        <v>2</v>
      </c>
      <c r="D71" s="596" t="s">
        <v>625</v>
      </c>
      <c r="E71" s="596">
        <f>152+171</f>
        <v>323</v>
      </c>
      <c r="F71">
        <f>102/2</f>
        <v>51</v>
      </c>
      <c r="G71" s="566">
        <f>+E71*F71</f>
        <v>16473</v>
      </c>
      <c r="H71">
        <f>+G71/F71</f>
        <v>323</v>
      </c>
      <c r="I71" s="606">
        <f>+'20'!I38</f>
        <v>50.709000000000003</v>
      </c>
    </row>
    <row r="72" spans="1:9" ht="13.5" thickBot="1">
      <c r="A72" s="417"/>
      <c r="B72" s="418"/>
      <c r="C72" s="419"/>
      <c r="D72" s="420"/>
      <c r="E72" s="419"/>
      <c r="F72" s="419"/>
      <c r="G72" s="419"/>
      <c r="H72" s="451"/>
      <c r="I72" s="451"/>
    </row>
    <row r="73" spans="1:9">
      <c r="A73" s="380">
        <v>45890</v>
      </c>
      <c r="B73" s="607" t="s">
        <v>594</v>
      </c>
      <c r="C73" s="598">
        <v>2</v>
      </c>
      <c r="D73" s="596" t="s">
        <v>626</v>
      </c>
      <c r="E73" s="596">
        <f>152+168</f>
        <v>320</v>
      </c>
      <c r="F73">
        <f>15+13</f>
        <v>28</v>
      </c>
      <c r="G73" s="566">
        <f>+E73*F73</f>
        <v>8960</v>
      </c>
      <c r="H73" s="452">
        <f>+(E73*F73+E74*F74)/(SUM(F73:F74))</f>
        <v>323.52</v>
      </c>
      <c r="I73" s="606">
        <f>+'21'!I38</f>
        <v>50.822000000000003</v>
      </c>
    </row>
    <row r="74" spans="1:9">
      <c r="B74" s="607" t="s">
        <v>594</v>
      </c>
      <c r="C74" s="598">
        <v>2</v>
      </c>
      <c r="D74" s="596" t="s">
        <v>627</v>
      </c>
      <c r="E74" s="596">
        <f>102+170+56</f>
        <v>328</v>
      </c>
      <c r="F74">
        <f>4+18</f>
        <v>22</v>
      </c>
      <c r="G74" s="566">
        <f>+E74*F74</f>
        <v>7216</v>
      </c>
      <c r="I74" s="606"/>
    </row>
    <row r="75" spans="1:9" ht="13.5" thickBot="1">
      <c r="A75" s="417"/>
      <c r="B75" s="418"/>
      <c r="C75" s="419"/>
      <c r="D75" s="420"/>
      <c r="E75" s="419"/>
      <c r="F75" s="419"/>
      <c r="G75" s="419"/>
      <c r="H75" s="451"/>
      <c r="I75" s="451"/>
    </row>
    <row r="76" spans="1:9">
      <c r="A76" s="380">
        <v>45891</v>
      </c>
      <c r="B76" s="607" t="s">
        <v>594</v>
      </c>
      <c r="C76" s="598">
        <v>2</v>
      </c>
      <c r="D76" s="596" t="s">
        <v>627</v>
      </c>
      <c r="E76" s="596">
        <f>102+170+56</f>
        <v>328</v>
      </c>
      <c r="F76">
        <f>9+8+1</f>
        <v>18</v>
      </c>
      <c r="G76" s="566">
        <f>+E76*F76</f>
        <v>5904</v>
      </c>
      <c r="H76" s="452">
        <f>+(E76*F76+E77*F77)/(SUM(F76:F77))</f>
        <v>321.68421052631578</v>
      </c>
      <c r="I76" s="606">
        <f>+'22'!N37</f>
        <v>36.025999999999996</v>
      </c>
    </row>
    <row r="77" spans="1:9">
      <c r="A77" s="608"/>
      <c r="B77" s="607" t="s">
        <v>594</v>
      </c>
      <c r="C77" s="598">
        <v>2</v>
      </c>
      <c r="D77" s="596" t="s">
        <v>632</v>
      </c>
      <c r="E77" s="596">
        <f>102*2+56*2</f>
        <v>316</v>
      </c>
      <c r="F77">
        <f>8+8+2+2</f>
        <v>20</v>
      </c>
      <c r="G77" s="566">
        <f>+E77*F77</f>
        <v>6320</v>
      </c>
      <c r="H77" s="604"/>
      <c r="I77" s="606"/>
    </row>
    <row r="78" spans="1:9">
      <c r="B78" s="607" t="s">
        <v>630</v>
      </c>
      <c r="C78" s="598">
        <v>2</v>
      </c>
      <c r="D78" s="596" t="s">
        <v>631</v>
      </c>
      <c r="E78" s="596">
        <f>126*2+75</f>
        <v>327</v>
      </c>
      <c r="F78">
        <f>6+7</f>
        <v>13</v>
      </c>
      <c r="G78" s="566">
        <f>+E78*F78</f>
        <v>4251</v>
      </c>
      <c r="H78">
        <f>+G78/F78</f>
        <v>327</v>
      </c>
      <c r="I78" s="606">
        <f>+'22'!N38</f>
        <v>14.179000000000002</v>
      </c>
    </row>
    <row r="79" spans="1:9" ht="13.5" thickBot="1">
      <c r="A79" s="417"/>
      <c r="B79" s="418"/>
      <c r="C79" s="419"/>
      <c r="D79" s="420"/>
      <c r="E79" s="419"/>
      <c r="F79" s="419"/>
      <c r="G79" s="419"/>
      <c r="H79" s="451"/>
      <c r="I79" s="451"/>
    </row>
    <row r="80" spans="1:9">
      <c r="A80" s="380">
        <v>45892</v>
      </c>
      <c r="B80" s="607" t="s">
        <v>630</v>
      </c>
      <c r="C80" s="598">
        <v>2</v>
      </c>
      <c r="D80" s="596" t="s">
        <v>631</v>
      </c>
      <c r="E80" s="596">
        <f>126*2+75</f>
        <v>327</v>
      </c>
      <c r="F80">
        <f>17+11+17</f>
        <v>45</v>
      </c>
      <c r="G80" s="566">
        <f>+E80*F80</f>
        <v>14715</v>
      </c>
      <c r="H80">
        <f>+G80/F80</f>
        <v>327</v>
      </c>
      <c r="I80" s="606">
        <f>+'23'!I38</f>
        <v>49.180999999999997</v>
      </c>
    </row>
    <row r="81" spans="1:9" ht="13.5" thickBot="1">
      <c r="A81" s="417"/>
      <c r="B81" s="418"/>
      <c r="C81" s="419"/>
      <c r="D81" s="420"/>
      <c r="E81" s="419"/>
      <c r="F81" s="419"/>
      <c r="G81" s="419"/>
      <c r="H81" s="451"/>
      <c r="I81" s="451"/>
    </row>
    <row r="82" spans="1:9">
      <c r="A82" s="380">
        <v>45893</v>
      </c>
      <c r="B82" s="607" t="s">
        <v>630</v>
      </c>
      <c r="C82" s="598">
        <v>2</v>
      </c>
      <c r="D82" s="596" t="s">
        <v>631</v>
      </c>
      <c r="E82" s="596">
        <f>126*2+75</f>
        <v>327</v>
      </c>
      <c r="F82">
        <f>17+10</f>
        <v>27</v>
      </c>
      <c r="G82" s="566">
        <f>+E82*F82</f>
        <v>8829</v>
      </c>
      <c r="H82" s="452">
        <f>+(E82*F82+E83*F83)/(SUM(F82:F83))</f>
        <v>327.5</v>
      </c>
      <c r="I82" s="606">
        <f>+'24'!I38</f>
        <v>50.591000000000008</v>
      </c>
    </row>
    <row r="83" spans="1:9">
      <c r="A83" s="564"/>
      <c r="B83" s="607" t="s">
        <v>630</v>
      </c>
      <c r="C83" s="598">
        <v>2</v>
      </c>
      <c r="D83" s="596" t="s">
        <v>634</v>
      </c>
      <c r="E83" s="596">
        <f>120*2+88</f>
        <v>328</v>
      </c>
      <c r="F83">
        <f>9+18</f>
        <v>27</v>
      </c>
      <c r="G83" s="566">
        <f>+E83*F83</f>
        <v>8856</v>
      </c>
      <c r="H83" s="604"/>
      <c r="I83" s="606"/>
    </row>
    <row r="84" spans="1:9" ht="13.5" thickBot="1">
      <c r="A84" s="417"/>
      <c r="B84" s="418"/>
      <c r="C84" s="419"/>
      <c r="D84" s="420"/>
      <c r="E84" s="419"/>
      <c r="F84" s="419"/>
      <c r="G84" s="419"/>
      <c r="H84" s="451"/>
      <c r="I84" s="451"/>
    </row>
    <row r="85" spans="1:9">
      <c r="A85" s="564">
        <v>45894</v>
      </c>
      <c r="B85" s="607" t="s">
        <v>630</v>
      </c>
      <c r="C85" s="598">
        <v>2</v>
      </c>
      <c r="D85" s="596" t="s">
        <v>634</v>
      </c>
      <c r="E85" s="596">
        <f>120*2+88</f>
        <v>328</v>
      </c>
      <c r="F85">
        <f>17+1</f>
        <v>18</v>
      </c>
      <c r="G85" s="566">
        <f>+E85*F85</f>
        <v>5904</v>
      </c>
      <c r="H85" s="604">
        <f>+G85/F85</f>
        <v>328</v>
      </c>
      <c r="I85" s="606">
        <f>+'25'!N37</f>
        <v>14.251999999999999</v>
      </c>
    </row>
    <row r="86" spans="1:9">
      <c r="B86" s="607" t="s">
        <v>643</v>
      </c>
      <c r="C86" s="598">
        <v>2</v>
      </c>
      <c r="D86" s="596" t="s">
        <v>639</v>
      </c>
      <c r="E86" s="596">
        <f>114*2+98</f>
        <v>326</v>
      </c>
      <c r="F86">
        <f>15+19</f>
        <v>34</v>
      </c>
      <c r="G86" s="566">
        <f>+E86*F86</f>
        <v>11084</v>
      </c>
      <c r="H86" s="604">
        <f>+G86/F86</f>
        <v>326</v>
      </c>
      <c r="I86" s="606">
        <f>+'25'!N38</f>
        <v>41.147000000000006</v>
      </c>
    </row>
    <row r="87" spans="1:9" ht="13.5" thickBot="1">
      <c r="A87" s="417"/>
      <c r="B87" s="418"/>
      <c r="C87" s="419"/>
      <c r="D87" s="420"/>
      <c r="E87" s="419"/>
      <c r="F87" s="419"/>
      <c r="G87" s="419"/>
      <c r="H87" s="451"/>
      <c r="I87" s="451"/>
    </row>
    <row r="88" spans="1:9">
      <c r="A88" s="564">
        <v>45895</v>
      </c>
      <c r="B88" s="607" t="s">
        <v>643</v>
      </c>
      <c r="C88" s="598">
        <v>2</v>
      </c>
      <c r="D88" s="596" t="s">
        <v>639</v>
      </c>
      <c r="E88" s="596">
        <f>114*2+98</f>
        <v>326</v>
      </c>
      <c r="F88">
        <f>9+9+4+12+10+9</f>
        <v>53</v>
      </c>
      <c r="G88" s="566">
        <f>+E88*F88</f>
        <v>17278</v>
      </c>
      <c r="H88" s="604">
        <f>+G88/F88</f>
        <v>326</v>
      </c>
      <c r="I88" s="606">
        <f>+'26'!I38</f>
        <v>57.823</v>
      </c>
    </row>
    <row r="89" spans="1:9" ht="13.5" thickBot="1">
      <c r="A89" s="417"/>
      <c r="B89" s="418"/>
      <c r="C89" s="419"/>
      <c r="D89" s="420"/>
      <c r="E89" s="419"/>
      <c r="F89" s="419"/>
      <c r="G89" s="419"/>
      <c r="H89" s="451"/>
      <c r="I89" s="451"/>
    </row>
    <row r="90" spans="1:9">
      <c r="A90" s="564">
        <v>45896</v>
      </c>
      <c r="B90" s="607" t="s">
        <v>643</v>
      </c>
      <c r="C90" s="598">
        <v>2</v>
      </c>
      <c r="D90" s="596" t="s">
        <v>639</v>
      </c>
      <c r="E90" s="596">
        <f>114*2+98</f>
        <v>326</v>
      </c>
      <c r="F90">
        <v>13</v>
      </c>
      <c r="G90" s="566">
        <f>+E90*F90</f>
        <v>4238</v>
      </c>
      <c r="H90" s="604">
        <f>+G90/F90</f>
        <v>326</v>
      </c>
      <c r="I90" s="606">
        <f>+'27'!N37</f>
        <v>13.116</v>
      </c>
    </row>
    <row r="91" spans="1:9">
      <c r="A91" s="564"/>
      <c r="B91" s="607" t="s">
        <v>458</v>
      </c>
      <c r="C91" s="598">
        <v>2</v>
      </c>
      <c r="D91" s="596" t="s">
        <v>658</v>
      </c>
      <c r="E91" s="596">
        <f>114*2+38.5+63.5</f>
        <v>330</v>
      </c>
      <c r="F91">
        <f>2+3+8+10+8+10+1</f>
        <v>42</v>
      </c>
      <c r="G91" s="566">
        <f>+E91*F91</f>
        <v>13860</v>
      </c>
      <c r="H91" s="604">
        <f>+G91/F91</f>
        <v>330</v>
      </c>
      <c r="I91" s="606">
        <f>+'27'!N38</f>
        <v>51.688000000000002</v>
      </c>
    </row>
    <row r="92" spans="1:9" ht="13.5" thickBot="1">
      <c r="A92" s="417"/>
      <c r="B92" s="418"/>
      <c r="C92" s="419"/>
      <c r="D92" s="420"/>
      <c r="E92" s="419"/>
      <c r="F92" s="419"/>
      <c r="G92" s="419"/>
      <c r="H92" s="451"/>
      <c r="I92" s="451"/>
    </row>
    <row r="93" spans="1:9">
      <c r="A93" s="564">
        <v>45897</v>
      </c>
      <c r="B93" s="607" t="s">
        <v>458</v>
      </c>
      <c r="C93" s="598">
        <v>2</v>
      </c>
      <c r="D93" s="596" t="s">
        <v>658</v>
      </c>
      <c r="E93" s="596">
        <f>114*2+38.5+63.5</f>
        <v>330</v>
      </c>
      <c r="F93">
        <f>8+10+1</f>
        <v>19</v>
      </c>
      <c r="G93" s="566">
        <f>+E93*F93</f>
        <v>6270</v>
      </c>
      <c r="H93" s="452">
        <f>+(E93*F93+E94*F94)/(SUM(F93:F94))</f>
        <v>327.39583333333331</v>
      </c>
      <c r="I93" s="606">
        <f>+'28'!N37</f>
        <v>25.806000000000001</v>
      </c>
    </row>
    <row r="94" spans="1:9">
      <c r="A94" s="608"/>
      <c r="B94" s="607" t="s">
        <v>458</v>
      </c>
      <c r="C94" s="598">
        <v>2</v>
      </c>
      <c r="D94" s="596" t="s">
        <v>670</v>
      </c>
      <c r="E94" s="596">
        <f>63.5*5</f>
        <v>317.5</v>
      </c>
      <c r="F94">
        <v>5</v>
      </c>
      <c r="G94" s="566">
        <f>+E94*F94</f>
        <v>1587.5</v>
      </c>
      <c r="H94" s="604"/>
      <c r="I94" s="606"/>
    </row>
    <row r="95" spans="1:9">
      <c r="B95" s="607" t="s">
        <v>454</v>
      </c>
      <c r="C95" s="598">
        <v>2</v>
      </c>
      <c r="D95" s="596" t="s">
        <v>455</v>
      </c>
      <c r="E95" s="596">
        <f>84*3+63</f>
        <v>315</v>
      </c>
      <c r="F95">
        <f>6+5+8+10+1</f>
        <v>30</v>
      </c>
      <c r="G95" s="566">
        <f>+E95*F95</f>
        <v>9450</v>
      </c>
      <c r="H95" s="604">
        <f>+G95/F95</f>
        <v>315</v>
      </c>
      <c r="I95" s="606">
        <f>+'28'!N38</f>
        <v>38.745000000000005</v>
      </c>
    </row>
    <row r="96" spans="1:9" ht="13.5" thickBot="1">
      <c r="A96" s="417"/>
      <c r="B96" s="418"/>
      <c r="C96" s="419"/>
      <c r="D96" s="420"/>
      <c r="E96" s="419"/>
      <c r="F96" s="419"/>
      <c r="G96" s="419"/>
      <c r="H96" s="451"/>
      <c r="I96" s="451"/>
    </row>
    <row r="97" spans="1:9">
      <c r="A97" s="564">
        <v>45898</v>
      </c>
      <c r="B97" s="607" t="s">
        <v>454</v>
      </c>
      <c r="C97" s="598">
        <v>2</v>
      </c>
      <c r="D97" s="596" t="s">
        <v>455</v>
      </c>
      <c r="E97" s="596">
        <f>84*3+63</f>
        <v>315</v>
      </c>
      <c r="F97">
        <f>18+15+17</f>
        <v>50</v>
      </c>
      <c r="G97" s="566">
        <f>+E97*F97</f>
        <v>15750</v>
      </c>
      <c r="H97" s="604">
        <f>+G97/F97</f>
        <v>315</v>
      </c>
      <c r="I97" s="606">
        <f>+'29'!I38</f>
        <v>68.784999999999997</v>
      </c>
    </row>
    <row r="98" spans="1:9" ht="13.5" thickBot="1">
      <c r="A98" s="417"/>
      <c r="B98" s="418"/>
      <c r="C98" s="419"/>
      <c r="D98" s="420"/>
      <c r="E98" s="419"/>
      <c r="F98" s="419"/>
      <c r="G98" s="419"/>
      <c r="H98" s="451"/>
      <c r="I98" s="451"/>
    </row>
    <row r="99" spans="1:9">
      <c r="A99" s="564">
        <v>45899</v>
      </c>
      <c r="B99" s="607" t="s">
        <v>454</v>
      </c>
      <c r="C99" s="598">
        <v>2</v>
      </c>
      <c r="D99" s="596" t="s">
        <v>455</v>
      </c>
      <c r="E99" s="596">
        <f>84*3+63</f>
        <v>315</v>
      </c>
      <c r="F99">
        <f>2+2+1</f>
        <v>5</v>
      </c>
      <c r="G99" s="566">
        <f>+E99*F99</f>
        <v>1575</v>
      </c>
      <c r="H99" s="604">
        <f>+G99/F99</f>
        <v>315</v>
      </c>
      <c r="I99" s="606">
        <f>+'30'!N37</f>
        <v>5.3870000000000005</v>
      </c>
    </row>
    <row r="100" spans="1:9">
      <c r="B100" s="607" t="s">
        <v>705</v>
      </c>
      <c r="C100" s="598">
        <v>2</v>
      </c>
      <c r="D100" s="596" t="s">
        <v>422</v>
      </c>
      <c r="E100" s="596">
        <f>165*2</f>
        <v>330</v>
      </c>
      <c r="F100">
        <f>4+4</f>
        <v>8</v>
      </c>
      <c r="G100" s="566">
        <f t="shared" ref="G100:G103" si="2">+E100*F100</f>
        <v>2640</v>
      </c>
      <c r="H100" s="604">
        <f t="shared" ref="H100:H103" si="3">+G100/F100</f>
        <v>330</v>
      </c>
      <c r="I100" s="606">
        <f>+'30'!N38</f>
        <v>14.785</v>
      </c>
    </row>
    <row r="101" spans="1:9">
      <c r="B101" s="607" t="s">
        <v>706</v>
      </c>
      <c r="C101" s="598">
        <v>2</v>
      </c>
      <c r="D101" s="596" t="s">
        <v>707</v>
      </c>
      <c r="E101" s="596">
        <f>169.5+149</f>
        <v>318.5</v>
      </c>
      <c r="F101">
        <f>1+6</f>
        <v>7</v>
      </c>
      <c r="G101" s="566">
        <f t="shared" si="2"/>
        <v>2229.5</v>
      </c>
      <c r="H101" s="604">
        <f t="shared" si="3"/>
        <v>318.5</v>
      </c>
      <c r="I101" s="606">
        <f>+'30'!N39</f>
        <v>11.545</v>
      </c>
    </row>
    <row r="102" spans="1:9">
      <c r="B102" s="607" t="s">
        <v>419</v>
      </c>
      <c r="C102" s="598">
        <v>2</v>
      </c>
      <c r="D102" s="596" t="s">
        <v>422</v>
      </c>
      <c r="E102" s="596">
        <f>165*2</f>
        <v>330</v>
      </c>
      <c r="F102">
        <f>6+4+2+7+6</f>
        <v>25</v>
      </c>
      <c r="G102" s="566">
        <f t="shared" si="2"/>
        <v>8250</v>
      </c>
      <c r="H102" s="604">
        <f t="shared" si="3"/>
        <v>330</v>
      </c>
      <c r="I102" s="606">
        <f>+'30'!N40</f>
        <v>33.522000000000006</v>
      </c>
    </row>
    <row r="103" spans="1:9">
      <c r="B103" s="607" t="s">
        <v>418</v>
      </c>
      <c r="C103" s="598">
        <v>2</v>
      </c>
      <c r="D103" s="596" t="s">
        <v>708</v>
      </c>
      <c r="E103" s="596">
        <f>169+149</f>
        <v>318</v>
      </c>
      <c r="F103">
        <f>3+2</f>
        <v>5</v>
      </c>
      <c r="G103" s="566">
        <f t="shared" si="2"/>
        <v>1590</v>
      </c>
      <c r="H103" s="604">
        <f t="shared" si="3"/>
        <v>318</v>
      </c>
      <c r="I103" s="606">
        <f>+'30'!N41</f>
        <v>8.702</v>
      </c>
    </row>
    <row r="104" spans="1:9" ht="13.5" thickBot="1">
      <c r="A104" s="417"/>
      <c r="B104" s="418"/>
      <c r="C104" s="419"/>
      <c r="D104" s="420"/>
      <c r="E104" s="419"/>
      <c r="F104" s="419"/>
      <c r="G104" s="419"/>
      <c r="H104" s="451"/>
      <c r="I104" s="451"/>
    </row>
    <row r="105" spans="1:9">
      <c r="A105" s="564">
        <v>45900</v>
      </c>
      <c r="B105" s="607" t="s">
        <v>418</v>
      </c>
      <c r="C105" s="598">
        <v>2</v>
      </c>
      <c r="D105" s="596" t="s">
        <v>708</v>
      </c>
      <c r="E105" s="596">
        <f>169+149</f>
        <v>318</v>
      </c>
      <c r="F105">
        <f>12+5+9+8+4+4</f>
        <v>42</v>
      </c>
      <c r="G105" s="566">
        <f t="shared" ref="G105" si="4">+E105*F105</f>
        <v>13356</v>
      </c>
      <c r="H105" s="604">
        <f t="shared" ref="H105" si="5">+G105/F105</f>
        <v>318</v>
      </c>
      <c r="I105" s="606">
        <f>+'31'!N37</f>
        <v>59.557000000000002</v>
      </c>
    </row>
    <row r="106" spans="1:9">
      <c r="B106" s="607" t="s">
        <v>709</v>
      </c>
      <c r="C106" s="598">
        <v>2</v>
      </c>
      <c r="D106" s="596" t="s">
        <v>710</v>
      </c>
      <c r="E106" s="596">
        <f>157*2</f>
        <v>314</v>
      </c>
      <c r="F106">
        <v>4</v>
      </c>
      <c r="G106" s="566">
        <f t="shared" ref="G106:G107" si="6">+E106*F106</f>
        <v>1256</v>
      </c>
      <c r="H106" s="604">
        <f t="shared" ref="H106:H107" si="7">+G106/F106</f>
        <v>314</v>
      </c>
      <c r="I106" s="606">
        <f>+'31'!N38</f>
        <v>15.994</v>
      </c>
    </row>
    <row r="107" spans="1:9">
      <c r="B107" s="607" t="s">
        <v>419</v>
      </c>
      <c r="C107" s="598">
        <v>2</v>
      </c>
      <c r="D107" s="596" t="s">
        <v>422</v>
      </c>
      <c r="E107" s="596">
        <f>165*2</f>
        <v>330</v>
      </c>
      <c r="F107">
        <v>4</v>
      </c>
      <c r="G107" s="566">
        <f t="shared" si="6"/>
        <v>1320</v>
      </c>
      <c r="H107" s="604">
        <f t="shared" si="7"/>
        <v>330</v>
      </c>
      <c r="I107" s="606" t="s">
        <v>291</v>
      </c>
    </row>
    <row r="108" spans="1:9" ht="13.5" thickBot="1">
      <c r="A108" s="417"/>
      <c r="B108" s="418"/>
      <c r="C108" s="419"/>
      <c r="D108" s="420"/>
      <c r="E108" s="419"/>
      <c r="F108" s="419"/>
      <c r="G108" s="419"/>
      <c r="H108" s="451"/>
      <c r="I108" s="451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CS186"/>
  <sheetViews>
    <sheetView zoomScale="90" zoomScaleNormal="90" workbookViewId="0">
      <pane xSplit="6" ySplit="6" topLeftCell="G143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J150" sqref="J150"/>
    </sheetView>
  </sheetViews>
  <sheetFormatPr defaultColWidth="10.28515625" defaultRowHeight="12"/>
  <cols>
    <col min="1" max="1" width="12.28515625" style="32" customWidth="1"/>
    <col min="2" max="2" width="14.140625" style="32" customWidth="1"/>
    <col min="3" max="3" width="10.140625" style="32" customWidth="1"/>
    <col min="4" max="4" width="10.28515625" style="32" customWidth="1"/>
    <col min="5" max="5" width="7.5703125" style="32" bestFit="1" customWidth="1"/>
    <col min="6" max="6" width="7" style="57" customWidth="1"/>
    <col min="7" max="9" width="10.28515625" style="32" customWidth="1"/>
    <col min="10" max="11" width="10.28515625" style="86" customWidth="1"/>
    <col min="12" max="13" width="12.7109375" style="58" customWidth="1"/>
    <col min="14" max="15" width="10.28515625" style="32" customWidth="1"/>
    <col min="16" max="16" width="16.85546875" style="32" bestFit="1" customWidth="1"/>
    <col min="17" max="17" width="12.7109375" style="382" customWidth="1"/>
    <col min="18" max="19" width="10.28515625" style="32" customWidth="1"/>
    <col min="20" max="20" width="10.7109375" style="32" customWidth="1"/>
    <col min="21" max="21" width="10.28515625" style="32" customWidth="1"/>
    <col min="22" max="22" width="12.28515625" style="32" customWidth="1"/>
    <col min="23" max="23" width="13" style="32" customWidth="1"/>
    <col min="24" max="24" width="10.28515625" style="32" customWidth="1"/>
    <col min="25" max="25" width="10.140625" style="32" customWidth="1"/>
    <col min="26" max="28" width="10.28515625" style="32" customWidth="1"/>
    <col min="29" max="29" width="12" style="32" customWidth="1"/>
    <col min="30" max="30" width="11.42578125" style="32" bestFit="1" customWidth="1"/>
    <col min="31" max="31" width="41.42578125" style="32" customWidth="1"/>
    <col min="32" max="38" width="10.28515625" style="32" customWidth="1"/>
    <col min="39" max="39" width="11.7109375" style="32" customWidth="1"/>
    <col min="40" max="41" width="10.28515625" style="32" customWidth="1"/>
    <col min="42" max="43" width="12.42578125" style="32" customWidth="1"/>
    <col min="44" max="44" width="29.7109375" style="32" bestFit="1" customWidth="1"/>
    <col min="45" max="16384" width="10.28515625" style="32"/>
  </cols>
  <sheetData>
    <row r="1" spans="1:58" s="25" customFormat="1" ht="15.75" customHeight="1">
      <c r="A1" s="24" t="s">
        <v>176</v>
      </c>
      <c r="G1" s="26"/>
      <c r="H1" s="26"/>
      <c r="I1" s="26"/>
      <c r="J1" s="83"/>
      <c r="K1" s="83"/>
      <c r="L1" s="27"/>
      <c r="M1" s="27"/>
      <c r="O1" s="26"/>
      <c r="P1" s="28"/>
      <c r="Q1" s="26"/>
      <c r="R1" s="28"/>
      <c r="S1" s="28"/>
      <c r="W1" s="28"/>
      <c r="X1" s="29"/>
      <c r="Y1" s="29"/>
      <c r="Z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</row>
    <row r="2" spans="1:58" s="25" customFormat="1">
      <c r="A2" s="93"/>
      <c r="G2" s="26"/>
      <c r="H2" s="26"/>
      <c r="I2" s="26"/>
      <c r="J2" s="83"/>
      <c r="K2" s="83"/>
      <c r="L2" s="27"/>
      <c r="M2" s="27"/>
      <c r="O2" s="26"/>
      <c r="P2" s="28"/>
      <c r="Q2" s="26"/>
      <c r="R2" s="28"/>
      <c r="S2" s="28"/>
      <c r="W2" s="28"/>
      <c r="X2" s="29"/>
      <c r="Y2" s="29"/>
      <c r="Z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</row>
    <row r="3" spans="1:58" ht="24" customHeight="1">
      <c r="A3" s="658" t="s">
        <v>9</v>
      </c>
      <c r="B3" s="658" t="s">
        <v>10</v>
      </c>
      <c r="C3" s="658" t="s">
        <v>199</v>
      </c>
      <c r="D3" s="658" t="s">
        <v>93</v>
      </c>
      <c r="E3" s="658" t="s">
        <v>94</v>
      </c>
      <c r="F3" s="658" t="s">
        <v>95</v>
      </c>
      <c r="G3" s="663" t="s">
        <v>96</v>
      </c>
      <c r="H3" s="664"/>
      <c r="I3" s="664"/>
      <c r="J3" s="664"/>
      <c r="K3" s="665"/>
      <c r="L3" s="669" t="s">
        <v>97</v>
      </c>
      <c r="M3" s="670"/>
      <c r="N3" s="671"/>
      <c r="O3" s="675" t="s">
        <v>98</v>
      </c>
      <c r="P3" s="660" t="s">
        <v>110</v>
      </c>
      <c r="Q3" s="675" t="s">
        <v>99</v>
      </c>
      <c r="R3" s="677" t="s">
        <v>100</v>
      </c>
      <c r="S3" s="677" t="s">
        <v>101</v>
      </c>
      <c r="T3" s="658" t="s">
        <v>154</v>
      </c>
      <c r="U3" s="658" t="s">
        <v>153</v>
      </c>
      <c r="V3" s="658" t="s">
        <v>155</v>
      </c>
      <c r="W3" s="677" t="s">
        <v>145</v>
      </c>
      <c r="X3" s="686" t="s">
        <v>103</v>
      </c>
      <c r="Y3" s="686" t="s">
        <v>291</v>
      </c>
      <c r="Z3" s="677" t="s">
        <v>104</v>
      </c>
      <c r="AA3" s="658" t="s">
        <v>156</v>
      </c>
      <c r="AB3" s="658" t="s">
        <v>167</v>
      </c>
      <c r="AC3" s="658" t="s">
        <v>165</v>
      </c>
      <c r="AD3" s="658" t="s">
        <v>128</v>
      </c>
      <c r="AE3" s="658" t="s">
        <v>129</v>
      </c>
      <c r="AF3" s="679" t="s">
        <v>130</v>
      </c>
      <c r="AG3" s="679"/>
      <c r="AH3" s="679"/>
      <c r="AI3" s="679"/>
      <c r="AJ3" s="679"/>
      <c r="AK3" s="679"/>
      <c r="AL3" s="679"/>
      <c r="AM3" s="700" t="s">
        <v>131</v>
      </c>
      <c r="AN3" s="709" t="s">
        <v>105</v>
      </c>
      <c r="AO3" s="709"/>
      <c r="AP3" s="709"/>
      <c r="AQ3" s="709"/>
      <c r="AR3" s="709"/>
      <c r="AS3" s="710" t="s">
        <v>106</v>
      </c>
      <c r="AT3" s="705" t="s">
        <v>200</v>
      </c>
      <c r="AU3" s="706"/>
      <c r="AV3" s="712" t="s">
        <v>132</v>
      </c>
      <c r="AW3" s="713"/>
      <c r="AX3" s="681" t="s">
        <v>132</v>
      </c>
      <c r="AY3" s="682"/>
      <c r="AZ3" s="683" t="s">
        <v>305</v>
      </c>
      <c r="BA3" s="703" t="s">
        <v>107</v>
      </c>
      <c r="BB3" s="698" t="s">
        <v>108</v>
      </c>
      <c r="BC3" s="698" t="s">
        <v>109</v>
      </c>
      <c r="BD3" s="692" t="s">
        <v>374</v>
      </c>
      <c r="BE3" s="695" t="s">
        <v>375</v>
      </c>
      <c r="BF3" s="698" t="s">
        <v>376</v>
      </c>
    </row>
    <row r="4" spans="1:58" ht="12" customHeight="1">
      <c r="A4" s="659"/>
      <c r="B4" s="659"/>
      <c r="C4" s="659"/>
      <c r="D4" s="659"/>
      <c r="E4" s="659"/>
      <c r="F4" s="659"/>
      <c r="G4" s="666"/>
      <c r="H4" s="667"/>
      <c r="I4" s="667"/>
      <c r="J4" s="667"/>
      <c r="K4" s="668"/>
      <c r="L4" s="672"/>
      <c r="M4" s="673"/>
      <c r="N4" s="674"/>
      <c r="O4" s="676"/>
      <c r="P4" s="661"/>
      <c r="Q4" s="676"/>
      <c r="R4" s="678"/>
      <c r="S4" s="678"/>
      <c r="T4" s="659"/>
      <c r="U4" s="659"/>
      <c r="V4" s="659"/>
      <c r="W4" s="678"/>
      <c r="X4" s="687"/>
      <c r="Y4" s="687"/>
      <c r="Z4" s="678"/>
      <c r="AA4" s="659"/>
      <c r="AB4" s="659"/>
      <c r="AC4" s="659"/>
      <c r="AD4" s="659"/>
      <c r="AE4" s="659"/>
      <c r="AF4" s="689" t="s">
        <v>133</v>
      </c>
      <c r="AG4" s="690"/>
      <c r="AH4" s="691"/>
      <c r="AI4" s="661" t="s">
        <v>201</v>
      </c>
      <c r="AJ4" s="661" t="s">
        <v>16</v>
      </c>
      <c r="AK4" s="661" t="s">
        <v>134</v>
      </c>
      <c r="AL4" s="661" t="s">
        <v>19</v>
      </c>
      <c r="AM4" s="701"/>
      <c r="AN4" s="704" t="s">
        <v>111</v>
      </c>
      <c r="AO4" s="704" t="s">
        <v>16</v>
      </c>
      <c r="AP4" s="704" t="s">
        <v>112</v>
      </c>
      <c r="AQ4" s="704" t="s">
        <v>19</v>
      </c>
      <c r="AR4" s="703" t="s">
        <v>113</v>
      </c>
      <c r="AS4" s="710"/>
      <c r="AT4" s="707"/>
      <c r="AU4" s="708"/>
      <c r="AV4" s="532" t="s">
        <v>7</v>
      </c>
      <c r="AW4" s="532" t="s">
        <v>135</v>
      </c>
      <c r="AX4" s="533" t="s">
        <v>7</v>
      </c>
      <c r="AY4" s="534" t="s">
        <v>135</v>
      </c>
      <c r="AZ4" s="684"/>
      <c r="BA4" s="703"/>
      <c r="BB4" s="698"/>
      <c r="BC4" s="698"/>
      <c r="BD4" s="693"/>
      <c r="BE4" s="696"/>
      <c r="BF4" s="698"/>
    </row>
    <row r="5" spans="1:58" s="35" customFormat="1" ht="48">
      <c r="A5" s="659"/>
      <c r="B5" s="659"/>
      <c r="C5" s="680"/>
      <c r="D5" s="659"/>
      <c r="E5" s="659"/>
      <c r="F5" s="659"/>
      <c r="G5" s="510" t="s">
        <v>114</v>
      </c>
      <c r="H5" s="509" t="s">
        <v>115</v>
      </c>
      <c r="I5" s="33" t="s">
        <v>116</v>
      </c>
      <c r="J5" s="84" t="s">
        <v>117</v>
      </c>
      <c r="K5" s="84" t="s">
        <v>102</v>
      </c>
      <c r="L5" s="34" t="s">
        <v>118</v>
      </c>
      <c r="M5" s="34" t="s">
        <v>119</v>
      </c>
      <c r="N5" s="509" t="s">
        <v>120</v>
      </c>
      <c r="O5" s="676"/>
      <c r="P5" s="662"/>
      <c r="Q5" s="676"/>
      <c r="R5" s="678"/>
      <c r="S5" s="678"/>
      <c r="T5" s="659"/>
      <c r="U5" s="659"/>
      <c r="V5" s="659"/>
      <c r="W5" s="678"/>
      <c r="X5" s="687"/>
      <c r="Y5" s="688"/>
      <c r="Z5" s="678"/>
      <c r="AA5" s="659"/>
      <c r="AB5" s="680"/>
      <c r="AC5" s="659"/>
      <c r="AD5" s="680"/>
      <c r="AE5" s="659"/>
      <c r="AF5" s="471" t="s">
        <v>292</v>
      </c>
      <c r="AG5" s="536" t="s">
        <v>293</v>
      </c>
      <c r="AH5" s="536" t="s">
        <v>294</v>
      </c>
      <c r="AI5" s="662"/>
      <c r="AJ5" s="662"/>
      <c r="AK5" s="662"/>
      <c r="AL5" s="662"/>
      <c r="AM5" s="702"/>
      <c r="AN5" s="660"/>
      <c r="AO5" s="660"/>
      <c r="AP5" s="660"/>
      <c r="AQ5" s="660"/>
      <c r="AR5" s="677"/>
      <c r="AS5" s="711"/>
      <c r="AT5" s="537" t="s">
        <v>288</v>
      </c>
      <c r="AU5" s="537" t="s">
        <v>289</v>
      </c>
      <c r="AV5" s="535" t="s">
        <v>290</v>
      </c>
      <c r="AW5" s="535" t="s">
        <v>290</v>
      </c>
      <c r="AX5" s="533" t="s">
        <v>18</v>
      </c>
      <c r="AY5" s="533" t="s">
        <v>18</v>
      </c>
      <c r="AZ5" s="685"/>
      <c r="BA5" s="677"/>
      <c r="BB5" s="658"/>
      <c r="BC5" s="658"/>
      <c r="BD5" s="694"/>
      <c r="BE5" s="697"/>
      <c r="BF5" s="699"/>
    </row>
    <row r="6" spans="1:58" ht="12.95" customHeight="1">
      <c r="A6" s="43">
        <f>+Report1!A9</f>
        <v>45870</v>
      </c>
      <c r="B6" s="44" t="s">
        <v>8</v>
      </c>
      <c r="C6" s="460">
        <f>(M6*E6*O6*Q6)/100000000</f>
        <v>46.623973333333332</v>
      </c>
      <c r="D6" s="44" t="s">
        <v>384</v>
      </c>
      <c r="E6" s="45">
        <v>38</v>
      </c>
      <c r="F6" s="45">
        <v>1</v>
      </c>
      <c r="G6" s="511">
        <v>430</v>
      </c>
      <c r="H6" s="47">
        <v>0.12</v>
      </c>
      <c r="I6" s="48">
        <v>0.88</v>
      </c>
      <c r="J6" s="85">
        <f>E6*G6*(1-H6)*1440/1000000*3.4</f>
        <v>70.400563199999993</v>
      </c>
      <c r="K6" s="85">
        <f>(IF(G6&lt;L6,L6,G6)*(1-IF(H6&lt;N6,H6,N6))*E6*O6*Q6)/100000000</f>
        <v>46.623973333333332</v>
      </c>
      <c r="L6" s="38">
        <v>500</v>
      </c>
      <c r="M6" s="38">
        <f>+L6-L6*0.12</f>
        <v>440</v>
      </c>
      <c r="N6" s="49">
        <f>1-(M6/L6)</f>
        <v>0.12</v>
      </c>
      <c r="O6" s="50">
        <f>+'Trim Rwd'!H4</f>
        <v>328.06060606060606</v>
      </c>
      <c r="P6" s="51">
        <f>O6*(Q6-R6-S6)</f>
        <v>275898.96969696973</v>
      </c>
      <c r="Q6" s="50">
        <v>850</v>
      </c>
      <c r="R6" s="512">
        <v>0</v>
      </c>
      <c r="S6" s="512">
        <v>9</v>
      </c>
      <c r="T6" s="40">
        <f>E6*M6*O6*Q6/100000000</f>
        <v>46.623973333333332</v>
      </c>
      <c r="U6" s="40">
        <f>E6*M6*O6*(Q6-R6-S6)/100000000</f>
        <v>46.130307733333332</v>
      </c>
      <c r="V6" s="40">
        <f>E6*G6*(1-N6)*O6/100*(R6+S6)/1000000</f>
        <v>0.42455241600000004</v>
      </c>
      <c r="W6" s="40">
        <f>+'1'!K7/1000</f>
        <v>53.722000000000001</v>
      </c>
      <c r="X6" s="513">
        <f>SUM(W6:W9)/SUM(K6:K9)</f>
        <v>1.0736612946546025</v>
      </c>
      <c r="Y6" s="214">
        <v>0</v>
      </c>
      <c r="Z6" s="40">
        <f>+'1'!D7/1000</f>
        <v>0.22</v>
      </c>
      <c r="AA6" s="52">
        <f>SUM(U6:U9)-SUM(W6:W9)-SUM(Z6:Z9)-SUM(Y6:Y9)</f>
        <v>-6.4990676680784398</v>
      </c>
      <c r="AB6" s="52">
        <f>(SUM(K6:K9)-SUM(W6:W9)-SUM(Y6:Y9)-SUM(Z6:Z9)-SUM(AC6:AC9)-SUM(V6:V9))-AA6</f>
        <v>6.9113184000011429E-2</v>
      </c>
      <c r="AC6" s="40">
        <f>K6-T6</f>
        <v>0</v>
      </c>
      <c r="AD6" s="40">
        <f>+AM6+BA6</f>
        <v>0</v>
      </c>
      <c r="AE6" s="233" t="s">
        <v>391</v>
      </c>
      <c r="AF6" s="40">
        <v>0</v>
      </c>
      <c r="AG6" s="40"/>
      <c r="AH6" s="40"/>
      <c r="AI6" s="514"/>
      <c r="AJ6" s="40"/>
      <c r="AK6" s="40"/>
      <c r="AL6" s="40"/>
      <c r="AM6" s="40">
        <f>SUM(AF6:AL6)+AT6+AV6+AX6</f>
        <v>0</v>
      </c>
      <c r="AN6" s="40"/>
      <c r="AO6" s="40"/>
      <c r="AP6" s="40"/>
      <c r="AQ6" s="40"/>
      <c r="AR6" s="40">
        <f>SUM(AN6:AQ6)</f>
        <v>0</v>
      </c>
      <c r="AS6" s="40"/>
      <c r="AT6" s="40"/>
      <c r="AU6" s="40"/>
      <c r="AV6" s="40"/>
      <c r="AW6" s="40"/>
      <c r="AX6" s="40"/>
      <c r="AY6" s="40"/>
      <c r="AZ6" s="40"/>
      <c r="BA6" s="40">
        <f>+AR6+AS6+AU6+AW6+AY6+AZ6</f>
        <v>0</v>
      </c>
      <c r="BB6" s="36">
        <v>0</v>
      </c>
      <c r="BC6" s="54"/>
      <c r="BD6" s="54"/>
      <c r="BE6" s="36"/>
      <c r="BF6" s="54"/>
    </row>
    <row r="7" spans="1:58" ht="12.95" customHeight="1">
      <c r="A7" s="43"/>
      <c r="B7" s="44" t="s">
        <v>8</v>
      </c>
      <c r="C7" s="460">
        <f>(M7*E7*O7*Q7)/100000000</f>
        <v>28.044826221176471</v>
      </c>
      <c r="D7" s="44" t="s">
        <v>384</v>
      </c>
      <c r="E7" s="45">
        <v>36</v>
      </c>
      <c r="F7" s="45">
        <v>1</v>
      </c>
      <c r="G7" s="511">
        <v>455</v>
      </c>
      <c r="H7" s="47">
        <v>0.12</v>
      </c>
      <c r="I7" s="48">
        <v>0.88</v>
      </c>
      <c r="J7" s="85">
        <f>E7*G7*(1-H7)*1440/1000000*3.4</f>
        <v>70.572902400000004</v>
      </c>
      <c r="K7" s="85">
        <f>(IF(G7&lt;L7,L7,G7)*(1-IF(H7&lt;N7,H7,N7))*E7*O7*Q7)/100000000</f>
        <v>28.044826221176471</v>
      </c>
      <c r="L7" s="38">
        <v>455</v>
      </c>
      <c r="M7" s="38">
        <f>+L7-L7*0.12</f>
        <v>400.4</v>
      </c>
      <c r="N7" s="49">
        <f>1-(M7/L7)</f>
        <v>0.12</v>
      </c>
      <c r="O7" s="50">
        <f>+'Trim Rwd'!H6</f>
        <v>329.76470588235293</v>
      </c>
      <c r="P7" s="51">
        <f>O7*(Q7-R7-S7)</f>
        <v>192582.5882352941</v>
      </c>
      <c r="Q7" s="50">
        <v>590</v>
      </c>
      <c r="R7" s="512">
        <v>0</v>
      </c>
      <c r="S7" s="512">
        <v>6</v>
      </c>
      <c r="T7" s="40">
        <f>E7*M7*O7*Q7/100000000</f>
        <v>28.044826221176471</v>
      </c>
      <c r="U7" s="40">
        <f>E7*M7*O7*(Q7-R7-S7)/100000000</f>
        <v>27.759624598588232</v>
      </c>
      <c r="V7" s="40">
        <f>E7*G7*(1-N7)*O7/100*(R7+S7)/1000000</f>
        <v>0.28520162258823528</v>
      </c>
      <c r="W7" s="40">
        <f>+'1'!K8/1000</f>
        <v>26.446999999999999</v>
      </c>
      <c r="X7" s="41"/>
      <c r="Y7" s="214"/>
      <c r="Z7" s="40"/>
      <c r="AA7" s="40"/>
      <c r="AB7" s="40"/>
      <c r="AC7" s="40">
        <f>K7-T7</f>
        <v>0</v>
      </c>
      <c r="AD7" s="40">
        <f>+AM7+BA7</f>
        <v>6</v>
      </c>
      <c r="AE7" s="233" t="s">
        <v>390</v>
      </c>
      <c r="AF7" s="40"/>
      <c r="AG7" s="40">
        <v>6</v>
      </c>
      <c r="AH7" s="40"/>
      <c r="AI7" s="514"/>
      <c r="AJ7" s="40"/>
      <c r="AK7" s="40"/>
      <c r="AL7" s="40"/>
      <c r="AM7" s="40">
        <f>SUM(AF7:AL7)+AT7+AV7+AX7</f>
        <v>6</v>
      </c>
      <c r="AN7" s="86"/>
      <c r="AO7" s="40"/>
      <c r="AP7" s="40"/>
      <c r="AQ7" s="40"/>
      <c r="AR7" s="40">
        <f>SUM(AN7:AQ7)</f>
        <v>0</v>
      </c>
      <c r="AS7" s="40"/>
      <c r="AT7" s="40"/>
      <c r="AU7" s="40"/>
      <c r="AV7" s="40"/>
      <c r="AW7" s="40"/>
      <c r="AX7" s="40"/>
      <c r="AY7" s="40"/>
      <c r="AZ7" s="40"/>
      <c r="BA7" s="40">
        <f>+AR7+AS7+AU7+AW7+AY7+AZ7</f>
        <v>0</v>
      </c>
      <c r="BB7" s="53"/>
      <c r="BC7" s="54">
        <v>3</v>
      </c>
      <c r="BD7" s="54"/>
      <c r="BE7" s="53"/>
      <c r="BF7" s="54"/>
    </row>
    <row r="8" spans="1:58" ht="12.95" customHeight="1">
      <c r="A8" s="43"/>
      <c r="B8" s="44"/>
      <c r="C8" s="460"/>
      <c r="D8" s="44"/>
      <c r="E8" s="45"/>
      <c r="F8" s="45"/>
      <c r="G8" s="511"/>
      <c r="H8" s="47"/>
      <c r="I8" s="48"/>
      <c r="J8" s="85"/>
      <c r="K8" s="85"/>
      <c r="L8" s="38"/>
      <c r="M8" s="38"/>
      <c r="N8" s="49"/>
      <c r="O8" s="50"/>
      <c r="P8" s="51"/>
      <c r="Q8" s="50"/>
      <c r="R8" s="512"/>
      <c r="S8" s="512"/>
      <c r="T8" s="40"/>
      <c r="U8" s="40"/>
      <c r="V8" s="40"/>
      <c r="W8" s="40"/>
      <c r="X8" s="41"/>
      <c r="Y8" s="214"/>
      <c r="Z8" s="40"/>
      <c r="AA8" s="40"/>
      <c r="AB8" s="40"/>
      <c r="AC8" s="40"/>
      <c r="AD8" s="40">
        <f>+AM8+BA8</f>
        <v>9</v>
      </c>
      <c r="AE8" s="233" t="s">
        <v>226</v>
      </c>
      <c r="AF8" s="36"/>
      <c r="AG8" s="36"/>
      <c r="AH8" s="36">
        <v>9</v>
      </c>
      <c r="AJ8" s="40"/>
      <c r="AK8" s="40"/>
      <c r="AL8" s="40"/>
      <c r="AM8" s="40">
        <f>SUM(AF8:AL8)+AT8+AV8+AX8</f>
        <v>9</v>
      </c>
      <c r="AN8" s="40"/>
      <c r="AO8" s="40"/>
      <c r="AP8" s="40"/>
      <c r="AQ8" s="40"/>
      <c r="AR8" s="40">
        <f>SUM(AN8:AQ8)</f>
        <v>0</v>
      </c>
      <c r="AS8" s="40"/>
      <c r="AT8" s="40"/>
      <c r="AU8" s="40"/>
      <c r="AV8" s="40"/>
      <c r="AW8" s="40"/>
      <c r="AX8" s="40"/>
      <c r="AY8" s="40"/>
      <c r="AZ8" s="40"/>
      <c r="BA8" s="40">
        <f>+AR8+AS8+AU8+AW8+AY8+AZ8</f>
        <v>0</v>
      </c>
      <c r="BB8" s="36"/>
      <c r="BC8" s="515"/>
      <c r="BD8" s="515"/>
      <c r="BE8" s="36"/>
      <c r="BF8" s="515"/>
    </row>
    <row r="9" spans="1:58" ht="12.95" customHeight="1">
      <c r="A9" s="43"/>
      <c r="B9" s="44"/>
      <c r="C9" s="460"/>
      <c r="D9" s="44"/>
      <c r="E9" s="45"/>
      <c r="F9" s="45"/>
      <c r="G9" s="511"/>
      <c r="H9" s="47"/>
      <c r="I9" s="48"/>
      <c r="J9" s="85"/>
      <c r="K9" s="85"/>
      <c r="L9" s="38"/>
      <c r="M9" s="38"/>
      <c r="N9" s="49"/>
      <c r="O9" s="50"/>
      <c r="P9" s="51"/>
      <c r="Q9" s="50"/>
      <c r="R9" s="512"/>
      <c r="S9" s="512"/>
      <c r="T9" s="40"/>
      <c r="U9" s="40"/>
      <c r="V9" s="40"/>
      <c r="W9" s="40"/>
      <c r="X9" s="513"/>
      <c r="Y9" s="214"/>
      <c r="Z9" s="40"/>
      <c r="AA9" s="52"/>
      <c r="AB9" s="52"/>
      <c r="AC9" s="40"/>
      <c r="AD9" s="40"/>
      <c r="AE9" s="233"/>
      <c r="AF9" s="40"/>
      <c r="AG9" s="40"/>
      <c r="AH9" s="40"/>
      <c r="AI9" s="514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36"/>
      <c r="BC9" s="54"/>
      <c r="BD9" s="54"/>
      <c r="BE9" s="36"/>
      <c r="BF9" s="54"/>
    </row>
    <row r="10" spans="1:58" ht="12.95" customHeight="1">
      <c r="A10" s="43">
        <v>45871</v>
      </c>
      <c r="B10" s="44" t="s">
        <v>8</v>
      </c>
      <c r="C10" s="460">
        <f>(M10*E10*O10*Q10)/100000000</f>
        <v>9.4846751999999981</v>
      </c>
      <c r="D10" s="44" t="s">
        <v>384</v>
      </c>
      <c r="E10" s="45">
        <v>36</v>
      </c>
      <c r="F10" s="45">
        <v>1</v>
      </c>
      <c r="G10" s="511">
        <v>455</v>
      </c>
      <c r="H10" s="47">
        <v>0.12</v>
      </c>
      <c r="I10" s="48">
        <v>0.88</v>
      </c>
      <c r="J10" s="85">
        <f>E10*G10*(1-H10)*1440/1000000*3.4</f>
        <v>70.572902400000004</v>
      </c>
      <c r="K10" s="85">
        <f>(IF(G10&lt;L10,L10,G10)*(1-IF(H10&lt;N10,H10,N10))*E10*O10*Q10)/100000000</f>
        <v>9.4846751999999981</v>
      </c>
      <c r="L10" s="38">
        <v>455</v>
      </c>
      <c r="M10" s="38">
        <f>+L10-L10*0.12</f>
        <v>400.4</v>
      </c>
      <c r="N10" s="49">
        <f>1-(M10/L10)</f>
        <v>0.12</v>
      </c>
      <c r="O10" s="50">
        <f>+'Trim Rwd'!H9</f>
        <v>329</v>
      </c>
      <c r="P10" s="51">
        <f>O10*(Q10-R10-S10)</f>
        <v>62510</v>
      </c>
      <c r="Q10" s="50">
        <v>200</v>
      </c>
      <c r="R10" s="512">
        <v>0</v>
      </c>
      <c r="S10" s="512">
        <v>10</v>
      </c>
      <c r="T10" s="40">
        <f>E10*M10*O10*Q10/100000000</f>
        <v>9.4846751999999981</v>
      </c>
      <c r="U10" s="40">
        <f>E10*M10*O10*(Q10-R10-S10)/100000000</f>
        <v>9.0104414399999992</v>
      </c>
      <c r="V10" s="40">
        <f>E10*G10*(1-N10)*O10/100*(R10+S10)/1000000</f>
        <v>0.47423375999999995</v>
      </c>
      <c r="W10" s="40">
        <f>+'2'!K8/1000</f>
        <v>19.303000000000001</v>
      </c>
      <c r="X10" s="513">
        <f>SUM(W10:W14)/SUM(K10:K14)</f>
        <v>1.0084006925939923</v>
      </c>
      <c r="Y10" s="214">
        <v>0</v>
      </c>
      <c r="Z10" s="40">
        <v>0</v>
      </c>
      <c r="AA10" s="52">
        <f>SUM(U10:U14)-SUM(W10:W14)-SUM(Z10:Z14)-SUM(Y10:Y14)</f>
        <v>-6.9600843600000148</v>
      </c>
      <c r="AB10" s="52">
        <f>(SUM(K10:K14)-SUM(W10:W14)-SUM(Y10:Y14)-SUM(Z10:Z14)-SUM(AC10:AC14)-SUM(V10:V14))-AA10</f>
        <v>-9.870047999999354E-2</v>
      </c>
      <c r="AC10" s="40">
        <f>K10-T10</f>
        <v>0</v>
      </c>
      <c r="AD10" s="40">
        <f>+AM10+BA10</f>
        <v>5</v>
      </c>
      <c r="AE10" s="233" t="s">
        <v>436</v>
      </c>
      <c r="AF10" s="40">
        <v>5</v>
      </c>
      <c r="AG10" s="40"/>
      <c r="AH10" s="40"/>
      <c r="AI10" s="514"/>
      <c r="AJ10" s="40"/>
      <c r="AK10" s="40"/>
      <c r="AL10" s="40"/>
      <c r="AM10" s="40">
        <f>SUM(AF10:AL10)+AT10+AV10+AX10</f>
        <v>5</v>
      </c>
      <c r="AN10" s="40"/>
      <c r="AO10" s="40"/>
      <c r="AP10" s="40"/>
      <c r="AQ10" s="40"/>
      <c r="AR10" s="40">
        <f>SUM(AN10:AQ10)</f>
        <v>0</v>
      </c>
      <c r="AS10" s="40"/>
      <c r="AT10" s="40"/>
      <c r="AU10" s="40"/>
      <c r="AV10" s="40"/>
      <c r="AW10" s="40"/>
      <c r="AX10" s="40"/>
      <c r="AY10" s="40"/>
      <c r="AZ10" s="40"/>
      <c r="BA10" s="40">
        <f>+AR10+AS10+AU10+AW10+AY10+AZ10</f>
        <v>0</v>
      </c>
      <c r="BB10" s="36">
        <v>2</v>
      </c>
      <c r="BC10" s="54"/>
      <c r="BD10" s="54"/>
      <c r="BE10" s="36"/>
      <c r="BF10" s="54"/>
    </row>
    <row r="11" spans="1:58" ht="12.95" customHeight="1">
      <c r="A11" s="43"/>
      <c r="B11" s="44" t="s">
        <v>8</v>
      </c>
      <c r="C11" s="460">
        <f>(M11*E11*O11*Q11)/100000000</f>
        <v>16.350681599999998</v>
      </c>
      <c r="D11" s="44" t="s">
        <v>384</v>
      </c>
      <c r="E11" s="45">
        <v>34</v>
      </c>
      <c r="F11" s="45">
        <v>1</v>
      </c>
      <c r="G11" s="511">
        <v>480</v>
      </c>
      <c r="H11" s="47">
        <v>0.12</v>
      </c>
      <c r="I11" s="48">
        <v>0.88</v>
      </c>
      <c r="J11" s="85">
        <f>E11*G11*(1-H11)*1440/1000000*3.4</f>
        <v>70.314393599999988</v>
      </c>
      <c r="K11" s="85">
        <f>(IF(G11&lt;L11,L11,G11)*(1-IF(H11&lt;N11,H11,N11))*E11*O11*Q11)/100000000</f>
        <v>16.350681599999998</v>
      </c>
      <c r="L11" s="38">
        <v>480</v>
      </c>
      <c r="M11" s="38">
        <f>+L11-L11*0.12</f>
        <v>422.4</v>
      </c>
      <c r="N11" s="49">
        <f>1-(M11/L11)</f>
        <v>0.12</v>
      </c>
      <c r="O11" s="50">
        <f>+'Trim Rwd'!H10</f>
        <v>330</v>
      </c>
      <c r="P11" s="51">
        <f>O11*(Q11-R11-S11)</f>
        <v>110550</v>
      </c>
      <c r="Q11" s="50">
        <v>345</v>
      </c>
      <c r="R11" s="512">
        <v>0</v>
      </c>
      <c r="S11" s="512">
        <v>10</v>
      </c>
      <c r="T11" s="40">
        <f>E11*M11*O11*Q11/100000000</f>
        <v>16.350681599999998</v>
      </c>
      <c r="U11" s="40">
        <f>E11*M11*O11*(Q11-R11-S11)/100000000</f>
        <v>15.876748799999998</v>
      </c>
      <c r="V11" s="40">
        <f>E11*G11*(1-N11)*O11/100*(R11+S11)/1000000</f>
        <v>0.47393279999999999</v>
      </c>
      <c r="W11" s="40">
        <f>+'2'!K9/1000</f>
        <v>19.925999999999998</v>
      </c>
      <c r="X11" s="41"/>
      <c r="Y11" s="214"/>
      <c r="Z11" s="40">
        <v>0</v>
      </c>
      <c r="AA11" s="40"/>
      <c r="AB11" s="40"/>
      <c r="AC11" s="40">
        <f>K11-T11</f>
        <v>0</v>
      </c>
      <c r="AD11" s="40">
        <f>+AM11+BA11</f>
        <v>10</v>
      </c>
      <c r="AE11" s="233" t="s">
        <v>446</v>
      </c>
      <c r="AF11" s="40"/>
      <c r="AG11" s="40">
        <v>10</v>
      </c>
      <c r="AH11" s="40"/>
      <c r="AI11" s="514"/>
      <c r="AJ11" s="40"/>
      <c r="AK11" s="40"/>
      <c r="AL11" s="40"/>
      <c r="AM11" s="40">
        <f>SUM(AF11:AL11)+AT11+AV11+AX11</f>
        <v>10</v>
      </c>
      <c r="AN11" s="86"/>
      <c r="AO11" s="40"/>
      <c r="AP11" s="40"/>
      <c r="AQ11" s="40"/>
      <c r="AR11" s="40">
        <f>SUM(AN11:AQ11)</f>
        <v>0</v>
      </c>
      <c r="AS11" s="40"/>
      <c r="AT11" s="40"/>
      <c r="AU11" s="40"/>
      <c r="AV11" s="40"/>
      <c r="AW11" s="40"/>
      <c r="AX11" s="40"/>
      <c r="AY11" s="40"/>
      <c r="AZ11" s="40"/>
      <c r="BA11" s="40">
        <f>+AR11+AS11+AU11+AW11+AY11+AZ11</f>
        <v>0</v>
      </c>
      <c r="BB11" s="53"/>
      <c r="BC11" s="54">
        <v>5</v>
      </c>
      <c r="BD11" s="54"/>
      <c r="BE11" s="53"/>
      <c r="BF11" s="54"/>
    </row>
    <row r="12" spans="1:58" ht="12.95" customHeight="1">
      <c r="A12" s="43"/>
      <c r="B12" s="44" t="s">
        <v>8</v>
      </c>
      <c r="C12" s="460">
        <f>(M12*E12*O12*Q12)/100000000</f>
        <v>9.5629842000000007</v>
      </c>
      <c r="D12" s="44" t="s">
        <v>384</v>
      </c>
      <c r="E12" s="45">
        <v>30</v>
      </c>
      <c r="F12" s="45">
        <v>1</v>
      </c>
      <c r="G12" s="511">
        <v>545</v>
      </c>
      <c r="H12" s="47">
        <v>0.12</v>
      </c>
      <c r="I12" s="48">
        <v>0.88</v>
      </c>
      <c r="J12" s="85">
        <f>E12*G12*(1-H12)*1440/1000000*3.4</f>
        <v>70.443647999999996</v>
      </c>
      <c r="K12" s="85">
        <f>(IF(G12&lt;L12,L12,G12)*(1-IF(H12&lt;N12,H12,N12))*E12*O12*Q12)/100000000</f>
        <v>9.5629842000000007</v>
      </c>
      <c r="L12" s="38">
        <v>545</v>
      </c>
      <c r="M12" s="38">
        <f>+L12-L12*0.12</f>
        <v>479.6</v>
      </c>
      <c r="N12" s="49">
        <f>1-(M12/L12)</f>
        <v>0.12</v>
      </c>
      <c r="O12" s="50">
        <f>+'Trim Rwd'!H11</f>
        <v>315</v>
      </c>
      <c r="P12" s="51">
        <f>O12*(Q12-R12-S12)</f>
        <v>63315</v>
      </c>
      <c r="Q12" s="50">
        <v>211</v>
      </c>
      <c r="R12" s="512">
        <v>0</v>
      </c>
      <c r="S12" s="512">
        <v>10</v>
      </c>
      <c r="T12" s="40">
        <f>E12*M12*O12*Q12/100000000</f>
        <v>9.5629842000000007</v>
      </c>
      <c r="U12" s="40">
        <f>E12*M12*O12*(Q12-R12-S12)/100000000</f>
        <v>9.1097622000000005</v>
      </c>
      <c r="V12" s="40">
        <f>E12*G12*(1-N12)*O12/100*(R12+S12)/1000000</f>
        <v>0.45322200000000001</v>
      </c>
      <c r="W12" s="40">
        <f>+'2'!K10/1000</f>
        <v>11.016999999999999</v>
      </c>
      <c r="X12" s="41"/>
      <c r="Y12" s="214"/>
      <c r="Z12" s="40">
        <v>0</v>
      </c>
      <c r="AA12" s="40"/>
      <c r="AB12" s="40"/>
      <c r="AC12" s="40">
        <f>K12-T12</f>
        <v>0</v>
      </c>
      <c r="AD12" s="40">
        <f>+AM12+BA12</f>
        <v>11</v>
      </c>
      <c r="AE12" s="233" t="s">
        <v>226</v>
      </c>
      <c r="AF12" s="36"/>
      <c r="AG12" s="36"/>
      <c r="AH12" s="36">
        <v>11</v>
      </c>
      <c r="AJ12" s="40"/>
      <c r="AK12" s="40"/>
      <c r="AL12" s="40"/>
      <c r="AM12" s="40">
        <f>SUM(AF12:AL12)+AT12+AV12+AX12</f>
        <v>11</v>
      </c>
      <c r="AN12" s="40"/>
      <c r="AO12" s="40"/>
      <c r="AP12" s="40"/>
      <c r="AQ12" s="40"/>
      <c r="AR12" s="40">
        <f>SUM(AN12:AQ12)</f>
        <v>0</v>
      </c>
      <c r="AS12" s="40"/>
      <c r="AT12" s="40"/>
      <c r="AU12" s="40"/>
      <c r="AV12" s="40"/>
      <c r="AW12" s="40"/>
      <c r="AX12" s="40"/>
      <c r="AY12" s="40"/>
      <c r="AZ12" s="40"/>
      <c r="BA12" s="40">
        <f>+AR12+AS12+AU12+AW12+AY12+AZ12</f>
        <v>0</v>
      </c>
      <c r="BB12" s="36"/>
      <c r="BC12" s="515"/>
      <c r="BD12" s="515"/>
      <c r="BE12" s="36"/>
      <c r="BF12" s="515"/>
    </row>
    <row r="13" spans="1:58" ht="12.95" customHeight="1">
      <c r="A13" s="43"/>
      <c r="B13" s="44" t="s">
        <v>8</v>
      </c>
      <c r="C13" s="460">
        <f>(M13*E13*O13*Q13)/100000000</f>
        <v>20.161152000000001</v>
      </c>
      <c r="D13" s="44" t="s">
        <v>384</v>
      </c>
      <c r="E13" s="45">
        <v>20</v>
      </c>
      <c r="F13" s="45">
        <v>1</v>
      </c>
      <c r="G13" s="511">
        <v>830</v>
      </c>
      <c r="H13" s="47">
        <v>0.14000000000000001</v>
      </c>
      <c r="I13" s="48">
        <v>0.88</v>
      </c>
      <c r="J13" s="85">
        <f>E13*G13*(1-H13)*1440/1000000*3.4</f>
        <v>69.895296000000002</v>
      </c>
      <c r="K13" s="85">
        <f>(IF(G13&lt;L13,L13,G13)*(1-IF(H13&lt;N13,H13,N13))*E13*O13*Q13)/100000000</f>
        <v>20.917195199999998</v>
      </c>
      <c r="L13" s="38">
        <v>800</v>
      </c>
      <c r="M13" s="38">
        <v>688</v>
      </c>
      <c r="N13" s="49">
        <f>1-(M13/L13)</f>
        <v>0.14000000000000001</v>
      </c>
      <c r="O13" s="50">
        <f>+'Trim Rwd'!H12</f>
        <v>330</v>
      </c>
      <c r="P13" s="51">
        <f>O13*(Q13-R13-S13)</f>
        <v>128370</v>
      </c>
      <c r="Q13" s="50">
        <v>444</v>
      </c>
      <c r="R13" s="512">
        <v>50</v>
      </c>
      <c r="S13" s="512">
        <v>5</v>
      </c>
      <c r="T13" s="40">
        <f>E13*M13*O13*Q13/100000000</f>
        <v>20.161152000000001</v>
      </c>
      <c r="U13" s="40">
        <f>E13*M13*O13*(Q13-R13-S13)/100000000</f>
        <v>17.663712</v>
      </c>
      <c r="V13" s="40">
        <f>E13*G13*(1-N13)*O13/100*(R13+S13)/1000000</f>
        <v>2.591094</v>
      </c>
      <c r="W13" s="40">
        <f>+'2'!K11/1000</f>
        <v>13.885</v>
      </c>
      <c r="X13" s="513"/>
      <c r="Y13" s="214"/>
      <c r="Z13" s="40">
        <f>+'2'!D18/1000</f>
        <v>0.4</v>
      </c>
      <c r="AA13" s="52"/>
      <c r="AB13" s="52"/>
      <c r="AC13" s="40">
        <f>K13-T13</f>
        <v>0.75604319999999703</v>
      </c>
      <c r="AD13" s="40">
        <f>+AM13+BA13</f>
        <v>12</v>
      </c>
      <c r="AE13" s="236" t="s">
        <v>447</v>
      </c>
      <c r="AF13" s="40"/>
      <c r="AG13" s="40"/>
      <c r="AH13" s="40"/>
      <c r="AI13" s="514">
        <v>12</v>
      </c>
      <c r="AJ13" s="40"/>
      <c r="AK13" s="40"/>
      <c r="AL13" s="40"/>
      <c r="AM13" s="40">
        <f>SUM(AF13:AL13)+AT13+AV13+AX13</f>
        <v>12</v>
      </c>
      <c r="AN13" s="40"/>
      <c r="AO13" s="40"/>
      <c r="AP13" s="40"/>
      <c r="AQ13" s="40"/>
      <c r="AR13" s="40">
        <f>SUM(AN13:AQ13)</f>
        <v>0</v>
      </c>
      <c r="AS13" s="40"/>
      <c r="AT13" s="40"/>
      <c r="AU13" s="40"/>
      <c r="AV13" s="40"/>
      <c r="AW13" s="40"/>
      <c r="AX13" s="40"/>
      <c r="AY13" s="40"/>
      <c r="AZ13" s="40"/>
      <c r="BA13" s="40">
        <f>+AR13+AS13+AU13+AW13+AY13+AZ13</f>
        <v>0</v>
      </c>
      <c r="BB13" s="36"/>
      <c r="BC13" s="515"/>
      <c r="BD13" s="515"/>
      <c r="BE13" s="36"/>
      <c r="BF13" s="515"/>
    </row>
    <row r="14" spans="1:58" ht="12.95" customHeight="1">
      <c r="A14" s="43"/>
      <c r="B14" s="44" t="s">
        <v>445</v>
      </c>
      <c r="C14" s="460">
        <f>(M14*E14*O14*Q14)/100000000</f>
        <v>10.765824</v>
      </c>
      <c r="D14" s="44" t="s">
        <v>384</v>
      </c>
      <c r="E14" s="45">
        <v>20</v>
      </c>
      <c r="F14" s="45">
        <v>1</v>
      </c>
      <c r="G14" s="511">
        <v>830</v>
      </c>
      <c r="H14" s="47">
        <v>0.14000000000000001</v>
      </c>
      <c r="I14" s="48">
        <v>0.88</v>
      </c>
      <c r="J14" s="85">
        <f>E14*G14*(1-H14)*1440/1000000*3.4</f>
        <v>69.895296000000002</v>
      </c>
      <c r="K14" s="85">
        <f>(IF(G14&lt;L14,L14,G14)*(1-IF(H14&lt;N14,H14,N14))*E14*O14*Q14)/100000000</f>
        <v>11.169542399999999</v>
      </c>
      <c r="L14" s="38">
        <v>800</v>
      </c>
      <c r="M14" s="38">
        <v>688</v>
      </c>
      <c r="N14" s="49">
        <f>1-(M14/L14)</f>
        <v>0.14000000000000001</v>
      </c>
      <c r="O14" s="50">
        <f>+'Trim Rwd'!H13</f>
        <v>326</v>
      </c>
      <c r="P14" s="51">
        <f>O14*(Q14-R14-S14)</f>
        <v>77262</v>
      </c>
      <c r="Q14" s="50">
        <v>240</v>
      </c>
      <c r="R14" s="512">
        <v>0</v>
      </c>
      <c r="S14" s="512">
        <v>3</v>
      </c>
      <c r="T14" s="40">
        <f>E14*M14*O14*Q14/100000000</f>
        <v>10.765824</v>
      </c>
      <c r="U14" s="40">
        <f>E14*M14*O14*(Q14-R14-S14)/100000000</f>
        <v>10.631251199999999</v>
      </c>
      <c r="V14" s="40">
        <f>E14*G14*(1-N14)*O14/100*(R14+S14)/1000000</f>
        <v>0.13961928000000001</v>
      </c>
      <c r="W14" s="40">
        <f>+'2'!K12/1000</f>
        <v>3.9209999999999998</v>
      </c>
      <c r="X14" s="41"/>
      <c r="Y14" s="214"/>
      <c r="Z14" s="40">
        <f>+'2'!D26/1000</f>
        <v>0.8</v>
      </c>
      <c r="AA14" s="40"/>
      <c r="AB14" s="40"/>
      <c r="AC14" s="40">
        <f>K14-T14</f>
        <v>0.40371839999999892</v>
      </c>
      <c r="AD14" s="40">
        <f>+AM14+BA14</f>
        <v>50</v>
      </c>
      <c r="AE14" s="236" t="s">
        <v>438</v>
      </c>
      <c r="AF14" s="40"/>
      <c r="AG14" s="40"/>
      <c r="AH14" s="40"/>
      <c r="AI14" s="514"/>
      <c r="AJ14" s="40"/>
      <c r="AK14" s="40"/>
      <c r="AL14" s="40"/>
      <c r="AM14" s="40">
        <f>SUM(AF14:AL14)+AT14+AV14+AX14</f>
        <v>0</v>
      </c>
      <c r="AN14" s="40"/>
      <c r="AO14" s="40"/>
      <c r="AP14" s="40">
        <v>50</v>
      </c>
      <c r="AQ14" s="40"/>
      <c r="AR14" s="40">
        <f>SUM(AN14:AQ14)</f>
        <v>50</v>
      </c>
      <c r="AS14" s="40"/>
      <c r="AT14" s="40"/>
      <c r="AU14" s="40"/>
      <c r="AV14" s="40"/>
      <c r="AW14" s="40"/>
      <c r="AX14" s="40"/>
      <c r="AY14" s="40"/>
      <c r="AZ14" s="40"/>
      <c r="BA14" s="40">
        <f>+AR14+AS14+AU14+AW14+AY14+AZ14</f>
        <v>50</v>
      </c>
      <c r="BB14" s="36"/>
      <c r="BC14" s="515"/>
      <c r="BD14" s="515"/>
      <c r="BE14" s="36"/>
      <c r="BF14" s="515"/>
    </row>
    <row r="15" spans="1:58" ht="12.95" customHeight="1">
      <c r="A15" s="43"/>
      <c r="B15" s="44"/>
      <c r="C15" s="460"/>
      <c r="D15" s="44"/>
      <c r="E15" s="45"/>
      <c r="F15" s="45"/>
      <c r="G15" s="46"/>
      <c r="H15" s="47"/>
      <c r="I15" s="48"/>
      <c r="J15" s="85"/>
      <c r="K15" s="85"/>
      <c r="L15" s="38"/>
      <c r="M15" s="38"/>
      <c r="N15" s="49"/>
      <c r="O15" s="50"/>
      <c r="P15" s="51"/>
      <c r="Q15" s="37"/>
      <c r="R15" s="512"/>
      <c r="S15" s="512"/>
      <c r="T15" s="40"/>
      <c r="U15" s="40"/>
      <c r="V15" s="40"/>
      <c r="W15" s="40"/>
      <c r="X15" s="41"/>
      <c r="Y15" s="214"/>
      <c r="Z15" s="40"/>
      <c r="AA15" s="40"/>
      <c r="AB15" s="40"/>
      <c r="AC15" s="40"/>
      <c r="AD15" s="40"/>
      <c r="AE15" s="236"/>
      <c r="AF15" s="40"/>
      <c r="AG15" s="40"/>
      <c r="AH15" s="40"/>
      <c r="AI15" s="514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53"/>
      <c r="BC15" s="54"/>
      <c r="BD15" s="54"/>
      <c r="BE15" s="53"/>
      <c r="BF15" s="54"/>
    </row>
    <row r="16" spans="1:58" ht="12.95" customHeight="1">
      <c r="A16" s="43">
        <v>45872</v>
      </c>
      <c r="B16" s="44" t="s">
        <v>445</v>
      </c>
      <c r="C16" s="460">
        <f>(M16*E16*O16*Q16)/100000000</f>
        <v>4.0371839999999999</v>
      </c>
      <c r="D16" s="44" t="s">
        <v>384</v>
      </c>
      <c r="E16" s="45">
        <v>20</v>
      </c>
      <c r="F16" s="45">
        <v>1</v>
      </c>
      <c r="G16" s="511">
        <v>830</v>
      </c>
      <c r="H16" s="47">
        <v>0.14000000000000001</v>
      </c>
      <c r="I16" s="48">
        <v>0.88</v>
      </c>
      <c r="J16" s="85">
        <f>E16*G16*(1-H16)*1440/1000000*3.4</f>
        <v>69.895296000000002</v>
      </c>
      <c r="K16" s="85">
        <f>(IF(G16&lt;L16,L16,G16)*(1-IF(H16&lt;N16,H16,N16))*E16*O16*Q16)/100000000</f>
        <v>4.1885783999999999</v>
      </c>
      <c r="L16" s="38">
        <v>800</v>
      </c>
      <c r="M16" s="38">
        <v>688</v>
      </c>
      <c r="N16" s="49">
        <f>1-(M16/L16)</f>
        <v>0.14000000000000001</v>
      </c>
      <c r="O16" s="50">
        <f>+'Trim Rwd'!H15</f>
        <v>326</v>
      </c>
      <c r="P16" s="51">
        <f>O16*(Q16-R16-S16)</f>
        <v>28362</v>
      </c>
      <c r="Q16" s="50">
        <v>90</v>
      </c>
      <c r="R16" s="512">
        <v>0</v>
      </c>
      <c r="S16" s="512">
        <v>3</v>
      </c>
      <c r="T16" s="40">
        <f>E16*M16*O16*Q16/100000000</f>
        <v>4.0371839999999999</v>
      </c>
      <c r="U16" s="40">
        <f>E16*M16*O16*(Q16-R16-S16)/100000000</f>
        <v>3.9026111999999999</v>
      </c>
      <c r="V16" s="40">
        <f>E16*G16*(1-N16)*O16/100*(R16+S16)/1000000</f>
        <v>0.13961928000000001</v>
      </c>
      <c r="W16" s="40">
        <f>+'3'!K12/1000</f>
        <v>12.262</v>
      </c>
      <c r="X16" s="513">
        <f>SUM(W16:W19)/SUM(K16:K19)</f>
        <v>0.91110339907076565</v>
      </c>
      <c r="Y16" s="214">
        <v>0</v>
      </c>
      <c r="Z16" s="40">
        <f>+'3'!D7/1000</f>
        <v>0.85</v>
      </c>
      <c r="AA16" s="52">
        <f>SUM(U16:U19)-SUM(W16:W19)-SUM(Z16:Z19)-SUM(Y16:Y19)</f>
        <v>1.1303348</v>
      </c>
      <c r="AB16" s="52">
        <f>(SUM(K16:K19)-SUM(W16:W19)-SUM(Y16:Y19)-SUM(Z16:Z19)-SUM(AC16:AC19)-SUM(V16:V19))-AA16</f>
        <v>-3.5482095000006986E-2</v>
      </c>
      <c r="AC16" s="40">
        <f>K16-T16</f>
        <v>0.15139440000000004</v>
      </c>
      <c r="AD16" s="40">
        <f>+AM16+BA16</f>
        <v>3</v>
      </c>
      <c r="AE16" s="233" t="s">
        <v>436</v>
      </c>
      <c r="AF16" s="40">
        <v>3</v>
      </c>
      <c r="AG16" s="40"/>
      <c r="AH16" s="40"/>
      <c r="AI16" s="514"/>
      <c r="AJ16" s="40"/>
      <c r="AK16" s="40"/>
      <c r="AL16" s="40"/>
      <c r="AM16" s="40">
        <f>SUM(AF16:AL16)+AT16+AV16+AX16</f>
        <v>3</v>
      </c>
      <c r="AN16" s="40"/>
      <c r="AO16" s="40"/>
      <c r="AP16" s="40"/>
      <c r="AQ16" s="40"/>
      <c r="AR16" s="40">
        <f>SUM(AN16:AQ16)</f>
        <v>0</v>
      </c>
      <c r="AS16" s="40"/>
      <c r="AT16" s="40"/>
      <c r="AU16" s="40"/>
      <c r="AV16" s="40"/>
      <c r="AW16" s="40"/>
      <c r="AX16" s="40"/>
      <c r="AY16" s="40"/>
      <c r="AZ16" s="40"/>
      <c r="BA16" s="40">
        <f>+AR16+AS16+AU16+AW16+AY16+AZ16</f>
        <v>0</v>
      </c>
      <c r="BB16" s="36">
        <v>2</v>
      </c>
      <c r="BC16" s="54"/>
      <c r="BD16" s="54"/>
      <c r="BE16" s="36"/>
      <c r="BF16" s="54"/>
    </row>
    <row r="17" spans="1:58" ht="12.95" customHeight="1">
      <c r="A17" s="43"/>
      <c r="B17" s="44" t="s">
        <v>445</v>
      </c>
      <c r="C17" s="460">
        <f>(M17*E17*O17*Q17)/100000000</f>
        <v>52.175339999999998</v>
      </c>
      <c r="D17" s="44" t="s">
        <v>384</v>
      </c>
      <c r="E17" s="45">
        <v>17.5</v>
      </c>
      <c r="F17" s="45">
        <v>1</v>
      </c>
      <c r="G17" s="511">
        <v>830</v>
      </c>
      <c r="H17" s="47">
        <v>0.14000000000000001</v>
      </c>
      <c r="I17" s="48">
        <v>0.88</v>
      </c>
      <c r="J17" s="85">
        <f>E17*G17*(1-H17)*1440/1000000*3.4</f>
        <v>61.158384000000005</v>
      </c>
      <c r="K17" s="85">
        <f>(IF(G17&lt;L17,L17,G17)*(1-IF(H17&lt;N17,H17,N17))*E17*O17*Q17)/100000000</f>
        <v>54.131915249999999</v>
      </c>
      <c r="L17" s="38">
        <v>800</v>
      </c>
      <c r="M17" s="38">
        <v>688</v>
      </c>
      <c r="N17" s="49">
        <f>1-(M17/L17)</f>
        <v>0.14000000000000001</v>
      </c>
      <c r="O17" s="50">
        <f>+'Trim Rwd'!H16</f>
        <v>321</v>
      </c>
      <c r="P17" s="51">
        <f>O17*(Q17-R17-S17)</f>
        <v>426609</v>
      </c>
      <c r="Q17" s="50">
        <v>1350</v>
      </c>
      <c r="R17" s="512">
        <v>0</v>
      </c>
      <c r="S17" s="512">
        <v>21</v>
      </c>
      <c r="T17" s="40">
        <f>E17*M17*O17*Q17/100000000</f>
        <v>52.175339999999998</v>
      </c>
      <c r="U17" s="40">
        <f>E17*M17*O17*(Q17-R17-S17)/100000000</f>
        <v>51.3637236</v>
      </c>
      <c r="V17" s="40">
        <f>E17*G17*(1-N17)*O17/100*(R17+S17)/1000000</f>
        <v>0.84205201499999993</v>
      </c>
      <c r="W17" s="40">
        <f>+'3'!K13/1000</f>
        <v>40.874000000000002</v>
      </c>
      <c r="X17" s="41"/>
      <c r="Y17" s="214"/>
      <c r="Z17" s="40">
        <f>+'3'!D16/1000</f>
        <v>0.15</v>
      </c>
      <c r="AA17" s="40"/>
      <c r="AB17" s="40"/>
      <c r="AC17" s="40">
        <f>K17-T17</f>
        <v>1.9565752500000002</v>
      </c>
      <c r="AD17" s="40">
        <f>+AM17+BA17</f>
        <v>11</v>
      </c>
      <c r="AE17" s="233" t="s">
        <v>448</v>
      </c>
      <c r="AF17" s="40"/>
      <c r="AG17" s="40">
        <v>11</v>
      </c>
      <c r="AH17" s="40"/>
      <c r="AI17" s="514"/>
      <c r="AJ17" s="40"/>
      <c r="AK17" s="40"/>
      <c r="AL17" s="40"/>
      <c r="AM17" s="40">
        <f>SUM(AF17:AL17)+AT17+AV17+AX17</f>
        <v>11</v>
      </c>
      <c r="AN17" s="86"/>
      <c r="AO17" s="40"/>
      <c r="AP17" s="40"/>
      <c r="AQ17" s="40"/>
      <c r="AR17" s="40">
        <f>SUM(AN17:AQ17)</f>
        <v>0</v>
      </c>
      <c r="AS17" s="40"/>
      <c r="AT17" s="40"/>
      <c r="AU17" s="40"/>
      <c r="AV17" s="40"/>
      <c r="AW17" s="40"/>
      <c r="AX17" s="40"/>
      <c r="AY17" s="40"/>
      <c r="AZ17" s="40"/>
      <c r="BA17" s="40">
        <f>+AR17+AS17+AU17+AW17+AY17+AZ17</f>
        <v>0</v>
      </c>
      <c r="BB17" s="53"/>
      <c r="BC17" s="54">
        <v>6</v>
      </c>
      <c r="BD17" s="54"/>
      <c r="BE17" s="53"/>
      <c r="BF17" s="54"/>
    </row>
    <row r="18" spans="1:58" ht="12.95" customHeight="1">
      <c r="A18" s="43"/>
      <c r="B18" s="44"/>
      <c r="C18" s="460"/>
      <c r="D18" s="44"/>
      <c r="E18" s="45"/>
      <c r="F18" s="45"/>
      <c r="G18" s="511"/>
      <c r="H18" s="47"/>
      <c r="I18" s="48"/>
      <c r="J18" s="85"/>
      <c r="K18" s="85"/>
      <c r="L18" s="38"/>
      <c r="M18" s="38"/>
      <c r="N18" s="49"/>
      <c r="O18" s="50"/>
      <c r="P18" s="51"/>
      <c r="Q18" s="50"/>
      <c r="R18" s="512"/>
      <c r="S18" s="512"/>
      <c r="T18" s="40"/>
      <c r="U18" s="40"/>
      <c r="V18" s="40"/>
      <c r="W18" s="40"/>
      <c r="X18" s="41"/>
      <c r="Y18" s="214"/>
      <c r="Z18" s="40"/>
      <c r="AA18" s="40"/>
      <c r="AB18" s="40"/>
      <c r="AC18" s="40"/>
      <c r="AD18" s="40">
        <f>+AM18+BA18</f>
        <v>10</v>
      </c>
      <c r="AE18" s="233" t="s">
        <v>226</v>
      </c>
      <c r="AF18" s="36"/>
      <c r="AG18" s="36"/>
      <c r="AH18" s="36">
        <v>10</v>
      </c>
      <c r="AI18" s="514"/>
      <c r="AJ18" s="40"/>
      <c r="AK18" s="40"/>
      <c r="AL18" s="40"/>
      <c r="AM18" s="40">
        <f>SUM(AF18:AL18)+AT18+AV18+AX18</f>
        <v>10</v>
      </c>
      <c r="AN18" s="40"/>
      <c r="AO18" s="40"/>
      <c r="AP18" s="40"/>
      <c r="AQ18" s="40"/>
      <c r="AR18" s="40">
        <f>SUM(AN18:AQ18)</f>
        <v>0</v>
      </c>
      <c r="AS18" s="40"/>
      <c r="AT18" s="40"/>
      <c r="AU18" s="40"/>
      <c r="AV18" s="40"/>
      <c r="AW18" s="40"/>
      <c r="AX18" s="40"/>
      <c r="AY18" s="40"/>
      <c r="AZ18" s="40"/>
      <c r="BA18" s="40">
        <f>+AR18+AS18+AU18+AW18+AY18+AZ18</f>
        <v>0</v>
      </c>
      <c r="BB18" s="36"/>
      <c r="BC18" s="515"/>
      <c r="BD18" s="515"/>
      <c r="BE18" s="36"/>
      <c r="BF18" s="515"/>
    </row>
    <row r="19" spans="1:58" ht="12.95" customHeight="1">
      <c r="A19" s="43"/>
      <c r="B19" s="44"/>
      <c r="C19" s="460"/>
      <c r="D19" s="44"/>
      <c r="E19" s="45"/>
      <c r="F19" s="45"/>
      <c r="G19" s="46"/>
      <c r="H19" s="47"/>
      <c r="I19" s="48"/>
      <c r="J19" s="85"/>
      <c r="K19" s="85"/>
      <c r="L19" s="38"/>
      <c r="M19" s="38"/>
      <c r="N19" s="49"/>
      <c r="O19" s="50"/>
      <c r="P19" s="51"/>
      <c r="Q19" s="37"/>
      <c r="R19" s="512"/>
      <c r="S19" s="512"/>
      <c r="T19" s="40"/>
      <c r="U19" s="40"/>
      <c r="V19" s="40"/>
      <c r="W19" s="40"/>
      <c r="X19" s="41"/>
      <c r="Y19" s="214"/>
      <c r="Z19" s="40"/>
      <c r="AA19" s="40"/>
      <c r="AB19" s="40"/>
      <c r="AC19" s="40"/>
      <c r="AD19" s="40"/>
      <c r="AE19" s="233"/>
      <c r="AF19" s="36"/>
      <c r="AG19" s="36"/>
      <c r="AH19" s="36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36"/>
      <c r="BC19" s="515"/>
      <c r="BD19" s="515"/>
      <c r="BE19" s="36"/>
      <c r="BF19" s="515"/>
    </row>
    <row r="20" spans="1:58" ht="12.95" customHeight="1">
      <c r="A20" s="43">
        <v>45873</v>
      </c>
      <c r="B20" s="44" t="s">
        <v>445</v>
      </c>
      <c r="C20" s="460">
        <f>(M20*E20*O20*Q20)/100000000</f>
        <v>17.005296000000001</v>
      </c>
      <c r="D20" s="44" t="s">
        <v>384</v>
      </c>
      <c r="E20" s="45">
        <v>17.5</v>
      </c>
      <c r="F20" s="45">
        <v>1</v>
      </c>
      <c r="G20" s="511">
        <v>830</v>
      </c>
      <c r="H20" s="47">
        <v>0.14000000000000001</v>
      </c>
      <c r="I20" s="48">
        <v>0.88</v>
      </c>
      <c r="J20" s="85">
        <f>E20*G20*(1-H20)*1440/1000000*3.4</f>
        <v>61.158384000000005</v>
      </c>
      <c r="K20" s="85">
        <f>(IF(G20&lt;L20,L20,G20)*(1-IF(H20&lt;N20,H20,N20))*E20*O20*Q20)/100000000</f>
        <v>17.642994600000002</v>
      </c>
      <c r="L20" s="38">
        <v>800</v>
      </c>
      <c r="M20" s="38">
        <v>688</v>
      </c>
      <c r="N20" s="49">
        <f>1-(M20/L20)</f>
        <v>0.14000000000000001</v>
      </c>
      <c r="O20" s="50">
        <f>+'Trim Rwd'!H18</f>
        <v>321</v>
      </c>
      <c r="P20" s="51">
        <f>O20*(Q20-R20-S20)</f>
        <v>130005</v>
      </c>
      <c r="Q20" s="50">
        <v>440</v>
      </c>
      <c r="R20" s="512">
        <v>0</v>
      </c>
      <c r="S20" s="512">
        <v>35</v>
      </c>
      <c r="T20" s="40">
        <f>E20*M20*O20*Q20/100000000</f>
        <v>17.005296000000001</v>
      </c>
      <c r="U20" s="40">
        <f>E20*M20*O20*(Q20-R20-S20)/100000000</f>
        <v>15.652602</v>
      </c>
      <c r="V20" s="40">
        <f>E20*G20*(1-N20)*O20/100*(R20+S20)/1000000</f>
        <v>1.403420025</v>
      </c>
      <c r="W20" s="40">
        <f>+'4'!K13/1000</f>
        <v>21.013999999999999</v>
      </c>
      <c r="X20" s="513">
        <f>SUM(W20:W23)/SUM(K20:K23)</f>
        <v>0.80052628435133455</v>
      </c>
      <c r="Y20" s="214">
        <v>0</v>
      </c>
      <c r="Z20" s="40">
        <f>+'4'!D7/1000</f>
        <v>0.3</v>
      </c>
      <c r="AA20" s="52">
        <f>SUM(U20:U23)-SUM(W20:W23)-SUM(Z20:Z23)-SUM(Y20:Y23)</f>
        <v>4.8308035999999976</v>
      </c>
      <c r="AB20" s="52">
        <f>(SUM(K20:K23)-SUM(W20:W23)-SUM(Y20:Y23)-SUM(Z20:Z23)-SUM(AC20:AC23)-SUM(V20:V23))-AA20</f>
        <v>-0.11594842500000446</v>
      </c>
      <c r="AC20" s="40">
        <f>K20-T20</f>
        <v>0.63769860000000023</v>
      </c>
      <c r="AD20" s="40">
        <f>+AM20+BA20</f>
        <v>35</v>
      </c>
      <c r="AE20" s="233" t="s">
        <v>470</v>
      </c>
      <c r="AF20" s="40">
        <v>35</v>
      </c>
      <c r="AG20" s="40"/>
      <c r="AH20" s="40"/>
      <c r="AI20" s="514"/>
      <c r="AJ20" s="40"/>
      <c r="AK20" s="40"/>
      <c r="AL20" s="40"/>
      <c r="AM20" s="40">
        <f>SUM(AF20:AL20)+AT20+AV20+AX20</f>
        <v>35</v>
      </c>
      <c r="AN20" s="40"/>
      <c r="AO20" s="40"/>
      <c r="AP20" s="40"/>
      <c r="AQ20" s="40"/>
      <c r="AR20" s="40">
        <f>SUM(AN20:AQ20)</f>
        <v>0</v>
      </c>
      <c r="AS20" s="40"/>
      <c r="AT20" s="40"/>
      <c r="AU20" s="40"/>
      <c r="AV20" s="40"/>
      <c r="AW20" s="40"/>
      <c r="AX20" s="40"/>
      <c r="AY20" s="40"/>
      <c r="AZ20" s="40"/>
      <c r="BA20" s="40">
        <f>+AR20+AS20+AU20+AW20+AY20+AZ20</f>
        <v>0</v>
      </c>
      <c r="BB20" s="36">
        <v>14</v>
      </c>
      <c r="BC20" s="54"/>
      <c r="BD20" s="54"/>
      <c r="BE20" s="36"/>
      <c r="BF20" s="54"/>
    </row>
    <row r="21" spans="1:58" ht="12.95" customHeight="1">
      <c r="A21" s="43"/>
      <c r="B21" s="44" t="s">
        <v>445</v>
      </c>
      <c r="C21" s="460">
        <f>(M21*E21*O21*Q21)/100000000</f>
        <v>33.741721599999998</v>
      </c>
      <c r="D21" s="44" t="s">
        <v>384</v>
      </c>
      <c r="E21" s="45">
        <v>16</v>
      </c>
      <c r="F21" s="45">
        <v>1</v>
      </c>
      <c r="G21" s="511">
        <v>830</v>
      </c>
      <c r="H21" s="47">
        <v>0.14000000000000001</v>
      </c>
      <c r="I21" s="48">
        <v>0.88</v>
      </c>
      <c r="J21" s="85">
        <f>E21*G21*(1-H21)*1440/1000000*3.4</f>
        <v>55.916236799999993</v>
      </c>
      <c r="K21" s="85">
        <f>(IF(G21&lt;L21,L21,G21)*(1-IF(H21&lt;N21,H21,N21))*E21*O21*Q21)/100000000</f>
        <v>35.007036159999998</v>
      </c>
      <c r="L21" s="38">
        <v>800</v>
      </c>
      <c r="M21" s="38">
        <v>688</v>
      </c>
      <c r="N21" s="49">
        <f>1-(M21/L21)</f>
        <v>0.14000000000000001</v>
      </c>
      <c r="O21" s="50">
        <f>+'Trim Rwd'!H19</f>
        <v>316</v>
      </c>
      <c r="P21" s="51">
        <f>O21*(Q21-R21-S21)</f>
        <v>290720</v>
      </c>
      <c r="Q21" s="50">
        <v>970</v>
      </c>
      <c r="R21" s="512">
        <v>0</v>
      </c>
      <c r="S21" s="512">
        <v>50</v>
      </c>
      <c r="T21" s="40">
        <f>E21*M21*O21*Q21/100000000</f>
        <v>33.741721599999998</v>
      </c>
      <c r="U21" s="40">
        <f>E21*M21*O21*(Q21-R21-S21)/100000000</f>
        <v>32.0024576</v>
      </c>
      <c r="V21" s="40">
        <f>E21*G21*(1-N21)*O21/100*(R21+S21)/1000000</f>
        <v>1.8044863999999996</v>
      </c>
      <c r="W21" s="40">
        <f>+'4'!K14/1000</f>
        <v>21.984000000000002</v>
      </c>
      <c r="X21" s="41"/>
      <c r="Y21" s="214"/>
      <c r="Z21" s="40">
        <f>+('4'!D17+'4'!D25)/1000</f>
        <v>0.55000000000000004</v>
      </c>
      <c r="AA21" s="40"/>
      <c r="AB21" s="40"/>
      <c r="AC21" s="40">
        <f>K21-T21</f>
        <v>1.2653145600000002</v>
      </c>
      <c r="AD21" s="40">
        <f>+AM21+BA21</f>
        <v>22</v>
      </c>
      <c r="AE21" s="233" t="s">
        <v>471</v>
      </c>
      <c r="AF21" s="40"/>
      <c r="AG21" s="40">
        <v>22</v>
      </c>
      <c r="AH21" s="40"/>
      <c r="AI21" s="514"/>
      <c r="AJ21" s="40"/>
      <c r="AK21" s="40"/>
      <c r="AL21" s="40"/>
      <c r="AM21" s="40">
        <f>SUM(AF21:AL21)+AT21+AV21+AX21</f>
        <v>22</v>
      </c>
      <c r="AN21" s="86"/>
      <c r="AO21" s="40"/>
      <c r="AP21" s="40"/>
      <c r="AQ21" s="40"/>
      <c r="AR21" s="40">
        <f>SUM(AN21:AQ21)</f>
        <v>0</v>
      </c>
      <c r="AS21" s="40"/>
      <c r="AT21" s="40"/>
      <c r="AU21" s="40"/>
      <c r="AV21" s="40"/>
      <c r="AW21" s="40"/>
      <c r="AX21" s="40"/>
      <c r="AY21" s="40"/>
      <c r="AZ21" s="40"/>
      <c r="BA21" s="40">
        <f>+AR21+AS21+AU21+AW21+AY21+AZ21</f>
        <v>0</v>
      </c>
      <c r="BB21" s="53"/>
      <c r="BC21" s="54">
        <v>9</v>
      </c>
      <c r="BD21" s="54"/>
      <c r="BE21" s="53"/>
      <c r="BF21" s="54"/>
    </row>
    <row r="22" spans="1:58" ht="12.95" customHeight="1">
      <c r="A22" s="43"/>
      <c r="B22" s="44" t="s">
        <v>445</v>
      </c>
      <c r="C22" s="460">
        <f>(M22*E22*O22*Q22)/100000000</f>
        <v>1.023744</v>
      </c>
      <c r="D22" s="44" t="s">
        <v>384</v>
      </c>
      <c r="E22" s="45">
        <v>15.5</v>
      </c>
      <c r="F22" s="45">
        <v>1</v>
      </c>
      <c r="G22" s="511">
        <v>830</v>
      </c>
      <c r="H22" s="47">
        <v>0.14000000000000001</v>
      </c>
      <c r="I22" s="48">
        <v>0.88</v>
      </c>
      <c r="J22" s="85">
        <f>E22*G22*(1-H22)*1440/1000000*3.4</f>
        <v>54.168854400000001</v>
      </c>
      <c r="K22" s="85">
        <f>(IF(G22&lt;L22,L22,G22)*(1-IF(H22&lt;N22,H22,N22))*E22*O22*Q22)/100000000</f>
        <v>1.0621343999999999</v>
      </c>
      <c r="L22" s="38">
        <v>800</v>
      </c>
      <c r="M22" s="38">
        <v>688</v>
      </c>
      <c r="N22" s="49">
        <f>1-(M22/L22)</f>
        <v>0.14000000000000001</v>
      </c>
      <c r="O22" s="50">
        <f>+'Trim Rwd'!H20</f>
        <v>320</v>
      </c>
      <c r="P22" s="51">
        <f>O22*(Q22-R22-S22)</f>
        <v>9600</v>
      </c>
      <c r="Q22" s="50">
        <v>30</v>
      </c>
      <c r="R22" s="512">
        <v>0</v>
      </c>
      <c r="S22" s="512">
        <v>0</v>
      </c>
      <c r="T22" s="40">
        <f>E22*M22*O22*Q22/100000000</f>
        <v>1.023744</v>
      </c>
      <c r="U22" s="40">
        <f>E22*M22*O22*(Q22-R22-S22)/100000000</f>
        <v>1.023744</v>
      </c>
      <c r="V22" s="40">
        <f>E22*G22*(1-N22)*O22/100*(R22+S22)/1000000</f>
        <v>0</v>
      </c>
      <c r="W22" s="40">
        <f>+'4'!K15/1000</f>
        <v>0</v>
      </c>
      <c r="X22" s="41"/>
      <c r="Y22" s="214"/>
      <c r="Z22" s="40"/>
      <c r="AA22" s="40"/>
      <c r="AB22" s="40"/>
      <c r="AC22" s="40">
        <f>K22-T22</f>
        <v>3.8390399999999936E-2</v>
      </c>
      <c r="AD22" s="40">
        <f>+AM22+BA22</f>
        <v>25</v>
      </c>
      <c r="AE22" s="233" t="s">
        <v>226</v>
      </c>
      <c r="AF22" s="36"/>
      <c r="AG22" s="36"/>
      <c r="AH22" s="36">
        <v>25</v>
      </c>
      <c r="AJ22" s="40"/>
      <c r="AK22" s="40"/>
      <c r="AL22" s="40"/>
      <c r="AM22" s="40">
        <f>SUM(AF22:AL22)+AT22+AV22+AX22</f>
        <v>25</v>
      </c>
      <c r="AN22" s="40"/>
      <c r="AO22" s="40"/>
      <c r="AP22" s="40"/>
      <c r="AQ22" s="40"/>
      <c r="AR22" s="40">
        <f>SUM(AN22:AQ22)</f>
        <v>0</v>
      </c>
      <c r="AS22" s="40"/>
      <c r="AT22" s="40"/>
      <c r="AU22" s="40"/>
      <c r="AV22" s="40"/>
      <c r="AW22" s="40"/>
      <c r="AX22" s="40"/>
      <c r="AY22" s="40"/>
      <c r="AZ22" s="40"/>
      <c r="BA22" s="40">
        <f>+AR22+AS22+AU22+AW22+AY22+AZ22</f>
        <v>0</v>
      </c>
      <c r="BB22" s="36"/>
      <c r="BC22" s="515"/>
      <c r="BD22" s="515"/>
      <c r="BE22" s="36"/>
      <c r="BF22" s="515"/>
    </row>
    <row r="23" spans="1:58" ht="12.95" customHeight="1">
      <c r="A23" s="43"/>
      <c r="B23" s="44"/>
      <c r="C23" s="460"/>
      <c r="D23" s="44"/>
      <c r="E23" s="45"/>
      <c r="F23" s="45"/>
      <c r="G23" s="46"/>
      <c r="H23" s="47"/>
      <c r="I23" s="48"/>
      <c r="J23" s="85"/>
      <c r="K23" s="85"/>
      <c r="L23" s="38"/>
      <c r="M23" s="38"/>
      <c r="N23" s="49"/>
      <c r="O23" s="50"/>
      <c r="P23" s="51"/>
      <c r="Q23" s="37"/>
      <c r="R23" s="512"/>
      <c r="S23" s="512"/>
      <c r="T23" s="40"/>
      <c r="U23" s="40"/>
      <c r="V23" s="40"/>
      <c r="W23" s="40"/>
      <c r="X23" s="41"/>
      <c r="Y23" s="214"/>
      <c r="Z23" s="40"/>
      <c r="AA23" s="40"/>
      <c r="AB23" s="40"/>
      <c r="AC23" s="40">
        <f>K23-T23</f>
        <v>0</v>
      </c>
      <c r="AD23" s="40">
        <f>+AM23+BA23</f>
        <v>3</v>
      </c>
      <c r="AE23" s="236" t="s">
        <v>447</v>
      </c>
      <c r="AF23" s="40"/>
      <c r="AG23" s="40"/>
      <c r="AH23" s="40"/>
      <c r="AI23" s="514">
        <v>3</v>
      </c>
      <c r="AJ23" s="40"/>
      <c r="AK23" s="40"/>
      <c r="AL23" s="40"/>
      <c r="AM23" s="40">
        <f>SUM(AF23:AL23)+AT23+AV23+AX23</f>
        <v>3</v>
      </c>
      <c r="AN23" s="40"/>
      <c r="AO23" s="40"/>
      <c r="AP23" s="40"/>
      <c r="AQ23" s="40"/>
      <c r="AR23" s="40">
        <f>SUM(AN23:AQ23)</f>
        <v>0</v>
      </c>
      <c r="AS23" s="40"/>
      <c r="AT23" s="40"/>
      <c r="AU23" s="40"/>
      <c r="AV23" s="40"/>
      <c r="AW23" s="40"/>
      <c r="AX23" s="40"/>
      <c r="AY23" s="40"/>
      <c r="AZ23" s="40"/>
      <c r="BA23" s="40">
        <f>+AR23+AS23+AU23+AW23+AY23+AZ23</f>
        <v>0</v>
      </c>
      <c r="BB23" s="36"/>
      <c r="BC23" s="515"/>
      <c r="BD23" s="515"/>
      <c r="BE23" s="36"/>
      <c r="BF23" s="515"/>
    </row>
    <row r="24" spans="1:58" ht="12.95" customHeight="1">
      <c r="A24" s="43"/>
      <c r="B24" s="44"/>
      <c r="C24" s="460"/>
      <c r="D24" s="44"/>
      <c r="E24" s="45"/>
      <c r="F24" s="45"/>
      <c r="G24" s="46"/>
      <c r="H24" s="47"/>
      <c r="I24" s="48"/>
      <c r="J24" s="85"/>
      <c r="K24" s="85"/>
      <c r="L24" s="38"/>
      <c r="M24" s="38"/>
      <c r="N24" s="49"/>
      <c r="O24" s="50"/>
      <c r="P24" s="51"/>
      <c r="Q24" s="37"/>
      <c r="R24" s="512"/>
      <c r="S24" s="512"/>
      <c r="T24" s="40"/>
      <c r="U24" s="40"/>
      <c r="V24" s="40"/>
      <c r="W24" s="40"/>
      <c r="X24" s="41"/>
      <c r="Y24" s="214"/>
      <c r="Z24" s="40"/>
      <c r="AA24" s="40"/>
      <c r="AB24" s="40"/>
      <c r="AC24" s="40"/>
      <c r="AD24" s="40"/>
      <c r="AE24" s="588"/>
      <c r="AF24" s="40"/>
      <c r="AG24" s="40"/>
      <c r="AH24" s="40"/>
      <c r="AI24" s="514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53"/>
      <c r="BC24" s="54"/>
      <c r="BD24" s="54"/>
      <c r="BE24" s="53"/>
      <c r="BF24" s="54"/>
    </row>
    <row r="25" spans="1:58" ht="12.95" customHeight="1">
      <c r="A25" s="43">
        <v>45874</v>
      </c>
      <c r="B25" s="44" t="s">
        <v>445</v>
      </c>
      <c r="C25" s="460">
        <f>(M25*E25*O25*Q25)/100000000</f>
        <v>47.864545280000002</v>
      </c>
      <c r="D25" s="44" t="s">
        <v>384</v>
      </c>
      <c r="E25" s="45">
        <v>16</v>
      </c>
      <c r="F25" s="45">
        <v>1</v>
      </c>
      <c r="G25" s="511">
        <v>830</v>
      </c>
      <c r="H25" s="47">
        <v>0.14000000000000001</v>
      </c>
      <c r="I25" s="48">
        <v>0.88</v>
      </c>
      <c r="J25" s="85">
        <f>E25*G25*(1-H25)*1440/1000000*3.4</f>
        <v>55.916236799999993</v>
      </c>
      <c r="K25" s="85">
        <f>(IF(G25&lt;L25,L25,G25)*(1-IF(H25&lt;N25,H25,N25))*E25*O25*Q25)/100000000</f>
        <v>49.659465728000001</v>
      </c>
      <c r="L25" s="38">
        <v>800</v>
      </c>
      <c r="M25" s="38">
        <v>688</v>
      </c>
      <c r="N25" s="49">
        <f>1-(M25/L25)</f>
        <v>0.14000000000000001</v>
      </c>
      <c r="O25" s="50">
        <f>+'Trim Rwd'!H22</f>
        <v>316</v>
      </c>
      <c r="P25" s="51">
        <f>O25*(Q25-R25-S25)</f>
        <v>31600</v>
      </c>
      <c r="Q25" s="50">
        <v>1376</v>
      </c>
      <c r="R25" s="512">
        <v>1256</v>
      </c>
      <c r="S25" s="512">
        <v>20</v>
      </c>
      <c r="T25" s="40">
        <f>E25*M25*O25*Q25/100000000</f>
        <v>47.864545280000002</v>
      </c>
      <c r="U25" s="40">
        <f>E25*M25*O25*(Q25-R25-S25)/100000000</f>
        <v>3.4785279999999998</v>
      </c>
      <c r="V25" s="40">
        <f>E25*G25*(1-N25)*O25/100*(R25+S25)/1000000</f>
        <v>46.050492927999997</v>
      </c>
      <c r="W25" s="40">
        <f>+'5'!K14/1000</f>
        <v>2.3740000000000001</v>
      </c>
      <c r="X25" s="513">
        <f>SUM(W25:W28)/SUM(K25:K28)</f>
        <v>4.5486570452663515E-2</v>
      </c>
      <c r="Y25" s="214">
        <v>0</v>
      </c>
      <c r="Z25" s="40">
        <f>+'5'!D14/1000</f>
        <v>0.436</v>
      </c>
      <c r="AA25" s="52">
        <f>SUM(U25:U28)-SUM(W25:W28)-SUM(Z25:Z28)-SUM(Y25:Y28)</f>
        <v>2.8037497599999992</v>
      </c>
      <c r="AB25" s="52">
        <f>(SUM(K25:K28)-SUM(W25:W28)-SUM(Y25:Y28)-SUM(Z25:Z28)-SUM(AC25:AC28)-SUM(V25:V28))-AA25</f>
        <v>-1.6644756479999967</v>
      </c>
      <c r="AC25" s="40">
        <f>K25-T25</f>
        <v>1.7949204479999992</v>
      </c>
      <c r="AD25" s="40">
        <f>+AM25+BA25</f>
        <v>0</v>
      </c>
      <c r="AE25" s="233" t="s">
        <v>391</v>
      </c>
      <c r="AF25" s="40">
        <v>0</v>
      </c>
      <c r="AG25" s="40"/>
      <c r="AH25" s="40"/>
      <c r="AI25" s="514"/>
      <c r="AJ25" s="40"/>
      <c r="AK25" s="40"/>
      <c r="AL25" s="40"/>
      <c r="AM25" s="40">
        <f>SUM(AF25:AL25)+AT25+AV25+AX25</f>
        <v>0</v>
      </c>
      <c r="AN25" s="40"/>
      <c r="AO25" s="40"/>
      <c r="AP25" s="40"/>
      <c r="AQ25" s="40"/>
      <c r="AR25" s="40">
        <f>SUM(AN25:AQ25)</f>
        <v>0</v>
      </c>
      <c r="AS25" s="40"/>
      <c r="AT25" s="40"/>
      <c r="AU25" s="40"/>
      <c r="AV25" s="40"/>
      <c r="AW25" s="40"/>
      <c r="AX25" s="40"/>
      <c r="AY25" s="40"/>
      <c r="AZ25" s="40"/>
      <c r="BA25" s="40">
        <f>+AR25+AS25+AU25+AW25+AY25+AZ25</f>
        <v>0</v>
      </c>
      <c r="BB25" s="36">
        <v>0</v>
      </c>
      <c r="BC25" s="54"/>
      <c r="BD25" s="54"/>
      <c r="BE25" s="36"/>
      <c r="BF25" s="54"/>
    </row>
    <row r="26" spans="1:58" ht="12.95" customHeight="1">
      <c r="A26" s="43"/>
      <c r="B26" s="44" t="s">
        <v>445</v>
      </c>
      <c r="C26" s="460">
        <f>(M26*E26*O26*Q26)/100000000</f>
        <v>2.1352217599999999</v>
      </c>
      <c r="D26" s="44" t="s">
        <v>491</v>
      </c>
      <c r="E26" s="45">
        <v>17</v>
      </c>
      <c r="F26" s="45">
        <v>1</v>
      </c>
      <c r="G26" s="511">
        <v>830</v>
      </c>
      <c r="H26" s="47">
        <v>0.14000000000000001</v>
      </c>
      <c r="I26" s="48">
        <v>0.88</v>
      </c>
      <c r="J26" s="85">
        <f>E26*G26*(1-H26)*1440/1000000*3.4</f>
        <v>59.411001599999999</v>
      </c>
      <c r="K26" s="85">
        <f>(IF(G26&lt;L26,L26,G26)*(1-IF(H26&lt;N26,H26,N26))*E26*O26*Q26)/100000000</f>
        <v>2.5317629439999996</v>
      </c>
      <c r="L26" s="38">
        <v>700</v>
      </c>
      <c r="M26" s="38">
        <v>602</v>
      </c>
      <c r="N26" s="49">
        <f>1-(M26/L26)</f>
        <v>0.14000000000000001</v>
      </c>
      <c r="O26" s="50">
        <f>+'Trim Rwd'!H23</f>
        <v>326</v>
      </c>
      <c r="P26" s="51">
        <f>O26*(Q26-R26-S26)</f>
        <v>20864</v>
      </c>
      <c r="Q26" s="50">
        <v>64</v>
      </c>
      <c r="R26" s="512">
        <v>0</v>
      </c>
      <c r="S26" s="512">
        <v>0</v>
      </c>
      <c r="T26" s="40">
        <f>E26*M26*O26*Q26/100000000</f>
        <v>2.1352217599999999</v>
      </c>
      <c r="U26" s="40">
        <f>E26*M26*O26*(Q26-R26-S26)/100000000</f>
        <v>2.1352217599999999</v>
      </c>
      <c r="V26" s="40">
        <f>E26*G26*(1-N26)*O26/100*(R26+S26)/1000000</f>
        <v>0</v>
      </c>
      <c r="W26" s="40">
        <f>+'5'!K16/1000</f>
        <v>0</v>
      </c>
      <c r="X26" s="41"/>
      <c r="Y26" s="214"/>
      <c r="Z26" s="40"/>
      <c r="AA26" s="40"/>
      <c r="AB26" s="40"/>
      <c r="AC26" s="40">
        <f>K26-T26</f>
        <v>0.39654118399999971</v>
      </c>
      <c r="AD26" s="40">
        <f>+AM26+BA26</f>
        <v>10</v>
      </c>
      <c r="AE26" s="233" t="s">
        <v>434</v>
      </c>
      <c r="AF26" s="40"/>
      <c r="AG26" s="40">
        <v>10</v>
      </c>
      <c r="AH26" s="40"/>
      <c r="AI26" s="514"/>
      <c r="AJ26" s="40"/>
      <c r="AK26" s="40"/>
      <c r="AL26" s="40"/>
      <c r="AM26" s="40">
        <f>SUM(AF26:AL26)+AT26+AV26+AX26</f>
        <v>10</v>
      </c>
      <c r="AN26" s="86"/>
      <c r="AO26" s="40"/>
      <c r="AP26" s="40"/>
      <c r="AQ26" s="40"/>
      <c r="AR26" s="40">
        <f>SUM(AN26:AQ26)</f>
        <v>0</v>
      </c>
      <c r="AS26" s="40"/>
      <c r="AT26" s="40"/>
      <c r="AU26" s="40"/>
      <c r="AV26" s="40"/>
      <c r="AW26" s="40"/>
      <c r="AX26" s="40"/>
      <c r="AY26" s="40"/>
      <c r="AZ26" s="40"/>
      <c r="BA26" s="40">
        <f>+AR26+AS26+AU26+AW26+AY26+AZ26</f>
        <v>0</v>
      </c>
      <c r="BB26" s="53"/>
      <c r="BC26" s="54">
        <v>2</v>
      </c>
      <c r="BD26" s="54"/>
      <c r="BE26" s="53"/>
      <c r="BF26" s="54"/>
    </row>
    <row r="27" spans="1:58" ht="12.95" customHeight="1">
      <c r="A27" s="43"/>
      <c r="B27" s="44"/>
      <c r="C27" s="460"/>
      <c r="D27" s="44"/>
      <c r="E27" s="45"/>
      <c r="F27" s="45"/>
      <c r="G27" s="511"/>
      <c r="H27" s="47"/>
      <c r="I27" s="48"/>
      <c r="J27" s="85"/>
      <c r="K27" s="85"/>
      <c r="L27" s="38"/>
      <c r="M27" s="38"/>
      <c r="N27" s="49"/>
      <c r="O27" s="50"/>
      <c r="P27" s="51"/>
      <c r="Q27" s="50"/>
      <c r="R27" s="512"/>
      <c r="S27" s="512"/>
      <c r="T27" s="40"/>
      <c r="U27" s="40"/>
      <c r="V27" s="40"/>
      <c r="W27" s="40"/>
      <c r="X27" s="41"/>
      <c r="Y27" s="214"/>
      <c r="Z27" s="40"/>
      <c r="AA27" s="40"/>
      <c r="AB27" s="40"/>
      <c r="AC27" s="40"/>
      <c r="AD27" s="40">
        <f>+AM27+BA27</f>
        <v>10</v>
      </c>
      <c r="AE27" s="233" t="s">
        <v>226</v>
      </c>
      <c r="AF27" s="36"/>
      <c r="AG27" s="36"/>
      <c r="AH27" s="36">
        <v>10</v>
      </c>
      <c r="AJ27" s="40"/>
      <c r="AK27" s="40"/>
      <c r="AL27" s="40"/>
      <c r="AM27" s="40">
        <f>SUM(AF27:AL27)+AT27+AV27+AX27</f>
        <v>10</v>
      </c>
      <c r="AN27" s="40"/>
      <c r="AO27" s="40"/>
      <c r="AP27" s="40"/>
      <c r="AQ27" s="40"/>
      <c r="AR27" s="40">
        <f>SUM(AN27:AQ27)</f>
        <v>0</v>
      </c>
      <c r="AS27" s="40"/>
      <c r="AT27" s="40"/>
      <c r="AU27" s="40"/>
      <c r="AV27" s="40"/>
      <c r="AW27" s="40"/>
      <c r="AX27" s="40"/>
      <c r="AY27" s="40"/>
      <c r="AZ27" s="40"/>
      <c r="BA27" s="40">
        <f>+AR27+AS27+AU27+AW27+AY27+AZ27</f>
        <v>0</v>
      </c>
      <c r="BB27" s="36"/>
      <c r="BC27" s="515"/>
      <c r="BD27" s="515"/>
      <c r="BE27" s="36"/>
      <c r="BF27" s="515"/>
    </row>
    <row r="28" spans="1:58" ht="12.95" customHeight="1">
      <c r="A28" s="43"/>
      <c r="B28" s="44"/>
      <c r="C28" s="460"/>
      <c r="D28" s="44"/>
      <c r="E28" s="45"/>
      <c r="F28" s="45"/>
      <c r="G28" s="46"/>
      <c r="H28" s="47"/>
      <c r="I28" s="48"/>
      <c r="J28" s="85"/>
      <c r="K28" s="85"/>
      <c r="L28" s="38"/>
      <c r="M28" s="38"/>
      <c r="N28" s="49"/>
      <c r="O28" s="50"/>
      <c r="P28" s="51"/>
      <c r="Q28" s="37"/>
      <c r="R28" s="512"/>
      <c r="S28" s="512"/>
      <c r="T28" s="40"/>
      <c r="U28" s="40"/>
      <c r="V28" s="40"/>
      <c r="W28" s="40"/>
      <c r="X28" s="41"/>
      <c r="Y28" s="214"/>
      <c r="Z28" s="40"/>
      <c r="AA28" s="40"/>
      <c r="AB28" s="40"/>
      <c r="AC28" s="40"/>
      <c r="AD28" s="40">
        <f>+AM28+BA28</f>
        <v>1256</v>
      </c>
      <c r="AE28" s="236" t="s">
        <v>488</v>
      </c>
      <c r="AF28" s="40"/>
      <c r="AG28" s="40"/>
      <c r="AH28" s="40"/>
      <c r="AI28" s="514"/>
      <c r="AJ28" s="40"/>
      <c r="AK28" s="40"/>
      <c r="AL28" s="40"/>
      <c r="AM28" s="40">
        <f>SUM(AF28:AL28)+AT28+AV28+AX28</f>
        <v>0</v>
      </c>
      <c r="AN28" s="40"/>
      <c r="AO28" s="40"/>
      <c r="AP28" s="40"/>
      <c r="AQ28" s="40"/>
      <c r="AR28" s="40">
        <f>SUM(AN28:AQ28)</f>
        <v>0</v>
      </c>
      <c r="AS28" s="40"/>
      <c r="AT28" s="40"/>
      <c r="AU28" s="40">
        <v>1256</v>
      </c>
      <c r="AV28" s="40"/>
      <c r="AW28" s="40"/>
      <c r="AX28" s="40"/>
      <c r="AY28" s="40"/>
      <c r="AZ28" s="40"/>
      <c r="BA28" s="40">
        <f>+AR28+AS28+AU28+AW28+AY28+AZ28</f>
        <v>1256</v>
      </c>
      <c r="BB28" s="36"/>
      <c r="BC28" s="515"/>
      <c r="BD28" s="515"/>
      <c r="BE28" s="36"/>
      <c r="BF28" s="515"/>
    </row>
    <row r="29" spans="1:58" ht="12.95" customHeight="1">
      <c r="A29" s="43"/>
      <c r="B29" s="44"/>
      <c r="C29" s="460"/>
      <c r="D29" s="44"/>
      <c r="E29" s="45"/>
      <c r="F29" s="45"/>
      <c r="G29" s="46"/>
      <c r="H29" s="47"/>
      <c r="I29" s="48"/>
      <c r="J29" s="85"/>
      <c r="K29" s="85"/>
      <c r="L29" s="38"/>
      <c r="M29" s="38"/>
      <c r="N29" s="49"/>
      <c r="O29" s="50"/>
      <c r="P29" s="51"/>
      <c r="Q29" s="37"/>
      <c r="R29" s="512"/>
      <c r="S29" s="512"/>
      <c r="T29" s="40"/>
      <c r="U29" s="40"/>
      <c r="V29" s="40"/>
      <c r="W29" s="40"/>
      <c r="X29" s="41"/>
      <c r="Y29" s="214"/>
      <c r="Z29" s="40"/>
      <c r="AA29" s="40"/>
      <c r="AB29" s="40"/>
      <c r="AC29" s="40"/>
      <c r="AD29" s="40"/>
      <c r="AE29" s="588"/>
      <c r="AF29" s="40"/>
      <c r="AG29" s="40"/>
      <c r="AH29" s="40"/>
      <c r="AI29" s="514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53"/>
      <c r="BC29" s="54"/>
      <c r="BD29" s="54"/>
      <c r="BE29" s="53"/>
      <c r="BF29" s="54"/>
    </row>
    <row r="30" spans="1:58" ht="12.95" customHeight="1">
      <c r="A30" s="43">
        <v>45875</v>
      </c>
      <c r="B30" s="44" t="s">
        <v>445</v>
      </c>
      <c r="C30" s="460">
        <f>(M30*E30*O30*Q30)/100000000</f>
        <v>20.035247999999999</v>
      </c>
      <c r="D30" s="44" t="s">
        <v>491</v>
      </c>
      <c r="E30" s="45">
        <v>17</v>
      </c>
      <c r="F30" s="45">
        <v>1</v>
      </c>
      <c r="G30" s="511">
        <v>830</v>
      </c>
      <c r="H30" s="47">
        <v>0.14000000000000001</v>
      </c>
      <c r="I30" s="48">
        <v>0.88</v>
      </c>
      <c r="J30" s="85">
        <f>E30*G30*(1-H30)*1440/1000000*3.4</f>
        <v>59.411001599999999</v>
      </c>
      <c r="K30" s="85">
        <f>(IF(G30&lt;L30,L30,G30)*(1-IF(H30&lt;N30,H30,N30))*E30*O30*Q30)/100000000</f>
        <v>23.756079771428567</v>
      </c>
      <c r="L30" s="38">
        <v>700</v>
      </c>
      <c r="M30" s="38">
        <v>602</v>
      </c>
      <c r="N30" s="49">
        <f>1-(M30/L30)</f>
        <v>0.14000000000000001</v>
      </c>
      <c r="O30" s="50">
        <f>+'Trim Rwd'!H25</f>
        <v>326.28571428571428</v>
      </c>
      <c r="P30" s="51">
        <f>O30*(Q30-R30-S30)</f>
        <v>133777.14285714284</v>
      </c>
      <c r="Q30" s="50">
        <v>600</v>
      </c>
      <c r="R30" s="512">
        <v>0</v>
      </c>
      <c r="S30" s="512">
        <v>190</v>
      </c>
      <c r="T30" s="40">
        <f>E30*M30*O30*Q30/100000000</f>
        <v>20.035247999999999</v>
      </c>
      <c r="U30" s="40">
        <f>E30*M30*O30*(Q30-R30-S30)/100000000</f>
        <v>13.6907528</v>
      </c>
      <c r="V30" s="40">
        <f>E30*G30*(1-N30)*O30/100*(R30+S30)/1000000</f>
        <v>7.5227585942857154</v>
      </c>
      <c r="W30" s="40">
        <f>+'6'!K16/1000</f>
        <v>14.37</v>
      </c>
      <c r="X30" s="513">
        <f>SUM(W30:W33)/SUM(K30:K33)</f>
        <v>0.60009356716637552</v>
      </c>
      <c r="Y30" s="214">
        <v>0</v>
      </c>
      <c r="Z30" s="40">
        <v>0</v>
      </c>
      <c r="AA30" s="52">
        <f>SUM(U30:U33)-SUM(W30:W33)-SUM(Z30:Z33)-SUM(Y30:Y33)</f>
        <v>8.0035688</v>
      </c>
      <c r="AB30" s="52">
        <f>(SUM(K30:K33)-SUM(W30:W33)-SUM(Y30:Y33)-SUM(Z30:Z33)-SUM(AC30:AC33)-SUM(V30:V33))-AA30</f>
        <v>-1.289299776451319</v>
      </c>
      <c r="AC30" s="40">
        <f>K30-T30</f>
        <v>3.7208317714285677</v>
      </c>
      <c r="AD30" s="40">
        <f t="shared" ref="AD30:AD35" si="0">+AM30+BA30</f>
        <v>10</v>
      </c>
      <c r="AE30" s="233" t="s">
        <v>436</v>
      </c>
      <c r="AF30" s="40">
        <v>10</v>
      </c>
      <c r="AG30" s="40"/>
      <c r="AH30" s="40"/>
      <c r="AI30" s="514"/>
      <c r="AJ30" s="40"/>
      <c r="AK30" s="40"/>
      <c r="AL30" s="40"/>
      <c r="AM30" s="40">
        <f t="shared" ref="AM30:AM35" si="1">SUM(AF30:AL30)+AT30+AV30+AX30</f>
        <v>10</v>
      </c>
      <c r="AN30" s="40"/>
      <c r="AO30" s="40"/>
      <c r="AP30" s="40"/>
      <c r="AQ30" s="40"/>
      <c r="AR30" s="40">
        <f t="shared" ref="AR30:AR35" si="2">SUM(AN30:AQ30)</f>
        <v>0</v>
      </c>
      <c r="AS30" s="40"/>
      <c r="AT30" s="40"/>
      <c r="AU30" s="40"/>
      <c r="AV30" s="40"/>
      <c r="AW30" s="40"/>
      <c r="AX30" s="40"/>
      <c r="AY30" s="40"/>
      <c r="AZ30" s="40"/>
      <c r="BA30" s="40">
        <f t="shared" ref="BA30:BA35" si="3">+AR30+AS30+AU30+AW30+AY30+AZ30</f>
        <v>0</v>
      </c>
      <c r="BB30" s="36">
        <v>2</v>
      </c>
      <c r="BC30" s="54"/>
      <c r="BD30" s="54"/>
      <c r="BE30" s="36"/>
      <c r="BF30" s="54"/>
    </row>
    <row r="31" spans="1:58" ht="12.95" customHeight="1">
      <c r="A31" s="43"/>
      <c r="B31" s="44" t="s">
        <v>445</v>
      </c>
      <c r="C31" s="460">
        <f>(M31*E31*O31*Q31)/100000000</f>
        <v>29.582784</v>
      </c>
      <c r="D31" s="44" t="s">
        <v>491</v>
      </c>
      <c r="E31" s="45">
        <v>16</v>
      </c>
      <c r="F31" s="45">
        <v>1</v>
      </c>
      <c r="G31" s="511">
        <v>830</v>
      </c>
      <c r="H31" s="47">
        <v>0.15</v>
      </c>
      <c r="I31" s="48">
        <v>0.88</v>
      </c>
      <c r="J31" s="85">
        <f>E31*G31*(1-H31)*1440/1000000*3.4</f>
        <v>55.266047999999998</v>
      </c>
      <c r="K31" s="85">
        <f>(IF(G31&lt;L31,L31,G31)*(1-IF(H31&lt;N31,H31,N31))*E31*O31*Q31)/100000000</f>
        <v>31.290336</v>
      </c>
      <c r="L31" s="38">
        <v>785</v>
      </c>
      <c r="M31" s="38">
        <v>667</v>
      </c>
      <c r="N31" s="49">
        <f>1-(M31/L31)</f>
        <v>0.15031847133757958</v>
      </c>
      <c r="O31" s="50">
        <f>+'Trim Rwd'!H27</f>
        <v>330</v>
      </c>
      <c r="P31" s="51">
        <f>O31*(Q31-R31-S31)</f>
        <v>259050</v>
      </c>
      <c r="Q31" s="50">
        <v>840</v>
      </c>
      <c r="R31" s="512">
        <v>0</v>
      </c>
      <c r="S31" s="512">
        <f>40+15</f>
        <v>55</v>
      </c>
      <c r="T31" s="40">
        <f>E31*M31*O31*Q31/100000000</f>
        <v>29.582784</v>
      </c>
      <c r="U31" s="40">
        <f>E31*M31*O31*(Q31-R31-S31)/100000000</f>
        <v>27.645816</v>
      </c>
      <c r="V31" s="40">
        <f>E31*G31*(1-N31)*O31/100*(R31+S31)/1000000</f>
        <v>2.0480043821656051</v>
      </c>
      <c r="W31" s="40">
        <f>+'6'!K17/1000</f>
        <v>18.663</v>
      </c>
      <c r="X31" s="41"/>
      <c r="Y31" s="214"/>
      <c r="Z31" s="40">
        <f>+'6'!D17/1000</f>
        <v>0.3</v>
      </c>
      <c r="AA31" s="40"/>
      <c r="AB31" s="40"/>
      <c r="AC31" s="40">
        <f>K31-T31</f>
        <v>1.7075519999999997</v>
      </c>
      <c r="AD31" s="40">
        <f t="shared" si="0"/>
        <v>30</v>
      </c>
      <c r="AE31" s="233" t="s">
        <v>448</v>
      </c>
      <c r="AF31" s="40"/>
      <c r="AG31" s="40">
        <v>30</v>
      </c>
      <c r="AH31" s="40"/>
      <c r="AI31" s="514"/>
      <c r="AJ31" s="40"/>
      <c r="AK31" s="40"/>
      <c r="AL31" s="40"/>
      <c r="AM31" s="40">
        <f t="shared" si="1"/>
        <v>30</v>
      </c>
      <c r="AN31" s="86"/>
      <c r="AO31" s="40"/>
      <c r="AP31" s="40"/>
      <c r="AQ31" s="40"/>
      <c r="AR31" s="40">
        <f t="shared" si="2"/>
        <v>0</v>
      </c>
      <c r="AS31" s="40"/>
      <c r="AT31" s="40"/>
      <c r="AU31" s="40"/>
      <c r="AV31" s="40"/>
      <c r="AW31" s="40"/>
      <c r="AX31" s="40"/>
      <c r="AY31" s="40"/>
      <c r="AZ31" s="40"/>
      <c r="BA31" s="40">
        <f t="shared" si="3"/>
        <v>0</v>
      </c>
      <c r="BB31" s="53"/>
      <c r="BC31" s="54">
        <v>6</v>
      </c>
      <c r="BD31" s="54"/>
      <c r="BE31" s="53"/>
      <c r="BF31" s="54"/>
    </row>
    <row r="32" spans="1:58" ht="12.95" customHeight="1">
      <c r="A32" s="43"/>
      <c r="B32" s="44"/>
      <c r="C32" s="460"/>
      <c r="D32" s="44"/>
      <c r="E32" s="45"/>
      <c r="F32" s="45"/>
      <c r="G32" s="511"/>
      <c r="H32" s="47"/>
      <c r="I32" s="48"/>
      <c r="J32" s="85"/>
      <c r="K32" s="85"/>
      <c r="L32" s="38"/>
      <c r="M32" s="38"/>
      <c r="N32" s="49"/>
      <c r="O32" s="50"/>
      <c r="P32" s="51"/>
      <c r="Q32" s="50"/>
      <c r="R32" s="512"/>
      <c r="S32" s="512"/>
      <c r="T32" s="40"/>
      <c r="U32" s="40"/>
      <c r="V32" s="40"/>
      <c r="W32" s="40"/>
      <c r="X32" s="41"/>
      <c r="Y32" s="214"/>
      <c r="Z32" s="40"/>
      <c r="AA32" s="40"/>
      <c r="AB32" s="40"/>
      <c r="AC32" s="40"/>
      <c r="AD32" s="40">
        <f t="shared" si="0"/>
        <v>30</v>
      </c>
      <c r="AE32" s="233" t="s">
        <v>226</v>
      </c>
      <c r="AF32" s="36"/>
      <c r="AG32" s="36"/>
      <c r="AH32" s="36">
        <v>30</v>
      </c>
      <c r="AJ32" s="40"/>
      <c r="AK32" s="40"/>
      <c r="AL32" s="40"/>
      <c r="AM32" s="40">
        <f t="shared" si="1"/>
        <v>30</v>
      </c>
      <c r="AN32" s="40"/>
      <c r="AO32" s="40"/>
      <c r="AP32" s="40"/>
      <c r="AQ32" s="40"/>
      <c r="AR32" s="40">
        <f t="shared" si="2"/>
        <v>0</v>
      </c>
      <c r="AS32" s="40"/>
      <c r="AT32" s="40"/>
      <c r="AU32" s="40"/>
      <c r="AV32" s="40"/>
      <c r="AW32" s="40"/>
      <c r="AX32" s="40"/>
      <c r="AY32" s="40"/>
      <c r="AZ32" s="40"/>
      <c r="BA32" s="40">
        <f t="shared" si="3"/>
        <v>0</v>
      </c>
      <c r="BB32" s="36"/>
      <c r="BC32" s="515"/>
      <c r="BD32" s="515"/>
      <c r="BE32" s="36"/>
      <c r="BF32" s="515"/>
    </row>
    <row r="33" spans="1:58" ht="12.95" customHeight="1">
      <c r="A33" s="43"/>
      <c r="B33" s="44"/>
      <c r="C33" s="460"/>
      <c r="D33" s="44"/>
      <c r="E33" s="45"/>
      <c r="F33" s="45"/>
      <c r="G33" s="46"/>
      <c r="H33" s="47"/>
      <c r="I33" s="48"/>
      <c r="J33" s="85"/>
      <c r="K33" s="85"/>
      <c r="L33" s="38"/>
      <c r="M33" s="38"/>
      <c r="N33" s="49"/>
      <c r="O33" s="50"/>
      <c r="P33" s="51"/>
      <c r="Q33" s="37"/>
      <c r="R33" s="512"/>
      <c r="S33" s="512"/>
      <c r="T33" s="40"/>
      <c r="U33" s="40"/>
      <c r="V33" s="40"/>
      <c r="W33" s="40"/>
      <c r="X33" s="41"/>
      <c r="Y33" s="214"/>
      <c r="Z33" s="40"/>
      <c r="AA33" s="40"/>
      <c r="AB33" s="40"/>
      <c r="AC33" s="40"/>
      <c r="AD33" s="40">
        <f t="shared" si="0"/>
        <v>10</v>
      </c>
      <c r="AE33" s="233" t="s">
        <v>447</v>
      </c>
      <c r="AF33" s="40"/>
      <c r="AG33" s="40"/>
      <c r="AH33" s="40"/>
      <c r="AI33" s="514">
        <v>10</v>
      </c>
      <c r="AJ33" s="40"/>
      <c r="AK33" s="40"/>
      <c r="AL33" s="40"/>
      <c r="AM33" s="40">
        <f t="shared" si="1"/>
        <v>10</v>
      </c>
      <c r="AN33" s="40"/>
      <c r="AO33" s="40"/>
      <c r="AP33" s="40"/>
      <c r="AQ33" s="40"/>
      <c r="AR33" s="40">
        <f t="shared" si="2"/>
        <v>0</v>
      </c>
      <c r="AS33" s="40"/>
      <c r="AT33" s="40"/>
      <c r="AU33" s="40"/>
      <c r="AV33" s="40"/>
      <c r="AW33" s="40"/>
      <c r="AX33" s="40"/>
      <c r="AY33" s="40"/>
      <c r="AZ33" s="40"/>
      <c r="BA33" s="40">
        <f t="shared" si="3"/>
        <v>0</v>
      </c>
      <c r="BB33" s="36"/>
      <c r="BC33" s="515"/>
      <c r="BD33" s="515"/>
      <c r="BE33" s="36"/>
      <c r="BF33" s="515"/>
    </row>
    <row r="34" spans="1:58" ht="12.95" customHeight="1">
      <c r="A34" s="43"/>
      <c r="B34" s="44"/>
      <c r="C34" s="460"/>
      <c r="D34" s="44"/>
      <c r="E34" s="45"/>
      <c r="F34" s="45"/>
      <c r="G34" s="46"/>
      <c r="H34" s="47"/>
      <c r="I34" s="48"/>
      <c r="J34" s="85"/>
      <c r="K34" s="85"/>
      <c r="L34" s="38"/>
      <c r="M34" s="38"/>
      <c r="N34" s="49"/>
      <c r="O34" s="50"/>
      <c r="P34" s="51"/>
      <c r="Q34" s="50"/>
      <c r="R34" s="512"/>
      <c r="S34" s="512"/>
      <c r="T34" s="40"/>
      <c r="U34" s="40"/>
      <c r="V34" s="40"/>
      <c r="W34" s="40"/>
      <c r="X34" s="41"/>
      <c r="Y34" s="214"/>
      <c r="Z34" s="40"/>
      <c r="AA34" s="40"/>
      <c r="AB34" s="40"/>
      <c r="AC34" s="40"/>
      <c r="AD34" s="40">
        <f t="shared" si="0"/>
        <v>15</v>
      </c>
      <c r="AE34" s="236" t="s">
        <v>498</v>
      </c>
      <c r="AF34" s="40">
        <v>15</v>
      </c>
      <c r="AG34" s="40"/>
      <c r="AH34" s="40"/>
      <c r="AI34" s="40"/>
      <c r="AJ34" s="40"/>
      <c r="AK34" s="40"/>
      <c r="AL34" s="40"/>
      <c r="AM34" s="40">
        <f t="shared" si="1"/>
        <v>15</v>
      </c>
      <c r="AN34" s="40"/>
      <c r="AO34" s="40"/>
      <c r="AP34" s="40"/>
      <c r="AQ34" s="40"/>
      <c r="AR34" s="40">
        <f t="shared" si="2"/>
        <v>0</v>
      </c>
      <c r="AS34" s="40"/>
      <c r="AT34" s="40"/>
      <c r="AU34" s="40"/>
      <c r="AV34" s="40"/>
      <c r="AW34" s="40"/>
      <c r="AX34" s="40"/>
      <c r="AY34" s="40"/>
      <c r="AZ34" s="40"/>
      <c r="BA34" s="40">
        <f t="shared" si="3"/>
        <v>0</v>
      </c>
      <c r="BB34" s="36"/>
      <c r="BC34" s="515"/>
      <c r="BD34" s="515"/>
      <c r="BE34" s="36"/>
      <c r="BF34" s="515"/>
    </row>
    <row r="35" spans="1:58" ht="12.95" customHeight="1">
      <c r="A35" s="43"/>
      <c r="B35" s="44"/>
      <c r="C35" s="460"/>
      <c r="D35" s="44"/>
      <c r="E35" s="45"/>
      <c r="F35" s="45"/>
      <c r="G35" s="511"/>
      <c r="H35" s="47"/>
      <c r="I35" s="48"/>
      <c r="J35" s="85"/>
      <c r="K35" s="85"/>
      <c r="L35" s="38"/>
      <c r="M35" s="38"/>
      <c r="N35" s="49"/>
      <c r="O35" s="50"/>
      <c r="P35" s="51"/>
      <c r="Q35" s="50"/>
      <c r="R35" s="512"/>
      <c r="S35" s="512"/>
      <c r="T35" s="40"/>
      <c r="U35" s="40"/>
      <c r="V35" s="40"/>
      <c r="W35" s="40"/>
      <c r="X35" s="513"/>
      <c r="Y35" s="214"/>
      <c r="Z35" s="40"/>
      <c r="AA35" s="52"/>
      <c r="AB35" s="52"/>
      <c r="AC35" s="40"/>
      <c r="AD35" s="40">
        <f t="shared" si="0"/>
        <v>150</v>
      </c>
      <c r="AE35" s="236" t="s">
        <v>511</v>
      </c>
      <c r="AF35" s="40"/>
      <c r="AG35" s="40"/>
      <c r="AH35" s="40"/>
      <c r="AI35" s="40"/>
      <c r="AJ35" s="40"/>
      <c r="AK35" s="40"/>
      <c r="AL35" s="40"/>
      <c r="AM35" s="40">
        <f t="shared" si="1"/>
        <v>150</v>
      </c>
      <c r="AN35" s="40"/>
      <c r="AO35" s="40"/>
      <c r="AP35" s="40"/>
      <c r="AQ35" s="40"/>
      <c r="AR35" s="40">
        <f t="shared" si="2"/>
        <v>0</v>
      </c>
      <c r="AS35" s="40"/>
      <c r="AT35" s="40">
        <v>150</v>
      </c>
      <c r="AU35" s="40"/>
      <c r="AV35" s="40"/>
      <c r="AW35" s="40"/>
      <c r="AX35" s="40"/>
      <c r="AY35" s="40"/>
      <c r="AZ35" s="40"/>
      <c r="BA35" s="40">
        <f t="shared" si="3"/>
        <v>0</v>
      </c>
      <c r="BB35" s="36"/>
      <c r="BC35" s="515"/>
      <c r="BD35" s="515"/>
      <c r="BE35" s="36"/>
      <c r="BF35" s="515"/>
    </row>
    <row r="36" spans="1:58" ht="12.95" customHeight="1">
      <c r="A36" s="43"/>
      <c r="B36" s="44"/>
      <c r="C36" s="460"/>
      <c r="D36" s="44"/>
      <c r="E36" s="45"/>
      <c r="F36" s="45"/>
      <c r="G36" s="511"/>
      <c r="H36" s="47"/>
      <c r="I36" s="48"/>
      <c r="J36" s="85"/>
      <c r="K36" s="85"/>
      <c r="L36" s="38"/>
      <c r="M36" s="38"/>
      <c r="N36" s="49"/>
      <c r="O36" s="50"/>
      <c r="P36" s="51"/>
      <c r="Q36" s="50"/>
      <c r="R36" s="512"/>
      <c r="S36" s="512"/>
      <c r="T36" s="40"/>
      <c r="U36" s="40"/>
      <c r="V36" s="40"/>
      <c r="W36" s="40"/>
      <c r="X36" s="513"/>
      <c r="Y36" s="214"/>
      <c r="Z36" s="40"/>
      <c r="AA36" s="52"/>
      <c r="AB36" s="52"/>
      <c r="AC36" s="40"/>
      <c r="AD36" s="40"/>
      <c r="AE36" s="233"/>
      <c r="AF36" s="40"/>
      <c r="AG36" s="40"/>
      <c r="AH36" s="40"/>
      <c r="AI36" s="514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36"/>
      <c r="BC36" s="54"/>
      <c r="BD36" s="54"/>
      <c r="BE36" s="54"/>
      <c r="BF36" s="54"/>
    </row>
    <row r="37" spans="1:58" ht="12.95" customHeight="1">
      <c r="A37" s="43">
        <v>45876</v>
      </c>
      <c r="B37" s="44" t="s">
        <v>445</v>
      </c>
      <c r="C37" s="460">
        <f>(M37*E37*O37*Q37)/100000000</f>
        <v>36.940608000000005</v>
      </c>
      <c r="D37" s="44" t="s">
        <v>491</v>
      </c>
      <c r="E37" s="45">
        <v>16</v>
      </c>
      <c r="F37" s="45">
        <v>1</v>
      </c>
      <c r="G37" s="511">
        <v>830</v>
      </c>
      <c r="H37" s="47">
        <v>0.14000000000000001</v>
      </c>
      <c r="I37" s="48">
        <v>0.88</v>
      </c>
      <c r="J37" s="85">
        <f>E37*G37*(1-H37)*1440/1000000*3.4</f>
        <v>55.916236799999993</v>
      </c>
      <c r="K37" s="85">
        <f>(IF(G37&lt;L37,L37,G37)*(1-IF(H37&lt;N37,H37,N37))*E37*O37*Q37)/100000000</f>
        <v>37.254805151883353</v>
      </c>
      <c r="L37" s="38">
        <v>823</v>
      </c>
      <c r="M37" s="38">
        <v>708</v>
      </c>
      <c r="N37" s="49">
        <f>1-(M37/L37)</f>
        <v>0.13973268529769134</v>
      </c>
      <c r="O37" s="50">
        <f>+'Trim Rwd'!H29</f>
        <v>326.10000000000002</v>
      </c>
      <c r="P37" s="51">
        <f>O37*(Q37-R37-S37)</f>
        <v>174463.5</v>
      </c>
      <c r="Q37" s="50">
        <f>560+440</f>
        <v>1000</v>
      </c>
      <c r="R37" s="512">
        <v>440</v>
      </c>
      <c r="S37" s="512">
        <v>25</v>
      </c>
      <c r="T37" s="40">
        <f>E37*M37*O37*Q37/100000000</f>
        <v>36.940608000000005</v>
      </c>
      <c r="U37" s="40">
        <f>E37*M37*O37*(Q37-R37-S37)/100000000</f>
        <v>19.763225280000004</v>
      </c>
      <c r="V37" s="40">
        <f>E37*G37*(1-N37)*O37/100*(R37+S37)/1000000</f>
        <v>17.323484395625758</v>
      </c>
      <c r="W37" s="40">
        <f>+'7'!K17/1000</f>
        <v>19.510999999999999</v>
      </c>
      <c r="X37" s="513">
        <f>SUM(W37:W40)/SUM(K37:K40)</f>
        <v>0.55646883810175429</v>
      </c>
      <c r="Y37" s="214">
        <v>0</v>
      </c>
      <c r="Z37" s="40">
        <f>+'7'!D16/1000</f>
        <v>0.70499999999999996</v>
      </c>
      <c r="AA37" s="52">
        <f>SUM(U37:U40)-SUM(W37:W40)-SUM(Z37:Z40)-SUM(Y37:Y40)</f>
        <v>4.1242144800000027</v>
      </c>
      <c r="AB37" s="52">
        <f>(SUM(K37:K40)-SUM(W37:W40)-SUM(Y37:Y40)-SUM(Z37:Z40)-SUM(AC37:AC40)-SUM(V37:V40))-AA37</f>
        <v>-0.14610167562575427</v>
      </c>
      <c r="AC37" s="40">
        <f>K37-T37</f>
        <v>0.31419715188334862</v>
      </c>
      <c r="AD37" s="40">
        <f>+AM37+BA37</f>
        <v>13</v>
      </c>
      <c r="AE37" s="233" t="s">
        <v>469</v>
      </c>
      <c r="AF37" s="40">
        <v>13</v>
      </c>
      <c r="AG37" s="40"/>
      <c r="AH37" s="40"/>
      <c r="AI37" s="514"/>
      <c r="AJ37" s="40"/>
      <c r="AK37" s="40"/>
      <c r="AL37" s="40"/>
      <c r="AM37" s="40">
        <f>SUM(AF37:AL37)+AT37+AV37+AX37</f>
        <v>13</v>
      </c>
      <c r="AN37" s="40"/>
      <c r="AO37" s="40"/>
      <c r="AP37" s="40"/>
      <c r="AQ37" s="40"/>
      <c r="AR37" s="40">
        <f>SUM(AN37:AQ37)</f>
        <v>0</v>
      </c>
      <c r="AS37" s="40"/>
      <c r="AT37" s="40"/>
      <c r="AU37" s="40"/>
      <c r="AV37" s="40"/>
      <c r="AW37" s="40"/>
      <c r="AX37" s="40"/>
      <c r="AY37" s="40"/>
      <c r="AZ37" s="40"/>
      <c r="BA37" s="40">
        <f>+AR37+AS37+AU37+AW37+AY37+AZ37</f>
        <v>0</v>
      </c>
      <c r="BB37" s="36">
        <v>4</v>
      </c>
      <c r="BC37" s="54"/>
      <c r="BD37" s="54"/>
      <c r="BE37" s="36"/>
      <c r="BF37" s="54"/>
    </row>
    <row r="38" spans="1:58" ht="12.95" customHeight="1">
      <c r="A38" s="43"/>
      <c r="B38" s="44" t="s">
        <v>445</v>
      </c>
      <c r="C38" s="460">
        <f>(M38*E38*O38*Q38)/100000000</f>
        <v>19.312603200000002</v>
      </c>
      <c r="D38" s="44" t="s">
        <v>491</v>
      </c>
      <c r="E38" s="45">
        <v>19</v>
      </c>
      <c r="F38" s="45">
        <v>1</v>
      </c>
      <c r="G38" s="511">
        <v>830</v>
      </c>
      <c r="H38" s="47">
        <v>0.15</v>
      </c>
      <c r="I38" s="48">
        <v>0.88</v>
      </c>
      <c r="J38" s="85">
        <f>E38*G38*(1-H38)*1440/1000000*3.4</f>
        <v>65.628431999999989</v>
      </c>
      <c r="K38" s="85">
        <f>(IF(G38&lt;L38,L38,G38)*(1-IF(H38&lt;N38,H38,N38))*E38*O38*Q38)/100000000</f>
        <v>19.312603200000002</v>
      </c>
      <c r="L38" s="38">
        <v>830</v>
      </c>
      <c r="M38" s="38">
        <v>713</v>
      </c>
      <c r="N38" s="49">
        <f>1-(M38/L38)</f>
        <v>0.14096385542168677</v>
      </c>
      <c r="O38" s="50">
        <f>+'Trim Rwd'!H31</f>
        <v>324</v>
      </c>
      <c r="P38" s="51">
        <f>O38*(Q38-R38-S38)</f>
        <v>126360</v>
      </c>
      <c r="Q38" s="50">
        <v>440</v>
      </c>
      <c r="R38" s="512">
        <v>0</v>
      </c>
      <c r="S38" s="512">
        <v>50</v>
      </c>
      <c r="T38" s="40">
        <f>E38*M38*O38*Q38/100000000</f>
        <v>19.312603200000002</v>
      </c>
      <c r="U38" s="40">
        <f>E38*M38*O38*(Q38-R38-S38)/100000000</f>
        <v>17.1179892</v>
      </c>
      <c r="V38" s="40">
        <f>E38*G38*(1-N38)*O38/100*(R38+S38)/1000000</f>
        <v>2.1946140000000001</v>
      </c>
      <c r="W38" s="40">
        <f>+'7'!K18/1000</f>
        <v>11.967000000000001</v>
      </c>
      <c r="X38" s="41"/>
      <c r="Y38" s="214"/>
      <c r="Z38" s="40">
        <f>+'7'!D25/1000</f>
        <v>0.57399999999999995</v>
      </c>
      <c r="AA38" s="40"/>
      <c r="AB38" s="40"/>
      <c r="AC38" s="40">
        <f>K38-T38</f>
        <v>0</v>
      </c>
      <c r="AD38" s="40">
        <f>+AM38+BA38</f>
        <v>25</v>
      </c>
      <c r="AE38" s="233" t="s">
        <v>527</v>
      </c>
      <c r="AF38" s="40"/>
      <c r="AG38" s="40">
        <v>25</v>
      </c>
      <c r="AH38" s="40"/>
      <c r="AI38" s="514"/>
      <c r="AJ38" s="40"/>
      <c r="AK38" s="40"/>
      <c r="AL38" s="40"/>
      <c r="AM38" s="40">
        <f>SUM(AF38:AL38)+AT38+AV38+AX38</f>
        <v>25</v>
      </c>
      <c r="AN38" s="86"/>
      <c r="AO38" s="40"/>
      <c r="AP38" s="40"/>
      <c r="AQ38" s="40"/>
      <c r="AR38" s="40">
        <f>SUM(AN38:AQ38)</f>
        <v>0</v>
      </c>
      <c r="AS38" s="40"/>
      <c r="AT38" s="40"/>
      <c r="AU38" s="40"/>
      <c r="AV38" s="40"/>
      <c r="AW38" s="40"/>
      <c r="AX38" s="40"/>
      <c r="AY38" s="40"/>
      <c r="AZ38" s="40"/>
      <c r="BA38" s="40">
        <f>+AR38+AS38+AU38+AW38+AY38+AZ38</f>
        <v>0</v>
      </c>
      <c r="BB38" s="53"/>
      <c r="BC38" s="54">
        <v>4</v>
      </c>
      <c r="BD38" s="54"/>
      <c r="BE38" s="53"/>
      <c r="BF38" s="54"/>
    </row>
    <row r="39" spans="1:58" ht="12.95" customHeight="1">
      <c r="A39" s="43"/>
      <c r="B39" s="44"/>
      <c r="C39" s="460"/>
      <c r="D39" s="44"/>
      <c r="E39" s="45"/>
      <c r="F39" s="45"/>
      <c r="G39" s="511"/>
      <c r="H39" s="47"/>
      <c r="I39" s="48"/>
      <c r="J39" s="85"/>
      <c r="K39" s="85"/>
      <c r="L39" s="38"/>
      <c r="M39" s="38"/>
      <c r="N39" s="49"/>
      <c r="O39" s="50"/>
      <c r="P39" s="51"/>
      <c r="Q39" s="50"/>
      <c r="R39" s="512"/>
      <c r="S39" s="512"/>
      <c r="T39" s="40"/>
      <c r="U39" s="40"/>
      <c r="V39" s="40"/>
      <c r="W39" s="40"/>
      <c r="X39" s="41"/>
      <c r="Y39" s="214"/>
      <c r="Z39" s="40"/>
      <c r="AA39" s="40"/>
      <c r="AB39" s="40"/>
      <c r="AC39" s="40"/>
      <c r="AD39" s="40">
        <f>+AM39+BA39</f>
        <v>37</v>
      </c>
      <c r="AE39" s="233" t="s">
        <v>226</v>
      </c>
      <c r="AF39" s="36"/>
      <c r="AG39" s="36"/>
      <c r="AH39" s="36">
        <v>37</v>
      </c>
      <c r="AJ39" s="40"/>
      <c r="AK39" s="40"/>
      <c r="AL39" s="40"/>
      <c r="AM39" s="40">
        <f>SUM(AF39:AL39)+AT39+AV39+AX39</f>
        <v>37</v>
      </c>
      <c r="AN39" s="40"/>
      <c r="AO39" s="40"/>
      <c r="AP39" s="40"/>
      <c r="AQ39" s="40"/>
      <c r="AR39" s="40">
        <f>SUM(AN39:AQ39)</f>
        <v>0</v>
      </c>
      <c r="AS39" s="40"/>
      <c r="AT39" s="40"/>
      <c r="AU39" s="40"/>
      <c r="AV39" s="40"/>
      <c r="AW39" s="40"/>
      <c r="AX39" s="40"/>
      <c r="AY39" s="40"/>
      <c r="AZ39" s="40"/>
      <c r="BA39" s="40">
        <f>+AR39+AS39+AU39+AW39+AY39+AZ39</f>
        <v>0</v>
      </c>
      <c r="BB39" s="36"/>
      <c r="BC39" s="515"/>
      <c r="BD39" s="515"/>
      <c r="BE39" s="36"/>
      <c r="BF39" s="515"/>
    </row>
    <row r="40" spans="1:58" ht="12.95" customHeight="1">
      <c r="A40" s="43"/>
      <c r="B40" s="44"/>
      <c r="C40" s="460"/>
      <c r="D40" s="44"/>
      <c r="E40" s="45"/>
      <c r="F40" s="45"/>
      <c r="G40" s="46"/>
      <c r="H40" s="47"/>
      <c r="I40" s="48"/>
      <c r="J40" s="85"/>
      <c r="K40" s="85"/>
      <c r="L40" s="38"/>
      <c r="M40" s="38"/>
      <c r="N40" s="49"/>
      <c r="O40" s="50"/>
      <c r="P40" s="51"/>
      <c r="Q40" s="37"/>
      <c r="R40" s="512"/>
      <c r="S40" s="512"/>
      <c r="T40" s="40"/>
      <c r="U40" s="40"/>
      <c r="V40" s="40"/>
      <c r="W40" s="40"/>
      <c r="X40" s="41"/>
      <c r="Y40" s="214"/>
      <c r="Z40" s="40"/>
      <c r="AA40" s="40"/>
      <c r="AB40" s="40"/>
      <c r="AC40" s="40"/>
      <c r="AD40" s="40">
        <f>+AM40+BA40</f>
        <v>440</v>
      </c>
      <c r="AE40" s="233" t="s">
        <v>528</v>
      </c>
      <c r="AF40" s="40"/>
      <c r="AG40" s="40"/>
      <c r="AH40" s="40"/>
      <c r="AI40" s="514"/>
      <c r="AJ40" s="40"/>
      <c r="AK40" s="40"/>
      <c r="AL40" s="40"/>
      <c r="AM40" s="40">
        <f>SUM(AF40:AL40)+AT40+AV40+AX40</f>
        <v>0</v>
      </c>
      <c r="AN40" s="40"/>
      <c r="AO40" s="40"/>
      <c r="AP40" s="40">
        <v>440</v>
      </c>
      <c r="AQ40" s="40"/>
      <c r="AR40" s="40">
        <f>SUM(AN40:AQ40)</f>
        <v>440</v>
      </c>
      <c r="AS40" s="40"/>
      <c r="AT40" s="40"/>
      <c r="AU40" s="40"/>
      <c r="AV40" s="40"/>
      <c r="AW40" s="40"/>
      <c r="AX40" s="40"/>
      <c r="AY40" s="40"/>
      <c r="AZ40" s="40"/>
      <c r="BA40" s="40">
        <f>+AR40+AS40+AU40+AW40+AY40+AZ40</f>
        <v>440</v>
      </c>
      <c r="BB40" s="36"/>
      <c r="BC40" s="515"/>
      <c r="BD40" s="515"/>
      <c r="BE40" s="36"/>
      <c r="BF40" s="515"/>
    </row>
    <row r="41" spans="1:58" ht="12.95" customHeight="1">
      <c r="A41" s="43"/>
      <c r="B41" s="44"/>
      <c r="C41" s="460"/>
      <c r="D41" s="44"/>
      <c r="E41" s="45"/>
      <c r="F41" s="45"/>
      <c r="G41" s="511"/>
      <c r="H41" s="47"/>
      <c r="I41" s="48"/>
      <c r="J41" s="85"/>
      <c r="K41" s="85"/>
      <c r="L41" s="38"/>
      <c r="M41" s="38"/>
      <c r="N41" s="49"/>
      <c r="O41" s="50"/>
      <c r="P41" s="51"/>
      <c r="Q41" s="50"/>
      <c r="R41" s="512"/>
      <c r="S41" s="512"/>
      <c r="T41" s="40"/>
      <c r="U41" s="40"/>
      <c r="V41" s="40"/>
      <c r="W41" s="40"/>
      <c r="X41" s="513"/>
      <c r="Y41" s="214"/>
      <c r="Z41" s="40"/>
      <c r="AA41" s="52"/>
      <c r="AB41" s="52"/>
      <c r="AC41" s="40"/>
      <c r="AD41" s="40"/>
      <c r="AE41" s="233"/>
      <c r="AF41" s="40"/>
      <c r="AG41" s="40"/>
      <c r="AH41" s="40"/>
      <c r="AI41" s="514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36"/>
      <c r="BC41" s="54"/>
      <c r="BD41" s="54"/>
      <c r="BE41" s="54"/>
      <c r="BF41" s="54"/>
    </row>
    <row r="42" spans="1:58" ht="12.95" customHeight="1">
      <c r="A42" s="43">
        <v>45877</v>
      </c>
      <c r="B42" s="44" t="s">
        <v>445</v>
      </c>
      <c r="C42" s="460">
        <f>(M42*E42*O42*Q42)/100000000</f>
        <v>10.545966719999999</v>
      </c>
      <c r="D42" s="44" t="s">
        <v>491</v>
      </c>
      <c r="E42" s="45">
        <v>19</v>
      </c>
      <c r="F42" s="45">
        <v>1</v>
      </c>
      <c r="G42" s="511">
        <v>830</v>
      </c>
      <c r="H42" s="47">
        <v>0.15</v>
      </c>
      <c r="I42" s="48">
        <v>0.88</v>
      </c>
      <c r="J42" s="85">
        <f>E42*G42*(1-H42)*1440/1000000*3.4</f>
        <v>65.628431999999989</v>
      </c>
      <c r="K42" s="85">
        <f>(IF(G42&lt;L42,L42,G42)*(1-IF(H42&lt;N42,H42,N42))*E42*O42*Q42)/100000000</f>
        <v>10.545966719999999</v>
      </c>
      <c r="L42" s="38">
        <v>830</v>
      </c>
      <c r="M42" s="38">
        <v>713.8</v>
      </c>
      <c r="N42" s="49">
        <f>1-(M42/L42)</f>
        <v>0.14000000000000001</v>
      </c>
      <c r="O42" s="50">
        <f>+'Trim Rwd'!H33</f>
        <v>324</v>
      </c>
      <c r="P42" s="51">
        <f>O42*(Q42-R42-S42)</f>
        <v>73224</v>
      </c>
      <c r="Q42" s="50">
        <v>240</v>
      </c>
      <c r="R42" s="512">
        <v>0</v>
      </c>
      <c r="S42" s="512">
        <v>14</v>
      </c>
      <c r="T42" s="40">
        <f>E42*M42*O42*Q42/100000000</f>
        <v>10.545966719999999</v>
      </c>
      <c r="U42" s="40">
        <f>E42*M42*O42*(Q42-R42-S42)/100000000</f>
        <v>9.9307853279999989</v>
      </c>
      <c r="V42" s="40">
        <f>E42*G42*(1-N42)*O42/100*(R42+S42)/1000000</f>
        <v>0.61518139199999999</v>
      </c>
      <c r="W42" s="40">
        <f>+'8'!K18/1000</f>
        <v>12.082000000000001</v>
      </c>
      <c r="X42" s="513">
        <f>SUM(W42:W45)/SUM(K42:K45)</f>
        <v>0.86040660712842132</v>
      </c>
      <c r="Y42" s="214">
        <v>0</v>
      </c>
      <c r="Z42" s="40">
        <v>0</v>
      </c>
      <c r="AA42" s="52">
        <f>SUM(U42:U45)-SUM(W42:W45)-SUM(Z42:Z45)-SUM(Y42:Y45)</f>
        <v>2.7662413279999951</v>
      </c>
      <c r="AB42" s="52">
        <f>(SUM(K42:K45)-SUM(W42:W45)-SUM(Y42:Y45)-SUM(Z42:Z45)-SUM(AC42:AC45)-SUM(V42:V45))-AA42</f>
        <v>-0.16021800000000397</v>
      </c>
      <c r="AC42" s="40">
        <f>K42-T42</f>
        <v>0</v>
      </c>
      <c r="AD42" s="40">
        <f>+AM42+BA42</f>
        <v>30</v>
      </c>
      <c r="AE42" s="233" t="s">
        <v>549</v>
      </c>
      <c r="AF42" s="40">
        <v>30</v>
      </c>
      <c r="AG42" s="40"/>
      <c r="AH42" s="40"/>
      <c r="AI42" s="514"/>
      <c r="AJ42" s="40"/>
      <c r="AK42" s="40"/>
      <c r="AL42" s="40"/>
      <c r="AM42" s="40">
        <f>SUM(AF42:AL42)+AT42+AV42+AX42</f>
        <v>30</v>
      </c>
      <c r="AN42" s="40"/>
      <c r="AO42" s="40"/>
      <c r="AP42" s="40"/>
      <c r="AQ42" s="40"/>
      <c r="AR42" s="40">
        <f>SUM(AN42:AQ42)</f>
        <v>0</v>
      </c>
      <c r="AS42" s="40"/>
      <c r="AT42" s="40"/>
      <c r="AU42" s="40"/>
      <c r="AV42" s="40"/>
      <c r="AW42" s="40"/>
      <c r="AX42" s="40"/>
      <c r="AY42" s="40"/>
      <c r="AZ42" s="40"/>
      <c r="BA42" s="40">
        <f>+AR42+AS42+AU42+AW42+AY42+AZ42</f>
        <v>0</v>
      </c>
      <c r="BB42" s="36">
        <v>4</v>
      </c>
      <c r="BC42" s="54"/>
      <c r="BD42" s="54"/>
      <c r="BE42" s="36"/>
      <c r="BF42" s="54"/>
    </row>
    <row r="43" spans="1:58" ht="12.95" customHeight="1">
      <c r="A43" s="43"/>
      <c r="B43" s="44" t="s">
        <v>445</v>
      </c>
      <c r="C43" s="460">
        <f>(M43*E43*O43*Q43)/100000000</f>
        <v>65.536128000000005</v>
      </c>
      <c r="D43" s="44" t="s">
        <v>491</v>
      </c>
      <c r="E43" s="45">
        <v>25</v>
      </c>
      <c r="F43" s="45">
        <v>1</v>
      </c>
      <c r="G43" s="511">
        <v>830</v>
      </c>
      <c r="H43" s="47">
        <v>0.15</v>
      </c>
      <c r="I43" s="48">
        <v>0.88</v>
      </c>
      <c r="J43" s="85">
        <f>E43*G43*(1-H43)*1440/1000000*3.4</f>
        <v>86.353200000000001</v>
      </c>
      <c r="K43" s="85">
        <f>(IF(G43&lt;L43,L43,G43)*(1-IF(H43&lt;N43,H43,N43))*E43*O43*Q43)/100000000</f>
        <v>69.381360000000001</v>
      </c>
      <c r="L43" s="38">
        <v>784</v>
      </c>
      <c r="M43" s="38">
        <v>674.24</v>
      </c>
      <c r="N43" s="49">
        <f>1-(M43/L43)</f>
        <v>0.14000000000000001</v>
      </c>
      <c r="O43" s="50">
        <f>+'Trim Rwd'!H34</f>
        <v>324</v>
      </c>
      <c r="P43" s="51">
        <f>O43*(Q43-R43-S43)</f>
        <v>372600</v>
      </c>
      <c r="Q43" s="50">
        <v>1200</v>
      </c>
      <c r="R43" s="512">
        <v>0</v>
      </c>
      <c r="S43" s="512">
        <v>50</v>
      </c>
      <c r="T43" s="40">
        <f>E43*M43*O43*Q43/100000000</f>
        <v>65.536128000000005</v>
      </c>
      <c r="U43" s="40">
        <f>E43*M43*O43*(Q43-R43-S43)/100000000</f>
        <v>62.805456</v>
      </c>
      <c r="V43" s="40">
        <f>E43*G43*(1-N43)*O43/100*(R43+S43)/1000000</f>
        <v>2.8908900000000002</v>
      </c>
      <c r="W43" s="40">
        <f>+'8'!K19/1000</f>
        <v>56.688000000000002</v>
      </c>
      <c r="X43" s="41"/>
      <c r="Y43" s="214"/>
      <c r="Z43" s="40">
        <f>+'8'!D16/1000</f>
        <v>1.2</v>
      </c>
      <c r="AA43" s="40"/>
      <c r="AB43" s="40"/>
      <c r="AC43" s="40">
        <f>K43-T43</f>
        <v>3.8452319999999958</v>
      </c>
      <c r="AD43" s="40">
        <f>+AM43+BA43</f>
        <v>17</v>
      </c>
      <c r="AE43" s="233" t="s">
        <v>550</v>
      </c>
      <c r="AF43" s="40"/>
      <c r="AG43" s="40">
        <v>17</v>
      </c>
      <c r="AH43" s="40"/>
      <c r="AI43" s="514"/>
      <c r="AJ43" s="40"/>
      <c r="AK43" s="40"/>
      <c r="AL43" s="40"/>
      <c r="AM43" s="40">
        <f>SUM(AF43:AL43)+AT43+AV43+AX43</f>
        <v>17</v>
      </c>
      <c r="AN43" s="86"/>
      <c r="AO43" s="40"/>
      <c r="AP43" s="40"/>
      <c r="AQ43" s="40"/>
      <c r="AR43" s="40">
        <f>SUM(AN43:AQ43)</f>
        <v>0</v>
      </c>
      <c r="AS43" s="40"/>
      <c r="AT43" s="40"/>
      <c r="AU43" s="40"/>
      <c r="AV43" s="40"/>
      <c r="AW43" s="40"/>
      <c r="AX43" s="40"/>
      <c r="AY43" s="40"/>
      <c r="AZ43" s="40"/>
      <c r="BA43" s="40">
        <f>+AR43+AS43+AU43+AW43+AY43+AZ43</f>
        <v>0</v>
      </c>
      <c r="BB43" s="53"/>
      <c r="BC43" s="54">
        <v>4</v>
      </c>
      <c r="BD43" s="54"/>
      <c r="BE43" s="53"/>
      <c r="BF43" s="54"/>
    </row>
    <row r="44" spans="1:58" ht="12.95" customHeight="1">
      <c r="A44" s="43"/>
      <c r="B44" s="44"/>
      <c r="C44" s="460"/>
      <c r="D44" s="44"/>
      <c r="E44" s="45"/>
      <c r="F44" s="45"/>
      <c r="G44" s="511"/>
      <c r="H44" s="47"/>
      <c r="I44" s="48"/>
      <c r="J44" s="85"/>
      <c r="K44" s="85"/>
      <c r="L44" s="38"/>
      <c r="M44" s="38"/>
      <c r="N44" s="49"/>
      <c r="O44" s="50"/>
      <c r="P44" s="51"/>
      <c r="Q44" s="50"/>
      <c r="R44" s="512"/>
      <c r="S44" s="512"/>
      <c r="T44" s="40"/>
      <c r="U44" s="40"/>
      <c r="V44" s="40"/>
      <c r="W44" s="40"/>
      <c r="X44" s="41"/>
      <c r="Y44" s="214"/>
      <c r="Z44" s="40"/>
      <c r="AA44" s="40"/>
      <c r="AB44" s="40"/>
      <c r="AC44" s="40"/>
      <c r="AD44" s="40">
        <f>+AM44+BA44</f>
        <v>17</v>
      </c>
      <c r="AE44" s="233" t="s">
        <v>226</v>
      </c>
      <c r="AF44" s="36"/>
      <c r="AG44" s="36"/>
      <c r="AH44" s="36">
        <v>17</v>
      </c>
      <c r="AJ44" s="40"/>
      <c r="AK44" s="40"/>
      <c r="AL44" s="40"/>
      <c r="AM44" s="40">
        <f>SUM(AF44:AL44)+AT44+AV44+AX44</f>
        <v>17</v>
      </c>
      <c r="AN44" s="40"/>
      <c r="AO44" s="40"/>
      <c r="AP44" s="40"/>
      <c r="AQ44" s="40"/>
      <c r="AR44" s="40">
        <f>SUM(AN44:AQ44)</f>
        <v>0</v>
      </c>
      <c r="AS44" s="40"/>
      <c r="AT44" s="40"/>
      <c r="AU44" s="40"/>
      <c r="AV44" s="40"/>
      <c r="AW44" s="40"/>
      <c r="AX44" s="40"/>
      <c r="AY44" s="40"/>
      <c r="AZ44" s="40"/>
      <c r="BA44" s="40">
        <f>+AR44+AS44+AU44+AW44+AY44+AZ44</f>
        <v>0</v>
      </c>
      <c r="BB44" s="36"/>
      <c r="BC44" s="515"/>
      <c r="BD44" s="515"/>
      <c r="BE44" s="36"/>
      <c r="BF44" s="515"/>
    </row>
    <row r="45" spans="1:58" ht="12.95" customHeight="1">
      <c r="A45" s="43"/>
      <c r="B45" s="44"/>
      <c r="C45" s="460"/>
      <c r="D45" s="44"/>
      <c r="E45" s="45"/>
      <c r="F45" s="45"/>
      <c r="G45" s="511"/>
      <c r="H45" s="47"/>
      <c r="I45" s="48"/>
      <c r="J45" s="85"/>
      <c r="K45" s="85"/>
      <c r="L45" s="38"/>
      <c r="M45" s="38"/>
      <c r="N45" s="49"/>
      <c r="O45" s="50"/>
      <c r="P45" s="51"/>
      <c r="Q45" s="50"/>
      <c r="R45" s="512"/>
      <c r="S45" s="512"/>
      <c r="T45" s="40"/>
      <c r="U45" s="40"/>
      <c r="V45" s="40"/>
      <c r="W45" s="40"/>
      <c r="X45" s="513"/>
      <c r="Y45" s="214"/>
      <c r="Z45" s="40"/>
      <c r="AA45" s="52"/>
      <c r="AB45" s="52"/>
      <c r="AC45" s="40"/>
      <c r="AD45" s="40"/>
      <c r="AE45" s="233"/>
      <c r="AF45" s="40"/>
      <c r="AG45" s="40"/>
      <c r="AH45" s="40"/>
      <c r="AI45" s="514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36"/>
      <c r="BC45" s="54"/>
      <c r="BD45" s="54"/>
      <c r="BE45" s="53"/>
      <c r="BF45" s="54"/>
    </row>
    <row r="46" spans="1:58" ht="12.95" customHeight="1">
      <c r="A46" s="43">
        <v>45878</v>
      </c>
      <c r="B46" s="44" t="s">
        <v>445</v>
      </c>
      <c r="C46" s="460">
        <f>(M46*E46*O46*Q46)/100000000</f>
        <v>60.8056248358209</v>
      </c>
      <c r="D46" s="44" t="s">
        <v>491</v>
      </c>
      <c r="E46" s="45">
        <v>25</v>
      </c>
      <c r="F46" s="45">
        <v>1</v>
      </c>
      <c r="G46" s="511">
        <v>830</v>
      </c>
      <c r="H46" s="47">
        <v>0.15</v>
      </c>
      <c r="I46" s="48">
        <v>0.88</v>
      </c>
      <c r="J46" s="85">
        <f>E46*G46*(1-H46)*1440/1000000*3.4</f>
        <v>86.353200000000001</v>
      </c>
      <c r="K46" s="85">
        <f>(IF(G46&lt;L46,L46,G46)*(1-IF(H46&lt;N46,H46,N46))*E46*O46*Q46)/100000000</f>
        <v>61.286867999999998</v>
      </c>
      <c r="L46" s="38">
        <v>823.48258706467664</v>
      </c>
      <c r="M46" s="38">
        <v>708.19502487562193</v>
      </c>
      <c r="N46" s="49">
        <f>1-(M46/L46)</f>
        <v>0.14000000000000001</v>
      </c>
      <c r="O46" s="50">
        <f>+'Trim Rwd'!H36</f>
        <v>324</v>
      </c>
      <c r="P46" s="51">
        <f>O46*(Q46-R46-S46)</f>
        <v>304560</v>
      </c>
      <c r="Q46" s="50">
        <v>1060</v>
      </c>
      <c r="R46" s="512">
        <v>55</v>
      </c>
      <c r="S46" s="512">
        <v>65</v>
      </c>
      <c r="T46" s="40">
        <f>E46*M46*O46*Q46/100000000</f>
        <v>60.8056248358209</v>
      </c>
      <c r="U46" s="40">
        <f>E46*M46*O46*(Q46-R46-S46)/100000000</f>
        <v>53.921969194029856</v>
      </c>
      <c r="V46" s="40">
        <f>E46*G46*(1-N46)*O46/100*(R46+S46)/1000000</f>
        <v>6.9381360000000001</v>
      </c>
      <c r="W46" s="40">
        <f>+'9'!K19/1000</f>
        <v>58.109000000000002</v>
      </c>
      <c r="X46" s="513">
        <f>SUM(W46:W49)/SUM(K46:K49)</f>
        <v>0.83020675659207965</v>
      </c>
      <c r="Y46" s="214">
        <v>0</v>
      </c>
      <c r="Z46" s="40">
        <v>0</v>
      </c>
      <c r="AA46" s="52">
        <f>SUM(U46:U49)-SUM(W46:W49)-SUM(Z46:Z49)-SUM(Y46:Y49)</f>
        <v>4.3616536740298528</v>
      </c>
      <c r="AB46" s="52">
        <f>(SUM(K46:K49)-SUM(W46:W49)-SUM(Y46:Y49)-SUM(Z46:Z49)-SUM(AC46:AC49)-SUM(V46:V49))-AA46</f>
        <v>-5.4480358208946811E-2</v>
      </c>
      <c r="AC46" s="40">
        <f>K46-T46</f>
        <v>0.48124316417909796</v>
      </c>
      <c r="AD46" s="40">
        <f>+AM46+BA46</f>
        <v>4</v>
      </c>
      <c r="AE46" s="233" t="s">
        <v>436</v>
      </c>
      <c r="AF46" s="40">
        <v>4</v>
      </c>
      <c r="AG46" s="40"/>
      <c r="AH46" s="40"/>
      <c r="AI46" s="514"/>
      <c r="AJ46" s="40"/>
      <c r="AK46" s="40"/>
      <c r="AL46" s="40"/>
      <c r="AM46" s="40">
        <f>SUM(AF46:AL46)+AT46+AV46+AX46</f>
        <v>4</v>
      </c>
      <c r="AN46" s="40"/>
      <c r="AO46" s="40"/>
      <c r="AP46" s="40"/>
      <c r="AQ46" s="40"/>
      <c r="AR46" s="40">
        <f>SUM(AN46:AQ46)</f>
        <v>0</v>
      </c>
      <c r="AS46" s="40"/>
      <c r="AT46" s="40"/>
      <c r="AU46" s="40"/>
      <c r="AV46" s="40"/>
      <c r="AW46" s="40"/>
      <c r="AX46" s="40"/>
      <c r="AY46" s="40"/>
      <c r="AZ46" s="40"/>
      <c r="BA46" s="40">
        <f>+AR46+AS46+AU46+AW46+AY46+AZ46</f>
        <v>0</v>
      </c>
      <c r="BB46" s="36">
        <v>4</v>
      </c>
      <c r="BC46" s="54"/>
      <c r="BD46" s="54"/>
      <c r="BE46" s="36"/>
      <c r="BF46" s="54"/>
    </row>
    <row r="47" spans="1:58" ht="12.95" customHeight="1">
      <c r="A47" s="43"/>
      <c r="B47" s="44" t="s">
        <v>445</v>
      </c>
      <c r="C47" s="460">
        <f>(M47*E47*O47*Q47)/100000000</f>
        <v>20.462647359999998</v>
      </c>
      <c r="D47" s="44" t="s">
        <v>491</v>
      </c>
      <c r="E47" s="45">
        <v>23</v>
      </c>
      <c r="F47" s="45">
        <v>1</v>
      </c>
      <c r="G47" s="511">
        <v>830</v>
      </c>
      <c r="H47" s="47">
        <v>0.15</v>
      </c>
      <c r="I47" s="48">
        <v>0.88</v>
      </c>
      <c r="J47" s="85">
        <f>E47*G47*(1-H47)*1440/1000000*3.4</f>
        <v>79.444944000000007</v>
      </c>
      <c r="K47" s="85">
        <f>(IF(G47&lt;L47,L47,G47)*(1-IF(H47&lt;N47,H47,N47))*E47*O47*Q47)/100000000</f>
        <v>20.462647359999998</v>
      </c>
      <c r="L47" s="38">
        <v>830</v>
      </c>
      <c r="M47" s="38">
        <v>713.8</v>
      </c>
      <c r="N47" s="49">
        <f>1-(M47/L47)</f>
        <v>0.14000000000000001</v>
      </c>
      <c r="O47" s="50">
        <f>+'Trim Rwd'!H37</f>
        <v>328</v>
      </c>
      <c r="P47" s="51">
        <f>O47*(Q47-R47-S47)</f>
        <v>111520</v>
      </c>
      <c r="Q47" s="50">
        <v>380</v>
      </c>
      <c r="R47" s="512">
        <v>0</v>
      </c>
      <c r="S47" s="512">
        <f>105-S46</f>
        <v>40</v>
      </c>
      <c r="T47" s="40">
        <f>E47*M47*O47*Q47/100000000</f>
        <v>20.462647359999998</v>
      </c>
      <c r="U47" s="40">
        <f>E47*M47*O47*(Q47-R47-S47)/100000000</f>
        <v>18.308684479999997</v>
      </c>
      <c r="V47" s="40">
        <f>E47*G47*(1-N47)*O47/100*(R47+S47)/1000000</f>
        <v>2.1539628799999999</v>
      </c>
      <c r="W47" s="40">
        <f>+'9'!K20/1000</f>
        <v>9.76</v>
      </c>
      <c r="X47" s="41"/>
      <c r="Y47" s="214"/>
      <c r="Z47" s="40">
        <f>+'8'!D20/1000</f>
        <v>0</v>
      </c>
      <c r="AA47" s="40"/>
      <c r="AB47" s="40"/>
      <c r="AC47" s="40">
        <f>K47-T47</f>
        <v>0</v>
      </c>
      <c r="AD47" s="40">
        <f>+AM47+BA47</f>
        <v>28</v>
      </c>
      <c r="AE47" s="233" t="s">
        <v>550</v>
      </c>
      <c r="AF47" s="40"/>
      <c r="AG47" s="40">
        <v>28</v>
      </c>
      <c r="AH47" s="40"/>
      <c r="AI47" s="514"/>
      <c r="AJ47" s="40"/>
      <c r="AK47" s="40"/>
      <c r="AL47" s="40"/>
      <c r="AM47" s="40">
        <f>SUM(AF47:AL47)+AT47+AV47+AX47</f>
        <v>28</v>
      </c>
      <c r="AN47" s="86"/>
      <c r="AO47" s="40"/>
      <c r="AP47" s="40"/>
      <c r="AQ47" s="40"/>
      <c r="AR47" s="40">
        <f>SUM(AN47:AQ47)</f>
        <v>0</v>
      </c>
      <c r="AS47" s="40"/>
      <c r="AT47" s="40"/>
      <c r="AU47" s="40"/>
      <c r="AV47" s="40"/>
      <c r="AW47" s="40"/>
      <c r="AX47" s="40"/>
      <c r="AY47" s="40"/>
      <c r="AZ47" s="40"/>
      <c r="BA47" s="40">
        <f>+AR47+AS47+AU47+AW47+AY47+AZ47</f>
        <v>0</v>
      </c>
      <c r="BB47" s="53"/>
      <c r="BC47" s="54">
        <v>4</v>
      </c>
      <c r="BD47" s="54"/>
      <c r="BE47" s="53"/>
      <c r="BF47" s="54"/>
    </row>
    <row r="48" spans="1:58" ht="12.95" customHeight="1">
      <c r="A48" s="43"/>
      <c r="B48" s="44"/>
      <c r="C48" s="460"/>
      <c r="D48" s="44"/>
      <c r="E48" s="45"/>
      <c r="F48" s="45"/>
      <c r="G48" s="511"/>
      <c r="H48" s="47"/>
      <c r="I48" s="48"/>
      <c r="J48" s="85"/>
      <c r="K48" s="85"/>
      <c r="L48" s="38"/>
      <c r="M48" s="38"/>
      <c r="N48" s="49"/>
      <c r="O48" s="50"/>
      <c r="P48" s="51"/>
      <c r="Q48" s="50"/>
      <c r="R48" s="512"/>
      <c r="S48" s="512"/>
      <c r="T48" s="40"/>
      <c r="U48" s="40"/>
      <c r="V48" s="40"/>
      <c r="W48" s="40"/>
      <c r="X48" s="41"/>
      <c r="Y48" s="214"/>
      <c r="Z48" s="40"/>
      <c r="AA48" s="40"/>
      <c r="AB48" s="40"/>
      <c r="AC48" s="40"/>
      <c r="AD48" s="40">
        <f>+AM48+BA48</f>
        <v>28</v>
      </c>
      <c r="AE48" s="233" t="s">
        <v>226</v>
      </c>
      <c r="AF48" s="36"/>
      <c r="AG48" s="36"/>
      <c r="AH48" s="36">
        <v>28</v>
      </c>
      <c r="AI48" s="514"/>
      <c r="AJ48" s="40"/>
      <c r="AK48" s="40"/>
      <c r="AL48" s="40"/>
      <c r="AM48" s="40">
        <f>SUM(AF48:AL48)+AT48+AV48+AX48</f>
        <v>28</v>
      </c>
      <c r="AN48" s="40"/>
      <c r="AO48" s="40"/>
      <c r="AP48" s="40"/>
      <c r="AQ48" s="40"/>
      <c r="AR48" s="40">
        <f>SUM(AN48:AQ48)</f>
        <v>0</v>
      </c>
      <c r="AS48" s="40"/>
      <c r="AT48" s="40"/>
      <c r="AU48" s="40"/>
      <c r="AV48" s="40"/>
      <c r="AW48" s="40"/>
      <c r="AX48" s="40"/>
      <c r="AY48" s="40"/>
      <c r="AZ48" s="40"/>
      <c r="BA48" s="40">
        <f>+AR48+AS48+AU48+AW48+AY48+AZ48</f>
        <v>0</v>
      </c>
      <c r="BB48" s="36"/>
      <c r="BC48" s="515"/>
      <c r="BD48" s="515"/>
      <c r="BE48" s="36"/>
      <c r="BF48" s="515"/>
    </row>
    <row r="49" spans="1:58" ht="12.95" customHeight="1">
      <c r="A49" s="43"/>
      <c r="B49" s="44"/>
      <c r="C49" s="460"/>
      <c r="D49" s="44"/>
      <c r="E49" s="45"/>
      <c r="F49" s="45"/>
      <c r="G49" s="511"/>
      <c r="H49" s="47"/>
      <c r="I49" s="48"/>
      <c r="J49" s="85"/>
      <c r="K49" s="85"/>
      <c r="L49" s="38"/>
      <c r="M49" s="38"/>
      <c r="N49" s="49"/>
      <c r="O49" s="50"/>
      <c r="P49" s="51"/>
      <c r="Q49" s="50"/>
      <c r="R49" s="512"/>
      <c r="S49" s="512"/>
      <c r="T49" s="40"/>
      <c r="U49" s="40"/>
      <c r="V49" s="40"/>
      <c r="W49" s="40"/>
      <c r="X49" s="41"/>
      <c r="Y49" s="214"/>
      <c r="Z49" s="40"/>
      <c r="AA49" s="40"/>
      <c r="AB49" s="40"/>
      <c r="AC49" s="40"/>
      <c r="AD49" s="40">
        <f>+AM49+BA49</f>
        <v>55</v>
      </c>
      <c r="AE49" s="233" t="s">
        <v>576</v>
      </c>
      <c r="AF49" s="36"/>
      <c r="AG49" s="36"/>
      <c r="AH49" s="36"/>
      <c r="AI49" s="514"/>
      <c r="AJ49" s="40"/>
      <c r="AK49" s="40"/>
      <c r="AL49" s="40"/>
      <c r="AM49" s="40">
        <f>SUM(AF49:AL49)+AT49+AV49+AX49</f>
        <v>0</v>
      </c>
      <c r="AN49" s="40"/>
      <c r="AO49" s="40"/>
      <c r="AP49" s="40">
        <v>55</v>
      </c>
      <c r="AQ49" s="40"/>
      <c r="AR49" s="40">
        <f>SUM(AN49:AQ49)</f>
        <v>55</v>
      </c>
      <c r="AS49" s="40"/>
      <c r="AT49" s="40"/>
      <c r="AU49" s="40"/>
      <c r="AV49" s="40"/>
      <c r="AW49" s="40"/>
      <c r="AX49" s="40"/>
      <c r="AY49" s="40"/>
      <c r="AZ49" s="40"/>
      <c r="BA49" s="40">
        <f>+AR49+AS49+AU49+AW49+AY49+AZ49</f>
        <v>55</v>
      </c>
      <c r="BB49" s="36"/>
      <c r="BC49" s="515"/>
      <c r="BD49" s="515"/>
      <c r="BE49" s="36"/>
      <c r="BF49" s="515"/>
    </row>
    <row r="50" spans="1:58" ht="12.95" customHeight="1">
      <c r="A50" s="43"/>
      <c r="B50" s="44"/>
      <c r="C50" s="460"/>
      <c r="D50" s="44"/>
      <c r="E50" s="45"/>
      <c r="F50" s="45"/>
      <c r="G50" s="511"/>
      <c r="H50" s="47"/>
      <c r="I50" s="48"/>
      <c r="J50" s="85"/>
      <c r="K50" s="85"/>
      <c r="L50" s="38"/>
      <c r="M50" s="38"/>
      <c r="N50" s="49"/>
      <c r="O50" s="50"/>
      <c r="P50" s="51"/>
      <c r="Q50" s="50"/>
      <c r="R50" s="512"/>
      <c r="S50" s="512"/>
      <c r="T50" s="40"/>
      <c r="U50" s="40"/>
      <c r="V50" s="40"/>
      <c r="W50" s="40"/>
      <c r="X50" s="41"/>
      <c r="Y50" s="214"/>
      <c r="Z50" s="40"/>
      <c r="AA50" s="40"/>
      <c r="AB50" s="40"/>
      <c r="AC50" s="40"/>
      <c r="AD50" s="40">
        <f>+AM50+BA50</f>
        <v>45</v>
      </c>
      <c r="AE50" s="236" t="s">
        <v>561</v>
      </c>
      <c r="AF50" s="36"/>
      <c r="AG50" s="36"/>
      <c r="AH50" s="36"/>
      <c r="AI50" s="514"/>
      <c r="AJ50" s="40"/>
      <c r="AK50" s="40">
        <v>45</v>
      </c>
      <c r="AL50" s="40"/>
      <c r="AM50" s="40">
        <f>SUM(AF50:AL50)+AT50+AV50+AX50</f>
        <v>45</v>
      </c>
      <c r="AN50" s="40"/>
      <c r="AO50" s="40"/>
      <c r="AP50" s="40"/>
      <c r="AQ50" s="40"/>
      <c r="AR50" s="40">
        <f>SUM(AN50:AQ50)</f>
        <v>0</v>
      </c>
      <c r="AS50" s="40"/>
      <c r="AT50" s="40"/>
      <c r="AU50" s="40"/>
      <c r="AV50" s="40"/>
      <c r="AW50" s="40"/>
      <c r="AX50" s="40"/>
      <c r="AY50" s="40"/>
      <c r="AZ50" s="40"/>
      <c r="BA50" s="40">
        <f>+AR50+AS50+AU50+AW50+AY50+AZ50</f>
        <v>0</v>
      </c>
      <c r="BB50" s="36"/>
      <c r="BC50" s="515"/>
      <c r="BD50" s="515"/>
      <c r="BE50" s="36"/>
      <c r="BF50" s="515"/>
    </row>
    <row r="51" spans="1:58" ht="12.95" customHeight="1">
      <c r="A51" s="43"/>
      <c r="B51" s="44"/>
      <c r="C51" s="460"/>
      <c r="D51" s="44"/>
      <c r="E51" s="45"/>
      <c r="F51" s="45"/>
      <c r="G51" s="601"/>
      <c r="H51" s="602"/>
      <c r="I51" s="48"/>
      <c r="J51" s="85"/>
      <c r="K51" s="85"/>
      <c r="L51" s="38"/>
      <c r="M51" s="38"/>
      <c r="N51" s="49"/>
      <c r="O51" s="50"/>
      <c r="P51" s="51"/>
      <c r="Q51" s="50"/>
      <c r="R51" s="512"/>
      <c r="S51" s="512"/>
      <c r="T51" s="40"/>
      <c r="U51" s="40"/>
      <c r="V51" s="40"/>
      <c r="W51" s="40"/>
      <c r="X51" s="41"/>
      <c r="Y51" s="214"/>
      <c r="Z51" s="40"/>
      <c r="AA51" s="40"/>
      <c r="AB51" s="40"/>
      <c r="AC51" s="40"/>
      <c r="AD51" s="40"/>
      <c r="AE51" s="233"/>
      <c r="AF51" s="40"/>
      <c r="AG51" s="40"/>
      <c r="AH51" s="40"/>
      <c r="AI51" s="514"/>
      <c r="AJ51" s="40"/>
      <c r="AK51" s="40"/>
      <c r="AL51" s="40"/>
      <c r="AM51" s="40"/>
      <c r="AN51" s="86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53"/>
      <c r="BC51" s="54"/>
      <c r="BD51" s="54"/>
      <c r="BE51" s="36"/>
      <c r="BF51" s="54"/>
    </row>
    <row r="52" spans="1:58" ht="12.95" customHeight="1">
      <c r="A52" s="43">
        <v>45879</v>
      </c>
      <c r="B52" s="44" t="s">
        <v>445</v>
      </c>
      <c r="C52" s="460">
        <f>(M52*E52*O52*Q52)/100000000</f>
        <v>0.53849071999999998</v>
      </c>
      <c r="D52" s="44" t="s">
        <v>491</v>
      </c>
      <c r="E52" s="45">
        <v>23</v>
      </c>
      <c r="F52" s="45">
        <v>1</v>
      </c>
      <c r="G52" s="511">
        <v>830</v>
      </c>
      <c r="H52" s="47">
        <v>0.15</v>
      </c>
      <c r="I52" s="48">
        <v>0.88</v>
      </c>
      <c r="J52" s="85">
        <f>E52*G52*(1-H52)*1440/1000000*3.4</f>
        <v>79.444944000000007</v>
      </c>
      <c r="K52" s="85">
        <f>(IF(G52&lt;L52,L52,G52)*(1-IF(H52&lt;N52,H52,N52))*E52*O52*Q52)/100000000</f>
        <v>0.53849071999999998</v>
      </c>
      <c r="L52" s="38">
        <v>830</v>
      </c>
      <c r="M52" s="38">
        <v>713.8</v>
      </c>
      <c r="N52" s="49">
        <f>1-(M52/L52)</f>
        <v>0.14000000000000001</v>
      </c>
      <c r="O52" s="50">
        <f>164*2</f>
        <v>328</v>
      </c>
      <c r="P52" s="51">
        <f>O52*(Q52-R52-S52)</f>
        <v>1640</v>
      </c>
      <c r="Q52" s="50">
        <v>10</v>
      </c>
      <c r="R52" s="512">
        <v>0</v>
      </c>
      <c r="S52" s="512">
        <v>5</v>
      </c>
      <c r="T52" s="40">
        <f>E52*M52*O52*Q52/100000000</f>
        <v>0.53849071999999998</v>
      </c>
      <c r="U52" s="40">
        <f>E52*M52*O52*(Q52-R52-S52)/100000000</f>
        <v>0.26924535999999999</v>
      </c>
      <c r="V52" s="40">
        <f>E52*G52*(1-N52)*O52/100*(R52+S52)/1000000</f>
        <v>0.26924535999999999</v>
      </c>
      <c r="W52" s="40">
        <f>+'8'!K28/1000</f>
        <v>0</v>
      </c>
      <c r="X52" s="513">
        <f>SUM(W52:W55)/SUM(K52:K55)</f>
        <v>0.9720304898436728</v>
      </c>
      <c r="Y52" s="214">
        <v>0</v>
      </c>
      <c r="Z52" s="40">
        <v>0</v>
      </c>
      <c r="AA52" s="52">
        <f>SUM(U52:U55)-SUM(W52:W55)-SUM(Z52:Z55)-SUM(Y52:Y55)</f>
        <v>0.28969017000000874</v>
      </c>
      <c r="AB52" s="52">
        <f>(SUM(K52:K55)-SUM(W52:W55)-SUM(Y52:Y55)-SUM(Z52:Z55)-SUM(AC52:AC55)-SUM(V52:V55))-AA52</f>
        <v>-9.9920072216264089E-15</v>
      </c>
      <c r="AC52" s="40">
        <f>K52-T52</f>
        <v>0</v>
      </c>
      <c r="AD52" s="40">
        <f>+AM52+BA52</f>
        <v>0</v>
      </c>
      <c r="AE52" s="233" t="s">
        <v>391</v>
      </c>
      <c r="AF52" s="40">
        <v>0</v>
      </c>
      <c r="AG52" s="40"/>
      <c r="AH52" s="40"/>
      <c r="AI52" s="514"/>
      <c r="AJ52" s="40"/>
      <c r="AK52" s="40"/>
      <c r="AL52" s="40"/>
      <c r="AM52" s="40">
        <f>SUM(AF52:AL52)+AT52+AV52+AX52</f>
        <v>0</v>
      </c>
      <c r="AN52" s="40"/>
      <c r="AO52" s="40"/>
      <c r="AP52" s="40"/>
      <c r="AQ52" s="40"/>
      <c r="AR52" s="40">
        <f>SUM(AN52:AQ52)</f>
        <v>0</v>
      </c>
      <c r="AS52" s="40"/>
      <c r="AT52" s="40"/>
      <c r="AU52" s="40"/>
      <c r="AV52" s="40"/>
      <c r="AW52" s="40"/>
      <c r="AX52" s="40"/>
      <c r="AY52" s="40"/>
      <c r="AZ52" s="40"/>
      <c r="BA52" s="40">
        <f>+AR52+AS52+AU52+AW52+AY52+AZ52</f>
        <v>0</v>
      </c>
      <c r="BB52" s="36">
        <v>4</v>
      </c>
      <c r="BC52" s="54"/>
      <c r="BD52" s="54"/>
      <c r="BE52" s="36"/>
      <c r="BF52" s="54"/>
    </row>
    <row r="53" spans="1:58" ht="12.95" customHeight="1">
      <c r="A53" s="43"/>
      <c r="B53" s="44" t="s">
        <v>8</v>
      </c>
      <c r="C53" s="460">
        <f>(M53*E53*O53*Q53)/100000000</f>
        <v>75.927191519999994</v>
      </c>
      <c r="D53" s="44" t="s">
        <v>491</v>
      </c>
      <c r="E53" s="45">
        <v>23</v>
      </c>
      <c r="F53" s="45">
        <v>1</v>
      </c>
      <c r="G53" s="511">
        <v>830</v>
      </c>
      <c r="H53" s="47">
        <v>0.15</v>
      </c>
      <c r="I53" s="48">
        <v>0.88</v>
      </c>
      <c r="J53" s="85">
        <f>E53*G53*(1-H53)*1440/1000000*3.4</f>
        <v>79.444944000000007</v>
      </c>
      <c r="K53" s="85">
        <f>(IF(G53&lt;L53,L53,G53)*(1-IF(H53&lt;N53,H53,N53))*E53*O53*Q53)/100000000</f>
        <v>75.927191519999994</v>
      </c>
      <c r="L53" s="38">
        <v>830</v>
      </c>
      <c r="M53" s="38">
        <v>713.8</v>
      </c>
      <c r="N53" s="49">
        <f>1-(M53/L53)</f>
        <v>0.14000000000000001</v>
      </c>
      <c r="O53" s="50">
        <f>+'Trim Rwd'!H40</f>
        <v>328</v>
      </c>
      <c r="P53" s="51">
        <f>O53*(Q53-R53-S53)</f>
        <v>457560</v>
      </c>
      <c r="Q53" s="50">
        <v>1410</v>
      </c>
      <c r="R53" s="512">
        <v>0</v>
      </c>
      <c r="S53" s="512">
        <v>15</v>
      </c>
      <c r="T53" s="40">
        <f>E53*M53*O53*Q53/100000000</f>
        <v>75.927191519999994</v>
      </c>
      <c r="U53" s="40">
        <f>E53*M53*O53*(Q53-R53-S53)/100000000</f>
        <v>75.119455439999996</v>
      </c>
      <c r="V53" s="40">
        <f>E53*G53*(1-N53)*O53/100*(R53+S53)/1000000</f>
        <v>0.80773607999999997</v>
      </c>
      <c r="W53" s="40">
        <f>+'10'!K21/1000</f>
        <v>75.066999999999993</v>
      </c>
      <c r="X53" s="41"/>
      <c r="Y53" s="214"/>
      <c r="Z53" s="40">
        <f>+'10'!D25/1000</f>
        <v>0.60299999999999998</v>
      </c>
      <c r="AA53" s="40"/>
      <c r="AB53" s="40"/>
      <c r="AC53" s="40">
        <f>K53-T53</f>
        <v>0</v>
      </c>
      <c r="AD53" s="40">
        <f>+AM53+BA53</f>
        <v>9</v>
      </c>
      <c r="AE53" s="233" t="s">
        <v>527</v>
      </c>
      <c r="AF53" s="40"/>
      <c r="AG53" s="40">
        <v>9</v>
      </c>
      <c r="AH53" s="40"/>
      <c r="AI53" s="514"/>
      <c r="AJ53" s="40"/>
      <c r="AK53" s="40"/>
      <c r="AL53" s="40"/>
      <c r="AM53" s="40">
        <f>SUM(AF53:AL53)+AT53+AV53+AX53</f>
        <v>9</v>
      </c>
      <c r="AN53" s="86"/>
      <c r="AO53" s="40"/>
      <c r="AP53" s="40"/>
      <c r="AQ53" s="40"/>
      <c r="AR53" s="40">
        <f>SUM(AN53:AQ53)</f>
        <v>0</v>
      </c>
      <c r="AS53" s="40"/>
      <c r="AT53" s="40"/>
      <c r="AU53" s="40"/>
      <c r="AV53" s="40"/>
      <c r="AW53" s="40"/>
      <c r="AX53" s="40"/>
      <c r="AY53" s="40"/>
      <c r="AZ53" s="40"/>
      <c r="BA53" s="40">
        <f>+AR53+AS53+AU53+AW53+AY53+AZ53</f>
        <v>0</v>
      </c>
      <c r="BB53" s="53"/>
      <c r="BC53" s="54">
        <v>4</v>
      </c>
      <c r="BD53" s="54"/>
      <c r="BE53" s="53"/>
      <c r="BF53" s="54"/>
    </row>
    <row r="54" spans="1:58" ht="12.95" customHeight="1">
      <c r="A54" s="43"/>
      <c r="B54" s="44" t="s">
        <v>445</v>
      </c>
      <c r="C54" s="460">
        <f>(M54*E54*O54*Q54)/100000000</f>
        <v>0.76131915999999999</v>
      </c>
      <c r="D54" s="44" t="s">
        <v>491</v>
      </c>
      <c r="E54" s="45">
        <v>17</v>
      </c>
      <c r="F54" s="45">
        <v>1</v>
      </c>
      <c r="G54" s="511">
        <v>830</v>
      </c>
      <c r="H54" s="47">
        <v>0.18</v>
      </c>
      <c r="I54" s="48">
        <v>0.88</v>
      </c>
      <c r="J54" s="85">
        <f>E54*G54*(1-H54)*1440/1000000*3.4</f>
        <v>56.647699200000005</v>
      </c>
      <c r="K54" s="85">
        <f>(IF(G54&lt;L54,L54,G54)*(1-IF(H54&lt;N54,H54,N54))*E54*O54*Q54)/100000000</f>
        <v>0.76131915999999999</v>
      </c>
      <c r="L54" s="38">
        <v>830</v>
      </c>
      <c r="M54" s="38">
        <f>+L54-L54*0.18</f>
        <v>680.6</v>
      </c>
      <c r="N54" s="49">
        <f>1-(M54/L54)</f>
        <v>0.17999999999999994</v>
      </c>
      <c r="O54" s="50">
        <f>+'Trim Rwd'!H41</f>
        <v>329</v>
      </c>
      <c r="P54" s="51">
        <f>O54*(Q54-R54-S54)</f>
        <v>4935</v>
      </c>
      <c r="Q54" s="50">
        <v>20</v>
      </c>
      <c r="R54" s="512">
        <v>0</v>
      </c>
      <c r="S54" s="512">
        <v>5</v>
      </c>
      <c r="T54" s="40">
        <f>E54*M54*O54*Q54/100000000</f>
        <v>0.76131915999999999</v>
      </c>
      <c r="U54" s="40">
        <f>E54*M54*O54*(Q54-R54-S54)/100000000</f>
        <v>0.57098937000000005</v>
      </c>
      <c r="V54" s="40">
        <f>E54*G54*(1-N54)*O54/100*(R54+S54)/1000000</f>
        <v>0.19032979000000003</v>
      </c>
      <c r="W54" s="40">
        <f>+'8'!K30/1000</f>
        <v>0</v>
      </c>
      <c r="X54" s="41"/>
      <c r="Y54" s="214"/>
      <c r="Z54" s="40"/>
      <c r="AA54" s="40"/>
      <c r="AB54" s="40"/>
      <c r="AC54" s="40"/>
      <c r="AD54" s="40">
        <f>+AM54+BA54</f>
        <v>11</v>
      </c>
      <c r="AE54" s="233" t="s">
        <v>226</v>
      </c>
      <c r="AF54" s="36"/>
      <c r="AG54" s="36"/>
      <c r="AH54" s="36">
        <v>11</v>
      </c>
      <c r="AI54" s="514"/>
      <c r="AJ54" s="40"/>
      <c r="AK54" s="40"/>
      <c r="AL54" s="40"/>
      <c r="AM54" s="40">
        <f>SUM(AF54:AL54)+AT54+AV54+AX54</f>
        <v>11</v>
      </c>
      <c r="AN54" s="40"/>
      <c r="AO54" s="40"/>
      <c r="AP54" s="40"/>
      <c r="AQ54" s="40"/>
      <c r="AR54" s="40">
        <f>SUM(AN54:AQ54)</f>
        <v>0</v>
      </c>
      <c r="AS54" s="40"/>
      <c r="AT54" s="40"/>
      <c r="AU54" s="40"/>
      <c r="AV54" s="40"/>
      <c r="AW54" s="40"/>
      <c r="AX54" s="40"/>
      <c r="AY54" s="40"/>
      <c r="AZ54" s="40"/>
      <c r="BA54" s="40">
        <f>+AR54+AS54+AU54+AW54+AY54+AZ54</f>
        <v>0</v>
      </c>
      <c r="BB54" s="36"/>
      <c r="BC54" s="515"/>
      <c r="BD54" s="515"/>
      <c r="BE54" s="36"/>
      <c r="BF54" s="515"/>
    </row>
    <row r="55" spans="1:58" ht="12.95" customHeight="1">
      <c r="A55" s="43"/>
      <c r="B55" s="44"/>
      <c r="C55" s="460"/>
      <c r="D55" s="44"/>
      <c r="E55" s="45"/>
      <c r="F55" s="45"/>
      <c r="G55" s="511"/>
      <c r="H55" s="47"/>
      <c r="I55" s="48"/>
      <c r="J55" s="85"/>
      <c r="K55" s="85"/>
      <c r="L55" s="38"/>
      <c r="M55" s="38"/>
      <c r="N55" s="49"/>
      <c r="O55" s="50"/>
      <c r="P55" s="51"/>
      <c r="Q55" s="50"/>
      <c r="R55" s="512"/>
      <c r="S55" s="512"/>
      <c r="T55" s="40"/>
      <c r="U55" s="40"/>
      <c r="V55" s="40"/>
      <c r="W55" s="40"/>
      <c r="X55" s="41"/>
      <c r="Y55" s="214"/>
      <c r="Z55" s="40"/>
      <c r="AA55" s="40"/>
      <c r="AB55" s="40"/>
      <c r="AC55" s="40"/>
      <c r="AD55" s="40">
        <f>+AM55+BA55</f>
        <v>5</v>
      </c>
      <c r="AE55" s="233" t="s">
        <v>577</v>
      </c>
      <c r="AF55" s="36"/>
      <c r="AG55" s="36"/>
      <c r="AH55" s="36"/>
      <c r="AI55" s="514">
        <v>5</v>
      </c>
      <c r="AJ55" s="40"/>
      <c r="AK55" s="40"/>
      <c r="AL55" s="40"/>
      <c r="AM55" s="40">
        <f>SUM(AF55:AL55)+AT55+AV55+AX55</f>
        <v>5</v>
      </c>
      <c r="AN55" s="40"/>
      <c r="AO55" s="40"/>
      <c r="AP55" s="40"/>
      <c r="AQ55" s="40"/>
      <c r="AR55" s="40">
        <f>SUM(AN55:AQ55)</f>
        <v>0</v>
      </c>
      <c r="AS55" s="40"/>
      <c r="AT55" s="40"/>
      <c r="AU55" s="40"/>
      <c r="AV55" s="40"/>
      <c r="AW55" s="40"/>
      <c r="AX55" s="40"/>
      <c r="AY55" s="40"/>
      <c r="AZ55" s="40"/>
      <c r="BA55" s="40">
        <f>+AR55+AS55+AU55+AW55+AY55+AZ55</f>
        <v>0</v>
      </c>
      <c r="BB55" s="36"/>
      <c r="BC55" s="515"/>
      <c r="BD55" s="515"/>
      <c r="BE55" s="36"/>
      <c r="BF55" s="515"/>
    </row>
    <row r="56" spans="1:58" ht="12.95" customHeight="1">
      <c r="A56" s="43"/>
      <c r="B56" s="44"/>
      <c r="C56" s="460"/>
      <c r="D56" s="44"/>
      <c r="E56" s="45"/>
      <c r="F56" s="45"/>
      <c r="G56" s="603"/>
      <c r="H56" s="602"/>
      <c r="I56" s="48"/>
      <c r="J56" s="85"/>
      <c r="K56" s="85"/>
      <c r="L56" s="38"/>
      <c r="M56" s="38"/>
      <c r="N56" s="49"/>
      <c r="O56" s="50"/>
      <c r="P56" s="51"/>
      <c r="Q56" s="50"/>
      <c r="R56" s="512"/>
      <c r="S56" s="512"/>
      <c r="T56" s="40"/>
      <c r="U56" s="40"/>
      <c r="V56" s="40"/>
      <c r="W56" s="40"/>
      <c r="X56" s="41"/>
      <c r="Y56" s="214"/>
      <c r="Z56" s="40"/>
      <c r="AA56" s="52"/>
      <c r="AB56" s="52"/>
      <c r="AC56" s="40"/>
      <c r="AD56" s="40"/>
      <c r="AE56" s="236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36"/>
      <c r="BC56" s="54"/>
      <c r="BD56" s="54"/>
      <c r="BE56" s="53"/>
      <c r="BF56" s="54"/>
    </row>
    <row r="57" spans="1:58" ht="12.95" customHeight="1">
      <c r="A57" s="43">
        <v>45880</v>
      </c>
      <c r="B57" s="44" t="s">
        <v>445</v>
      </c>
      <c r="C57" s="460">
        <f>(M57*E57*O57*Q57)/100000000</f>
        <v>54.747626185531914</v>
      </c>
      <c r="D57" s="44" t="s">
        <v>491</v>
      </c>
      <c r="E57" s="45">
        <v>17</v>
      </c>
      <c r="F57" s="45">
        <v>1</v>
      </c>
      <c r="G57" s="511">
        <v>830</v>
      </c>
      <c r="H57" s="47">
        <v>0.18</v>
      </c>
      <c r="I57" s="48">
        <v>0.88</v>
      </c>
      <c r="J57" s="85">
        <f>E57*G57*(1-H57)*1440/1000000*3.4</f>
        <v>56.647699200000005</v>
      </c>
      <c r="K57" s="85">
        <f>(IF(G57&lt;L57,L57,G57)*(1-IF(H57&lt;N57,H57,N57))*E57*O57*Q57)/100000000</f>
        <v>54.747626185531914</v>
      </c>
      <c r="L57" s="38">
        <v>830</v>
      </c>
      <c r="M57" s="38">
        <f>+L57-L57*0.18</f>
        <v>680.6</v>
      </c>
      <c r="N57" s="49">
        <f>1-(M57/L57)</f>
        <v>0.17999999999999994</v>
      </c>
      <c r="O57" s="50">
        <f>+'Trim Rwd'!H45</f>
        <v>328.59574468085106</v>
      </c>
      <c r="P57" s="51">
        <f>O57*(Q57-R57-S57)</f>
        <v>451161.95744680852</v>
      </c>
      <c r="Q57" s="50">
        <v>1440</v>
      </c>
      <c r="R57" s="512">
        <v>0</v>
      </c>
      <c r="S57" s="512">
        <f>29+16+22</f>
        <v>67</v>
      </c>
      <c r="T57" s="40">
        <f>E57*M57*O57*Q57/100000000</f>
        <v>54.747626185531914</v>
      </c>
      <c r="U57" s="40">
        <f>E57*M57*O57*(Q57-R57-S57)/100000000</f>
        <v>52.200340800510638</v>
      </c>
      <c r="V57" s="40">
        <f>E57*G57*(1-N57)*O57/100*(R57+S57)/1000000</f>
        <v>2.5472853850212767</v>
      </c>
      <c r="W57" s="40">
        <f>+'11'!K16/1000</f>
        <v>44.834000000000003</v>
      </c>
      <c r="X57" s="513">
        <f>SUM(W57:W60)/SUM(K57:K60)</f>
        <v>0.8612793519157379</v>
      </c>
      <c r="Y57" s="214">
        <v>0</v>
      </c>
      <c r="Z57" s="40">
        <f>+'11'!D34/1000</f>
        <v>0.58699999999999997</v>
      </c>
      <c r="AA57" s="52">
        <f>SUM(U57:U60)-SUM(W57:W60)-SUM(Z57:Z60)-SUM(Y57:Y60)</f>
        <v>4.4603408005106324</v>
      </c>
      <c r="AB57" s="52">
        <f>(SUM(K57:K60)-SUM(W57:W60)-SUM(Y57:Y60)-SUM(Z57:Z60)-SUM(AC57:AC60)-SUM(V57:V60))-AA57</f>
        <v>0</v>
      </c>
      <c r="AC57" s="40">
        <f>K57-T57</f>
        <v>0</v>
      </c>
      <c r="AD57" s="40">
        <f>+AM57+BA57</f>
        <v>29</v>
      </c>
      <c r="AE57" s="233" t="s">
        <v>549</v>
      </c>
      <c r="AF57" s="40">
        <v>29</v>
      </c>
      <c r="AG57" s="40"/>
      <c r="AH57" s="40"/>
      <c r="AI57" s="514"/>
      <c r="AJ57" s="40"/>
      <c r="AK57" s="40"/>
      <c r="AL57" s="40"/>
      <c r="AM57" s="40">
        <f>SUM(AF57:AL57)+AT57+AV57+AX57</f>
        <v>29</v>
      </c>
      <c r="AN57" s="40"/>
      <c r="AO57" s="40"/>
      <c r="AP57" s="40"/>
      <c r="AQ57" s="40"/>
      <c r="AR57" s="40">
        <f>SUM(AN57:AQ57)</f>
        <v>0</v>
      </c>
      <c r="AS57" s="40"/>
      <c r="AT57" s="40"/>
      <c r="AU57" s="40"/>
      <c r="AV57" s="40"/>
      <c r="AW57" s="40"/>
      <c r="AX57" s="40"/>
      <c r="AY57" s="40"/>
      <c r="AZ57" s="40"/>
      <c r="BA57" s="40">
        <f>+AR57+AS57+AU57+AW57+AY57+AZ57</f>
        <v>0</v>
      </c>
      <c r="BB57" s="36">
        <v>7</v>
      </c>
      <c r="BC57" s="54"/>
      <c r="BD57" s="54"/>
      <c r="BE57" s="36"/>
      <c r="BF57" s="54"/>
    </row>
    <row r="58" spans="1:58" ht="12.95" customHeight="1">
      <c r="A58" s="43"/>
      <c r="B58" s="44" t="s">
        <v>8</v>
      </c>
      <c r="C58" s="460"/>
      <c r="D58" s="44"/>
      <c r="E58" s="45">
        <v>23</v>
      </c>
      <c r="F58" s="45"/>
      <c r="G58" s="511"/>
      <c r="H58" s="47"/>
      <c r="I58" s="48"/>
      <c r="J58" s="85"/>
      <c r="K58" s="85"/>
      <c r="L58" s="38"/>
      <c r="M58" s="38"/>
      <c r="N58" s="49"/>
      <c r="O58" s="50"/>
      <c r="P58" s="51"/>
      <c r="Q58" s="50"/>
      <c r="R58" s="512"/>
      <c r="S58" s="512"/>
      <c r="T58" s="40"/>
      <c r="U58" s="40"/>
      <c r="V58" s="40"/>
      <c r="W58" s="40">
        <f>+'11'!K21/1000</f>
        <v>2.319</v>
      </c>
      <c r="X58" s="41"/>
      <c r="Y58" s="214"/>
      <c r="Z58" s="40"/>
      <c r="AA58" s="40"/>
      <c r="AB58" s="40"/>
      <c r="AC58" s="40"/>
      <c r="AD58" s="40">
        <f>+AM58+BA58</f>
        <v>16</v>
      </c>
      <c r="AE58" s="233" t="s">
        <v>527</v>
      </c>
      <c r="AF58" s="40"/>
      <c r="AG58" s="40">
        <v>16</v>
      </c>
      <c r="AH58" s="40"/>
      <c r="AI58" s="514"/>
      <c r="AJ58" s="40"/>
      <c r="AK58" s="40"/>
      <c r="AL58" s="40"/>
      <c r="AM58" s="40">
        <f>SUM(AF58:AL58)+AT58+AV58+AX58</f>
        <v>16</v>
      </c>
      <c r="AN58" s="86"/>
      <c r="AO58" s="40"/>
      <c r="AP58" s="40"/>
      <c r="AQ58" s="40"/>
      <c r="AR58" s="40">
        <f>SUM(AN58:AQ58)</f>
        <v>0</v>
      </c>
      <c r="AS58" s="40"/>
      <c r="AT58" s="40"/>
      <c r="AU58" s="40"/>
      <c r="AV58" s="40"/>
      <c r="AW58" s="40"/>
      <c r="AX58" s="40"/>
      <c r="AY58" s="40"/>
      <c r="AZ58" s="40"/>
      <c r="BA58" s="40">
        <f>+AR58+AS58+AU58+AW58+AY58+AZ58</f>
        <v>0</v>
      </c>
      <c r="BB58" s="53"/>
      <c r="BC58" s="54">
        <v>4</v>
      </c>
      <c r="BD58" s="54"/>
      <c r="BE58" s="53"/>
      <c r="BF58" s="54"/>
    </row>
    <row r="59" spans="1:58" ht="12.95" customHeight="1">
      <c r="A59" s="43"/>
      <c r="B59" s="44"/>
      <c r="C59" s="460"/>
      <c r="D59" s="44"/>
      <c r="E59" s="45"/>
      <c r="F59" s="45"/>
      <c r="G59" s="511"/>
      <c r="H59" s="47"/>
      <c r="I59" s="48"/>
      <c r="J59" s="85"/>
      <c r="K59" s="85"/>
      <c r="L59" s="38"/>
      <c r="M59" s="38"/>
      <c r="N59" s="49"/>
      <c r="O59" s="50"/>
      <c r="P59" s="51"/>
      <c r="Q59" s="50"/>
      <c r="R59" s="512"/>
      <c r="S59" s="512"/>
      <c r="T59" s="40"/>
      <c r="U59" s="40"/>
      <c r="V59" s="40"/>
      <c r="W59" s="40"/>
      <c r="X59" s="41"/>
      <c r="Y59" s="214"/>
      <c r="Z59" s="40"/>
      <c r="AA59" s="40"/>
      <c r="AB59" s="40"/>
      <c r="AC59" s="40"/>
      <c r="AD59" s="40">
        <f>+AM59+BA59</f>
        <v>22</v>
      </c>
      <c r="AE59" s="233" t="s">
        <v>226</v>
      </c>
      <c r="AF59" s="36"/>
      <c r="AG59" s="36"/>
      <c r="AH59" s="36">
        <v>22</v>
      </c>
      <c r="AI59" s="514"/>
      <c r="AJ59" s="40"/>
      <c r="AK59" s="40"/>
      <c r="AL59" s="40"/>
      <c r="AM59" s="40">
        <f>SUM(AF59:AL59)+AT59+AV59+AX59</f>
        <v>22</v>
      </c>
      <c r="AN59" s="40"/>
      <c r="AO59" s="40"/>
      <c r="AP59" s="40"/>
      <c r="AQ59" s="40"/>
      <c r="AR59" s="40">
        <f>SUM(AN59:AQ59)</f>
        <v>0</v>
      </c>
      <c r="AS59" s="40"/>
      <c r="AT59" s="40"/>
      <c r="AU59" s="40"/>
      <c r="AV59" s="40"/>
      <c r="AW59" s="40"/>
      <c r="AX59" s="40"/>
      <c r="AY59" s="40"/>
      <c r="AZ59" s="40"/>
      <c r="BA59" s="40">
        <f>+AR59+AS59+AU59+AW59+AY59+AZ59</f>
        <v>0</v>
      </c>
      <c r="BB59" s="36"/>
      <c r="BC59" s="515"/>
      <c r="BD59" s="515"/>
      <c r="BE59" s="36"/>
      <c r="BF59" s="515"/>
    </row>
    <row r="60" spans="1:58" ht="12.95" customHeight="1">
      <c r="A60" s="43"/>
      <c r="B60" s="44"/>
      <c r="C60" s="460"/>
      <c r="D60" s="44"/>
      <c r="E60" s="45"/>
      <c r="F60" s="45"/>
      <c r="G60" s="511"/>
      <c r="H60" s="47"/>
      <c r="I60" s="48"/>
      <c r="J60" s="85"/>
      <c r="K60" s="85"/>
      <c r="L60" s="38"/>
      <c r="M60" s="38"/>
      <c r="N60" s="49"/>
      <c r="O60" s="50"/>
      <c r="P60" s="51"/>
      <c r="Q60" s="50"/>
      <c r="R60" s="512"/>
      <c r="S60" s="512"/>
      <c r="T60" s="40"/>
      <c r="U60" s="40"/>
      <c r="V60" s="40"/>
      <c r="W60" s="40"/>
      <c r="X60" s="41"/>
      <c r="Y60" s="214"/>
      <c r="Z60" s="40"/>
      <c r="AA60" s="40"/>
      <c r="AB60" s="40"/>
      <c r="AC60" s="40"/>
      <c r="AD60" s="40"/>
      <c r="AE60" s="233"/>
      <c r="AF60" s="36"/>
      <c r="AG60" s="36"/>
      <c r="AH60" s="36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36"/>
      <c r="BC60" s="515"/>
      <c r="BD60" s="515"/>
      <c r="BE60" s="36"/>
      <c r="BF60" s="515"/>
    </row>
    <row r="61" spans="1:58" ht="12.95" customHeight="1">
      <c r="A61" s="43">
        <v>45881</v>
      </c>
      <c r="B61" s="44" t="s">
        <v>445</v>
      </c>
      <c r="C61" s="460">
        <f>(M61*E61*O61*Q61)/100000000</f>
        <v>3.0360204799999999</v>
      </c>
      <c r="D61" s="44" t="s">
        <v>491</v>
      </c>
      <c r="E61" s="45">
        <v>17</v>
      </c>
      <c r="F61" s="45">
        <v>1</v>
      </c>
      <c r="G61" s="511">
        <v>830</v>
      </c>
      <c r="H61" s="47">
        <v>0.18</v>
      </c>
      <c r="I61" s="48">
        <v>0.88</v>
      </c>
      <c r="J61" s="85">
        <f>E61*G61*(1-H61)*1440/1000000*3.4</f>
        <v>56.647699200000005</v>
      </c>
      <c r="K61" s="85">
        <f>(IF(G61&lt;L61,L61,G61)*(1-IF(H61&lt;N61,H61,N61))*E61*O61*Q61)/100000000</f>
        <v>3.0360204799999999</v>
      </c>
      <c r="L61" s="38">
        <v>830</v>
      </c>
      <c r="M61" s="38">
        <f>+L61-L61*0.18</f>
        <v>680.6</v>
      </c>
      <c r="N61" s="49">
        <f>1-(M61/L61)</f>
        <v>0.17999999999999994</v>
      </c>
      <c r="O61" s="50">
        <f>+'Trim Rwd'!H48</f>
        <v>328</v>
      </c>
      <c r="P61" s="51">
        <f>O61*(Q61-R61-S61)</f>
        <v>26240</v>
      </c>
      <c r="Q61" s="50">
        <v>80</v>
      </c>
      <c r="R61" s="512">
        <v>0</v>
      </c>
      <c r="S61" s="512">
        <v>0</v>
      </c>
      <c r="T61" s="40">
        <f>E61*M61*O61*Q61/100000000</f>
        <v>3.0360204799999999</v>
      </c>
      <c r="U61" s="40">
        <f>E61*M61*O61*(Q61-R61-S61)/100000000</f>
        <v>3.0360204799999999</v>
      </c>
      <c r="V61" s="40">
        <f>E61*G61*(1-N61)*O61/100*(R61+S61)/1000000</f>
        <v>0</v>
      </c>
      <c r="W61" s="40">
        <f>+'12'!K16/1000</f>
        <v>3.7890000000000001</v>
      </c>
      <c r="X61" s="513">
        <f>SUM(W61:W64)/SUM(K61:K64)</f>
        <v>0.91022183735166273</v>
      </c>
      <c r="Y61" s="214">
        <v>0</v>
      </c>
      <c r="Z61" s="40">
        <v>0</v>
      </c>
      <c r="AA61" s="52">
        <f>SUM(U61:U64)-SUM(W61:W64)-SUM(Z61:Z64)-SUM(Y61:Y64)</f>
        <v>3.9386731359999985</v>
      </c>
      <c r="AB61" s="52">
        <f>(SUM(K61:K64)-SUM(W61:W64)-SUM(Y61:Y64)-SUM(Z61:Z64)-SUM(AC61:AC64)-SUM(V61:V64))-AA61</f>
        <v>-4.4408920985006262E-15</v>
      </c>
      <c r="AC61" s="40">
        <f>K61-T61</f>
        <v>0</v>
      </c>
      <c r="AD61" s="40">
        <f>+AM61+BA61</f>
        <v>0</v>
      </c>
      <c r="AE61" s="233" t="s">
        <v>391</v>
      </c>
      <c r="AF61" s="40">
        <v>0</v>
      </c>
      <c r="AG61" s="40"/>
      <c r="AH61" s="40"/>
      <c r="AI61" s="514"/>
      <c r="AJ61" s="40"/>
      <c r="AK61" s="40"/>
      <c r="AL61" s="40"/>
      <c r="AM61" s="40">
        <f>SUM(AF61:AL61)+AT61+AV61+AX61</f>
        <v>0</v>
      </c>
      <c r="AN61" s="40"/>
      <c r="AO61" s="40"/>
      <c r="AP61" s="40"/>
      <c r="AQ61" s="40"/>
      <c r="AR61" s="40">
        <f>SUM(AN61:AQ61)</f>
        <v>0</v>
      </c>
      <c r="AS61" s="40"/>
      <c r="AT61" s="40"/>
      <c r="AU61" s="40"/>
      <c r="AV61" s="40"/>
      <c r="AW61" s="40"/>
      <c r="AX61" s="40"/>
      <c r="AY61" s="40"/>
      <c r="AZ61" s="40"/>
      <c r="BA61" s="40">
        <f>+AR61+AS61+AU61+AW61+AY61+AZ61</f>
        <v>0</v>
      </c>
      <c r="BB61" s="36">
        <v>0</v>
      </c>
      <c r="BC61" s="54"/>
      <c r="BD61" s="54"/>
      <c r="BE61" s="36"/>
      <c r="BF61" s="54"/>
    </row>
    <row r="62" spans="1:58" ht="12.95" customHeight="1">
      <c r="A62" s="43"/>
      <c r="B62" s="44" t="s">
        <v>8</v>
      </c>
      <c r="C62" s="460">
        <f>(M62*E62*O62*Q62)/100000000</f>
        <v>50.82557456</v>
      </c>
      <c r="D62" s="44" t="s">
        <v>491</v>
      </c>
      <c r="E62" s="45">
        <v>17</v>
      </c>
      <c r="F62" s="45">
        <v>1</v>
      </c>
      <c r="G62" s="511">
        <v>830</v>
      </c>
      <c r="H62" s="47">
        <v>0.18</v>
      </c>
      <c r="I62" s="48">
        <v>0.88</v>
      </c>
      <c r="J62" s="85">
        <f>E62*G62*(1-H62)*1440/1000000*3.4</f>
        <v>56.647699200000005</v>
      </c>
      <c r="K62" s="85">
        <f>(IF(G62&lt;L62,L62,G62)*(1-IF(H62&lt;N62,H62,N62))*E62*O62*Q62)/100000000</f>
        <v>50.82557456</v>
      </c>
      <c r="L62" s="38">
        <v>830</v>
      </c>
      <c r="M62" s="38">
        <f>+L62-L62*0.18</f>
        <v>680.6</v>
      </c>
      <c r="N62" s="49">
        <f>1-(M62/L62)</f>
        <v>0.17999999999999994</v>
      </c>
      <c r="O62" s="50">
        <f>+'Trim Rwd'!H49</f>
        <v>323</v>
      </c>
      <c r="P62" s="51">
        <f>O62*(Q62-R62-S62)</f>
        <v>431528</v>
      </c>
      <c r="Q62" s="50">
        <v>1360</v>
      </c>
      <c r="R62" s="512">
        <v>0</v>
      </c>
      <c r="S62" s="512">
        <v>24</v>
      </c>
      <c r="T62" s="40">
        <f>E62*M62*O62*Q62/100000000</f>
        <v>50.82557456</v>
      </c>
      <c r="U62" s="40">
        <f>E62*M62*O62*(Q62-R62-S62)/100000000</f>
        <v>49.928652656000004</v>
      </c>
      <c r="V62" s="40">
        <f>E62*G62*(1-N62)*O62/100*(R62+S62)/1000000</f>
        <v>0.89692190399999994</v>
      </c>
      <c r="W62" s="40">
        <f>+'12'!K22/1000</f>
        <v>45.237000000000002</v>
      </c>
      <c r="X62" s="41"/>
      <c r="Y62" s="214"/>
      <c r="Z62" s="40"/>
      <c r="AA62" s="40"/>
      <c r="AB62" s="40"/>
      <c r="AC62" s="40">
        <f>K62-T62</f>
        <v>0</v>
      </c>
      <c r="AD62" s="40">
        <f>+AM62+BA62</f>
        <v>9</v>
      </c>
      <c r="AE62" s="233" t="s">
        <v>390</v>
      </c>
      <c r="AF62" s="40"/>
      <c r="AG62" s="40">
        <v>9</v>
      </c>
      <c r="AH62" s="40"/>
      <c r="AI62" s="514"/>
      <c r="AJ62" s="40"/>
      <c r="AK62" s="40"/>
      <c r="AL62" s="40"/>
      <c r="AM62" s="40">
        <f>SUM(AF62:AL62)+AT62+AV62+AX62</f>
        <v>9</v>
      </c>
      <c r="AN62" s="86"/>
      <c r="AO62" s="40"/>
      <c r="AP62" s="40"/>
      <c r="AQ62" s="40"/>
      <c r="AR62" s="40">
        <f>SUM(AN62:AQ62)</f>
        <v>0</v>
      </c>
      <c r="AS62" s="40"/>
      <c r="AT62" s="40"/>
      <c r="AU62" s="40"/>
      <c r="AV62" s="40"/>
      <c r="AW62" s="40"/>
      <c r="AX62" s="40"/>
      <c r="AY62" s="40"/>
      <c r="AZ62" s="40"/>
      <c r="BA62" s="40">
        <f>+AR62+AS62+AU62+AW62+AY62+AZ62</f>
        <v>0</v>
      </c>
      <c r="BB62" s="53"/>
      <c r="BC62" s="54">
        <v>3</v>
      </c>
      <c r="BD62" s="54"/>
      <c r="BE62" s="53"/>
      <c r="BF62" s="54"/>
    </row>
    <row r="63" spans="1:58" ht="12.95" customHeight="1">
      <c r="A63" s="43"/>
      <c r="B63" s="44"/>
      <c r="C63" s="460"/>
      <c r="D63" s="44"/>
      <c r="E63" s="45"/>
      <c r="F63" s="45"/>
      <c r="G63" s="511"/>
      <c r="H63" s="47"/>
      <c r="I63" s="48"/>
      <c r="J63" s="85"/>
      <c r="K63" s="85"/>
      <c r="L63" s="38"/>
      <c r="M63" s="38"/>
      <c r="N63" s="49"/>
      <c r="O63" s="50"/>
      <c r="P63" s="51"/>
      <c r="Q63" s="50"/>
      <c r="R63" s="512"/>
      <c r="S63" s="512"/>
      <c r="T63" s="40"/>
      <c r="U63" s="40"/>
      <c r="V63" s="40"/>
      <c r="W63" s="40"/>
      <c r="X63" s="41"/>
      <c r="Y63" s="214"/>
      <c r="Z63" s="40"/>
      <c r="AA63" s="40"/>
      <c r="AB63" s="40"/>
      <c r="AC63" s="40"/>
      <c r="AD63" s="40">
        <f>+AM63+BA63</f>
        <v>15</v>
      </c>
      <c r="AE63" s="233" t="s">
        <v>226</v>
      </c>
      <c r="AF63" s="36"/>
      <c r="AG63" s="36"/>
      <c r="AH63" s="36">
        <v>15</v>
      </c>
      <c r="AI63" s="514"/>
      <c r="AJ63" s="40"/>
      <c r="AK63" s="40"/>
      <c r="AL63" s="40"/>
      <c r="AM63" s="40">
        <f>SUM(AF63:AL63)+AT63+AV63+AX63</f>
        <v>15</v>
      </c>
      <c r="AN63" s="40"/>
      <c r="AO63" s="40"/>
      <c r="AP63" s="40"/>
      <c r="AQ63" s="40"/>
      <c r="AR63" s="40">
        <f>SUM(AN63:AQ63)</f>
        <v>0</v>
      </c>
      <c r="AS63" s="40"/>
      <c r="AT63" s="40"/>
      <c r="AU63" s="40"/>
      <c r="AV63" s="40"/>
      <c r="AW63" s="40"/>
      <c r="AX63" s="40"/>
      <c r="AY63" s="40"/>
      <c r="AZ63" s="40"/>
      <c r="BA63" s="40">
        <f>+AR63+AS63+AU63+AW63+AY63+AZ63</f>
        <v>0</v>
      </c>
      <c r="BB63" s="36"/>
      <c r="BC63" s="515"/>
      <c r="BD63" s="515"/>
      <c r="BE63" s="36"/>
      <c r="BF63" s="515"/>
    </row>
    <row r="64" spans="1:58" ht="12.95" customHeight="1">
      <c r="A64" s="43"/>
      <c r="B64" s="44"/>
      <c r="C64" s="460"/>
      <c r="D64" s="44"/>
      <c r="E64" s="45"/>
      <c r="F64" s="45"/>
      <c r="G64" s="511"/>
      <c r="H64" s="47"/>
      <c r="I64" s="48"/>
      <c r="J64" s="85"/>
      <c r="K64" s="85"/>
      <c r="L64" s="38"/>
      <c r="M64" s="38"/>
      <c r="N64" s="49"/>
      <c r="O64" s="50"/>
      <c r="P64" s="51"/>
      <c r="Q64" s="50"/>
      <c r="R64" s="512"/>
      <c r="S64" s="512"/>
      <c r="T64" s="40"/>
      <c r="U64" s="40"/>
      <c r="V64" s="40"/>
      <c r="W64" s="40"/>
      <c r="X64" s="41"/>
      <c r="Y64" s="214"/>
      <c r="Z64" s="40"/>
      <c r="AA64" s="40"/>
      <c r="AB64" s="40"/>
      <c r="AC64" s="40"/>
      <c r="AD64" s="40"/>
      <c r="AE64" s="233"/>
      <c r="AF64" s="36"/>
      <c r="AG64" s="36"/>
      <c r="AH64" s="36"/>
      <c r="AI64" s="514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36"/>
      <c r="BC64" s="515"/>
      <c r="BD64" s="515"/>
      <c r="BE64" s="36"/>
      <c r="BF64" s="515"/>
    </row>
    <row r="65" spans="1:58" ht="12.95" customHeight="1">
      <c r="A65" s="43">
        <v>45882</v>
      </c>
      <c r="B65" s="44" t="s">
        <v>8</v>
      </c>
      <c r="C65" s="460">
        <f>(M65*E65*O65*Q65)/100000000</f>
        <v>42.603790439999997</v>
      </c>
      <c r="D65" s="44" t="s">
        <v>491</v>
      </c>
      <c r="E65" s="45">
        <v>17</v>
      </c>
      <c r="F65" s="45">
        <v>1</v>
      </c>
      <c r="G65" s="511">
        <v>830</v>
      </c>
      <c r="H65" s="47">
        <v>0.18</v>
      </c>
      <c r="I65" s="48">
        <v>0.88</v>
      </c>
      <c r="J65" s="85">
        <f>E65*G65*(1-H65)*1440/1000000*3.4</f>
        <v>56.647699200000005</v>
      </c>
      <c r="K65" s="85">
        <f>(IF(G65&lt;L65,L65,G65)*(1-IF(H65&lt;N65,H65,N65))*E65*O65*Q65)/100000000</f>
        <v>42.603790439999997</v>
      </c>
      <c r="L65" s="38">
        <v>830</v>
      </c>
      <c r="M65" s="38">
        <v>680.6</v>
      </c>
      <c r="N65" s="49">
        <f>1-(M65/L65)</f>
        <v>0.17999999999999994</v>
      </c>
      <c r="O65" s="50">
        <f>+'Trim Rwd'!H52</f>
        <v>323</v>
      </c>
      <c r="P65" s="51">
        <f>O65*(Q65-R65-S65)</f>
        <v>335920</v>
      </c>
      <c r="Q65" s="50">
        <v>1140</v>
      </c>
      <c r="R65" s="512">
        <v>0</v>
      </c>
      <c r="S65" s="512">
        <v>100</v>
      </c>
      <c r="T65" s="40">
        <f>E65*M65*O65*Q65/100000000</f>
        <v>42.603790439999997</v>
      </c>
      <c r="U65" s="40">
        <f>E65*M65*O65*(Q65-R65-S65)/100000000</f>
        <v>38.866615840000001</v>
      </c>
      <c r="V65" s="40">
        <f>E65*G65*(1-N65)*O65/100*(R65+S65)/1000000</f>
        <v>3.7371745999999999</v>
      </c>
      <c r="W65" s="40">
        <f>+'13'!K22/1000</f>
        <v>36.271000000000001</v>
      </c>
      <c r="X65" s="513">
        <f>SUM(W65:W69)/SUM(K65:K69)</f>
        <v>0.80938961655449282</v>
      </c>
      <c r="Y65" s="214">
        <v>0</v>
      </c>
      <c r="Z65" s="40">
        <f>+'13'!D7/1000</f>
        <v>0.65</v>
      </c>
      <c r="AA65" s="52">
        <f>SUM(U65:U69)-SUM(W65:W69)-SUM(Z65:Z69)-SUM(Y65:Y69)</f>
        <v>5.3688798400000062</v>
      </c>
      <c r="AB65" s="52">
        <f>(SUM(K65:K69)-SUM(W65:W69)-SUM(Y65:Y69)-SUM(Z65:Z69)-SUM(AC65:AC69)-SUM(V65:V69))-AA65</f>
        <v>0</v>
      </c>
      <c r="AC65" s="40">
        <f>K65-T65</f>
        <v>0</v>
      </c>
      <c r="AD65" s="40">
        <f>+AM65+BA65</f>
        <v>17</v>
      </c>
      <c r="AE65" s="233" t="s">
        <v>603</v>
      </c>
      <c r="AF65" s="40">
        <v>17</v>
      </c>
      <c r="AG65" s="40"/>
      <c r="AH65" s="40"/>
      <c r="AI65" s="514"/>
      <c r="AJ65" s="40"/>
      <c r="AK65" s="40"/>
      <c r="AL65" s="40"/>
      <c r="AM65" s="40">
        <f>SUM(AF65:AL65)+AT65+AV65+AX65</f>
        <v>17</v>
      </c>
      <c r="AN65" s="40"/>
      <c r="AO65" s="40"/>
      <c r="AP65" s="40"/>
      <c r="AQ65" s="40"/>
      <c r="AR65" s="40">
        <f>SUM(AN65:AQ65)</f>
        <v>0</v>
      </c>
      <c r="AS65" s="40"/>
      <c r="AT65" s="40"/>
      <c r="AU65" s="40"/>
      <c r="AV65" s="40"/>
      <c r="AW65" s="40"/>
      <c r="AX65" s="40"/>
      <c r="AY65" s="40"/>
      <c r="AZ65" s="40"/>
      <c r="BA65" s="40">
        <f>+AR65+AS65+AU65+AW65+AY65+AZ65</f>
        <v>0</v>
      </c>
      <c r="BB65" s="36">
        <v>6</v>
      </c>
      <c r="BC65" s="54"/>
      <c r="BD65" s="54"/>
      <c r="BE65" s="36"/>
      <c r="BF65" s="54"/>
    </row>
    <row r="66" spans="1:58" ht="12.95" customHeight="1">
      <c r="A66" s="43"/>
      <c r="B66" s="44" t="s">
        <v>445</v>
      </c>
      <c r="C66" s="460">
        <f>(M66*E66*O66*Q66)/100000000</f>
        <v>10.83648</v>
      </c>
      <c r="D66" s="44" t="s">
        <v>491</v>
      </c>
      <c r="E66" s="45">
        <v>16</v>
      </c>
      <c r="F66" s="45">
        <v>1</v>
      </c>
      <c r="G66" s="511">
        <v>830</v>
      </c>
      <c r="H66" s="47">
        <v>0.15</v>
      </c>
      <c r="I66" s="48">
        <v>0.88</v>
      </c>
      <c r="J66" s="85">
        <f>E66*G66*(1-H66)*1440/1000000*3.4</f>
        <v>55.266047999999998</v>
      </c>
      <c r="K66" s="85">
        <f>(IF(G66&lt;L66,L66,G66)*(1-IF(H66&lt;N66,H66,N66))*E66*O66*Q66)/100000000</f>
        <v>10.83648</v>
      </c>
      <c r="L66" s="38">
        <v>830</v>
      </c>
      <c r="M66" s="38">
        <v>705.5</v>
      </c>
      <c r="N66" s="49">
        <f>1-(M66/L66)</f>
        <v>0.15000000000000002</v>
      </c>
      <c r="O66" s="50">
        <f>+'Trim Rwd'!H53</f>
        <v>320</v>
      </c>
      <c r="P66" s="51">
        <f>O66*(Q66-R66-S66)</f>
        <v>92800</v>
      </c>
      <c r="Q66" s="50">
        <v>300</v>
      </c>
      <c r="R66" s="512">
        <v>0</v>
      </c>
      <c r="S66" s="512">
        <v>10</v>
      </c>
      <c r="T66" s="40">
        <f>E66*M66*O66*Q66/100000000</f>
        <v>10.83648</v>
      </c>
      <c r="U66" s="40">
        <f>E66*M66*O66*(Q66-R66-S66)/100000000</f>
        <v>10.475263999999999</v>
      </c>
      <c r="V66" s="40">
        <f>E66*G66*(1-N66)*O66/100*(R66+S66)/1000000</f>
        <v>0.36121599999999998</v>
      </c>
      <c r="W66" s="40">
        <f>+'13'!K17/1000</f>
        <v>6.9829999999999997</v>
      </c>
      <c r="X66" s="41"/>
      <c r="Y66" s="214"/>
      <c r="Z66" s="40">
        <f>+'13'!D26/1000</f>
        <v>6.9000000000000006E-2</v>
      </c>
      <c r="AA66" s="40"/>
      <c r="AB66" s="40"/>
      <c r="AC66" s="40">
        <f>K66-T66</f>
        <v>0</v>
      </c>
      <c r="AD66" s="40">
        <f>+AM66+BA66</f>
        <v>40</v>
      </c>
      <c r="AE66" s="233" t="s">
        <v>448</v>
      </c>
      <c r="AF66" s="40"/>
      <c r="AG66" s="40">
        <v>40</v>
      </c>
      <c r="AH66" s="40"/>
      <c r="AI66" s="514"/>
      <c r="AJ66" s="40"/>
      <c r="AK66" s="40"/>
      <c r="AL66" s="40"/>
      <c r="AM66" s="40">
        <f>SUM(AF66:AL66)+AT66+AV66+AX66</f>
        <v>40</v>
      </c>
      <c r="AN66" s="86"/>
      <c r="AO66" s="40"/>
      <c r="AP66" s="40"/>
      <c r="AQ66" s="40"/>
      <c r="AR66" s="40">
        <f>SUM(AN66:AQ66)</f>
        <v>0</v>
      </c>
      <c r="AS66" s="40"/>
      <c r="AT66" s="40"/>
      <c r="AU66" s="40"/>
      <c r="AV66" s="40"/>
      <c r="AW66" s="40"/>
      <c r="AX66" s="40"/>
      <c r="AY66" s="40"/>
      <c r="AZ66" s="40"/>
      <c r="BA66" s="40">
        <f>+AR66+AS66+AU66+AW66+AY66+AZ66</f>
        <v>0</v>
      </c>
      <c r="BB66" s="53"/>
      <c r="BC66" s="54">
        <v>6</v>
      </c>
      <c r="BD66" s="54"/>
      <c r="BE66" s="53"/>
      <c r="BF66" s="54"/>
    </row>
    <row r="67" spans="1:58" ht="12.95" customHeight="1">
      <c r="A67" s="43"/>
      <c r="B67" s="44"/>
      <c r="C67" s="460"/>
      <c r="D67" s="44"/>
      <c r="E67" s="45"/>
      <c r="F67" s="45"/>
      <c r="G67" s="511"/>
      <c r="H67" s="47"/>
      <c r="I67" s="48"/>
      <c r="J67" s="85"/>
      <c r="K67" s="85"/>
      <c r="L67" s="38"/>
      <c r="M67" s="38"/>
      <c r="N67" s="49"/>
      <c r="O67" s="50"/>
      <c r="P67" s="51"/>
      <c r="Q67" s="50"/>
      <c r="R67" s="512"/>
      <c r="S67" s="512"/>
      <c r="T67" s="40"/>
      <c r="U67" s="40"/>
      <c r="V67" s="40"/>
      <c r="W67" s="40"/>
      <c r="X67" s="41"/>
      <c r="Y67" s="214"/>
      <c r="Z67" s="40"/>
      <c r="AA67" s="40"/>
      <c r="AB67" s="40"/>
      <c r="AC67" s="40"/>
      <c r="AD67" s="40">
        <f>+AM67+BA67</f>
        <v>13</v>
      </c>
      <c r="AE67" s="233" t="s">
        <v>226</v>
      </c>
      <c r="AF67" s="36"/>
      <c r="AG67" s="36"/>
      <c r="AH67" s="36">
        <v>13</v>
      </c>
      <c r="AI67" s="514"/>
      <c r="AJ67" s="40"/>
      <c r="AK67" s="40"/>
      <c r="AL67" s="40"/>
      <c r="AM67" s="40">
        <f>SUM(AF67:AL67)+AT67+AV67+AX67</f>
        <v>13</v>
      </c>
      <c r="AN67" s="40"/>
      <c r="AO67" s="40"/>
      <c r="AP67" s="40"/>
      <c r="AQ67" s="40"/>
      <c r="AR67" s="40">
        <f>SUM(AN67:AQ67)</f>
        <v>0</v>
      </c>
      <c r="AS67" s="40"/>
      <c r="AT67" s="40"/>
      <c r="AU67" s="40"/>
      <c r="AV67" s="40"/>
      <c r="AW67" s="40"/>
      <c r="AX67" s="40"/>
      <c r="AY67" s="40"/>
      <c r="AZ67" s="40"/>
      <c r="BA67" s="40">
        <f>+AR67+AS67+AU67+AW67+AY67+AZ67</f>
        <v>0</v>
      </c>
      <c r="BB67" s="36"/>
      <c r="BC67" s="515"/>
      <c r="BD67" s="515"/>
      <c r="BE67" s="36"/>
      <c r="BF67" s="515"/>
    </row>
    <row r="68" spans="1:58" ht="12.95" customHeight="1">
      <c r="A68" s="43"/>
      <c r="B68" s="44"/>
      <c r="C68" s="460"/>
      <c r="D68" s="44"/>
      <c r="E68" s="45"/>
      <c r="F68" s="45"/>
      <c r="G68" s="511"/>
      <c r="H68" s="47"/>
      <c r="I68" s="48"/>
      <c r="J68" s="85"/>
      <c r="K68" s="85"/>
      <c r="L68" s="38"/>
      <c r="M68" s="38"/>
      <c r="N68" s="49"/>
      <c r="O68" s="50"/>
      <c r="P68" s="51"/>
      <c r="Q68" s="50"/>
      <c r="R68" s="512"/>
      <c r="S68" s="512"/>
      <c r="T68" s="40"/>
      <c r="U68" s="40"/>
      <c r="V68" s="40"/>
      <c r="W68" s="40"/>
      <c r="X68" s="41"/>
      <c r="Y68" s="214"/>
      <c r="Z68" s="40"/>
      <c r="AA68" s="40"/>
      <c r="AB68" s="40"/>
      <c r="AC68" s="40"/>
      <c r="AD68" s="40">
        <f>+AM68+BA68</f>
        <v>40</v>
      </c>
      <c r="AE68" s="236" t="s">
        <v>597</v>
      </c>
      <c r="AF68" s="36"/>
      <c r="AG68" s="36"/>
      <c r="AH68" s="36"/>
      <c r="AI68" s="514">
        <v>40</v>
      </c>
      <c r="AJ68" s="40"/>
      <c r="AK68" s="40"/>
      <c r="AL68" s="40"/>
      <c r="AM68" s="40">
        <f>SUM(AF68:AL68)+AT68+AV68+AX68</f>
        <v>40</v>
      </c>
      <c r="AN68" s="40"/>
      <c r="AO68" s="40"/>
      <c r="AP68" s="40"/>
      <c r="AQ68" s="40"/>
      <c r="AR68" s="40">
        <f>SUM(AN68:AQ68)</f>
        <v>0</v>
      </c>
      <c r="AS68" s="40"/>
      <c r="AT68" s="40"/>
      <c r="AU68" s="40"/>
      <c r="AV68" s="40"/>
      <c r="AW68" s="40"/>
      <c r="AX68" s="40"/>
      <c r="AY68" s="40"/>
      <c r="AZ68" s="40"/>
      <c r="BA68" s="40">
        <f>+AR68+AS68+AU68+AW68+AY68+AZ68</f>
        <v>0</v>
      </c>
      <c r="BB68" s="36"/>
      <c r="BC68" s="515"/>
      <c r="BD68" s="515"/>
      <c r="BE68" s="36"/>
      <c r="BF68" s="515"/>
    </row>
    <row r="69" spans="1:58" ht="12.95" customHeight="1">
      <c r="A69" s="43"/>
      <c r="B69" s="44"/>
      <c r="C69" s="460"/>
      <c r="D69" s="44"/>
      <c r="E69" s="45"/>
      <c r="F69" s="45"/>
      <c r="G69" s="511"/>
      <c r="H69" s="47"/>
      <c r="I69" s="48"/>
      <c r="J69" s="85"/>
      <c r="K69" s="85"/>
      <c r="L69" s="38"/>
      <c r="M69" s="38"/>
      <c r="N69" s="49"/>
      <c r="O69" s="50"/>
      <c r="P69" s="51"/>
      <c r="Q69" s="50"/>
      <c r="R69" s="512"/>
      <c r="S69" s="512"/>
      <c r="T69" s="40"/>
      <c r="U69" s="40"/>
      <c r="V69" s="40"/>
      <c r="W69" s="40"/>
      <c r="X69" s="41"/>
      <c r="Y69" s="214"/>
      <c r="Z69" s="40"/>
      <c r="AA69" s="40"/>
      <c r="AB69" s="40"/>
      <c r="AC69" s="40"/>
      <c r="AD69" s="40"/>
      <c r="AE69" s="233"/>
      <c r="AF69" s="36"/>
      <c r="AG69" s="36"/>
      <c r="AH69" s="36"/>
      <c r="AI69" s="514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36"/>
      <c r="BC69" s="515"/>
      <c r="BD69" s="515"/>
      <c r="BE69" s="36"/>
      <c r="BF69" s="515"/>
    </row>
    <row r="70" spans="1:58" ht="12.95" customHeight="1">
      <c r="A70" s="43">
        <v>45883</v>
      </c>
      <c r="B70" s="44" t="s">
        <v>445</v>
      </c>
      <c r="C70" s="460">
        <f>(M70*E70*O70*Q70)/100000000</f>
        <v>52.015104000000001</v>
      </c>
      <c r="D70" s="44" t="s">
        <v>491</v>
      </c>
      <c r="E70" s="45">
        <v>16</v>
      </c>
      <c r="F70" s="45">
        <v>1</v>
      </c>
      <c r="G70" s="511">
        <v>830</v>
      </c>
      <c r="H70" s="47">
        <v>0.15</v>
      </c>
      <c r="I70" s="48">
        <v>0.88</v>
      </c>
      <c r="J70" s="85">
        <f>E70*G70*(1-H70)*1440/1000000*3.4</f>
        <v>55.266047999999998</v>
      </c>
      <c r="K70" s="85">
        <f>(IF(G70&lt;L70,L70,G70)*(1-IF(H70&lt;N70,H70,N70))*E70*O70*Q70)/100000000</f>
        <v>52.015104000000001</v>
      </c>
      <c r="L70" s="38">
        <v>830</v>
      </c>
      <c r="M70" s="38">
        <v>705.5</v>
      </c>
      <c r="N70" s="49">
        <f>1-(M70/L70)</f>
        <v>0.15000000000000002</v>
      </c>
      <c r="O70" s="50">
        <f>+'Trim Rwd'!H55</f>
        <v>320</v>
      </c>
      <c r="P70" s="51">
        <f>O70*(Q70-R70-S70)</f>
        <v>445120</v>
      </c>
      <c r="Q70" s="50">
        <v>1440</v>
      </c>
      <c r="R70" s="512">
        <v>0</v>
      </c>
      <c r="S70" s="512">
        <v>49</v>
      </c>
      <c r="T70" s="40">
        <f>E70*M70*O70*Q70/100000000</f>
        <v>52.015104000000001</v>
      </c>
      <c r="U70" s="40">
        <f>E70*M70*O70*(Q70-R70-S70)/100000000</f>
        <v>50.245145600000001</v>
      </c>
      <c r="V70" s="40">
        <f>E70*G70*(1-N70)*O70/100*(R70+S70)/1000000</f>
        <v>1.7699583999999999</v>
      </c>
      <c r="W70" s="40">
        <f>+'14'!K34/1000</f>
        <v>45.267000000000003</v>
      </c>
      <c r="X70" s="513">
        <f>SUM(W70:W73)/SUM(K70:K73)</f>
        <v>0.87026645183675888</v>
      </c>
      <c r="Y70" s="214">
        <v>0</v>
      </c>
      <c r="Z70" s="40">
        <f>+'14'!D34/1000</f>
        <v>0.64700000000000002</v>
      </c>
      <c r="AA70" s="52">
        <f>SUM(U70:U73)-SUM(W70:W73)-SUM(Z70:Z73)-SUM(Y70:Y73)</f>
        <v>4.3311455999999975</v>
      </c>
      <c r="AB70" s="52">
        <f>(SUM(K70:K73)-SUM(W70:W73)-SUM(Y70:Y73)-SUM(Z70:Z73)-SUM(AC70:AC73)-SUM(V70:V73))-AA70</f>
        <v>0</v>
      </c>
      <c r="AC70" s="40">
        <f>K70-T70</f>
        <v>0</v>
      </c>
      <c r="AD70" s="40">
        <f>+AM70+BA70</f>
        <v>3</v>
      </c>
      <c r="AE70" s="233" t="s">
        <v>435</v>
      </c>
      <c r="AF70" s="40">
        <v>3</v>
      </c>
      <c r="AG70" s="40"/>
      <c r="AH70" s="40"/>
      <c r="AI70" s="514"/>
      <c r="AJ70" s="40"/>
      <c r="AK70" s="40"/>
      <c r="AL70" s="40"/>
      <c r="AM70" s="40">
        <f>SUM(AF70:AL70)+AT70+AV70+AX70</f>
        <v>3</v>
      </c>
      <c r="AN70" s="40"/>
      <c r="AO70" s="40"/>
      <c r="AP70" s="40"/>
      <c r="AQ70" s="40"/>
      <c r="AR70" s="40">
        <f>SUM(AN70:AQ70)</f>
        <v>0</v>
      </c>
      <c r="AS70" s="40"/>
      <c r="AT70" s="40"/>
      <c r="AU70" s="40"/>
      <c r="AV70" s="40"/>
      <c r="AW70" s="40"/>
      <c r="AX70" s="40"/>
      <c r="AY70" s="40"/>
      <c r="AZ70" s="40"/>
      <c r="BA70" s="40">
        <f>+AR70+AS70+AU70+AW70+AY70+AZ70</f>
        <v>0</v>
      </c>
      <c r="BB70" s="36">
        <v>1</v>
      </c>
      <c r="BC70" s="54"/>
      <c r="BD70" s="54"/>
      <c r="BE70" s="36"/>
      <c r="BF70" s="54"/>
    </row>
    <row r="71" spans="1:58" ht="12.95" customHeight="1">
      <c r="A71" s="43"/>
      <c r="B71" s="44"/>
      <c r="C71" s="460"/>
      <c r="D71" s="44"/>
      <c r="E71" s="45"/>
      <c r="F71" s="45"/>
      <c r="G71" s="511"/>
      <c r="H71" s="47"/>
      <c r="I71" s="48"/>
      <c r="J71" s="85"/>
      <c r="K71" s="85"/>
      <c r="L71" s="38"/>
      <c r="M71" s="38"/>
      <c r="N71" s="49"/>
      <c r="O71" s="50"/>
      <c r="P71" s="51"/>
      <c r="Q71" s="50"/>
      <c r="R71" s="512"/>
      <c r="S71" s="512"/>
      <c r="T71" s="40"/>
      <c r="U71" s="40"/>
      <c r="V71" s="40"/>
      <c r="W71" s="40"/>
      <c r="X71" s="41"/>
      <c r="Y71" s="214"/>
      <c r="Z71" s="40"/>
      <c r="AA71" s="40"/>
      <c r="AB71" s="40"/>
      <c r="AC71" s="40"/>
      <c r="AD71" s="40">
        <f>+AM71+BA71</f>
        <v>28</v>
      </c>
      <c r="AE71" s="233" t="s">
        <v>527</v>
      </c>
      <c r="AF71" s="40"/>
      <c r="AG71" s="40">
        <v>28</v>
      </c>
      <c r="AH71" s="40"/>
      <c r="AI71" s="514"/>
      <c r="AJ71" s="40"/>
      <c r="AK71" s="40"/>
      <c r="AL71" s="40"/>
      <c r="AM71" s="40">
        <f>SUM(AF71:AL71)+AT71+AV71+AX71</f>
        <v>28</v>
      </c>
      <c r="AN71" s="86"/>
      <c r="AO71" s="40"/>
      <c r="AP71" s="40"/>
      <c r="AQ71" s="40"/>
      <c r="AR71" s="40">
        <f>SUM(AN71:AQ71)</f>
        <v>0</v>
      </c>
      <c r="AS71" s="40"/>
      <c r="AT71" s="40"/>
      <c r="AU71" s="40"/>
      <c r="AV71" s="40"/>
      <c r="AW71" s="40"/>
      <c r="AX71" s="40"/>
      <c r="AY71" s="40"/>
      <c r="AZ71" s="40"/>
      <c r="BA71" s="40">
        <f>+AR71+AS71+AU71+AW71+AY71+AZ71</f>
        <v>0</v>
      </c>
      <c r="BB71" s="53"/>
      <c r="BC71" s="54">
        <v>4</v>
      </c>
      <c r="BD71" s="54"/>
      <c r="BE71" s="53"/>
      <c r="BF71" s="54"/>
    </row>
    <row r="72" spans="1:58" ht="12.95" customHeight="1">
      <c r="A72" s="43"/>
      <c r="B72" s="44"/>
      <c r="C72" s="460"/>
      <c r="D72" s="44"/>
      <c r="E72" s="45"/>
      <c r="F72" s="45"/>
      <c r="G72" s="511"/>
      <c r="H72" s="47"/>
      <c r="I72" s="48"/>
      <c r="J72" s="85"/>
      <c r="K72" s="85"/>
      <c r="L72" s="38"/>
      <c r="M72" s="38"/>
      <c r="N72" s="49"/>
      <c r="O72" s="50"/>
      <c r="P72" s="51"/>
      <c r="Q72" s="50"/>
      <c r="R72" s="512"/>
      <c r="S72" s="512"/>
      <c r="T72" s="40"/>
      <c r="U72" s="40"/>
      <c r="V72" s="40"/>
      <c r="W72" s="40"/>
      <c r="X72" s="41"/>
      <c r="Y72" s="214"/>
      <c r="Z72" s="40"/>
      <c r="AA72" s="40"/>
      <c r="AB72" s="40"/>
      <c r="AC72" s="40"/>
      <c r="AD72" s="40">
        <f>+AM72+BA72</f>
        <v>18</v>
      </c>
      <c r="AE72" s="233" t="s">
        <v>226</v>
      </c>
      <c r="AF72" s="36"/>
      <c r="AG72" s="36"/>
      <c r="AH72" s="36">
        <v>18</v>
      </c>
      <c r="AI72" s="514"/>
      <c r="AJ72" s="40"/>
      <c r="AK72" s="40"/>
      <c r="AL72" s="40"/>
      <c r="AM72" s="40">
        <f>SUM(AF72:AL72)+AT72+AV72+AX72</f>
        <v>18</v>
      </c>
      <c r="AN72" s="40"/>
      <c r="AO72" s="40"/>
      <c r="AP72" s="40"/>
      <c r="AQ72" s="40"/>
      <c r="AR72" s="40">
        <f>SUM(AN72:AQ72)</f>
        <v>0</v>
      </c>
      <c r="AS72" s="40"/>
      <c r="AT72" s="40"/>
      <c r="AU72" s="40"/>
      <c r="AV72" s="40"/>
      <c r="AW72" s="40"/>
      <c r="AX72" s="40"/>
      <c r="AY72" s="40"/>
      <c r="AZ72" s="40"/>
      <c r="BA72" s="40">
        <f>+AR72+AS72+AU72+AW72+AY72+AZ72</f>
        <v>0</v>
      </c>
      <c r="BB72" s="36"/>
      <c r="BC72" s="515"/>
      <c r="BD72" s="515"/>
      <c r="BE72" s="36"/>
      <c r="BF72" s="515"/>
    </row>
    <row r="73" spans="1:58" ht="12.95" customHeight="1">
      <c r="A73" s="43"/>
      <c r="B73" s="44"/>
      <c r="C73" s="460"/>
      <c r="D73" s="44"/>
      <c r="E73" s="45"/>
      <c r="F73" s="45"/>
      <c r="G73" s="511"/>
      <c r="H73" s="47"/>
      <c r="I73" s="48"/>
      <c r="J73" s="85"/>
      <c r="K73" s="85"/>
      <c r="L73" s="38"/>
      <c r="M73" s="38"/>
      <c r="N73" s="49"/>
      <c r="O73" s="50"/>
      <c r="P73" s="51"/>
      <c r="Q73" s="50"/>
      <c r="R73" s="512"/>
      <c r="S73" s="512"/>
      <c r="T73" s="40"/>
      <c r="U73" s="40"/>
      <c r="V73" s="40"/>
      <c r="W73" s="40"/>
      <c r="X73" s="41"/>
      <c r="Y73" s="214"/>
      <c r="Z73" s="40"/>
      <c r="AA73" s="40"/>
      <c r="AB73" s="40"/>
      <c r="AC73" s="40"/>
      <c r="AD73" s="40"/>
      <c r="AE73" s="233"/>
      <c r="AF73" s="36"/>
      <c r="AG73" s="36"/>
      <c r="AH73" s="36"/>
      <c r="AI73" s="514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36"/>
      <c r="BC73" s="515"/>
      <c r="BD73" s="515"/>
      <c r="BE73" s="36"/>
      <c r="BF73" s="515"/>
    </row>
    <row r="74" spans="1:58" ht="12.95" customHeight="1">
      <c r="A74" s="43">
        <v>45884</v>
      </c>
      <c r="B74" s="44" t="s">
        <v>445</v>
      </c>
      <c r="C74" s="460">
        <f>(M74*E74*O74*Q74)/100000000</f>
        <v>52.015104000000001</v>
      </c>
      <c r="D74" s="44" t="s">
        <v>491</v>
      </c>
      <c r="E74" s="45">
        <v>16</v>
      </c>
      <c r="F74" s="45">
        <v>1</v>
      </c>
      <c r="G74" s="511">
        <v>830</v>
      </c>
      <c r="H74" s="47">
        <v>0.15</v>
      </c>
      <c r="I74" s="48">
        <v>0.88</v>
      </c>
      <c r="J74" s="85">
        <f>E74*G74*(1-H74)*1440/1000000*3.4</f>
        <v>55.266047999999998</v>
      </c>
      <c r="K74" s="85">
        <f>(IF(G74&lt;L74,L74,G74)*(1-IF(H74&lt;N74,H74,N74))*E74*O74*Q74)/100000000</f>
        <v>52.015104000000001</v>
      </c>
      <c r="L74" s="38">
        <v>830</v>
      </c>
      <c r="M74" s="38">
        <v>705.5</v>
      </c>
      <c r="N74" s="49">
        <f>1-(M74/L74)</f>
        <v>0.15000000000000002</v>
      </c>
      <c r="O74" s="50">
        <f>+'Trim Rwd'!H57</f>
        <v>320</v>
      </c>
      <c r="P74" s="51">
        <f>O74*(Q74-R74-S74)</f>
        <v>449600</v>
      </c>
      <c r="Q74" s="50">
        <v>1440</v>
      </c>
      <c r="R74" s="512">
        <v>0</v>
      </c>
      <c r="S74" s="512">
        <v>35</v>
      </c>
      <c r="T74" s="40">
        <f>E74*M74*O74*Q74/100000000</f>
        <v>52.015104000000001</v>
      </c>
      <c r="U74" s="40">
        <f>E74*M74*O74*(Q74-R74-S74)/100000000</f>
        <v>50.750847999999998</v>
      </c>
      <c r="V74" s="40">
        <f>E74*G74*(1-N74)*O74/100*(R74+S74)/1000000</f>
        <v>1.264256</v>
      </c>
      <c r="W74" s="40">
        <f>+'15'!K34/1000</f>
        <v>48.418999999999997</v>
      </c>
      <c r="X74" s="513">
        <f>SUM(W74:W77)/SUM(K74:K77)</f>
        <v>0.93086423512678151</v>
      </c>
      <c r="Y74" s="214">
        <v>0</v>
      </c>
      <c r="Z74" s="40">
        <f>+'15'!D34/1000</f>
        <v>0.26</v>
      </c>
      <c r="AA74" s="52">
        <f>SUM(U74:U77)-SUM(W74:W77)-SUM(Z74:Z77)-SUM(Y74:Y77)</f>
        <v>2.071848000000001</v>
      </c>
      <c r="AB74" s="52">
        <f>(SUM(K74:K77)-SUM(W74:W77)-SUM(Y74:Y77)-SUM(Z74:Z77)-SUM(AC74:AC77)-SUM(V74:V77))-AA74</f>
        <v>0</v>
      </c>
      <c r="AC74" s="40">
        <f>K74-T74</f>
        <v>0</v>
      </c>
      <c r="AD74" s="40">
        <f>+AM74+BA74</f>
        <v>7</v>
      </c>
      <c r="AE74" s="233" t="s">
        <v>469</v>
      </c>
      <c r="AF74" s="40">
        <v>7</v>
      </c>
      <c r="AG74" s="40"/>
      <c r="AH74" s="40"/>
      <c r="AI74" s="514"/>
      <c r="AJ74" s="40"/>
      <c r="AK74" s="40"/>
      <c r="AL74" s="40"/>
      <c r="AM74" s="40">
        <f>SUM(AF74:AL74)+AT74+AV74+AX74</f>
        <v>7</v>
      </c>
      <c r="AN74" s="40"/>
      <c r="AO74" s="40"/>
      <c r="AP74" s="40"/>
      <c r="AQ74" s="40"/>
      <c r="AR74" s="40">
        <f>SUM(AN74:AQ74)</f>
        <v>0</v>
      </c>
      <c r="AS74" s="40"/>
      <c r="AT74" s="40"/>
      <c r="AU74" s="40"/>
      <c r="AV74" s="40"/>
      <c r="AW74" s="40"/>
      <c r="AX74" s="40"/>
      <c r="AY74" s="40"/>
      <c r="AZ74" s="40"/>
      <c r="BA74" s="40">
        <f>+AR74+AS74+AU74+AW74+AY74+AZ74</f>
        <v>0</v>
      </c>
      <c r="BB74" s="36">
        <v>4</v>
      </c>
      <c r="BC74" s="54"/>
      <c r="BD74" s="54"/>
      <c r="BE74" s="36"/>
      <c r="BF74" s="54"/>
    </row>
    <row r="75" spans="1:58" ht="12.95" customHeight="1">
      <c r="A75" s="43"/>
      <c r="B75" s="44"/>
      <c r="C75" s="460"/>
      <c r="D75" s="44"/>
      <c r="E75" s="45"/>
      <c r="F75" s="45"/>
      <c r="G75" s="511"/>
      <c r="H75" s="47"/>
      <c r="I75" s="48"/>
      <c r="J75" s="85"/>
      <c r="K75" s="85"/>
      <c r="L75" s="38"/>
      <c r="M75" s="38"/>
      <c r="N75" s="49"/>
      <c r="O75" s="50"/>
      <c r="P75" s="51"/>
      <c r="Q75" s="50"/>
      <c r="R75" s="512"/>
      <c r="S75" s="512"/>
      <c r="T75" s="40"/>
      <c r="U75" s="40"/>
      <c r="V75" s="40"/>
      <c r="W75" s="40"/>
      <c r="X75" s="41"/>
      <c r="Y75" s="214"/>
      <c r="Z75" s="40"/>
      <c r="AA75" s="40"/>
      <c r="AB75" s="40"/>
      <c r="AC75" s="40"/>
      <c r="AD75" s="40">
        <f>+AM75+BA75</f>
        <v>10</v>
      </c>
      <c r="AE75" s="233" t="s">
        <v>446</v>
      </c>
      <c r="AF75" s="40"/>
      <c r="AG75" s="40">
        <v>10</v>
      </c>
      <c r="AH75" s="40"/>
      <c r="AI75" s="514"/>
      <c r="AJ75" s="40"/>
      <c r="AK75" s="40"/>
      <c r="AL75" s="40"/>
      <c r="AM75" s="40">
        <f>SUM(AF75:AL75)+AT75+AV75+AX75</f>
        <v>10</v>
      </c>
      <c r="AN75" s="86"/>
      <c r="AO75" s="40"/>
      <c r="AP75" s="40"/>
      <c r="AQ75" s="40"/>
      <c r="AR75" s="40">
        <f>SUM(AN75:AQ75)</f>
        <v>0</v>
      </c>
      <c r="AS75" s="40"/>
      <c r="AT75" s="40"/>
      <c r="AU75" s="40"/>
      <c r="AV75" s="40"/>
      <c r="AW75" s="40"/>
      <c r="AX75" s="40"/>
      <c r="AY75" s="40"/>
      <c r="AZ75" s="40"/>
      <c r="BA75" s="40">
        <f>+AR75+AS75+AU75+AW75+AY75+AZ75</f>
        <v>0</v>
      </c>
      <c r="BB75" s="53"/>
      <c r="BC75" s="54">
        <v>5</v>
      </c>
      <c r="BD75" s="54"/>
      <c r="BE75" s="53"/>
      <c r="BF75" s="54"/>
    </row>
    <row r="76" spans="1:58" ht="12.95" customHeight="1">
      <c r="A76" s="43"/>
      <c r="B76" s="44"/>
      <c r="C76" s="460"/>
      <c r="D76" s="44"/>
      <c r="E76" s="45"/>
      <c r="F76" s="45"/>
      <c r="G76" s="511"/>
      <c r="H76" s="47"/>
      <c r="I76" s="48"/>
      <c r="J76" s="85"/>
      <c r="K76" s="85"/>
      <c r="L76" s="38"/>
      <c r="M76" s="38"/>
      <c r="N76" s="49"/>
      <c r="O76" s="50"/>
      <c r="P76" s="51"/>
      <c r="Q76" s="50"/>
      <c r="R76" s="512"/>
      <c r="S76" s="512"/>
      <c r="T76" s="40"/>
      <c r="U76" s="40"/>
      <c r="V76" s="40"/>
      <c r="W76" s="40"/>
      <c r="X76" s="41"/>
      <c r="Y76" s="214"/>
      <c r="Z76" s="40"/>
      <c r="AA76" s="40"/>
      <c r="AB76" s="40"/>
      <c r="AC76" s="40"/>
      <c r="AD76" s="40">
        <f>+AM76+BA76</f>
        <v>18</v>
      </c>
      <c r="AE76" s="233" t="s">
        <v>226</v>
      </c>
      <c r="AF76" s="36"/>
      <c r="AG76" s="36"/>
      <c r="AH76" s="36">
        <v>18</v>
      </c>
      <c r="AI76" s="514"/>
      <c r="AJ76" s="40"/>
      <c r="AK76" s="40"/>
      <c r="AL76" s="40"/>
      <c r="AM76" s="40">
        <f>SUM(AF76:AL76)+AT76+AV76+AX76</f>
        <v>18</v>
      </c>
      <c r="AN76" s="40"/>
      <c r="AO76" s="40"/>
      <c r="AP76" s="40"/>
      <c r="AQ76" s="40"/>
      <c r="AR76" s="40">
        <f>SUM(AN76:AQ76)</f>
        <v>0</v>
      </c>
      <c r="AS76" s="40"/>
      <c r="AT76" s="40"/>
      <c r="AU76" s="40"/>
      <c r="AV76" s="40"/>
      <c r="AW76" s="40"/>
      <c r="AX76" s="40"/>
      <c r="AY76" s="40"/>
      <c r="AZ76" s="40"/>
      <c r="BA76" s="40">
        <f>+AR76+AS76+AU76+AW76+AY76+AZ76</f>
        <v>0</v>
      </c>
      <c r="BB76" s="36"/>
      <c r="BC76" s="515"/>
      <c r="BD76" s="515"/>
      <c r="BE76" s="36"/>
      <c r="BF76" s="515"/>
    </row>
    <row r="77" spans="1:58" ht="12.95" customHeight="1">
      <c r="A77" s="43"/>
      <c r="B77" s="44"/>
      <c r="C77" s="460"/>
      <c r="D77" s="44"/>
      <c r="E77" s="45"/>
      <c r="F77" s="45"/>
      <c r="G77" s="511"/>
      <c r="H77" s="47"/>
      <c r="I77" s="48"/>
      <c r="J77" s="85"/>
      <c r="K77" s="85"/>
      <c r="L77" s="38"/>
      <c r="M77" s="38"/>
      <c r="N77" s="49"/>
      <c r="O77" s="50"/>
      <c r="P77" s="51"/>
      <c r="Q77" s="50"/>
      <c r="R77" s="512"/>
      <c r="S77" s="512"/>
      <c r="T77" s="40"/>
      <c r="U77" s="40"/>
      <c r="V77" s="40"/>
      <c r="W77" s="40"/>
      <c r="X77" s="41"/>
      <c r="Y77" s="214"/>
      <c r="Z77" s="40"/>
      <c r="AA77" s="40"/>
      <c r="AB77" s="40"/>
      <c r="AC77" s="40"/>
      <c r="AD77" s="40"/>
      <c r="AE77" s="233"/>
      <c r="AF77" s="36"/>
      <c r="AG77" s="36"/>
      <c r="AH77" s="36"/>
      <c r="AI77" s="514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36"/>
      <c r="BC77" s="515"/>
      <c r="BD77" s="515"/>
      <c r="BE77" s="36"/>
      <c r="BF77" s="515"/>
    </row>
    <row r="78" spans="1:58" ht="12.95" customHeight="1">
      <c r="A78" s="43">
        <v>45885</v>
      </c>
      <c r="B78" s="44" t="s">
        <v>445</v>
      </c>
      <c r="C78" s="460">
        <f>(M78*E78*O78*Q78)/100000000</f>
        <v>52.015104000000001</v>
      </c>
      <c r="D78" s="44" t="s">
        <v>491</v>
      </c>
      <c r="E78" s="45">
        <v>16</v>
      </c>
      <c r="F78" s="45">
        <v>1</v>
      </c>
      <c r="G78" s="511">
        <v>830</v>
      </c>
      <c r="H78" s="47">
        <v>0.15</v>
      </c>
      <c r="I78" s="48">
        <v>0.88</v>
      </c>
      <c r="J78" s="85">
        <f>E78*G78*(1-H78)*1440/1000000*3.4</f>
        <v>55.266047999999998</v>
      </c>
      <c r="K78" s="85">
        <f>(IF(G78&lt;L78,L78,G78)*(1-IF(H78&lt;N78,H78,N78))*E78*O78*Q78)/100000000</f>
        <v>52.015104000000001</v>
      </c>
      <c r="L78" s="38">
        <v>830</v>
      </c>
      <c r="M78" s="38">
        <v>705.5</v>
      </c>
      <c r="N78" s="49">
        <f>1-(M78/L78)</f>
        <v>0.15000000000000002</v>
      </c>
      <c r="O78" s="50">
        <f>+'Trim Rwd'!H59</f>
        <v>320</v>
      </c>
      <c r="P78" s="51">
        <f>O78*(Q78-R78-S78)</f>
        <v>446400</v>
      </c>
      <c r="Q78" s="50">
        <v>1440</v>
      </c>
      <c r="R78" s="512">
        <v>0</v>
      </c>
      <c r="S78" s="512">
        <v>45</v>
      </c>
      <c r="T78" s="40">
        <f>E78*M78*O78*Q78/100000000</f>
        <v>52.015104000000001</v>
      </c>
      <c r="U78" s="40">
        <f>E78*M78*O78*(Q78-R78-S78)/100000000</f>
        <v>50.389631999999999</v>
      </c>
      <c r="V78" s="40">
        <f>E78*G78*(1-N78)*O78/100*(R78+S78)/1000000</f>
        <v>1.625472</v>
      </c>
      <c r="W78" s="40">
        <f>+'16'!K34/1000</f>
        <v>48.912999999999997</v>
      </c>
      <c r="X78" s="513">
        <f>SUM(W78:W81)/SUM(K78:K81)</f>
        <v>0.9403614765434285</v>
      </c>
      <c r="Y78" s="214">
        <v>0</v>
      </c>
      <c r="Z78" s="40">
        <f>+'16'!D34/1000</f>
        <v>0.06</v>
      </c>
      <c r="AA78" s="52">
        <f>SUM(U78:U81)-SUM(W78:W81)-SUM(Z78:Z81)-SUM(Y78:Y81)</f>
        <v>1.4166320000000021</v>
      </c>
      <c r="AB78" s="52">
        <f>(SUM(K78:K81)-SUM(W78:W81)-SUM(Y78:Y81)-SUM(Z78:Z81)-SUM(AC78:AC81)-SUM(V78:V81))-AA78</f>
        <v>1.9984014443252818E-15</v>
      </c>
      <c r="AC78" s="40">
        <f>K78-T78</f>
        <v>0</v>
      </c>
      <c r="AD78" s="40">
        <f>+AM78+BA78</f>
        <v>5</v>
      </c>
      <c r="AE78" s="233" t="s">
        <v>436</v>
      </c>
      <c r="AF78" s="40">
        <v>5</v>
      </c>
      <c r="AG78" s="40"/>
      <c r="AH78" s="40"/>
      <c r="AI78" s="514"/>
      <c r="AJ78" s="40"/>
      <c r="AK78" s="40"/>
      <c r="AL78" s="40"/>
      <c r="AM78" s="40">
        <f>SUM(AF78:AL78)+AT78+AV78+AX78</f>
        <v>5</v>
      </c>
      <c r="AN78" s="40"/>
      <c r="AO78" s="40"/>
      <c r="AP78" s="40"/>
      <c r="AQ78" s="40"/>
      <c r="AR78" s="40">
        <f>SUM(AN78:AQ78)</f>
        <v>0</v>
      </c>
      <c r="AS78" s="40"/>
      <c r="AT78" s="40"/>
      <c r="AU78" s="40"/>
      <c r="AV78" s="40"/>
      <c r="AW78" s="40"/>
      <c r="AX78" s="40"/>
      <c r="AY78" s="40"/>
      <c r="AZ78" s="40"/>
      <c r="BA78" s="40">
        <f>+AR78+AS78+AU78+AW78+AY78+AZ78</f>
        <v>0</v>
      </c>
      <c r="BB78" s="36">
        <v>2</v>
      </c>
      <c r="BC78" s="54"/>
      <c r="BD78" s="54"/>
      <c r="BE78" s="36"/>
      <c r="BF78" s="54"/>
    </row>
    <row r="79" spans="1:58" ht="12.95" customHeight="1">
      <c r="A79" s="43"/>
      <c r="B79" s="44"/>
      <c r="C79" s="460"/>
      <c r="D79" s="44"/>
      <c r="E79" s="45"/>
      <c r="F79" s="45"/>
      <c r="G79" s="511"/>
      <c r="H79" s="47"/>
      <c r="I79" s="48"/>
      <c r="J79" s="85"/>
      <c r="K79" s="85"/>
      <c r="L79" s="38"/>
      <c r="M79" s="38"/>
      <c r="N79" s="49"/>
      <c r="O79" s="50"/>
      <c r="P79" s="51"/>
      <c r="Q79" s="50"/>
      <c r="R79" s="512"/>
      <c r="S79" s="512"/>
      <c r="T79" s="40"/>
      <c r="U79" s="40"/>
      <c r="V79" s="40"/>
      <c r="W79" s="40"/>
      <c r="X79" s="41"/>
      <c r="Y79" s="214"/>
      <c r="Z79" s="40"/>
      <c r="AA79" s="40"/>
      <c r="AB79" s="40"/>
      <c r="AC79" s="40"/>
      <c r="AD79" s="40">
        <f>+AM79+BA79</f>
        <v>13</v>
      </c>
      <c r="AE79" s="233" t="s">
        <v>390</v>
      </c>
      <c r="AF79" s="40"/>
      <c r="AG79" s="40">
        <v>13</v>
      </c>
      <c r="AH79" s="40"/>
      <c r="AI79" s="514"/>
      <c r="AJ79" s="40"/>
      <c r="AK79" s="40"/>
      <c r="AL79" s="40"/>
      <c r="AM79" s="40">
        <f>SUM(AF79:AL79)+AT79+AV79+AX79</f>
        <v>13</v>
      </c>
      <c r="AN79" s="86"/>
      <c r="AO79" s="40"/>
      <c r="AP79" s="40"/>
      <c r="AQ79" s="40"/>
      <c r="AR79" s="40">
        <f>SUM(AN79:AQ79)</f>
        <v>0</v>
      </c>
      <c r="AS79" s="40"/>
      <c r="AT79" s="40"/>
      <c r="AU79" s="40"/>
      <c r="AV79" s="40"/>
      <c r="AW79" s="40"/>
      <c r="AX79" s="40"/>
      <c r="AY79" s="40"/>
      <c r="AZ79" s="40"/>
      <c r="BA79" s="40">
        <f>+AR79+AS79+AU79+AW79+AY79+AZ79</f>
        <v>0</v>
      </c>
      <c r="BB79" s="53"/>
      <c r="BC79" s="54">
        <v>3</v>
      </c>
      <c r="BD79" s="54"/>
      <c r="BE79" s="53"/>
      <c r="BF79" s="54"/>
    </row>
    <row r="80" spans="1:58" ht="12.95" customHeight="1">
      <c r="A80" s="43"/>
      <c r="B80" s="44"/>
      <c r="C80" s="460"/>
      <c r="D80" s="44"/>
      <c r="E80" s="45"/>
      <c r="F80" s="45"/>
      <c r="G80" s="511"/>
      <c r="H80" s="47"/>
      <c r="I80" s="48"/>
      <c r="J80" s="85"/>
      <c r="K80" s="85"/>
      <c r="L80" s="38"/>
      <c r="M80" s="38"/>
      <c r="N80" s="49"/>
      <c r="O80" s="50"/>
      <c r="P80" s="51"/>
      <c r="Q80" s="50"/>
      <c r="R80" s="512"/>
      <c r="S80" s="512"/>
      <c r="T80" s="40"/>
      <c r="U80" s="40"/>
      <c r="V80" s="40"/>
      <c r="W80" s="40"/>
      <c r="X80" s="41"/>
      <c r="Y80" s="214"/>
      <c r="Z80" s="40"/>
      <c r="AA80" s="40"/>
      <c r="AB80" s="40"/>
      <c r="AC80" s="40"/>
      <c r="AD80" s="40">
        <f>+AM80+BA80</f>
        <v>27</v>
      </c>
      <c r="AE80" s="233" t="s">
        <v>226</v>
      </c>
      <c r="AF80" s="36"/>
      <c r="AG80" s="36"/>
      <c r="AH80" s="36">
        <v>27</v>
      </c>
      <c r="AI80" s="514"/>
      <c r="AJ80" s="40"/>
      <c r="AK80" s="40"/>
      <c r="AL80" s="40"/>
      <c r="AM80" s="40">
        <f>SUM(AF80:AL80)+AT80+AV80+AX80</f>
        <v>27</v>
      </c>
      <c r="AN80" s="40"/>
      <c r="AO80" s="40"/>
      <c r="AP80" s="40"/>
      <c r="AQ80" s="40"/>
      <c r="AR80" s="40">
        <f>SUM(AN80:AQ80)</f>
        <v>0</v>
      </c>
      <c r="AS80" s="40"/>
      <c r="AT80" s="40"/>
      <c r="AU80" s="40"/>
      <c r="AV80" s="40"/>
      <c r="AW80" s="40"/>
      <c r="AX80" s="40"/>
      <c r="AY80" s="40"/>
      <c r="AZ80" s="40"/>
      <c r="BA80" s="40">
        <f>+AR80+AS80+AU80+AW80+AY80+AZ80</f>
        <v>0</v>
      </c>
      <c r="BB80" s="36"/>
      <c r="BC80" s="515"/>
      <c r="BD80" s="515"/>
      <c r="BE80" s="36"/>
      <c r="BF80" s="515"/>
    </row>
    <row r="81" spans="1:58" ht="12.95" customHeight="1">
      <c r="A81" s="43"/>
      <c r="B81" s="44"/>
      <c r="C81" s="460"/>
      <c r="D81" s="44"/>
      <c r="E81" s="45"/>
      <c r="F81" s="45"/>
      <c r="G81" s="511"/>
      <c r="H81" s="47"/>
      <c r="I81" s="48"/>
      <c r="J81" s="85"/>
      <c r="K81" s="85"/>
      <c r="L81" s="38"/>
      <c r="M81" s="38"/>
      <c r="N81" s="49"/>
      <c r="O81" s="50"/>
      <c r="P81" s="51"/>
      <c r="Q81" s="50"/>
      <c r="R81" s="512"/>
      <c r="S81" s="512"/>
      <c r="T81" s="40"/>
      <c r="U81" s="40"/>
      <c r="V81" s="40"/>
      <c r="W81" s="40"/>
      <c r="X81" s="41"/>
      <c r="Y81" s="214"/>
      <c r="Z81" s="40"/>
      <c r="AA81" s="40"/>
      <c r="AB81" s="40"/>
      <c r="AC81" s="40"/>
      <c r="AD81" s="40"/>
      <c r="AE81" s="233"/>
      <c r="AF81" s="36"/>
      <c r="AG81" s="36"/>
      <c r="AH81" s="36"/>
      <c r="AI81" s="514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36"/>
      <c r="BC81" s="515"/>
      <c r="BD81" s="515"/>
      <c r="BE81" s="36"/>
      <c r="BF81" s="515"/>
    </row>
    <row r="82" spans="1:58" ht="12.95" customHeight="1">
      <c r="A82" s="43">
        <v>45886</v>
      </c>
      <c r="B82" s="44" t="s">
        <v>445</v>
      </c>
      <c r="C82" s="460">
        <f>(M82*E82*O82*Q82)/100000000</f>
        <v>52.015104000000001</v>
      </c>
      <c r="D82" s="44" t="s">
        <v>491</v>
      </c>
      <c r="E82" s="45">
        <v>16</v>
      </c>
      <c r="F82" s="45">
        <v>1</v>
      </c>
      <c r="G82" s="511">
        <v>830</v>
      </c>
      <c r="H82" s="47">
        <v>0.15</v>
      </c>
      <c r="I82" s="48">
        <v>0.88</v>
      </c>
      <c r="J82" s="85">
        <f>E82*G82*(1-H82)*1440/1000000*3.4</f>
        <v>55.266047999999998</v>
      </c>
      <c r="K82" s="85">
        <f>(IF(G82&lt;L82,L82,G82)*(1-IF(H82&lt;N82,H82,N82))*E82*O82*Q82)/100000000</f>
        <v>52.015104000000001</v>
      </c>
      <c r="L82" s="38">
        <v>830</v>
      </c>
      <c r="M82" s="38">
        <v>705.5</v>
      </c>
      <c r="N82" s="49">
        <f>1-(M82/L82)</f>
        <v>0.15000000000000002</v>
      </c>
      <c r="O82" s="50">
        <f>+'Trim Rwd'!H61</f>
        <v>320</v>
      </c>
      <c r="P82" s="51">
        <f>O82*(Q82-R82-S82)</f>
        <v>443200</v>
      </c>
      <c r="Q82" s="50">
        <v>1440</v>
      </c>
      <c r="R82" s="512">
        <v>0</v>
      </c>
      <c r="S82" s="512">
        <v>55</v>
      </c>
      <c r="T82" s="40">
        <f>E82*M82*O82*Q82/100000000</f>
        <v>52.015104000000001</v>
      </c>
      <c r="U82" s="40">
        <f>E82*M82*O82*(Q82-R82-S82)/100000000</f>
        <v>50.028416</v>
      </c>
      <c r="V82" s="40">
        <f>E82*G82*(1-N82)*O82/100*(R82+S82)/1000000</f>
        <v>1.986688</v>
      </c>
      <c r="W82" s="40">
        <f>+'17'!K34/1000</f>
        <v>49.252000000000002</v>
      </c>
      <c r="X82" s="513">
        <f>SUM(W82:W85)/SUM(K82:K85)</f>
        <v>0.94687881427671472</v>
      </c>
      <c r="Y82" s="214">
        <v>0</v>
      </c>
      <c r="Z82" s="40">
        <f>+'17'!D34/1000</f>
        <v>0.64</v>
      </c>
      <c r="AA82" s="52">
        <f>SUM(U82:U85)-SUM(W82:W85)-SUM(Z82:Z85)-SUM(Y82:Y85)</f>
        <v>0.13641599999999754</v>
      </c>
      <c r="AB82" s="52">
        <f>(SUM(K82:K85)-SUM(W82:W85)-SUM(Y82:Y85)-SUM(Z82:Z85)-SUM(AC82:AC85)-SUM(V82:V85))-AA82</f>
        <v>7.7715611723760958E-16</v>
      </c>
      <c r="AC82" s="40">
        <f>K82-T82</f>
        <v>0</v>
      </c>
      <c r="AD82" s="40">
        <f>+AM82+BA82</f>
        <v>7</v>
      </c>
      <c r="AE82" s="233" t="s">
        <v>436</v>
      </c>
      <c r="AF82" s="40">
        <v>7</v>
      </c>
      <c r="AG82" s="40"/>
      <c r="AH82" s="40"/>
      <c r="AI82" s="514"/>
      <c r="AJ82" s="40"/>
      <c r="AK82" s="40"/>
      <c r="AL82" s="40"/>
      <c r="AM82" s="40">
        <f>SUM(AF82:AL82)+AT82+AV82+AX82</f>
        <v>7</v>
      </c>
      <c r="AN82" s="40"/>
      <c r="AO82" s="40"/>
      <c r="AP82" s="40"/>
      <c r="AQ82" s="40"/>
      <c r="AR82" s="40">
        <f>SUM(AN82:AQ82)</f>
        <v>0</v>
      </c>
      <c r="AS82" s="40"/>
      <c r="AT82" s="40"/>
      <c r="AU82" s="40"/>
      <c r="AV82" s="40"/>
      <c r="AW82" s="40"/>
      <c r="AX82" s="40"/>
      <c r="AY82" s="40"/>
      <c r="AZ82" s="40"/>
      <c r="BA82" s="40">
        <f>+AR82+AS82+AU82+AW82+AY82+AZ82</f>
        <v>0</v>
      </c>
      <c r="BB82" s="36">
        <v>2</v>
      </c>
      <c r="BC82" s="54"/>
      <c r="BD82" s="54"/>
      <c r="BE82" s="36"/>
      <c r="BF82" s="54"/>
    </row>
    <row r="83" spans="1:58" ht="12.95" customHeight="1">
      <c r="A83" s="43"/>
      <c r="B83" s="44"/>
      <c r="C83" s="460"/>
      <c r="D83" s="44"/>
      <c r="E83" s="45"/>
      <c r="F83" s="45"/>
      <c r="G83" s="511"/>
      <c r="H83" s="47"/>
      <c r="I83" s="48"/>
      <c r="J83" s="85"/>
      <c r="K83" s="85"/>
      <c r="L83" s="38"/>
      <c r="M83" s="38"/>
      <c r="N83" s="49"/>
      <c r="O83" s="50"/>
      <c r="P83" s="51"/>
      <c r="Q83" s="50"/>
      <c r="R83" s="512"/>
      <c r="S83" s="512"/>
      <c r="T83" s="40"/>
      <c r="U83" s="40"/>
      <c r="V83" s="40"/>
      <c r="W83" s="40"/>
      <c r="X83" s="41"/>
      <c r="Y83" s="214"/>
      <c r="Z83" s="40"/>
      <c r="AA83" s="40"/>
      <c r="AB83" s="40"/>
      <c r="AC83" s="40"/>
      <c r="AD83" s="40">
        <f>+AM83+BA83</f>
        <v>12</v>
      </c>
      <c r="AE83" s="233" t="s">
        <v>527</v>
      </c>
      <c r="AF83" s="40"/>
      <c r="AG83" s="40">
        <v>12</v>
      </c>
      <c r="AH83" s="40"/>
      <c r="AI83" s="514"/>
      <c r="AJ83" s="40"/>
      <c r="AK83" s="40"/>
      <c r="AL83" s="40"/>
      <c r="AM83" s="40">
        <f>SUM(AF83:AL83)+AT83+AV83+AX83</f>
        <v>12</v>
      </c>
      <c r="AN83" s="86"/>
      <c r="AO83" s="40"/>
      <c r="AP83" s="40"/>
      <c r="AQ83" s="40"/>
      <c r="AR83" s="40">
        <f>SUM(AN83:AQ83)</f>
        <v>0</v>
      </c>
      <c r="AS83" s="40"/>
      <c r="AT83" s="40"/>
      <c r="AU83" s="40"/>
      <c r="AV83" s="40"/>
      <c r="AW83" s="40"/>
      <c r="AX83" s="40"/>
      <c r="AY83" s="40"/>
      <c r="AZ83" s="40"/>
      <c r="BA83" s="40">
        <f>+AR83+AS83+AU83+AW83+AY83+AZ83</f>
        <v>0</v>
      </c>
      <c r="BB83" s="53"/>
      <c r="BC83" s="54">
        <v>4</v>
      </c>
      <c r="BD83" s="54"/>
      <c r="BE83" s="53"/>
      <c r="BF83" s="54"/>
    </row>
    <row r="84" spans="1:58" ht="12.95" customHeight="1">
      <c r="A84" s="43"/>
      <c r="B84" s="44"/>
      <c r="C84" s="460"/>
      <c r="D84" s="44"/>
      <c r="E84" s="45"/>
      <c r="F84" s="45"/>
      <c r="G84" s="511"/>
      <c r="H84" s="47"/>
      <c r="I84" s="48"/>
      <c r="J84" s="85"/>
      <c r="K84" s="85"/>
      <c r="L84" s="38"/>
      <c r="M84" s="38"/>
      <c r="N84" s="49"/>
      <c r="O84" s="50"/>
      <c r="P84" s="51"/>
      <c r="Q84" s="50"/>
      <c r="R84" s="512"/>
      <c r="S84" s="512"/>
      <c r="T84" s="40"/>
      <c r="U84" s="40"/>
      <c r="V84" s="40"/>
      <c r="W84" s="40"/>
      <c r="X84" s="41"/>
      <c r="Y84" s="214"/>
      <c r="Z84" s="40"/>
      <c r="AA84" s="40"/>
      <c r="AB84" s="40"/>
      <c r="AC84" s="40"/>
      <c r="AD84" s="40">
        <f>+AM84+BA84</f>
        <v>21</v>
      </c>
      <c r="AE84" s="233" t="s">
        <v>226</v>
      </c>
      <c r="AF84" s="36"/>
      <c r="AG84" s="36"/>
      <c r="AH84" s="36">
        <v>21</v>
      </c>
      <c r="AI84" s="514"/>
      <c r="AJ84" s="40"/>
      <c r="AK84" s="40"/>
      <c r="AL84" s="40"/>
      <c r="AM84" s="40">
        <f>SUM(AF84:AL84)+AT84+AV84+AX84</f>
        <v>21</v>
      </c>
      <c r="AN84" s="40"/>
      <c r="AO84" s="40"/>
      <c r="AP84" s="40"/>
      <c r="AQ84" s="40"/>
      <c r="AR84" s="40">
        <f>SUM(AN84:AQ84)</f>
        <v>0</v>
      </c>
      <c r="AS84" s="40"/>
      <c r="AT84" s="40"/>
      <c r="AU84" s="40"/>
      <c r="AV84" s="40"/>
      <c r="AW84" s="40"/>
      <c r="AX84" s="40"/>
      <c r="AY84" s="40"/>
      <c r="AZ84" s="40"/>
      <c r="BA84" s="40">
        <f>+AR84+AS84+AU84+AW84+AY84+AZ84</f>
        <v>0</v>
      </c>
      <c r="BB84" s="36"/>
      <c r="BC84" s="515"/>
      <c r="BD84" s="515"/>
      <c r="BE84" s="36"/>
      <c r="BF84" s="515"/>
    </row>
    <row r="85" spans="1:58" ht="12.95" customHeight="1">
      <c r="A85" s="43"/>
      <c r="B85" s="44"/>
      <c r="C85" s="460"/>
      <c r="D85" s="44"/>
      <c r="E85" s="45"/>
      <c r="F85" s="45"/>
      <c r="G85" s="511"/>
      <c r="H85" s="47"/>
      <c r="I85" s="48"/>
      <c r="J85" s="85"/>
      <c r="K85" s="85"/>
      <c r="L85" s="38"/>
      <c r="M85" s="38"/>
      <c r="N85" s="49"/>
      <c r="O85" s="50"/>
      <c r="P85" s="51"/>
      <c r="Q85" s="50"/>
      <c r="R85" s="512"/>
      <c r="S85" s="512"/>
      <c r="T85" s="40"/>
      <c r="U85" s="40"/>
      <c r="V85" s="40"/>
      <c r="W85" s="40"/>
      <c r="X85" s="41"/>
      <c r="Y85" s="214"/>
      <c r="Z85" s="40"/>
      <c r="AA85" s="40"/>
      <c r="AB85" s="40"/>
      <c r="AC85" s="40"/>
      <c r="AD85" s="40">
        <f>+AM85+BA85</f>
        <v>15</v>
      </c>
      <c r="AE85" s="236" t="s">
        <v>610</v>
      </c>
      <c r="AF85" s="36"/>
      <c r="AG85" s="36"/>
      <c r="AH85" s="36"/>
      <c r="AI85" s="514">
        <v>15</v>
      </c>
      <c r="AJ85" s="40"/>
      <c r="AK85" s="40"/>
      <c r="AL85" s="40"/>
      <c r="AM85" s="40">
        <f>SUM(AF85:AL85)+AT85+AV85+AX85</f>
        <v>15</v>
      </c>
      <c r="AN85" s="40"/>
      <c r="AO85" s="40"/>
      <c r="AP85" s="40"/>
      <c r="AQ85" s="40"/>
      <c r="AR85" s="40">
        <f>SUM(AN85:AQ85)</f>
        <v>0</v>
      </c>
      <c r="AS85" s="40"/>
      <c r="AT85" s="40"/>
      <c r="AU85" s="40"/>
      <c r="AV85" s="40"/>
      <c r="AW85" s="40"/>
      <c r="AX85" s="40"/>
      <c r="AY85" s="40"/>
      <c r="AZ85" s="40"/>
      <c r="BA85" s="40">
        <f>+AR85+AS85+AU85+AW85+AY85+AZ85</f>
        <v>0</v>
      </c>
      <c r="BB85" s="36"/>
      <c r="BC85" s="515"/>
      <c r="BD85" s="515"/>
      <c r="BE85" s="36"/>
      <c r="BF85" s="515"/>
    </row>
    <row r="86" spans="1:58" ht="12.95" customHeight="1">
      <c r="A86" s="43"/>
      <c r="B86" s="44"/>
      <c r="C86" s="460"/>
      <c r="D86" s="44"/>
      <c r="E86" s="45"/>
      <c r="F86" s="45"/>
      <c r="G86" s="601"/>
      <c r="H86" s="602"/>
      <c r="I86" s="48"/>
      <c r="J86" s="85"/>
      <c r="K86" s="85"/>
      <c r="L86" s="38"/>
      <c r="M86" s="38"/>
      <c r="N86" s="49"/>
      <c r="O86" s="50"/>
      <c r="P86" s="51"/>
      <c r="Q86" s="50"/>
      <c r="R86" s="512"/>
      <c r="S86" s="512"/>
      <c r="T86" s="40"/>
      <c r="U86" s="40"/>
      <c r="V86" s="40"/>
      <c r="W86" s="40"/>
      <c r="X86" s="513"/>
      <c r="Y86" s="214"/>
      <c r="Z86" s="40"/>
      <c r="AA86" s="52"/>
      <c r="AB86" s="52"/>
      <c r="AC86" s="40"/>
      <c r="AD86" s="40"/>
      <c r="AE86" s="233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36"/>
      <c r="BC86" s="54"/>
      <c r="BD86" s="54"/>
      <c r="BE86" s="54"/>
      <c r="BF86" s="54"/>
    </row>
    <row r="87" spans="1:58" ht="12.95" customHeight="1">
      <c r="A87" s="43">
        <v>45887</v>
      </c>
      <c r="B87" s="44" t="s">
        <v>445</v>
      </c>
      <c r="C87" s="460">
        <f>(M87*E87*O87*Q87)/100000000</f>
        <v>24.231385199999998</v>
      </c>
      <c r="D87" s="44" t="s">
        <v>491</v>
      </c>
      <c r="E87" s="45">
        <v>16</v>
      </c>
      <c r="F87" s="45">
        <v>1</v>
      </c>
      <c r="G87" s="511">
        <v>830</v>
      </c>
      <c r="H87" s="47">
        <v>0.15</v>
      </c>
      <c r="I87" s="48">
        <v>0.88</v>
      </c>
      <c r="J87" s="85">
        <f>E87*G87*(1-H87)*1440/1000000*3.4</f>
        <v>55.266047999999998</v>
      </c>
      <c r="K87" s="85">
        <f>(IF(G87&lt;L87,L87,G87)*(1-IF(H87&lt;N87,H87,N87))*E87*O87*Q87)/100000000</f>
        <v>24.231385199999998</v>
      </c>
      <c r="L87" s="38">
        <v>830</v>
      </c>
      <c r="M87" s="38">
        <v>705.5</v>
      </c>
      <c r="N87" s="49">
        <f>1-(M87/L87)</f>
        <v>0.15000000000000002</v>
      </c>
      <c r="O87" s="50">
        <f>+'Trim Rwd'!H63</f>
        <v>325.25</v>
      </c>
      <c r="P87" s="51">
        <f>O87*(Q87-R87-S87)</f>
        <v>207184.25</v>
      </c>
      <c r="Q87" s="50">
        <v>660</v>
      </c>
      <c r="R87" s="512">
        <v>0</v>
      </c>
      <c r="S87" s="512">
        <v>23</v>
      </c>
      <c r="T87" s="40">
        <f>E87*M87*O87*Q87/100000000</f>
        <v>24.231385199999998</v>
      </c>
      <c r="U87" s="40">
        <f>E87*M87*O87*(Q87-R87-S87)/100000000</f>
        <v>23.386958140000001</v>
      </c>
      <c r="V87" s="40">
        <f>E87*G87*(1-N87)*O87/100*(R87+S87)/1000000</f>
        <v>0.84442706000000001</v>
      </c>
      <c r="W87" s="40">
        <f>+'18'!K17/1000</f>
        <v>26.048999999999999</v>
      </c>
      <c r="X87" s="513">
        <f>SUM(W87:W90)/SUM(K87:K90)</f>
        <v>0.93131339103461508</v>
      </c>
      <c r="Y87" s="214">
        <v>0</v>
      </c>
      <c r="Z87" s="40">
        <f>+'18'!D7/1000</f>
        <v>0.66</v>
      </c>
      <c r="AA87" s="52">
        <f>SUM(U87:U90)-SUM(W87:W90)-SUM(Z87:Z90)-SUM(Y87:Y90)</f>
        <v>1.514091515999997</v>
      </c>
      <c r="AB87" s="52">
        <f>(SUM(K87:K90)-SUM(W87:W90)-SUM(Y87:Y90)-SUM(Z87:Z90)-SUM(AC87:AC90)-SUM(V87:V90))-AA87</f>
        <v>0</v>
      </c>
      <c r="AC87" s="40">
        <f>K87-T87</f>
        <v>0</v>
      </c>
      <c r="AD87" s="40">
        <f>+AM87+BA87</f>
        <v>11</v>
      </c>
      <c r="AE87" s="233" t="s">
        <v>523</v>
      </c>
      <c r="AF87" s="40">
        <v>11</v>
      </c>
      <c r="AG87" s="40"/>
      <c r="AH87" s="40"/>
      <c r="AI87" s="514"/>
      <c r="AJ87" s="40"/>
      <c r="AK87" s="40"/>
      <c r="AL87" s="40"/>
      <c r="AM87" s="40">
        <f>SUM(AF87:AL87)+AT87+AV87+AX87</f>
        <v>11</v>
      </c>
      <c r="AN87" s="40"/>
      <c r="AO87" s="40"/>
      <c r="AP87" s="40"/>
      <c r="AQ87" s="40"/>
      <c r="AR87" s="40">
        <f>SUM(AN87:AQ87)</f>
        <v>0</v>
      </c>
      <c r="AS87" s="40"/>
      <c r="AT87" s="40"/>
      <c r="AU87" s="40"/>
      <c r="AV87" s="40"/>
      <c r="AW87" s="40"/>
      <c r="AX87" s="40"/>
      <c r="AY87" s="40"/>
      <c r="AZ87" s="40"/>
      <c r="BA87" s="40">
        <f>+AR87+AS87+AU87+AW87+AY87+AZ87</f>
        <v>0</v>
      </c>
      <c r="BB87" s="36">
        <v>3</v>
      </c>
      <c r="BC87" s="54"/>
      <c r="BD87" s="54"/>
      <c r="BE87" s="36"/>
      <c r="BF87" s="54"/>
    </row>
    <row r="88" spans="1:58" ht="12.95" customHeight="1">
      <c r="A88" s="43"/>
      <c r="B88" s="44" t="s">
        <v>8</v>
      </c>
      <c r="C88" s="460">
        <f>(M88*E88*O88*Q88)/100000000</f>
        <v>42.979073280000001</v>
      </c>
      <c r="D88" s="44" t="s">
        <v>491</v>
      </c>
      <c r="E88" s="45">
        <v>23</v>
      </c>
      <c r="F88" s="45">
        <v>1</v>
      </c>
      <c r="G88" s="511">
        <v>830</v>
      </c>
      <c r="H88" s="47">
        <v>0.12</v>
      </c>
      <c r="I88" s="48">
        <v>0.88</v>
      </c>
      <c r="J88" s="85">
        <f>E88*G88*(1-H88)*1440/1000000*3.4</f>
        <v>82.248883199999995</v>
      </c>
      <c r="K88" s="85">
        <f>(IF(G88&lt;L88,L88,G88)*(1-IF(H88&lt;N88,H88,N88))*E88*O88*Q88)/100000000</f>
        <v>42.979073280000001</v>
      </c>
      <c r="L88" s="38">
        <v>830</v>
      </c>
      <c r="M88" s="38">
        <v>730.4</v>
      </c>
      <c r="N88" s="49">
        <f>1-(M88/L88)</f>
        <v>0.12</v>
      </c>
      <c r="O88" s="50">
        <f>+'Trim Rwd'!H65</f>
        <v>328</v>
      </c>
      <c r="P88" s="51">
        <f>O88*(Q88-R88-S88)</f>
        <v>246328</v>
      </c>
      <c r="Q88" s="50">
        <v>780</v>
      </c>
      <c r="R88" s="512">
        <v>0</v>
      </c>
      <c r="S88" s="512">
        <v>29</v>
      </c>
      <c r="T88" s="40">
        <f>E88*M88*O88*Q88/100000000</f>
        <v>42.979073280000001</v>
      </c>
      <c r="U88" s="40">
        <f>E88*M88*O88*(Q88-R88-S88)/100000000</f>
        <v>41.381133376000001</v>
      </c>
      <c r="V88" s="40">
        <f>E88*G88*(1-N88)*O88/100*(R88+S88)/1000000</f>
        <v>1.5979399040000002</v>
      </c>
      <c r="W88" s="40">
        <f>+'18'!K21/1000</f>
        <v>36.545000000000002</v>
      </c>
      <c r="X88" s="41"/>
      <c r="Y88" s="214"/>
      <c r="Z88" s="40"/>
      <c r="AA88" s="40"/>
      <c r="AB88" s="40"/>
      <c r="AC88" s="40">
        <f>K88-T88</f>
        <v>0</v>
      </c>
      <c r="AD88" s="40">
        <f>+AM88+BA88</f>
        <v>17</v>
      </c>
      <c r="AE88" s="233" t="s">
        <v>527</v>
      </c>
      <c r="AF88" s="40"/>
      <c r="AG88" s="40">
        <v>17</v>
      </c>
      <c r="AH88" s="40"/>
      <c r="AI88" s="514"/>
      <c r="AJ88" s="40"/>
      <c r="AK88" s="40"/>
      <c r="AL88" s="40"/>
      <c r="AM88" s="40">
        <f>SUM(AF88:AL88)+AT88+AV88+AX88</f>
        <v>17</v>
      </c>
      <c r="AN88" s="86"/>
      <c r="AO88" s="40"/>
      <c r="AP88" s="40"/>
      <c r="AQ88" s="40"/>
      <c r="AR88" s="40">
        <f>SUM(AN88:AQ88)</f>
        <v>0</v>
      </c>
      <c r="AS88" s="40"/>
      <c r="AT88" s="40"/>
      <c r="AU88" s="40"/>
      <c r="AV88" s="40"/>
      <c r="AW88" s="40"/>
      <c r="AX88" s="40"/>
      <c r="AY88" s="40"/>
      <c r="AZ88" s="40"/>
      <c r="BA88" s="40">
        <f>+AR88+AS88+AU88+AW88+AY88+AZ88</f>
        <v>0</v>
      </c>
      <c r="BB88" s="53"/>
      <c r="BC88" s="54">
        <v>4</v>
      </c>
      <c r="BD88" s="54"/>
      <c r="BE88" s="53"/>
      <c r="BF88" s="54"/>
    </row>
    <row r="89" spans="1:58" ht="12.95" customHeight="1">
      <c r="A89" s="43"/>
      <c r="B89" s="44"/>
      <c r="C89" s="460"/>
      <c r="D89" s="44"/>
      <c r="E89" s="45"/>
      <c r="F89" s="45"/>
      <c r="G89" s="511"/>
      <c r="H89" s="47"/>
      <c r="I89" s="48"/>
      <c r="J89" s="85"/>
      <c r="K89" s="85"/>
      <c r="L89" s="38"/>
      <c r="M89" s="38"/>
      <c r="N89" s="49"/>
      <c r="O89" s="50"/>
      <c r="P89" s="51"/>
      <c r="Q89" s="50"/>
      <c r="R89" s="512"/>
      <c r="S89" s="512"/>
      <c r="T89" s="40"/>
      <c r="U89" s="40"/>
      <c r="V89" s="40"/>
      <c r="W89" s="40"/>
      <c r="X89" s="41"/>
      <c r="Y89" s="214"/>
      <c r="Z89" s="40"/>
      <c r="AA89" s="40"/>
      <c r="AB89" s="40"/>
      <c r="AC89" s="40"/>
      <c r="AD89" s="40">
        <f>+AM89+BA89</f>
        <v>19</v>
      </c>
      <c r="AE89" s="233" t="s">
        <v>226</v>
      </c>
      <c r="AF89" s="36"/>
      <c r="AG89" s="36"/>
      <c r="AH89" s="36">
        <v>19</v>
      </c>
      <c r="AI89" s="514"/>
      <c r="AJ89" s="40"/>
      <c r="AK89" s="40"/>
      <c r="AL89" s="40"/>
      <c r="AM89" s="40">
        <f>SUM(AF89:AL89)+AT89+AV89+AX89</f>
        <v>19</v>
      </c>
      <c r="AN89" s="40"/>
      <c r="AO89" s="40"/>
      <c r="AP89" s="40"/>
      <c r="AQ89" s="40"/>
      <c r="AR89" s="40">
        <f>SUM(AN89:AQ89)</f>
        <v>0</v>
      </c>
      <c r="AS89" s="40"/>
      <c r="AT89" s="40"/>
      <c r="AU89" s="40"/>
      <c r="AV89" s="40"/>
      <c r="AW89" s="40"/>
      <c r="AX89" s="40"/>
      <c r="AY89" s="40"/>
      <c r="AZ89" s="40"/>
      <c r="BA89" s="40">
        <f>+AR89+AS89+AU89+AW89+AY89+AZ89</f>
        <v>0</v>
      </c>
      <c r="BB89" s="36"/>
      <c r="BC89" s="515"/>
      <c r="BD89" s="515"/>
      <c r="BE89" s="36"/>
      <c r="BF89" s="515"/>
    </row>
    <row r="90" spans="1:58" ht="12.95" customHeight="1">
      <c r="A90" s="43"/>
      <c r="B90" s="44"/>
      <c r="C90" s="460"/>
      <c r="D90" s="44"/>
      <c r="E90" s="45"/>
      <c r="F90" s="45"/>
      <c r="G90" s="511"/>
      <c r="H90" s="47"/>
      <c r="I90" s="48"/>
      <c r="J90" s="85"/>
      <c r="K90" s="85"/>
      <c r="L90" s="38"/>
      <c r="M90" s="38"/>
      <c r="N90" s="49"/>
      <c r="O90" s="50"/>
      <c r="P90" s="51"/>
      <c r="Q90" s="50"/>
      <c r="R90" s="512"/>
      <c r="S90" s="512"/>
      <c r="T90" s="40"/>
      <c r="U90" s="40"/>
      <c r="V90" s="40"/>
      <c r="W90" s="40"/>
      <c r="X90" s="41"/>
      <c r="Y90" s="214"/>
      <c r="Z90" s="40"/>
      <c r="AA90" s="40"/>
      <c r="AB90" s="40"/>
      <c r="AC90" s="40"/>
      <c r="AD90" s="40">
        <f>+AM90+BA90</f>
        <v>5</v>
      </c>
      <c r="AE90" s="233" t="s">
        <v>577</v>
      </c>
      <c r="AF90" s="36"/>
      <c r="AG90" s="36"/>
      <c r="AH90" s="36"/>
      <c r="AI90" s="514">
        <v>5</v>
      </c>
      <c r="AJ90" s="40"/>
      <c r="AK90" s="40"/>
      <c r="AL90" s="40"/>
      <c r="AM90" s="40">
        <f>SUM(AF90:AL90)+AT90+AV90+AX90</f>
        <v>5</v>
      </c>
      <c r="AN90" s="40"/>
      <c r="AO90" s="40"/>
      <c r="AP90" s="40"/>
      <c r="AQ90" s="40"/>
      <c r="AR90" s="40">
        <f>SUM(AN90:AQ90)</f>
        <v>0</v>
      </c>
      <c r="AS90" s="40"/>
      <c r="AT90" s="40"/>
      <c r="AU90" s="40"/>
      <c r="AV90" s="40"/>
      <c r="AW90" s="40"/>
      <c r="AX90" s="40"/>
      <c r="AY90" s="40"/>
      <c r="AZ90" s="40"/>
      <c r="BA90" s="40">
        <f>+AR90+AS90+AU90+AW90+AY90+AZ90</f>
        <v>0</v>
      </c>
      <c r="BB90" s="36"/>
      <c r="BC90" s="515"/>
      <c r="BD90" s="515"/>
      <c r="BE90" s="36"/>
      <c r="BF90" s="515"/>
    </row>
    <row r="91" spans="1:58" ht="12.95" customHeight="1">
      <c r="A91" s="43"/>
      <c r="B91" s="44"/>
      <c r="C91" s="460"/>
      <c r="D91" s="44"/>
      <c r="E91" s="45"/>
      <c r="F91" s="45"/>
      <c r="G91" s="601"/>
      <c r="H91" s="602"/>
      <c r="I91" s="48"/>
      <c r="J91" s="85"/>
      <c r="K91" s="85"/>
      <c r="L91" s="38"/>
      <c r="M91" s="38"/>
      <c r="N91" s="49"/>
      <c r="O91" s="50"/>
      <c r="P91" s="51"/>
      <c r="Q91" s="50"/>
      <c r="R91" s="512"/>
      <c r="S91" s="512"/>
      <c r="T91" s="40"/>
      <c r="U91" s="40"/>
      <c r="V91" s="40"/>
      <c r="W91" s="40"/>
      <c r="X91" s="41"/>
      <c r="Y91" s="41"/>
      <c r="Z91" s="40"/>
      <c r="AA91" s="52"/>
      <c r="AB91" s="52"/>
      <c r="AC91" s="40"/>
      <c r="AD91" s="40"/>
      <c r="AE91" s="23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36"/>
      <c r="BC91" s="54"/>
      <c r="BD91" s="515"/>
      <c r="BE91" s="36"/>
      <c r="BF91" s="515"/>
    </row>
    <row r="92" spans="1:58" ht="12.95" customHeight="1">
      <c r="A92" s="43">
        <v>45888</v>
      </c>
      <c r="B92" s="44" t="s">
        <v>8</v>
      </c>
      <c r="C92" s="460">
        <f>(M92*E92*O92*Q92)/100000000</f>
        <v>46.285155840000002</v>
      </c>
      <c r="D92" s="44" t="s">
        <v>491</v>
      </c>
      <c r="E92" s="45">
        <v>23</v>
      </c>
      <c r="F92" s="45">
        <v>1</v>
      </c>
      <c r="G92" s="511">
        <v>830</v>
      </c>
      <c r="H92" s="47">
        <v>0.12</v>
      </c>
      <c r="I92" s="48">
        <v>0.88</v>
      </c>
      <c r="J92" s="85">
        <f>E92*G92*(1-H92)*1440/1000000*3.4</f>
        <v>82.248883199999995</v>
      </c>
      <c r="K92" s="85">
        <f>(IF(G92&lt;L92,L92,G92)*(1-IF(H92&lt;N92,H92,N92))*E92*O92*Q92)/100000000</f>
        <v>46.285155840000002</v>
      </c>
      <c r="L92" s="38">
        <v>830</v>
      </c>
      <c r="M92" s="38">
        <v>730.4</v>
      </c>
      <c r="N92" s="49">
        <f>1-(M92/L92)</f>
        <v>0.12</v>
      </c>
      <c r="O92" s="50">
        <f>+'Trim Rwd'!H67</f>
        <v>328</v>
      </c>
      <c r="P92" s="51">
        <f>O92*(Q92-R92-S92)</f>
        <v>270600</v>
      </c>
      <c r="Q92" s="50">
        <v>840</v>
      </c>
      <c r="R92" s="512">
        <v>0</v>
      </c>
      <c r="S92" s="512">
        <v>15</v>
      </c>
      <c r="T92" s="40">
        <f>E92*M92*O92*Q92/100000000</f>
        <v>46.285155840000002</v>
      </c>
      <c r="U92" s="40">
        <f>E92*M92*O92*(Q92-R92-S92)/100000000</f>
        <v>45.458635200000003</v>
      </c>
      <c r="V92" s="40">
        <f>E92*G92*(1-N92)*O92/100*(R92+S92)/1000000</f>
        <v>0.82652064000000003</v>
      </c>
      <c r="W92" s="40">
        <f>+'19'!K21/1000</f>
        <v>48.709000000000003</v>
      </c>
      <c r="X92" s="513">
        <f>SUM(W92:W95)/SUM(K92:K95)</f>
        <v>0.89816664940428381</v>
      </c>
      <c r="Y92" s="214">
        <v>0</v>
      </c>
      <c r="Z92" s="40">
        <v>0</v>
      </c>
      <c r="AA92" s="52">
        <f>SUM(U92:U95)-SUM(W92:W95)-SUM(Z92:Z95)-SUM(Y92:Y95)</f>
        <v>5.0957997200000023</v>
      </c>
      <c r="AB92" s="52">
        <f>(SUM(K92:K95)-SUM(W92:W95)-SUM(Y92:Y95)-SUM(Z92:Z95)-SUM(AC92:AC95)-SUM(V92:V95))-AA92</f>
        <v>0</v>
      </c>
      <c r="AC92" s="40">
        <f>K92-T92</f>
        <v>0</v>
      </c>
      <c r="AD92" s="40">
        <f>+AM92+BA92</f>
        <v>4</v>
      </c>
      <c r="AE92" s="233" t="s">
        <v>436</v>
      </c>
      <c r="AF92" s="40">
        <v>4</v>
      </c>
      <c r="AG92" s="40"/>
      <c r="AH92" s="40"/>
      <c r="AI92" s="514"/>
      <c r="AJ92" s="40"/>
      <c r="AK92" s="40"/>
      <c r="AL92" s="40"/>
      <c r="AM92" s="40">
        <f>SUM(AF92:AL92)+AT92+AV92+AX92</f>
        <v>4</v>
      </c>
      <c r="AN92" s="40"/>
      <c r="AO92" s="40"/>
      <c r="AP92" s="40"/>
      <c r="AQ92" s="40"/>
      <c r="AR92" s="40">
        <f>SUM(AN92:AQ92)</f>
        <v>0</v>
      </c>
      <c r="AS92" s="40"/>
      <c r="AT92" s="40"/>
      <c r="AU92" s="40"/>
      <c r="AV92" s="40"/>
      <c r="AW92" s="40"/>
      <c r="AX92" s="40"/>
      <c r="AY92" s="40"/>
      <c r="AZ92" s="40"/>
      <c r="BA92" s="40">
        <f>+AR92+AS92+AU92+AW92+AY92+AZ92</f>
        <v>0</v>
      </c>
      <c r="BB92" s="36">
        <v>2</v>
      </c>
      <c r="BC92" s="54"/>
      <c r="BD92" s="54"/>
      <c r="BE92" s="36"/>
      <c r="BF92" s="54"/>
    </row>
    <row r="93" spans="1:58" ht="12.95" customHeight="1">
      <c r="A93" s="43"/>
      <c r="B93" s="44" t="s">
        <v>8</v>
      </c>
      <c r="C93" s="460">
        <f>(M93*E93*O93*Q93)/100000000</f>
        <v>22.735443000000004</v>
      </c>
      <c r="D93" s="44" t="s">
        <v>491</v>
      </c>
      <c r="E93" s="45">
        <v>17</v>
      </c>
      <c r="F93" s="45">
        <v>1</v>
      </c>
      <c r="G93" s="511">
        <v>830</v>
      </c>
      <c r="H93" s="47">
        <v>0.18</v>
      </c>
      <c r="I93" s="48">
        <v>0.88</v>
      </c>
      <c r="J93" s="85">
        <f>E93*G93*(1-H93)*1440/1000000*3.4</f>
        <v>56.647699200000005</v>
      </c>
      <c r="K93" s="85">
        <f>(IF(G93&lt;L93,L93,G93)*(1-IF(H93&lt;N93,H93,N93))*E93*O93*Q93)/100000000</f>
        <v>22.735443000000004</v>
      </c>
      <c r="L93" s="38">
        <v>830</v>
      </c>
      <c r="M93" s="38">
        <f>+L93-L93*0.18</f>
        <v>680.6</v>
      </c>
      <c r="N93" s="49">
        <f>1-(M93/L93)</f>
        <v>0.17999999999999994</v>
      </c>
      <c r="O93" s="50">
        <f>+'Trim Rwd'!H68</f>
        <v>327.5</v>
      </c>
      <c r="P93" s="51">
        <f>O93*(Q93-R93-S93)</f>
        <v>191260</v>
      </c>
      <c r="Q93" s="50">
        <v>600</v>
      </c>
      <c r="R93" s="512">
        <v>0</v>
      </c>
      <c r="S93" s="512">
        <v>16</v>
      </c>
      <c r="T93" s="40">
        <f>E93*M93*O93*Q93/100000000</f>
        <v>22.735443000000004</v>
      </c>
      <c r="U93" s="40">
        <f>E93*M93*O93*(Q93-R93-S93)/100000000</f>
        <v>22.129164520000003</v>
      </c>
      <c r="V93" s="40">
        <f>E93*G93*(1-N93)*O93/100*(R93+S93)/1000000</f>
        <v>0.60627848000000006</v>
      </c>
      <c r="W93" s="40">
        <f>+'19'!K22/1000</f>
        <v>13.282999999999999</v>
      </c>
      <c r="X93" s="41"/>
      <c r="Y93" s="214"/>
      <c r="Z93" s="40">
        <f>+'19'!D25/1000</f>
        <v>0.5</v>
      </c>
      <c r="AA93" s="40"/>
      <c r="AB93" s="40"/>
      <c r="AC93" s="40">
        <f>K93-T93</f>
        <v>0</v>
      </c>
      <c r="AD93" s="40">
        <f>+AM93+BA93</f>
        <v>10</v>
      </c>
      <c r="AE93" s="233" t="s">
        <v>446</v>
      </c>
      <c r="AF93" s="40"/>
      <c r="AG93" s="40">
        <v>10</v>
      </c>
      <c r="AH93" s="40"/>
      <c r="AI93" s="514"/>
      <c r="AJ93" s="40"/>
      <c r="AK93" s="40"/>
      <c r="AL93" s="40"/>
      <c r="AM93" s="40">
        <f>SUM(AF93:AL93)+AT93+AV93+AX93</f>
        <v>10</v>
      </c>
      <c r="AN93" s="86"/>
      <c r="AO93" s="40"/>
      <c r="AP93" s="40"/>
      <c r="AQ93" s="40"/>
      <c r="AR93" s="40">
        <f>SUM(AN93:AQ93)</f>
        <v>0</v>
      </c>
      <c r="AS93" s="40"/>
      <c r="AT93" s="40"/>
      <c r="AU93" s="40"/>
      <c r="AV93" s="40"/>
      <c r="AW93" s="40"/>
      <c r="AX93" s="40"/>
      <c r="AY93" s="40"/>
      <c r="AZ93" s="40"/>
      <c r="BA93" s="40">
        <f>+AR93+AS93+AU93+AW93+AY93+AZ93</f>
        <v>0</v>
      </c>
      <c r="BB93" s="53"/>
      <c r="BC93" s="54">
        <v>5</v>
      </c>
      <c r="BD93" s="54"/>
      <c r="BE93" s="53"/>
      <c r="BF93" s="54"/>
    </row>
    <row r="94" spans="1:58" ht="12.95" customHeight="1">
      <c r="A94" s="43"/>
      <c r="B94" s="44"/>
      <c r="C94" s="460"/>
      <c r="D94" s="44"/>
      <c r="E94" s="45"/>
      <c r="F94" s="45"/>
      <c r="G94" s="511"/>
      <c r="H94" s="47"/>
      <c r="I94" s="48"/>
      <c r="J94" s="85"/>
      <c r="K94" s="85"/>
      <c r="L94" s="38"/>
      <c r="M94" s="38"/>
      <c r="N94" s="49"/>
      <c r="O94" s="50"/>
      <c r="P94" s="51"/>
      <c r="Q94" s="50"/>
      <c r="R94" s="512"/>
      <c r="S94" s="512"/>
      <c r="T94" s="40"/>
      <c r="U94" s="40"/>
      <c r="V94" s="40"/>
      <c r="W94" s="40"/>
      <c r="X94" s="41"/>
      <c r="Y94" s="214"/>
      <c r="Z94" s="40"/>
      <c r="AA94" s="40"/>
      <c r="AB94" s="40"/>
      <c r="AC94" s="40"/>
      <c r="AD94" s="40">
        <f>+AM94+BA94</f>
        <v>13</v>
      </c>
      <c r="AE94" s="233" t="s">
        <v>226</v>
      </c>
      <c r="AF94" s="36"/>
      <c r="AG94" s="36"/>
      <c r="AH94" s="36">
        <v>13</v>
      </c>
      <c r="AI94" s="514"/>
      <c r="AJ94" s="40"/>
      <c r="AK94" s="40"/>
      <c r="AL94" s="40"/>
      <c r="AM94" s="40">
        <f>SUM(AF94:AL94)+AT94+AV94+AX94</f>
        <v>13</v>
      </c>
      <c r="AN94" s="40"/>
      <c r="AO94" s="40"/>
      <c r="AP94" s="40"/>
      <c r="AQ94" s="40"/>
      <c r="AR94" s="40">
        <f>SUM(AN94:AQ94)</f>
        <v>0</v>
      </c>
      <c r="AS94" s="40"/>
      <c r="AT94" s="40"/>
      <c r="AU94" s="40"/>
      <c r="AV94" s="40"/>
      <c r="AW94" s="40"/>
      <c r="AX94" s="40"/>
      <c r="AY94" s="40"/>
      <c r="AZ94" s="40"/>
      <c r="BA94" s="40">
        <f>+AR94+AS94+AU94+AW94+AY94+AZ94</f>
        <v>0</v>
      </c>
      <c r="BB94" s="36"/>
      <c r="BC94" s="515"/>
      <c r="BD94" s="515"/>
      <c r="BE94" s="36"/>
      <c r="BF94" s="515"/>
    </row>
    <row r="95" spans="1:58" ht="12.95" customHeight="1">
      <c r="A95" s="43"/>
      <c r="B95" s="44"/>
      <c r="C95" s="460"/>
      <c r="D95" s="44"/>
      <c r="E95" s="45"/>
      <c r="F95" s="45"/>
      <c r="G95" s="511"/>
      <c r="H95" s="47"/>
      <c r="I95" s="48"/>
      <c r="J95" s="85"/>
      <c r="K95" s="85"/>
      <c r="L95" s="38"/>
      <c r="M95" s="38"/>
      <c r="N95" s="49"/>
      <c r="O95" s="50"/>
      <c r="P95" s="51"/>
      <c r="Q95" s="50"/>
      <c r="R95" s="512"/>
      <c r="S95" s="512"/>
      <c r="T95" s="40"/>
      <c r="U95" s="40"/>
      <c r="V95" s="40"/>
      <c r="W95" s="40"/>
      <c r="X95" s="41"/>
      <c r="Y95" s="214"/>
      <c r="Z95" s="40"/>
      <c r="AA95" s="40"/>
      <c r="AB95" s="40"/>
      <c r="AC95" s="40"/>
      <c r="AD95" s="40">
        <f>+AM95+BA95</f>
        <v>4</v>
      </c>
      <c r="AE95" s="233" t="s">
        <v>577</v>
      </c>
      <c r="AF95" s="36"/>
      <c r="AG95" s="36"/>
      <c r="AH95" s="36"/>
      <c r="AI95" s="514">
        <v>4</v>
      </c>
      <c r="AJ95" s="40"/>
      <c r="AK95" s="40"/>
      <c r="AL95" s="40"/>
      <c r="AM95" s="40">
        <f>SUM(AF95:AL95)+AT95+AV95+AX95</f>
        <v>4</v>
      </c>
      <c r="AN95" s="40"/>
      <c r="AO95" s="40"/>
      <c r="AP95" s="40"/>
      <c r="AQ95" s="40"/>
      <c r="AR95" s="40">
        <f>SUM(AN95:AQ95)</f>
        <v>0</v>
      </c>
      <c r="AS95" s="40"/>
      <c r="AT95" s="40"/>
      <c r="AU95" s="40"/>
      <c r="AV95" s="40"/>
      <c r="AW95" s="40"/>
      <c r="AX95" s="40"/>
      <c r="AY95" s="40"/>
      <c r="AZ95" s="40"/>
      <c r="BA95" s="40">
        <f>+AR95+AS95+AU95+AW95+AY95+AZ95</f>
        <v>0</v>
      </c>
      <c r="BB95" s="36"/>
      <c r="BC95" s="515"/>
      <c r="BD95" s="515"/>
      <c r="BE95" s="36"/>
      <c r="BF95" s="515"/>
    </row>
    <row r="96" spans="1:58" ht="12.95" customHeight="1">
      <c r="A96" s="43"/>
      <c r="B96" s="44"/>
      <c r="C96" s="460"/>
      <c r="D96" s="44"/>
      <c r="E96" s="45"/>
      <c r="F96" s="45"/>
      <c r="G96" s="601"/>
      <c r="H96" s="602"/>
      <c r="I96" s="48"/>
      <c r="J96" s="85"/>
      <c r="K96" s="85"/>
      <c r="L96" s="38"/>
      <c r="M96" s="38"/>
      <c r="N96" s="49"/>
      <c r="O96" s="50"/>
      <c r="P96" s="51"/>
      <c r="Q96" s="50"/>
      <c r="R96" s="512"/>
      <c r="S96" s="512"/>
      <c r="T96" s="40"/>
      <c r="U96" s="40"/>
      <c r="V96" s="40"/>
      <c r="W96" s="40"/>
      <c r="X96" s="41"/>
      <c r="Y96" s="41"/>
      <c r="Z96" s="40"/>
      <c r="AA96" s="52"/>
      <c r="AB96" s="52"/>
      <c r="AC96" s="40"/>
      <c r="AD96" s="40"/>
      <c r="AE96" s="23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36"/>
      <c r="BC96" s="54"/>
      <c r="BD96" s="515"/>
      <c r="BE96" s="36"/>
      <c r="BF96" s="515"/>
    </row>
    <row r="97" spans="1:58" ht="12.95" customHeight="1">
      <c r="A97" s="43">
        <v>45889</v>
      </c>
      <c r="B97" s="44" t="s">
        <v>8</v>
      </c>
      <c r="C97" s="460">
        <f>(M97*E97*O97*Q97)/100000000</f>
        <v>53.815314239999999</v>
      </c>
      <c r="D97" s="44" t="s">
        <v>491</v>
      </c>
      <c r="E97" s="45">
        <v>17</v>
      </c>
      <c r="F97" s="45">
        <v>1</v>
      </c>
      <c r="G97" s="511">
        <v>830</v>
      </c>
      <c r="H97" s="47">
        <v>0.18</v>
      </c>
      <c r="I97" s="48">
        <v>0.88</v>
      </c>
      <c r="J97" s="85">
        <f>E97*G97*(1-H97)*1440/1000000*3.4</f>
        <v>56.647699200000005</v>
      </c>
      <c r="K97" s="85">
        <f>(IF(G97&lt;L97,L97,G97)*(1-IF(H97&lt;N97,H97,N97))*E97*O97*Q97)/100000000</f>
        <v>53.815314239999999</v>
      </c>
      <c r="L97" s="38">
        <v>830</v>
      </c>
      <c r="M97" s="38">
        <f>+L97-L97*0.18</f>
        <v>680.6</v>
      </c>
      <c r="N97" s="49">
        <f>1-(M97/L97)</f>
        <v>0.17999999999999994</v>
      </c>
      <c r="O97" s="50">
        <f>+'Trim Rwd'!H71</f>
        <v>323</v>
      </c>
      <c r="P97" s="51">
        <f>O97*(Q97-R97-S97)</f>
        <v>455107</v>
      </c>
      <c r="Q97" s="50">
        <v>1440</v>
      </c>
      <c r="R97" s="512">
        <v>0</v>
      </c>
      <c r="S97" s="512">
        <v>31</v>
      </c>
      <c r="T97" s="40">
        <f>E97*M97*O97*Q97/100000000</f>
        <v>53.815314239999999</v>
      </c>
      <c r="U97" s="40">
        <f>E97*M97*O97*(Q97-R97-S97)/100000000</f>
        <v>52.656790114000003</v>
      </c>
      <c r="V97" s="40">
        <f>E97*G97*(1-N97)*O97/100*(R97+S97)/1000000</f>
        <v>1.1585241259999999</v>
      </c>
      <c r="W97" s="40">
        <f>+'20'!K34/1000</f>
        <v>50.192999999999998</v>
      </c>
      <c r="X97" s="513">
        <f>SUM(W97:W100)/SUM(K97:K100)</f>
        <v>0.93268989894130183</v>
      </c>
      <c r="Y97" s="214">
        <v>0</v>
      </c>
      <c r="Z97" s="40">
        <f>+'20'!D34/1000</f>
        <v>0.95</v>
      </c>
      <c r="AA97" s="52">
        <f>SUM(U97:U100)-SUM(W97:W100)-SUM(Z97:Z100)-SUM(Y97:Y100)</f>
        <v>1.5137901140000054</v>
      </c>
      <c r="AB97" s="52">
        <f>(SUM(K97:K100)-SUM(W97:W100)-SUM(Y97:Y100)-SUM(Z97:Z100)-SUM(AC97:AC100)-SUM(V97:V100))-AA97</f>
        <v>-3.9968028886505635E-15</v>
      </c>
      <c r="AC97" s="40">
        <f>K97-T97</f>
        <v>0</v>
      </c>
      <c r="AD97" s="40">
        <f>+AM97+BA97</f>
        <v>6</v>
      </c>
      <c r="AE97" s="233" t="s">
        <v>523</v>
      </c>
      <c r="AF97" s="40">
        <v>6</v>
      </c>
      <c r="AG97" s="40"/>
      <c r="AH97" s="40"/>
      <c r="AI97" s="514"/>
      <c r="AJ97" s="40"/>
      <c r="AK97" s="40"/>
      <c r="AL97" s="40"/>
      <c r="AM97" s="40">
        <f>SUM(AF97:AL97)+AT97+AV97+AX97</f>
        <v>6</v>
      </c>
      <c r="AN97" s="40"/>
      <c r="AO97" s="40"/>
      <c r="AP97" s="40"/>
      <c r="AQ97" s="40"/>
      <c r="AR97" s="40">
        <f>SUM(AN97:AQ97)</f>
        <v>0</v>
      </c>
      <c r="AS97" s="40"/>
      <c r="AT97" s="40"/>
      <c r="AU97" s="40"/>
      <c r="AV97" s="40"/>
      <c r="AW97" s="40"/>
      <c r="AX97" s="40"/>
      <c r="AY97" s="40"/>
      <c r="AZ97" s="40"/>
      <c r="BA97" s="40">
        <f>+AR97+AS97+AU97+AW97+AY97+AZ97</f>
        <v>0</v>
      </c>
      <c r="BB97" s="36">
        <v>3</v>
      </c>
      <c r="BC97" s="54"/>
      <c r="BD97" s="54"/>
      <c r="BE97" s="36"/>
      <c r="BF97" s="54"/>
    </row>
    <row r="98" spans="1:58" ht="12.95" customHeight="1">
      <c r="A98" s="43"/>
      <c r="B98" s="44"/>
      <c r="C98" s="460"/>
      <c r="D98" s="44"/>
      <c r="E98" s="45"/>
      <c r="F98" s="45"/>
      <c r="G98" s="511"/>
      <c r="H98" s="47"/>
      <c r="I98" s="48"/>
      <c r="J98" s="85"/>
      <c r="K98" s="85"/>
      <c r="L98" s="38"/>
      <c r="M98" s="38"/>
      <c r="N98" s="49"/>
      <c r="O98" s="50"/>
      <c r="P98" s="51"/>
      <c r="Q98" s="50"/>
      <c r="R98" s="512"/>
      <c r="S98" s="512"/>
      <c r="T98" s="40"/>
      <c r="U98" s="40"/>
      <c r="V98" s="40"/>
      <c r="W98" s="40"/>
      <c r="X98" s="41"/>
      <c r="Y98" s="214"/>
      <c r="Z98" s="40"/>
      <c r="AA98" s="40"/>
      <c r="AB98" s="40"/>
      <c r="AC98" s="40"/>
      <c r="AD98" s="40">
        <f>+AM98+BA98</f>
        <v>10</v>
      </c>
      <c r="AE98" s="233" t="s">
        <v>390</v>
      </c>
      <c r="AF98" s="40"/>
      <c r="AG98" s="40">
        <v>10</v>
      </c>
      <c r="AH98" s="40"/>
      <c r="AI98" s="514"/>
      <c r="AJ98" s="40"/>
      <c r="AK98" s="40"/>
      <c r="AL98" s="40"/>
      <c r="AM98" s="40">
        <f>SUM(AF98:AL98)+AT98+AV98+AX98</f>
        <v>10</v>
      </c>
      <c r="AN98" s="86"/>
      <c r="AO98" s="40"/>
      <c r="AP98" s="40"/>
      <c r="AQ98" s="40"/>
      <c r="AR98" s="40">
        <f>SUM(AN98:AQ98)</f>
        <v>0</v>
      </c>
      <c r="AS98" s="40"/>
      <c r="AT98" s="40"/>
      <c r="AU98" s="40"/>
      <c r="AV98" s="40"/>
      <c r="AW98" s="40"/>
      <c r="AX98" s="40"/>
      <c r="AY98" s="40"/>
      <c r="AZ98" s="40"/>
      <c r="BA98" s="40">
        <f>+AR98+AS98+AU98+AW98+AY98+AZ98</f>
        <v>0</v>
      </c>
      <c r="BB98" s="53"/>
      <c r="BC98" s="54">
        <v>3</v>
      </c>
      <c r="BD98" s="54"/>
      <c r="BE98" s="53"/>
      <c r="BF98" s="54"/>
    </row>
    <row r="99" spans="1:58" ht="12.95" customHeight="1">
      <c r="A99" s="43"/>
      <c r="B99" s="44"/>
      <c r="C99" s="460"/>
      <c r="D99" s="44"/>
      <c r="E99" s="45"/>
      <c r="F99" s="45"/>
      <c r="G99" s="511"/>
      <c r="H99" s="47"/>
      <c r="I99" s="48"/>
      <c r="J99" s="85"/>
      <c r="K99" s="85"/>
      <c r="L99" s="38"/>
      <c r="M99" s="38"/>
      <c r="N99" s="49"/>
      <c r="O99" s="50"/>
      <c r="P99" s="51"/>
      <c r="Q99" s="50"/>
      <c r="R99" s="512"/>
      <c r="S99" s="512"/>
      <c r="T99" s="40"/>
      <c r="U99" s="40"/>
      <c r="V99" s="40"/>
      <c r="W99" s="40"/>
      <c r="X99" s="41"/>
      <c r="Y99" s="214"/>
      <c r="Z99" s="40"/>
      <c r="AA99" s="40"/>
      <c r="AB99" s="40"/>
      <c r="AC99" s="40"/>
      <c r="AD99" s="40">
        <f>+AM99+BA99</f>
        <v>15</v>
      </c>
      <c r="AE99" s="233" t="s">
        <v>226</v>
      </c>
      <c r="AF99" s="36"/>
      <c r="AG99" s="36"/>
      <c r="AH99" s="36">
        <v>15</v>
      </c>
      <c r="AI99" s="514"/>
      <c r="AJ99" s="40"/>
      <c r="AK99" s="40"/>
      <c r="AL99" s="40"/>
      <c r="AM99" s="40">
        <f>SUM(AF99:AL99)+AT99+AV99+AX99</f>
        <v>15</v>
      </c>
      <c r="AN99" s="40"/>
      <c r="AO99" s="40"/>
      <c r="AP99" s="40"/>
      <c r="AQ99" s="40"/>
      <c r="AR99" s="40">
        <f>SUM(AN99:AQ99)</f>
        <v>0</v>
      </c>
      <c r="AS99" s="40"/>
      <c r="AT99" s="40"/>
      <c r="AU99" s="40"/>
      <c r="AV99" s="40"/>
      <c r="AW99" s="40"/>
      <c r="AX99" s="40"/>
      <c r="AY99" s="40"/>
      <c r="AZ99" s="40"/>
      <c r="BA99" s="40">
        <f>+AR99+AS99+AU99+AW99+AY99+AZ99</f>
        <v>0</v>
      </c>
      <c r="BB99" s="36"/>
      <c r="BC99" s="515"/>
      <c r="BD99" s="515"/>
      <c r="BE99" s="36"/>
      <c r="BF99" s="515"/>
    </row>
    <row r="100" spans="1:58" ht="12.95" customHeight="1">
      <c r="A100" s="43"/>
      <c r="B100" s="44"/>
      <c r="C100" s="460"/>
      <c r="D100" s="44"/>
      <c r="E100" s="45"/>
      <c r="F100" s="45"/>
      <c r="G100" s="511"/>
      <c r="H100" s="47"/>
      <c r="I100" s="48"/>
      <c r="J100" s="85"/>
      <c r="K100" s="85"/>
      <c r="L100" s="38"/>
      <c r="M100" s="38"/>
      <c r="N100" s="49"/>
      <c r="O100" s="50"/>
      <c r="P100" s="51"/>
      <c r="Q100" s="50"/>
      <c r="R100" s="512"/>
      <c r="S100" s="512"/>
      <c r="T100" s="40"/>
      <c r="U100" s="40"/>
      <c r="V100" s="40"/>
      <c r="W100" s="40"/>
      <c r="X100" s="41"/>
      <c r="Y100" s="214"/>
      <c r="Z100" s="40"/>
      <c r="AA100" s="40"/>
      <c r="AB100" s="40"/>
      <c r="AC100" s="40"/>
      <c r="AD100" s="40"/>
      <c r="AE100" s="233"/>
      <c r="AF100" s="36"/>
      <c r="AG100" s="36"/>
      <c r="AH100" s="36"/>
      <c r="AI100" s="514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36"/>
      <c r="BC100" s="515"/>
      <c r="BD100" s="515"/>
      <c r="BE100" s="36"/>
      <c r="BF100" s="515"/>
    </row>
    <row r="101" spans="1:58" ht="12.95" customHeight="1">
      <c r="A101" s="43">
        <v>45890</v>
      </c>
      <c r="B101" s="44" t="s">
        <v>8</v>
      </c>
      <c r="C101" s="460">
        <f>(M101*E101*O101*Q101)/100000000</f>
        <v>53.901951897599993</v>
      </c>
      <c r="D101" s="44" t="s">
        <v>491</v>
      </c>
      <c r="E101" s="45">
        <v>17</v>
      </c>
      <c r="F101" s="45">
        <v>1</v>
      </c>
      <c r="G101" s="511">
        <v>830</v>
      </c>
      <c r="H101" s="47">
        <v>0.18</v>
      </c>
      <c r="I101" s="48">
        <v>0.88</v>
      </c>
      <c r="J101" s="85">
        <f>E101*G101*(1-H101)*1440/1000000*3.4</f>
        <v>56.647699200000005</v>
      </c>
      <c r="K101" s="85">
        <f>(IF(G101&lt;L101,L101,G101)*(1-IF(H101&lt;N101,H101,N101))*E101*O101*Q101)/100000000</f>
        <v>53.901951897599993</v>
      </c>
      <c r="L101" s="38">
        <v>830</v>
      </c>
      <c r="M101" s="38">
        <f>+L101-L101*0.18</f>
        <v>680.6</v>
      </c>
      <c r="N101" s="49">
        <f>1-(M101/L101)</f>
        <v>0.17999999999999994</v>
      </c>
      <c r="O101" s="50">
        <f>+'Trim Rwd'!H73</f>
        <v>323.52</v>
      </c>
      <c r="P101" s="51">
        <f>O101*(Q101-R101-S101)</f>
        <v>452604.48</v>
      </c>
      <c r="Q101" s="50">
        <v>1440</v>
      </c>
      <c r="R101" s="512">
        <v>0</v>
      </c>
      <c r="S101" s="512">
        <v>41</v>
      </c>
      <c r="T101" s="40">
        <f>E101*M101*O101*Q101/100000000</f>
        <v>53.901951897599993</v>
      </c>
      <c r="U101" s="40">
        <f>E101*M101*O101*(Q101-R101-S101)/100000000</f>
        <v>52.36724354495999</v>
      </c>
      <c r="V101" s="40">
        <f>E101*G101*(1-N101)*O101/100*(R101+S101)/1000000</f>
        <v>1.5347083526399998</v>
      </c>
      <c r="W101" s="40">
        <f>+'21'!K34/1000</f>
        <v>49.95</v>
      </c>
      <c r="X101" s="513">
        <f>SUM(W101:W104)/SUM(K101:K104)</f>
        <v>0.92668258275493076</v>
      </c>
      <c r="Y101" s="214">
        <v>0</v>
      </c>
      <c r="Z101" s="40">
        <v>0</v>
      </c>
      <c r="AA101" s="52">
        <f>SUM(U101:U104)-SUM(W101:W104)-SUM(Z101:Z104)-SUM(Y101:Y104)</f>
        <v>2.4172435449599874</v>
      </c>
      <c r="AB101" s="52">
        <f>(SUM(K101:K104)-SUM(W101:W104)-SUM(Y101:Y104)-SUM(Z101:Z104)-SUM(AC101:AC104)-SUM(V101:V104))-AA101</f>
        <v>0</v>
      </c>
      <c r="AC101" s="40">
        <f>K101-T101</f>
        <v>0</v>
      </c>
      <c r="AD101" s="40">
        <f>+AM101+BA101</f>
        <v>12</v>
      </c>
      <c r="AE101" s="233" t="s">
        <v>523</v>
      </c>
      <c r="AF101" s="40">
        <v>12</v>
      </c>
      <c r="AG101" s="40"/>
      <c r="AH101" s="40"/>
      <c r="AI101" s="514"/>
      <c r="AJ101" s="40"/>
      <c r="AK101" s="40"/>
      <c r="AL101" s="40"/>
      <c r="AM101" s="40">
        <f>SUM(AF101:AL101)+AT101+AV101+AX101</f>
        <v>12</v>
      </c>
      <c r="AN101" s="40"/>
      <c r="AO101" s="40"/>
      <c r="AP101" s="40"/>
      <c r="AQ101" s="40"/>
      <c r="AR101" s="40">
        <f>SUM(AN101:AQ101)</f>
        <v>0</v>
      </c>
      <c r="AS101" s="40"/>
      <c r="AT101" s="40"/>
      <c r="AU101" s="40"/>
      <c r="AV101" s="40"/>
      <c r="AW101" s="40"/>
      <c r="AX101" s="40"/>
      <c r="AY101" s="40"/>
      <c r="AZ101" s="40"/>
      <c r="BA101" s="40">
        <f>+AR101+AS101+AU101+AW101+AY101+AZ101</f>
        <v>0</v>
      </c>
      <c r="BB101" s="36">
        <v>3</v>
      </c>
      <c r="BC101" s="54"/>
      <c r="BD101" s="54"/>
      <c r="BE101" s="36"/>
      <c r="BF101" s="54"/>
    </row>
    <row r="102" spans="1:58" ht="12.95" customHeight="1">
      <c r="A102" s="43"/>
      <c r="B102" s="44"/>
      <c r="C102" s="460"/>
      <c r="D102" s="44"/>
      <c r="E102" s="45"/>
      <c r="F102" s="45"/>
      <c r="G102" s="511"/>
      <c r="H102" s="47"/>
      <c r="I102" s="48"/>
      <c r="J102" s="85"/>
      <c r="K102" s="85"/>
      <c r="L102" s="38"/>
      <c r="M102" s="38"/>
      <c r="N102" s="49"/>
      <c r="O102" s="50"/>
      <c r="P102" s="51"/>
      <c r="Q102" s="50"/>
      <c r="R102" s="512"/>
      <c r="S102" s="512"/>
      <c r="T102" s="40"/>
      <c r="U102" s="40"/>
      <c r="V102" s="40"/>
      <c r="W102" s="40"/>
      <c r="X102" s="41"/>
      <c r="Y102" s="214"/>
      <c r="Z102" s="40"/>
      <c r="AA102" s="40"/>
      <c r="AB102" s="40"/>
      <c r="AC102" s="40"/>
      <c r="AD102" s="40">
        <f>+AM102+BA102</f>
        <v>13</v>
      </c>
      <c r="AE102" s="233" t="s">
        <v>434</v>
      </c>
      <c r="AF102" s="40"/>
      <c r="AG102" s="40">
        <v>13</v>
      </c>
      <c r="AH102" s="40"/>
      <c r="AI102" s="514"/>
      <c r="AJ102" s="40"/>
      <c r="AK102" s="40"/>
      <c r="AL102" s="40"/>
      <c r="AM102" s="40">
        <f>SUM(AF102:AL102)+AT102+AV102+AX102</f>
        <v>13</v>
      </c>
      <c r="AN102" s="86"/>
      <c r="AO102" s="40"/>
      <c r="AP102" s="40"/>
      <c r="AQ102" s="40"/>
      <c r="AR102" s="40">
        <f>SUM(AN102:AQ102)</f>
        <v>0</v>
      </c>
      <c r="AS102" s="40"/>
      <c r="AT102" s="40"/>
      <c r="AU102" s="40"/>
      <c r="AV102" s="40"/>
      <c r="AW102" s="40"/>
      <c r="AX102" s="40"/>
      <c r="AY102" s="40"/>
      <c r="AZ102" s="40"/>
      <c r="BA102" s="40">
        <f>+AR102+AS102+AU102+AW102+AY102+AZ102</f>
        <v>0</v>
      </c>
      <c r="BB102" s="53"/>
      <c r="BC102" s="54">
        <v>2</v>
      </c>
      <c r="BD102" s="54"/>
      <c r="BE102" s="53"/>
      <c r="BF102" s="54"/>
    </row>
    <row r="103" spans="1:58" ht="12.95" customHeight="1">
      <c r="A103" s="43"/>
      <c r="B103" s="44"/>
      <c r="C103" s="460"/>
      <c r="D103" s="44"/>
      <c r="E103" s="45"/>
      <c r="F103" s="45"/>
      <c r="G103" s="511"/>
      <c r="H103" s="47"/>
      <c r="I103" s="48"/>
      <c r="J103" s="85"/>
      <c r="K103" s="85"/>
      <c r="L103" s="38"/>
      <c r="M103" s="38"/>
      <c r="N103" s="49"/>
      <c r="O103" s="50"/>
      <c r="P103" s="51"/>
      <c r="Q103" s="50"/>
      <c r="R103" s="512"/>
      <c r="S103" s="512"/>
      <c r="T103" s="40"/>
      <c r="U103" s="40"/>
      <c r="V103" s="40"/>
      <c r="W103" s="40"/>
      <c r="X103" s="41"/>
      <c r="Y103" s="214"/>
      <c r="Z103" s="40"/>
      <c r="AA103" s="40"/>
      <c r="AB103" s="40"/>
      <c r="AC103" s="40"/>
      <c r="AD103" s="40">
        <f>+AM103+BA103</f>
        <v>16</v>
      </c>
      <c r="AE103" s="233" t="s">
        <v>226</v>
      </c>
      <c r="AF103" s="36"/>
      <c r="AG103" s="36"/>
      <c r="AH103" s="36">
        <v>16</v>
      </c>
      <c r="AI103" s="514"/>
      <c r="AJ103" s="40"/>
      <c r="AK103" s="40"/>
      <c r="AL103" s="40"/>
      <c r="AM103" s="40">
        <f>SUM(AF103:AL103)+AT103+AV103+AX103</f>
        <v>16</v>
      </c>
      <c r="AN103" s="40"/>
      <c r="AO103" s="40"/>
      <c r="AP103" s="40"/>
      <c r="AQ103" s="40"/>
      <c r="AR103" s="40">
        <f>SUM(AN103:AQ103)</f>
        <v>0</v>
      </c>
      <c r="AS103" s="40"/>
      <c r="AT103" s="40"/>
      <c r="AU103" s="40"/>
      <c r="AV103" s="40"/>
      <c r="AW103" s="40"/>
      <c r="AX103" s="40"/>
      <c r="AY103" s="40"/>
      <c r="AZ103" s="40"/>
      <c r="BA103" s="40">
        <f>+AR103+AS103+AU103+AW103+AY103+AZ103</f>
        <v>0</v>
      </c>
      <c r="BB103" s="36"/>
      <c r="BC103" s="515"/>
      <c r="BD103" s="515"/>
      <c r="BE103" s="36"/>
      <c r="BF103" s="515"/>
    </row>
    <row r="104" spans="1:58" ht="12.95" customHeight="1">
      <c r="A104" s="43"/>
      <c r="B104" s="44"/>
      <c r="C104" s="460"/>
      <c r="D104" s="44"/>
      <c r="E104" s="45"/>
      <c r="F104" s="45"/>
      <c r="G104" s="511"/>
      <c r="H104" s="47"/>
      <c r="I104" s="48"/>
      <c r="J104" s="85"/>
      <c r="K104" s="85"/>
      <c r="L104" s="38"/>
      <c r="M104" s="38"/>
      <c r="N104" s="49"/>
      <c r="O104" s="50"/>
      <c r="P104" s="51"/>
      <c r="Q104" s="50"/>
      <c r="R104" s="512"/>
      <c r="S104" s="512"/>
      <c r="T104" s="40"/>
      <c r="U104" s="40"/>
      <c r="V104" s="40"/>
      <c r="W104" s="40"/>
      <c r="X104" s="41"/>
      <c r="Y104" s="214"/>
      <c r="Z104" s="40"/>
      <c r="AA104" s="52"/>
      <c r="AB104" s="52"/>
      <c r="AC104" s="40"/>
      <c r="AD104" s="40"/>
      <c r="AE104" s="233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36"/>
      <c r="BC104" s="54"/>
      <c r="BD104" s="54"/>
      <c r="BE104" s="54"/>
      <c r="BF104" s="54"/>
    </row>
    <row r="105" spans="1:58" ht="12.95" customHeight="1">
      <c r="A105" s="43">
        <v>45891</v>
      </c>
      <c r="B105" s="44" t="s">
        <v>8</v>
      </c>
      <c r="C105" s="460">
        <f>(M105*E105*O105*Q105)/100000000</f>
        <v>38.671067280842102</v>
      </c>
      <c r="D105" s="44" t="s">
        <v>491</v>
      </c>
      <c r="E105" s="45">
        <v>17</v>
      </c>
      <c r="F105" s="45">
        <v>1</v>
      </c>
      <c r="G105" s="511">
        <v>830</v>
      </c>
      <c r="H105" s="47">
        <v>0.18</v>
      </c>
      <c r="I105" s="48">
        <v>0.88</v>
      </c>
      <c r="J105" s="85">
        <f>E105*G105*(1-H105)*1440/1000000*3.4</f>
        <v>56.647699200000005</v>
      </c>
      <c r="K105" s="85">
        <f>(IF(G105&lt;L105,L105,G105)*(1-IF(H105&lt;N105,H105,N105))*E105*O105*Q105)/100000000</f>
        <v>38.671067280842102</v>
      </c>
      <c r="L105" s="38">
        <v>830</v>
      </c>
      <c r="M105" s="38">
        <f>+L105-L105*0.18</f>
        <v>680.6</v>
      </c>
      <c r="N105" s="49">
        <f>1-(M105/L105)</f>
        <v>0.17999999999999994</v>
      </c>
      <c r="O105" s="50">
        <f>+'Trim Rwd'!H76</f>
        <v>321.68421052631578</v>
      </c>
      <c r="P105" s="51">
        <f>O105*(Q105-R105-S105)</f>
        <v>324579.36842105264</v>
      </c>
      <c r="Q105" s="50">
        <v>1039</v>
      </c>
      <c r="R105" s="512">
        <v>0</v>
      </c>
      <c r="S105" s="512">
        <v>30</v>
      </c>
      <c r="T105" s="40">
        <f>E105*M105*O105*Q105/100000000</f>
        <v>38.671067280842102</v>
      </c>
      <c r="U105" s="40">
        <f>E105*M105*O105*(Q105-R105-S105)/100000000</f>
        <v>37.554482085052634</v>
      </c>
      <c r="V105" s="40">
        <f>E105*G105*(1-N105)*O105/100*(R105+S105)/1000000</f>
        <v>1.1165851957894737</v>
      </c>
      <c r="W105" s="40">
        <f>+'22'!K22/1000</f>
        <v>37.634999999999998</v>
      </c>
      <c r="X105" s="513">
        <f>SUM(W105:W108)/SUM(K105:K108)</f>
        <v>0.94399890877308856</v>
      </c>
      <c r="Y105" s="214">
        <v>0</v>
      </c>
      <c r="Z105" s="40">
        <v>0</v>
      </c>
      <c r="AA105" s="52">
        <f>SUM(U105:U108)-SUM(W105:W108)-SUM(Z105:Z108)-SUM(Y105:Y108)</f>
        <v>1.5994249330526316</v>
      </c>
      <c r="AB105" s="52">
        <f>(SUM(K105:K108)-SUM(W105:W108)-SUM(Y105:Y108)-SUM(Z105:Z108)-SUM(AC105:AC108)-SUM(V105:V108))-AA105</f>
        <v>-3.3306690738754696E-15</v>
      </c>
      <c r="AC105" s="40">
        <f>K105-T105</f>
        <v>0</v>
      </c>
      <c r="AD105" s="40">
        <f>+AM105+BA105</f>
        <v>7</v>
      </c>
      <c r="AE105" s="233" t="s">
        <v>586</v>
      </c>
      <c r="AF105" s="40">
        <v>7</v>
      </c>
      <c r="AG105" s="40"/>
      <c r="AH105" s="40"/>
      <c r="AI105" s="514"/>
      <c r="AJ105" s="40"/>
      <c r="AK105" s="40"/>
      <c r="AL105" s="40"/>
      <c r="AM105" s="40">
        <f>SUM(AF105:AL105)+AT105+AV105+AX105</f>
        <v>7</v>
      </c>
      <c r="AN105" s="40"/>
      <c r="AO105" s="40"/>
      <c r="AP105" s="40"/>
      <c r="AQ105" s="40"/>
      <c r="AR105" s="40">
        <f>SUM(AN105:AQ105)</f>
        <v>0</v>
      </c>
      <c r="AS105" s="40"/>
      <c r="AT105" s="40"/>
      <c r="AU105" s="40"/>
      <c r="AV105" s="40"/>
      <c r="AW105" s="40"/>
      <c r="AX105" s="40"/>
      <c r="AY105" s="40"/>
      <c r="AZ105" s="40"/>
      <c r="BA105" s="40">
        <f>+AR105+AS105+AU105+AW105+AY105+AZ105</f>
        <v>0</v>
      </c>
      <c r="BB105" s="36">
        <v>5</v>
      </c>
      <c r="BC105" s="54"/>
      <c r="BD105" s="54"/>
      <c r="BE105" s="36"/>
      <c r="BF105" s="54"/>
    </row>
    <row r="106" spans="1:58" ht="12.95" customHeight="1">
      <c r="A106" s="43"/>
      <c r="B106" s="44" t="s">
        <v>8</v>
      </c>
      <c r="C106" s="460">
        <f>(M106*E106*O106*Q106)/100000000</f>
        <v>14.279205792000001</v>
      </c>
      <c r="D106" s="44" t="s">
        <v>491</v>
      </c>
      <c r="E106" s="45">
        <v>16</v>
      </c>
      <c r="F106" s="45">
        <v>1</v>
      </c>
      <c r="G106" s="511">
        <v>830</v>
      </c>
      <c r="H106" s="47">
        <v>0.18</v>
      </c>
      <c r="I106" s="48">
        <v>0.88</v>
      </c>
      <c r="J106" s="85">
        <f>E106*G106*(1-H106)*1440/1000000*3.4</f>
        <v>53.315481599999998</v>
      </c>
      <c r="K106" s="85">
        <f>(IF(G106&lt;L106,L106,G106)*(1-IF(H106&lt;N106,H106,N106))*E106*O106*Q106)/100000000</f>
        <v>14.279205792000001</v>
      </c>
      <c r="L106" s="38">
        <v>830</v>
      </c>
      <c r="M106" s="38">
        <f>+L106-L106*0.18</f>
        <v>680.6</v>
      </c>
      <c r="N106" s="49">
        <f>1-(M106/L106)</f>
        <v>0.17999999999999994</v>
      </c>
      <c r="O106" s="50">
        <f>+'Trim Rwd'!H78</f>
        <v>327</v>
      </c>
      <c r="P106" s="51">
        <f>O106*(Q106-R106-S106)</f>
        <v>128838</v>
      </c>
      <c r="Q106" s="50">
        <v>401</v>
      </c>
      <c r="R106" s="512">
        <v>0</v>
      </c>
      <c r="S106" s="512">
        <v>7</v>
      </c>
      <c r="T106" s="40">
        <f>E106*M106*O106*Q106/100000000</f>
        <v>14.279205792000001</v>
      </c>
      <c r="U106" s="40">
        <f>E106*M106*O106*(Q106-R106-S106)/100000000</f>
        <v>14.029942848000001</v>
      </c>
      <c r="V106" s="40">
        <f>E106*G106*(1-N106)*O106/100*(R106+S106)/1000000</f>
        <v>0.24926294399999999</v>
      </c>
      <c r="W106" s="40">
        <f>+'22'!K23/1000</f>
        <v>12.35</v>
      </c>
      <c r="X106" s="41"/>
      <c r="Y106" s="214"/>
      <c r="Z106" s="40"/>
      <c r="AA106" s="40"/>
      <c r="AB106" s="40"/>
      <c r="AC106" s="40">
        <f>K106-T106</f>
        <v>0</v>
      </c>
      <c r="AD106" s="40">
        <f>+AM106+BA106</f>
        <v>12</v>
      </c>
      <c r="AE106" s="233" t="s">
        <v>390</v>
      </c>
      <c r="AF106" s="40"/>
      <c r="AG106" s="40">
        <v>12</v>
      </c>
      <c r="AH106" s="40"/>
      <c r="AI106" s="514"/>
      <c r="AJ106" s="40"/>
      <c r="AK106" s="40"/>
      <c r="AL106" s="40"/>
      <c r="AM106" s="40">
        <f>SUM(AF106:AL106)+AT106+AV106+AX106</f>
        <v>12</v>
      </c>
      <c r="AN106" s="86"/>
      <c r="AO106" s="40"/>
      <c r="AP106" s="40"/>
      <c r="AQ106" s="40"/>
      <c r="AR106" s="40">
        <f>SUM(AN106:AQ106)</f>
        <v>0</v>
      </c>
      <c r="AS106" s="40"/>
      <c r="AT106" s="40"/>
      <c r="AU106" s="40"/>
      <c r="AV106" s="40"/>
      <c r="AW106" s="40"/>
      <c r="AX106" s="40"/>
      <c r="AY106" s="40"/>
      <c r="AZ106" s="40"/>
      <c r="BA106" s="40">
        <f>+AR106+AS106+AU106+AW106+AY106+AZ106</f>
        <v>0</v>
      </c>
      <c r="BB106" s="53"/>
      <c r="BC106" s="54">
        <v>3</v>
      </c>
      <c r="BD106" s="54"/>
      <c r="BE106" s="53"/>
      <c r="BF106" s="54"/>
    </row>
    <row r="107" spans="1:58" ht="12.95" customHeight="1">
      <c r="A107" s="43"/>
      <c r="B107" s="44"/>
      <c r="C107" s="460"/>
      <c r="D107" s="44"/>
      <c r="E107" s="45"/>
      <c r="F107" s="45"/>
      <c r="G107" s="511"/>
      <c r="H107" s="47"/>
      <c r="I107" s="48"/>
      <c r="J107" s="85"/>
      <c r="K107" s="85"/>
      <c r="L107" s="38"/>
      <c r="M107" s="38"/>
      <c r="N107" s="49"/>
      <c r="O107" s="50"/>
      <c r="P107" s="51"/>
      <c r="Q107" s="50"/>
      <c r="R107" s="512"/>
      <c r="S107" s="512"/>
      <c r="T107" s="40"/>
      <c r="U107" s="40"/>
      <c r="V107" s="40"/>
      <c r="W107" s="40"/>
      <c r="X107" s="41"/>
      <c r="Y107" s="214"/>
      <c r="Z107" s="40"/>
      <c r="AA107" s="40"/>
      <c r="AB107" s="40"/>
      <c r="AC107" s="40"/>
      <c r="AD107" s="40">
        <f>+AM107+BA107</f>
        <v>14</v>
      </c>
      <c r="AE107" s="233" t="s">
        <v>226</v>
      </c>
      <c r="AF107" s="36"/>
      <c r="AG107" s="36"/>
      <c r="AH107" s="36">
        <v>14</v>
      </c>
      <c r="AI107" s="514"/>
      <c r="AJ107" s="40"/>
      <c r="AK107" s="40"/>
      <c r="AL107" s="40"/>
      <c r="AM107" s="40">
        <f>SUM(AF107:AL107)+AT107+AV107+AX107</f>
        <v>14</v>
      </c>
      <c r="AN107" s="40"/>
      <c r="AO107" s="40"/>
      <c r="AP107" s="40"/>
      <c r="AQ107" s="40"/>
      <c r="AR107" s="40">
        <f>SUM(AN107:AQ107)</f>
        <v>0</v>
      </c>
      <c r="AS107" s="40"/>
      <c r="AT107" s="40"/>
      <c r="AU107" s="40"/>
      <c r="AV107" s="40"/>
      <c r="AW107" s="40"/>
      <c r="AX107" s="40"/>
      <c r="AY107" s="40"/>
      <c r="AZ107" s="40"/>
      <c r="BA107" s="40">
        <f>+AR107+AS107+AU107+AW107+AY107+AZ107</f>
        <v>0</v>
      </c>
      <c r="BB107" s="36"/>
      <c r="BC107" s="515"/>
      <c r="BD107" s="515"/>
      <c r="BE107" s="36"/>
      <c r="BF107" s="515"/>
    </row>
    <row r="108" spans="1:58" ht="12.95" customHeight="1">
      <c r="A108" s="43"/>
      <c r="B108" s="44"/>
      <c r="C108" s="460"/>
      <c r="D108" s="44"/>
      <c r="E108" s="45"/>
      <c r="F108" s="45"/>
      <c r="G108" s="511"/>
      <c r="H108" s="47"/>
      <c r="I108" s="48"/>
      <c r="J108" s="85"/>
      <c r="K108" s="85"/>
      <c r="L108" s="38"/>
      <c r="M108" s="38"/>
      <c r="N108" s="49"/>
      <c r="O108" s="50"/>
      <c r="P108" s="51"/>
      <c r="Q108" s="50"/>
      <c r="R108" s="512"/>
      <c r="S108" s="512"/>
      <c r="T108" s="40"/>
      <c r="U108" s="40"/>
      <c r="V108" s="40"/>
      <c r="W108" s="40"/>
      <c r="X108" s="41"/>
      <c r="Y108" s="214"/>
      <c r="Z108" s="40"/>
      <c r="AA108" s="52"/>
      <c r="AB108" s="52"/>
      <c r="AC108" s="40"/>
      <c r="AD108" s="40">
        <f>+AM108+BA108</f>
        <v>4</v>
      </c>
      <c r="AE108" s="233" t="s">
        <v>447</v>
      </c>
      <c r="AF108" s="40"/>
      <c r="AG108" s="40"/>
      <c r="AH108" s="40"/>
      <c r="AI108" s="40">
        <v>4</v>
      </c>
      <c r="AJ108" s="40"/>
      <c r="AK108" s="40"/>
      <c r="AL108" s="40"/>
      <c r="AM108" s="40">
        <f>SUM(AF108:AL108)+AT108+AV108+AX108</f>
        <v>4</v>
      </c>
      <c r="AN108" s="40"/>
      <c r="AO108" s="40"/>
      <c r="AP108" s="40"/>
      <c r="AQ108" s="40"/>
      <c r="AR108" s="40">
        <f>SUM(AN108:AQ108)</f>
        <v>0</v>
      </c>
      <c r="AS108" s="40"/>
      <c r="AT108" s="40"/>
      <c r="AU108" s="40"/>
      <c r="AV108" s="40"/>
      <c r="AW108" s="40"/>
      <c r="AX108" s="40"/>
      <c r="AY108" s="40"/>
      <c r="AZ108" s="40"/>
      <c r="BA108" s="40">
        <f>+AR108+AS108+AU108+AW108+AY108+AZ108</f>
        <v>0</v>
      </c>
      <c r="BB108" s="36"/>
      <c r="BC108" s="515"/>
      <c r="BD108" s="515"/>
      <c r="BE108" s="36"/>
      <c r="BF108" s="515"/>
    </row>
    <row r="109" spans="1:58" ht="12.95" customHeight="1">
      <c r="A109" s="43"/>
      <c r="B109" s="44"/>
      <c r="C109" s="460"/>
      <c r="D109" s="44"/>
      <c r="E109" s="45"/>
      <c r="F109" s="45"/>
      <c r="G109" s="511"/>
      <c r="H109" s="47"/>
      <c r="I109" s="48"/>
      <c r="J109" s="85"/>
      <c r="K109" s="85"/>
      <c r="L109" s="38"/>
      <c r="M109" s="38"/>
      <c r="N109" s="49"/>
      <c r="O109" s="50"/>
      <c r="P109" s="51"/>
      <c r="Q109" s="50"/>
      <c r="R109" s="512"/>
      <c r="S109" s="512"/>
      <c r="T109" s="40"/>
      <c r="U109" s="40"/>
      <c r="V109" s="40"/>
      <c r="W109" s="40"/>
      <c r="X109" s="513"/>
      <c r="Y109" s="214"/>
      <c r="Z109" s="40"/>
      <c r="AA109" s="52"/>
      <c r="AB109" s="52"/>
      <c r="AC109" s="40"/>
      <c r="AD109" s="40"/>
      <c r="AE109" s="233"/>
      <c r="AF109" s="40"/>
      <c r="AG109" s="40"/>
      <c r="AH109" s="40"/>
      <c r="AI109" s="514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36"/>
      <c r="BC109" s="54"/>
      <c r="BD109" s="54"/>
      <c r="BE109" s="54"/>
      <c r="BF109" s="54"/>
    </row>
    <row r="110" spans="1:58" ht="12.95" customHeight="1">
      <c r="A110" s="43">
        <v>45892</v>
      </c>
      <c r="B110" s="44" t="s">
        <v>8</v>
      </c>
      <c r="C110" s="460">
        <f>(M110*E110*O110*Q110)/100000000</f>
        <v>51.276948480000001</v>
      </c>
      <c r="D110" s="44" t="s">
        <v>491</v>
      </c>
      <c r="E110" s="45">
        <v>16</v>
      </c>
      <c r="F110" s="45">
        <v>1</v>
      </c>
      <c r="G110" s="511">
        <v>830</v>
      </c>
      <c r="H110" s="47">
        <v>0.18</v>
      </c>
      <c r="I110" s="48">
        <v>0.88</v>
      </c>
      <c r="J110" s="85">
        <f>E110*G110*(1-H110)*1440/1000000*3.4</f>
        <v>53.315481599999998</v>
      </c>
      <c r="K110" s="85">
        <f>(IF(G110&lt;L110,L110,G110)*(1-IF(H110&lt;N110,H110,N110))*E110*O110*Q110)/100000000</f>
        <v>51.276948480000001</v>
      </c>
      <c r="L110" s="38">
        <v>830</v>
      </c>
      <c r="M110" s="38">
        <f>+L110-L110*0.18</f>
        <v>680.6</v>
      </c>
      <c r="N110" s="49">
        <f>1-(M110/L110)</f>
        <v>0.17999999999999994</v>
      </c>
      <c r="O110" s="50">
        <f>+'Trim Rwd'!H80</f>
        <v>327</v>
      </c>
      <c r="P110" s="51">
        <f>O110*(Q110-R110-S110)</f>
        <v>461070</v>
      </c>
      <c r="Q110" s="50">
        <v>1440</v>
      </c>
      <c r="R110" s="512">
        <v>0</v>
      </c>
      <c r="S110" s="512">
        <v>30</v>
      </c>
      <c r="T110" s="40">
        <f>E110*M110*O110*Q110/100000000</f>
        <v>51.276948480000001</v>
      </c>
      <c r="U110" s="40">
        <f>E110*M110*O110*(Q110-R110-S110)/100000000</f>
        <v>50.208678720000002</v>
      </c>
      <c r="V110" s="40">
        <f>E110*G110*(1-N110)*O110/100*(R110+S110)/1000000</f>
        <v>1.06826976</v>
      </c>
      <c r="W110" s="40">
        <f>+'23'!K34/1000</f>
        <v>50.241</v>
      </c>
      <c r="X110" s="513">
        <f>SUM(W110:W113)/SUM(K110:K113)</f>
        <v>0.97979699434719558</v>
      </c>
      <c r="Y110" s="214">
        <v>0</v>
      </c>
      <c r="Z110" s="40">
        <f>+'23'!D34/1000</f>
        <v>0.25</v>
      </c>
      <c r="AA110" s="52">
        <f>SUM(U110:U113)-SUM(W110:W113)-SUM(Z110:Z113)-SUM(Y110:Y113)</f>
        <v>-0.2823212799999979</v>
      </c>
      <c r="AB110" s="52">
        <f>(SUM(K110:K113)-SUM(W110:W113)-SUM(Y110:Y113)-SUM(Z110:Z113)-SUM(AC110:AC113)-SUM(V110:V113))-AA110</f>
        <v>0</v>
      </c>
      <c r="AC110" s="40">
        <f>K110-T110</f>
        <v>0</v>
      </c>
      <c r="AD110" s="40">
        <f>+AM110+BA110</f>
        <v>0</v>
      </c>
      <c r="AE110" s="233" t="s">
        <v>391</v>
      </c>
      <c r="AF110" s="40">
        <v>0</v>
      </c>
      <c r="AG110" s="40"/>
      <c r="AH110" s="40"/>
      <c r="AI110" s="514"/>
      <c r="AJ110" s="40"/>
      <c r="AK110" s="40"/>
      <c r="AL110" s="40"/>
      <c r="AM110" s="40">
        <f>SUM(AF110:AL110)+AT110+AV110+AX110</f>
        <v>0</v>
      </c>
      <c r="AN110" s="40"/>
      <c r="AO110" s="40"/>
      <c r="AP110" s="40"/>
      <c r="AQ110" s="40"/>
      <c r="AR110" s="40">
        <f>SUM(AN110:AQ110)</f>
        <v>0</v>
      </c>
      <c r="AS110" s="40"/>
      <c r="AT110" s="40"/>
      <c r="AU110" s="40"/>
      <c r="AV110" s="40"/>
      <c r="AW110" s="40"/>
      <c r="AX110" s="40"/>
      <c r="AY110" s="40"/>
      <c r="AZ110" s="40"/>
      <c r="BA110" s="40">
        <f>+AR110+AS110+AU110+AW110+AY110+AZ110</f>
        <v>0</v>
      </c>
      <c r="BB110" s="36">
        <v>0</v>
      </c>
      <c r="BC110" s="54"/>
      <c r="BD110" s="54"/>
      <c r="BE110" s="36"/>
      <c r="BF110" s="54"/>
    </row>
    <row r="111" spans="1:58" ht="12.95" customHeight="1">
      <c r="A111" s="43"/>
      <c r="B111" s="44"/>
      <c r="C111" s="460"/>
      <c r="D111" s="44"/>
      <c r="E111" s="45"/>
      <c r="F111" s="45"/>
      <c r="G111" s="511"/>
      <c r="H111" s="47"/>
      <c r="I111" s="48"/>
      <c r="J111" s="85"/>
      <c r="K111" s="85"/>
      <c r="L111" s="38"/>
      <c r="M111" s="38"/>
      <c r="N111" s="49"/>
      <c r="O111" s="50"/>
      <c r="P111" s="51"/>
      <c r="Q111" s="50"/>
      <c r="R111" s="512"/>
      <c r="S111" s="512"/>
      <c r="T111" s="40"/>
      <c r="U111" s="40"/>
      <c r="V111" s="40"/>
      <c r="W111" s="40"/>
      <c r="X111" s="41"/>
      <c r="Y111" s="214"/>
      <c r="Z111" s="40"/>
      <c r="AA111" s="40"/>
      <c r="AB111" s="40"/>
      <c r="AC111" s="40"/>
      <c r="AD111" s="40">
        <f>+AM111+BA111</f>
        <v>15</v>
      </c>
      <c r="AE111" s="233" t="s">
        <v>446</v>
      </c>
      <c r="AF111" s="40"/>
      <c r="AG111" s="40">
        <v>15</v>
      </c>
      <c r="AH111" s="40"/>
      <c r="AI111" s="514"/>
      <c r="AJ111" s="40"/>
      <c r="AK111" s="40"/>
      <c r="AL111" s="40"/>
      <c r="AM111" s="40">
        <f>SUM(AF111:AL111)+AT111+AV111+AX111</f>
        <v>15</v>
      </c>
      <c r="AN111" s="86"/>
      <c r="AO111" s="40"/>
      <c r="AP111" s="40"/>
      <c r="AQ111" s="40"/>
      <c r="AR111" s="40">
        <f>SUM(AN111:AQ111)</f>
        <v>0</v>
      </c>
      <c r="AS111" s="40"/>
      <c r="AT111" s="40"/>
      <c r="AU111" s="40"/>
      <c r="AV111" s="40"/>
      <c r="AW111" s="40"/>
      <c r="AX111" s="40"/>
      <c r="AY111" s="40"/>
      <c r="AZ111" s="40"/>
      <c r="BA111" s="40">
        <f>+AR111+AS111+AU111+AW111+AY111+AZ111</f>
        <v>0</v>
      </c>
      <c r="BB111" s="53"/>
      <c r="BC111" s="54">
        <v>5</v>
      </c>
      <c r="BD111" s="54"/>
      <c r="BE111" s="53"/>
      <c r="BF111" s="54"/>
    </row>
    <row r="112" spans="1:58" ht="12.95" customHeight="1">
      <c r="A112" s="43"/>
      <c r="B112" s="44"/>
      <c r="C112" s="460"/>
      <c r="D112" s="44"/>
      <c r="E112" s="45"/>
      <c r="F112" s="45"/>
      <c r="G112" s="511"/>
      <c r="H112" s="47"/>
      <c r="I112" s="48"/>
      <c r="J112" s="85"/>
      <c r="K112" s="85"/>
      <c r="L112" s="38"/>
      <c r="M112" s="38"/>
      <c r="N112" s="49"/>
      <c r="O112" s="50"/>
      <c r="P112" s="51"/>
      <c r="Q112" s="50"/>
      <c r="R112" s="512"/>
      <c r="S112" s="512"/>
      <c r="T112" s="40"/>
      <c r="U112" s="40"/>
      <c r="V112" s="40"/>
      <c r="W112" s="40"/>
      <c r="X112" s="41"/>
      <c r="Y112" s="214"/>
      <c r="Z112" s="40"/>
      <c r="AA112" s="40"/>
      <c r="AB112" s="40"/>
      <c r="AC112" s="40"/>
      <c r="AD112" s="40">
        <f>+AM112+BA112</f>
        <v>15</v>
      </c>
      <c r="AE112" s="233" t="s">
        <v>226</v>
      </c>
      <c r="AF112" s="36"/>
      <c r="AG112" s="36"/>
      <c r="AH112" s="36">
        <v>15</v>
      </c>
      <c r="AI112" s="514"/>
      <c r="AJ112" s="40"/>
      <c r="AK112" s="40"/>
      <c r="AL112" s="40"/>
      <c r="AM112" s="40">
        <f>SUM(AF112:AL112)+AT112+AV112+AX112</f>
        <v>15</v>
      </c>
      <c r="AN112" s="40"/>
      <c r="AO112" s="40"/>
      <c r="AP112" s="40"/>
      <c r="AQ112" s="40"/>
      <c r="AR112" s="40">
        <f>SUM(AN112:AQ112)</f>
        <v>0</v>
      </c>
      <c r="AS112" s="40"/>
      <c r="AT112" s="40"/>
      <c r="AU112" s="40"/>
      <c r="AV112" s="40"/>
      <c r="AW112" s="40"/>
      <c r="AX112" s="40"/>
      <c r="AY112" s="40"/>
      <c r="AZ112" s="40"/>
      <c r="BA112" s="40">
        <f>+AR112+AS112+AU112+AW112+AY112+AZ112</f>
        <v>0</v>
      </c>
      <c r="BB112" s="36"/>
      <c r="BC112" s="515"/>
      <c r="BD112" s="515"/>
      <c r="BE112" s="36"/>
      <c r="BF112" s="515"/>
    </row>
    <row r="113" spans="1:58" ht="12.95" customHeight="1">
      <c r="A113" s="43"/>
      <c r="B113" s="44"/>
      <c r="C113" s="460"/>
      <c r="D113" s="44"/>
      <c r="E113" s="45"/>
      <c r="F113" s="45"/>
      <c r="G113" s="511"/>
      <c r="H113" s="47"/>
      <c r="I113" s="48"/>
      <c r="J113" s="85"/>
      <c r="K113" s="85"/>
      <c r="L113" s="38"/>
      <c r="M113" s="38"/>
      <c r="N113" s="49"/>
      <c r="O113" s="50"/>
      <c r="P113" s="51"/>
      <c r="Q113" s="50"/>
      <c r="R113" s="512"/>
      <c r="S113" s="512"/>
      <c r="T113" s="40"/>
      <c r="U113" s="40"/>
      <c r="V113" s="40"/>
      <c r="W113" s="40"/>
      <c r="X113" s="41"/>
      <c r="Y113" s="214"/>
      <c r="Z113" s="40"/>
      <c r="AA113" s="52"/>
      <c r="AB113" s="52"/>
      <c r="AC113" s="40"/>
      <c r="AD113" s="40"/>
      <c r="AE113" s="233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36"/>
      <c r="BC113" s="515"/>
      <c r="BD113" s="515"/>
      <c r="BE113" s="36"/>
      <c r="BF113" s="515"/>
    </row>
    <row r="114" spans="1:58" ht="12.95" customHeight="1">
      <c r="A114" s="43">
        <v>45893</v>
      </c>
      <c r="B114" s="44" t="s">
        <v>8</v>
      </c>
      <c r="C114" s="460">
        <f>(M114*E114*O114*Q114)/100000000</f>
        <v>51.355353600000001</v>
      </c>
      <c r="D114" s="44" t="s">
        <v>491</v>
      </c>
      <c r="E114" s="45">
        <v>16</v>
      </c>
      <c r="F114" s="45">
        <v>1</v>
      </c>
      <c r="G114" s="511">
        <v>830</v>
      </c>
      <c r="H114" s="47">
        <v>0.18</v>
      </c>
      <c r="I114" s="48">
        <v>0.88</v>
      </c>
      <c r="J114" s="85">
        <f>E114*G114*(1-H114)*1440/1000000*3.4</f>
        <v>53.315481599999998</v>
      </c>
      <c r="K114" s="85">
        <f>(IF(G114&lt;L114,L114,G114)*(1-IF(H114&lt;N114,H114,N114))*E114*O114*Q114)/100000000</f>
        <v>51.355353600000001</v>
      </c>
      <c r="L114" s="38">
        <v>830</v>
      </c>
      <c r="M114" s="38">
        <f>+L114-L114*0.18</f>
        <v>680.6</v>
      </c>
      <c r="N114" s="49">
        <f>1-(M114/L114)</f>
        <v>0.17999999999999994</v>
      </c>
      <c r="O114" s="50">
        <f>+'Trim Rwd'!H82</f>
        <v>327.5</v>
      </c>
      <c r="P114" s="51">
        <f>O114*(Q114-R114-S114)</f>
        <v>465705</v>
      </c>
      <c r="Q114" s="50">
        <v>1440</v>
      </c>
      <c r="R114" s="512">
        <v>0</v>
      </c>
      <c r="S114" s="512">
        <v>18</v>
      </c>
      <c r="T114" s="40">
        <f>E114*M114*O114*Q114/100000000</f>
        <v>51.355353600000001</v>
      </c>
      <c r="U114" s="40">
        <f>E114*M114*O114*(Q114-R114-S114)/100000000</f>
        <v>50.71341168</v>
      </c>
      <c r="V114" s="40">
        <f>E114*G114*(1-N114)*O114/100*(R114+S114)/1000000</f>
        <v>0.64194192000000005</v>
      </c>
      <c r="W114" s="40">
        <f>+'24'!K34/1000</f>
        <v>51.228999999999999</v>
      </c>
      <c r="X114" s="513">
        <f>SUM(W114:W117)/SUM(K114:K117)</f>
        <v>0.99753962165299936</v>
      </c>
      <c r="Y114" s="214">
        <v>0</v>
      </c>
      <c r="Z114" s="40">
        <v>0</v>
      </c>
      <c r="AA114" s="52">
        <f>SUM(U114:U117)-SUM(W114:W117)-SUM(Z114:Z117)-SUM(Y114:Y117)</f>
        <v>-0.5155883199999991</v>
      </c>
      <c r="AB114" s="52">
        <f>(SUM(K114:K117)-SUM(W114:W117)-SUM(Y114:Y117)-SUM(Z114:Z117)-SUM(AC114:AC117)-SUM(V114:V117))-AA114</f>
        <v>0</v>
      </c>
      <c r="AC114" s="40">
        <f>K114-T114</f>
        <v>0</v>
      </c>
      <c r="AD114" s="40">
        <f>+AM114+BA114</f>
        <v>0</v>
      </c>
      <c r="AE114" s="233" t="s">
        <v>391</v>
      </c>
      <c r="AF114" s="40">
        <v>0</v>
      </c>
      <c r="AG114" s="40"/>
      <c r="AH114" s="40"/>
      <c r="AI114" s="514"/>
      <c r="AJ114" s="40"/>
      <c r="AK114" s="40"/>
      <c r="AL114" s="40"/>
      <c r="AM114" s="40">
        <f>SUM(AF114:AL114)+AT114+AV114+AX114</f>
        <v>0</v>
      </c>
      <c r="AN114" s="40"/>
      <c r="AO114" s="40"/>
      <c r="AP114" s="40"/>
      <c r="AQ114" s="40"/>
      <c r="AR114" s="40">
        <f>SUM(AN114:AQ114)</f>
        <v>0</v>
      </c>
      <c r="AS114" s="40"/>
      <c r="AT114" s="40"/>
      <c r="AU114" s="40"/>
      <c r="AV114" s="40"/>
      <c r="AW114" s="40"/>
      <c r="AX114" s="40"/>
      <c r="AY114" s="40"/>
      <c r="AZ114" s="40"/>
      <c r="BA114" s="40">
        <f>+AR114+AS114+AU114+AW114+AY114+AZ114</f>
        <v>0</v>
      </c>
      <c r="BB114" s="36">
        <v>0</v>
      </c>
      <c r="BC114" s="54"/>
      <c r="BD114" s="54"/>
      <c r="BE114" s="36"/>
      <c r="BF114" s="54"/>
    </row>
    <row r="115" spans="1:58" ht="12.95" customHeight="1">
      <c r="A115" s="43"/>
      <c r="B115" s="44"/>
      <c r="C115" s="460"/>
      <c r="D115" s="44"/>
      <c r="E115" s="45"/>
      <c r="F115" s="45"/>
      <c r="G115" s="511"/>
      <c r="H115" s="47"/>
      <c r="I115" s="48"/>
      <c r="J115" s="85"/>
      <c r="K115" s="85"/>
      <c r="L115" s="38"/>
      <c r="M115" s="38"/>
      <c r="N115" s="49"/>
      <c r="O115" s="50"/>
      <c r="P115" s="51"/>
      <c r="Q115" s="50"/>
      <c r="R115" s="512"/>
      <c r="S115" s="512"/>
      <c r="T115" s="40"/>
      <c r="U115" s="40"/>
      <c r="V115" s="40"/>
      <c r="W115" s="40"/>
      <c r="X115" s="41"/>
      <c r="Y115" s="214"/>
      <c r="Z115" s="40"/>
      <c r="AA115" s="40"/>
      <c r="AB115" s="40"/>
      <c r="AC115" s="40"/>
      <c r="AD115" s="40">
        <f>+AM115+BA115</f>
        <v>5</v>
      </c>
      <c r="AE115" s="233" t="s">
        <v>434</v>
      </c>
      <c r="AF115" s="40"/>
      <c r="AG115" s="40">
        <v>5</v>
      </c>
      <c r="AH115" s="40"/>
      <c r="AI115" s="514"/>
      <c r="AJ115" s="40"/>
      <c r="AK115" s="40"/>
      <c r="AL115" s="40"/>
      <c r="AM115" s="40">
        <f>SUM(AF115:AL115)+AT115+AV115+AX115</f>
        <v>5</v>
      </c>
      <c r="AN115" s="86"/>
      <c r="AO115" s="40"/>
      <c r="AP115" s="40"/>
      <c r="AQ115" s="40"/>
      <c r="AR115" s="40">
        <f>SUM(AN115:AQ115)</f>
        <v>0</v>
      </c>
      <c r="AS115" s="40"/>
      <c r="AT115" s="40"/>
      <c r="AU115" s="40"/>
      <c r="AV115" s="40"/>
      <c r="AW115" s="40"/>
      <c r="AX115" s="40"/>
      <c r="AY115" s="40"/>
      <c r="AZ115" s="40"/>
      <c r="BA115" s="40">
        <f>+AR115+AS115+AU115+AW115+AY115+AZ115</f>
        <v>0</v>
      </c>
      <c r="BB115" s="53"/>
      <c r="BC115" s="54">
        <v>2</v>
      </c>
      <c r="BD115" s="54"/>
      <c r="BE115" s="53"/>
      <c r="BF115" s="54"/>
    </row>
    <row r="116" spans="1:58" ht="12.95" customHeight="1">
      <c r="A116" s="43"/>
      <c r="B116" s="44"/>
      <c r="C116" s="460"/>
      <c r="D116" s="44"/>
      <c r="E116" s="45"/>
      <c r="F116" s="45"/>
      <c r="G116" s="511"/>
      <c r="H116" s="47"/>
      <c r="I116" s="48"/>
      <c r="J116" s="85"/>
      <c r="K116" s="85"/>
      <c r="L116" s="38"/>
      <c r="M116" s="38"/>
      <c r="N116" s="49"/>
      <c r="O116" s="50"/>
      <c r="P116" s="51"/>
      <c r="Q116" s="50"/>
      <c r="R116" s="512"/>
      <c r="S116" s="512"/>
      <c r="T116" s="40"/>
      <c r="U116" s="40"/>
      <c r="V116" s="40"/>
      <c r="W116" s="40"/>
      <c r="X116" s="41"/>
      <c r="Y116" s="214"/>
      <c r="Z116" s="40"/>
      <c r="AA116" s="40"/>
      <c r="AB116" s="40"/>
      <c r="AC116" s="40"/>
      <c r="AD116" s="40">
        <f>+AM116+BA116</f>
        <v>13</v>
      </c>
      <c r="AE116" s="233" t="s">
        <v>226</v>
      </c>
      <c r="AF116" s="36"/>
      <c r="AG116" s="36"/>
      <c r="AH116" s="36">
        <v>13</v>
      </c>
      <c r="AI116" s="514"/>
      <c r="AJ116" s="40"/>
      <c r="AK116" s="40"/>
      <c r="AL116" s="40"/>
      <c r="AM116" s="40">
        <f>SUM(AF116:AL116)+AT116+AV116+AX116</f>
        <v>13</v>
      </c>
      <c r="AN116" s="40"/>
      <c r="AO116" s="40"/>
      <c r="AP116" s="40"/>
      <c r="AQ116" s="40"/>
      <c r="AR116" s="40">
        <f>SUM(AN116:AQ116)</f>
        <v>0</v>
      </c>
      <c r="AS116" s="40"/>
      <c r="AT116" s="40"/>
      <c r="AU116" s="40"/>
      <c r="AV116" s="40"/>
      <c r="AW116" s="40"/>
      <c r="AX116" s="40"/>
      <c r="AY116" s="40"/>
      <c r="AZ116" s="40"/>
      <c r="BA116" s="40">
        <f>+AR116+AS116+AU116+AW116+AY116+AZ116</f>
        <v>0</v>
      </c>
      <c r="BB116" s="36"/>
      <c r="BC116" s="515"/>
      <c r="BD116" s="515"/>
      <c r="BE116" s="36"/>
      <c r="BF116" s="515"/>
    </row>
    <row r="117" spans="1:58" ht="12.95" customHeight="1">
      <c r="A117" s="43"/>
      <c r="B117" s="44"/>
      <c r="C117" s="460"/>
      <c r="D117" s="44"/>
      <c r="E117" s="45"/>
      <c r="F117" s="45"/>
      <c r="G117" s="511"/>
      <c r="H117" s="47"/>
      <c r="I117" s="48"/>
      <c r="J117" s="85"/>
      <c r="K117" s="85"/>
      <c r="L117" s="38"/>
      <c r="M117" s="38"/>
      <c r="N117" s="49"/>
      <c r="O117" s="50"/>
      <c r="P117" s="51"/>
      <c r="Q117" s="50"/>
      <c r="R117" s="512"/>
      <c r="S117" s="512"/>
      <c r="T117" s="40"/>
      <c r="U117" s="40"/>
      <c r="V117" s="40"/>
      <c r="W117" s="40"/>
      <c r="X117" s="41"/>
      <c r="Y117" s="214"/>
      <c r="Z117" s="40"/>
      <c r="AA117" s="52"/>
      <c r="AB117" s="52"/>
      <c r="AC117" s="40"/>
      <c r="AD117" s="40"/>
      <c r="AE117" s="233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36"/>
      <c r="BC117" s="515"/>
      <c r="BD117" s="515"/>
      <c r="BE117" s="36"/>
      <c r="BF117" s="515"/>
    </row>
    <row r="118" spans="1:58" ht="12.95" customHeight="1">
      <c r="A118" s="43">
        <v>45894</v>
      </c>
      <c r="B118" s="44" t="s">
        <v>8</v>
      </c>
      <c r="C118" s="460">
        <f>(M118*E118*O118*Q118)/100000000</f>
        <v>15.001512959999999</v>
      </c>
      <c r="D118" s="44" t="s">
        <v>491</v>
      </c>
      <c r="E118" s="45">
        <v>16</v>
      </c>
      <c r="F118" s="45">
        <v>1</v>
      </c>
      <c r="G118" s="511">
        <v>830</v>
      </c>
      <c r="H118" s="47">
        <v>0.18</v>
      </c>
      <c r="I118" s="48">
        <v>0.88</v>
      </c>
      <c r="J118" s="85">
        <f>E118*G118*(1-H118)*1440/1000000*3.4</f>
        <v>53.315481599999998</v>
      </c>
      <c r="K118" s="85">
        <f>(IF(G118&lt;L118,L118,G118)*(1-IF(H118&lt;N118,H118,N118))*E118*O118*Q118)/100000000</f>
        <v>15.001512959999999</v>
      </c>
      <c r="L118" s="38">
        <v>830</v>
      </c>
      <c r="M118" s="38">
        <f>+L118-L118*0.18</f>
        <v>680.6</v>
      </c>
      <c r="N118" s="49">
        <f>1-(M118/L118)</f>
        <v>0.17999999999999994</v>
      </c>
      <c r="O118" s="50">
        <f>+'Trim Rwd'!H85</f>
        <v>328</v>
      </c>
      <c r="P118" s="51">
        <f>O118*(Q118-R118-S118)</f>
        <v>134152</v>
      </c>
      <c r="Q118" s="50">
        <v>420</v>
      </c>
      <c r="R118" s="512">
        <v>0</v>
      </c>
      <c r="S118" s="512">
        <v>11</v>
      </c>
      <c r="T118" s="40">
        <f>E118*M118*O118*Q118/100000000</f>
        <v>15.001512959999999</v>
      </c>
      <c r="U118" s="40">
        <f>E118*M118*O118*(Q118-R118-S118)/100000000</f>
        <v>14.608616192000001</v>
      </c>
      <c r="V118" s="40">
        <f>E118*G118*(1-N118)*O118/100*(R118+S118)/1000000</f>
        <v>0.39289676800000006</v>
      </c>
      <c r="W118" s="40">
        <f>+'25'!K23/1000</f>
        <v>16.791</v>
      </c>
      <c r="X118" s="513">
        <f>SUM(W118:W121)/SUM(K118:K121)</f>
        <v>0.95069706337270021</v>
      </c>
      <c r="Y118" s="214">
        <v>0</v>
      </c>
      <c r="Z118" s="40">
        <v>0</v>
      </c>
      <c r="AA118" s="52">
        <f>SUM(U118:U121)-SUM(W118:W121)-SUM(Z118:Z121)-SUM(Y118:Y121)</f>
        <v>1.9923722479999952</v>
      </c>
      <c r="AB118" s="52">
        <f>(SUM(K118:K121)-SUM(W118:W121)-SUM(Y118:Y121)-SUM(Z118:Z121)-SUM(AC118:AC121)-SUM(V118:V121))-AA118</f>
        <v>2.6645352591003757E-15</v>
      </c>
      <c r="AC118" s="40">
        <f>K118-T118</f>
        <v>0</v>
      </c>
      <c r="AD118" s="40">
        <f>+AM118+BA118</f>
        <v>3</v>
      </c>
      <c r="AE118" s="233" t="s">
        <v>435</v>
      </c>
      <c r="AF118" s="40">
        <v>3</v>
      </c>
      <c r="AG118" s="40"/>
      <c r="AH118" s="40"/>
      <c r="AI118" s="514"/>
      <c r="AJ118" s="40"/>
      <c r="AK118" s="40"/>
      <c r="AL118" s="40"/>
      <c r="AM118" s="40">
        <f>SUM(AF118:AL118)+AT118+AV118+AX118</f>
        <v>3</v>
      </c>
      <c r="AN118" s="40"/>
      <c r="AO118" s="40"/>
      <c r="AP118" s="40"/>
      <c r="AQ118" s="40"/>
      <c r="AR118" s="40">
        <f>SUM(AN118:AQ118)</f>
        <v>0</v>
      </c>
      <c r="AS118" s="40"/>
      <c r="AT118" s="40"/>
      <c r="AU118" s="40"/>
      <c r="AV118" s="40"/>
      <c r="AW118" s="40"/>
      <c r="AX118" s="40"/>
      <c r="AY118" s="40"/>
      <c r="AZ118" s="40"/>
      <c r="BA118" s="40">
        <f>+AR118+AS118+AU118+AW118+AY118+AZ118</f>
        <v>0</v>
      </c>
      <c r="BB118" s="36">
        <v>1</v>
      </c>
      <c r="BC118" s="54"/>
      <c r="BD118" s="54"/>
      <c r="BE118" s="36"/>
      <c r="BF118" s="54"/>
    </row>
    <row r="119" spans="1:58" ht="12.95" customHeight="1">
      <c r="A119" s="43"/>
      <c r="B119" s="44" t="s">
        <v>445</v>
      </c>
      <c r="C119" s="460">
        <f>(M119*E119*O119*Q119)/100000000</f>
        <v>42.723499680000003</v>
      </c>
      <c r="D119" s="44" t="s">
        <v>491</v>
      </c>
      <c r="E119" s="45">
        <v>18</v>
      </c>
      <c r="F119" s="45">
        <v>1</v>
      </c>
      <c r="G119" s="511">
        <v>830</v>
      </c>
      <c r="H119" s="47">
        <v>0.14000000000000001</v>
      </c>
      <c r="I119" s="48">
        <v>0.88</v>
      </c>
      <c r="J119" s="85">
        <f>E119*G119*(1-H119)*1440/1000000*3.4</f>
        <v>62.905766399999997</v>
      </c>
      <c r="K119" s="85">
        <f>(IF(G119&lt;L119,L119,G119)*(1-IF(H119&lt;N119,H119,N119))*E119*O119*Q119)/100000000</f>
        <v>42.723499680000003</v>
      </c>
      <c r="L119" s="38">
        <v>830</v>
      </c>
      <c r="M119" s="38">
        <f>+L119-L119*0.14</f>
        <v>713.8</v>
      </c>
      <c r="N119" s="49">
        <f>1-(M119/L119)</f>
        <v>0.14000000000000001</v>
      </c>
      <c r="O119" s="50">
        <f>+'Trim Rwd'!H86</f>
        <v>326</v>
      </c>
      <c r="P119" s="51">
        <f>O119*(Q119-R119-S119)</f>
        <v>328934</v>
      </c>
      <c r="Q119" s="50">
        <v>1020</v>
      </c>
      <c r="R119" s="512">
        <v>0</v>
      </c>
      <c r="S119" s="512">
        <v>11</v>
      </c>
      <c r="T119" s="40">
        <f>E119*M119*O119*Q119/100000000</f>
        <v>42.723499680000003</v>
      </c>
      <c r="U119" s="40">
        <f>E119*M119*O119*(Q119-R119-S119)/100000000</f>
        <v>42.262756056000001</v>
      </c>
      <c r="V119" s="40">
        <f>E119*G119*(1-N119)*O119/100*(R119+S119)/1000000</f>
        <v>0.46074362400000002</v>
      </c>
      <c r="W119" s="40">
        <f>+'25'!K24/1000</f>
        <v>38.088000000000001</v>
      </c>
      <c r="X119" s="41"/>
      <c r="Y119" s="214"/>
      <c r="Z119" s="40"/>
      <c r="AA119" s="40"/>
      <c r="AB119" s="40"/>
      <c r="AC119" s="40">
        <f>K119-T119</f>
        <v>0</v>
      </c>
      <c r="AD119" s="40">
        <f>+AM119+BA119</f>
        <v>5</v>
      </c>
      <c r="AE119" s="233" t="s">
        <v>434</v>
      </c>
      <c r="AF119" s="40"/>
      <c r="AG119" s="40">
        <v>5</v>
      </c>
      <c r="AH119" s="40"/>
      <c r="AI119" s="514"/>
      <c r="AJ119" s="40"/>
      <c r="AK119" s="40"/>
      <c r="AL119" s="40"/>
      <c r="AM119" s="40">
        <f>SUM(AF119:AL119)+AT119+AV119+AX119</f>
        <v>5</v>
      </c>
      <c r="AN119" s="86"/>
      <c r="AO119" s="40"/>
      <c r="AP119" s="40"/>
      <c r="AQ119" s="40"/>
      <c r="AR119" s="40">
        <f>SUM(AN119:AQ119)</f>
        <v>0</v>
      </c>
      <c r="AS119" s="40"/>
      <c r="AT119" s="40"/>
      <c r="AU119" s="40"/>
      <c r="AV119" s="40"/>
      <c r="AW119" s="40"/>
      <c r="AX119" s="40"/>
      <c r="AY119" s="40"/>
      <c r="AZ119" s="40"/>
      <c r="BA119" s="40">
        <f>+AR119+AS119+AU119+AW119+AY119+AZ119</f>
        <v>0</v>
      </c>
      <c r="BB119" s="53"/>
      <c r="BC119" s="54">
        <v>2</v>
      </c>
      <c r="BD119" s="54"/>
      <c r="BE119" s="53"/>
      <c r="BF119" s="54"/>
    </row>
    <row r="120" spans="1:58" ht="12.95" customHeight="1">
      <c r="A120" s="43"/>
      <c r="B120" s="44"/>
      <c r="C120" s="460"/>
      <c r="D120" s="44"/>
      <c r="E120" s="45"/>
      <c r="F120" s="45"/>
      <c r="G120" s="511"/>
      <c r="H120" s="47"/>
      <c r="I120" s="48"/>
      <c r="J120" s="85"/>
      <c r="K120" s="85"/>
      <c r="L120" s="38"/>
      <c r="M120" s="38"/>
      <c r="N120" s="49"/>
      <c r="O120" s="50"/>
      <c r="P120" s="51"/>
      <c r="Q120" s="50"/>
      <c r="R120" s="512"/>
      <c r="S120" s="512"/>
      <c r="T120" s="40"/>
      <c r="U120" s="40"/>
      <c r="V120" s="40"/>
      <c r="W120" s="40"/>
      <c r="X120" s="41"/>
      <c r="Y120" s="214"/>
      <c r="Z120" s="40"/>
      <c r="AA120" s="40"/>
      <c r="AB120" s="40"/>
      <c r="AC120" s="40"/>
      <c r="AD120" s="40">
        <f>+AM120+BA120</f>
        <v>9</v>
      </c>
      <c r="AE120" s="233" t="s">
        <v>226</v>
      </c>
      <c r="AF120" s="36"/>
      <c r="AG120" s="36"/>
      <c r="AH120" s="36">
        <v>9</v>
      </c>
      <c r="AI120" s="514"/>
      <c r="AJ120" s="40"/>
      <c r="AK120" s="40"/>
      <c r="AL120" s="40"/>
      <c r="AM120" s="40">
        <f>SUM(AF120:AL120)+AT120+AV120+AX120</f>
        <v>9</v>
      </c>
      <c r="AN120" s="40"/>
      <c r="AO120" s="40"/>
      <c r="AP120" s="40"/>
      <c r="AQ120" s="40"/>
      <c r="AR120" s="40">
        <f>SUM(AN120:AQ120)</f>
        <v>0</v>
      </c>
      <c r="AS120" s="40"/>
      <c r="AT120" s="40"/>
      <c r="AU120" s="40"/>
      <c r="AV120" s="40"/>
      <c r="AW120" s="40"/>
      <c r="AX120" s="40"/>
      <c r="AY120" s="40"/>
      <c r="AZ120" s="40"/>
      <c r="BA120" s="40">
        <f>+AR120+AS120+AU120+AW120+AY120+AZ120</f>
        <v>0</v>
      </c>
      <c r="BB120" s="36"/>
      <c r="BC120" s="515"/>
      <c r="BD120" s="515"/>
      <c r="BE120" s="36"/>
      <c r="BF120" s="515"/>
    </row>
    <row r="121" spans="1:58" ht="12.95" customHeight="1">
      <c r="A121" s="43"/>
      <c r="B121" s="44"/>
      <c r="C121" s="460"/>
      <c r="D121" s="44"/>
      <c r="E121" s="45"/>
      <c r="F121" s="45"/>
      <c r="G121" s="511"/>
      <c r="H121" s="47"/>
      <c r="I121" s="48"/>
      <c r="J121" s="85"/>
      <c r="K121" s="85"/>
      <c r="L121" s="38"/>
      <c r="M121" s="38"/>
      <c r="N121" s="49"/>
      <c r="O121" s="50"/>
      <c r="P121" s="51"/>
      <c r="Q121" s="50"/>
      <c r="R121" s="512"/>
      <c r="S121" s="512"/>
      <c r="T121" s="40"/>
      <c r="U121" s="40"/>
      <c r="V121" s="40"/>
      <c r="W121" s="40"/>
      <c r="X121" s="41"/>
      <c r="Y121" s="214"/>
      <c r="Z121" s="40"/>
      <c r="AA121" s="40"/>
      <c r="AB121" s="40"/>
      <c r="AC121" s="40"/>
      <c r="AD121" s="40">
        <f>+AM121+BA121</f>
        <v>5</v>
      </c>
      <c r="AE121" s="233" t="s">
        <v>447</v>
      </c>
      <c r="AF121" s="40"/>
      <c r="AG121" s="40"/>
      <c r="AH121" s="40"/>
      <c r="AI121" s="514">
        <v>5</v>
      </c>
      <c r="AJ121" s="40"/>
      <c r="AK121" s="40"/>
      <c r="AL121" s="40"/>
      <c r="AM121" s="40">
        <f>SUM(AF121:AL121)+AT121+AV121+AX121</f>
        <v>5</v>
      </c>
      <c r="AN121" s="40"/>
      <c r="AO121" s="40"/>
      <c r="AP121" s="40"/>
      <c r="AQ121" s="40"/>
      <c r="AR121" s="40">
        <f>SUM(AN121:AQ121)</f>
        <v>0</v>
      </c>
      <c r="AS121" s="40"/>
      <c r="AT121" s="40"/>
      <c r="AU121" s="40"/>
      <c r="AV121" s="40"/>
      <c r="AW121" s="40"/>
      <c r="AX121" s="40"/>
      <c r="AY121" s="40"/>
      <c r="AZ121" s="40"/>
      <c r="BA121" s="40">
        <f>+AR121+AS121+AU121+AW121+AY121+AZ121</f>
        <v>0</v>
      </c>
      <c r="BB121" s="36"/>
      <c r="BC121" s="515"/>
      <c r="BD121" s="515"/>
      <c r="BE121" s="36"/>
      <c r="BF121" s="515"/>
    </row>
    <row r="122" spans="1:58" ht="12.95" customHeight="1">
      <c r="A122" s="43"/>
      <c r="B122" s="44"/>
      <c r="C122" s="460"/>
      <c r="D122" s="44"/>
      <c r="E122" s="45"/>
      <c r="F122" s="45"/>
      <c r="G122" s="511"/>
      <c r="H122" s="47"/>
      <c r="I122" s="48"/>
      <c r="J122" s="85"/>
      <c r="K122" s="85"/>
      <c r="L122" s="38"/>
      <c r="M122" s="38"/>
      <c r="N122" s="49"/>
      <c r="O122" s="50"/>
      <c r="P122" s="51"/>
      <c r="Q122" s="50"/>
      <c r="R122" s="512"/>
      <c r="S122" s="512"/>
      <c r="T122" s="40"/>
      <c r="U122" s="40"/>
      <c r="V122" s="40"/>
      <c r="W122" s="40"/>
      <c r="X122" s="41"/>
      <c r="Y122" s="214"/>
      <c r="Z122" s="40"/>
      <c r="AA122" s="40"/>
      <c r="AB122" s="40"/>
      <c r="AC122" s="40"/>
      <c r="AD122" s="40"/>
      <c r="AE122" s="233"/>
      <c r="AF122" s="36"/>
      <c r="AG122" s="36"/>
      <c r="AH122" s="36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36"/>
      <c r="BC122" s="515"/>
      <c r="BD122" s="54"/>
      <c r="BE122" s="54"/>
      <c r="BF122" s="54"/>
    </row>
    <row r="123" spans="1:58" ht="12.95" customHeight="1">
      <c r="A123" s="43">
        <v>45895</v>
      </c>
      <c r="B123" s="44" t="s">
        <v>445</v>
      </c>
      <c r="C123" s="460">
        <f>(M123*E123*O123*Q123)/100000000</f>
        <v>60.315528960000002</v>
      </c>
      <c r="D123" s="44" t="s">
        <v>491</v>
      </c>
      <c r="E123" s="45">
        <v>18</v>
      </c>
      <c r="F123" s="45">
        <v>1</v>
      </c>
      <c r="G123" s="511">
        <v>830</v>
      </c>
      <c r="H123" s="47">
        <v>0.14000000000000001</v>
      </c>
      <c r="I123" s="48">
        <v>0.88</v>
      </c>
      <c r="J123" s="85">
        <f>E123*G123*(1-H123)*1440/1000000*3.4</f>
        <v>62.905766399999997</v>
      </c>
      <c r="K123" s="85">
        <f>(IF(G123&lt;L123,L123,G123)*(1-IF(H123&lt;N123,H123,N123))*E123*O123*Q123)/100000000</f>
        <v>60.315528960000002</v>
      </c>
      <c r="L123" s="38">
        <v>830</v>
      </c>
      <c r="M123" s="38">
        <f>+L123-L123*0.14</f>
        <v>713.8</v>
      </c>
      <c r="N123" s="49">
        <f>1-(M123/L123)</f>
        <v>0.14000000000000001</v>
      </c>
      <c r="O123" s="50">
        <f>+'Trim Rwd'!H88</f>
        <v>326</v>
      </c>
      <c r="P123" s="51">
        <f>O123*(Q123-R123-S123)</f>
        <v>460312</v>
      </c>
      <c r="Q123" s="50">
        <v>1440</v>
      </c>
      <c r="R123" s="512">
        <v>0</v>
      </c>
      <c r="S123" s="512">
        <v>28</v>
      </c>
      <c r="T123" s="40">
        <f>E123*M123*O123*Q123/100000000</f>
        <v>60.315528960000002</v>
      </c>
      <c r="U123" s="40">
        <f>E123*M123*O123*(Q123-R123-S123)/100000000</f>
        <v>59.142727008000001</v>
      </c>
      <c r="V123" s="40">
        <f>E123*G123*(1-N123)*O123/100*(R123+S123)/1000000</f>
        <v>1.1728019520000001</v>
      </c>
      <c r="W123" s="40">
        <f>+'26'!K34/1000</f>
        <v>57.335000000000001</v>
      </c>
      <c r="X123" s="513">
        <f>SUM(W123:W126)/SUM(K123:K126)</f>
        <v>0.95058438496035369</v>
      </c>
      <c r="Y123" s="214">
        <v>0</v>
      </c>
      <c r="Z123" s="40">
        <v>0</v>
      </c>
      <c r="AA123" s="52">
        <f>SUM(U123:U126)-SUM(W123:W126)-SUM(Z123:Z126)-SUM(Y123:Y126)</f>
        <v>1.8077270080000005</v>
      </c>
      <c r="AB123" s="52">
        <f>(SUM(K123:K126)-SUM(W123:W126)-SUM(Y123:Y126)-SUM(Z123:Z126)-SUM(AC123:AC126)-SUM(V123:V126))-AA123</f>
        <v>0</v>
      </c>
      <c r="AC123" s="40">
        <f>K123-T123</f>
        <v>0</v>
      </c>
      <c r="AD123" s="40">
        <f>+AM123+BA123</f>
        <v>0</v>
      </c>
      <c r="AE123" s="233" t="s">
        <v>391</v>
      </c>
      <c r="AF123" s="40">
        <v>0</v>
      </c>
      <c r="AG123" s="40"/>
      <c r="AH123" s="40"/>
      <c r="AI123" s="514"/>
      <c r="AJ123" s="40"/>
      <c r="AK123" s="40"/>
      <c r="AL123" s="40"/>
      <c r="AM123" s="40">
        <f>SUM(AF123:AL123)+AT123+AV123+AX123</f>
        <v>0</v>
      </c>
      <c r="AN123" s="40"/>
      <c r="AO123" s="40"/>
      <c r="AP123" s="40"/>
      <c r="AQ123" s="40"/>
      <c r="AR123" s="40">
        <f>SUM(AN123:AQ123)</f>
        <v>0</v>
      </c>
      <c r="AS123" s="40"/>
      <c r="AT123" s="40"/>
      <c r="AU123" s="40"/>
      <c r="AV123" s="40"/>
      <c r="AW123" s="40"/>
      <c r="AX123" s="40"/>
      <c r="AY123" s="40"/>
      <c r="AZ123" s="40"/>
      <c r="BA123" s="40">
        <f>+AR123+AS123+AU123+AW123+AY123+AZ123</f>
        <v>0</v>
      </c>
      <c r="BB123" s="36">
        <v>0</v>
      </c>
      <c r="BC123" s="54"/>
      <c r="BD123" s="54"/>
      <c r="BE123" s="36"/>
      <c r="BF123" s="54"/>
    </row>
    <row r="124" spans="1:58" ht="12.95" customHeight="1">
      <c r="A124" s="43"/>
      <c r="B124" s="44"/>
      <c r="C124" s="460"/>
      <c r="D124" s="44"/>
      <c r="E124" s="45"/>
      <c r="F124" s="45"/>
      <c r="G124" s="511"/>
      <c r="H124" s="47"/>
      <c r="I124" s="48"/>
      <c r="J124" s="85"/>
      <c r="K124" s="85"/>
      <c r="L124" s="38"/>
      <c r="M124" s="38"/>
      <c r="N124" s="49"/>
      <c r="O124" s="50"/>
      <c r="P124" s="51"/>
      <c r="Q124" s="50"/>
      <c r="R124" s="512"/>
      <c r="S124" s="512"/>
      <c r="T124" s="40"/>
      <c r="U124" s="40"/>
      <c r="V124" s="40"/>
      <c r="W124" s="40"/>
      <c r="X124" s="41"/>
      <c r="Y124" s="214"/>
      <c r="Z124" s="40"/>
      <c r="AA124" s="40"/>
      <c r="AB124" s="40"/>
      <c r="AC124" s="40"/>
      <c r="AD124" s="40">
        <f>+AM124+BA124</f>
        <v>12</v>
      </c>
      <c r="AE124" s="233" t="s">
        <v>527</v>
      </c>
      <c r="AF124" s="40"/>
      <c r="AG124" s="40">
        <v>12</v>
      </c>
      <c r="AH124" s="40"/>
      <c r="AI124" s="514"/>
      <c r="AJ124" s="40"/>
      <c r="AK124" s="40"/>
      <c r="AL124" s="40"/>
      <c r="AM124" s="40">
        <f>SUM(AF124:AL124)+AT124+AV124+AX124</f>
        <v>12</v>
      </c>
      <c r="AN124" s="86"/>
      <c r="AO124" s="40"/>
      <c r="AP124" s="40"/>
      <c r="AQ124" s="40"/>
      <c r="AR124" s="40">
        <f>SUM(AN124:AQ124)</f>
        <v>0</v>
      </c>
      <c r="AS124" s="40"/>
      <c r="AT124" s="40"/>
      <c r="AU124" s="40"/>
      <c r="AV124" s="40"/>
      <c r="AW124" s="40"/>
      <c r="AX124" s="40"/>
      <c r="AY124" s="40"/>
      <c r="AZ124" s="40"/>
      <c r="BA124" s="40">
        <f>+AR124+AS124+AU124+AW124+AY124+AZ124</f>
        <v>0</v>
      </c>
      <c r="BB124" s="53"/>
      <c r="BC124" s="54">
        <v>4</v>
      </c>
      <c r="BD124" s="54"/>
      <c r="BE124" s="53"/>
      <c r="BF124" s="54"/>
    </row>
    <row r="125" spans="1:58" ht="12.95" customHeight="1">
      <c r="A125" s="43"/>
      <c r="B125" s="44"/>
      <c r="C125" s="460"/>
      <c r="D125" s="44"/>
      <c r="E125" s="45"/>
      <c r="F125" s="45"/>
      <c r="G125" s="511"/>
      <c r="H125" s="47"/>
      <c r="I125" s="48"/>
      <c r="J125" s="85"/>
      <c r="K125" s="85"/>
      <c r="L125" s="38"/>
      <c r="M125" s="38"/>
      <c r="N125" s="49"/>
      <c r="O125" s="50"/>
      <c r="P125" s="51"/>
      <c r="Q125" s="50"/>
      <c r="R125" s="512"/>
      <c r="S125" s="512"/>
      <c r="T125" s="40"/>
      <c r="U125" s="40"/>
      <c r="V125" s="40"/>
      <c r="W125" s="40"/>
      <c r="X125" s="41"/>
      <c r="Y125" s="214"/>
      <c r="Z125" s="40"/>
      <c r="AA125" s="40"/>
      <c r="AB125" s="40"/>
      <c r="AC125" s="40"/>
      <c r="AD125" s="40">
        <f>+AM125+BA125</f>
        <v>16</v>
      </c>
      <c r="AE125" s="233" t="s">
        <v>226</v>
      </c>
      <c r="AF125" s="36"/>
      <c r="AG125" s="36"/>
      <c r="AH125" s="36">
        <v>16</v>
      </c>
      <c r="AI125" s="514"/>
      <c r="AJ125" s="40"/>
      <c r="AK125" s="40"/>
      <c r="AL125" s="40"/>
      <c r="AM125" s="40">
        <f>SUM(AF125:AL125)+AT125+AV125+AX125</f>
        <v>16</v>
      </c>
      <c r="AN125" s="40"/>
      <c r="AO125" s="40"/>
      <c r="AP125" s="40"/>
      <c r="AQ125" s="40"/>
      <c r="AR125" s="40">
        <f>SUM(AN125:AQ125)</f>
        <v>0</v>
      </c>
      <c r="AS125" s="40"/>
      <c r="AT125" s="40"/>
      <c r="AU125" s="40"/>
      <c r="AV125" s="40"/>
      <c r="AW125" s="40"/>
      <c r="AX125" s="40"/>
      <c r="AY125" s="40"/>
      <c r="AZ125" s="40"/>
      <c r="BA125" s="40">
        <f>+AR125+AS125+AU125+AW125+AY125+AZ125</f>
        <v>0</v>
      </c>
      <c r="BB125" s="36"/>
      <c r="BC125" s="515"/>
      <c r="BD125" s="515"/>
      <c r="BE125" s="36"/>
      <c r="BF125" s="515"/>
    </row>
    <row r="126" spans="1:58" ht="12.95" customHeight="1">
      <c r="A126" s="43"/>
      <c r="B126" s="44"/>
      <c r="C126" s="460"/>
      <c r="D126" s="44"/>
      <c r="E126" s="45"/>
      <c r="F126" s="45"/>
      <c r="G126" s="511"/>
      <c r="H126" s="47"/>
      <c r="I126" s="48"/>
      <c r="J126" s="85"/>
      <c r="K126" s="85"/>
      <c r="L126" s="38"/>
      <c r="M126" s="38"/>
      <c r="N126" s="49"/>
      <c r="O126" s="50"/>
      <c r="P126" s="51"/>
      <c r="Q126" s="50"/>
      <c r="R126" s="512"/>
      <c r="S126" s="512"/>
      <c r="T126" s="40"/>
      <c r="U126" s="40"/>
      <c r="V126" s="40"/>
      <c r="W126" s="40"/>
      <c r="X126" s="41"/>
      <c r="Y126" s="214"/>
      <c r="Z126" s="40"/>
      <c r="AA126" s="40"/>
      <c r="AB126" s="40"/>
      <c r="AC126" s="40"/>
      <c r="AD126" s="40"/>
      <c r="AE126" s="233"/>
      <c r="AF126" s="40"/>
      <c r="AG126" s="40"/>
      <c r="AH126" s="40"/>
      <c r="AI126" s="514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36"/>
      <c r="BC126" s="515"/>
      <c r="BD126" s="515"/>
      <c r="BE126" s="36"/>
      <c r="BF126" s="515"/>
    </row>
    <row r="127" spans="1:58" ht="12.95" customHeight="1">
      <c r="A127" s="43">
        <v>45896</v>
      </c>
      <c r="B127" s="44" t="s">
        <v>445</v>
      </c>
      <c r="C127" s="460">
        <f>(M127*E127*O127*Q127)/100000000</f>
        <v>12.14687736</v>
      </c>
      <c r="D127" s="44" t="s">
        <v>491</v>
      </c>
      <c r="E127" s="45">
        <v>18</v>
      </c>
      <c r="F127" s="45">
        <v>1</v>
      </c>
      <c r="G127" s="511">
        <v>830</v>
      </c>
      <c r="H127" s="47">
        <v>0.14000000000000001</v>
      </c>
      <c r="I127" s="48">
        <v>0.88</v>
      </c>
      <c r="J127" s="85">
        <f>E127*G127*(1-H127)*1440/1000000*3.4</f>
        <v>62.905766399999997</v>
      </c>
      <c r="K127" s="85">
        <f>(IF(G127&lt;L127,L127,G127)*(1-IF(H127&lt;N127,H127,N127))*E127*O127*Q127)/100000000</f>
        <v>12.14687736</v>
      </c>
      <c r="L127" s="38">
        <v>830</v>
      </c>
      <c r="M127" s="38">
        <f>+L127-L127*0.14</f>
        <v>713.8</v>
      </c>
      <c r="N127" s="49">
        <f>1-(M127/L127)</f>
        <v>0.14000000000000001</v>
      </c>
      <c r="O127" s="50">
        <f>+'Trim Rwd'!H90</f>
        <v>326</v>
      </c>
      <c r="P127" s="51">
        <f>O127*(Q127-R127-S127)</f>
        <v>90954</v>
      </c>
      <c r="Q127" s="50">
        <v>290</v>
      </c>
      <c r="R127" s="512">
        <v>0</v>
      </c>
      <c r="S127" s="512">
        <v>11</v>
      </c>
      <c r="T127" s="40">
        <f>E127*M127*O127*Q127/100000000</f>
        <v>12.14687736</v>
      </c>
      <c r="U127" s="40">
        <f>E127*M127*O127*(Q127-R127-S127)/100000000</f>
        <v>11.686133735999999</v>
      </c>
      <c r="V127" s="40">
        <f>E127*G127*(1-N127)*O127/100*(R127+S127)/1000000</f>
        <v>0.46074362400000002</v>
      </c>
      <c r="W127" s="40">
        <f>+'27'!K24/1000</f>
        <v>13.09</v>
      </c>
      <c r="X127" s="513">
        <f>SUM(W127:W130)/SUM(K127:K130)</f>
        <v>0.93832882483777569</v>
      </c>
      <c r="Y127" s="214">
        <v>0</v>
      </c>
      <c r="Z127" s="40">
        <v>0</v>
      </c>
      <c r="AA127" s="52">
        <f>SUM(U127:U130)-SUM(W127:W130)-SUM(Z127:Z130)-SUM(Y127:Y130)</f>
        <v>3.1113349360000058</v>
      </c>
      <c r="AB127" s="52">
        <f>(SUM(K127:K130)-SUM(W127:W130)-SUM(Y127:Y130)-SUM(Z127:Z130)-SUM(AC127:AC130)-SUM(V127:V130))-AA127</f>
        <v>0</v>
      </c>
      <c r="AC127" s="40">
        <f>K127-T127</f>
        <v>0</v>
      </c>
      <c r="AD127" s="40">
        <f>+AM127+BA127</f>
        <v>2</v>
      </c>
      <c r="AE127" s="233" t="s">
        <v>435</v>
      </c>
      <c r="AF127" s="40">
        <v>2</v>
      </c>
      <c r="AG127" s="40"/>
      <c r="AH127" s="40"/>
      <c r="AI127" s="514"/>
      <c r="AJ127" s="40"/>
      <c r="AK127" s="40"/>
      <c r="AL127" s="40"/>
      <c r="AM127" s="40">
        <f>SUM(AF127:AL127)+AT127+AV127+AX127</f>
        <v>2</v>
      </c>
      <c r="AN127" s="40"/>
      <c r="AO127" s="40"/>
      <c r="AP127" s="40"/>
      <c r="AQ127" s="40"/>
      <c r="AR127" s="40">
        <f>SUM(AN127:AQ127)</f>
        <v>0</v>
      </c>
      <c r="AS127" s="40"/>
      <c r="AT127" s="40"/>
      <c r="AU127" s="40"/>
      <c r="AV127" s="40"/>
      <c r="AW127" s="40"/>
      <c r="AX127" s="40"/>
      <c r="AY127" s="40"/>
      <c r="AZ127" s="40"/>
      <c r="BA127" s="40">
        <f>+AR127+AS127+AU127+AW127+AY127+AZ127</f>
        <v>0</v>
      </c>
      <c r="BB127" s="36">
        <v>1</v>
      </c>
      <c r="BC127" s="54"/>
      <c r="BD127" s="54"/>
      <c r="BE127" s="36"/>
      <c r="BF127" s="54"/>
    </row>
    <row r="128" spans="1:58" ht="12.95" customHeight="1">
      <c r="A128" s="43"/>
      <c r="B128" s="44" t="s">
        <v>445</v>
      </c>
      <c r="C128" s="460">
        <f>(M128*E128*O128*Q128)/100000000</f>
        <v>54.177419999999998</v>
      </c>
      <c r="D128" s="44" t="s">
        <v>659</v>
      </c>
      <c r="E128" s="45">
        <v>20</v>
      </c>
      <c r="F128" s="45">
        <v>1</v>
      </c>
      <c r="G128" s="511">
        <v>830</v>
      </c>
      <c r="H128" s="47">
        <v>0.14000000000000001</v>
      </c>
      <c r="I128" s="48">
        <v>0.88</v>
      </c>
      <c r="J128" s="85">
        <f>E128*G128*(1-H128)*1440/1000000*3.4</f>
        <v>69.895296000000002</v>
      </c>
      <c r="K128" s="85">
        <f>(IF(G128&lt;L128,L128,G128)*(1-IF(H128&lt;N128,H128,N128))*E128*O128*Q128)/100000000</f>
        <v>54.177419999999998</v>
      </c>
      <c r="L128" s="38">
        <v>830</v>
      </c>
      <c r="M128" s="38">
        <f>+L128-L128*0.14</f>
        <v>713.8</v>
      </c>
      <c r="N128" s="49">
        <f>1-(M128/L128)</f>
        <v>0.14000000000000001</v>
      </c>
      <c r="O128" s="50">
        <f>+'Trim Rwd'!H91</f>
        <v>330</v>
      </c>
      <c r="P128" s="51">
        <f>O128*(Q128-R128-S128)</f>
        <v>375870</v>
      </c>
      <c r="Q128" s="50">
        <v>1150</v>
      </c>
      <c r="R128" s="512">
        <v>0</v>
      </c>
      <c r="S128" s="512">
        <v>11</v>
      </c>
      <c r="T128" s="40">
        <f>E128*M128*O128*Q128/100000000</f>
        <v>54.177419999999998</v>
      </c>
      <c r="U128" s="40">
        <f>E128*M128*O128*(Q128-R128-S128)/100000000</f>
        <v>53.659201199999998</v>
      </c>
      <c r="V128" s="40">
        <f>E128*G128*(1-N128)*O128/100*(R128+S128)/1000000</f>
        <v>0.51821880000000009</v>
      </c>
      <c r="W128" s="40">
        <f>+'27'!K25/1000</f>
        <v>49.143999999999998</v>
      </c>
      <c r="X128" s="41"/>
      <c r="Y128" s="214"/>
      <c r="Z128" s="40"/>
      <c r="AA128" s="40"/>
      <c r="AB128" s="40"/>
      <c r="AC128" s="40">
        <f>K128-T128</f>
        <v>0</v>
      </c>
      <c r="AD128" s="40">
        <f>+AM128+BA128</f>
        <v>5</v>
      </c>
      <c r="AE128" s="233" t="s">
        <v>390</v>
      </c>
      <c r="AF128" s="40"/>
      <c r="AG128" s="40">
        <v>5</v>
      </c>
      <c r="AH128" s="40"/>
      <c r="AI128" s="514"/>
      <c r="AJ128" s="40"/>
      <c r="AK128" s="40"/>
      <c r="AL128" s="40"/>
      <c r="AM128" s="40">
        <f>SUM(AF128:AL128)+AT128+AV128+AX128</f>
        <v>5</v>
      </c>
      <c r="AN128" s="86"/>
      <c r="AO128" s="40"/>
      <c r="AP128" s="40"/>
      <c r="AQ128" s="40"/>
      <c r="AR128" s="40">
        <f>SUM(AN128:AQ128)</f>
        <v>0</v>
      </c>
      <c r="AS128" s="40"/>
      <c r="AT128" s="40"/>
      <c r="AU128" s="40"/>
      <c r="AV128" s="40"/>
      <c r="AW128" s="40"/>
      <c r="AX128" s="40"/>
      <c r="AY128" s="40"/>
      <c r="AZ128" s="40"/>
      <c r="BA128" s="40">
        <f>+AR128+AS128+AU128+AW128+AY128+AZ128</f>
        <v>0</v>
      </c>
      <c r="BB128" s="53"/>
      <c r="BC128" s="54">
        <v>3</v>
      </c>
      <c r="BD128" s="54"/>
      <c r="BE128" s="53"/>
      <c r="BF128" s="54"/>
    </row>
    <row r="129" spans="1:58" ht="12.95" customHeight="1">
      <c r="A129" s="43"/>
      <c r="B129" s="44"/>
      <c r="C129" s="460"/>
      <c r="D129" s="44"/>
      <c r="E129" s="45"/>
      <c r="F129" s="45"/>
      <c r="G129" s="511"/>
      <c r="H129" s="47"/>
      <c r="I129" s="48"/>
      <c r="J129" s="85"/>
      <c r="K129" s="85"/>
      <c r="L129" s="38"/>
      <c r="M129" s="38"/>
      <c r="N129" s="49"/>
      <c r="O129" s="50"/>
      <c r="P129" s="51"/>
      <c r="Q129" s="50"/>
      <c r="R129" s="512"/>
      <c r="S129" s="512"/>
      <c r="T129" s="40"/>
      <c r="U129" s="40"/>
      <c r="V129" s="40"/>
      <c r="W129" s="40"/>
      <c r="X129" s="41"/>
      <c r="Y129" s="214"/>
      <c r="Z129" s="40"/>
      <c r="AA129" s="40"/>
      <c r="AB129" s="40"/>
      <c r="AC129" s="40"/>
      <c r="AD129" s="40">
        <f>+AM129+BA129</f>
        <v>11</v>
      </c>
      <c r="AE129" s="233" t="s">
        <v>226</v>
      </c>
      <c r="AF129" s="36"/>
      <c r="AG129" s="36"/>
      <c r="AH129" s="36">
        <v>11</v>
      </c>
      <c r="AI129" s="514"/>
      <c r="AJ129" s="40"/>
      <c r="AK129" s="40"/>
      <c r="AL129" s="40"/>
      <c r="AM129" s="40">
        <f>SUM(AF129:AL129)+AT129+AV129+AX129</f>
        <v>11</v>
      </c>
      <c r="AN129" s="40"/>
      <c r="AO129" s="40"/>
      <c r="AP129" s="40"/>
      <c r="AQ129" s="40"/>
      <c r="AR129" s="40">
        <f>SUM(AN129:AQ129)</f>
        <v>0</v>
      </c>
      <c r="AS129" s="40"/>
      <c r="AT129" s="40"/>
      <c r="AU129" s="40"/>
      <c r="AV129" s="40"/>
      <c r="AW129" s="40"/>
      <c r="AX129" s="40"/>
      <c r="AY129" s="40"/>
      <c r="AZ129" s="40"/>
      <c r="BA129" s="40">
        <f>+AR129+AS129+AU129+AW129+AY129+AZ129</f>
        <v>0</v>
      </c>
      <c r="BB129" s="36"/>
      <c r="BC129" s="515"/>
      <c r="BD129" s="515"/>
      <c r="BE129" s="36"/>
      <c r="BF129" s="515"/>
    </row>
    <row r="130" spans="1:58" ht="12.95" customHeight="1">
      <c r="A130" s="43"/>
      <c r="B130" s="44"/>
      <c r="C130" s="460"/>
      <c r="D130" s="44"/>
      <c r="E130" s="45"/>
      <c r="F130" s="45"/>
      <c r="G130" s="511"/>
      <c r="H130" s="47"/>
      <c r="I130" s="48"/>
      <c r="J130" s="85"/>
      <c r="K130" s="85"/>
      <c r="L130" s="38"/>
      <c r="M130" s="38"/>
      <c r="N130" s="49"/>
      <c r="O130" s="50"/>
      <c r="P130" s="51"/>
      <c r="Q130" s="50"/>
      <c r="R130" s="512"/>
      <c r="S130" s="512"/>
      <c r="T130" s="40"/>
      <c r="U130" s="40"/>
      <c r="V130" s="40"/>
      <c r="W130" s="40"/>
      <c r="X130" s="41"/>
      <c r="Y130" s="214"/>
      <c r="Z130" s="40"/>
      <c r="AA130" s="40"/>
      <c r="AB130" s="40"/>
      <c r="AC130" s="40"/>
      <c r="AD130" s="40">
        <f>+AM130+BA130</f>
        <v>4</v>
      </c>
      <c r="AE130" s="233" t="s">
        <v>447</v>
      </c>
      <c r="AF130" s="40"/>
      <c r="AG130" s="40"/>
      <c r="AH130" s="40"/>
      <c r="AI130" s="514">
        <v>4</v>
      </c>
      <c r="AJ130" s="40"/>
      <c r="AK130" s="40"/>
      <c r="AL130" s="40"/>
      <c r="AM130" s="40">
        <f>SUM(AF130:AL130)+AT130+AV130+AX130</f>
        <v>4</v>
      </c>
      <c r="AN130" s="40"/>
      <c r="AO130" s="40"/>
      <c r="AP130" s="40"/>
      <c r="AQ130" s="40"/>
      <c r="AR130" s="40">
        <f>SUM(AN130:AQ130)</f>
        <v>0</v>
      </c>
      <c r="AS130" s="40"/>
      <c r="AT130" s="40"/>
      <c r="AU130" s="40"/>
      <c r="AV130" s="40"/>
      <c r="AW130" s="40"/>
      <c r="AX130" s="40"/>
      <c r="AY130" s="40"/>
      <c r="AZ130" s="40"/>
      <c r="BA130" s="40">
        <f>+AR130+AS130+AU130+AW130+AY130+AZ130</f>
        <v>0</v>
      </c>
      <c r="BB130" s="36"/>
      <c r="BC130" s="515"/>
      <c r="BD130" s="515"/>
      <c r="BE130" s="36"/>
      <c r="BF130" s="515"/>
    </row>
    <row r="131" spans="1:58" ht="12.95" customHeight="1">
      <c r="A131" s="43"/>
      <c r="B131" s="44"/>
      <c r="C131" s="460"/>
      <c r="D131" s="44"/>
      <c r="E131" s="45"/>
      <c r="F131" s="45"/>
      <c r="G131" s="511"/>
      <c r="H131" s="47"/>
      <c r="I131" s="48"/>
      <c r="J131" s="85"/>
      <c r="K131" s="85"/>
      <c r="L131" s="38"/>
      <c r="M131" s="38"/>
      <c r="N131" s="49"/>
      <c r="O131" s="50"/>
      <c r="P131" s="51"/>
      <c r="Q131" s="50"/>
      <c r="R131" s="512"/>
      <c r="S131" s="512"/>
      <c r="T131" s="40"/>
      <c r="U131" s="40"/>
      <c r="V131" s="40"/>
      <c r="W131" s="40"/>
      <c r="X131" s="513"/>
      <c r="Y131" s="214"/>
      <c r="Z131" s="40"/>
      <c r="AA131" s="52"/>
      <c r="AB131" s="52"/>
      <c r="AC131" s="40"/>
      <c r="AD131" s="40"/>
      <c r="AE131" s="233"/>
      <c r="AF131" s="40"/>
      <c r="AG131" s="40"/>
      <c r="AH131" s="40"/>
      <c r="AI131" s="514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36"/>
      <c r="BC131" s="54"/>
      <c r="BD131" s="54"/>
      <c r="BE131" s="54"/>
      <c r="BF131" s="54"/>
    </row>
    <row r="132" spans="1:58" ht="12.95" customHeight="1">
      <c r="A132" s="43">
        <v>45897</v>
      </c>
      <c r="B132" s="44" t="s">
        <v>445</v>
      </c>
      <c r="C132" s="460">
        <f>(M132*E132*O132*Q132)/100000000</f>
        <v>25.239075749999994</v>
      </c>
      <c r="D132" s="44" t="s">
        <v>659</v>
      </c>
      <c r="E132" s="45">
        <v>20</v>
      </c>
      <c r="F132" s="45">
        <v>1</v>
      </c>
      <c r="G132" s="511">
        <v>830</v>
      </c>
      <c r="H132" s="47">
        <v>0.14000000000000001</v>
      </c>
      <c r="I132" s="48">
        <v>0.88</v>
      </c>
      <c r="J132" s="85">
        <f>E132*G132*(1-H132)*1440/1000000*3.4</f>
        <v>69.895296000000002</v>
      </c>
      <c r="K132" s="85">
        <f>(IF(G132&lt;L132,L132,G132)*(1-IF(H132&lt;N132,H132,N132))*E132*O132*Q132)/100000000</f>
        <v>25.239075749999994</v>
      </c>
      <c r="L132" s="38">
        <v>830</v>
      </c>
      <c r="M132" s="38">
        <f>+L132-L132*0.14</f>
        <v>713.8</v>
      </c>
      <c r="N132" s="49">
        <f>1-(M132/L132)</f>
        <v>0.14000000000000001</v>
      </c>
      <c r="O132" s="50">
        <f>+'Trim Rwd'!H93</f>
        <v>327.39583333333331</v>
      </c>
      <c r="P132" s="51">
        <f>O132*(Q132-R132-S132)</f>
        <v>173519.79166666666</v>
      </c>
      <c r="Q132" s="50">
        <v>540</v>
      </c>
      <c r="R132" s="512">
        <v>0</v>
      </c>
      <c r="S132" s="512">
        <v>10</v>
      </c>
      <c r="T132" s="40">
        <f>E132*M132*O132*Q132/100000000</f>
        <v>25.239075749999994</v>
      </c>
      <c r="U132" s="40">
        <f>E132*M132*O132*(Q132-R132-S132)/100000000</f>
        <v>24.77168545833333</v>
      </c>
      <c r="V132" s="40">
        <f>E132*G132*(1-N132)*O132/100*(R132+S132)/1000000</f>
        <v>0.46739029166666662</v>
      </c>
      <c r="W132" s="40">
        <f>+'28'!K25/1000</f>
        <v>25.061</v>
      </c>
      <c r="X132" s="513">
        <f>SUM(W132:W135)/SUM(K132:K135)</f>
        <v>0.95200122713825619</v>
      </c>
      <c r="Y132" s="214">
        <v>0</v>
      </c>
      <c r="Z132" s="40">
        <f>+'28'!D34/1000</f>
        <v>1.76</v>
      </c>
      <c r="AA132" s="52">
        <f>SUM(U132:U135)-SUM(W132:W135)-SUM(Z132:Z135)-SUM(Y132:Y135)</f>
        <v>-1.0525865416666724</v>
      </c>
      <c r="AB132" s="52">
        <f>(SUM(K132:K135)-SUM(W132:W135)-SUM(Y132:Y135)-SUM(Z132:Z135)-SUM(AC132:AC135)-SUM(V132:V135))-AA132</f>
        <v>1.8295199999996736E-2</v>
      </c>
      <c r="AC132" s="40">
        <f>K132-T132</f>
        <v>0</v>
      </c>
      <c r="AD132" s="40">
        <f>+AM132+BA132</f>
        <v>0</v>
      </c>
      <c r="AE132" s="233" t="s">
        <v>391</v>
      </c>
      <c r="AF132" s="40">
        <v>0</v>
      </c>
      <c r="AG132" s="40"/>
      <c r="AH132" s="40"/>
      <c r="AI132" s="514"/>
      <c r="AJ132" s="40"/>
      <c r="AK132" s="40"/>
      <c r="AL132" s="40"/>
      <c r="AM132" s="40">
        <f>SUM(AF132:AL132)+AT132+AV132+AX132</f>
        <v>0</v>
      </c>
      <c r="AN132" s="40"/>
      <c r="AO132" s="40"/>
      <c r="AP132" s="40"/>
      <c r="AQ132" s="40"/>
      <c r="AR132" s="40">
        <f>SUM(AN132:AQ132)</f>
        <v>0</v>
      </c>
      <c r="AS132" s="40"/>
      <c r="AT132" s="40"/>
      <c r="AU132" s="40"/>
      <c r="AV132" s="40"/>
      <c r="AW132" s="40"/>
      <c r="AX132" s="40"/>
      <c r="AY132" s="40"/>
      <c r="AZ132" s="40"/>
      <c r="BA132" s="40">
        <f>+AR132+AS132+AU132+AW132+AY132+AZ132</f>
        <v>0</v>
      </c>
      <c r="BB132" s="36">
        <v>0</v>
      </c>
      <c r="BC132" s="54"/>
      <c r="BD132" s="54"/>
      <c r="BE132" s="36"/>
      <c r="BF132" s="54"/>
    </row>
    <row r="133" spans="1:58" ht="12.95" customHeight="1">
      <c r="A133" s="43"/>
      <c r="B133" s="44" t="s">
        <v>8</v>
      </c>
      <c r="C133" s="460">
        <f>(M133*E133*O133*Q133)/100000000</f>
        <v>41.164200000000001</v>
      </c>
      <c r="D133" s="44" t="s">
        <v>659</v>
      </c>
      <c r="E133" s="45">
        <v>30</v>
      </c>
      <c r="F133" s="45">
        <v>1</v>
      </c>
      <c r="G133" s="511">
        <v>545</v>
      </c>
      <c r="H133" s="47">
        <v>0.12</v>
      </c>
      <c r="I133" s="48">
        <v>0.88</v>
      </c>
      <c r="J133" s="85">
        <f>E133*G133*(1-H133)*1440/1000000*3.4</f>
        <v>70.443647999999996</v>
      </c>
      <c r="K133" s="85">
        <f>(IF(G133&lt;L133,L133,G133)*(1-IF(H133&lt;N133,H133,N133))*E133*O133*Q133)/100000000</f>
        <v>41.164200000000001</v>
      </c>
      <c r="L133" s="38">
        <v>550</v>
      </c>
      <c r="M133" s="38">
        <v>484</v>
      </c>
      <c r="N133" s="49">
        <f>1-(M133/L133)</f>
        <v>0.12</v>
      </c>
      <c r="O133" s="50">
        <f>+'Trim Rwd'!H95</f>
        <v>315</v>
      </c>
      <c r="P133" s="51">
        <f>O133*(Q133-R133-S133)</f>
        <v>269640</v>
      </c>
      <c r="Q133" s="50">
        <v>900</v>
      </c>
      <c r="R133" s="512">
        <v>34</v>
      </c>
      <c r="S133" s="512">
        <v>10</v>
      </c>
      <c r="T133" s="40">
        <f>E133*M133*O133*Q133/100000000</f>
        <v>41.164200000000001</v>
      </c>
      <c r="U133" s="40">
        <f>E133*M133*O133*(Q133-R133-S133)/100000000</f>
        <v>39.151727999999999</v>
      </c>
      <c r="V133" s="40">
        <f>E133*G133*(1-N133)*O133/100*(R133+S133)/1000000</f>
        <v>1.9941767999999997</v>
      </c>
      <c r="W133" s="40">
        <f>+'28'!K26/1000</f>
        <v>38.155000000000001</v>
      </c>
      <c r="X133" s="41"/>
      <c r="Y133" s="214"/>
      <c r="Z133" s="40"/>
      <c r="AA133" s="40"/>
      <c r="AB133" s="40"/>
      <c r="AC133" s="40">
        <f>K133-T133</f>
        <v>0</v>
      </c>
      <c r="AD133" s="40">
        <f>+AM133+BA133</f>
        <v>5</v>
      </c>
      <c r="AE133" s="233" t="s">
        <v>434</v>
      </c>
      <c r="AF133" s="40"/>
      <c r="AG133" s="40">
        <v>5</v>
      </c>
      <c r="AH133" s="40"/>
      <c r="AI133" s="514"/>
      <c r="AJ133" s="40"/>
      <c r="AK133" s="40"/>
      <c r="AL133" s="40"/>
      <c r="AM133" s="40">
        <f>SUM(AF133:AL133)+AT133+AV133+AX133</f>
        <v>5</v>
      </c>
      <c r="AN133" s="86"/>
      <c r="AO133" s="40"/>
      <c r="AP133" s="40"/>
      <c r="AQ133" s="40"/>
      <c r="AR133" s="40">
        <f>SUM(AN133:AQ133)</f>
        <v>0</v>
      </c>
      <c r="AS133" s="40"/>
      <c r="AT133" s="40"/>
      <c r="AU133" s="40"/>
      <c r="AV133" s="40"/>
      <c r="AW133" s="40"/>
      <c r="AX133" s="40"/>
      <c r="AY133" s="40"/>
      <c r="AZ133" s="40"/>
      <c r="BA133" s="40">
        <f>+AR133+AS133+AU133+AW133+AY133+AZ133</f>
        <v>0</v>
      </c>
      <c r="BB133" s="53"/>
      <c r="BC133" s="54">
        <v>2</v>
      </c>
      <c r="BD133" s="54"/>
      <c r="BE133" s="53"/>
      <c r="BF133" s="54"/>
    </row>
    <row r="134" spans="1:58" ht="12.95" customHeight="1">
      <c r="A134" s="43"/>
      <c r="B134" s="44"/>
      <c r="C134" s="460"/>
      <c r="D134" s="44"/>
      <c r="E134" s="45"/>
      <c r="F134" s="45"/>
      <c r="G134" s="511"/>
      <c r="H134" s="47"/>
      <c r="I134" s="48"/>
      <c r="J134" s="85"/>
      <c r="K134" s="85"/>
      <c r="L134" s="38"/>
      <c r="M134" s="38"/>
      <c r="N134" s="49"/>
      <c r="O134" s="50"/>
      <c r="P134" s="51"/>
      <c r="Q134" s="50"/>
      <c r="R134" s="512"/>
      <c r="S134" s="512"/>
      <c r="T134" s="40"/>
      <c r="U134" s="40"/>
      <c r="V134" s="40"/>
      <c r="W134" s="40"/>
      <c r="X134" s="41"/>
      <c r="Y134" s="214"/>
      <c r="Z134" s="40"/>
      <c r="AA134" s="40"/>
      <c r="AB134" s="40"/>
      <c r="AC134" s="40"/>
      <c r="AD134" s="40">
        <f>+AM134+BA134</f>
        <v>10</v>
      </c>
      <c r="AE134" s="233" t="s">
        <v>226</v>
      </c>
      <c r="AF134" s="36"/>
      <c r="AG134" s="36"/>
      <c r="AH134" s="36">
        <v>10</v>
      </c>
      <c r="AI134" s="514"/>
      <c r="AJ134" s="40"/>
      <c r="AK134" s="40"/>
      <c r="AL134" s="40"/>
      <c r="AM134" s="40">
        <f>SUM(AF134:AL134)+AT134+AV134+AX134</f>
        <v>10</v>
      </c>
      <c r="AN134" s="40"/>
      <c r="AO134" s="40"/>
      <c r="AP134" s="40"/>
      <c r="AQ134" s="40"/>
      <c r="AR134" s="40">
        <f>SUM(AN134:AQ134)</f>
        <v>0</v>
      </c>
      <c r="AS134" s="40"/>
      <c r="AT134" s="40"/>
      <c r="AU134" s="40"/>
      <c r="AV134" s="40"/>
      <c r="AW134" s="40"/>
      <c r="AX134" s="40"/>
      <c r="AY134" s="40"/>
      <c r="AZ134" s="40"/>
      <c r="BA134" s="40">
        <f>+AR134+AS134+AU134+AW134+AY134+AZ134</f>
        <v>0</v>
      </c>
      <c r="BB134" s="36"/>
      <c r="BC134" s="515"/>
      <c r="BD134" s="515"/>
      <c r="BE134" s="36"/>
      <c r="BF134" s="515"/>
    </row>
    <row r="135" spans="1:58" ht="12.95" customHeight="1">
      <c r="A135" s="43"/>
      <c r="B135" s="44"/>
      <c r="C135" s="460"/>
      <c r="D135" s="44"/>
      <c r="E135" s="45"/>
      <c r="F135" s="45"/>
      <c r="G135" s="46"/>
      <c r="H135" s="47"/>
      <c r="I135" s="48"/>
      <c r="J135" s="85"/>
      <c r="K135" s="85"/>
      <c r="L135" s="38"/>
      <c r="M135" s="38"/>
      <c r="N135" s="49"/>
      <c r="O135" s="50"/>
      <c r="P135" s="51"/>
      <c r="Q135" s="50"/>
      <c r="R135" s="512"/>
      <c r="S135" s="512"/>
      <c r="T135" s="40"/>
      <c r="U135" s="40"/>
      <c r="V135" s="40"/>
      <c r="W135" s="40"/>
      <c r="X135" s="513"/>
      <c r="Y135" s="214"/>
      <c r="Z135" s="40"/>
      <c r="AA135" s="52"/>
      <c r="AB135" s="52"/>
      <c r="AC135" s="40"/>
      <c r="AD135" s="40">
        <f>+AM135+BA135</f>
        <v>5</v>
      </c>
      <c r="AE135" s="233" t="s">
        <v>447</v>
      </c>
      <c r="AF135" s="40"/>
      <c r="AG135" s="40"/>
      <c r="AH135" s="40"/>
      <c r="AI135" s="514">
        <v>5</v>
      </c>
      <c r="AJ135" s="40"/>
      <c r="AK135" s="40"/>
      <c r="AL135" s="40"/>
      <c r="AM135" s="40">
        <f>SUM(AF135:AL135)+AT135+AV135+AX135</f>
        <v>5</v>
      </c>
      <c r="AN135" s="40"/>
      <c r="AO135" s="40"/>
      <c r="AP135" s="40"/>
      <c r="AQ135" s="40"/>
      <c r="AR135" s="40">
        <f>SUM(AN135:AQ135)</f>
        <v>0</v>
      </c>
      <c r="AS135" s="40"/>
      <c r="AT135" s="40"/>
      <c r="AU135" s="40"/>
      <c r="AV135" s="40"/>
      <c r="AW135" s="40"/>
      <c r="AX135" s="40"/>
      <c r="AY135" s="40"/>
      <c r="AZ135" s="40"/>
      <c r="BA135" s="40">
        <f>+AR135+AS135+AU135+AW135+AY135+AZ135</f>
        <v>0</v>
      </c>
      <c r="BB135" s="36"/>
      <c r="BC135" s="515"/>
      <c r="BD135" s="515"/>
      <c r="BE135" s="36"/>
      <c r="BF135" s="515"/>
    </row>
    <row r="136" spans="1:58" ht="12.95" customHeight="1">
      <c r="A136" s="43"/>
      <c r="B136" s="44"/>
      <c r="C136" s="460"/>
      <c r="D136" s="44"/>
      <c r="E136" s="45"/>
      <c r="F136" s="45"/>
      <c r="G136" s="511"/>
      <c r="H136" s="47"/>
      <c r="I136" s="48"/>
      <c r="J136" s="85"/>
      <c r="K136" s="85"/>
      <c r="L136" s="38"/>
      <c r="M136" s="38"/>
      <c r="N136" s="49"/>
      <c r="O136" s="50"/>
      <c r="P136" s="51"/>
      <c r="Q136" s="50"/>
      <c r="R136" s="512"/>
      <c r="S136" s="512"/>
      <c r="T136" s="40"/>
      <c r="U136" s="40"/>
      <c r="V136" s="40"/>
      <c r="W136" s="40"/>
      <c r="X136" s="513"/>
      <c r="Y136" s="214"/>
      <c r="Z136" s="40"/>
      <c r="AA136" s="52"/>
      <c r="AB136" s="52"/>
      <c r="AC136" s="40"/>
      <c r="AD136" s="40">
        <f>+AM136+BA136</f>
        <v>34</v>
      </c>
      <c r="AE136" s="233" t="s">
        <v>666</v>
      </c>
      <c r="AF136" s="40"/>
      <c r="AG136" s="40"/>
      <c r="AH136" s="40"/>
      <c r="AI136" s="514"/>
      <c r="AJ136" s="40"/>
      <c r="AK136" s="40"/>
      <c r="AL136" s="40"/>
      <c r="AM136" s="40">
        <f>SUM(AF136:AL136)+AT136+AV136+AX136</f>
        <v>0</v>
      </c>
      <c r="AN136" s="40"/>
      <c r="AO136" s="40"/>
      <c r="AP136" s="40">
        <v>34</v>
      </c>
      <c r="AQ136" s="40"/>
      <c r="AR136" s="40">
        <f>SUM(AN136:AQ136)</f>
        <v>34</v>
      </c>
      <c r="AS136" s="40"/>
      <c r="AT136" s="40"/>
      <c r="AU136" s="40"/>
      <c r="AV136" s="40"/>
      <c r="AW136" s="40"/>
      <c r="AX136" s="40"/>
      <c r="AY136" s="40"/>
      <c r="AZ136" s="40"/>
      <c r="BA136" s="40">
        <f>+AR136+AS136+AU136+AW136+AY136+AZ136</f>
        <v>34</v>
      </c>
      <c r="BB136" s="36"/>
      <c r="BC136" s="515"/>
      <c r="BD136" s="515"/>
      <c r="BE136" s="36"/>
      <c r="BF136" s="515"/>
    </row>
    <row r="137" spans="1:58" ht="12.95" customHeight="1">
      <c r="A137" s="43"/>
      <c r="B137" s="44"/>
      <c r="C137" s="460"/>
      <c r="D137" s="44"/>
      <c r="E137" s="45"/>
      <c r="F137" s="45"/>
      <c r="G137" s="511"/>
      <c r="H137" s="47"/>
      <c r="I137" s="48"/>
      <c r="J137" s="85"/>
      <c r="K137" s="85"/>
      <c r="L137" s="38"/>
      <c r="M137" s="38"/>
      <c r="N137" s="49"/>
      <c r="O137" s="50"/>
      <c r="P137" s="51"/>
      <c r="Q137" s="50"/>
      <c r="R137" s="512"/>
      <c r="S137" s="512"/>
      <c r="T137" s="40"/>
      <c r="U137" s="40"/>
      <c r="V137" s="40"/>
      <c r="W137" s="40"/>
      <c r="X137" s="41"/>
      <c r="Y137" s="214"/>
      <c r="Z137" s="40"/>
      <c r="AA137" s="40"/>
      <c r="AB137" s="40"/>
      <c r="AC137" s="40"/>
      <c r="AD137" s="40"/>
      <c r="AE137" s="233"/>
      <c r="AF137" s="40"/>
      <c r="AG137" s="40"/>
      <c r="AH137" s="40"/>
      <c r="AI137" s="514"/>
      <c r="AJ137" s="40"/>
      <c r="AK137" s="40"/>
      <c r="AL137" s="40"/>
      <c r="AM137" s="40"/>
      <c r="AN137" s="86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53"/>
      <c r="BC137" s="54"/>
      <c r="BD137" s="54"/>
      <c r="BE137" s="54"/>
      <c r="BF137" s="54"/>
    </row>
    <row r="138" spans="1:58" ht="12.95" customHeight="1">
      <c r="A138" s="43">
        <v>45898</v>
      </c>
      <c r="B138" s="44" t="s">
        <v>8</v>
      </c>
      <c r="C138" s="460">
        <f>(M138*E138*O138*Q138)/100000000</f>
        <v>65.862719999999996</v>
      </c>
      <c r="D138" s="44" t="s">
        <v>659</v>
      </c>
      <c r="E138" s="45">
        <v>30</v>
      </c>
      <c r="F138" s="45">
        <v>1</v>
      </c>
      <c r="G138" s="511">
        <v>545</v>
      </c>
      <c r="H138" s="47">
        <v>0.12</v>
      </c>
      <c r="I138" s="48">
        <v>0.88</v>
      </c>
      <c r="J138" s="85">
        <f>E138*G138*(1-H138)*1440/1000000*3.4</f>
        <v>70.443647999999996</v>
      </c>
      <c r="K138" s="85">
        <f>(IF(G138&lt;L138,L138,G138)*(1-IF(H138&lt;N138,H138,N138))*E138*O138*Q138)/100000000</f>
        <v>65.862719999999996</v>
      </c>
      <c r="L138" s="38">
        <v>550</v>
      </c>
      <c r="M138" s="38">
        <v>484</v>
      </c>
      <c r="N138" s="49">
        <f>1-(M138/L138)</f>
        <v>0.12</v>
      </c>
      <c r="O138" s="50">
        <f>+'Trim Rwd'!H97</f>
        <v>315</v>
      </c>
      <c r="P138" s="51">
        <f>O138*(Q138-R138-S138)</f>
        <v>446985</v>
      </c>
      <c r="Q138" s="50">
        <v>1440</v>
      </c>
      <c r="R138" s="512">
        <v>0</v>
      </c>
      <c r="S138" s="512">
        <v>21</v>
      </c>
      <c r="T138" s="40">
        <f>E138*M138*O138*Q138/100000000</f>
        <v>65.862719999999996</v>
      </c>
      <c r="U138" s="40">
        <f>E138*M138*O138*(Q138-R138-S138)/100000000</f>
        <v>64.902221999999995</v>
      </c>
      <c r="V138" s="40">
        <f>E138*G138*(1-N138)*O138/100*(R138+S138)/1000000</f>
        <v>0.95176620000000001</v>
      </c>
      <c r="W138" s="40">
        <f>+'29'!K26/1000</f>
        <v>68.724999999999994</v>
      </c>
      <c r="X138" s="513">
        <f>SUM(W138:W141)/SUM(K138:K141)</f>
        <v>1.0434582719936254</v>
      </c>
      <c r="Y138" s="214">
        <v>0</v>
      </c>
      <c r="Z138" s="40">
        <f>+'29'!D34/1000</f>
        <v>0.85</v>
      </c>
      <c r="AA138" s="52">
        <f>SUM(U138:U141)-SUM(W138:W141)-SUM(Z138:Z141)-SUM(Y138:Y141)</f>
        <v>-4.6727779999999992</v>
      </c>
      <c r="AB138" s="52">
        <f>(SUM(K138:K141)-SUM(W138:W141)-SUM(Y138:Y141)-SUM(Z138:Z141)-SUM(AC138:AC141)-SUM(V138:V141))-AA138</f>
        <v>8.7318000000005114E-3</v>
      </c>
      <c r="AC138" s="40">
        <f>K138-T138</f>
        <v>0</v>
      </c>
      <c r="AD138" s="40">
        <f>+AM138+BA138</f>
        <v>2</v>
      </c>
      <c r="AE138" s="233" t="s">
        <v>435</v>
      </c>
      <c r="AF138" s="40">
        <v>2</v>
      </c>
      <c r="AG138" s="40"/>
      <c r="AH138" s="40"/>
      <c r="AI138" s="514"/>
      <c r="AJ138" s="40"/>
      <c r="AK138" s="40"/>
      <c r="AL138" s="40"/>
      <c r="AM138" s="40">
        <f>SUM(AF138:AL138)+AT138+AV138+AX138</f>
        <v>2</v>
      </c>
      <c r="AN138" s="40"/>
      <c r="AO138" s="40"/>
      <c r="AP138" s="40"/>
      <c r="AQ138" s="40"/>
      <c r="AR138" s="40">
        <f>SUM(AN138:AQ138)</f>
        <v>0</v>
      </c>
      <c r="AS138" s="40"/>
      <c r="AT138" s="40"/>
      <c r="AU138" s="40"/>
      <c r="AV138" s="40"/>
      <c r="AW138" s="40"/>
      <c r="AX138" s="40"/>
      <c r="AY138" s="40"/>
      <c r="AZ138" s="40"/>
      <c r="BA138" s="40">
        <f>+AR138+AS138+AU138+AW138+AY138+AZ138</f>
        <v>0</v>
      </c>
      <c r="BB138" s="36">
        <v>1</v>
      </c>
      <c r="BC138" s="54"/>
      <c r="BD138" s="54"/>
      <c r="BE138" s="36"/>
      <c r="BF138" s="54"/>
    </row>
    <row r="139" spans="1:58" ht="12.95" customHeight="1">
      <c r="A139" s="43"/>
      <c r="B139" s="44"/>
      <c r="C139" s="460"/>
      <c r="D139" s="44"/>
      <c r="E139" s="45"/>
      <c r="F139" s="45"/>
      <c r="G139" s="511"/>
      <c r="H139" s="47"/>
      <c r="I139" s="48"/>
      <c r="J139" s="85"/>
      <c r="K139" s="85"/>
      <c r="L139" s="38"/>
      <c r="M139" s="38"/>
      <c r="N139" s="49"/>
      <c r="O139" s="50"/>
      <c r="P139" s="51"/>
      <c r="Q139" s="50"/>
      <c r="R139" s="512"/>
      <c r="S139" s="512"/>
      <c r="T139" s="40"/>
      <c r="U139" s="40"/>
      <c r="V139" s="40"/>
      <c r="W139" s="40"/>
      <c r="X139" s="41"/>
      <c r="Y139" s="214"/>
      <c r="Z139" s="40"/>
      <c r="AA139" s="40"/>
      <c r="AB139" s="40"/>
      <c r="AC139" s="40"/>
      <c r="AD139" s="40">
        <f>+AM139+BA139</f>
        <v>9</v>
      </c>
      <c r="AE139" s="233" t="s">
        <v>434</v>
      </c>
      <c r="AF139" s="40"/>
      <c r="AG139" s="40">
        <v>9</v>
      </c>
      <c r="AH139" s="40"/>
      <c r="AI139" s="514"/>
      <c r="AJ139" s="40"/>
      <c r="AK139" s="40"/>
      <c r="AL139" s="40"/>
      <c r="AM139" s="40">
        <f>SUM(AF139:AL139)+AT139+AV139+AX139</f>
        <v>9</v>
      </c>
      <c r="AN139" s="86"/>
      <c r="AO139" s="40"/>
      <c r="AP139" s="40"/>
      <c r="AQ139" s="40"/>
      <c r="AR139" s="40">
        <f>SUM(AN139:AQ139)</f>
        <v>0</v>
      </c>
      <c r="AS139" s="40"/>
      <c r="AT139" s="40"/>
      <c r="AU139" s="40"/>
      <c r="AV139" s="40"/>
      <c r="AW139" s="40"/>
      <c r="AX139" s="40"/>
      <c r="AY139" s="40"/>
      <c r="AZ139" s="40"/>
      <c r="BA139" s="40">
        <f>+AR139+AS139+AU139+AW139+AY139+AZ139</f>
        <v>0</v>
      </c>
      <c r="BB139" s="53"/>
      <c r="BC139" s="54">
        <v>2</v>
      </c>
      <c r="BD139" s="54"/>
      <c r="BE139" s="53"/>
      <c r="BF139" s="54"/>
    </row>
    <row r="140" spans="1:58" ht="12.95" customHeight="1">
      <c r="A140" s="43"/>
      <c r="B140" s="44"/>
      <c r="C140" s="460"/>
      <c r="D140" s="44"/>
      <c r="E140" s="45"/>
      <c r="F140" s="45"/>
      <c r="G140" s="511"/>
      <c r="H140" s="47"/>
      <c r="I140" s="48"/>
      <c r="J140" s="85"/>
      <c r="K140" s="85"/>
      <c r="L140" s="38"/>
      <c r="M140" s="38"/>
      <c r="N140" s="49"/>
      <c r="O140" s="50"/>
      <c r="P140" s="51"/>
      <c r="Q140" s="50"/>
      <c r="R140" s="512"/>
      <c r="S140" s="512"/>
      <c r="T140" s="40"/>
      <c r="U140" s="40"/>
      <c r="V140" s="40"/>
      <c r="W140" s="40"/>
      <c r="X140" s="41"/>
      <c r="Y140" s="214"/>
      <c r="Z140" s="40"/>
      <c r="AA140" s="40"/>
      <c r="AB140" s="40"/>
      <c r="AC140" s="40"/>
      <c r="AD140" s="40">
        <f>+AM140+BA140</f>
        <v>10</v>
      </c>
      <c r="AE140" s="233" t="s">
        <v>226</v>
      </c>
      <c r="AF140" s="36"/>
      <c r="AG140" s="36"/>
      <c r="AH140" s="36">
        <v>10</v>
      </c>
      <c r="AI140" s="514"/>
      <c r="AJ140" s="40"/>
      <c r="AK140" s="40"/>
      <c r="AL140" s="40"/>
      <c r="AM140" s="40">
        <f>SUM(AF140:AL140)+AT140+AV140+AX140</f>
        <v>10</v>
      </c>
      <c r="AN140" s="40"/>
      <c r="AO140" s="40"/>
      <c r="AP140" s="40"/>
      <c r="AQ140" s="40"/>
      <c r="AR140" s="40">
        <f>SUM(AN140:AQ140)</f>
        <v>0</v>
      </c>
      <c r="AS140" s="40"/>
      <c r="AT140" s="40"/>
      <c r="AU140" s="40"/>
      <c r="AV140" s="40"/>
      <c r="AW140" s="40"/>
      <c r="AX140" s="40"/>
      <c r="AY140" s="40"/>
      <c r="AZ140" s="40"/>
      <c r="BA140" s="40">
        <f>+AR140+AS140+AU140+AW140+AY140+AZ140</f>
        <v>0</v>
      </c>
      <c r="BB140" s="36"/>
      <c r="BC140" s="515"/>
      <c r="BD140" s="515"/>
      <c r="BE140" s="36"/>
      <c r="BF140" s="515"/>
    </row>
    <row r="141" spans="1:58" ht="12.95" customHeight="1">
      <c r="A141" s="43"/>
      <c r="B141" s="44"/>
      <c r="C141" s="460"/>
      <c r="D141" s="44"/>
      <c r="E141" s="45"/>
      <c r="F141" s="45"/>
      <c r="G141" s="46"/>
      <c r="H141" s="47"/>
      <c r="I141" s="48"/>
      <c r="J141" s="85"/>
      <c r="K141" s="85"/>
      <c r="L141" s="38"/>
      <c r="M141" s="38"/>
      <c r="N141" s="49"/>
      <c r="O141" s="50"/>
      <c r="P141" s="51"/>
      <c r="Q141" s="50"/>
      <c r="R141" s="512"/>
      <c r="S141" s="512"/>
      <c r="T141" s="40"/>
      <c r="U141" s="40"/>
      <c r="V141" s="40"/>
      <c r="W141" s="40"/>
      <c r="X141" s="513"/>
      <c r="Y141" s="214"/>
      <c r="Z141" s="40"/>
      <c r="AA141" s="52"/>
      <c r="AB141" s="52"/>
      <c r="AC141" s="40"/>
      <c r="AD141" s="40"/>
      <c r="AE141" s="233"/>
      <c r="AF141" s="40"/>
      <c r="AG141" s="40"/>
      <c r="AH141" s="40"/>
      <c r="AI141" s="514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36"/>
      <c r="BC141" s="515"/>
      <c r="BD141" s="515"/>
      <c r="BE141" s="36"/>
      <c r="BF141" s="515"/>
    </row>
    <row r="142" spans="1:58" ht="12.95" customHeight="1">
      <c r="A142" s="43">
        <v>45899</v>
      </c>
      <c r="B142" s="44" t="s">
        <v>8</v>
      </c>
      <c r="C142" s="460">
        <f>(M142*E142*O142*Q142)/100000000</f>
        <v>5.7380399999999998</v>
      </c>
      <c r="D142" s="44" t="s">
        <v>659</v>
      </c>
      <c r="E142" s="45">
        <v>30</v>
      </c>
      <c r="F142" s="45">
        <v>1</v>
      </c>
      <c r="G142" s="511">
        <v>545</v>
      </c>
      <c r="H142" s="47">
        <v>0.12</v>
      </c>
      <c r="I142" s="48">
        <v>0.88</v>
      </c>
      <c r="J142" s="85">
        <f>E142*G142*(1-H142)*1440/1000000*3.4</f>
        <v>70.443647999999996</v>
      </c>
      <c r="K142" s="85">
        <f>(IF(G142&lt;L142,L142,G142)*(1-IF(H142&lt;N142,H142,N142))*E142*O142*Q142)/100000000</f>
        <v>5.7380399999999998</v>
      </c>
      <c r="L142" s="38">
        <v>600</v>
      </c>
      <c r="M142" s="38">
        <f t="shared" ref="M142:M146" si="4">+L142-L142*0.12</f>
        <v>528</v>
      </c>
      <c r="N142" s="49">
        <f>1-(M142/L142)</f>
        <v>0.12</v>
      </c>
      <c r="O142" s="50">
        <f>+'Trim Rwd'!H99</f>
        <v>315</v>
      </c>
      <c r="P142" s="51">
        <f>O142*(Q142-R142-S142)</f>
        <v>34965</v>
      </c>
      <c r="Q142" s="50">
        <v>115</v>
      </c>
      <c r="R142" s="512">
        <v>0</v>
      </c>
      <c r="S142" s="512">
        <v>4</v>
      </c>
      <c r="T142" s="40">
        <f>E142*M142*O142*Q142/100000000</f>
        <v>5.7380399999999998</v>
      </c>
      <c r="U142" s="40">
        <f>E142*M142*O142*(Q142-R142-S142)/100000000</f>
        <v>5.538456</v>
      </c>
      <c r="V142" s="40">
        <f>E142*G142*(1-N142)*O142/100*(R142+S142)/1000000</f>
        <v>0.1812888</v>
      </c>
      <c r="W142" s="40">
        <f>+'30'!K26/1000</f>
        <v>6.673</v>
      </c>
      <c r="X142" s="513">
        <f>SUM(W142:W146)/SUM(K142:K146)</f>
        <v>0.91878251905884101</v>
      </c>
      <c r="Y142" s="214">
        <v>0</v>
      </c>
      <c r="Z142" s="40">
        <v>0</v>
      </c>
      <c r="AA142" s="52">
        <f>SUM(U142:U146)-SUM(W142:W146)-SUM(Z142:Z146)-SUM(Y142:Y146)</f>
        <v>3.2702270440000132</v>
      </c>
      <c r="AB142" s="52">
        <f>(SUM(K142:K146)-SUM(W142:W146)-SUM(Y142:Y146)-SUM(Z142:Z146)-SUM(AC142:AC146)-SUM(V142:V146))-AA142</f>
        <v>0.17100283199999167</v>
      </c>
      <c r="AC142" s="40">
        <f>K142-T142</f>
        <v>0</v>
      </c>
      <c r="AD142" s="40">
        <f>+AM142+BA142</f>
        <v>8</v>
      </c>
      <c r="AE142" s="233" t="s">
        <v>436</v>
      </c>
      <c r="AF142" s="40">
        <v>8</v>
      </c>
      <c r="AG142" s="40"/>
      <c r="AH142" s="40"/>
      <c r="AI142" s="514"/>
      <c r="AJ142" s="40"/>
      <c r="AK142" s="40"/>
      <c r="AL142" s="40"/>
      <c r="AM142" s="40">
        <f>SUM(AF142:AL142)+AT142+AV142+AX142</f>
        <v>8</v>
      </c>
      <c r="AN142" s="40"/>
      <c r="AO142" s="40"/>
      <c r="AP142" s="40"/>
      <c r="AQ142" s="40"/>
      <c r="AR142" s="40">
        <f>SUM(AN142:AQ142)</f>
        <v>0</v>
      </c>
      <c r="AS142" s="40"/>
      <c r="AT142" s="40"/>
      <c r="AU142" s="40"/>
      <c r="AV142" s="40"/>
      <c r="AW142" s="40"/>
      <c r="AX142" s="40"/>
      <c r="AY142" s="40"/>
      <c r="AZ142" s="40"/>
      <c r="BA142" s="40">
        <f>+AR142+AS142+AU142+AW142+AY142+AZ142</f>
        <v>0</v>
      </c>
      <c r="BB142" s="36">
        <v>2</v>
      </c>
      <c r="BC142" s="54"/>
      <c r="BD142" s="54"/>
      <c r="BE142" s="36"/>
      <c r="BF142" s="54"/>
    </row>
    <row r="143" spans="1:58" ht="12.95" customHeight="1">
      <c r="A143" s="43"/>
      <c r="B143" s="44" t="s">
        <v>8</v>
      </c>
      <c r="C143" s="460">
        <f t="shared" ref="C143:C146" si="5">(M143*E143*O143*Q143)/100000000</f>
        <v>16.740107999999999</v>
      </c>
      <c r="D143" s="44" t="s">
        <v>659</v>
      </c>
      <c r="E143" s="45">
        <v>31.5</v>
      </c>
      <c r="F143" s="45">
        <v>1</v>
      </c>
      <c r="G143" s="511">
        <v>520</v>
      </c>
      <c r="H143" s="47">
        <v>0.12</v>
      </c>
      <c r="I143" s="48">
        <v>0.88</v>
      </c>
      <c r="J143" s="85">
        <f t="shared" ref="J143:J146" si="6">E143*G143*(1-H143)*1440/1000000*3.4</f>
        <v>70.572902400000004</v>
      </c>
      <c r="K143" s="85">
        <f t="shared" ref="K143:K146" si="7">(IF(G143&lt;L143,L143,G143)*(1-IF(H143&lt;N143,H143,N143))*E143*O143*Q143)/100000000</f>
        <v>16.740107999999999</v>
      </c>
      <c r="L143" s="38">
        <v>600</v>
      </c>
      <c r="M143" s="38">
        <f t="shared" si="4"/>
        <v>528</v>
      </c>
      <c r="N143" s="49">
        <f t="shared" ref="N143:N146" si="8">1-(M143/L143)</f>
        <v>0.12</v>
      </c>
      <c r="O143" s="50">
        <f>+'Trim Rwd'!H100</f>
        <v>330</v>
      </c>
      <c r="P143" s="51">
        <f t="shared" ref="P143:P146" si="9">O143*(Q143-R143-S143)</f>
        <v>98670</v>
      </c>
      <c r="Q143" s="50">
        <v>305</v>
      </c>
      <c r="R143" s="512">
        <v>0</v>
      </c>
      <c r="S143" s="512">
        <v>6</v>
      </c>
      <c r="T143" s="40">
        <f t="shared" ref="T143:T146" si="10">E143*M143*O143*Q143/100000000</f>
        <v>16.740107999999999</v>
      </c>
      <c r="U143" s="40">
        <f t="shared" ref="U143:U146" si="11">E143*M143*O143*(Q143-R143-S143)/100000000</f>
        <v>16.4107944</v>
      </c>
      <c r="V143" s="40">
        <f t="shared" ref="V143:V146" si="12">E143*G143*(1-N143)*O143/100*(R143+S143)/1000000</f>
        <v>0.28540512000000001</v>
      </c>
      <c r="W143" s="40">
        <f>+'30'!K27/1000</f>
        <v>10.807</v>
      </c>
      <c r="X143" s="41"/>
      <c r="Y143" s="214"/>
      <c r="Z143" s="40">
        <f>+'30'!D8/1000</f>
        <v>0.7</v>
      </c>
      <c r="AA143" s="40"/>
      <c r="AB143" s="40"/>
      <c r="AC143" s="40">
        <f t="shared" ref="AC143:AC146" si="13">K143-T143</f>
        <v>0</v>
      </c>
      <c r="AD143" s="40">
        <f>+AM143+BA143</f>
        <v>5</v>
      </c>
      <c r="AE143" s="233" t="s">
        <v>434</v>
      </c>
      <c r="AF143" s="40"/>
      <c r="AG143" s="40">
        <v>5</v>
      </c>
      <c r="AH143" s="40"/>
      <c r="AI143" s="514"/>
      <c r="AJ143" s="40"/>
      <c r="AK143" s="40"/>
      <c r="AL143" s="40"/>
      <c r="AM143" s="40">
        <f>SUM(AF143:AL143)+AT143+AV143+AX143</f>
        <v>5</v>
      </c>
      <c r="AN143" s="86"/>
      <c r="AO143" s="40"/>
      <c r="AP143" s="40"/>
      <c r="AQ143" s="40"/>
      <c r="AR143" s="40">
        <f>SUM(AN143:AQ143)</f>
        <v>0</v>
      </c>
      <c r="AS143" s="40"/>
      <c r="AT143" s="40"/>
      <c r="AU143" s="40"/>
      <c r="AV143" s="40"/>
      <c r="AW143" s="40"/>
      <c r="AX143" s="40"/>
      <c r="AY143" s="40"/>
      <c r="AZ143" s="40"/>
      <c r="BA143" s="40">
        <f>+AR143+AS143+AU143+AW143+AY143+AZ143</f>
        <v>0</v>
      </c>
      <c r="BB143" s="53"/>
      <c r="BC143" s="54">
        <v>2</v>
      </c>
      <c r="BD143" s="54"/>
      <c r="BE143" s="53"/>
      <c r="BF143" s="54"/>
    </row>
    <row r="144" spans="1:58" ht="12.95" customHeight="1">
      <c r="A144" s="43"/>
      <c r="B144" s="44" t="s">
        <v>8</v>
      </c>
      <c r="C144" s="460">
        <f t="shared" si="5"/>
        <v>8.7790703000000008</v>
      </c>
      <c r="D144" s="44" t="s">
        <v>659</v>
      </c>
      <c r="E144" s="45">
        <v>33.5</v>
      </c>
      <c r="F144" s="45">
        <v>1</v>
      </c>
      <c r="G144" s="511">
        <v>490</v>
      </c>
      <c r="H144" s="47">
        <v>0.12</v>
      </c>
      <c r="I144" s="48">
        <v>0.88</v>
      </c>
      <c r="J144" s="85">
        <f t="shared" si="6"/>
        <v>70.723699199999999</v>
      </c>
      <c r="K144" s="85">
        <f t="shared" si="7"/>
        <v>8.7790703000000008</v>
      </c>
      <c r="L144" s="38">
        <v>550</v>
      </c>
      <c r="M144" s="38">
        <f t="shared" si="4"/>
        <v>484</v>
      </c>
      <c r="N144" s="49">
        <f t="shared" si="8"/>
        <v>0.12</v>
      </c>
      <c r="O144" s="50">
        <f>+'Trim Rwd'!H101</f>
        <v>318.5</v>
      </c>
      <c r="P144" s="51">
        <f t="shared" si="9"/>
        <v>52871</v>
      </c>
      <c r="Q144" s="50">
        <v>170</v>
      </c>
      <c r="R144" s="512">
        <v>0</v>
      </c>
      <c r="S144" s="512">
        <v>4</v>
      </c>
      <c r="T144" s="40">
        <f t="shared" si="10"/>
        <v>8.7790703000000008</v>
      </c>
      <c r="U144" s="40">
        <f t="shared" si="11"/>
        <v>8.5725039400000007</v>
      </c>
      <c r="V144" s="40">
        <f t="shared" si="12"/>
        <v>0.184031848</v>
      </c>
      <c r="W144" s="40">
        <f>+'30'!K28/1000</f>
        <v>10.058</v>
      </c>
      <c r="X144" s="41"/>
      <c r="Y144" s="214"/>
      <c r="Z144" s="40">
        <v>0</v>
      </c>
      <c r="AA144" s="40"/>
      <c r="AB144" s="40"/>
      <c r="AC144" s="40">
        <f t="shared" si="13"/>
        <v>0</v>
      </c>
      <c r="AD144" s="40">
        <f>+AM144+BA144</f>
        <v>9</v>
      </c>
      <c r="AE144" s="233" t="s">
        <v>226</v>
      </c>
      <c r="AF144" s="36"/>
      <c r="AG144" s="36"/>
      <c r="AH144" s="36">
        <v>9</v>
      </c>
      <c r="AI144" s="514"/>
      <c r="AJ144" s="40"/>
      <c r="AK144" s="40"/>
      <c r="AL144" s="40"/>
      <c r="AM144" s="40">
        <f>SUM(AF144:AL144)+AT144+AV144+AX144</f>
        <v>9</v>
      </c>
      <c r="AN144" s="40"/>
      <c r="AO144" s="40"/>
      <c r="AP144" s="40"/>
      <c r="AQ144" s="40"/>
      <c r="AR144" s="40">
        <f>SUM(AN144:AQ144)</f>
        <v>0</v>
      </c>
      <c r="AS144" s="40"/>
      <c r="AT144" s="40"/>
      <c r="AU144" s="40"/>
      <c r="AV144" s="40"/>
      <c r="AW144" s="40"/>
      <c r="AX144" s="40"/>
      <c r="AY144" s="40"/>
      <c r="AZ144" s="40"/>
      <c r="BA144" s="40">
        <f>+AR144+AS144+AU144+AW144+AY144+AZ144</f>
        <v>0</v>
      </c>
      <c r="BB144" s="36"/>
      <c r="BC144" s="515"/>
      <c r="BD144" s="515"/>
      <c r="BE144" s="36"/>
      <c r="BF144" s="515"/>
    </row>
    <row r="145" spans="1:97" ht="12.95" customHeight="1">
      <c r="A145" s="43"/>
      <c r="B145" s="44" t="s">
        <v>8</v>
      </c>
      <c r="C145" s="460">
        <f t="shared" si="5"/>
        <v>33.161356800000007</v>
      </c>
      <c r="D145" s="44" t="s">
        <v>659</v>
      </c>
      <c r="E145" s="45">
        <v>36</v>
      </c>
      <c r="F145" s="45">
        <v>1</v>
      </c>
      <c r="G145" s="511">
        <v>455</v>
      </c>
      <c r="H145" s="47">
        <v>0.12</v>
      </c>
      <c r="I145" s="48">
        <v>0.88</v>
      </c>
      <c r="J145" s="85">
        <f t="shared" si="6"/>
        <v>70.572902400000004</v>
      </c>
      <c r="K145" s="85">
        <f t="shared" si="7"/>
        <v>33.161356800000007</v>
      </c>
      <c r="L145" s="38">
        <v>520</v>
      </c>
      <c r="M145" s="38">
        <f t="shared" si="4"/>
        <v>457.6</v>
      </c>
      <c r="N145" s="49">
        <f t="shared" si="8"/>
        <v>0.12</v>
      </c>
      <c r="O145" s="50">
        <f>+'Trim Rwd'!H102</f>
        <v>330</v>
      </c>
      <c r="P145" s="51">
        <f t="shared" si="9"/>
        <v>198660</v>
      </c>
      <c r="Q145" s="50">
        <v>610</v>
      </c>
      <c r="R145" s="512">
        <v>0</v>
      </c>
      <c r="S145" s="512">
        <v>8</v>
      </c>
      <c r="T145" s="40">
        <f t="shared" si="10"/>
        <v>33.161356800000007</v>
      </c>
      <c r="U145" s="40">
        <f t="shared" si="11"/>
        <v>32.726453760000005</v>
      </c>
      <c r="V145" s="40">
        <f t="shared" si="12"/>
        <v>0.38054015999999996</v>
      </c>
      <c r="W145" s="40">
        <f>+'30'!K29/1000</f>
        <v>36.277000000000001</v>
      </c>
      <c r="X145" s="513"/>
      <c r="Y145" s="214"/>
      <c r="Z145" s="40">
        <f>+'30'!D25/1000</f>
        <v>0.78</v>
      </c>
      <c r="AA145" s="52"/>
      <c r="AB145" s="52"/>
      <c r="AC145" s="40">
        <f t="shared" si="13"/>
        <v>0</v>
      </c>
      <c r="AD145" s="40">
        <f>+AM145+BA145</f>
        <v>6</v>
      </c>
      <c r="AE145" s="233" t="s">
        <v>447</v>
      </c>
      <c r="AF145" s="40"/>
      <c r="AG145" s="40"/>
      <c r="AH145" s="40"/>
      <c r="AI145" s="514">
        <v>6</v>
      </c>
      <c r="AJ145" s="40"/>
      <c r="AK145" s="40"/>
      <c r="AL145" s="40"/>
      <c r="AM145" s="40">
        <f>SUM(AF145:AL145)+AT145+AV145+AX145</f>
        <v>6</v>
      </c>
      <c r="AN145" s="40"/>
      <c r="AO145" s="40"/>
      <c r="AP145" s="40"/>
      <c r="AQ145" s="40"/>
      <c r="AR145" s="40">
        <f>SUM(AN145:AQ145)</f>
        <v>0</v>
      </c>
      <c r="AS145" s="40"/>
      <c r="AT145" s="40"/>
      <c r="AU145" s="40"/>
      <c r="AV145" s="40"/>
      <c r="AW145" s="40"/>
      <c r="AX145" s="40"/>
      <c r="AY145" s="40"/>
      <c r="AZ145" s="40"/>
      <c r="BA145" s="40">
        <f>+AR145+AS145+AU145+AW145+AY145+AZ145</f>
        <v>0</v>
      </c>
      <c r="BB145" s="36"/>
      <c r="BC145" s="515"/>
      <c r="BD145" s="515"/>
      <c r="BE145" s="36"/>
      <c r="BF145" s="515"/>
    </row>
    <row r="146" spans="1:97" ht="12.95" customHeight="1">
      <c r="A146" s="43"/>
      <c r="B146" s="44" t="s">
        <v>8</v>
      </c>
      <c r="C146" s="460">
        <f t="shared" si="5"/>
        <v>12.25027584</v>
      </c>
      <c r="D146" s="44" t="s">
        <v>659</v>
      </c>
      <c r="E146" s="45">
        <v>38</v>
      </c>
      <c r="F146" s="45">
        <v>1</v>
      </c>
      <c r="G146" s="511">
        <v>430</v>
      </c>
      <c r="H146" s="47">
        <v>0.12</v>
      </c>
      <c r="I146" s="48">
        <v>0.88</v>
      </c>
      <c r="J146" s="85">
        <f t="shared" si="6"/>
        <v>70.400563199999993</v>
      </c>
      <c r="K146" s="85">
        <f t="shared" si="7"/>
        <v>12.25027584</v>
      </c>
      <c r="L146" s="38">
        <v>480</v>
      </c>
      <c r="M146" s="38">
        <f t="shared" si="4"/>
        <v>422.4</v>
      </c>
      <c r="N146" s="49">
        <f t="shared" si="8"/>
        <v>0.12</v>
      </c>
      <c r="O146" s="50">
        <f>+'Trim Rwd'!H103</f>
        <v>318</v>
      </c>
      <c r="P146" s="51">
        <f t="shared" si="9"/>
        <v>74412</v>
      </c>
      <c r="Q146" s="50">
        <v>240</v>
      </c>
      <c r="R146" s="512">
        <v>0</v>
      </c>
      <c r="S146" s="512">
        <v>6</v>
      </c>
      <c r="T146" s="40">
        <f t="shared" si="10"/>
        <v>12.25027584</v>
      </c>
      <c r="U146" s="40">
        <f t="shared" si="11"/>
        <v>11.944018943999998</v>
      </c>
      <c r="V146" s="40">
        <f t="shared" si="12"/>
        <v>0.27435513600000005</v>
      </c>
      <c r="W146" s="40">
        <f>+'30'!K30/1000</f>
        <v>6.6269999999999998</v>
      </c>
      <c r="X146" s="41"/>
      <c r="Y146" s="214"/>
      <c r="Z146" s="40"/>
      <c r="AA146" s="40"/>
      <c r="AB146" s="40"/>
      <c r="AC146" s="40">
        <f t="shared" si="13"/>
        <v>0</v>
      </c>
      <c r="AD146" s="40"/>
      <c r="AE146" s="233"/>
      <c r="AF146" s="40"/>
      <c r="AG146" s="40"/>
      <c r="AH146" s="40"/>
      <c r="AI146" s="514"/>
      <c r="AJ146" s="40"/>
      <c r="AK146" s="40"/>
      <c r="AL146" s="40"/>
      <c r="AM146" s="40"/>
      <c r="AN146" s="86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53"/>
      <c r="BC146" s="54"/>
      <c r="BD146" s="54"/>
      <c r="BE146" s="54"/>
      <c r="BF146" s="54"/>
    </row>
    <row r="147" spans="1:97" ht="12.95" customHeight="1">
      <c r="A147" s="43"/>
      <c r="B147" s="44"/>
      <c r="C147" s="460"/>
      <c r="D147" s="44"/>
      <c r="E147" s="45"/>
      <c r="F147" s="45"/>
      <c r="G147" s="511"/>
      <c r="H147" s="47"/>
      <c r="I147" s="48"/>
      <c r="J147" s="85"/>
      <c r="K147" s="85"/>
      <c r="L147" s="38"/>
      <c r="M147" s="38"/>
      <c r="N147" s="49"/>
      <c r="O147" s="50"/>
      <c r="P147" s="51"/>
      <c r="Q147" s="50"/>
      <c r="R147" s="512"/>
      <c r="S147" s="512"/>
      <c r="T147" s="40"/>
      <c r="U147" s="40"/>
      <c r="V147" s="40"/>
      <c r="W147" s="40"/>
      <c r="X147" s="41"/>
      <c r="Y147" s="214"/>
      <c r="Z147" s="40"/>
      <c r="AA147" s="40"/>
      <c r="AB147" s="40"/>
      <c r="AC147" s="40"/>
      <c r="AD147" s="40"/>
      <c r="AE147" s="233"/>
      <c r="AF147" s="36"/>
      <c r="AG147" s="36"/>
      <c r="AH147" s="36"/>
      <c r="AI147" s="514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36"/>
      <c r="BC147" s="515"/>
      <c r="BD147" s="54"/>
      <c r="BE147" s="54"/>
      <c r="BF147" s="54"/>
    </row>
    <row r="148" spans="1:97" ht="12.95" customHeight="1">
      <c r="A148" s="43">
        <v>45900</v>
      </c>
      <c r="B148" s="44" t="s">
        <v>8</v>
      </c>
      <c r="C148" s="460">
        <f t="shared" ref="C148" si="14">(M148*E148*O148*Q148)/100000000</f>
        <v>58.933184640000007</v>
      </c>
      <c r="D148" s="44" t="s">
        <v>659</v>
      </c>
      <c r="E148" s="45">
        <v>38</v>
      </c>
      <c r="F148" s="45">
        <v>1</v>
      </c>
      <c r="G148" s="511">
        <v>430</v>
      </c>
      <c r="H148" s="47">
        <v>0.12</v>
      </c>
      <c r="I148" s="48">
        <v>0.88</v>
      </c>
      <c r="J148" s="85">
        <f t="shared" ref="J148" si="15">E148*G148*(1-H148)*1440/1000000*3.4</f>
        <v>70.400563199999993</v>
      </c>
      <c r="K148" s="85">
        <f t="shared" ref="K148" si="16">(IF(G148&lt;L148,L148,G148)*(1-IF(H148&lt;N148,H148,N148))*E148*O148*Q148)/100000000</f>
        <v>58.933184640000007</v>
      </c>
      <c r="L148" s="38">
        <v>499.27927927927925</v>
      </c>
      <c r="M148" s="38">
        <v>439.36576576576579</v>
      </c>
      <c r="N148" s="49">
        <f t="shared" ref="N148" si="17">1-(M148/L148)</f>
        <v>0.11999999999999988</v>
      </c>
      <c r="O148" s="50">
        <f>+'Trim Rwd'!H105</f>
        <v>318</v>
      </c>
      <c r="P148" s="51">
        <f t="shared" ref="P148" si="18">O148*(Q148-R148-S148)</f>
        <v>348846</v>
      </c>
      <c r="Q148" s="50">
        <v>1110</v>
      </c>
      <c r="R148" s="512">
        <v>0</v>
      </c>
      <c r="S148" s="512">
        <v>13</v>
      </c>
      <c r="T148" s="40">
        <f t="shared" ref="T148" si="19">E148*M148*O148*Q148/100000000</f>
        <v>58.933184640000007</v>
      </c>
      <c r="U148" s="40">
        <f t="shared" ref="U148" si="20">E148*M148*O148*(Q148-R148-S148)/100000000</f>
        <v>58.242976171243249</v>
      </c>
      <c r="V148" s="40">
        <f t="shared" ref="V148" si="21">E148*G148*(1-N148)*O148/100*(R148+S148)/1000000</f>
        <v>0.59443612800000012</v>
      </c>
      <c r="W148" s="40">
        <f>+'31'!K30/1000</f>
        <v>62.066000000000003</v>
      </c>
      <c r="X148" s="513">
        <f>SUM(W148:W151)/SUM(K148:K151)</f>
        <v>0.96985461089263192</v>
      </c>
      <c r="Y148" s="214">
        <f>+SUM(RBP!$AG$3:$AG$4)</f>
        <v>4.5999999999999996</v>
      </c>
      <c r="Z148" s="40">
        <v>0</v>
      </c>
      <c r="AA148" s="52">
        <f>SUM(U148:U151)-SUM(W148:W151)-SUM(Z148:Z151)-SUM(Y148:Y151)</f>
        <v>-3.256401228756749</v>
      </c>
      <c r="AB148" s="52">
        <f>(SUM(K148:K151)-SUM(W148:W151)-SUM(Y148:Y151)-SUM(Z148:Z151)-SUM(AC148:AC151)-SUM(V148:V151))-AA148</f>
        <v>0.1301051007567624</v>
      </c>
      <c r="AC148" s="40">
        <f>K148-T148</f>
        <v>0</v>
      </c>
      <c r="AD148" s="40">
        <f>+AM148+BA148</f>
        <v>0</v>
      </c>
      <c r="AE148" s="233" t="s">
        <v>391</v>
      </c>
      <c r="AF148" s="40">
        <v>0</v>
      </c>
      <c r="AG148" s="40"/>
      <c r="AH148" s="40"/>
      <c r="AI148" s="514"/>
      <c r="AJ148" s="40"/>
      <c r="AK148" s="40"/>
      <c r="AL148" s="40"/>
      <c r="AM148" s="40">
        <f>SUM(AF148:AL148)+AT148+AV148+AX148</f>
        <v>0</v>
      </c>
      <c r="AN148" s="40"/>
      <c r="AO148" s="40"/>
      <c r="AP148" s="40"/>
      <c r="AQ148" s="40"/>
      <c r="AR148" s="40">
        <f>SUM(AN148:AQ148)</f>
        <v>0</v>
      </c>
      <c r="AS148" s="40"/>
      <c r="AT148" s="40"/>
      <c r="AU148" s="40"/>
      <c r="AV148" s="40"/>
      <c r="AW148" s="40"/>
      <c r="AX148" s="40"/>
      <c r="AY148" s="40"/>
      <c r="AZ148" s="40"/>
      <c r="BA148" s="40">
        <f>+AR148+AS148+AU148+AW148+AY148+AZ148</f>
        <v>0</v>
      </c>
      <c r="BB148" s="36">
        <v>0</v>
      </c>
      <c r="BC148" s="54"/>
      <c r="BD148" s="54"/>
      <c r="BE148" s="36"/>
      <c r="BF148" s="54"/>
    </row>
    <row r="149" spans="1:97" ht="12.95" customHeight="1">
      <c r="A149" s="43"/>
      <c r="B149" s="44" t="s">
        <v>8</v>
      </c>
      <c r="C149" s="460">
        <f t="shared" ref="C149" si="22">(M149*E149*O149*Q149)/100000000</f>
        <v>17.156570640000002</v>
      </c>
      <c r="D149" s="44" t="s">
        <v>659</v>
      </c>
      <c r="E149" s="45">
        <v>35.5</v>
      </c>
      <c r="F149" s="45">
        <v>1</v>
      </c>
      <c r="G149" s="511">
        <v>460</v>
      </c>
      <c r="H149" s="47">
        <v>0.12</v>
      </c>
      <c r="I149" s="48">
        <v>0.88</v>
      </c>
      <c r="J149" s="85">
        <f t="shared" ref="J149" si="23">E149*G149*(1-H149)*1440/1000000*3.4</f>
        <v>70.357478400000005</v>
      </c>
      <c r="K149" s="85">
        <f t="shared" ref="K149" si="24">(IF(G149&lt;L149,L149,G149)*(1-IF(H149&lt;N149,H149,N149))*E149*O149*Q149)/100000000</f>
        <v>17.156570640000002</v>
      </c>
      <c r="L149" s="38">
        <v>530</v>
      </c>
      <c r="M149" s="38">
        <v>466.4</v>
      </c>
      <c r="N149" s="49">
        <f t="shared" ref="N149" si="25">1-(M149/L149)</f>
        <v>0.12</v>
      </c>
      <c r="O149" s="50">
        <f>+'Trim Rwd'!H106</f>
        <v>314</v>
      </c>
      <c r="P149" s="51">
        <f t="shared" ref="P149" si="26">O149*(Q149-R149-S149)</f>
        <v>102050</v>
      </c>
      <c r="Q149" s="50">
        <v>330</v>
      </c>
      <c r="R149" s="512">
        <v>0</v>
      </c>
      <c r="S149" s="512">
        <v>5</v>
      </c>
      <c r="T149" s="40">
        <f t="shared" ref="T149" si="27">E149*M149*O149*Q149/100000000</f>
        <v>17.156570640000002</v>
      </c>
      <c r="U149" s="40">
        <f t="shared" ref="U149" si="28">E149*M149*O149*(Q149-R149-S149)/100000000</f>
        <v>16.896622600000001</v>
      </c>
      <c r="V149" s="40">
        <f t="shared" ref="V149" si="29">E149*G149*(1-N149)*O149/100*(R149+S149)/1000000</f>
        <v>0.22561527999999997</v>
      </c>
      <c r="W149" s="40">
        <f>+'31'!K31/1000</f>
        <v>5.657</v>
      </c>
      <c r="X149" s="41"/>
      <c r="Y149" s="214"/>
      <c r="Z149" s="40"/>
      <c r="AA149" s="40"/>
      <c r="AB149" s="40"/>
      <c r="AC149" s="40">
        <f t="shared" ref="AC149" si="30">K149-T149</f>
        <v>0</v>
      </c>
      <c r="AD149" s="40">
        <f>+AM149+BA149</f>
        <v>4</v>
      </c>
      <c r="AE149" s="233" t="s">
        <v>389</v>
      </c>
      <c r="AF149" s="40"/>
      <c r="AG149" s="40">
        <v>4</v>
      </c>
      <c r="AH149" s="40"/>
      <c r="AI149" s="514"/>
      <c r="AJ149" s="40"/>
      <c r="AK149" s="40"/>
      <c r="AL149" s="40"/>
      <c r="AM149" s="40">
        <f>SUM(AF149:AL149)+AT149+AV149+AX149</f>
        <v>4</v>
      </c>
      <c r="AN149" s="86"/>
      <c r="AO149" s="40"/>
      <c r="AP149" s="40"/>
      <c r="AQ149" s="40"/>
      <c r="AR149" s="40">
        <f>SUM(AN149:AQ149)</f>
        <v>0</v>
      </c>
      <c r="AS149" s="40"/>
      <c r="AT149" s="40"/>
      <c r="AU149" s="40"/>
      <c r="AV149" s="40"/>
      <c r="AW149" s="40"/>
      <c r="AX149" s="40"/>
      <c r="AY149" s="40"/>
      <c r="AZ149" s="40"/>
      <c r="BA149" s="40">
        <f>+AR149+AS149+AU149+AW149+AY149+AZ149</f>
        <v>0</v>
      </c>
      <c r="BB149" s="53"/>
      <c r="BC149" s="54">
        <v>1</v>
      </c>
      <c r="BD149" s="54"/>
      <c r="BE149" s="53"/>
      <c r="BF149" s="54"/>
    </row>
    <row r="150" spans="1:97" ht="12.95" customHeight="1">
      <c r="A150" s="43"/>
      <c r="B150" s="44"/>
      <c r="C150" s="460"/>
      <c r="D150" s="44"/>
      <c r="E150" s="45"/>
      <c r="F150" s="45"/>
      <c r="G150" s="511"/>
      <c r="H150" s="47"/>
      <c r="I150" s="48"/>
      <c r="J150" s="85"/>
      <c r="K150" s="85"/>
      <c r="L150" s="38"/>
      <c r="M150" s="38"/>
      <c r="N150" s="49"/>
      <c r="O150" s="50"/>
      <c r="P150" s="51"/>
      <c r="Q150" s="50"/>
      <c r="R150" s="512"/>
      <c r="S150" s="512"/>
      <c r="T150" s="40"/>
      <c r="U150" s="40"/>
      <c r="V150" s="40"/>
      <c r="W150" s="40">
        <f>+'31'!K29/1000</f>
        <v>6.0730000000000004</v>
      </c>
      <c r="X150" s="41"/>
      <c r="Y150" s="214"/>
      <c r="Z150" s="40"/>
      <c r="AA150" s="40"/>
      <c r="AB150" s="40"/>
      <c r="AC150" s="40"/>
      <c r="AD150" s="40">
        <f>+AM150+BA150</f>
        <v>14</v>
      </c>
      <c r="AE150" s="233" t="s">
        <v>226</v>
      </c>
      <c r="AF150" s="36"/>
      <c r="AG150" s="36"/>
      <c r="AH150" s="36">
        <v>14</v>
      </c>
      <c r="AI150" s="514"/>
      <c r="AJ150" s="40"/>
      <c r="AK150" s="40"/>
      <c r="AL150" s="40"/>
      <c r="AM150" s="40">
        <f>SUM(AF150:AL150)+AT150+AV150+AX150</f>
        <v>14</v>
      </c>
      <c r="AN150" s="40"/>
      <c r="AO150" s="40"/>
      <c r="AP150" s="40"/>
      <c r="AQ150" s="40"/>
      <c r="AR150" s="40">
        <f>SUM(AN150:AQ150)</f>
        <v>0</v>
      </c>
      <c r="AS150" s="40"/>
      <c r="AT150" s="40"/>
      <c r="AU150" s="40"/>
      <c r="AV150" s="40"/>
      <c r="AW150" s="40"/>
      <c r="AX150" s="40"/>
      <c r="AY150" s="40"/>
      <c r="AZ150" s="40"/>
      <c r="BA150" s="40">
        <f>+AR150+AS150+AU150+AW150+AY150+AZ150</f>
        <v>0</v>
      </c>
      <c r="BB150" s="36"/>
      <c r="BC150" s="515"/>
      <c r="BD150" s="515"/>
      <c r="BE150" s="36"/>
      <c r="BF150" s="515"/>
    </row>
    <row r="151" spans="1:97" ht="12.95" customHeight="1">
      <c r="A151" s="43"/>
      <c r="B151" s="44"/>
      <c r="C151" s="460"/>
      <c r="D151" s="44"/>
      <c r="E151" s="45"/>
      <c r="F151" s="45"/>
      <c r="G151" s="511"/>
      <c r="H151" s="47"/>
      <c r="I151" s="48"/>
      <c r="J151" s="85"/>
      <c r="K151" s="85"/>
      <c r="L151" s="38"/>
      <c r="M151" s="38"/>
      <c r="N151" s="49"/>
      <c r="O151" s="50"/>
      <c r="P151" s="51"/>
      <c r="Q151" s="50"/>
      <c r="R151" s="512"/>
      <c r="S151" s="512"/>
      <c r="T151" s="40"/>
      <c r="U151" s="40"/>
      <c r="V151" s="40"/>
      <c r="W151" s="40"/>
      <c r="X151" s="41"/>
      <c r="Y151" s="214"/>
      <c r="Z151" s="40"/>
      <c r="AA151" s="40"/>
      <c r="AB151" s="40"/>
      <c r="AC151" s="40"/>
      <c r="AD151" s="40"/>
      <c r="AE151" s="233"/>
      <c r="AF151" s="40"/>
      <c r="AG151" s="40"/>
      <c r="AH151" s="40"/>
      <c r="AI151" s="514"/>
      <c r="AJ151" s="40"/>
      <c r="AK151" s="40"/>
      <c r="AL151" s="40"/>
      <c r="AM151" s="40"/>
      <c r="AN151" s="86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53"/>
      <c r="BC151" s="54"/>
      <c r="BD151" s="54"/>
      <c r="BE151" s="54"/>
      <c r="BF151" s="54"/>
    </row>
    <row r="152" spans="1:97">
      <c r="R152" s="516"/>
      <c r="S152" s="516"/>
      <c r="AA152" s="249">
        <f>U152-W152-Z152</f>
        <v>0</v>
      </c>
      <c r="AB152" s="249"/>
      <c r="AC152" s="250">
        <f>K152-T152</f>
        <v>0</v>
      </c>
      <c r="AD152" s="40"/>
      <c r="AF152" s="55"/>
      <c r="AG152" s="55"/>
      <c r="AH152" s="55"/>
      <c r="AI152" s="55"/>
      <c r="AJ152" s="55"/>
      <c r="AK152" s="55"/>
      <c r="AL152" s="55"/>
      <c r="AM152" s="40"/>
      <c r="AN152" s="55"/>
      <c r="AO152" s="55"/>
      <c r="AP152" s="55"/>
      <c r="AQ152" s="55"/>
      <c r="AR152" s="40"/>
      <c r="AS152" s="55"/>
      <c r="AT152" s="55"/>
      <c r="AU152" s="55"/>
      <c r="AV152" s="55"/>
      <c r="AW152" s="55"/>
      <c r="AX152" s="55"/>
      <c r="AY152" s="55"/>
      <c r="AZ152" s="55"/>
      <c r="BA152" s="40"/>
      <c r="BB152" s="66"/>
      <c r="BC152" s="66"/>
      <c r="BD152" s="515"/>
      <c r="BE152" s="36"/>
      <c r="BF152" s="515"/>
    </row>
    <row r="153" spans="1:97">
      <c r="A153" s="59"/>
      <c r="B153" s="60"/>
      <c r="C153" s="462">
        <f>SUM(C6:C151)</f>
        <v>1878.4560279163045</v>
      </c>
      <c r="D153" s="60"/>
      <c r="E153" s="61"/>
      <c r="F153" s="61"/>
      <c r="G153" s="62"/>
      <c r="H153" s="62"/>
      <c r="I153" s="63">
        <v>0.85</v>
      </c>
      <c r="J153" s="85"/>
      <c r="K153" s="87">
        <f>SUM(K6:K151)</f>
        <v>1895.9256804457955</v>
      </c>
      <c r="L153" s="65"/>
      <c r="M153" s="65"/>
      <c r="N153" s="66"/>
      <c r="O153" s="67">
        <f>P153/(Q153-R153-S153)</f>
        <v>323.87235446639892</v>
      </c>
      <c r="P153" s="64">
        <f>SUM(P6:P151)</f>
        <v>13384025.048323935</v>
      </c>
      <c r="Q153" s="383">
        <f>SUM(Q6:Q152)</f>
        <v>44640</v>
      </c>
      <c r="R153" s="64">
        <f t="shared" ref="R153:W153" si="31">SUM(R6:R151)</f>
        <v>1835</v>
      </c>
      <c r="S153" s="64">
        <f t="shared" si="31"/>
        <v>1480</v>
      </c>
      <c r="T153" s="64">
        <f t="shared" si="31"/>
        <v>1878.4560279163045</v>
      </c>
      <c r="U153" s="64">
        <f t="shared" si="31"/>
        <v>1751.2093756540517</v>
      </c>
      <c r="V153" s="407">
        <f t="shared" si="31"/>
        <v>130.41411060378275</v>
      </c>
      <c r="W153" s="466">
        <f t="shared" si="31"/>
        <v>1681.0409999999995</v>
      </c>
      <c r="X153" s="517">
        <f>W153/K153</f>
        <v>0.88665975535746244</v>
      </c>
      <c r="Y153" s="408">
        <f>SUM(Y6:Y151)</f>
        <v>4.5999999999999996</v>
      </c>
      <c r="Z153" s="466">
        <f>SUM(Z6:Z151)</f>
        <v>16.451000000000001</v>
      </c>
      <c r="AA153" s="64">
        <f>SUM(AA6:AA151)</f>
        <v>49.117375654051251</v>
      </c>
      <c r="AB153" s="64">
        <f>SUM(AB6:AB151)</f>
        <v>-3.1674583415292794</v>
      </c>
      <c r="AC153" s="64">
        <f>SUM(AC6:AC151)</f>
        <v>17.469652529491007</v>
      </c>
      <c r="AD153" s="40">
        <f>SUM(AD6:AD152)</f>
        <v>3315</v>
      </c>
      <c r="AE153" s="68"/>
      <c r="AF153" s="64">
        <f t="shared" ref="AF153:BF153" si="32">SUM(AF6:AF152)</f>
        <v>238</v>
      </c>
      <c r="AG153" s="64">
        <f t="shared" si="32"/>
        <v>423</v>
      </c>
      <c r="AH153" s="64">
        <f t="shared" si="32"/>
        <v>506</v>
      </c>
      <c r="AI153" s="64">
        <f t="shared" si="32"/>
        <v>118</v>
      </c>
      <c r="AJ153" s="64">
        <f t="shared" si="32"/>
        <v>0</v>
      </c>
      <c r="AK153" s="64">
        <f t="shared" si="32"/>
        <v>45</v>
      </c>
      <c r="AL153" s="64">
        <f t="shared" si="32"/>
        <v>0</v>
      </c>
      <c r="AM153" s="64">
        <f t="shared" si="32"/>
        <v>1480</v>
      </c>
      <c r="AN153" s="55">
        <f t="shared" si="32"/>
        <v>0</v>
      </c>
      <c r="AO153" s="55">
        <f t="shared" si="32"/>
        <v>0</v>
      </c>
      <c r="AP153" s="55">
        <f t="shared" si="32"/>
        <v>579</v>
      </c>
      <c r="AQ153" s="55">
        <f t="shared" si="32"/>
        <v>0</v>
      </c>
      <c r="AR153" s="64">
        <f t="shared" si="32"/>
        <v>579</v>
      </c>
      <c r="AS153" s="64">
        <f t="shared" si="32"/>
        <v>0</v>
      </c>
      <c r="AT153" s="64">
        <f t="shared" si="32"/>
        <v>150</v>
      </c>
      <c r="AU153" s="64">
        <f t="shared" si="32"/>
        <v>1256</v>
      </c>
      <c r="AV153" s="64">
        <f t="shared" si="32"/>
        <v>0</v>
      </c>
      <c r="AW153" s="64">
        <f t="shared" si="32"/>
        <v>0</v>
      </c>
      <c r="AX153" s="64">
        <f t="shared" si="32"/>
        <v>0</v>
      </c>
      <c r="AY153" s="64">
        <f t="shared" si="32"/>
        <v>0</v>
      </c>
      <c r="AZ153" s="64">
        <f t="shared" si="32"/>
        <v>0</v>
      </c>
      <c r="BA153" s="64">
        <f t="shared" si="32"/>
        <v>1835</v>
      </c>
      <c r="BB153" s="55">
        <f t="shared" si="32"/>
        <v>79</v>
      </c>
      <c r="BC153" s="55">
        <f t="shared" si="32"/>
        <v>116</v>
      </c>
      <c r="BD153" s="55">
        <f t="shared" si="32"/>
        <v>0</v>
      </c>
      <c r="BE153" s="55">
        <f t="shared" si="32"/>
        <v>0</v>
      </c>
      <c r="BF153" s="55">
        <f t="shared" si="32"/>
        <v>0</v>
      </c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</row>
    <row r="154" spans="1:97">
      <c r="A154" s="59"/>
      <c r="B154" s="60"/>
      <c r="C154" s="60"/>
      <c r="D154" s="60"/>
      <c r="E154" s="61"/>
      <c r="F154" s="61"/>
      <c r="G154" s="62"/>
      <c r="H154" s="62"/>
      <c r="I154" s="62"/>
      <c r="J154" s="88"/>
      <c r="K154" s="88"/>
      <c r="L154" s="65"/>
      <c r="M154" s="65"/>
      <c r="N154" s="66"/>
      <c r="O154" s="656"/>
      <c r="P154" s="657"/>
      <c r="Q154" s="62">
        <f>31*1440-Q153</f>
        <v>0</v>
      </c>
      <c r="R154" s="69">
        <f>R153/Q153</f>
        <v>4.1106630824372763E-2</v>
      </c>
      <c r="S154" s="69">
        <f>S153/Q153</f>
        <v>3.3154121863799284E-2</v>
      </c>
      <c r="T154" s="394"/>
      <c r="U154" s="394"/>
      <c r="V154" s="396">
        <f>V153/K153</f>
        <v>6.8786509908509721E-2</v>
      </c>
      <c r="W154" s="412" t="s">
        <v>169</v>
      </c>
      <c r="X154" s="518">
        <v>0.85</v>
      </c>
      <c r="Y154" s="409">
        <f>Y153/K153</f>
        <v>2.4262554421006556E-3</v>
      </c>
      <c r="Z154" s="70">
        <f>Z153/K153</f>
        <v>8.6770278865212803E-3</v>
      </c>
      <c r="AA154" s="70">
        <f>AA153/K153</f>
        <v>2.5906804343987847E-2</v>
      </c>
      <c r="AB154" s="70">
        <f>AB153/K153</f>
        <v>-1.6706658779918548E-3</v>
      </c>
      <c r="AC154" s="519">
        <f>AC153/K153</f>
        <v>9.2143129394097918E-3</v>
      </c>
      <c r="AD154" s="397"/>
      <c r="AE154" s="42"/>
      <c r="AF154" s="70">
        <f>AF153/$AD$153*$V$154</f>
        <v>4.9385186600981335E-3</v>
      </c>
      <c r="AG154" s="70">
        <f>AG153/$AD$153*$V$154</f>
        <v>8.777283164796262E-3</v>
      </c>
      <c r="AH154" s="70">
        <f>AH153/$AD$153*$V$154</f>
        <v>1.0499539672309479E-2</v>
      </c>
      <c r="AI154" s="70">
        <f>AI153/$AD$153*$V$154</f>
        <v>2.4485092516452933E-3</v>
      </c>
      <c r="AJ154" s="70">
        <f t="shared" ref="AJ154:BA154" si="33">AJ153/$AD$153*$V$154</f>
        <v>0</v>
      </c>
      <c r="AK154" s="70">
        <f t="shared" si="33"/>
        <v>9.3375352816981523E-4</v>
      </c>
      <c r="AL154" s="70">
        <f t="shared" si="33"/>
        <v>0</v>
      </c>
      <c r="AM154" s="70">
        <f t="shared" si="33"/>
        <v>3.0710116037585035E-2</v>
      </c>
      <c r="AN154" s="70">
        <f t="shared" si="33"/>
        <v>0</v>
      </c>
      <c r="AO154" s="70">
        <f t="shared" si="33"/>
        <v>0</v>
      </c>
      <c r="AP154" s="70">
        <f t="shared" si="33"/>
        <v>1.2014295395784955E-2</v>
      </c>
      <c r="AQ154" s="70">
        <f t="shared" si="33"/>
        <v>0</v>
      </c>
      <c r="AR154" s="70">
        <f t="shared" si="33"/>
        <v>1.2014295395784955E-2</v>
      </c>
      <c r="AS154" s="70">
        <f t="shared" si="33"/>
        <v>0</v>
      </c>
      <c r="AT154" s="70">
        <f t="shared" si="33"/>
        <v>3.1125117605660508E-3</v>
      </c>
      <c r="AU154" s="70">
        <f t="shared" si="33"/>
        <v>2.6062098475139732E-2</v>
      </c>
      <c r="AV154" s="70">
        <f>AV153/$AD$153*$V$154</f>
        <v>0</v>
      </c>
      <c r="AW154" s="70">
        <f>AW153/$AD$153*$V$154</f>
        <v>0</v>
      </c>
      <c r="AX154" s="70">
        <f>AX153/$AD$153*$V$154</f>
        <v>0</v>
      </c>
      <c r="AY154" s="70">
        <f>AY153/$AD$153*$V$154</f>
        <v>0</v>
      </c>
      <c r="AZ154" s="70">
        <f>AZ153/$AD$153*$V$154</f>
        <v>0</v>
      </c>
      <c r="BA154" s="70">
        <f t="shared" si="33"/>
        <v>3.8076393870924687E-2</v>
      </c>
      <c r="BB154" s="37" t="s">
        <v>168</v>
      </c>
      <c r="BC154" s="37" t="s">
        <v>168</v>
      </c>
      <c r="BD154" s="37" t="s">
        <v>377</v>
      </c>
      <c r="BE154" s="37" t="s">
        <v>377</v>
      </c>
      <c r="BF154" s="37" t="s">
        <v>377</v>
      </c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</row>
    <row r="155" spans="1:97">
      <c r="A155" s="59"/>
      <c r="B155" s="60"/>
      <c r="C155" s="60"/>
      <c r="D155" s="60"/>
      <c r="E155" s="61"/>
      <c r="F155" s="61"/>
      <c r="G155" s="37"/>
      <c r="H155" s="37"/>
      <c r="I155" s="37"/>
      <c r="J155" s="85"/>
      <c r="K155" s="85"/>
      <c r="L155" s="38"/>
      <c r="M155" s="38"/>
      <c r="N155" s="36"/>
      <c r="O155" s="39"/>
      <c r="P155" s="31"/>
      <c r="Q155" s="37"/>
      <c r="R155" s="40">
        <f>R153-(BA153)</f>
        <v>0</v>
      </c>
      <c r="S155" s="40">
        <f>+S153-AM153</f>
        <v>0</v>
      </c>
      <c r="T155" s="36"/>
      <c r="U155" s="36"/>
      <c r="V155" s="36"/>
      <c r="W155" s="410">
        <f>+W153-'31'!M34/1000</f>
        <v>0</v>
      </c>
      <c r="X155" s="411"/>
      <c r="Y155" s="71">
        <f>+Y153-(SUM(RBP!AG3:AG4))</f>
        <v>0</v>
      </c>
      <c r="Z155" s="40">
        <f>+Z153-'31'!J56/1000</f>
        <v>0</v>
      </c>
      <c r="AA155" s="36"/>
      <c r="AB155" s="36"/>
      <c r="AC155" s="36"/>
      <c r="AD155" s="36"/>
      <c r="AE155" s="42"/>
      <c r="AF155" s="384"/>
      <c r="AG155" s="384"/>
      <c r="AH155" s="384"/>
      <c r="AI155" s="384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520">
        <f>BB153/($Q$153/1440)/2</f>
        <v>1.2741935483870968</v>
      </c>
      <c r="BC155" s="520">
        <f>BC153/($Q$153/1440)/2</f>
        <v>1.8709677419354838</v>
      </c>
      <c r="BD155" s="520">
        <f>BD153/($Q$153/1440)</f>
        <v>0</v>
      </c>
      <c r="BE155" s="520">
        <f>BE153/($Q$153/1440)</f>
        <v>0</v>
      </c>
      <c r="BF155" s="520">
        <f>BF153/($Q$153/1440)</f>
        <v>0</v>
      </c>
    </row>
    <row r="156" spans="1:97">
      <c r="A156" s="72"/>
      <c r="B156" s="73"/>
      <c r="C156" s="73"/>
      <c r="D156" s="73"/>
      <c r="E156" s="74"/>
      <c r="F156" s="74"/>
      <c r="G156" s="75"/>
      <c r="H156" s="75"/>
      <c r="I156" s="75"/>
      <c r="J156" s="89"/>
      <c r="K156" s="89"/>
      <c r="O156" s="76"/>
      <c r="P156" s="77"/>
      <c r="Q156" s="75"/>
      <c r="R156" s="56"/>
      <c r="S156" s="56"/>
      <c r="U156" s="78"/>
      <c r="V156" s="78"/>
      <c r="W156" s="79" t="s">
        <v>121</v>
      </c>
      <c r="X156" s="521">
        <f>W153/U153</f>
        <v>0.95993147556793701</v>
      </c>
      <c r="Y156" s="521"/>
      <c r="Z156" s="573"/>
      <c r="AA156" s="32" t="s">
        <v>380</v>
      </c>
      <c r="AD156" s="86"/>
      <c r="AE156" s="81"/>
      <c r="AF156" s="82"/>
      <c r="AG156" s="82"/>
      <c r="AH156" s="82"/>
      <c r="AI156" s="82"/>
      <c r="AJ156" s="82"/>
      <c r="AK156" s="82"/>
      <c r="AL156" s="82"/>
      <c r="AM156" s="82"/>
      <c r="AN156" s="80"/>
      <c r="AO156" s="80"/>
      <c r="AP156" s="80"/>
      <c r="AQ156" s="80"/>
      <c r="AR156" s="80"/>
      <c r="AS156" s="82"/>
      <c r="AT156" s="82"/>
      <c r="AU156" s="82"/>
      <c r="AV156" s="82"/>
      <c r="AW156" s="82"/>
      <c r="AX156" s="82"/>
      <c r="AY156" s="82"/>
      <c r="AZ156" s="82"/>
      <c r="BA156" s="80"/>
      <c r="BB156" s="30"/>
      <c r="BC156" s="80"/>
      <c r="BD156" s="80"/>
      <c r="BE156" s="30"/>
      <c r="BF156" s="80"/>
    </row>
    <row r="157" spans="1:97">
      <c r="A157" s="72"/>
      <c r="B157" s="73"/>
      <c r="C157" s="73"/>
      <c r="D157" s="73"/>
      <c r="E157" s="74"/>
      <c r="F157" s="74"/>
      <c r="G157" s="75"/>
      <c r="H157" s="75"/>
      <c r="I157" s="75"/>
      <c r="J157" s="89"/>
      <c r="K157" s="89"/>
      <c r="O157" s="76"/>
      <c r="P157" s="77"/>
      <c r="Q157" s="75"/>
      <c r="R157" s="56"/>
      <c r="S157" s="56"/>
      <c r="U157" s="78"/>
      <c r="V157" s="78"/>
      <c r="W157" s="79"/>
      <c r="X157" s="80"/>
      <c r="Y157" s="80"/>
      <c r="Z157" s="56"/>
      <c r="AA157" s="92"/>
      <c r="AB157" s="92"/>
      <c r="AD157" s="86"/>
      <c r="AE157" s="81"/>
      <c r="AF157" s="82"/>
      <c r="AG157" s="82"/>
      <c r="AH157" s="82"/>
      <c r="AI157" s="82"/>
      <c r="AJ157" s="82"/>
      <c r="AK157" s="82"/>
      <c r="AL157" s="82"/>
      <c r="AM157" s="82"/>
      <c r="AN157" s="82"/>
      <c r="AO157" s="80"/>
      <c r="AP157" s="80"/>
      <c r="AQ157" s="80"/>
      <c r="AR157" s="82"/>
      <c r="AS157" s="80"/>
      <c r="AT157" s="80"/>
      <c r="AU157" s="80"/>
      <c r="AV157" s="80"/>
      <c r="AW157" s="80"/>
      <c r="AX157" s="80"/>
      <c r="AY157" s="80"/>
      <c r="AZ157" s="80"/>
      <c r="BA157" s="80"/>
      <c r="BB157" s="30"/>
      <c r="BC157" s="80"/>
      <c r="BD157" s="80"/>
      <c r="BE157" s="30"/>
      <c r="BF157" s="80"/>
    </row>
    <row r="158" spans="1:97">
      <c r="A158" s="72"/>
      <c r="B158" s="73"/>
      <c r="C158" s="73"/>
      <c r="D158" s="73"/>
      <c r="E158" s="74"/>
      <c r="F158" s="74"/>
      <c r="G158" s="75"/>
      <c r="H158" s="75"/>
      <c r="I158" s="75"/>
      <c r="J158" s="89"/>
      <c r="K158" s="89"/>
      <c r="O158" s="76"/>
      <c r="P158" s="77"/>
      <c r="Q158" s="75"/>
      <c r="R158" s="395"/>
      <c r="S158" s="56"/>
      <c r="U158" s="78"/>
      <c r="V158" s="78"/>
      <c r="W158" s="79" t="s">
        <v>144</v>
      </c>
      <c r="X158" s="384">
        <f>+W153+Y153</f>
        <v>1685.6409999999994</v>
      </c>
      <c r="Y158" s="80"/>
      <c r="Z158" s="56"/>
      <c r="AD158" s="86"/>
      <c r="AE158" s="81"/>
      <c r="AF158" s="86"/>
      <c r="AG158" s="86"/>
      <c r="AH158" s="86"/>
      <c r="AI158" s="86"/>
      <c r="AJ158" s="80"/>
      <c r="AK158" s="80"/>
      <c r="AL158" s="80"/>
      <c r="AM158" s="82"/>
      <c r="AN158" s="80"/>
      <c r="AO158" s="80"/>
      <c r="AP158" s="80"/>
      <c r="AQ158" s="80"/>
      <c r="AR158" s="82"/>
      <c r="AS158" s="80"/>
      <c r="AT158" s="80"/>
      <c r="AU158" s="80"/>
      <c r="AV158" s="80"/>
      <c r="AW158" s="80"/>
      <c r="AX158" s="80"/>
      <c r="AY158" s="80"/>
      <c r="AZ158" s="80"/>
      <c r="BA158" s="80"/>
      <c r="BB158" s="30"/>
      <c r="BC158" s="80"/>
      <c r="BD158" s="80"/>
      <c r="BE158" s="30"/>
      <c r="BF158" s="80"/>
    </row>
    <row r="159" spans="1:97">
      <c r="A159" s="72"/>
      <c r="C159" s="73" t="s">
        <v>295</v>
      </c>
      <c r="D159" s="73"/>
      <c r="E159" s="74"/>
      <c r="F159" s="74"/>
      <c r="G159" s="75"/>
      <c r="H159" s="75"/>
      <c r="I159" s="75"/>
      <c r="J159" s="89"/>
      <c r="K159" s="89"/>
      <c r="O159" s="76"/>
      <c r="P159" s="77"/>
      <c r="Q159" s="75"/>
      <c r="R159" s="395"/>
      <c r="S159" s="56"/>
      <c r="U159" s="78"/>
      <c r="V159" s="405"/>
      <c r="W159" s="406"/>
      <c r="X159" s="400"/>
      <c r="Y159" s="406"/>
      <c r="Z159" s="400"/>
      <c r="AD159" s="393"/>
      <c r="AE159" s="81"/>
      <c r="AF159" s="393"/>
      <c r="AG159" s="393"/>
      <c r="AH159" s="393"/>
      <c r="AI159" s="393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30"/>
      <c r="BC159" s="80"/>
      <c r="BD159" s="80"/>
      <c r="BE159" s="30"/>
      <c r="BF159" s="80"/>
    </row>
    <row r="160" spans="1:97">
      <c r="A160" s="72"/>
      <c r="B160" s="73"/>
      <c r="C160" s="73" t="s">
        <v>296</v>
      </c>
      <c r="D160" s="73"/>
      <c r="E160" s="74"/>
      <c r="F160" s="74"/>
      <c r="G160" s="75"/>
      <c r="H160" s="75"/>
      <c r="I160" s="75"/>
      <c r="J160" s="89"/>
      <c r="K160" s="89"/>
      <c r="O160" s="76"/>
      <c r="P160" s="77"/>
      <c r="Q160" s="75"/>
      <c r="R160" s="395"/>
      <c r="S160" s="56"/>
      <c r="V160" s="398"/>
      <c r="W160" s="399" t="s">
        <v>303</v>
      </c>
      <c r="X160" s="398"/>
      <c r="Y160" s="398"/>
      <c r="Z160" s="400"/>
      <c r="AE160" s="81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30"/>
      <c r="BE160" s="30"/>
    </row>
    <row r="161" spans="1:57">
      <c r="A161" s="72"/>
      <c r="B161" s="73"/>
      <c r="C161" s="73"/>
      <c r="D161" s="73"/>
      <c r="E161" s="74"/>
      <c r="F161" s="74"/>
      <c r="G161" s="75"/>
      <c r="H161" s="75"/>
      <c r="I161" s="75"/>
      <c r="J161" s="89"/>
      <c r="K161" s="89"/>
      <c r="O161" s="76"/>
      <c r="P161" s="77"/>
      <c r="Q161" s="75"/>
      <c r="R161" s="395"/>
      <c r="S161" s="56"/>
      <c r="V161" s="398"/>
      <c r="W161" s="401" t="s">
        <v>291</v>
      </c>
      <c r="X161" s="522">
        <f>Y154</f>
        <v>2.4262554421006556E-3</v>
      </c>
      <c r="Y161" s="402"/>
      <c r="Z161" s="400"/>
      <c r="AE161" s="81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30"/>
      <c r="BE161" s="30"/>
    </row>
    <row r="162" spans="1:57">
      <c r="R162" s="92"/>
      <c r="V162" s="398"/>
      <c r="W162" s="401" t="s">
        <v>148</v>
      </c>
      <c r="X162" s="404">
        <f>Z154</f>
        <v>8.6770278865212803E-3</v>
      </c>
      <c r="Y162" s="403"/>
      <c r="Z162" s="398"/>
    </row>
    <row r="163" spans="1:57">
      <c r="R163" s="92"/>
      <c r="V163" s="398"/>
      <c r="W163" s="401" t="s">
        <v>149</v>
      </c>
      <c r="X163" s="404">
        <f>AC154</f>
        <v>9.2143129394097918E-3</v>
      </c>
      <c r="Y163" s="404"/>
      <c r="Z163" s="398"/>
    </row>
    <row r="164" spans="1:57" ht="15" customHeight="1">
      <c r="R164" s="92"/>
      <c r="V164" s="398"/>
      <c r="W164" s="401" t="s">
        <v>150</v>
      </c>
      <c r="X164" s="404">
        <f>AA154</f>
        <v>2.5906804343987847E-2</v>
      </c>
      <c r="Y164" s="403"/>
      <c r="Z164" s="398"/>
    </row>
    <row r="165" spans="1:57">
      <c r="V165" s="398"/>
      <c r="W165" s="401" t="s">
        <v>166</v>
      </c>
      <c r="X165" s="404">
        <f>AB154</f>
        <v>-1.6706658779918548E-3</v>
      </c>
      <c r="Y165" s="403" t="s">
        <v>164</v>
      </c>
      <c r="Z165" s="398"/>
    </row>
    <row r="166" spans="1:57">
      <c r="V166" s="398"/>
      <c r="W166" s="401" t="s">
        <v>202</v>
      </c>
      <c r="X166" s="404">
        <f>AF154</f>
        <v>4.9385186600981335E-3</v>
      </c>
      <c r="Y166" s="403"/>
      <c r="Z166" s="398"/>
    </row>
    <row r="167" spans="1:57">
      <c r="V167" s="398"/>
      <c r="W167" s="401" t="s">
        <v>203</v>
      </c>
      <c r="X167" s="404">
        <f>+AG154</f>
        <v>8.777283164796262E-3</v>
      </c>
      <c r="Y167" s="403"/>
      <c r="Z167" s="398"/>
    </row>
    <row r="168" spans="1:57">
      <c r="V168" s="398"/>
      <c r="W168" s="401" t="s">
        <v>297</v>
      </c>
      <c r="X168" s="404">
        <f>+AH154</f>
        <v>1.0499539672309479E-2</v>
      </c>
      <c r="Y168" s="403"/>
      <c r="Z168" s="398"/>
    </row>
    <row r="169" spans="1:57">
      <c r="V169" s="398"/>
      <c r="W169" s="401" t="s">
        <v>227</v>
      </c>
      <c r="X169" s="404">
        <f>+AI154</f>
        <v>2.4485092516452933E-3</v>
      </c>
      <c r="Y169" s="403"/>
      <c r="Z169" s="398"/>
    </row>
    <row r="170" spans="1:57">
      <c r="V170" s="398"/>
      <c r="W170" s="401" t="s">
        <v>157</v>
      </c>
      <c r="X170" s="404">
        <f>+AJ154</f>
        <v>0</v>
      </c>
      <c r="Y170" s="403"/>
      <c r="Z170" s="398"/>
    </row>
    <row r="171" spans="1:57">
      <c r="V171" s="398"/>
      <c r="W171" s="401" t="s">
        <v>159</v>
      </c>
      <c r="X171" s="404">
        <f>+AK154</f>
        <v>9.3375352816981523E-4</v>
      </c>
      <c r="Y171" s="403"/>
      <c r="Z171" s="398"/>
    </row>
    <row r="172" spans="1:57">
      <c r="V172" s="398"/>
      <c r="W172" s="401" t="s">
        <v>158</v>
      </c>
      <c r="X172" s="404">
        <f>+AL154</f>
        <v>0</v>
      </c>
      <c r="Y172" s="403"/>
      <c r="Z172" s="398"/>
    </row>
    <row r="173" spans="1:57">
      <c r="V173" s="398"/>
      <c r="W173" s="401" t="s">
        <v>151</v>
      </c>
      <c r="X173" s="404">
        <f>+AN154</f>
        <v>0</v>
      </c>
      <c r="Y173" s="403"/>
      <c r="Z173" s="398"/>
    </row>
    <row r="174" spans="1:57">
      <c r="V174" s="398"/>
      <c r="W174" s="401" t="s">
        <v>161</v>
      </c>
      <c r="X174" s="404">
        <f>+AO154</f>
        <v>0</v>
      </c>
      <c r="Y174" s="403"/>
      <c r="Z174" s="398"/>
    </row>
    <row r="175" spans="1:57">
      <c r="V175" s="398"/>
      <c r="W175" s="401" t="s">
        <v>152</v>
      </c>
      <c r="X175" s="404">
        <f>+AP154</f>
        <v>1.2014295395784955E-2</v>
      </c>
      <c r="Y175" s="403"/>
      <c r="Z175" s="398"/>
    </row>
    <row r="176" spans="1:57">
      <c r="V176" s="398"/>
      <c r="W176" s="401" t="s">
        <v>160</v>
      </c>
      <c r="X176" s="404">
        <f>+AQ154</f>
        <v>0</v>
      </c>
      <c r="Y176" s="403"/>
      <c r="Z176" s="398"/>
    </row>
    <row r="177" spans="22:26">
      <c r="V177" s="398"/>
      <c r="W177" s="401" t="s">
        <v>163</v>
      </c>
      <c r="X177" s="404">
        <f>+AS154</f>
        <v>0</v>
      </c>
      <c r="Y177" s="403"/>
      <c r="Z177" s="398"/>
    </row>
    <row r="178" spans="22:26">
      <c r="V178" s="398"/>
      <c r="W178" s="401" t="s">
        <v>298</v>
      </c>
      <c r="X178" s="404">
        <f>+AT154</f>
        <v>3.1125117605660508E-3</v>
      </c>
      <c r="Y178" s="403"/>
      <c r="Z178" s="398"/>
    </row>
    <row r="179" spans="22:26">
      <c r="V179" s="398"/>
      <c r="W179" s="401" t="s">
        <v>243</v>
      </c>
      <c r="X179" s="404">
        <f>+AU154</f>
        <v>2.6062098475139732E-2</v>
      </c>
      <c r="Y179" s="403"/>
      <c r="Z179" s="398"/>
    </row>
    <row r="180" spans="22:26">
      <c r="V180" s="398"/>
      <c r="W180" s="401" t="s">
        <v>306</v>
      </c>
      <c r="X180" s="404">
        <f>+AW154</f>
        <v>0</v>
      </c>
      <c r="Y180" s="403"/>
      <c r="Z180" s="398"/>
    </row>
    <row r="181" spans="22:26">
      <c r="V181" s="398"/>
      <c r="W181" s="401" t="s">
        <v>307</v>
      </c>
      <c r="X181" s="404">
        <f>+AV154</f>
        <v>0</v>
      </c>
      <c r="Y181" s="403"/>
      <c r="Z181" s="398"/>
    </row>
    <row r="182" spans="22:26">
      <c r="V182" s="398"/>
      <c r="W182" s="398" t="s">
        <v>162</v>
      </c>
      <c r="X182" s="404">
        <f>+AX154+AY154</f>
        <v>0</v>
      </c>
      <c r="Y182" s="404"/>
      <c r="Z182" s="398"/>
    </row>
    <row r="183" spans="22:26">
      <c r="V183" s="398"/>
      <c r="W183" s="398" t="s">
        <v>305</v>
      </c>
      <c r="X183" s="404">
        <f>+AZ155</f>
        <v>0</v>
      </c>
      <c r="Y183" s="398"/>
      <c r="Z183" s="398"/>
    </row>
    <row r="184" spans="22:26">
      <c r="V184" s="398"/>
      <c r="W184" s="398"/>
      <c r="X184" s="538">
        <f>SUM(X161:X183)</f>
        <v>0.11334024464253742</v>
      </c>
      <c r="Y184" s="398"/>
      <c r="Z184" s="398"/>
    </row>
    <row r="186" spans="22:26">
      <c r="X186" s="92">
        <f>+X184+X153</f>
        <v>0.99999999999999989</v>
      </c>
    </row>
  </sheetData>
  <mergeCells count="50"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O154:P154"/>
    <mergeCell ref="T3:T5"/>
    <mergeCell ref="P3:P5"/>
    <mergeCell ref="G3:K4"/>
    <mergeCell ref="L3:N4"/>
    <mergeCell ref="O3:O5"/>
    <mergeCell ref="Q3:Q5"/>
    <mergeCell ref="R3:R5"/>
    <mergeCell ref="S3:S5"/>
  </mergeCells>
  <phoneticPr fontId="30" type="noConversion"/>
  <conditionalFormatting sqref="B9:C9 B34:C34 C154 B145:C145 C152 B152:B154">
    <cfRule type="cellIs" dxfId="33003" priority="23612" stopIfTrue="1" operator="equal">
      <formula>"Towel"</formula>
    </cfRule>
    <cfRule type="cellIs" dxfId="33002" priority="23613" stopIfTrue="1" operator="equal">
      <formula>"Napkin Hs"</formula>
    </cfRule>
  </conditionalFormatting>
  <conditionalFormatting sqref="C11">
    <cfRule type="cellIs" dxfId="33001" priority="23124" stopIfTrue="1" operator="equal">
      <formula>"Towel"</formula>
    </cfRule>
    <cfRule type="cellIs" dxfId="33000" priority="23125" stopIfTrue="1" operator="equal">
      <formula>"Napkin Hs"</formula>
    </cfRule>
  </conditionalFormatting>
  <conditionalFormatting sqref="B35:C35">
    <cfRule type="cellIs" dxfId="32999" priority="23552" stopIfTrue="1" operator="equal">
      <formula>"Towel"</formula>
    </cfRule>
    <cfRule type="cellIs" dxfId="32998" priority="23553" stopIfTrue="1" operator="equal">
      <formula>"Napkin Hs"</formula>
    </cfRule>
  </conditionalFormatting>
  <conditionalFormatting sqref="B56:C56">
    <cfRule type="cellIs" dxfId="32997" priority="23474" stopIfTrue="1" operator="equal">
      <formula>"Towel"</formula>
    </cfRule>
    <cfRule type="cellIs" dxfId="32996" priority="23475" stopIfTrue="1" operator="equal">
      <formula>"Napkin Hs"</formula>
    </cfRule>
  </conditionalFormatting>
  <conditionalFormatting sqref="B78:C78">
    <cfRule type="cellIs" dxfId="32995" priority="23400" stopIfTrue="1" operator="equal">
      <formula>"Towel"</formula>
    </cfRule>
    <cfRule type="cellIs" dxfId="32994" priority="23401" stopIfTrue="1" operator="equal">
      <formula>"Napkin Hs"</formula>
    </cfRule>
  </conditionalFormatting>
  <conditionalFormatting sqref="C11">
    <cfRule type="cellIs" dxfId="32993" priority="23130" stopIfTrue="1" operator="equal">
      <formula>"Towel"</formula>
    </cfRule>
    <cfRule type="cellIs" dxfId="32992" priority="23131" stopIfTrue="1" operator="equal">
      <formula>"Napkin Hs"</formula>
    </cfRule>
  </conditionalFormatting>
  <conditionalFormatting sqref="C9">
    <cfRule type="cellIs" dxfId="32991" priority="23152" stopIfTrue="1" operator="equal">
      <formula>"Towel"</formula>
    </cfRule>
    <cfRule type="cellIs" dxfId="32990" priority="23153" stopIfTrue="1" operator="equal">
      <formula>"Napkin Hs"</formula>
    </cfRule>
  </conditionalFormatting>
  <conditionalFormatting sqref="C9 C34 C145">
    <cfRule type="cellIs" dxfId="32989" priority="23611" stopIfTrue="1" operator="equal">
      <formula>"Napkin Hs"</formula>
    </cfRule>
  </conditionalFormatting>
  <conditionalFormatting sqref="C11">
    <cfRule type="cellIs" dxfId="32988" priority="23128" stopIfTrue="1" operator="equal">
      <formula>"Towel"</formula>
    </cfRule>
    <cfRule type="cellIs" dxfId="32987" priority="23129" stopIfTrue="1" operator="equal">
      <formula>"Napkin Hs"</formula>
    </cfRule>
  </conditionalFormatting>
  <conditionalFormatting sqref="C34 C9 C145">
    <cfRule type="cellIs" dxfId="32986" priority="23610" stopIfTrue="1" operator="equal">
      <formula>"Towel"</formula>
    </cfRule>
  </conditionalFormatting>
  <conditionalFormatting sqref="C35">
    <cfRule type="cellIs" dxfId="32985" priority="23544" stopIfTrue="1" operator="equal">
      <formula>"Towel"</formula>
    </cfRule>
    <cfRule type="cellIs" dxfId="32984" priority="23545" stopIfTrue="1" operator="equal">
      <formula>"Napkin Hs"</formula>
    </cfRule>
  </conditionalFormatting>
  <conditionalFormatting sqref="C34">
    <cfRule type="cellIs" dxfId="32983" priority="23556" stopIfTrue="1" operator="equal">
      <formula>"Towel"</formula>
    </cfRule>
    <cfRule type="cellIs" dxfId="32982" priority="23557" stopIfTrue="1" operator="equal">
      <formula>"Napkin Hs"</formula>
    </cfRule>
  </conditionalFormatting>
  <conditionalFormatting sqref="C35">
    <cfRule type="cellIs" dxfId="32981" priority="23550" stopIfTrue="1" operator="equal">
      <formula>"Towel"</formula>
    </cfRule>
    <cfRule type="cellIs" dxfId="32980" priority="23551" stopIfTrue="1" operator="equal">
      <formula>"Napkin Hs"</formula>
    </cfRule>
  </conditionalFormatting>
  <conditionalFormatting sqref="C56">
    <cfRule type="cellIs" dxfId="32979" priority="23472" stopIfTrue="1" operator="equal">
      <formula>"Towel"</formula>
    </cfRule>
    <cfRule type="cellIs" dxfId="32978" priority="23473" stopIfTrue="1" operator="equal">
      <formula>"Napkin Hs"</formula>
    </cfRule>
  </conditionalFormatting>
  <conditionalFormatting sqref="C56">
    <cfRule type="cellIs" dxfId="32977" priority="23470" stopIfTrue="1" operator="equal">
      <formula>"Towel"</formula>
    </cfRule>
    <cfRule type="cellIs" dxfId="32976" priority="23471" stopIfTrue="1" operator="equal">
      <formula>"Napkin Hs"</formula>
    </cfRule>
  </conditionalFormatting>
  <conditionalFormatting sqref="C78">
    <cfRule type="cellIs" dxfId="32975" priority="23398" stopIfTrue="1" operator="equal">
      <formula>"Towel"</formula>
    </cfRule>
    <cfRule type="cellIs" dxfId="32974" priority="23399" stopIfTrue="1" operator="equal">
      <formula>"Napkin Hs"</formula>
    </cfRule>
  </conditionalFormatting>
  <conditionalFormatting sqref="C78">
    <cfRule type="cellIs" dxfId="32973" priority="23392" stopIfTrue="1" operator="equal">
      <formula>"Towel"</formula>
    </cfRule>
    <cfRule type="cellIs" dxfId="32972" priority="23393" stopIfTrue="1" operator="equal">
      <formula>"Napkin Hs"</formula>
    </cfRule>
  </conditionalFormatting>
  <conditionalFormatting sqref="C145">
    <cfRule type="cellIs" dxfId="32971" priority="23186" stopIfTrue="1" operator="equal">
      <formula>"Towel"</formula>
    </cfRule>
    <cfRule type="cellIs" dxfId="32970" priority="23187" stopIfTrue="1" operator="equal">
      <formula>"Napkin Hs"</formula>
    </cfRule>
  </conditionalFormatting>
  <conditionalFormatting sqref="C10">
    <cfRule type="cellIs" dxfId="32969" priority="23096" stopIfTrue="1" operator="equal">
      <formula>"Towel"</formula>
    </cfRule>
    <cfRule type="cellIs" dxfId="32968" priority="23097" stopIfTrue="1" operator="equal">
      <formula>"Napkin Hs"</formula>
    </cfRule>
  </conditionalFormatting>
  <conditionalFormatting sqref="C10">
    <cfRule type="cellIs" dxfId="32967" priority="23098" stopIfTrue="1" operator="equal">
      <formula>"Towel"</formula>
    </cfRule>
    <cfRule type="cellIs" dxfId="32966" priority="23099" stopIfTrue="1" operator="equal">
      <formula>"Napkin Hs"</formula>
    </cfRule>
  </conditionalFormatting>
  <conditionalFormatting sqref="C11">
    <cfRule type="cellIs" dxfId="32965" priority="23100" stopIfTrue="1" operator="equal">
      <formula>"Towel"</formula>
    </cfRule>
    <cfRule type="cellIs" dxfId="32964" priority="23101" stopIfTrue="1" operator="equal">
      <formula>"Napkin Hs"</formula>
    </cfRule>
  </conditionalFormatting>
  <conditionalFormatting sqref="C11">
    <cfRule type="cellIs" dxfId="32963" priority="23102" stopIfTrue="1" operator="equal">
      <formula>"Towel"</formula>
    </cfRule>
    <cfRule type="cellIs" dxfId="32962" priority="23103" stopIfTrue="1" operator="equal">
      <formula>"Napkin Hs"</formula>
    </cfRule>
  </conditionalFormatting>
  <conditionalFormatting sqref="C11">
    <cfRule type="cellIs" dxfId="32961" priority="23104" stopIfTrue="1" operator="equal">
      <formula>"Towel"</formula>
    </cfRule>
    <cfRule type="cellIs" dxfId="32960" priority="23105" stopIfTrue="1" operator="equal">
      <formula>"Napkin Hs"</formula>
    </cfRule>
  </conditionalFormatting>
  <conditionalFormatting sqref="B10:C11 B15 B19">
    <cfRule type="cellIs" dxfId="32959" priority="23094" stopIfTrue="1" operator="equal">
      <formula>"Towel"</formula>
    </cfRule>
    <cfRule type="cellIs" dxfId="32958" priority="23095" stopIfTrue="1" operator="equal">
      <formula>"Napkin Hs"</formula>
    </cfRule>
  </conditionalFormatting>
  <conditionalFormatting sqref="B10:C11 B15 B19">
    <cfRule type="cellIs" dxfId="32957" priority="23088" stopIfTrue="1" operator="equal">
      <formula>"Towel"</formula>
    </cfRule>
    <cfRule type="cellIs" dxfId="32956" priority="23089" stopIfTrue="1" operator="equal">
      <formula>"Napkin Hs"</formula>
    </cfRule>
  </conditionalFormatting>
  <conditionalFormatting sqref="C10">
    <cfRule type="cellIs" dxfId="32955" priority="23090" stopIfTrue="1" operator="equal">
      <formula>"Towel"</formula>
    </cfRule>
    <cfRule type="cellIs" dxfId="32954" priority="23091" stopIfTrue="1" operator="equal">
      <formula>"Napkin Hs"</formula>
    </cfRule>
  </conditionalFormatting>
  <conditionalFormatting sqref="C10">
    <cfRule type="cellIs" dxfId="32953" priority="23092" stopIfTrue="1" operator="equal">
      <formula>"Towel"</formula>
    </cfRule>
    <cfRule type="cellIs" dxfId="32952" priority="23093" stopIfTrue="1" operator="equal">
      <formula>"Napkin Hs"</formula>
    </cfRule>
  </conditionalFormatting>
  <conditionalFormatting sqref="C36">
    <cfRule type="cellIs" dxfId="32951" priority="22828" stopIfTrue="1" operator="equal">
      <formula>"Towel"</formula>
    </cfRule>
    <cfRule type="cellIs" dxfId="32950" priority="22829" stopIfTrue="1" operator="equal">
      <formula>"Napkin Hs"</formula>
    </cfRule>
  </conditionalFormatting>
  <conditionalFormatting sqref="B36:C36">
    <cfRule type="cellIs" dxfId="32949" priority="22830" stopIfTrue="1" operator="equal">
      <formula>"Towel"</formula>
    </cfRule>
    <cfRule type="cellIs" dxfId="32948" priority="22831" stopIfTrue="1" operator="equal">
      <formula>"Napkin Hs"</formula>
    </cfRule>
  </conditionalFormatting>
  <conditionalFormatting sqref="C36">
    <cfRule type="cellIs" dxfId="32947" priority="22826" stopIfTrue="1" operator="equal">
      <formula>"Towel"</formula>
    </cfRule>
    <cfRule type="cellIs" dxfId="32946" priority="22827" stopIfTrue="1" operator="equal">
      <formula>"Napkin Hs"</formula>
    </cfRule>
  </conditionalFormatting>
  <conditionalFormatting sqref="B36:C36">
    <cfRule type="cellIs" dxfId="32945" priority="22824" stopIfTrue="1" operator="equal">
      <formula>"Towel"</formula>
    </cfRule>
    <cfRule type="cellIs" dxfId="32944" priority="22825" stopIfTrue="1" operator="equal">
      <formula>"Napkin Hs"</formula>
    </cfRule>
  </conditionalFormatting>
  <conditionalFormatting sqref="C36">
    <cfRule type="cellIs" dxfId="32943" priority="22832" stopIfTrue="1" operator="equal">
      <formula>"Towel"</formula>
    </cfRule>
    <cfRule type="cellIs" dxfId="32942" priority="22833" stopIfTrue="1" operator="equal">
      <formula>"Napkin Hs"</formula>
    </cfRule>
  </conditionalFormatting>
  <conditionalFormatting sqref="C36">
    <cfRule type="cellIs" dxfId="32941" priority="22834" stopIfTrue="1" operator="equal">
      <formula>"Towel"</formula>
    </cfRule>
    <cfRule type="cellIs" dxfId="32940" priority="22835" stopIfTrue="1" operator="equal">
      <formula>"Napkin Hs"</formula>
    </cfRule>
  </conditionalFormatting>
  <conditionalFormatting sqref="C41">
    <cfRule type="cellIs" dxfId="32939" priority="22764" stopIfTrue="1" operator="equal">
      <formula>"Towel"</formula>
    </cfRule>
    <cfRule type="cellIs" dxfId="32938" priority="22765" stopIfTrue="1" operator="equal">
      <formula>"Napkin Hs"</formula>
    </cfRule>
  </conditionalFormatting>
  <conditionalFormatting sqref="B41:C41">
    <cfRule type="cellIs" dxfId="32937" priority="22766" stopIfTrue="1" operator="equal">
      <formula>"Towel"</formula>
    </cfRule>
    <cfRule type="cellIs" dxfId="32936" priority="22767" stopIfTrue="1" operator="equal">
      <formula>"Napkin Hs"</formula>
    </cfRule>
  </conditionalFormatting>
  <conditionalFormatting sqref="C41">
    <cfRule type="cellIs" dxfId="32935" priority="22762" stopIfTrue="1" operator="equal">
      <formula>"Towel"</formula>
    </cfRule>
    <cfRule type="cellIs" dxfId="32934" priority="22763" stopIfTrue="1" operator="equal">
      <formula>"Napkin Hs"</formula>
    </cfRule>
  </conditionalFormatting>
  <conditionalFormatting sqref="B41:C41">
    <cfRule type="cellIs" dxfId="32933" priority="22760" stopIfTrue="1" operator="equal">
      <formula>"Towel"</formula>
    </cfRule>
    <cfRule type="cellIs" dxfId="32932" priority="22761" stopIfTrue="1" operator="equal">
      <formula>"Napkin Hs"</formula>
    </cfRule>
  </conditionalFormatting>
  <conditionalFormatting sqref="C41">
    <cfRule type="cellIs" dxfId="32931" priority="22768" stopIfTrue="1" operator="equal">
      <formula>"Towel"</formula>
    </cfRule>
    <cfRule type="cellIs" dxfId="32930" priority="22769" stopIfTrue="1" operator="equal">
      <formula>"Napkin Hs"</formula>
    </cfRule>
  </conditionalFormatting>
  <conditionalFormatting sqref="C41">
    <cfRule type="cellIs" dxfId="32929" priority="22770" stopIfTrue="1" operator="equal">
      <formula>"Towel"</formula>
    </cfRule>
    <cfRule type="cellIs" dxfId="32928" priority="22771" stopIfTrue="1" operator="equal">
      <formula>"Napkin Hs"</formula>
    </cfRule>
  </conditionalFormatting>
  <conditionalFormatting sqref="C45">
    <cfRule type="cellIs" dxfId="32927" priority="22728" stopIfTrue="1" operator="equal">
      <formula>"Towel"</formula>
    </cfRule>
    <cfRule type="cellIs" dxfId="32926" priority="22729" stopIfTrue="1" operator="equal">
      <formula>"Napkin Hs"</formula>
    </cfRule>
  </conditionalFormatting>
  <conditionalFormatting sqref="B45:C45">
    <cfRule type="cellIs" dxfId="32925" priority="22730" stopIfTrue="1" operator="equal">
      <formula>"Towel"</formula>
    </cfRule>
    <cfRule type="cellIs" dxfId="32924" priority="22731" stopIfTrue="1" operator="equal">
      <formula>"Napkin Hs"</formula>
    </cfRule>
  </conditionalFormatting>
  <conditionalFormatting sqref="C45">
    <cfRule type="cellIs" dxfId="32923" priority="22726" stopIfTrue="1" operator="equal">
      <formula>"Towel"</formula>
    </cfRule>
    <cfRule type="cellIs" dxfId="32922" priority="22727" stopIfTrue="1" operator="equal">
      <formula>"Napkin Hs"</formula>
    </cfRule>
  </conditionalFormatting>
  <conditionalFormatting sqref="B45:C45">
    <cfRule type="cellIs" dxfId="32921" priority="22724" stopIfTrue="1" operator="equal">
      <formula>"Towel"</formula>
    </cfRule>
    <cfRule type="cellIs" dxfId="32920" priority="22725" stopIfTrue="1" operator="equal">
      <formula>"Napkin Hs"</formula>
    </cfRule>
  </conditionalFormatting>
  <conditionalFormatting sqref="C45">
    <cfRule type="cellIs" dxfId="32919" priority="22732" stopIfTrue="1" operator="equal">
      <formula>"Towel"</formula>
    </cfRule>
    <cfRule type="cellIs" dxfId="32918" priority="22733" stopIfTrue="1" operator="equal">
      <formula>"Napkin Hs"</formula>
    </cfRule>
  </conditionalFormatting>
  <conditionalFormatting sqref="C45">
    <cfRule type="cellIs" dxfId="32917" priority="22734" stopIfTrue="1" operator="equal">
      <formula>"Towel"</formula>
    </cfRule>
    <cfRule type="cellIs" dxfId="32916" priority="22735" stopIfTrue="1" operator="equal">
      <formula>"Napkin Hs"</formula>
    </cfRule>
  </conditionalFormatting>
  <conditionalFormatting sqref="C41">
    <cfRule type="cellIs" dxfId="32915" priority="22692" stopIfTrue="1" operator="equal">
      <formula>"Towel"</formula>
    </cfRule>
    <cfRule type="cellIs" dxfId="32914" priority="22693" stopIfTrue="1" operator="equal">
      <formula>"Napkin Hs"</formula>
    </cfRule>
  </conditionalFormatting>
  <conditionalFormatting sqref="B41:C41">
    <cfRule type="cellIs" dxfId="32913" priority="22694" stopIfTrue="1" operator="equal">
      <formula>"Towel"</formula>
    </cfRule>
    <cfRule type="cellIs" dxfId="32912" priority="22695" stopIfTrue="1" operator="equal">
      <formula>"Napkin Hs"</formula>
    </cfRule>
  </conditionalFormatting>
  <conditionalFormatting sqref="C41">
    <cfRule type="cellIs" dxfId="32911" priority="22690" stopIfTrue="1" operator="equal">
      <formula>"Towel"</formula>
    </cfRule>
    <cfRule type="cellIs" dxfId="32910" priority="22691" stopIfTrue="1" operator="equal">
      <formula>"Napkin Hs"</formula>
    </cfRule>
  </conditionalFormatting>
  <conditionalFormatting sqref="B41:C41">
    <cfRule type="cellIs" dxfId="32909" priority="22688" stopIfTrue="1" operator="equal">
      <formula>"Towel"</formula>
    </cfRule>
    <cfRule type="cellIs" dxfId="32908" priority="22689" stopIfTrue="1" operator="equal">
      <formula>"Napkin Hs"</formula>
    </cfRule>
  </conditionalFormatting>
  <conditionalFormatting sqref="C41">
    <cfRule type="cellIs" dxfId="32907" priority="22696" stopIfTrue="1" operator="equal">
      <formula>"Towel"</formula>
    </cfRule>
    <cfRule type="cellIs" dxfId="32906" priority="22697" stopIfTrue="1" operator="equal">
      <formula>"Napkin Hs"</formula>
    </cfRule>
  </conditionalFormatting>
  <conditionalFormatting sqref="C41">
    <cfRule type="cellIs" dxfId="32905" priority="22698" stopIfTrue="1" operator="equal">
      <formula>"Towel"</formula>
    </cfRule>
    <cfRule type="cellIs" dxfId="32904" priority="22699" stopIfTrue="1" operator="equal">
      <formula>"Napkin Hs"</formula>
    </cfRule>
  </conditionalFormatting>
  <conditionalFormatting sqref="C51">
    <cfRule type="cellIs" dxfId="32903" priority="22640" stopIfTrue="1" operator="equal">
      <formula>"Towel"</formula>
    </cfRule>
    <cfRule type="cellIs" dxfId="32902" priority="22641" stopIfTrue="1" operator="equal">
      <formula>"Napkin Hs"</formula>
    </cfRule>
  </conditionalFormatting>
  <conditionalFormatting sqref="B51:C51">
    <cfRule type="cellIs" dxfId="32901" priority="22642" stopIfTrue="1" operator="equal">
      <formula>"Towel"</formula>
    </cfRule>
    <cfRule type="cellIs" dxfId="32900" priority="22643" stopIfTrue="1" operator="equal">
      <formula>"Napkin Hs"</formula>
    </cfRule>
  </conditionalFormatting>
  <conditionalFormatting sqref="C51">
    <cfRule type="cellIs" dxfId="32899" priority="22638" stopIfTrue="1" operator="equal">
      <formula>"Towel"</formula>
    </cfRule>
    <cfRule type="cellIs" dxfId="32898" priority="22639" stopIfTrue="1" operator="equal">
      <formula>"Napkin Hs"</formula>
    </cfRule>
  </conditionalFormatting>
  <conditionalFormatting sqref="B51:C51">
    <cfRule type="cellIs" dxfId="32897" priority="22636" stopIfTrue="1" operator="equal">
      <formula>"Towel"</formula>
    </cfRule>
    <cfRule type="cellIs" dxfId="32896" priority="22637" stopIfTrue="1" operator="equal">
      <formula>"Napkin Hs"</formula>
    </cfRule>
  </conditionalFormatting>
  <conditionalFormatting sqref="C51">
    <cfRule type="cellIs" dxfId="32895" priority="22644" stopIfTrue="1" operator="equal">
      <formula>"Towel"</formula>
    </cfRule>
    <cfRule type="cellIs" dxfId="32894" priority="22645" stopIfTrue="1" operator="equal">
      <formula>"Napkin Hs"</formula>
    </cfRule>
  </conditionalFormatting>
  <conditionalFormatting sqref="C51">
    <cfRule type="cellIs" dxfId="32893" priority="22646" stopIfTrue="1" operator="equal">
      <formula>"Towel"</formula>
    </cfRule>
    <cfRule type="cellIs" dxfId="32892" priority="22647" stopIfTrue="1" operator="equal">
      <formula>"Napkin Hs"</formula>
    </cfRule>
  </conditionalFormatting>
  <conditionalFormatting sqref="C51">
    <cfRule type="cellIs" dxfId="32891" priority="22604" stopIfTrue="1" operator="equal">
      <formula>"Towel"</formula>
    </cfRule>
    <cfRule type="cellIs" dxfId="32890" priority="22605" stopIfTrue="1" operator="equal">
      <formula>"Napkin Hs"</formula>
    </cfRule>
  </conditionalFormatting>
  <conditionalFormatting sqref="B51:C51">
    <cfRule type="cellIs" dxfId="32889" priority="22606" stopIfTrue="1" operator="equal">
      <formula>"Towel"</formula>
    </cfRule>
    <cfRule type="cellIs" dxfId="32888" priority="22607" stopIfTrue="1" operator="equal">
      <formula>"Napkin Hs"</formula>
    </cfRule>
  </conditionalFormatting>
  <conditionalFormatting sqref="C51">
    <cfRule type="cellIs" dxfId="32887" priority="22602" stopIfTrue="1" operator="equal">
      <formula>"Towel"</formula>
    </cfRule>
    <cfRule type="cellIs" dxfId="32886" priority="22603" stopIfTrue="1" operator="equal">
      <formula>"Napkin Hs"</formula>
    </cfRule>
  </conditionalFormatting>
  <conditionalFormatting sqref="B51:C51">
    <cfRule type="cellIs" dxfId="32885" priority="22600" stopIfTrue="1" operator="equal">
      <formula>"Towel"</formula>
    </cfRule>
    <cfRule type="cellIs" dxfId="32884" priority="22601" stopIfTrue="1" operator="equal">
      <formula>"Napkin Hs"</formula>
    </cfRule>
  </conditionalFormatting>
  <conditionalFormatting sqref="C51">
    <cfRule type="cellIs" dxfId="32883" priority="22608" stopIfTrue="1" operator="equal">
      <formula>"Towel"</formula>
    </cfRule>
    <cfRule type="cellIs" dxfId="32882" priority="22609" stopIfTrue="1" operator="equal">
      <formula>"Napkin Hs"</formula>
    </cfRule>
  </conditionalFormatting>
  <conditionalFormatting sqref="C51">
    <cfRule type="cellIs" dxfId="32881" priority="22610" stopIfTrue="1" operator="equal">
      <formula>"Towel"</formula>
    </cfRule>
    <cfRule type="cellIs" dxfId="32880" priority="22611" stopIfTrue="1" operator="equal">
      <formula>"Napkin Hs"</formula>
    </cfRule>
  </conditionalFormatting>
  <conditionalFormatting sqref="B83:C83">
    <cfRule type="cellIs" dxfId="32879" priority="22420" stopIfTrue="1" operator="equal">
      <formula>"Towel"</formula>
    </cfRule>
    <cfRule type="cellIs" dxfId="32878" priority="22421" stopIfTrue="1" operator="equal">
      <formula>"Napkin Hs"</formula>
    </cfRule>
  </conditionalFormatting>
  <conditionalFormatting sqref="B82:C82">
    <cfRule type="cellIs" dxfId="32877" priority="22416" stopIfTrue="1" operator="equal">
      <formula>"Towel"</formula>
    </cfRule>
    <cfRule type="cellIs" dxfId="32876" priority="22417" stopIfTrue="1" operator="equal">
      <formula>"Napkin Hs"</formula>
    </cfRule>
  </conditionalFormatting>
  <conditionalFormatting sqref="C83">
    <cfRule type="cellIs" dxfId="32875" priority="22419" stopIfTrue="1" operator="equal">
      <formula>"Napkin Hs"</formula>
    </cfRule>
  </conditionalFormatting>
  <conditionalFormatting sqref="C83">
    <cfRule type="cellIs" dxfId="32874" priority="22418" stopIfTrue="1" operator="equal">
      <formula>"Towel"</formula>
    </cfRule>
  </conditionalFormatting>
  <conditionalFormatting sqref="C82">
    <cfRule type="cellIs" dxfId="32873" priority="22412" stopIfTrue="1" operator="equal">
      <formula>"Towel"</formula>
    </cfRule>
    <cfRule type="cellIs" dxfId="32872" priority="22413" stopIfTrue="1" operator="equal">
      <formula>"Napkin Hs"</formula>
    </cfRule>
  </conditionalFormatting>
  <conditionalFormatting sqref="C82:C83">
    <cfRule type="cellIs" dxfId="32871" priority="22414" stopIfTrue="1" operator="equal">
      <formula>"Towel"</formula>
    </cfRule>
    <cfRule type="cellIs" dxfId="32870" priority="22415" stopIfTrue="1" operator="equal">
      <formula>"Napkin Hs"</formula>
    </cfRule>
  </conditionalFormatting>
  <conditionalFormatting sqref="C81">
    <cfRule type="cellIs" dxfId="32869" priority="22398" stopIfTrue="1" operator="equal">
      <formula>"Towel"</formula>
    </cfRule>
    <cfRule type="cellIs" dxfId="32868" priority="22399" stopIfTrue="1" operator="equal">
      <formula>"Napkin Hs"</formula>
    </cfRule>
  </conditionalFormatting>
  <conditionalFormatting sqref="C81">
    <cfRule type="cellIs" dxfId="32867" priority="22400" stopIfTrue="1" operator="equal">
      <formula>"Towel"</formula>
    </cfRule>
    <cfRule type="cellIs" dxfId="32866" priority="22401" stopIfTrue="1" operator="equal">
      <formula>"Napkin Hs"</formula>
    </cfRule>
  </conditionalFormatting>
  <conditionalFormatting sqref="C81">
    <cfRule type="cellIs" dxfId="32865" priority="22396" stopIfTrue="1" operator="equal">
      <formula>"Towel"</formula>
    </cfRule>
    <cfRule type="cellIs" dxfId="32864" priority="22397" stopIfTrue="1" operator="equal">
      <formula>"Napkin Hs"</formula>
    </cfRule>
  </conditionalFormatting>
  <conditionalFormatting sqref="C81">
    <cfRule type="cellIs" dxfId="32863" priority="22394" stopIfTrue="1" operator="equal">
      <formula>"Towel"</formula>
    </cfRule>
    <cfRule type="cellIs" dxfId="32862" priority="22395" stopIfTrue="1" operator="equal">
      <formula>"Napkin Hs"</formula>
    </cfRule>
  </conditionalFormatting>
  <conditionalFormatting sqref="C81">
    <cfRule type="cellIs" dxfId="32861" priority="22402" stopIfTrue="1" operator="equal">
      <formula>"Towel"</formula>
    </cfRule>
    <cfRule type="cellIs" dxfId="32860" priority="22403" stopIfTrue="1" operator="equal">
      <formula>"Napkin Hs"</formula>
    </cfRule>
  </conditionalFormatting>
  <conditionalFormatting sqref="C81">
    <cfRule type="cellIs" dxfId="32859" priority="22404" stopIfTrue="1" operator="equal">
      <formula>"Towel"</formula>
    </cfRule>
    <cfRule type="cellIs" dxfId="32858" priority="22405" stopIfTrue="1" operator="equal">
      <formula>"Napkin Hs"</formula>
    </cfRule>
  </conditionalFormatting>
  <conditionalFormatting sqref="C80">
    <cfRule type="cellIs" dxfId="32857" priority="22386" stopIfTrue="1" operator="equal">
      <formula>"Towel"</formula>
    </cfRule>
    <cfRule type="cellIs" dxfId="32856" priority="22387" stopIfTrue="1" operator="equal">
      <formula>"Napkin Hs"</formula>
    </cfRule>
  </conditionalFormatting>
  <conditionalFormatting sqref="B80:C80">
    <cfRule type="cellIs" dxfId="32855" priority="22388" stopIfTrue="1" operator="equal">
      <formula>"Towel"</formula>
    </cfRule>
    <cfRule type="cellIs" dxfId="32854" priority="22389" stopIfTrue="1" operator="equal">
      <formula>"Napkin Hs"</formula>
    </cfRule>
  </conditionalFormatting>
  <conditionalFormatting sqref="C80">
    <cfRule type="cellIs" dxfId="32853" priority="22384" stopIfTrue="1" operator="equal">
      <formula>"Towel"</formula>
    </cfRule>
    <cfRule type="cellIs" dxfId="32852" priority="22385" stopIfTrue="1" operator="equal">
      <formula>"Napkin Hs"</formula>
    </cfRule>
  </conditionalFormatting>
  <conditionalFormatting sqref="B80:C80">
    <cfRule type="cellIs" dxfId="32851" priority="22382" stopIfTrue="1" operator="equal">
      <formula>"Towel"</formula>
    </cfRule>
    <cfRule type="cellIs" dxfId="32850" priority="22383" stopIfTrue="1" operator="equal">
      <formula>"Napkin Hs"</formula>
    </cfRule>
  </conditionalFormatting>
  <conditionalFormatting sqref="C80">
    <cfRule type="cellIs" dxfId="32849" priority="22390" stopIfTrue="1" operator="equal">
      <formula>"Towel"</formula>
    </cfRule>
    <cfRule type="cellIs" dxfId="32848" priority="22391" stopIfTrue="1" operator="equal">
      <formula>"Napkin Hs"</formula>
    </cfRule>
  </conditionalFormatting>
  <conditionalFormatting sqref="C80">
    <cfRule type="cellIs" dxfId="32847" priority="22392" stopIfTrue="1" operator="equal">
      <formula>"Towel"</formula>
    </cfRule>
    <cfRule type="cellIs" dxfId="32846" priority="22393" stopIfTrue="1" operator="equal">
      <formula>"Napkin Hs"</formula>
    </cfRule>
  </conditionalFormatting>
  <conditionalFormatting sqref="B81">
    <cfRule type="cellIs" dxfId="32845" priority="22380" stopIfTrue="1" operator="equal">
      <formula>"Towel"</formula>
    </cfRule>
    <cfRule type="cellIs" dxfId="32844" priority="22381" stopIfTrue="1" operator="equal">
      <formula>"Napkin Hs"</formula>
    </cfRule>
  </conditionalFormatting>
  <conditionalFormatting sqref="C79">
    <cfRule type="cellIs" dxfId="32843" priority="22360" stopIfTrue="1" operator="equal">
      <formula>"Towel"</formula>
    </cfRule>
    <cfRule type="cellIs" dxfId="32842" priority="22361" stopIfTrue="1" operator="equal">
      <formula>"Napkin Hs"</formula>
    </cfRule>
  </conditionalFormatting>
  <conditionalFormatting sqref="B79:C79">
    <cfRule type="cellIs" dxfId="32841" priority="22362" stopIfTrue="1" operator="equal">
      <formula>"Towel"</formula>
    </cfRule>
    <cfRule type="cellIs" dxfId="32840" priority="22363" stopIfTrue="1" operator="equal">
      <formula>"Napkin Hs"</formula>
    </cfRule>
  </conditionalFormatting>
  <conditionalFormatting sqref="C79">
    <cfRule type="cellIs" dxfId="32839" priority="22358" stopIfTrue="1" operator="equal">
      <formula>"Towel"</formula>
    </cfRule>
    <cfRule type="cellIs" dxfId="32838" priority="22359" stopIfTrue="1" operator="equal">
      <formula>"Napkin Hs"</formula>
    </cfRule>
  </conditionalFormatting>
  <conditionalFormatting sqref="B79:C79">
    <cfRule type="cellIs" dxfId="32837" priority="22356" stopIfTrue="1" operator="equal">
      <formula>"Towel"</formula>
    </cfRule>
    <cfRule type="cellIs" dxfId="32836" priority="22357" stopIfTrue="1" operator="equal">
      <formula>"Napkin Hs"</formula>
    </cfRule>
  </conditionalFormatting>
  <conditionalFormatting sqref="C79">
    <cfRule type="cellIs" dxfId="32835" priority="22364" stopIfTrue="1" operator="equal">
      <formula>"Towel"</formula>
    </cfRule>
    <cfRule type="cellIs" dxfId="32834" priority="22365" stopIfTrue="1" operator="equal">
      <formula>"Napkin Hs"</formula>
    </cfRule>
  </conditionalFormatting>
  <conditionalFormatting sqref="C79">
    <cfRule type="cellIs" dxfId="32833" priority="22366" stopIfTrue="1" operator="equal">
      <formula>"Towel"</formula>
    </cfRule>
    <cfRule type="cellIs" dxfId="32832" priority="22367" stopIfTrue="1" operator="equal">
      <formula>"Napkin Hs"</formula>
    </cfRule>
  </conditionalFormatting>
  <conditionalFormatting sqref="C86">
    <cfRule type="cellIs" dxfId="32831" priority="22352" stopIfTrue="1" operator="equal">
      <formula>"Towel"</formula>
    </cfRule>
    <cfRule type="cellIs" dxfId="32830" priority="22353" stopIfTrue="1" operator="equal">
      <formula>"Napkin Hs"</formula>
    </cfRule>
  </conditionalFormatting>
  <conditionalFormatting sqref="C86">
    <cfRule type="cellIs" dxfId="32829" priority="22354" stopIfTrue="1" operator="equal">
      <formula>"Towel"</formula>
    </cfRule>
    <cfRule type="cellIs" dxfId="32828" priority="22355" stopIfTrue="1" operator="equal">
      <formula>"Napkin Hs"</formula>
    </cfRule>
  </conditionalFormatting>
  <conditionalFormatting sqref="B86:C86">
    <cfRule type="cellIs" dxfId="32827" priority="22350" stopIfTrue="1" operator="equal">
      <formula>"Towel"</formula>
    </cfRule>
    <cfRule type="cellIs" dxfId="32826" priority="22351" stopIfTrue="1" operator="equal">
      <formula>"Napkin Hs"</formula>
    </cfRule>
  </conditionalFormatting>
  <conditionalFormatting sqref="B86:C86">
    <cfRule type="cellIs" dxfId="32825" priority="22344" stopIfTrue="1" operator="equal">
      <formula>"Towel"</formula>
    </cfRule>
    <cfRule type="cellIs" dxfId="32824" priority="22345" stopIfTrue="1" operator="equal">
      <formula>"Napkin Hs"</formula>
    </cfRule>
  </conditionalFormatting>
  <conditionalFormatting sqref="C86">
    <cfRule type="cellIs" dxfId="32823" priority="22346" stopIfTrue="1" operator="equal">
      <formula>"Towel"</formula>
    </cfRule>
    <cfRule type="cellIs" dxfId="32822" priority="22347" stopIfTrue="1" operator="equal">
      <formula>"Napkin Hs"</formula>
    </cfRule>
  </conditionalFormatting>
  <conditionalFormatting sqref="C86">
    <cfRule type="cellIs" dxfId="32821" priority="22348" stopIfTrue="1" operator="equal">
      <formula>"Towel"</formula>
    </cfRule>
    <cfRule type="cellIs" dxfId="32820" priority="22349" stopIfTrue="1" operator="equal">
      <formula>"Napkin Hs"</formula>
    </cfRule>
  </conditionalFormatting>
  <conditionalFormatting sqref="C85">
    <cfRule type="cellIs" dxfId="32819" priority="22328" stopIfTrue="1" operator="equal">
      <formula>"Towel"</formula>
    </cfRule>
    <cfRule type="cellIs" dxfId="32818" priority="22329" stopIfTrue="1" operator="equal">
      <formula>"Napkin Hs"</formula>
    </cfRule>
  </conditionalFormatting>
  <conditionalFormatting sqref="C85">
    <cfRule type="cellIs" dxfId="32817" priority="22330" stopIfTrue="1" operator="equal">
      <formula>"Towel"</formula>
    </cfRule>
    <cfRule type="cellIs" dxfId="32816" priority="22331" stopIfTrue="1" operator="equal">
      <formula>"Napkin Hs"</formula>
    </cfRule>
  </conditionalFormatting>
  <conditionalFormatting sqref="C85">
    <cfRule type="cellIs" dxfId="32815" priority="22326" stopIfTrue="1" operator="equal">
      <formula>"Towel"</formula>
    </cfRule>
    <cfRule type="cellIs" dxfId="32814" priority="22327" stopIfTrue="1" operator="equal">
      <formula>"Napkin Hs"</formula>
    </cfRule>
  </conditionalFormatting>
  <conditionalFormatting sqref="C85">
    <cfRule type="cellIs" dxfId="32813" priority="22320" stopIfTrue="1" operator="equal">
      <formula>"Towel"</formula>
    </cfRule>
    <cfRule type="cellIs" dxfId="32812" priority="22321" stopIfTrue="1" operator="equal">
      <formula>"Napkin Hs"</formula>
    </cfRule>
  </conditionalFormatting>
  <conditionalFormatting sqref="C85">
    <cfRule type="cellIs" dxfId="32811" priority="22322" stopIfTrue="1" operator="equal">
      <formula>"Towel"</formula>
    </cfRule>
    <cfRule type="cellIs" dxfId="32810" priority="22323" stopIfTrue="1" operator="equal">
      <formula>"Napkin Hs"</formula>
    </cfRule>
  </conditionalFormatting>
  <conditionalFormatting sqref="C85">
    <cfRule type="cellIs" dxfId="32809" priority="22324" stopIfTrue="1" operator="equal">
      <formula>"Towel"</formula>
    </cfRule>
    <cfRule type="cellIs" dxfId="32808" priority="22325" stopIfTrue="1" operator="equal">
      <formula>"Napkin Hs"</formula>
    </cfRule>
  </conditionalFormatting>
  <conditionalFormatting sqref="B85">
    <cfRule type="cellIs" dxfId="32807" priority="22318" stopIfTrue="1" operator="equal">
      <formula>"Towel"</formula>
    </cfRule>
    <cfRule type="cellIs" dxfId="32806" priority="22319" stopIfTrue="1" operator="equal">
      <formula>"Napkin Hs"</formula>
    </cfRule>
  </conditionalFormatting>
  <conditionalFormatting sqref="B85">
    <cfRule type="cellIs" dxfId="32805" priority="22316" stopIfTrue="1" operator="equal">
      <formula>"Towel"</formula>
    </cfRule>
    <cfRule type="cellIs" dxfId="32804" priority="22317" stopIfTrue="1" operator="equal">
      <formula>"Napkin Hs"</formula>
    </cfRule>
  </conditionalFormatting>
  <conditionalFormatting sqref="C84">
    <cfRule type="cellIs" dxfId="32803" priority="22308" stopIfTrue="1" operator="equal">
      <formula>"Towel"</formula>
    </cfRule>
    <cfRule type="cellIs" dxfId="32802" priority="22309" stopIfTrue="1" operator="equal">
      <formula>"Napkin Hs"</formula>
    </cfRule>
  </conditionalFormatting>
  <conditionalFormatting sqref="B84:C84">
    <cfRule type="cellIs" dxfId="32801" priority="22310" stopIfTrue="1" operator="equal">
      <formula>"Towel"</formula>
    </cfRule>
    <cfRule type="cellIs" dxfId="32800" priority="22311" stopIfTrue="1" operator="equal">
      <formula>"Napkin Hs"</formula>
    </cfRule>
  </conditionalFormatting>
  <conditionalFormatting sqref="C84">
    <cfRule type="cellIs" dxfId="32799" priority="22306" stopIfTrue="1" operator="equal">
      <formula>"Towel"</formula>
    </cfRule>
    <cfRule type="cellIs" dxfId="32798" priority="22307" stopIfTrue="1" operator="equal">
      <formula>"Napkin Hs"</formula>
    </cfRule>
  </conditionalFormatting>
  <conditionalFormatting sqref="B84:C84">
    <cfRule type="cellIs" dxfId="32797" priority="22304" stopIfTrue="1" operator="equal">
      <formula>"Towel"</formula>
    </cfRule>
    <cfRule type="cellIs" dxfId="32796" priority="22305" stopIfTrue="1" operator="equal">
      <formula>"Napkin Hs"</formula>
    </cfRule>
  </conditionalFormatting>
  <conditionalFormatting sqref="C84">
    <cfRule type="cellIs" dxfId="32795" priority="22312" stopIfTrue="1" operator="equal">
      <formula>"Towel"</formula>
    </cfRule>
    <cfRule type="cellIs" dxfId="32794" priority="22313" stopIfTrue="1" operator="equal">
      <formula>"Napkin Hs"</formula>
    </cfRule>
  </conditionalFormatting>
  <conditionalFormatting sqref="C84">
    <cfRule type="cellIs" dxfId="32793" priority="22314" stopIfTrue="1" operator="equal">
      <formula>"Towel"</formula>
    </cfRule>
    <cfRule type="cellIs" dxfId="32792" priority="22315" stopIfTrue="1" operator="equal">
      <formula>"Napkin Hs"</formula>
    </cfRule>
  </conditionalFormatting>
  <conditionalFormatting sqref="B91:C91">
    <cfRule type="cellIs" dxfId="32791" priority="22254" stopIfTrue="1" operator="equal">
      <formula>"Towel"</formula>
    </cfRule>
    <cfRule type="cellIs" dxfId="32790" priority="22255" stopIfTrue="1" operator="equal">
      <formula>"Napkin Hs"</formula>
    </cfRule>
  </conditionalFormatting>
  <conditionalFormatting sqref="C91">
    <cfRule type="cellIs" dxfId="32789" priority="22252" stopIfTrue="1" operator="equal">
      <formula>"Towel"</formula>
    </cfRule>
    <cfRule type="cellIs" dxfId="32788" priority="22253" stopIfTrue="1" operator="equal">
      <formula>"Napkin Hs"</formula>
    </cfRule>
  </conditionalFormatting>
  <conditionalFormatting sqref="C91">
    <cfRule type="cellIs" dxfId="32787" priority="22250" stopIfTrue="1" operator="equal">
      <formula>"Towel"</formula>
    </cfRule>
    <cfRule type="cellIs" dxfId="32786" priority="22251" stopIfTrue="1" operator="equal">
      <formula>"Napkin Hs"</formula>
    </cfRule>
  </conditionalFormatting>
  <conditionalFormatting sqref="C91">
    <cfRule type="cellIs" dxfId="32785" priority="22242" stopIfTrue="1" operator="equal">
      <formula>"Towel"</formula>
    </cfRule>
    <cfRule type="cellIs" dxfId="32784" priority="22243" stopIfTrue="1" operator="equal">
      <formula>"Napkin Hs"</formula>
    </cfRule>
  </conditionalFormatting>
  <conditionalFormatting sqref="B91:C91">
    <cfRule type="cellIs" dxfId="32783" priority="22244" stopIfTrue="1" operator="equal">
      <formula>"Towel"</formula>
    </cfRule>
    <cfRule type="cellIs" dxfId="32782" priority="22245" stopIfTrue="1" operator="equal">
      <formula>"Napkin Hs"</formula>
    </cfRule>
  </conditionalFormatting>
  <conditionalFormatting sqref="C91">
    <cfRule type="cellIs" dxfId="32781" priority="22240" stopIfTrue="1" operator="equal">
      <formula>"Towel"</formula>
    </cfRule>
    <cfRule type="cellIs" dxfId="32780" priority="22241" stopIfTrue="1" operator="equal">
      <formula>"Napkin Hs"</formula>
    </cfRule>
  </conditionalFormatting>
  <conditionalFormatting sqref="B91:C91">
    <cfRule type="cellIs" dxfId="32779" priority="22238" stopIfTrue="1" operator="equal">
      <formula>"Towel"</formula>
    </cfRule>
    <cfRule type="cellIs" dxfId="32778" priority="22239" stopIfTrue="1" operator="equal">
      <formula>"Napkin Hs"</formula>
    </cfRule>
  </conditionalFormatting>
  <conditionalFormatting sqref="C91">
    <cfRule type="cellIs" dxfId="32777" priority="22246" stopIfTrue="1" operator="equal">
      <formula>"Towel"</formula>
    </cfRule>
    <cfRule type="cellIs" dxfId="32776" priority="22247" stopIfTrue="1" operator="equal">
      <formula>"Napkin Hs"</formula>
    </cfRule>
  </conditionalFormatting>
  <conditionalFormatting sqref="C91">
    <cfRule type="cellIs" dxfId="32775" priority="22248" stopIfTrue="1" operator="equal">
      <formula>"Towel"</formula>
    </cfRule>
    <cfRule type="cellIs" dxfId="32774" priority="22249" stopIfTrue="1" operator="equal">
      <formula>"Napkin Hs"</formula>
    </cfRule>
  </conditionalFormatting>
  <conditionalFormatting sqref="C96">
    <cfRule type="cellIs" dxfId="32773" priority="22200" stopIfTrue="1" operator="equal">
      <formula>"Towel"</formula>
    </cfRule>
    <cfRule type="cellIs" dxfId="32772" priority="22201" stopIfTrue="1" operator="equal">
      <formula>"Napkin Hs"</formula>
    </cfRule>
  </conditionalFormatting>
  <conditionalFormatting sqref="C96">
    <cfRule type="cellIs" dxfId="32771" priority="22198" stopIfTrue="1" operator="equal">
      <formula>"Towel"</formula>
    </cfRule>
    <cfRule type="cellIs" dxfId="32770" priority="22199" stopIfTrue="1" operator="equal">
      <formula>"Napkin Hs"</formula>
    </cfRule>
  </conditionalFormatting>
  <conditionalFormatting sqref="B96:C96">
    <cfRule type="cellIs" dxfId="32769" priority="22196" stopIfTrue="1" operator="equal">
      <formula>"Towel"</formula>
    </cfRule>
    <cfRule type="cellIs" dxfId="32768" priority="22197" stopIfTrue="1" operator="equal">
      <formula>"Napkin Hs"</formula>
    </cfRule>
  </conditionalFormatting>
  <conditionalFormatting sqref="B96:C96">
    <cfRule type="cellIs" dxfId="32767" priority="22206" stopIfTrue="1" operator="equal">
      <formula>"Towel"</formula>
    </cfRule>
    <cfRule type="cellIs" dxfId="32766" priority="22207" stopIfTrue="1" operator="equal">
      <formula>"Napkin Hs"</formula>
    </cfRule>
  </conditionalFormatting>
  <conditionalFormatting sqref="C96">
    <cfRule type="cellIs" dxfId="32765" priority="22204" stopIfTrue="1" operator="equal">
      <formula>"Towel"</formula>
    </cfRule>
    <cfRule type="cellIs" dxfId="32764" priority="22205" stopIfTrue="1" operator="equal">
      <formula>"Napkin Hs"</formula>
    </cfRule>
  </conditionalFormatting>
  <conditionalFormatting sqref="C96">
    <cfRule type="cellIs" dxfId="32763" priority="22202" stopIfTrue="1" operator="equal">
      <formula>"Towel"</formula>
    </cfRule>
    <cfRule type="cellIs" dxfId="32762" priority="22203" stopIfTrue="1" operator="equal">
      <formula>"Napkin Hs"</formula>
    </cfRule>
  </conditionalFormatting>
  <conditionalFormatting sqref="C96">
    <cfRule type="cellIs" dxfId="32761" priority="22194" stopIfTrue="1" operator="equal">
      <formula>"Towel"</formula>
    </cfRule>
    <cfRule type="cellIs" dxfId="32760" priority="22195" stopIfTrue="1" operator="equal">
      <formula>"Napkin Hs"</formula>
    </cfRule>
  </conditionalFormatting>
  <conditionalFormatting sqref="C96">
    <cfRule type="cellIs" dxfId="32759" priority="22192" stopIfTrue="1" operator="equal">
      <formula>"Towel"</formula>
    </cfRule>
    <cfRule type="cellIs" dxfId="32758" priority="22193" stopIfTrue="1" operator="equal">
      <formula>"Napkin Hs"</formula>
    </cfRule>
  </conditionalFormatting>
  <conditionalFormatting sqref="B96:C96">
    <cfRule type="cellIs" dxfId="32757" priority="22190" stopIfTrue="1" operator="equal">
      <formula>"Towel"</formula>
    </cfRule>
    <cfRule type="cellIs" dxfId="32756" priority="22191" stopIfTrue="1" operator="equal">
      <formula>"Napkin Hs"</formula>
    </cfRule>
  </conditionalFormatting>
  <conditionalFormatting sqref="C104">
    <cfRule type="cellIs" dxfId="32755" priority="22010" stopIfTrue="1" operator="equal">
      <formula>"Towel"</formula>
    </cfRule>
    <cfRule type="cellIs" dxfId="32754" priority="22011" stopIfTrue="1" operator="equal">
      <formula>"Napkin Hs"</formula>
    </cfRule>
  </conditionalFormatting>
  <conditionalFormatting sqref="C104">
    <cfRule type="cellIs" dxfId="32753" priority="22008" stopIfTrue="1" operator="equal">
      <formula>"Towel"</formula>
    </cfRule>
    <cfRule type="cellIs" dxfId="32752" priority="22009" stopIfTrue="1" operator="equal">
      <formula>"Napkin Hs"</formula>
    </cfRule>
  </conditionalFormatting>
  <conditionalFormatting sqref="B104:C104">
    <cfRule type="cellIs" dxfId="32751" priority="22006" stopIfTrue="1" operator="equal">
      <formula>"Towel"</formula>
    </cfRule>
    <cfRule type="cellIs" dxfId="32750" priority="22007" stopIfTrue="1" operator="equal">
      <formula>"Napkin Hs"</formula>
    </cfRule>
  </conditionalFormatting>
  <conditionalFormatting sqref="B104:C104">
    <cfRule type="cellIs" dxfId="32749" priority="22016" stopIfTrue="1" operator="equal">
      <formula>"Towel"</formula>
    </cfRule>
    <cfRule type="cellIs" dxfId="32748" priority="22017" stopIfTrue="1" operator="equal">
      <formula>"Napkin Hs"</formula>
    </cfRule>
  </conditionalFormatting>
  <conditionalFormatting sqref="C104">
    <cfRule type="cellIs" dxfId="32747" priority="22014" stopIfTrue="1" operator="equal">
      <formula>"Towel"</formula>
    </cfRule>
    <cfRule type="cellIs" dxfId="32746" priority="22015" stopIfTrue="1" operator="equal">
      <formula>"Napkin Hs"</formula>
    </cfRule>
  </conditionalFormatting>
  <conditionalFormatting sqref="C104">
    <cfRule type="cellIs" dxfId="32745" priority="22012" stopIfTrue="1" operator="equal">
      <formula>"Towel"</formula>
    </cfRule>
    <cfRule type="cellIs" dxfId="32744" priority="22013" stopIfTrue="1" operator="equal">
      <formula>"Napkin Hs"</formula>
    </cfRule>
  </conditionalFormatting>
  <conditionalFormatting sqref="C104">
    <cfRule type="cellIs" dxfId="32743" priority="22004" stopIfTrue="1" operator="equal">
      <formula>"Towel"</formula>
    </cfRule>
    <cfRule type="cellIs" dxfId="32742" priority="22005" stopIfTrue="1" operator="equal">
      <formula>"Napkin Hs"</formula>
    </cfRule>
  </conditionalFormatting>
  <conditionalFormatting sqref="C104">
    <cfRule type="cellIs" dxfId="32741" priority="22002" stopIfTrue="1" operator="equal">
      <formula>"Towel"</formula>
    </cfRule>
    <cfRule type="cellIs" dxfId="32740" priority="22003" stopIfTrue="1" operator="equal">
      <formula>"Napkin Hs"</formula>
    </cfRule>
  </conditionalFormatting>
  <conditionalFormatting sqref="B104:C104">
    <cfRule type="cellIs" dxfId="32739" priority="22000" stopIfTrue="1" operator="equal">
      <formula>"Towel"</formula>
    </cfRule>
    <cfRule type="cellIs" dxfId="32738" priority="22001" stopIfTrue="1" operator="equal">
      <formula>"Napkin Hs"</formula>
    </cfRule>
  </conditionalFormatting>
  <conditionalFormatting sqref="B104:C104">
    <cfRule type="cellIs" dxfId="32737" priority="21960" stopIfTrue="1" operator="equal">
      <formula>"Towel"</formula>
    </cfRule>
    <cfRule type="cellIs" dxfId="32736" priority="21961" stopIfTrue="1" operator="equal">
      <formula>"Napkin Hs"</formula>
    </cfRule>
  </conditionalFormatting>
  <conditionalFormatting sqref="C104">
    <cfRule type="cellIs" dxfId="32735" priority="21962" stopIfTrue="1" operator="equal">
      <formula>"Towel"</formula>
    </cfRule>
    <cfRule type="cellIs" dxfId="32734" priority="21963" stopIfTrue="1" operator="equal">
      <formula>"Napkin Hs"</formula>
    </cfRule>
  </conditionalFormatting>
  <conditionalFormatting sqref="C104">
    <cfRule type="cellIs" dxfId="32733" priority="21958" stopIfTrue="1" operator="equal">
      <formula>"Towel"</formula>
    </cfRule>
    <cfRule type="cellIs" dxfId="32732" priority="21959" stopIfTrue="1" operator="equal">
      <formula>"Napkin Hs"</formula>
    </cfRule>
  </conditionalFormatting>
  <conditionalFormatting sqref="B109:C109">
    <cfRule type="cellIs" dxfId="32731" priority="21788" stopIfTrue="1" operator="equal">
      <formula>"Towel"</formula>
    </cfRule>
    <cfRule type="cellIs" dxfId="32730" priority="21789" stopIfTrue="1" operator="equal">
      <formula>"Napkin Hs"</formula>
    </cfRule>
  </conditionalFormatting>
  <conditionalFormatting sqref="C109">
    <cfRule type="cellIs" dxfId="32729" priority="21784" stopIfTrue="1" operator="equal">
      <formula>"Towel"</formula>
    </cfRule>
    <cfRule type="cellIs" dxfId="32728" priority="21785" stopIfTrue="1" operator="equal">
      <formula>"Napkin Hs"</formula>
    </cfRule>
  </conditionalFormatting>
  <conditionalFormatting sqref="C109">
    <cfRule type="cellIs" dxfId="32727" priority="21786" stopIfTrue="1" operator="equal">
      <formula>"Towel"</formula>
    </cfRule>
    <cfRule type="cellIs" dxfId="32726" priority="21787" stopIfTrue="1" operator="equal">
      <formula>"Napkin Hs"</formula>
    </cfRule>
  </conditionalFormatting>
  <conditionalFormatting sqref="B109:C109">
    <cfRule type="cellIs" dxfId="32725" priority="21782" stopIfTrue="1" operator="equal">
      <formula>"Towel"</formula>
    </cfRule>
    <cfRule type="cellIs" dxfId="32724" priority="21783" stopIfTrue="1" operator="equal">
      <formula>"Napkin Hs"</formula>
    </cfRule>
  </conditionalFormatting>
  <conditionalFormatting sqref="C109">
    <cfRule type="cellIs" dxfId="32723" priority="21780" stopIfTrue="1" operator="equal">
      <formula>"Towel"</formula>
    </cfRule>
    <cfRule type="cellIs" dxfId="32722" priority="21781" stopIfTrue="1" operator="equal">
      <formula>"Napkin Hs"</formula>
    </cfRule>
  </conditionalFormatting>
  <conditionalFormatting sqref="C109">
    <cfRule type="cellIs" dxfId="32721" priority="21778" stopIfTrue="1" operator="equal">
      <formula>"Towel"</formula>
    </cfRule>
    <cfRule type="cellIs" dxfId="32720" priority="21779" stopIfTrue="1" operator="equal">
      <formula>"Napkin Hs"</formula>
    </cfRule>
  </conditionalFormatting>
  <conditionalFormatting sqref="C109">
    <cfRule type="cellIs" dxfId="32719" priority="21770" stopIfTrue="1" operator="equal">
      <formula>"Towel"</formula>
    </cfRule>
    <cfRule type="cellIs" dxfId="32718" priority="21771" stopIfTrue="1" operator="equal">
      <formula>"Napkin Hs"</formula>
    </cfRule>
  </conditionalFormatting>
  <conditionalFormatting sqref="B109:C109">
    <cfRule type="cellIs" dxfId="32717" priority="21772" stopIfTrue="1" operator="equal">
      <formula>"Towel"</formula>
    </cfRule>
    <cfRule type="cellIs" dxfId="32716" priority="21773" stopIfTrue="1" operator="equal">
      <formula>"Napkin Hs"</formula>
    </cfRule>
  </conditionalFormatting>
  <conditionalFormatting sqref="C109">
    <cfRule type="cellIs" dxfId="32715" priority="21768" stopIfTrue="1" operator="equal">
      <formula>"Towel"</formula>
    </cfRule>
    <cfRule type="cellIs" dxfId="32714" priority="21769" stopIfTrue="1" operator="equal">
      <formula>"Napkin Hs"</formula>
    </cfRule>
  </conditionalFormatting>
  <conditionalFormatting sqref="B109:C109">
    <cfRule type="cellIs" dxfId="32713" priority="21766" stopIfTrue="1" operator="equal">
      <formula>"Towel"</formula>
    </cfRule>
    <cfRule type="cellIs" dxfId="32712" priority="21767" stopIfTrue="1" operator="equal">
      <formula>"Napkin Hs"</formula>
    </cfRule>
  </conditionalFormatting>
  <conditionalFormatting sqref="C109">
    <cfRule type="cellIs" dxfId="32711" priority="21774" stopIfTrue="1" operator="equal">
      <formula>"Towel"</formula>
    </cfRule>
    <cfRule type="cellIs" dxfId="32710" priority="21775" stopIfTrue="1" operator="equal">
      <formula>"Napkin Hs"</formula>
    </cfRule>
  </conditionalFormatting>
  <conditionalFormatting sqref="C109">
    <cfRule type="cellIs" dxfId="32709" priority="21776" stopIfTrue="1" operator="equal">
      <formula>"Towel"</formula>
    </cfRule>
    <cfRule type="cellIs" dxfId="32708" priority="21777" stopIfTrue="1" operator="equal">
      <formula>"Napkin Hs"</formula>
    </cfRule>
  </conditionalFormatting>
  <conditionalFormatting sqref="B122:C122">
    <cfRule type="cellIs" dxfId="32707" priority="21602" stopIfTrue="1" operator="equal">
      <formula>"Towel"</formula>
    </cfRule>
    <cfRule type="cellIs" dxfId="32706" priority="21603" stopIfTrue="1" operator="equal">
      <formula>"Napkin Hs"</formula>
    </cfRule>
  </conditionalFormatting>
  <conditionalFormatting sqref="C122">
    <cfRule type="cellIs" dxfId="32705" priority="21598" stopIfTrue="1" operator="equal">
      <formula>"Towel"</formula>
    </cfRule>
    <cfRule type="cellIs" dxfId="32704" priority="21599" stopIfTrue="1" operator="equal">
      <formula>"Napkin Hs"</formula>
    </cfRule>
  </conditionalFormatting>
  <conditionalFormatting sqref="C122">
    <cfRule type="cellIs" dxfId="32703" priority="21600" stopIfTrue="1" operator="equal">
      <formula>"Towel"</formula>
    </cfRule>
    <cfRule type="cellIs" dxfId="32702" priority="21601" stopIfTrue="1" operator="equal">
      <formula>"Napkin Hs"</formula>
    </cfRule>
  </conditionalFormatting>
  <conditionalFormatting sqref="B121:C121">
    <cfRule type="cellIs" dxfId="32701" priority="21452" stopIfTrue="1" operator="equal">
      <formula>"Towel"</formula>
    </cfRule>
    <cfRule type="cellIs" dxfId="32700" priority="21453" stopIfTrue="1" operator="equal">
      <formula>"Napkin Hs"</formula>
    </cfRule>
  </conditionalFormatting>
  <conditionalFormatting sqref="C121">
    <cfRule type="cellIs" dxfId="32699" priority="21432" stopIfTrue="1" operator="equal">
      <formula>"Towel"</formula>
    </cfRule>
    <cfRule type="cellIs" dxfId="32698" priority="21433" stopIfTrue="1" operator="equal">
      <formula>"Napkin Hs"</formula>
    </cfRule>
  </conditionalFormatting>
  <conditionalFormatting sqref="B121:C121">
    <cfRule type="cellIs" dxfId="32697" priority="21430" stopIfTrue="1" operator="equal">
      <formula>"Towel"</formula>
    </cfRule>
    <cfRule type="cellIs" dxfId="32696" priority="21431" stopIfTrue="1" operator="equal">
      <formula>"Napkin Hs"</formula>
    </cfRule>
  </conditionalFormatting>
  <conditionalFormatting sqref="C121">
    <cfRule type="cellIs" dxfId="32695" priority="21438" stopIfTrue="1" operator="equal">
      <formula>"Towel"</formula>
    </cfRule>
    <cfRule type="cellIs" dxfId="32694" priority="21439" stopIfTrue="1" operator="equal">
      <formula>"Napkin Hs"</formula>
    </cfRule>
  </conditionalFormatting>
  <conditionalFormatting sqref="B121:C121">
    <cfRule type="cellIs" dxfId="32693" priority="21436" stopIfTrue="1" operator="equal">
      <formula>"Towel"</formula>
    </cfRule>
    <cfRule type="cellIs" dxfId="32692" priority="21437" stopIfTrue="1" operator="equal">
      <formula>"Napkin Hs"</formula>
    </cfRule>
  </conditionalFormatting>
  <conditionalFormatting sqref="C121">
    <cfRule type="cellIs" dxfId="32691" priority="21434" stopIfTrue="1" operator="equal">
      <formula>"Towel"</formula>
    </cfRule>
    <cfRule type="cellIs" dxfId="32690" priority="21435" stopIfTrue="1" operator="equal">
      <formula>"Napkin Hs"</formula>
    </cfRule>
  </conditionalFormatting>
  <conditionalFormatting sqref="B122:C122">
    <cfRule type="cellIs" dxfId="32689" priority="21554" stopIfTrue="1" operator="equal">
      <formula>"Towel"</formula>
    </cfRule>
    <cfRule type="cellIs" dxfId="32688" priority="21555" stopIfTrue="1" operator="equal">
      <formula>"Napkin Hs"</formula>
    </cfRule>
  </conditionalFormatting>
  <conditionalFormatting sqref="C122">
    <cfRule type="cellIs" dxfId="32687" priority="21552" stopIfTrue="1" operator="equal">
      <formula>"Towel"</formula>
    </cfRule>
    <cfRule type="cellIs" dxfId="32686" priority="21553" stopIfTrue="1" operator="equal">
      <formula>"Napkin Hs"</formula>
    </cfRule>
  </conditionalFormatting>
  <conditionalFormatting sqref="C122">
    <cfRule type="cellIs" dxfId="32685" priority="21550" stopIfTrue="1" operator="equal">
      <formula>"Towel"</formula>
    </cfRule>
    <cfRule type="cellIs" dxfId="32684" priority="21551" stopIfTrue="1" operator="equal">
      <formula>"Napkin Hs"</formula>
    </cfRule>
  </conditionalFormatting>
  <conditionalFormatting sqref="C121">
    <cfRule type="cellIs" dxfId="32683" priority="21444" stopIfTrue="1" operator="equal">
      <formula>"Towel"</formula>
    </cfRule>
    <cfRule type="cellIs" dxfId="32682" priority="21445" stopIfTrue="1" operator="equal">
      <formula>"Napkin Hs"</formula>
    </cfRule>
  </conditionalFormatting>
  <conditionalFormatting sqref="C121">
    <cfRule type="cellIs" dxfId="32681" priority="21442" stopIfTrue="1" operator="equal">
      <formula>"Towel"</formula>
    </cfRule>
    <cfRule type="cellIs" dxfId="32680" priority="21443" stopIfTrue="1" operator="equal">
      <formula>"Napkin Hs"</formula>
    </cfRule>
  </conditionalFormatting>
  <conditionalFormatting sqref="C121">
    <cfRule type="cellIs" dxfId="32679" priority="21440" stopIfTrue="1" operator="equal">
      <formula>"Towel"</formula>
    </cfRule>
    <cfRule type="cellIs" dxfId="32678" priority="21441" stopIfTrue="1" operator="equal">
      <formula>"Napkin Hs"</formula>
    </cfRule>
  </conditionalFormatting>
  <conditionalFormatting sqref="C122">
    <cfRule type="cellIs" dxfId="32677" priority="21542" stopIfTrue="1" operator="equal">
      <formula>"Towel"</formula>
    </cfRule>
    <cfRule type="cellIs" dxfId="32676" priority="21543" stopIfTrue="1" operator="equal">
      <formula>"Napkin Hs"</formula>
    </cfRule>
  </conditionalFormatting>
  <conditionalFormatting sqref="B122:C122">
    <cfRule type="cellIs" dxfId="32675" priority="21544" stopIfTrue="1" operator="equal">
      <formula>"Towel"</formula>
    </cfRule>
    <cfRule type="cellIs" dxfId="32674" priority="21545" stopIfTrue="1" operator="equal">
      <formula>"Napkin Hs"</formula>
    </cfRule>
  </conditionalFormatting>
  <conditionalFormatting sqref="C122">
    <cfRule type="cellIs" dxfId="32673" priority="21540" stopIfTrue="1" operator="equal">
      <formula>"Towel"</formula>
    </cfRule>
    <cfRule type="cellIs" dxfId="32672" priority="21541" stopIfTrue="1" operator="equal">
      <formula>"Napkin Hs"</formula>
    </cfRule>
  </conditionalFormatting>
  <conditionalFormatting sqref="B122:C122">
    <cfRule type="cellIs" dxfId="32671" priority="21538" stopIfTrue="1" operator="equal">
      <formula>"Towel"</formula>
    </cfRule>
    <cfRule type="cellIs" dxfId="32670" priority="21539" stopIfTrue="1" operator="equal">
      <formula>"Napkin Hs"</formula>
    </cfRule>
  </conditionalFormatting>
  <conditionalFormatting sqref="C122">
    <cfRule type="cellIs" dxfId="32669" priority="21546" stopIfTrue="1" operator="equal">
      <formula>"Towel"</formula>
    </cfRule>
    <cfRule type="cellIs" dxfId="32668" priority="21547" stopIfTrue="1" operator="equal">
      <formula>"Napkin Hs"</formula>
    </cfRule>
  </conditionalFormatting>
  <conditionalFormatting sqref="C122">
    <cfRule type="cellIs" dxfId="32667" priority="21548" stopIfTrue="1" operator="equal">
      <formula>"Towel"</formula>
    </cfRule>
    <cfRule type="cellIs" dxfId="32666" priority="21549" stopIfTrue="1" operator="equal">
      <formula>"Napkin Hs"</formula>
    </cfRule>
  </conditionalFormatting>
  <conditionalFormatting sqref="C121">
    <cfRule type="cellIs" dxfId="32665" priority="21448" stopIfTrue="1" operator="equal">
      <formula>"Towel"</formula>
    </cfRule>
    <cfRule type="cellIs" dxfId="32664" priority="21449" stopIfTrue="1" operator="equal">
      <formula>"Napkin Hs"</formula>
    </cfRule>
  </conditionalFormatting>
  <conditionalFormatting sqref="C121">
    <cfRule type="cellIs" dxfId="32663" priority="21450" stopIfTrue="1" operator="equal">
      <formula>"Towel"</formula>
    </cfRule>
    <cfRule type="cellIs" dxfId="32662" priority="21451" stopIfTrue="1" operator="equal">
      <formula>"Napkin Hs"</formula>
    </cfRule>
  </conditionalFormatting>
  <conditionalFormatting sqref="B121:C121">
    <cfRule type="cellIs" dxfId="32661" priority="21446" stopIfTrue="1" operator="equal">
      <formula>"Towel"</formula>
    </cfRule>
    <cfRule type="cellIs" dxfId="32660" priority="21447" stopIfTrue="1" operator="equal">
      <formula>"Napkin Hs"</formula>
    </cfRule>
  </conditionalFormatting>
  <conditionalFormatting sqref="B135:C135">
    <cfRule type="cellIs" dxfId="32659" priority="21324" stopIfTrue="1" operator="equal">
      <formula>"Towel"</formula>
    </cfRule>
    <cfRule type="cellIs" dxfId="32658" priority="21325" stopIfTrue="1" operator="equal">
      <formula>"Napkin Hs"</formula>
    </cfRule>
  </conditionalFormatting>
  <conditionalFormatting sqref="C135">
    <cfRule type="cellIs" dxfId="32657" priority="21323" stopIfTrue="1" operator="equal">
      <formula>"Napkin Hs"</formula>
    </cfRule>
  </conditionalFormatting>
  <conditionalFormatting sqref="C135">
    <cfRule type="cellIs" dxfId="32656" priority="21322" stopIfTrue="1" operator="equal">
      <formula>"Towel"</formula>
    </cfRule>
  </conditionalFormatting>
  <conditionalFormatting sqref="C135">
    <cfRule type="cellIs" dxfId="32655" priority="21320" stopIfTrue="1" operator="equal">
      <formula>"Towel"</formula>
    </cfRule>
    <cfRule type="cellIs" dxfId="32654" priority="21321" stopIfTrue="1" operator="equal">
      <formula>"Napkin Hs"</formula>
    </cfRule>
  </conditionalFormatting>
  <conditionalFormatting sqref="B131:C131">
    <cfRule type="cellIs" dxfId="32653" priority="21262" stopIfTrue="1" operator="equal">
      <formula>"Towel"</formula>
    </cfRule>
    <cfRule type="cellIs" dxfId="32652" priority="21263" stopIfTrue="1" operator="equal">
      <formula>"Napkin Hs"</formula>
    </cfRule>
  </conditionalFormatting>
  <conditionalFormatting sqref="C131">
    <cfRule type="cellIs" dxfId="32651" priority="21260" stopIfTrue="1" operator="equal">
      <formula>"Towel"</formula>
    </cfRule>
    <cfRule type="cellIs" dxfId="32650" priority="21261" stopIfTrue="1" operator="equal">
      <formula>"Napkin Hs"</formula>
    </cfRule>
  </conditionalFormatting>
  <conditionalFormatting sqref="C131">
    <cfRule type="cellIs" dxfId="32649" priority="21258" stopIfTrue="1" operator="equal">
      <formula>"Towel"</formula>
    </cfRule>
    <cfRule type="cellIs" dxfId="32648" priority="21259" stopIfTrue="1" operator="equal">
      <formula>"Napkin Hs"</formula>
    </cfRule>
  </conditionalFormatting>
  <conditionalFormatting sqref="B131:C131">
    <cfRule type="cellIs" dxfId="32647" priority="21256" stopIfTrue="1" operator="equal">
      <formula>"Towel"</formula>
    </cfRule>
    <cfRule type="cellIs" dxfId="32646" priority="21257" stopIfTrue="1" operator="equal">
      <formula>"Napkin Hs"</formula>
    </cfRule>
  </conditionalFormatting>
  <conditionalFormatting sqref="C131">
    <cfRule type="cellIs" dxfId="32645" priority="21254" stopIfTrue="1" operator="equal">
      <formula>"Towel"</formula>
    </cfRule>
    <cfRule type="cellIs" dxfId="32644" priority="21255" stopIfTrue="1" operator="equal">
      <formula>"Napkin Hs"</formula>
    </cfRule>
  </conditionalFormatting>
  <conditionalFormatting sqref="C131">
    <cfRule type="cellIs" dxfId="32643" priority="21252" stopIfTrue="1" operator="equal">
      <formula>"Towel"</formula>
    </cfRule>
    <cfRule type="cellIs" dxfId="32642" priority="21253" stopIfTrue="1" operator="equal">
      <formula>"Napkin Hs"</formula>
    </cfRule>
  </conditionalFormatting>
  <conditionalFormatting sqref="C131">
    <cfRule type="cellIs" dxfId="32641" priority="21244" stopIfTrue="1" operator="equal">
      <formula>"Towel"</formula>
    </cfRule>
    <cfRule type="cellIs" dxfId="32640" priority="21245" stopIfTrue="1" operator="equal">
      <formula>"Napkin Hs"</formula>
    </cfRule>
  </conditionalFormatting>
  <conditionalFormatting sqref="B131:C131">
    <cfRule type="cellIs" dxfId="32639" priority="21246" stopIfTrue="1" operator="equal">
      <formula>"Towel"</formula>
    </cfRule>
    <cfRule type="cellIs" dxfId="32638" priority="21247" stopIfTrue="1" operator="equal">
      <formula>"Napkin Hs"</formula>
    </cfRule>
  </conditionalFormatting>
  <conditionalFormatting sqref="C131">
    <cfRule type="cellIs" dxfId="32637" priority="21242" stopIfTrue="1" operator="equal">
      <formula>"Towel"</formula>
    </cfRule>
    <cfRule type="cellIs" dxfId="32636" priority="21243" stopIfTrue="1" operator="equal">
      <formula>"Napkin Hs"</formula>
    </cfRule>
  </conditionalFormatting>
  <conditionalFormatting sqref="B131:C131">
    <cfRule type="cellIs" dxfId="32635" priority="21240" stopIfTrue="1" operator="equal">
      <formula>"Towel"</formula>
    </cfRule>
    <cfRule type="cellIs" dxfId="32634" priority="21241" stopIfTrue="1" operator="equal">
      <formula>"Napkin Hs"</formula>
    </cfRule>
  </conditionalFormatting>
  <conditionalFormatting sqref="C131">
    <cfRule type="cellIs" dxfId="32633" priority="21248" stopIfTrue="1" operator="equal">
      <formula>"Towel"</formula>
    </cfRule>
    <cfRule type="cellIs" dxfId="32632" priority="21249" stopIfTrue="1" operator="equal">
      <formula>"Napkin Hs"</formula>
    </cfRule>
  </conditionalFormatting>
  <conditionalFormatting sqref="C131">
    <cfRule type="cellIs" dxfId="32631" priority="21250" stopIfTrue="1" operator="equal">
      <formula>"Towel"</formula>
    </cfRule>
    <cfRule type="cellIs" dxfId="32630" priority="21251" stopIfTrue="1" operator="equal">
      <formula>"Napkin Hs"</formula>
    </cfRule>
  </conditionalFormatting>
  <conditionalFormatting sqref="B137:C137">
    <cfRule type="cellIs" dxfId="32629" priority="21160" stopIfTrue="1" operator="equal">
      <formula>"Towel"</formula>
    </cfRule>
    <cfRule type="cellIs" dxfId="32628" priority="21161" stopIfTrue="1" operator="equal">
      <formula>"Napkin Hs"</formula>
    </cfRule>
  </conditionalFormatting>
  <conditionalFormatting sqref="C137">
    <cfRule type="cellIs" dxfId="32627" priority="21156" stopIfTrue="1" operator="equal">
      <formula>"Towel"</formula>
    </cfRule>
    <cfRule type="cellIs" dxfId="32626" priority="21157" stopIfTrue="1" operator="equal">
      <formula>"Napkin Hs"</formula>
    </cfRule>
  </conditionalFormatting>
  <conditionalFormatting sqref="C137">
    <cfRule type="cellIs" dxfId="32625" priority="21158" stopIfTrue="1" operator="equal">
      <formula>"Towel"</formula>
    </cfRule>
    <cfRule type="cellIs" dxfId="32624" priority="21159" stopIfTrue="1" operator="equal">
      <formula>"Napkin Hs"</formula>
    </cfRule>
  </conditionalFormatting>
  <conditionalFormatting sqref="B137:C137">
    <cfRule type="cellIs" dxfId="32623" priority="21154" stopIfTrue="1" operator="equal">
      <formula>"Towel"</formula>
    </cfRule>
    <cfRule type="cellIs" dxfId="32622" priority="21155" stopIfTrue="1" operator="equal">
      <formula>"Napkin Hs"</formula>
    </cfRule>
  </conditionalFormatting>
  <conditionalFormatting sqref="C137">
    <cfRule type="cellIs" dxfId="32621" priority="21152" stopIfTrue="1" operator="equal">
      <formula>"Towel"</formula>
    </cfRule>
    <cfRule type="cellIs" dxfId="32620" priority="21153" stopIfTrue="1" operator="equal">
      <formula>"Napkin Hs"</formula>
    </cfRule>
  </conditionalFormatting>
  <conditionalFormatting sqref="C137">
    <cfRule type="cellIs" dxfId="32619" priority="21150" stopIfTrue="1" operator="equal">
      <formula>"Towel"</formula>
    </cfRule>
    <cfRule type="cellIs" dxfId="32618" priority="21151" stopIfTrue="1" operator="equal">
      <formula>"Napkin Hs"</formula>
    </cfRule>
  </conditionalFormatting>
  <conditionalFormatting sqref="C137">
    <cfRule type="cellIs" dxfId="32617" priority="21142" stopIfTrue="1" operator="equal">
      <formula>"Towel"</formula>
    </cfRule>
    <cfRule type="cellIs" dxfId="32616" priority="21143" stopIfTrue="1" operator="equal">
      <formula>"Napkin Hs"</formula>
    </cfRule>
  </conditionalFormatting>
  <conditionalFormatting sqref="B137:C137">
    <cfRule type="cellIs" dxfId="32615" priority="21144" stopIfTrue="1" operator="equal">
      <formula>"Towel"</formula>
    </cfRule>
    <cfRule type="cellIs" dxfId="32614" priority="21145" stopIfTrue="1" operator="equal">
      <formula>"Napkin Hs"</formula>
    </cfRule>
  </conditionalFormatting>
  <conditionalFormatting sqref="C137">
    <cfRule type="cellIs" dxfId="32613" priority="21140" stopIfTrue="1" operator="equal">
      <formula>"Towel"</formula>
    </cfRule>
    <cfRule type="cellIs" dxfId="32612" priority="21141" stopIfTrue="1" operator="equal">
      <formula>"Napkin Hs"</formula>
    </cfRule>
  </conditionalFormatting>
  <conditionalFormatting sqref="B137:C137">
    <cfRule type="cellIs" dxfId="32611" priority="21138" stopIfTrue="1" operator="equal">
      <formula>"Towel"</formula>
    </cfRule>
    <cfRule type="cellIs" dxfId="32610" priority="21139" stopIfTrue="1" operator="equal">
      <formula>"Napkin Hs"</formula>
    </cfRule>
  </conditionalFormatting>
  <conditionalFormatting sqref="C137">
    <cfRule type="cellIs" dxfId="32609" priority="21146" stopIfTrue="1" operator="equal">
      <formula>"Towel"</formula>
    </cfRule>
    <cfRule type="cellIs" dxfId="32608" priority="21147" stopIfTrue="1" operator="equal">
      <formula>"Napkin Hs"</formula>
    </cfRule>
  </conditionalFormatting>
  <conditionalFormatting sqref="C137">
    <cfRule type="cellIs" dxfId="32607" priority="21148" stopIfTrue="1" operator="equal">
      <formula>"Towel"</formula>
    </cfRule>
    <cfRule type="cellIs" dxfId="32606" priority="21149" stopIfTrue="1" operator="equal">
      <formula>"Napkin Hs"</formula>
    </cfRule>
  </conditionalFormatting>
  <conditionalFormatting sqref="B144:C144">
    <cfRule type="cellIs" dxfId="32605" priority="21136" stopIfTrue="1" operator="equal">
      <formula>"Towel"</formula>
    </cfRule>
    <cfRule type="cellIs" dxfId="32604" priority="21137" stopIfTrue="1" operator="equal">
      <formula>"Napkin Hs"</formula>
    </cfRule>
  </conditionalFormatting>
  <conditionalFormatting sqref="C144">
    <cfRule type="cellIs" dxfId="32603" priority="21135" stopIfTrue="1" operator="equal">
      <formula>"Napkin Hs"</formula>
    </cfRule>
  </conditionalFormatting>
  <conditionalFormatting sqref="C144">
    <cfRule type="cellIs" dxfId="32602" priority="21134" stopIfTrue="1" operator="equal">
      <formula>"Towel"</formula>
    </cfRule>
  </conditionalFormatting>
  <conditionalFormatting sqref="C144">
    <cfRule type="cellIs" dxfId="32601" priority="21132" stopIfTrue="1" operator="equal">
      <formula>"Towel"</formula>
    </cfRule>
    <cfRule type="cellIs" dxfId="32600" priority="21133" stopIfTrue="1" operator="equal">
      <formula>"Napkin Hs"</formula>
    </cfRule>
  </conditionalFormatting>
  <conditionalFormatting sqref="B136:C136">
    <cfRule type="cellIs" dxfId="32599" priority="21058" stopIfTrue="1" operator="equal">
      <formula>"Towel"</formula>
    </cfRule>
    <cfRule type="cellIs" dxfId="32598" priority="21059" stopIfTrue="1" operator="equal">
      <formula>"Napkin Hs"</formula>
    </cfRule>
  </conditionalFormatting>
  <conditionalFormatting sqref="C136">
    <cfRule type="cellIs" dxfId="32597" priority="21056" stopIfTrue="1" operator="equal">
      <formula>"Towel"</formula>
    </cfRule>
    <cfRule type="cellIs" dxfId="32596" priority="21057" stopIfTrue="1" operator="equal">
      <formula>"Napkin Hs"</formula>
    </cfRule>
  </conditionalFormatting>
  <conditionalFormatting sqref="C136">
    <cfRule type="cellIs" dxfId="32595" priority="21054" stopIfTrue="1" operator="equal">
      <formula>"Towel"</formula>
    </cfRule>
    <cfRule type="cellIs" dxfId="32594" priority="21055" stopIfTrue="1" operator="equal">
      <formula>"Napkin Hs"</formula>
    </cfRule>
  </conditionalFormatting>
  <conditionalFormatting sqref="B136:C136">
    <cfRule type="cellIs" dxfId="32593" priority="21052" stopIfTrue="1" operator="equal">
      <formula>"Towel"</formula>
    </cfRule>
    <cfRule type="cellIs" dxfId="32592" priority="21053" stopIfTrue="1" operator="equal">
      <formula>"Napkin Hs"</formula>
    </cfRule>
  </conditionalFormatting>
  <conditionalFormatting sqref="C136">
    <cfRule type="cellIs" dxfId="32591" priority="21050" stopIfTrue="1" operator="equal">
      <formula>"Towel"</formula>
    </cfRule>
    <cfRule type="cellIs" dxfId="32590" priority="21051" stopIfTrue="1" operator="equal">
      <formula>"Napkin Hs"</formula>
    </cfRule>
  </conditionalFormatting>
  <conditionalFormatting sqref="C136">
    <cfRule type="cellIs" dxfId="32589" priority="21048" stopIfTrue="1" operator="equal">
      <formula>"Towel"</formula>
    </cfRule>
    <cfRule type="cellIs" dxfId="32588" priority="21049" stopIfTrue="1" operator="equal">
      <formula>"Napkin Hs"</formula>
    </cfRule>
  </conditionalFormatting>
  <conditionalFormatting sqref="C136">
    <cfRule type="cellIs" dxfId="32587" priority="21040" stopIfTrue="1" operator="equal">
      <formula>"Towel"</formula>
    </cfRule>
    <cfRule type="cellIs" dxfId="32586" priority="21041" stopIfTrue="1" operator="equal">
      <formula>"Napkin Hs"</formula>
    </cfRule>
  </conditionalFormatting>
  <conditionalFormatting sqref="B136:C136">
    <cfRule type="cellIs" dxfId="32585" priority="21042" stopIfTrue="1" operator="equal">
      <formula>"Towel"</formula>
    </cfRule>
    <cfRule type="cellIs" dxfId="32584" priority="21043" stopIfTrue="1" operator="equal">
      <formula>"Napkin Hs"</formula>
    </cfRule>
  </conditionalFormatting>
  <conditionalFormatting sqref="C136">
    <cfRule type="cellIs" dxfId="32583" priority="21038" stopIfTrue="1" operator="equal">
      <formula>"Towel"</formula>
    </cfRule>
    <cfRule type="cellIs" dxfId="32582" priority="21039" stopIfTrue="1" operator="equal">
      <formula>"Napkin Hs"</formula>
    </cfRule>
  </conditionalFormatting>
  <conditionalFormatting sqref="B136:C136">
    <cfRule type="cellIs" dxfId="32581" priority="21036" stopIfTrue="1" operator="equal">
      <formula>"Towel"</formula>
    </cfRule>
    <cfRule type="cellIs" dxfId="32580" priority="21037" stopIfTrue="1" operator="equal">
      <formula>"Napkin Hs"</formula>
    </cfRule>
  </conditionalFormatting>
  <conditionalFormatting sqref="C136">
    <cfRule type="cellIs" dxfId="32579" priority="21044" stopIfTrue="1" operator="equal">
      <formula>"Towel"</formula>
    </cfRule>
    <cfRule type="cellIs" dxfId="32578" priority="21045" stopIfTrue="1" operator="equal">
      <formula>"Napkin Hs"</formula>
    </cfRule>
  </conditionalFormatting>
  <conditionalFormatting sqref="C136">
    <cfRule type="cellIs" dxfId="32577" priority="21046" stopIfTrue="1" operator="equal">
      <formula>"Towel"</formula>
    </cfRule>
    <cfRule type="cellIs" dxfId="32576" priority="21047" stopIfTrue="1" operator="equal">
      <formula>"Napkin Hs"</formula>
    </cfRule>
  </conditionalFormatting>
  <conditionalFormatting sqref="B142:C146">
    <cfRule type="cellIs" dxfId="32575" priority="21082" stopIfTrue="1" operator="equal">
      <formula>"Towel"</formula>
    </cfRule>
    <cfRule type="cellIs" dxfId="32574" priority="21083" stopIfTrue="1" operator="equal">
      <formula>"Napkin Hs"</formula>
    </cfRule>
  </conditionalFormatting>
  <conditionalFormatting sqref="C142:C146">
    <cfRule type="cellIs" dxfId="32573" priority="21078" stopIfTrue="1" operator="equal">
      <formula>"Towel"</formula>
    </cfRule>
    <cfRule type="cellIs" dxfId="32572" priority="21079" stopIfTrue="1" operator="equal">
      <formula>"Napkin Hs"</formula>
    </cfRule>
  </conditionalFormatting>
  <conditionalFormatting sqref="C142:C146">
    <cfRule type="cellIs" dxfId="32571" priority="21080" stopIfTrue="1" operator="equal">
      <formula>"Towel"</formula>
    </cfRule>
    <cfRule type="cellIs" dxfId="32570" priority="21081" stopIfTrue="1" operator="equal">
      <formula>"Napkin Hs"</formula>
    </cfRule>
  </conditionalFormatting>
  <conditionalFormatting sqref="B142:C146">
    <cfRule type="cellIs" dxfId="32569" priority="21076" stopIfTrue="1" operator="equal">
      <formula>"Towel"</formula>
    </cfRule>
    <cfRule type="cellIs" dxfId="32568" priority="21077" stopIfTrue="1" operator="equal">
      <formula>"Napkin Hs"</formula>
    </cfRule>
  </conditionalFormatting>
  <conditionalFormatting sqref="C142:C146">
    <cfRule type="cellIs" dxfId="32567" priority="21074" stopIfTrue="1" operator="equal">
      <formula>"Towel"</formula>
    </cfRule>
    <cfRule type="cellIs" dxfId="32566" priority="21075" stopIfTrue="1" operator="equal">
      <formula>"Napkin Hs"</formula>
    </cfRule>
  </conditionalFormatting>
  <conditionalFormatting sqref="C142:C146">
    <cfRule type="cellIs" dxfId="32565" priority="21072" stopIfTrue="1" operator="equal">
      <formula>"Towel"</formula>
    </cfRule>
    <cfRule type="cellIs" dxfId="32564" priority="21073" stopIfTrue="1" operator="equal">
      <formula>"Napkin Hs"</formula>
    </cfRule>
  </conditionalFormatting>
  <conditionalFormatting sqref="C142:C146">
    <cfRule type="cellIs" dxfId="32563" priority="21064" stopIfTrue="1" operator="equal">
      <formula>"Towel"</formula>
    </cfRule>
    <cfRule type="cellIs" dxfId="32562" priority="21065" stopIfTrue="1" operator="equal">
      <formula>"Napkin Hs"</formula>
    </cfRule>
  </conditionalFormatting>
  <conditionalFormatting sqref="B142:C146">
    <cfRule type="cellIs" dxfId="32561" priority="21066" stopIfTrue="1" operator="equal">
      <formula>"Towel"</formula>
    </cfRule>
    <cfRule type="cellIs" dxfId="32560" priority="21067" stopIfTrue="1" operator="equal">
      <formula>"Napkin Hs"</formula>
    </cfRule>
  </conditionalFormatting>
  <conditionalFormatting sqref="C142:C146">
    <cfRule type="cellIs" dxfId="32559" priority="21062" stopIfTrue="1" operator="equal">
      <formula>"Towel"</formula>
    </cfRule>
    <cfRule type="cellIs" dxfId="32558" priority="21063" stopIfTrue="1" operator="equal">
      <formula>"Napkin Hs"</formula>
    </cfRule>
  </conditionalFormatting>
  <conditionalFormatting sqref="B142:C146">
    <cfRule type="cellIs" dxfId="32557" priority="21060" stopIfTrue="1" operator="equal">
      <formula>"Towel"</formula>
    </cfRule>
    <cfRule type="cellIs" dxfId="32556" priority="21061" stopIfTrue="1" operator="equal">
      <formula>"Napkin Hs"</formula>
    </cfRule>
  </conditionalFormatting>
  <conditionalFormatting sqref="C142:C146">
    <cfRule type="cellIs" dxfId="32555" priority="21068" stopIfTrue="1" operator="equal">
      <formula>"Towel"</formula>
    </cfRule>
    <cfRule type="cellIs" dxfId="32554" priority="21069" stopIfTrue="1" operator="equal">
      <formula>"Napkin Hs"</formula>
    </cfRule>
  </conditionalFormatting>
  <conditionalFormatting sqref="C142:C146">
    <cfRule type="cellIs" dxfId="32553" priority="21070" stopIfTrue="1" operator="equal">
      <formula>"Towel"</formula>
    </cfRule>
    <cfRule type="cellIs" dxfId="32552" priority="21071" stopIfTrue="1" operator="equal">
      <formula>"Napkin Hs"</formula>
    </cfRule>
  </conditionalFormatting>
  <conditionalFormatting sqref="B143:C143">
    <cfRule type="cellIs" dxfId="32551" priority="21010" stopIfTrue="1" operator="equal">
      <formula>"Towel"</formula>
    </cfRule>
    <cfRule type="cellIs" dxfId="32550" priority="21011" stopIfTrue="1" operator="equal">
      <formula>"Napkin Hs"</formula>
    </cfRule>
  </conditionalFormatting>
  <conditionalFormatting sqref="C143">
    <cfRule type="cellIs" dxfId="32549" priority="21006" stopIfTrue="1" operator="equal">
      <formula>"Towel"</formula>
    </cfRule>
    <cfRule type="cellIs" dxfId="32548" priority="21007" stopIfTrue="1" operator="equal">
      <formula>"Napkin Hs"</formula>
    </cfRule>
  </conditionalFormatting>
  <conditionalFormatting sqref="C143">
    <cfRule type="cellIs" dxfId="32547" priority="21008" stopIfTrue="1" operator="equal">
      <formula>"Towel"</formula>
    </cfRule>
    <cfRule type="cellIs" dxfId="32546" priority="21009" stopIfTrue="1" operator="equal">
      <formula>"Napkin Hs"</formula>
    </cfRule>
  </conditionalFormatting>
  <conditionalFormatting sqref="B143:C143">
    <cfRule type="cellIs" dxfId="32545" priority="21004" stopIfTrue="1" operator="equal">
      <formula>"Towel"</formula>
    </cfRule>
    <cfRule type="cellIs" dxfId="32544" priority="21005" stopIfTrue="1" operator="equal">
      <formula>"Napkin Hs"</formula>
    </cfRule>
  </conditionalFormatting>
  <conditionalFormatting sqref="C143">
    <cfRule type="cellIs" dxfId="32543" priority="21002" stopIfTrue="1" operator="equal">
      <formula>"Towel"</formula>
    </cfRule>
    <cfRule type="cellIs" dxfId="32542" priority="21003" stopIfTrue="1" operator="equal">
      <formula>"Napkin Hs"</formula>
    </cfRule>
  </conditionalFormatting>
  <conditionalFormatting sqref="C143">
    <cfRule type="cellIs" dxfId="32541" priority="21000" stopIfTrue="1" operator="equal">
      <formula>"Towel"</formula>
    </cfRule>
    <cfRule type="cellIs" dxfId="32540" priority="21001" stopIfTrue="1" operator="equal">
      <formula>"Napkin Hs"</formula>
    </cfRule>
  </conditionalFormatting>
  <conditionalFormatting sqref="C143">
    <cfRule type="cellIs" dxfId="32539" priority="20992" stopIfTrue="1" operator="equal">
      <formula>"Towel"</formula>
    </cfRule>
    <cfRule type="cellIs" dxfId="32538" priority="20993" stopIfTrue="1" operator="equal">
      <formula>"Napkin Hs"</formula>
    </cfRule>
  </conditionalFormatting>
  <conditionalFormatting sqref="B143:C143">
    <cfRule type="cellIs" dxfId="32537" priority="20994" stopIfTrue="1" operator="equal">
      <formula>"Towel"</formula>
    </cfRule>
    <cfRule type="cellIs" dxfId="32536" priority="20995" stopIfTrue="1" operator="equal">
      <formula>"Napkin Hs"</formula>
    </cfRule>
  </conditionalFormatting>
  <conditionalFormatting sqref="C143">
    <cfRule type="cellIs" dxfId="32535" priority="20990" stopIfTrue="1" operator="equal">
      <formula>"Towel"</formula>
    </cfRule>
    <cfRule type="cellIs" dxfId="32534" priority="20991" stopIfTrue="1" operator="equal">
      <formula>"Napkin Hs"</formula>
    </cfRule>
  </conditionalFormatting>
  <conditionalFormatting sqref="B143:C143">
    <cfRule type="cellIs" dxfId="32533" priority="20988" stopIfTrue="1" operator="equal">
      <formula>"Towel"</formula>
    </cfRule>
    <cfRule type="cellIs" dxfId="32532" priority="20989" stopIfTrue="1" operator="equal">
      <formula>"Napkin Hs"</formula>
    </cfRule>
  </conditionalFormatting>
  <conditionalFormatting sqref="C143">
    <cfRule type="cellIs" dxfId="32531" priority="20996" stopIfTrue="1" operator="equal">
      <formula>"Towel"</formula>
    </cfRule>
    <cfRule type="cellIs" dxfId="32530" priority="20997" stopIfTrue="1" operator="equal">
      <formula>"Napkin Hs"</formula>
    </cfRule>
  </conditionalFormatting>
  <conditionalFormatting sqref="C143">
    <cfRule type="cellIs" dxfId="32529" priority="20998" stopIfTrue="1" operator="equal">
      <formula>"Towel"</formula>
    </cfRule>
    <cfRule type="cellIs" dxfId="32528" priority="20999" stopIfTrue="1" operator="equal">
      <formula>"Napkin Hs"</formula>
    </cfRule>
  </conditionalFormatting>
  <conditionalFormatting sqref="B146:C146">
    <cfRule type="cellIs" dxfId="32527" priority="20908" stopIfTrue="1" operator="equal">
      <formula>"Towel"</formula>
    </cfRule>
    <cfRule type="cellIs" dxfId="32526" priority="20909" stopIfTrue="1" operator="equal">
      <formula>"Napkin Hs"</formula>
    </cfRule>
  </conditionalFormatting>
  <conditionalFormatting sqref="C146">
    <cfRule type="cellIs" dxfId="32525" priority="20904" stopIfTrue="1" operator="equal">
      <formula>"Towel"</formula>
    </cfRule>
    <cfRule type="cellIs" dxfId="32524" priority="20905" stopIfTrue="1" operator="equal">
      <formula>"Napkin Hs"</formula>
    </cfRule>
  </conditionalFormatting>
  <conditionalFormatting sqref="C146">
    <cfRule type="cellIs" dxfId="32523" priority="20906" stopIfTrue="1" operator="equal">
      <formula>"Towel"</formula>
    </cfRule>
    <cfRule type="cellIs" dxfId="32522" priority="20907" stopIfTrue="1" operator="equal">
      <formula>"Napkin Hs"</formula>
    </cfRule>
  </conditionalFormatting>
  <conditionalFormatting sqref="B146:C146">
    <cfRule type="cellIs" dxfId="32521" priority="20902" stopIfTrue="1" operator="equal">
      <formula>"Towel"</formula>
    </cfRule>
    <cfRule type="cellIs" dxfId="32520" priority="20903" stopIfTrue="1" operator="equal">
      <formula>"Napkin Hs"</formula>
    </cfRule>
  </conditionalFormatting>
  <conditionalFormatting sqref="C146">
    <cfRule type="cellIs" dxfId="32519" priority="20900" stopIfTrue="1" operator="equal">
      <formula>"Towel"</formula>
    </cfRule>
    <cfRule type="cellIs" dxfId="32518" priority="20901" stopIfTrue="1" operator="equal">
      <formula>"Napkin Hs"</formula>
    </cfRule>
  </conditionalFormatting>
  <conditionalFormatting sqref="C146">
    <cfRule type="cellIs" dxfId="32517" priority="20898" stopIfTrue="1" operator="equal">
      <formula>"Towel"</formula>
    </cfRule>
    <cfRule type="cellIs" dxfId="32516" priority="20899" stopIfTrue="1" operator="equal">
      <formula>"Napkin Hs"</formula>
    </cfRule>
  </conditionalFormatting>
  <conditionalFormatting sqref="C146">
    <cfRule type="cellIs" dxfId="32515" priority="20890" stopIfTrue="1" operator="equal">
      <formula>"Towel"</formula>
    </cfRule>
    <cfRule type="cellIs" dxfId="32514" priority="20891" stopIfTrue="1" operator="equal">
      <formula>"Napkin Hs"</formula>
    </cfRule>
  </conditionalFormatting>
  <conditionalFormatting sqref="B146:C146">
    <cfRule type="cellIs" dxfId="32513" priority="20892" stopIfTrue="1" operator="equal">
      <formula>"Towel"</formula>
    </cfRule>
    <cfRule type="cellIs" dxfId="32512" priority="20893" stopIfTrue="1" operator="equal">
      <formula>"Napkin Hs"</formula>
    </cfRule>
  </conditionalFormatting>
  <conditionalFormatting sqref="C146">
    <cfRule type="cellIs" dxfId="32511" priority="20888" stopIfTrue="1" operator="equal">
      <formula>"Towel"</formula>
    </cfRule>
    <cfRule type="cellIs" dxfId="32510" priority="20889" stopIfTrue="1" operator="equal">
      <formula>"Napkin Hs"</formula>
    </cfRule>
  </conditionalFormatting>
  <conditionalFormatting sqref="B146:C146">
    <cfRule type="cellIs" dxfId="32509" priority="20886" stopIfTrue="1" operator="equal">
      <formula>"Towel"</formula>
    </cfRule>
    <cfRule type="cellIs" dxfId="32508" priority="20887" stopIfTrue="1" operator="equal">
      <formula>"Napkin Hs"</formula>
    </cfRule>
  </conditionalFormatting>
  <conditionalFormatting sqref="C146">
    <cfRule type="cellIs" dxfId="32507" priority="20894" stopIfTrue="1" operator="equal">
      <formula>"Towel"</formula>
    </cfRule>
    <cfRule type="cellIs" dxfId="32506" priority="20895" stopIfTrue="1" operator="equal">
      <formula>"Napkin Hs"</formula>
    </cfRule>
  </conditionalFormatting>
  <conditionalFormatting sqref="C146">
    <cfRule type="cellIs" dxfId="32505" priority="20896" stopIfTrue="1" operator="equal">
      <formula>"Towel"</formula>
    </cfRule>
    <cfRule type="cellIs" dxfId="32504" priority="20897" stopIfTrue="1" operator="equal">
      <formula>"Napkin Hs"</formula>
    </cfRule>
  </conditionalFormatting>
  <conditionalFormatting sqref="B151:C151">
    <cfRule type="cellIs" dxfId="32503" priority="20878" stopIfTrue="1" operator="equal">
      <formula>"Towel"</formula>
    </cfRule>
    <cfRule type="cellIs" dxfId="32502" priority="20879" stopIfTrue="1" operator="equal">
      <formula>"Napkin Hs"</formula>
    </cfRule>
  </conditionalFormatting>
  <conditionalFormatting sqref="C151">
    <cfRule type="cellIs" dxfId="32501" priority="20874" stopIfTrue="1" operator="equal">
      <formula>"Towel"</formula>
    </cfRule>
    <cfRule type="cellIs" dxfId="32500" priority="20875" stopIfTrue="1" operator="equal">
      <formula>"Napkin Hs"</formula>
    </cfRule>
  </conditionalFormatting>
  <conditionalFormatting sqref="C151">
    <cfRule type="cellIs" dxfId="32499" priority="20876" stopIfTrue="1" operator="equal">
      <formula>"Towel"</formula>
    </cfRule>
    <cfRule type="cellIs" dxfId="32498" priority="20877" stopIfTrue="1" operator="equal">
      <formula>"Napkin Hs"</formula>
    </cfRule>
  </conditionalFormatting>
  <conditionalFormatting sqref="B151:C151">
    <cfRule type="cellIs" dxfId="32497" priority="20872" stopIfTrue="1" operator="equal">
      <formula>"Towel"</formula>
    </cfRule>
    <cfRule type="cellIs" dxfId="32496" priority="20873" stopIfTrue="1" operator="equal">
      <formula>"Napkin Hs"</formula>
    </cfRule>
  </conditionalFormatting>
  <conditionalFormatting sqref="C151">
    <cfRule type="cellIs" dxfId="32495" priority="20870" stopIfTrue="1" operator="equal">
      <formula>"Towel"</formula>
    </cfRule>
    <cfRule type="cellIs" dxfId="32494" priority="20871" stopIfTrue="1" operator="equal">
      <formula>"Napkin Hs"</formula>
    </cfRule>
  </conditionalFormatting>
  <conditionalFormatting sqref="C151">
    <cfRule type="cellIs" dxfId="32493" priority="20868" stopIfTrue="1" operator="equal">
      <formula>"Towel"</formula>
    </cfRule>
    <cfRule type="cellIs" dxfId="32492" priority="20869" stopIfTrue="1" operator="equal">
      <formula>"Napkin Hs"</formula>
    </cfRule>
  </conditionalFormatting>
  <conditionalFormatting sqref="C151">
    <cfRule type="cellIs" dxfId="32491" priority="20860" stopIfTrue="1" operator="equal">
      <formula>"Towel"</formula>
    </cfRule>
    <cfRule type="cellIs" dxfId="32490" priority="20861" stopIfTrue="1" operator="equal">
      <formula>"Napkin Hs"</formula>
    </cfRule>
  </conditionalFormatting>
  <conditionalFormatting sqref="B151:C151">
    <cfRule type="cellIs" dxfId="32489" priority="20862" stopIfTrue="1" operator="equal">
      <formula>"Towel"</formula>
    </cfRule>
    <cfRule type="cellIs" dxfId="32488" priority="20863" stopIfTrue="1" operator="equal">
      <formula>"Napkin Hs"</formula>
    </cfRule>
  </conditionalFormatting>
  <conditionalFormatting sqref="C151">
    <cfRule type="cellIs" dxfId="32487" priority="20858" stopIfTrue="1" operator="equal">
      <formula>"Towel"</formula>
    </cfRule>
    <cfRule type="cellIs" dxfId="32486" priority="20859" stopIfTrue="1" operator="equal">
      <formula>"Napkin Hs"</formula>
    </cfRule>
  </conditionalFormatting>
  <conditionalFormatting sqref="B151:C151">
    <cfRule type="cellIs" dxfId="32485" priority="20856" stopIfTrue="1" operator="equal">
      <formula>"Towel"</formula>
    </cfRule>
    <cfRule type="cellIs" dxfId="32484" priority="20857" stopIfTrue="1" operator="equal">
      <formula>"Napkin Hs"</formula>
    </cfRule>
  </conditionalFormatting>
  <conditionalFormatting sqref="C151">
    <cfRule type="cellIs" dxfId="32483" priority="20864" stopIfTrue="1" operator="equal">
      <formula>"Towel"</formula>
    </cfRule>
    <cfRule type="cellIs" dxfId="32482" priority="20865" stopIfTrue="1" operator="equal">
      <formula>"Napkin Hs"</formula>
    </cfRule>
  </conditionalFormatting>
  <conditionalFormatting sqref="C151">
    <cfRule type="cellIs" dxfId="32481" priority="20866" stopIfTrue="1" operator="equal">
      <formula>"Towel"</formula>
    </cfRule>
    <cfRule type="cellIs" dxfId="32480" priority="20867" stopIfTrue="1" operator="equal">
      <formula>"Napkin Hs"</formula>
    </cfRule>
  </conditionalFormatting>
  <conditionalFormatting sqref="B24:C24">
    <cfRule type="cellIs" dxfId="32479" priority="20628" stopIfTrue="1" operator="equal">
      <formula>"Towel"</formula>
    </cfRule>
    <cfRule type="cellIs" dxfId="32478" priority="20629" stopIfTrue="1" operator="equal">
      <formula>"Napkin Hs"</formula>
    </cfRule>
  </conditionalFormatting>
  <conditionalFormatting sqref="C24">
    <cfRule type="cellIs" dxfId="32477" priority="20624" stopIfTrue="1" operator="equal">
      <formula>"Towel"</formula>
    </cfRule>
    <cfRule type="cellIs" dxfId="32476" priority="20625" stopIfTrue="1" operator="equal">
      <formula>"Napkin Hs"</formula>
    </cfRule>
  </conditionalFormatting>
  <conditionalFormatting sqref="C24">
    <cfRule type="cellIs" dxfId="32475" priority="20627" stopIfTrue="1" operator="equal">
      <formula>"Napkin Hs"</formula>
    </cfRule>
  </conditionalFormatting>
  <conditionalFormatting sqref="C24">
    <cfRule type="cellIs" dxfId="32474" priority="20626" stopIfTrue="1" operator="equal">
      <formula>"Towel"</formula>
    </cfRule>
  </conditionalFormatting>
  <conditionalFormatting sqref="B28:C29">
    <cfRule type="cellIs" dxfId="32473" priority="20580" stopIfTrue="1" operator="equal">
      <formula>"Towel"</formula>
    </cfRule>
    <cfRule type="cellIs" dxfId="32472" priority="20581" stopIfTrue="1" operator="equal">
      <formula>"Napkin Hs"</formula>
    </cfRule>
  </conditionalFormatting>
  <conditionalFormatting sqref="C27:C28">
    <cfRule type="cellIs" dxfId="32471" priority="20572" stopIfTrue="1" operator="equal">
      <formula>"Towel"</formula>
    </cfRule>
    <cfRule type="cellIs" dxfId="32470" priority="20573" stopIfTrue="1" operator="equal">
      <formula>"Napkin Hs"</formula>
    </cfRule>
  </conditionalFormatting>
  <conditionalFormatting sqref="C28:C29">
    <cfRule type="cellIs" dxfId="32469" priority="20576" stopIfTrue="1" operator="equal">
      <formula>"Towel"</formula>
    </cfRule>
    <cfRule type="cellIs" dxfId="32468" priority="20577" stopIfTrue="1" operator="equal">
      <formula>"Napkin Hs"</formula>
    </cfRule>
  </conditionalFormatting>
  <conditionalFormatting sqref="C28:C29">
    <cfRule type="cellIs" dxfId="32467" priority="20579" stopIfTrue="1" operator="equal">
      <formula>"Napkin Hs"</formula>
    </cfRule>
  </conditionalFormatting>
  <conditionalFormatting sqref="C27:C28">
    <cfRule type="cellIs" dxfId="32466" priority="20574" stopIfTrue="1" operator="equal">
      <formula>"Towel"</formula>
    </cfRule>
    <cfRule type="cellIs" dxfId="32465" priority="20575" stopIfTrue="1" operator="equal">
      <formula>"Napkin Hs"</formula>
    </cfRule>
  </conditionalFormatting>
  <conditionalFormatting sqref="C28:C29">
    <cfRule type="cellIs" dxfId="32464" priority="20578" stopIfTrue="1" operator="equal">
      <formula>"Towel"</formula>
    </cfRule>
  </conditionalFormatting>
  <conditionalFormatting sqref="C27:C28">
    <cfRule type="cellIs" dxfId="32463" priority="20570" stopIfTrue="1" operator="equal">
      <formula>"Towel"</formula>
    </cfRule>
    <cfRule type="cellIs" dxfId="32462" priority="20571" stopIfTrue="1" operator="equal">
      <formula>"Napkin Hs"</formula>
    </cfRule>
  </conditionalFormatting>
  <conditionalFormatting sqref="B27:B28">
    <cfRule type="cellIs" dxfId="32461" priority="20568" stopIfTrue="1" operator="equal">
      <formula>"Towel"</formula>
    </cfRule>
    <cfRule type="cellIs" dxfId="32460" priority="20569" stopIfTrue="1" operator="equal">
      <formula>"Napkin Hs"</formula>
    </cfRule>
  </conditionalFormatting>
  <conditionalFormatting sqref="C26">
    <cfRule type="cellIs" dxfId="32459" priority="20564" stopIfTrue="1" operator="equal">
      <formula>"Towel"</formula>
    </cfRule>
    <cfRule type="cellIs" dxfId="32458" priority="20565" stopIfTrue="1" operator="equal">
      <formula>"Napkin Hs"</formula>
    </cfRule>
  </conditionalFormatting>
  <conditionalFormatting sqref="C26">
    <cfRule type="cellIs" dxfId="32457" priority="20566" stopIfTrue="1" operator="equal">
      <formula>"Towel"</formula>
    </cfRule>
    <cfRule type="cellIs" dxfId="32456" priority="20567" stopIfTrue="1" operator="equal">
      <formula>"Napkin Hs"</formula>
    </cfRule>
  </conditionalFormatting>
  <conditionalFormatting sqref="C26">
    <cfRule type="cellIs" dxfId="32455" priority="20562" stopIfTrue="1" operator="equal">
      <formula>"Towel"</formula>
    </cfRule>
    <cfRule type="cellIs" dxfId="32454" priority="20563" stopIfTrue="1" operator="equal">
      <formula>"Napkin Hs"</formula>
    </cfRule>
  </conditionalFormatting>
  <conditionalFormatting sqref="B26">
    <cfRule type="cellIs" dxfId="32453" priority="20560" stopIfTrue="1" operator="equal">
      <formula>"Towel"</formula>
    </cfRule>
    <cfRule type="cellIs" dxfId="32452" priority="20561" stopIfTrue="1" operator="equal">
      <formula>"Napkin Hs"</formula>
    </cfRule>
  </conditionalFormatting>
  <conditionalFormatting sqref="B33:C33">
    <cfRule type="cellIs" dxfId="32451" priority="20558" stopIfTrue="1" operator="equal">
      <formula>"Towel"</formula>
    </cfRule>
    <cfRule type="cellIs" dxfId="32450" priority="20559" stopIfTrue="1" operator="equal">
      <formula>"Napkin Hs"</formula>
    </cfRule>
  </conditionalFormatting>
  <conditionalFormatting sqref="C33">
    <cfRule type="cellIs" dxfId="32449" priority="20554" stopIfTrue="1" operator="equal">
      <formula>"Towel"</formula>
    </cfRule>
    <cfRule type="cellIs" dxfId="32448" priority="20555" stopIfTrue="1" operator="equal">
      <formula>"Napkin Hs"</formula>
    </cfRule>
  </conditionalFormatting>
  <conditionalFormatting sqref="C33">
    <cfRule type="cellIs" dxfId="32447" priority="20557" stopIfTrue="1" operator="equal">
      <formula>"Napkin Hs"</formula>
    </cfRule>
  </conditionalFormatting>
  <conditionalFormatting sqref="C33">
    <cfRule type="cellIs" dxfId="32446" priority="20556" stopIfTrue="1" operator="equal">
      <formula>"Towel"</formula>
    </cfRule>
  </conditionalFormatting>
  <conditionalFormatting sqref="B8:C8">
    <cfRule type="cellIs" dxfId="32445" priority="20387" stopIfTrue="1" operator="equal">
      <formula>"Towel"</formula>
    </cfRule>
  </conditionalFormatting>
  <conditionalFormatting sqref="B8:C8">
    <cfRule type="cellIs" dxfId="32444" priority="20388" stopIfTrue="1" operator="equal">
      <formula>"Napkin Hs"</formula>
    </cfRule>
    <cfRule type="cellIs" dxfId="32443" priority="20393" stopIfTrue="1" operator="equal">
      <formula>"Towel"</formula>
    </cfRule>
    <cfRule type="cellIs" dxfId="32442" priority="20394" stopIfTrue="1" operator="equal">
      <formula>"Napkin Hs"</formula>
    </cfRule>
    <cfRule type="cellIs" dxfId="32441" priority="20403" stopIfTrue="1" operator="equal">
      <formula>"Towel"</formula>
    </cfRule>
    <cfRule type="cellIs" dxfId="32440" priority="20404" stopIfTrue="1" operator="equal">
      <formula>"Napkin Hs"</formula>
    </cfRule>
    <cfRule type="cellIs" dxfId="32439" priority="20409" stopIfTrue="1" operator="equal">
      <formula>"Towel"</formula>
    </cfRule>
    <cfRule type="cellIs" dxfId="32438" priority="20410" stopIfTrue="1" operator="equal">
      <formula>"Napkin Hs"</formula>
    </cfRule>
  </conditionalFormatting>
  <conditionalFormatting sqref="C8">
    <cfRule type="cellIs" dxfId="32437" priority="20389" stopIfTrue="1" operator="equal">
      <formula>"Towel"</formula>
    </cfRule>
    <cfRule type="cellIs" dxfId="32436" priority="20390" stopIfTrue="1" operator="equal">
      <formula>"Napkin Hs"</formula>
    </cfRule>
    <cfRule type="cellIs" dxfId="32435" priority="20391" stopIfTrue="1" operator="equal">
      <formula>"Towel"</formula>
    </cfRule>
    <cfRule type="cellIs" dxfId="32434" priority="20392" stopIfTrue="1" operator="equal">
      <formula>"Napkin Hs"</formula>
    </cfRule>
    <cfRule type="cellIs" dxfId="32433" priority="20395" stopIfTrue="1" operator="equal">
      <formula>"Towel"</formula>
    </cfRule>
    <cfRule type="cellIs" dxfId="32432" priority="20396" stopIfTrue="1" operator="equal">
      <formula>"Napkin Hs"</formula>
    </cfRule>
    <cfRule type="cellIs" dxfId="32431" priority="20397" stopIfTrue="1" operator="equal">
      <formula>"Towel"</formula>
    </cfRule>
    <cfRule type="cellIs" dxfId="32430" priority="20398" stopIfTrue="1" operator="equal">
      <formula>"Napkin Hs"</formula>
    </cfRule>
    <cfRule type="cellIs" dxfId="32429" priority="20399" stopIfTrue="1" operator="equal">
      <formula>"Towel"</formula>
    </cfRule>
    <cfRule type="cellIs" dxfId="32428" priority="20400" stopIfTrue="1" operator="equal">
      <formula>"Napkin Hs"</formula>
    </cfRule>
    <cfRule type="cellIs" dxfId="32427" priority="20401" stopIfTrue="1" operator="equal">
      <formula>"Towel"</formula>
    </cfRule>
    <cfRule type="cellIs" dxfId="32426" priority="20402" stopIfTrue="1" operator="equal">
      <formula>"Napkin Hs"</formula>
    </cfRule>
    <cfRule type="cellIs" dxfId="32425" priority="20405" stopIfTrue="1" operator="equal">
      <formula>"Towel"</formula>
    </cfRule>
    <cfRule type="cellIs" dxfId="32424" priority="20406" stopIfTrue="1" operator="equal">
      <formula>"Napkin Hs"</formula>
    </cfRule>
    <cfRule type="cellIs" dxfId="32423" priority="20408" stopIfTrue="1" operator="equal">
      <formula>"Napkin Hs"</formula>
    </cfRule>
  </conditionalFormatting>
  <conditionalFormatting sqref="C8">
    <cfRule type="cellIs" dxfId="32422" priority="20407" stopIfTrue="1" operator="equal">
      <formula>"Towel"</formula>
    </cfRule>
  </conditionalFormatting>
  <conditionalFormatting sqref="B8:C8">
    <cfRule type="cellIs" dxfId="32421" priority="20385" stopIfTrue="1" operator="equal">
      <formula>"Towel"</formula>
    </cfRule>
    <cfRule type="cellIs" dxfId="32420" priority="20386" stopIfTrue="1" operator="equal">
      <formula>"Napkin Hs"</formula>
    </cfRule>
  </conditionalFormatting>
  <conditionalFormatting sqref="C8">
    <cfRule type="cellIs" dxfId="32419" priority="20384" stopIfTrue="1" operator="equal">
      <formula>"Napkin Hs"</formula>
    </cfRule>
  </conditionalFormatting>
  <conditionalFormatting sqref="C8">
    <cfRule type="cellIs" dxfId="32418" priority="20383" stopIfTrue="1" operator="equal">
      <formula>"Towel"</formula>
    </cfRule>
  </conditionalFormatting>
  <conditionalFormatting sqref="C8">
    <cfRule type="cellIs" dxfId="32417" priority="20381" stopIfTrue="1" operator="equal">
      <formula>"Towel"</formula>
    </cfRule>
  </conditionalFormatting>
  <conditionalFormatting sqref="C8">
    <cfRule type="cellIs" dxfId="32416" priority="20382" stopIfTrue="1" operator="equal">
      <formula>"Napkin Hs"</formula>
    </cfRule>
  </conditionalFormatting>
  <conditionalFormatting sqref="B8">
    <cfRule type="cellIs" dxfId="32415" priority="20285" stopIfTrue="1" operator="equal">
      <formula>"Napkin Hs"</formula>
    </cfRule>
  </conditionalFormatting>
  <conditionalFormatting sqref="B8:C8">
    <cfRule type="cellIs" dxfId="32414" priority="20284" stopIfTrue="1" operator="equal">
      <formula>"Towel"</formula>
    </cfRule>
  </conditionalFormatting>
  <conditionalFormatting sqref="B8:C8">
    <cfRule type="cellIs" dxfId="32413" priority="20295" stopIfTrue="1" operator="equal">
      <formula>"Towel"</formula>
    </cfRule>
    <cfRule type="cellIs" dxfId="32412" priority="20296" stopIfTrue="1" operator="equal">
      <formula>"Napkin Hs"</formula>
    </cfRule>
    <cfRule type="cellIs" dxfId="32411" priority="20301" stopIfTrue="1" operator="equal">
      <formula>"Towel"</formula>
    </cfRule>
    <cfRule type="cellIs" dxfId="32410" priority="20302" stopIfTrue="1" operator="equal">
      <formula>"Napkin Hs"</formula>
    </cfRule>
    <cfRule type="cellIs" dxfId="32409" priority="20307" stopIfTrue="1" operator="equal">
      <formula>"Towel"</formula>
    </cfRule>
    <cfRule type="cellIs" dxfId="32408" priority="20308" stopIfTrue="1" operator="equal">
      <formula>"Napkin Hs"</formula>
    </cfRule>
    <cfRule type="cellIs" dxfId="32407" priority="20309" stopIfTrue="1" operator="equal">
      <formula>"Towel"</formula>
    </cfRule>
    <cfRule type="cellIs" dxfId="32406" priority="20310" stopIfTrue="1" operator="equal">
      <formula>"Napkin Hs"</formula>
    </cfRule>
    <cfRule type="cellIs" dxfId="32405" priority="20315" stopIfTrue="1" operator="equal">
      <formula>"Towel"</formula>
    </cfRule>
    <cfRule type="cellIs" dxfId="32404" priority="20316" stopIfTrue="1" operator="equal">
      <formula>"Napkin Hs"</formula>
    </cfRule>
    <cfRule type="cellIs" dxfId="32403" priority="20325" stopIfTrue="1" operator="equal">
      <formula>"Towel"</formula>
    </cfRule>
    <cfRule type="cellIs" dxfId="32402" priority="20326" stopIfTrue="1" operator="equal">
      <formula>"Napkin Hs"</formula>
    </cfRule>
    <cfRule type="cellIs" dxfId="32401" priority="20331" stopIfTrue="1" operator="equal">
      <formula>"Towel"</formula>
    </cfRule>
    <cfRule type="cellIs" dxfId="32400" priority="20332" stopIfTrue="1" operator="equal">
      <formula>"Napkin Hs"</formula>
    </cfRule>
    <cfRule type="cellIs" dxfId="32399" priority="20333" stopIfTrue="1" operator="equal">
      <formula>"Towel"</formula>
    </cfRule>
    <cfRule type="cellIs" dxfId="32398" priority="20334" stopIfTrue="1" operator="equal">
      <formula>"Napkin Hs"</formula>
    </cfRule>
    <cfRule type="cellIs" dxfId="32397" priority="20339" stopIfTrue="1" operator="equal">
      <formula>"Towel"</formula>
    </cfRule>
    <cfRule type="cellIs" dxfId="32396" priority="20340" stopIfTrue="1" operator="equal">
      <formula>"Napkin Hs"</formula>
    </cfRule>
    <cfRule type="cellIs" dxfId="32395" priority="20349" stopIfTrue="1" operator="equal">
      <formula>"Towel"</formula>
    </cfRule>
    <cfRule type="cellIs" dxfId="32394" priority="20350" stopIfTrue="1" operator="equal">
      <formula>"Napkin Hs"</formula>
    </cfRule>
    <cfRule type="cellIs" dxfId="32393" priority="20351" stopIfTrue="1" operator="equal">
      <formula>"Towel"</formula>
    </cfRule>
    <cfRule type="cellIs" dxfId="32392" priority="20352" stopIfTrue="1" operator="equal">
      <formula>"Napkin Hs"</formula>
    </cfRule>
    <cfRule type="cellIs" dxfId="32391" priority="20357" stopIfTrue="1" operator="equal">
      <formula>"Towel"</formula>
    </cfRule>
    <cfRule type="cellIs" dxfId="32390" priority="20358" stopIfTrue="1" operator="equal">
      <formula>"Napkin Hs"</formula>
    </cfRule>
    <cfRule type="cellIs" dxfId="32389" priority="20367" stopIfTrue="1" operator="equal">
      <formula>"Towel"</formula>
    </cfRule>
    <cfRule type="cellIs" dxfId="32388" priority="20368" stopIfTrue="1" operator="equal">
      <formula>"Napkin Hs"</formula>
    </cfRule>
    <cfRule type="cellIs" dxfId="32387" priority="20369" stopIfTrue="1" operator="equal">
      <formula>"Towel"</formula>
    </cfRule>
    <cfRule type="cellIs" dxfId="32386" priority="20370" stopIfTrue="1" operator="equal">
      <formula>"Napkin Hs"</formula>
    </cfRule>
    <cfRule type="cellIs" dxfId="32385" priority="20376" stopIfTrue="1" operator="equal">
      <formula>"Napkin Hs"</formula>
    </cfRule>
  </conditionalFormatting>
  <conditionalFormatting sqref="B8:C8">
    <cfRule type="cellIs" dxfId="32384" priority="20375" stopIfTrue="1" operator="equal">
      <formula>"Towel"</formula>
    </cfRule>
  </conditionalFormatting>
  <conditionalFormatting sqref="C8">
    <cfRule type="cellIs" dxfId="32383" priority="20286" stopIfTrue="1" operator="equal">
      <formula>"Napkin Hs"</formula>
    </cfRule>
    <cfRule type="cellIs" dxfId="32382" priority="20287" stopIfTrue="1" operator="equal">
      <formula>"Towel"</formula>
    </cfRule>
    <cfRule type="cellIs" dxfId="32381" priority="20288" stopIfTrue="1" operator="equal">
      <formula>"Napkin Hs"</formula>
    </cfRule>
    <cfRule type="cellIs" dxfId="32380" priority="20289" stopIfTrue="1" operator="equal">
      <formula>"Towel"</formula>
    </cfRule>
    <cfRule type="cellIs" dxfId="32379" priority="20290" stopIfTrue="1" operator="equal">
      <formula>"Napkin Hs"</formula>
    </cfRule>
    <cfRule type="cellIs" dxfId="32378" priority="20291" stopIfTrue="1" operator="equal">
      <formula>"Towel"</formula>
    </cfRule>
    <cfRule type="cellIs" dxfId="32377" priority="20292" stopIfTrue="1" operator="equal">
      <formula>"Napkin Hs"</formula>
    </cfRule>
    <cfRule type="cellIs" dxfId="32376" priority="20293" stopIfTrue="1" operator="equal">
      <formula>"Towel"</formula>
    </cfRule>
    <cfRule type="cellIs" dxfId="32375" priority="20294" stopIfTrue="1" operator="equal">
      <formula>"Napkin Hs"</formula>
    </cfRule>
    <cfRule type="cellIs" dxfId="32374" priority="20297" stopIfTrue="1" operator="equal">
      <formula>"Towel"</formula>
    </cfRule>
    <cfRule type="cellIs" dxfId="32373" priority="20298" stopIfTrue="1" operator="equal">
      <formula>"Napkin Hs"</formula>
    </cfRule>
    <cfRule type="cellIs" dxfId="32372" priority="20299" stopIfTrue="1" operator="equal">
      <formula>"Towel"</formula>
    </cfRule>
    <cfRule type="cellIs" dxfId="32371" priority="20300" stopIfTrue="1" operator="equal">
      <formula>"Napkin Hs"</formula>
    </cfRule>
    <cfRule type="cellIs" dxfId="32370" priority="20303" stopIfTrue="1" operator="equal">
      <formula>"Towel"</formula>
    </cfRule>
    <cfRule type="cellIs" dxfId="32369" priority="20304" stopIfTrue="1" operator="equal">
      <formula>"Napkin Hs"</formula>
    </cfRule>
    <cfRule type="cellIs" dxfId="32368" priority="20305" stopIfTrue="1" operator="equal">
      <formula>"Towel"</formula>
    </cfRule>
    <cfRule type="cellIs" dxfId="32367" priority="20306" stopIfTrue="1" operator="equal">
      <formula>"Napkin Hs"</formula>
    </cfRule>
    <cfRule type="cellIs" dxfId="32366" priority="20311" stopIfTrue="1" operator="equal">
      <formula>"Towel"</formula>
    </cfRule>
    <cfRule type="cellIs" dxfId="32365" priority="20312" stopIfTrue="1" operator="equal">
      <formula>"Napkin Hs"</formula>
    </cfRule>
    <cfRule type="cellIs" dxfId="32364" priority="20313" stopIfTrue="1" operator="equal">
      <formula>"Towel"</formula>
    </cfRule>
    <cfRule type="cellIs" dxfId="32363" priority="20314" stopIfTrue="1" operator="equal">
      <formula>"Napkin Hs"</formula>
    </cfRule>
    <cfRule type="cellIs" dxfId="32362" priority="20317" stopIfTrue="1" operator="equal">
      <formula>"Towel"</formula>
    </cfRule>
    <cfRule type="cellIs" dxfId="32361" priority="20318" stopIfTrue="1" operator="equal">
      <formula>"Napkin Hs"</formula>
    </cfRule>
    <cfRule type="cellIs" dxfId="32360" priority="20319" stopIfTrue="1" operator="equal">
      <formula>"Towel"</formula>
    </cfRule>
    <cfRule type="cellIs" dxfId="32359" priority="20320" stopIfTrue="1" operator="equal">
      <formula>"Napkin Hs"</formula>
    </cfRule>
    <cfRule type="cellIs" dxfId="32358" priority="20321" stopIfTrue="1" operator="equal">
      <formula>"Towel"</formula>
    </cfRule>
    <cfRule type="cellIs" dxfId="32357" priority="20322" stopIfTrue="1" operator="equal">
      <formula>"Napkin Hs"</formula>
    </cfRule>
    <cfRule type="cellIs" dxfId="32356" priority="20323" stopIfTrue="1" operator="equal">
      <formula>"Towel"</formula>
    </cfRule>
    <cfRule type="cellIs" dxfId="32355" priority="20324" stopIfTrue="1" operator="equal">
      <formula>"Napkin Hs"</formula>
    </cfRule>
    <cfRule type="cellIs" dxfId="32354" priority="20327" stopIfTrue="1" operator="equal">
      <formula>"Towel"</formula>
    </cfRule>
    <cfRule type="cellIs" dxfId="32353" priority="20328" stopIfTrue="1" operator="equal">
      <formula>"Napkin Hs"</formula>
    </cfRule>
    <cfRule type="cellIs" dxfId="32352" priority="20329" stopIfTrue="1" operator="equal">
      <formula>"Towel"</formula>
    </cfRule>
    <cfRule type="cellIs" dxfId="32351" priority="20330" stopIfTrue="1" operator="equal">
      <formula>"Napkin Hs"</formula>
    </cfRule>
    <cfRule type="cellIs" dxfId="32350" priority="20335" stopIfTrue="1" operator="equal">
      <formula>"Towel"</formula>
    </cfRule>
    <cfRule type="cellIs" dxfId="32349" priority="20336" stopIfTrue="1" operator="equal">
      <formula>"Napkin Hs"</formula>
    </cfRule>
    <cfRule type="cellIs" dxfId="32348" priority="20337" stopIfTrue="1" operator="equal">
      <formula>"Towel"</formula>
    </cfRule>
    <cfRule type="cellIs" dxfId="32347" priority="20338" stopIfTrue="1" operator="equal">
      <formula>"Napkin Hs"</formula>
    </cfRule>
    <cfRule type="cellIs" dxfId="32346" priority="20341" stopIfTrue="1" operator="equal">
      <formula>"Towel"</formula>
    </cfRule>
    <cfRule type="cellIs" dxfId="32345" priority="20342" stopIfTrue="1" operator="equal">
      <formula>"Napkin Hs"</formula>
    </cfRule>
    <cfRule type="cellIs" dxfId="32344" priority="20343" stopIfTrue="1" operator="equal">
      <formula>"Towel"</formula>
    </cfRule>
    <cfRule type="cellIs" dxfId="32343" priority="20344" stopIfTrue="1" operator="equal">
      <formula>"Napkin Hs"</formula>
    </cfRule>
    <cfRule type="cellIs" dxfId="32342" priority="20345" stopIfTrue="1" operator="equal">
      <formula>"Towel"</formula>
    </cfRule>
    <cfRule type="cellIs" dxfId="32341" priority="20346" stopIfTrue="1" operator="equal">
      <formula>"Napkin Hs"</formula>
    </cfRule>
    <cfRule type="cellIs" dxfId="32340" priority="20347" stopIfTrue="1" operator="equal">
      <formula>"Towel"</formula>
    </cfRule>
    <cfRule type="cellIs" dxfId="32339" priority="20348" stopIfTrue="1" operator="equal">
      <formula>"Napkin Hs"</formula>
    </cfRule>
    <cfRule type="cellIs" dxfId="32338" priority="20353" stopIfTrue="1" operator="equal">
      <formula>"Towel"</formula>
    </cfRule>
    <cfRule type="cellIs" dxfId="32337" priority="20354" stopIfTrue="1" operator="equal">
      <formula>"Napkin Hs"</formula>
    </cfRule>
    <cfRule type="cellIs" dxfId="32336" priority="20355" stopIfTrue="1" operator="equal">
      <formula>"Towel"</formula>
    </cfRule>
    <cfRule type="cellIs" dxfId="32335" priority="20356" stopIfTrue="1" operator="equal">
      <formula>"Napkin Hs"</formula>
    </cfRule>
    <cfRule type="cellIs" dxfId="32334" priority="20359" stopIfTrue="1" operator="equal">
      <formula>"Towel"</formula>
    </cfRule>
    <cfRule type="cellIs" dxfId="32333" priority="20360" stopIfTrue="1" operator="equal">
      <formula>"Napkin Hs"</formula>
    </cfRule>
    <cfRule type="cellIs" dxfId="32332" priority="20361" stopIfTrue="1" operator="equal">
      <formula>"Towel"</formula>
    </cfRule>
    <cfRule type="cellIs" dxfId="32331" priority="20362" stopIfTrue="1" operator="equal">
      <formula>"Napkin Hs"</formula>
    </cfRule>
    <cfRule type="cellIs" dxfId="32330" priority="20363" stopIfTrue="1" operator="equal">
      <formula>"Towel"</formula>
    </cfRule>
    <cfRule type="cellIs" dxfId="32329" priority="20364" stopIfTrue="1" operator="equal">
      <formula>"Napkin Hs"</formula>
    </cfRule>
    <cfRule type="cellIs" dxfId="32328" priority="20365" stopIfTrue="1" operator="equal">
      <formula>"Towel"</formula>
    </cfRule>
    <cfRule type="cellIs" dxfId="32327" priority="20366" stopIfTrue="1" operator="equal">
      <formula>"Napkin Hs"</formula>
    </cfRule>
    <cfRule type="cellIs" dxfId="32326" priority="20371" stopIfTrue="1" operator="equal">
      <formula>"Towel"</formula>
    </cfRule>
    <cfRule type="cellIs" dxfId="32325" priority="20372" stopIfTrue="1" operator="equal">
      <formula>"Napkin Hs"</formula>
    </cfRule>
    <cfRule type="cellIs" dxfId="32324" priority="20373" stopIfTrue="1" operator="equal">
      <formula>"Towel"</formula>
    </cfRule>
    <cfRule type="cellIs" dxfId="32323" priority="20374" stopIfTrue="1" operator="equal">
      <formula>"Napkin Hs"</formula>
    </cfRule>
    <cfRule type="cellIs" dxfId="32322" priority="20377" stopIfTrue="1" operator="equal">
      <formula>"Towel"</formula>
    </cfRule>
    <cfRule type="cellIs" dxfId="32321" priority="20378" stopIfTrue="1" operator="equal">
      <formula>"Napkin Hs"</formula>
    </cfRule>
    <cfRule type="cellIs" dxfId="32320" priority="20379" stopIfTrue="1" operator="equal">
      <formula>"Towel"</formula>
    </cfRule>
    <cfRule type="cellIs" dxfId="32319" priority="20380" stopIfTrue="1" operator="equal">
      <formula>"Napkin Hs"</formula>
    </cfRule>
  </conditionalFormatting>
  <conditionalFormatting sqref="C15">
    <cfRule type="cellIs" dxfId="32318" priority="20282" stopIfTrue="1" operator="equal">
      <formula>"Towel"</formula>
    </cfRule>
    <cfRule type="cellIs" dxfId="32317" priority="20283" stopIfTrue="1" operator="equal">
      <formula>"Napkin Hs"</formula>
    </cfRule>
  </conditionalFormatting>
  <conditionalFormatting sqref="C15">
    <cfRule type="cellIs" dxfId="32316" priority="20278" stopIfTrue="1" operator="equal">
      <formula>"Towel"</formula>
    </cfRule>
    <cfRule type="cellIs" dxfId="32315" priority="20279" stopIfTrue="1" operator="equal">
      <formula>"Napkin Hs"</formula>
    </cfRule>
  </conditionalFormatting>
  <conditionalFormatting sqref="C15">
    <cfRule type="cellIs" dxfId="32314" priority="20281" stopIfTrue="1" operator="equal">
      <formula>"Napkin Hs"</formula>
    </cfRule>
  </conditionalFormatting>
  <conditionalFormatting sqref="C15">
    <cfRule type="cellIs" dxfId="32313" priority="20280" stopIfTrue="1" operator="equal">
      <formula>"Towel"</formula>
    </cfRule>
  </conditionalFormatting>
  <conditionalFormatting sqref="C19">
    <cfRule type="cellIs" dxfId="32312" priority="19569" stopIfTrue="1" operator="equal">
      <formula>"Towel"</formula>
    </cfRule>
  </conditionalFormatting>
  <conditionalFormatting sqref="C19">
    <cfRule type="cellIs" dxfId="32311" priority="19570" stopIfTrue="1" operator="equal">
      <formula>"Napkin Hs"</formula>
    </cfRule>
    <cfRule type="cellIs" dxfId="32310" priority="19575" stopIfTrue="1" operator="equal">
      <formula>"Towel"</formula>
    </cfRule>
    <cfRule type="cellIs" dxfId="32309" priority="19576" stopIfTrue="1" operator="equal">
      <formula>"Napkin Hs"</formula>
    </cfRule>
    <cfRule type="cellIs" dxfId="32308" priority="19585" stopIfTrue="1" operator="equal">
      <formula>"Towel"</formula>
    </cfRule>
    <cfRule type="cellIs" dxfId="32307" priority="19586" stopIfTrue="1" operator="equal">
      <formula>"Napkin Hs"</formula>
    </cfRule>
    <cfRule type="cellIs" dxfId="32306" priority="19591" stopIfTrue="1" operator="equal">
      <formula>"Towel"</formula>
    </cfRule>
    <cfRule type="cellIs" dxfId="32305" priority="19592" stopIfTrue="1" operator="equal">
      <formula>"Napkin Hs"</formula>
    </cfRule>
  </conditionalFormatting>
  <conditionalFormatting sqref="C19">
    <cfRule type="cellIs" dxfId="32304" priority="19571" stopIfTrue="1" operator="equal">
      <formula>"Towel"</formula>
    </cfRule>
    <cfRule type="cellIs" dxfId="32303" priority="19572" stopIfTrue="1" operator="equal">
      <formula>"Napkin Hs"</formula>
    </cfRule>
    <cfRule type="cellIs" dxfId="32302" priority="19573" stopIfTrue="1" operator="equal">
      <formula>"Towel"</formula>
    </cfRule>
    <cfRule type="cellIs" dxfId="32301" priority="19574" stopIfTrue="1" operator="equal">
      <formula>"Napkin Hs"</formula>
    </cfRule>
    <cfRule type="cellIs" dxfId="32300" priority="19577" stopIfTrue="1" operator="equal">
      <formula>"Towel"</formula>
    </cfRule>
    <cfRule type="cellIs" dxfId="32299" priority="19578" stopIfTrue="1" operator="equal">
      <formula>"Napkin Hs"</formula>
    </cfRule>
    <cfRule type="cellIs" dxfId="32298" priority="19579" stopIfTrue="1" operator="equal">
      <formula>"Towel"</formula>
    </cfRule>
    <cfRule type="cellIs" dxfId="32297" priority="19580" stopIfTrue="1" operator="equal">
      <formula>"Napkin Hs"</formula>
    </cfRule>
    <cfRule type="cellIs" dxfId="32296" priority="19581" stopIfTrue="1" operator="equal">
      <formula>"Towel"</formula>
    </cfRule>
    <cfRule type="cellIs" dxfId="32295" priority="19582" stopIfTrue="1" operator="equal">
      <formula>"Napkin Hs"</formula>
    </cfRule>
    <cfRule type="cellIs" dxfId="32294" priority="19583" stopIfTrue="1" operator="equal">
      <formula>"Towel"</formula>
    </cfRule>
    <cfRule type="cellIs" dxfId="32293" priority="19584" stopIfTrue="1" operator="equal">
      <formula>"Napkin Hs"</formula>
    </cfRule>
    <cfRule type="cellIs" dxfId="32292" priority="19587" stopIfTrue="1" operator="equal">
      <formula>"Towel"</formula>
    </cfRule>
    <cfRule type="cellIs" dxfId="32291" priority="19588" stopIfTrue="1" operator="equal">
      <formula>"Napkin Hs"</formula>
    </cfRule>
    <cfRule type="cellIs" dxfId="32290" priority="19590" stopIfTrue="1" operator="equal">
      <formula>"Napkin Hs"</formula>
    </cfRule>
  </conditionalFormatting>
  <conditionalFormatting sqref="C19">
    <cfRule type="cellIs" dxfId="32289" priority="19589" stopIfTrue="1" operator="equal">
      <formula>"Towel"</formula>
    </cfRule>
  </conditionalFormatting>
  <conditionalFormatting sqref="C19">
    <cfRule type="cellIs" dxfId="32288" priority="19567" stopIfTrue="1" operator="equal">
      <formula>"Towel"</formula>
    </cfRule>
    <cfRule type="cellIs" dxfId="32287" priority="19568" stopIfTrue="1" operator="equal">
      <formula>"Napkin Hs"</formula>
    </cfRule>
  </conditionalFormatting>
  <conditionalFormatting sqref="C19">
    <cfRule type="cellIs" dxfId="32286" priority="19566" stopIfTrue="1" operator="equal">
      <formula>"Napkin Hs"</formula>
    </cfRule>
  </conditionalFormatting>
  <conditionalFormatting sqref="C19">
    <cfRule type="cellIs" dxfId="32285" priority="19565" stopIfTrue="1" operator="equal">
      <formula>"Towel"</formula>
    </cfRule>
  </conditionalFormatting>
  <conditionalFormatting sqref="C19">
    <cfRule type="cellIs" dxfId="32284" priority="19563" stopIfTrue="1" operator="equal">
      <formula>"Towel"</formula>
    </cfRule>
  </conditionalFormatting>
  <conditionalFormatting sqref="C19">
    <cfRule type="cellIs" dxfId="32283" priority="19564" stopIfTrue="1" operator="equal">
      <formula>"Napkin Hs"</formula>
    </cfRule>
  </conditionalFormatting>
  <conditionalFormatting sqref="C19">
    <cfRule type="cellIs" dxfId="32282" priority="19466" stopIfTrue="1" operator="equal">
      <formula>"Towel"</formula>
    </cfRule>
  </conditionalFormatting>
  <conditionalFormatting sqref="C19">
    <cfRule type="cellIs" dxfId="32281" priority="19477" stopIfTrue="1" operator="equal">
      <formula>"Towel"</formula>
    </cfRule>
    <cfRule type="cellIs" dxfId="32280" priority="19478" stopIfTrue="1" operator="equal">
      <formula>"Napkin Hs"</formula>
    </cfRule>
    <cfRule type="cellIs" dxfId="32279" priority="19483" stopIfTrue="1" operator="equal">
      <formula>"Towel"</formula>
    </cfRule>
    <cfRule type="cellIs" dxfId="32278" priority="19484" stopIfTrue="1" operator="equal">
      <formula>"Napkin Hs"</formula>
    </cfRule>
    <cfRule type="cellIs" dxfId="32277" priority="19489" stopIfTrue="1" operator="equal">
      <formula>"Towel"</formula>
    </cfRule>
    <cfRule type="cellIs" dxfId="32276" priority="19490" stopIfTrue="1" operator="equal">
      <formula>"Napkin Hs"</formula>
    </cfRule>
    <cfRule type="cellIs" dxfId="32275" priority="19491" stopIfTrue="1" operator="equal">
      <formula>"Towel"</formula>
    </cfRule>
    <cfRule type="cellIs" dxfId="32274" priority="19492" stopIfTrue="1" operator="equal">
      <formula>"Napkin Hs"</formula>
    </cfRule>
    <cfRule type="cellIs" dxfId="32273" priority="19497" stopIfTrue="1" operator="equal">
      <formula>"Towel"</formula>
    </cfRule>
    <cfRule type="cellIs" dxfId="32272" priority="19498" stopIfTrue="1" operator="equal">
      <formula>"Napkin Hs"</formula>
    </cfRule>
    <cfRule type="cellIs" dxfId="32271" priority="19507" stopIfTrue="1" operator="equal">
      <formula>"Towel"</formula>
    </cfRule>
    <cfRule type="cellIs" dxfId="32270" priority="19508" stopIfTrue="1" operator="equal">
      <formula>"Napkin Hs"</formula>
    </cfRule>
    <cfRule type="cellIs" dxfId="32269" priority="19513" stopIfTrue="1" operator="equal">
      <formula>"Towel"</formula>
    </cfRule>
    <cfRule type="cellIs" dxfId="32268" priority="19514" stopIfTrue="1" operator="equal">
      <formula>"Napkin Hs"</formula>
    </cfRule>
    <cfRule type="cellIs" dxfId="32267" priority="19515" stopIfTrue="1" operator="equal">
      <formula>"Towel"</formula>
    </cfRule>
    <cfRule type="cellIs" dxfId="32266" priority="19516" stopIfTrue="1" operator="equal">
      <formula>"Napkin Hs"</formula>
    </cfRule>
    <cfRule type="cellIs" dxfId="32265" priority="19521" stopIfTrue="1" operator="equal">
      <formula>"Towel"</formula>
    </cfRule>
    <cfRule type="cellIs" dxfId="32264" priority="19522" stopIfTrue="1" operator="equal">
      <formula>"Napkin Hs"</formula>
    </cfRule>
    <cfRule type="cellIs" dxfId="32263" priority="19531" stopIfTrue="1" operator="equal">
      <formula>"Towel"</formula>
    </cfRule>
    <cfRule type="cellIs" dxfId="32262" priority="19532" stopIfTrue="1" operator="equal">
      <formula>"Napkin Hs"</formula>
    </cfRule>
    <cfRule type="cellIs" dxfId="32261" priority="19533" stopIfTrue="1" operator="equal">
      <formula>"Towel"</formula>
    </cfRule>
    <cfRule type="cellIs" dxfId="32260" priority="19534" stopIfTrue="1" operator="equal">
      <formula>"Napkin Hs"</formula>
    </cfRule>
    <cfRule type="cellIs" dxfId="32259" priority="19539" stopIfTrue="1" operator="equal">
      <formula>"Towel"</formula>
    </cfRule>
    <cfRule type="cellIs" dxfId="32258" priority="19540" stopIfTrue="1" operator="equal">
      <formula>"Napkin Hs"</formula>
    </cfRule>
    <cfRule type="cellIs" dxfId="32257" priority="19549" stopIfTrue="1" operator="equal">
      <formula>"Towel"</formula>
    </cfRule>
    <cfRule type="cellIs" dxfId="32256" priority="19550" stopIfTrue="1" operator="equal">
      <formula>"Napkin Hs"</formula>
    </cfRule>
    <cfRule type="cellIs" dxfId="32255" priority="19551" stopIfTrue="1" operator="equal">
      <formula>"Towel"</formula>
    </cfRule>
    <cfRule type="cellIs" dxfId="32254" priority="19552" stopIfTrue="1" operator="equal">
      <formula>"Napkin Hs"</formula>
    </cfRule>
    <cfRule type="cellIs" dxfId="32253" priority="19558" stopIfTrue="1" operator="equal">
      <formula>"Napkin Hs"</formula>
    </cfRule>
  </conditionalFormatting>
  <conditionalFormatting sqref="C19">
    <cfRule type="cellIs" dxfId="32252" priority="19557" stopIfTrue="1" operator="equal">
      <formula>"Towel"</formula>
    </cfRule>
  </conditionalFormatting>
  <conditionalFormatting sqref="C19">
    <cfRule type="cellIs" dxfId="32251" priority="19468" stopIfTrue="1" operator="equal">
      <formula>"Napkin Hs"</formula>
    </cfRule>
    <cfRule type="cellIs" dxfId="32250" priority="19469" stopIfTrue="1" operator="equal">
      <formula>"Towel"</formula>
    </cfRule>
    <cfRule type="cellIs" dxfId="32249" priority="19470" stopIfTrue="1" operator="equal">
      <formula>"Napkin Hs"</formula>
    </cfRule>
    <cfRule type="cellIs" dxfId="32248" priority="19471" stopIfTrue="1" operator="equal">
      <formula>"Towel"</formula>
    </cfRule>
    <cfRule type="cellIs" dxfId="32247" priority="19472" stopIfTrue="1" operator="equal">
      <formula>"Napkin Hs"</formula>
    </cfRule>
    <cfRule type="cellIs" dxfId="32246" priority="19473" stopIfTrue="1" operator="equal">
      <formula>"Towel"</formula>
    </cfRule>
    <cfRule type="cellIs" dxfId="32245" priority="19474" stopIfTrue="1" operator="equal">
      <formula>"Napkin Hs"</formula>
    </cfRule>
    <cfRule type="cellIs" dxfId="32244" priority="19475" stopIfTrue="1" operator="equal">
      <formula>"Towel"</formula>
    </cfRule>
    <cfRule type="cellIs" dxfId="32243" priority="19476" stopIfTrue="1" operator="equal">
      <formula>"Napkin Hs"</formula>
    </cfRule>
    <cfRule type="cellIs" dxfId="32242" priority="19479" stopIfTrue="1" operator="equal">
      <formula>"Towel"</formula>
    </cfRule>
    <cfRule type="cellIs" dxfId="32241" priority="19480" stopIfTrue="1" operator="equal">
      <formula>"Napkin Hs"</formula>
    </cfRule>
    <cfRule type="cellIs" dxfId="32240" priority="19481" stopIfTrue="1" operator="equal">
      <formula>"Towel"</formula>
    </cfRule>
    <cfRule type="cellIs" dxfId="32239" priority="19482" stopIfTrue="1" operator="equal">
      <formula>"Napkin Hs"</formula>
    </cfRule>
    <cfRule type="cellIs" dxfId="32238" priority="19485" stopIfTrue="1" operator="equal">
      <formula>"Towel"</formula>
    </cfRule>
    <cfRule type="cellIs" dxfId="32237" priority="19486" stopIfTrue="1" operator="equal">
      <formula>"Napkin Hs"</formula>
    </cfRule>
    <cfRule type="cellIs" dxfId="32236" priority="19487" stopIfTrue="1" operator="equal">
      <formula>"Towel"</formula>
    </cfRule>
    <cfRule type="cellIs" dxfId="32235" priority="19488" stopIfTrue="1" operator="equal">
      <formula>"Napkin Hs"</formula>
    </cfRule>
    <cfRule type="cellIs" dxfId="32234" priority="19493" stopIfTrue="1" operator="equal">
      <formula>"Towel"</formula>
    </cfRule>
    <cfRule type="cellIs" dxfId="32233" priority="19494" stopIfTrue="1" operator="equal">
      <formula>"Napkin Hs"</formula>
    </cfRule>
    <cfRule type="cellIs" dxfId="32232" priority="19495" stopIfTrue="1" operator="equal">
      <formula>"Towel"</formula>
    </cfRule>
    <cfRule type="cellIs" dxfId="32231" priority="19496" stopIfTrue="1" operator="equal">
      <formula>"Napkin Hs"</formula>
    </cfRule>
    <cfRule type="cellIs" dxfId="32230" priority="19499" stopIfTrue="1" operator="equal">
      <formula>"Towel"</formula>
    </cfRule>
    <cfRule type="cellIs" dxfId="32229" priority="19500" stopIfTrue="1" operator="equal">
      <formula>"Napkin Hs"</formula>
    </cfRule>
    <cfRule type="cellIs" dxfId="32228" priority="19501" stopIfTrue="1" operator="equal">
      <formula>"Towel"</formula>
    </cfRule>
    <cfRule type="cellIs" dxfId="32227" priority="19502" stopIfTrue="1" operator="equal">
      <formula>"Napkin Hs"</formula>
    </cfRule>
    <cfRule type="cellIs" dxfId="32226" priority="19503" stopIfTrue="1" operator="equal">
      <formula>"Towel"</formula>
    </cfRule>
    <cfRule type="cellIs" dxfId="32225" priority="19504" stopIfTrue="1" operator="equal">
      <formula>"Napkin Hs"</formula>
    </cfRule>
    <cfRule type="cellIs" dxfId="32224" priority="19505" stopIfTrue="1" operator="equal">
      <formula>"Towel"</formula>
    </cfRule>
    <cfRule type="cellIs" dxfId="32223" priority="19506" stopIfTrue="1" operator="equal">
      <formula>"Napkin Hs"</formula>
    </cfRule>
    <cfRule type="cellIs" dxfId="32222" priority="19509" stopIfTrue="1" operator="equal">
      <formula>"Towel"</formula>
    </cfRule>
    <cfRule type="cellIs" dxfId="32221" priority="19510" stopIfTrue="1" operator="equal">
      <formula>"Napkin Hs"</formula>
    </cfRule>
    <cfRule type="cellIs" dxfId="32220" priority="19511" stopIfTrue="1" operator="equal">
      <formula>"Towel"</formula>
    </cfRule>
    <cfRule type="cellIs" dxfId="32219" priority="19512" stopIfTrue="1" operator="equal">
      <formula>"Napkin Hs"</formula>
    </cfRule>
    <cfRule type="cellIs" dxfId="32218" priority="19517" stopIfTrue="1" operator="equal">
      <formula>"Towel"</formula>
    </cfRule>
    <cfRule type="cellIs" dxfId="32217" priority="19518" stopIfTrue="1" operator="equal">
      <formula>"Napkin Hs"</formula>
    </cfRule>
    <cfRule type="cellIs" dxfId="32216" priority="19519" stopIfTrue="1" operator="equal">
      <formula>"Towel"</formula>
    </cfRule>
    <cfRule type="cellIs" dxfId="32215" priority="19520" stopIfTrue="1" operator="equal">
      <formula>"Napkin Hs"</formula>
    </cfRule>
    <cfRule type="cellIs" dxfId="32214" priority="19523" stopIfTrue="1" operator="equal">
      <formula>"Towel"</formula>
    </cfRule>
    <cfRule type="cellIs" dxfId="32213" priority="19524" stopIfTrue="1" operator="equal">
      <formula>"Napkin Hs"</formula>
    </cfRule>
    <cfRule type="cellIs" dxfId="32212" priority="19525" stopIfTrue="1" operator="equal">
      <formula>"Towel"</formula>
    </cfRule>
    <cfRule type="cellIs" dxfId="32211" priority="19526" stopIfTrue="1" operator="equal">
      <formula>"Napkin Hs"</formula>
    </cfRule>
    <cfRule type="cellIs" dxfId="32210" priority="19527" stopIfTrue="1" operator="equal">
      <formula>"Towel"</formula>
    </cfRule>
    <cfRule type="cellIs" dxfId="32209" priority="19528" stopIfTrue="1" operator="equal">
      <formula>"Napkin Hs"</formula>
    </cfRule>
    <cfRule type="cellIs" dxfId="32208" priority="19529" stopIfTrue="1" operator="equal">
      <formula>"Towel"</formula>
    </cfRule>
    <cfRule type="cellIs" dxfId="32207" priority="19530" stopIfTrue="1" operator="equal">
      <formula>"Napkin Hs"</formula>
    </cfRule>
    <cfRule type="cellIs" dxfId="32206" priority="19535" stopIfTrue="1" operator="equal">
      <formula>"Towel"</formula>
    </cfRule>
    <cfRule type="cellIs" dxfId="32205" priority="19536" stopIfTrue="1" operator="equal">
      <formula>"Napkin Hs"</formula>
    </cfRule>
    <cfRule type="cellIs" dxfId="32204" priority="19537" stopIfTrue="1" operator="equal">
      <formula>"Towel"</formula>
    </cfRule>
    <cfRule type="cellIs" dxfId="32203" priority="19538" stopIfTrue="1" operator="equal">
      <formula>"Napkin Hs"</formula>
    </cfRule>
    <cfRule type="cellIs" dxfId="32202" priority="19541" stopIfTrue="1" operator="equal">
      <formula>"Towel"</formula>
    </cfRule>
    <cfRule type="cellIs" dxfId="32201" priority="19542" stopIfTrue="1" operator="equal">
      <formula>"Napkin Hs"</formula>
    </cfRule>
    <cfRule type="cellIs" dxfId="32200" priority="19543" stopIfTrue="1" operator="equal">
      <formula>"Towel"</formula>
    </cfRule>
    <cfRule type="cellIs" dxfId="32199" priority="19544" stopIfTrue="1" operator="equal">
      <formula>"Napkin Hs"</formula>
    </cfRule>
    <cfRule type="cellIs" dxfId="32198" priority="19545" stopIfTrue="1" operator="equal">
      <formula>"Towel"</formula>
    </cfRule>
    <cfRule type="cellIs" dxfId="32197" priority="19546" stopIfTrue="1" operator="equal">
      <formula>"Napkin Hs"</formula>
    </cfRule>
    <cfRule type="cellIs" dxfId="32196" priority="19547" stopIfTrue="1" operator="equal">
      <formula>"Towel"</formula>
    </cfRule>
    <cfRule type="cellIs" dxfId="32195" priority="19548" stopIfTrue="1" operator="equal">
      <formula>"Napkin Hs"</formula>
    </cfRule>
    <cfRule type="cellIs" dxfId="32194" priority="19553" stopIfTrue="1" operator="equal">
      <formula>"Towel"</formula>
    </cfRule>
    <cfRule type="cellIs" dxfId="32193" priority="19554" stopIfTrue="1" operator="equal">
      <formula>"Napkin Hs"</formula>
    </cfRule>
    <cfRule type="cellIs" dxfId="32192" priority="19555" stopIfTrue="1" operator="equal">
      <formula>"Towel"</formula>
    </cfRule>
    <cfRule type="cellIs" dxfId="32191" priority="19556" stopIfTrue="1" operator="equal">
      <formula>"Napkin Hs"</formula>
    </cfRule>
    <cfRule type="cellIs" dxfId="32190" priority="19559" stopIfTrue="1" operator="equal">
      <formula>"Towel"</formula>
    </cfRule>
    <cfRule type="cellIs" dxfId="32189" priority="19560" stopIfTrue="1" operator="equal">
      <formula>"Napkin Hs"</formula>
    </cfRule>
    <cfRule type="cellIs" dxfId="32188" priority="19561" stopIfTrue="1" operator="equal">
      <formula>"Towel"</formula>
    </cfRule>
    <cfRule type="cellIs" dxfId="32187" priority="19562" stopIfTrue="1" operator="equal">
      <formula>"Napkin Hs"</formula>
    </cfRule>
  </conditionalFormatting>
  <conditionalFormatting sqref="C19">
    <cfRule type="cellIs" dxfId="32186" priority="19464" stopIfTrue="1" operator="equal">
      <formula>"Towel"</formula>
    </cfRule>
    <cfRule type="cellIs" dxfId="32185" priority="19465" stopIfTrue="1" operator="equal">
      <formula>"Napkin Hs"</formula>
    </cfRule>
  </conditionalFormatting>
  <conditionalFormatting sqref="C19">
    <cfRule type="cellIs" dxfId="32184" priority="19460" stopIfTrue="1" operator="equal">
      <formula>"Towel"</formula>
    </cfRule>
    <cfRule type="cellIs" dxfId="32183" priority="19461" stopIfTrue="1" operator="equal">
      <formula>"Napkin Hs"</formula>
    </cfRule>
  </conditionalFormatting>
  <conditionalFormatting sqref="C19">
    <cfRule type="cellIs" dxfId="32182" priority="19463" stopIfTrue="1" operator="equal">
      <formula>"Napkin Hs"</formula>
    </cfRule>
  </conditionalFormatting>
  <conditionalFormatting sqref="C19">
    <cfRule type="cellIs" dxfId="32181" priority="19462" stopIfTrue="1" operator="equal">
      <formula>"Towel"</formula>
    </cfRule>
  </conditionalFormatting>
  <conditionalFormatting sqref="C6:C7">
    <cfRule type="cellIs" dxfId="32180" priority="19459" stopIfTrue="1" operator="equal">
      <formula>"Napkin Hs"</formula>
    </cfRule>
  </conditionalFormatting>
  <conditionalFormatting sqref="C6:C7">
    <cfRule type="cellIs" dxfId="32179" priority="19458" stopIfTrue="1" operator="equal">
      <formula>"Napkin Hs"</formula>
    </cfRule>
  </conditionalFormatting>
  <conditionalFormatting sqref="B6:B7">
    <cfRule type="cellIs" dxfId="32178" priority="19457" stopIfTrue="1" operator="equal">
      <formula>"Napkin Hs"</formula>
    </cfRule>
  </conditionalFormatting>
  <conditionalFormatting sqref="C6:C7">
    <cfRule type="cellIs" dxfId="32177" priority="19456" stopIfTrue="1" operator="equal">
      <formula>"Napkin Hs"</formula>
    </cfRule>
  </conditionalFormatting>
  <conditionalFormatting sqref="C6:C7">
    <cfRule type="cellIs" dxfId="32176" priority="19455" stopIfTrue="1" operator="equal">
      <formula>"Napkin Hs"</formula>
    </cfRule>
  </conditionalFormatting>
  <conditionalFormatting sqref="C6:C7">
    <cfRule type="cellIs" dxfId="32175" priority="19454" stopIfTrue="1" operator="equal">
      <formula>"Napkin Hs"</formula>
    </cfRule>
  </conditionalFormatting>
  <conditionalFormatting sqref="C6:C7">
    <cfRule type="cellIs" dxfId="32174" priority="19453" stopIfTrue="1" operator="equal">
      <formula>"Napkin Hs"</formula>
    </cfRule>
  </conditionalFormatting>
  <conditionalFormatting sqref="B6:B7">
    <cfRule type="cellIs" dxfId="32173" priority="19452" stopIfTrue="1" operator="equal">
      <formula>"Napkin Hs"</formula>
    </cfRule>
  </conditionalFormatting>
  <conditionalFormatting sqref="B6:B7">
    <cfRule type="cellIs" dxfId="32172" priority="19451" stopIfTrue="1" operator="equal">
      <formula>"Napkin Hs"</formula>
    </cfRule>
  </conditionalFormatting>
  <conditionalFormatting sqref="B11:C11">
    <cfRule type="cellIs" dxfId="32171" priority="19401" stopIfTrue="1" operator="equal">
      <formula>"Towel"</formula>
    </cfRule>
  </conditionalFormatting>
  <conditionalFormatting sqref="B11:C11">
    <cfRule type="cellIs" dxfId="32170" priority="19402" stopIfTrue="1" operator="equal">
      <formula>"Napkin Hs"</formula>
    </cfRule>
    <cfRule type="cellIs" dxfId="32169" priority="19407" stopIfTrue="1" operator="equal">
      <formula>"Towel"</formula>
    </cfRule>
    <cfRule type="cellIs" dxfId="32168" priority="19408" stopIfTrue="1" operator="equal">
      <formula>"Napkin Hs"</formula>
    </cfRule>
    <cfRule type="cellIs" dxfId="32167" priority="19417" stopIfTrue="1" operator="equal">
      <formula>"Towel"</formula>
    </cfRule>
    <cfRule type="cellIs" dxfId="32166" priority="19418" stopIfTrue="1" operator="equal">
      <formula>"Napkin Hs"</formula>
    </cfRule>
    <cfRule type="cellIs" dxfId="32165" priority="19423" stopIfTrue="1" operator="equal">
      <formula>"Towel"</formula>
    </cfRule>
    <cfRule type="cellIs" dxfId="32164" priority="19424" stopIfTrue="1" operator="equal">
      <formula>"Napkin Hs"</formula>
    </cfRule>
  </conditionalFormatting>
  <conditionalFormatting sqref="C11">
    <cfRule type="cellIs" dxfId="32163" priority="19403" stopIfTrue="1" operator="equal">
      <formula>"Towel"</formula>
    </cfRule>
    <cfRule type="cellIs" dxfId="32162" priority="19404" stopIfTrue="1" operator="equal">
      <formula>"Napkin Hs"</formula>
    </cfRule>
    <cfRule type="cellIs" dxfId="32161" priority="19405" stopIfTrue="1" operator="equal">
      <formula>"Towel"</formula>
    </cfRule>
    <cfRule type="cellIs" dxfId="32160" priority="19406" stopIfTrue="1" operator="equal">
      <formula>"Napkin Hs"</formula>
    </cfRule>
    <cfRule type="cellIs" dxfId="32159" priority="19409" stopIfTrue="1" operator="equal">
      <formula>"Towel"</formula>
    </cfRule>
    <cfRule type="cellIs" dxfId="32158" priority="19410" stopIfTrue="1" operator="equal">
      <formula>"Napkin Hs"</formula>
    </cfRule>
    <cfRule type="cellIs" dxfId="32157" priority="19411" stopIfTrue="1" operator="equal">
      <formula>"Towel"</formula>
    </cfRule>
    <cfRule type="cellIs" dxfId="32156" priority="19412" stopIfTrue="1" operator="equal">
      <formula>"Napkin Hs"</formula>
    </cfRule>
    <cfRule type="cellIs" dxfId="32155" priority="19413" stopIfTrue="1" operator="equal">
      <formula>"Towel"</formula>
    </cfRule>
    <cfRule type="cellIs" dxfId="32154" priority="19414" stopIfTrue="1" operator="equal">
      <formula>"Napkin Hs"</formula>
    </cfRule>
    <cfRule type="cellIs" dxfId="32153" priority="19415" stopIfTrue="1" operator="equal">
      <formula>"Towel"</formula>
    </cfRule>
    <cfRule type="cellIs" dxfId="32152" priority="19416" stopIfTrue="1" operator="equal">
      <formula>"Napkin Hs"</formula>
    </cfRule>
    <cfRule type="cellIs" dxfId="32151" priority="19419" stopIfTrue="1" operator="equal">
      <formula>"Towel"</formula>
    </cfRule>
    <cfRule type="cellIs" dxfId="32150" priority="19420" stopIfTrue="1" operator="equal">
      <formula>"Napkin Hs"</formula>
    </cfRule>
    <cfRule type="cellIs" dxfId="32149" priority="19422" stopIfTrue="1" operator="equal">
      <formula>"Napkin Hs"</formula>
    </cfRule>
  </conditionalFormatting>
  <conditionalFormatting sqref="C11">
    <cfRule type="cellIs" dxfId="32148" priority="19421" stopIfTrue="1" operator="equal">
      <formula>"Towel"</formula>
    </cfRule>
  </conditionalFormatting>
  <conditionalFormatting sqref="B11:C11">
    <cfRule type="cellIs" dxfId="32147" priority="19399" stopIfTrue="1" operator="equal">
      <formula>"Towel"</formula>
    </cfRule>
    <cfRule type="cellIs" dxfId="32146" priority="19400" stopIfTrue="1" operator="equal">
      <formula>"Napkin Hs"</formula>
    </cfRule>
  </conditionalFormatting>
  <conditionalFormatting sqref="C11">
    <cfRule type="cellIs" dxfId="32145" priority="19398" stopIfTrue="1" operator="equal">
      <formula>"Napkin Hs"</formula>
    </cfRule>
  </conditionalFormatting>
  <conditionalFormatting sqref="C11">
    <cfRule type="cellIs" dxfId="32144" priority="19397" stopIfTrue="1" operator="equal">
      <formula>"Towel"</formula>
    </cfRule>
  </conditionalFormatting>
  <conditionalFormatting sqref="C11">
    <cfRule type="cellIs" dxfId="32143" priority="19395" stopIfTrue="1" operator="equal">
      <formula>"Towel"</formula>
    </cfRule>
  </conditionalFormatting>
  <conditionalFormatting sqref="C11">
    <cfRule type="cellIs" dxfId="32142" priority="19396" stopIfTrue="1" operator="equal">
      <formula>"Napkin Hs"</formula>
    </cfRule>
  </conditionalFormatting>
  <conditionalFormatting sqref="B11">
    <cfRule type="cellIs" dxfId="32141" priority="19299" stopIfTrue="1" operator="equal">
      <formula>"Napkin Hs"</formula>
    </cfRule>
  </conditionalFormatting>
  <conditionalFormatting sqref="B11:C11">
    <cfRule type="cellIs" dxfId="32140" priority="19298" stopIfTrue="1" operator="equal">
      <formula>"Towel"</formula>
    </cfRule>
  </conditionalFormatting>
  <conditionalFormatting sqref="B11:C11">
    <cfRule type="cellIs" dxfId="32139" priority="19309" stopIfTrue="1" operator="equal">
      <formula>"Towel"</formula>
    </cfRule>
    <cfRule type="cellIs" dxfId="32138" priority="19310" stopIfTrue="1" operator="equal">
      <formula>"Napkin Hs"</formula>
    </cfRule>
    <cfRule type="cellIs" dxfId="32137" priority="19315" stopIfTrue="1" operator="equal">
      <formula>"Towel"</formula>
    </cfRule>
    <cfRule type="cellIs" dxfId="32136" priority="19316" stopIfTrue="1" operator="equal">
      <formula>"Napkin Hs"</formula>
    </cfRule>
    <cfRule type="cellIs" dxfId="32135" priority="19321" stopIfTrue="1" operator="equal">
      <formula>"Towel"</formula>
    </cfRule>
    <cfRule type="cellIs" dxfId="32134" priority="19322" stopIfTrue="1" operator="equal">
      <formula>"Napkin Hs"</formula>
    </cfRule>
    <cfRule type="cellIs" dxfId="32133" priority="19323" stopIfTrue="1" operator="equal">
      <formula>"Towel"</formula>
    </cfRule>
    <cfRule type="cellIs" dxfId="32132" priority="19324" stopIfTrue="1" operator="equal">
      <formula>"Napkin Hs"</formula>
    </cfRule>
    <cfRule type="cellIs" dxfId="32131" priority="19329" stopIfTrue="1" operator="equal">
      <formula>"Towel"</formula>
    </cfRule>
    <cfRule type="cellIs" dxfId="32130" priority="19330" stopIfTrue="1" operator="equal">
      <formula>"Napkin Hs"</formula>
    </cfRule>
    <cfRule type="cellIs" dxfId="32129" priority="19339" stopIfTrue="1" operator="equal">
      <formula>"Towel"</formula>
    </cfRule>
    <cfRule type="cellIs" dxfId="32128" priority="19340" stopIfTrue="1" operator="equal">
      <formula>"Napkin Hs"</formula>
    </cfRule>
    <cfRule type="cellIs" dxfId="32127" priority="19345" stopIfTrue="1" operator="equal">
      <formula>"Towel"</formula>
    </cfRule>
    <cfRule type="cellIs" dxfId="32126" priority="19346" stopIfTrue="1" operator="equal">
      <formula>"Napkin Hs"</formula>
    </cfRule>
    <cfRule type="cellIs" dxfId="32125" priority="19347" stopIfTrue="1" operator="equal">
      <formula>"Towel"</formula>
    </cfRule>
    <cfRule type="cellIs" dxfId="32124" priority="19348" stopIfTrue="1" operator="equal">
      <formula>"Napkin Hs"</formula>
    </cfRule>
    <cfRule type="cellIs" dxfId="32123" priority="19353" stopIfTrue="1" operator="equal">
      <formula>"Towel"</formula>
    </cfRule>
    <cfRule type="cellIs" dxfId="32122" priority="19354" stopIfTrue="1" operator="equal">
      <formula>"Napkin Hs"</formula>
    </cfRule>
    <cfRule type="cellIs" dxfId="32121" priority="19363" stopIfTrue="1" operator="equal">
      <formula>"Towel"</formula>
    </cfRule>
    <cfRule type="cellIs" dxfId="32120" priority="19364" stopIfTrue="1" operator="equal">
      <formula>"Napkin Hs"</formula>
    </cfRule>
    <cfRule type="cellIs" dxfId="32119" priority="19365" stopIfTrue="1" operator="equal">
      <formula>"Towel"</formula>
    </cfRule>
    <cfRule type="cellIs" dxfId="32118" priority="19366" stopIfTrue="1" operator="equal">
      <formula>"Napkin Hs"</formula>
    </cfRule>
    <cfRule type="cellIs" dxfId="32117" priority="19371" stopIfTrue="1" operator="equal">
      <formula>"Towel"</formula>
    </cfRule>
    <cfRule type="cellIs" dxfId="32116" priority="19372" stopIfTrue="1" operator="equal">
      <formula>"Napkin Hs"</formula>
    </cfRule>
    <cfRule type="cellIs" dxfId="32115" priority="19381" stopIfTrue="1" operator="equal">
      <formula>"Towel"</formula>
    </cfRule>
    <cfRule type="cellIs" dxfId="32114" priority="19382" stopIfTrue="1" operator="equal">
      <formula>"Napkin Hs"</formula>
    </cfRule>
    <cfRule type="cellIs" dxfId="32113" priority="19383" stopIfTrue="1" operator="equal">
      <formula>"Towel"</formula>
    </cfRule>
    <cfRule type="cellIs" dxfId="32112" priority="19384" stopIfTrue="1" operator="equal">
      <formula>"Napkin Hs"</formula>
    </cfRule>
    <cfRule type="cellIs" dxfId="32111" priority="19390" stopIfTrue="1" operator="equal">
      <formula>"Napkin Hs"</formula>
    </cfRule>
  </conditionalFormatting>
  <conditionalFormatting sqref="B11:C11">
    <cfRule type="cellIs" dxfId="32110" priority="19389" stopIfTrue="1" operator="equal">
      <formula>"Towel"</formula>
    </cfRule>
  </conditionalFormatting>
  <conditionalFormatting sqref="C11">
    <cfRule type="cellIs" dxfId="32109" priority="19300" stopIfTrue="1" operator="equal">
      <formula>"Napkin Hs"</formula>
    </cfRule>
    <cfRule type="cellIs" dxfId="32108" priority="19301" stopIfTrue="1" operator="equal">
      <formula>"Towel"</formula>
    </cfRule>
    <cfRule type="cellIs" dxfId="32107" priority="19302" stopIfTrue="1" operator="equal">
      <formula>"Napkin Hs"</formula>
    </cfRule>
    <cfRule type="cellIs" dxfId="32106" priority="19303" stopIfTrue="1" operator="equal">
      <formula>"Towel"</formula>
    </cfRule>
    <cfRule type="cellIs" dxfId="32105" priority="19304" stopIfTrue="1" operator="equal">
      <formula>"Napkin Hs"</formula>
    </cfRule>
    <cfRule type="cellIs" dxfId="32104" priority="19305" stopIfTrue="1" operator="equal">
      <formula>"Towel"</formula>
    </cfRule>
    <cfRule type="cellIs" dxfId="32103" priority="19306" stopIfTrue="1" operator="equal">
      <formula>"Napkin Hs"</formula>
    </cfRule>
    <cfRule type="cellIs" dxfId="32102" priority="19307" stopIfTrue="1" operator="equal">
      <formula>"Towel"</formula>
    </cfRule>
    <cfRule type="cellIs" dxfId="32101" priority="19308" stopIfTrue="1" operator="equal">
      <formula>"Napkin Hs"</formula>
    </cfRule>
    <cfRule type="cellIs" dxfId="32100" priority="19311" stopIfTrue="1" operator="equal">
      <formula>"Towel"</formula>
    </cfRule>
    <cfRule type="cellIs" dxfId="32099" priority="19312" stopIfTrue="1" operator="equal">
      <formula>"Napkin Hs"</formula>
    </cfRule>
    <cfRule type="cellIs" dxfId="32098" priority="19313" stopIfTrue="1" operator="equal">
      <formula>"Towel"</formula>
    </cfRule>
    <cfRule type="cellIs" dxfId="32097" priority="19314" stopIfTrue="1" operator="equal">
      <formula>"Napkin Hs"</formula>
    </cfRule>
    <cfRule type="cellIs" dxfId="32096" priority="19317" stopIfTrue="1" operator="equal">
      <formula>"Towel"</formula>
    </cfRule>
    <cfRule type="cellIs" dxfId="32095" priority="19318" stopIfTrue="1" operator="equal">
      <formula>"Napkin Hs"</formula>
    </cfRule>
    <cfRule type="cellIs" dxfId="32094" priority="19319" stopIfTrue="1" operator="equal">
      <formula>"Towel"</formula>
    </cfRule>
    <cfRule type="cellIs" dxfId="32093" priority="19320" stopIfTrue="1" operator="equal">
      <formula>"Napkin Hs"</formula>
    </cfRule>
    <cfRule type="cellIs" dxfId="32092" priority="19325" stopIfTrue="1" operator="equal">
      <formula>"Towel"</formula>
    </cfRule>
    <cfRule type="cellIs" dxfId="32091" priority="19326" stopIfTrue="1" operator="equal">
      <formula>"Napkin Hs"</formula>
    </cfRule>
    <cfRule type="cellIs" dxfId="32090" priority="19327" stopIfTrue="1" operator="equal">
      <formula>"Towel"</formula>
    </cfRule>
    <cfRule type="cellIs" dxfId="32089" priority="19328" stopIfTrue="1" operator="equal">
      <formula>"Napkin Hs"</formula>
    </cfRule>
    <cfRule type="cellIs" dxfId="32088" priority="19331" stopIfTrue="1" operator="equal">
      <formula>"Towel"</formula>
    </cfRule>
    <cfRule type="cellIs" dxfId="32087" priority="19332" stopIfTrue="1" operator="equal">
      <formula>"Napkin Hs"</formula>
    </cfRule>
    <cfRule type="cellIs" dxfId="32086" priority="19333" stopIfTrue="1" operator="equal">
      <formula>"Towel"</formula>
    </cfRule>
    <cfRule type="cellIs" dxfId="32085" priority="19334" stopIfTrue="1" operator="equal">
      <formula>"Napkin Hs"</formula>
    </cfRule>
    <cfRule type="cellIs" dxfId="32084" priority="19335" stopIfTrue="1" operator="equal">
      <formula>"Towel"</formula>
    </cfRule>
    <cfRule type="cellIs" dxfId="32083" priority="19336" stopIfTrue="1" operator="equal">
      <formula>"Napkin Hs"</formula>
    </cfRule>
    <cfRule type="cellIs" dxfId="32082" priority="19337" stopIfTrue="1" operator="equal">
      <formula>"Towel"</formula>
    </cfRule>
    <cfRule type="cellIs" dxfId="32081" priority="19338" stopIfTrue="1" operator="equal">
      <formula>"Napkin Hs"</formula>
    </cfRule>
    <cfRule type="cellIs" dxfId="32080" priority="19341" stopIfTrue="1" operator="equal">
      <formula>"Towel"</formula>
    </cfRule>
    <cfRule type="cellIs" dxfId="32079" priority="19342" stopIfTrue="1" operator="equal">
      <formula>"Napkin Hs"</formula>
    </cfRule>
    <cfRule type="cellIs" dxfId="32078" priority="19343" stopIfTrue="1" operator="equal">
      <formula>"Towel"</formula>
    </cfRule>
    <cfRule type="cellIs" dxfId="32077" priority="19344" stopIfTrue="1" operator="equal">
      <formula>"Napkin Hs"</formula>
    </cfRule>
    <cfRule type="cellIs" dxfId="32076" priority="19349" stopIfTrue="1" operator="equal">
      <formula>"Towel"</formula>
    </cfRule>
    <cfRule type="cellIs" dxfId="32075" priority="19350" stopIfTrue="1" operator="equal">
      <formula>"Napkin Hs"</formula>
    </cfRule>
    <cfRule type="cellIs" dxfId="32074" priority="19351" stopIfTrue="1" operator="equal">
      <formula>"Towel"</formula>
    </cfRule>
    <cfRule type="cellIs" dxfId="32073" priority="19352" stopIfTrue="1" operator="equal">
      <formula>"Napkin Hs"</formula>
    </cfRule>
    <cfRule type="cellIs" dxfId="32072" priority="19355" stopIfTrue="1" operator="equal">
      <formula>"Towel"</formula>
    </cfRule>
    <cfRule type="cellIs" dxfId="32071" priority="19356" stopIfTrue="1" operator="equal">
      <formula>"Napkin Hs"</formula>
    </cfRule>
    <cfRule type="cellIs" dxfId="32070" priority="19357" stopIfTrue="1" operator="equal">
      <formula>"Towel"</formula>
    </cfRule>
    <cfRule type="cellIs" dxfId="32069" priority="19358" stopIfTrue="1" operator="equal">
      <formula>"Napkin Hs"</formula>
    </cfRule>
    <cfRule type="cellIs" dxfId="32068" priority="19359" stopIfTrue="1" operator="equal">
      <formula>"Towel"</formula>
    </cfRule>
    <cfRule type="cellIs" dxfId="32067" priority="19360" stopIfTrue="1" operator="equal">
      <formula>"Napkin Hs"</formula>
    </cfRule>
    <cfRule type="cellIs" dxfId="32066" priority="19361" stopIfTrue="1" operator="equal">
      <formula>"Towel"</formula>
    </cfRule>
    <cfRule type="cellIs" dxfId="32065" priority="19362" stopIfTrue="1" operator="equal">
      <formula>"Napkin Hs"</formula>
    </cfRule>
    <cfRule type="cellIs" dxfId="32064" priority="19367" stopIfTrue="1" operator="equal">
      <formula>"Towel"</formula>
    </cfRule>
    <cfRule type="cellIs" dxfId="32063" priority="19368" stopIfTrue="1" operator="equal">
      <formula>"Napkin Hs"</formula>
    </cfRule>
    <cfRule type="cellIs" dxfId="32062" priority="19369" stopIfTrue="1" operator="equal">
      <formula>"Towel"</formula>
    </cfRule>
    <cfRule type="cellIs" dxfId="32061" priority="19370" stopIfTrue="1" operator="equal">
      <formula>"Napkin Hs"</formula>
    </cfRule>
    <cfRule type="cellIs" dxfId="32060" priority="19373" stopIfTrue="1" operator="equal">
      <formula>"Towel"</formula>
    </cfRule>
    <cfRule type="cellIs" dxfId="32059" priority="19374" stopIfTrue="1" operator="equal">
      <formula>"Napkin Hs"</formula>
    </cfRule>
    <cfRule type="cellIs" dxfId="32058" priority="19375" stopIfTrue="1" operator="equal">
      <formula>"Towel"</formula>
    </cfRule>
    <cfRule type="cellIs" dxfId="32057" priority="19376" stopIfTrue="1" operator="equal">
      <formula>"Napkin Hs"</formula>
    </cfRule>
    <cfRule type="cellIs" dxfId="32056" priority="19377" stopIfTrue="1" operator="equal">
      <formula>"Towel"</formula>
    </cfRule>
    <cfRule type="cellIs" dxfId="32055" priority="19378" stopIfTrue="1" operator="equal">
      <formula>"Napkin Hs"</formula>
    </cfRule>
    <cfRule type="cellIs" dxfId="32054" priority="19379" stopIfTrue="1" operator="equal">
      <formula>"Towel"</formula>
    </cfRule>
    <cfRule type="cellIs" dxfId="32053" priority="19380" stopIfTrue="1" operator="equal">
      <formula>"Napkin Hs"</formula>
    </cfRule>
    <cfRule type="cellIs" dxfId="32052" priority="19385" stopIfTrue="1" operator="equal">
      <formula>"Towel"</formula>
    </cfRule>
    <cfRule type="cellIs" dxfId="32051" priority="19386" stopIfTrue="1" operator="equal">
      <formula>"Napkin Hs"</formula>
    </cfRule>
    <cfRule type="cellIs" dxfId="32050" priority="19387" stopIfTrue="1" operator="equal">
      <formula>"Towel"</formula>
    </cfRule>
    <cfRule type="cellIs" dxfId="32049" priority="19388" stopIfTrue="1" operator="equal">
      <formula>"Napkin Hs"</formula>
    </cfRule>
    <cfRule type="cellIs" dxfId="32048" priority="19391" stopIfTrue="1" operator="equal">
      <formula>"Towel"</formula>
    </cfRule>
    <cfRule type="cellIs" dxfId="32047" priority="19392" stopIfTrue="1" operator="equal">
      <formula>"Napkin Hs"</formula>
    </cfRule>
    <cfRule type="cellIs" dxfId="32046" priority="19393" stopIfTrue="1" operator="equal">
      <formula>"Towel"</formula>
    </cfRule>
    <cfRule type="cellIs" dxfId="32045" priority="19394" stopIfTrue="1" operator="equal">
      <formula>"Napkin Hs"</formula>
    </cfRule>
  </conditionalFormatting>
  <conditionalFormatting sqref="C9:C11">
    <cfRule type="cellIs" dxfId="32044" priority="19297" stopIfTrue="1" operator="equal">
      <formula>"Napkin Hs"</formula>
    </cfRule>
  </conditionalFormatting>
  <conditionalFormatting sqref="C9:C11">
    <cfRule type="cellIs" dxfId="32043" priority="19296" stopIfTrue="1" operator="equal">
      <formula>"Napkin Hs"</formula>
    </cfRule>
  </conditionalFormatting>
  <conditionalFormatting sqref="B9:B11">
    <cfRule type="cellIs" dxfId="32042" priority="19295" stopIfTrue="1" operator="equal">
      <formula>"Napkin Hs"</formula>
    </cfRule>
  </conditionalFormatting>
  <conditionalFormatting sqref="C9:C11">
    <cfRule type="cellIs" dxfId="32041" priority="19294" stopIfTrue="1" operator="equal">
      <formula>"Napkin Hs"</formula>
    </cfRule>
  </conditionalFormatting>
  <conditionalFormatting sqref="C9:C11">
    <cfRule type="cellIs" dxfId="32040" priority="19293" stopIfTrue="1" operator="equal">
      <formula>"Napkin Hs"</formula>
    </cfRule>
  </conditionalFormatting>
  <conditionalFormatting sqref="C9:C11">
    <cfRule type="cellIs" dxfId="32039" priority="19292" stopIfTrue="1" operator="equal">
      <formula>"Napkin Hs"</formula>
    </cfRule>
  </conditionalFormatting>
  <conditionalFormatting sqref="C9:C11">
    <cfRule type="cellIs" dxfId="32038" priority="19291" stopIfTrue="1" operator="equal">
      <formula>"Napkin Hs"</formula>
    </cfRule>
  </conditionalFormatting>
  <conditionalFormatting sqref="B9:B11">
    <cfRule type="cellIs" dxfId="32037" priority="19290" stopIfTrue="1" operator="equal">
      <formula>"Napkin Hs"</formula>
    </cfRule>
  </conditionalFormatting>
  <conditionalFormatting sqref="B9:B11">
    <cfRule type="cellIs" dxfId="32036" priority="19289" stopIfTrue="1" operator="equal">
      <formula>"Napkin Hs"</formula>
    </cfRule>
  </conditionalFormatting>
  <conditionalFormatting sqref="B10:C10">
    <cfRule type="cellIs" dxfId="32035" priority="19287" stopIfTrue="1" operator="equal">
      <formula>"Towel"</formula>
    </cfRule>
    <cfRule type="cellIs" dxfId="32034" priority="19288" stopIfTrue="1" operator="equal">
      <formula>"Napkin Hs"</formula>
    </cfRule>
  </conditionalFormatting>
  <conditionalFormatting sqref="C10">
    <cfRule type="cellIs" dxfId="32033" priority="19283" stopIfTrue="1" operator="equal">
      <formula>"Towel"</formula>
    </cfRule>
    <cfRule type="cellIs" dxfId="32032" priority="19284" stopIfTrue="1" operator="equal">
      <formula>"Napkin Hs"</formula>
    </cfRule>
  </conditionalFormatting>
  <conditionalFormatting sqref="C10">
    <cfRule type="cellIs" dxfId="32031" priority="19286" stopIfTrue="1" operator="equal">
      <formula>"Napkin Hs"</formula>
    </cfRule>
  </conditionalFormatting>
  <conditionalFormatting sqref="C10">
    <cfRule type="cellIs" dxfId="32030" priority="19285" stopIfTrue="1" operator="equal">
      <formula>"Towel"</formula>
    </cfRule>
  </conditionalFormatting>
  <conditionalFormatting sqref="C11">
    <cfRule type="cellIs" dxfId="32029" priority="19267" stopIfTrue="1" operator="equal">
      <formula>"Towel"</formula>
    </cfRule>
    <cfRule type="cellIs" dxfId="32028" priority="19268" stopIfTrue="1" operator="equal">
      <formula>"Napkin Hs"</formula>
    </cfRule>
  </conditionalFormatting>
  <conditionalFormatting sqref="C11">
    <cfRule type="cellIs" dxfId="32027" priority="19269" stopIfTrue="1" operator="equal">
      <formula>"Towel"</formula>
    </cfRule>
    <cfRule type="cellIs" dxfId="32026" priority="19270" stopIfTrue="1" operator="equal">
      <formula>"Napkin Hs"</formula>
    </cfRule>
  </conditionalFormatting>
  <conditionalFormatting sqref="C11">
    <cfRule type="cellIs" dxfId="32025" priority="19263" stopIfTrue="1" operator="equal">
      <formula>"Towel"</formula>
    </cfRule>
    <cfRule type="cellIs" dxfId="32024" priority="19264" stopIfTrue="1" operator="equal">
      <formula>"Napkin Hs"</formula>
    </cfRule>
  </conditionalFormatting>
  <conditionalFormatting sqref="C11">
    <cfRule type="cellIs" dxfId="32023" priority="19265" stopIfTrue="1" operator="equal">
      <formula>"Towel"</formula>
    </cfRule>
    <cfRule type="cellIs" dxfId="32022" priority="19266" stopIfTrue="1" operator="equal">
      <formula>"Napkin Hs"</formula>
    </cfRule>
  </conditionalFormatting>
  <conditionalFormatting sqref="C12:C14">
    <cfRule type="cellIs" dxfId="32021" priority="19130" stopIfTrue="1" operator="equal">
      <formula>"Towel"</formula>
    </cfRule>
    <cfRule type="cellIs" dxfId="32020" priority="19131" stopIfTrue="1" operator="equal">
      <formula>"Napkin Hs"</formula>
    </cfRule>
  </conditionalFormatting>
  <conditionalFormatting sqref="C12:C14">
    <cfRule type="cellIs" dxfId="32019" priority="19134" stopIfTrue="1" operator="equal">
      <formula>"Towel"</formula>
    </cfRule>
    <cfRule type="cellIs" dxfId="32018" priority="19135" stopIfTrue="1" operator="equal">
      <formula>"Napkin Hs"</formula>
    </cfRule>
  </conditionalFormatting>
  <conditionalFormatting sqref="C12:C14">
    <cfRule type="cellIs" dxfId="32017" priority="19132" stopIfTrue="1" operator="equal">
      <formula>"Towel"</formula>
    </cfRule>
    <cfRule type="cellIs" dxfId="32016" priority="19133" stopIfTrue="1" operator="equal">
      <formula>"Napkin Hs"</formula>
    </cfRule>
  </conditionalFormatting>
  <conditionalFormatting sqref="C12:C14">
    <cfRule type="cellIs" dxfId="32015" priority="19124" stopIfTrue="1" operator="equal">
      <formula>"Towel"</formula>
    </cfRule>
    <cfRule type="cellIs" dxfId="32014" priority="19125" stopIfTrue="1" operator="equal">
      <formula>"Napkin Hs"</formula>
    </cfRule>
  </conditionalFormatting>
  <conditionalFormatting sqref="C12:C14">
    <cfRule type="cellIs" dxfId="32013" priority="19126" stopIfTrue="1" operator="equal">
      <formula>"Towel"</formula>
    </cfRule>
    <cfRule type="cellIs" dxfId="32012" priority="19127" stopIfTrue="1" operator="equal">
      <formula>"Napkin Hs"</formula>
    </cfRule>
  </conditionalFormatting>
  <conditionalFormatting sqref="C12:C14">
    <cfRule type="cellIs" dxfId="32011" priority="19128" stopIfTrue="1" operator="equal">
      <formula>"Towel"</formula>
    </cfRule>
    <cfRule type="cellIs" dxfId="32010" priority="19129" stopIfTrue="1" operator="equal">
      <formula>"Napkin Hs"</formula>
    </cfRule>
  </conditionalFormatting>
  <conditionalFormatting sqref="B12:C14">
    <cfRule type="cellIs" dxfId="32009" priority="19122" stopIfTrue="1" operator="equal">
      <formula>"Towel"</formula>
    </cfRule>
    <cfRule type="cellIs" dxfId="32008" priority="19123" stopIfTrue="1" operator="equal">
      <formula>"Napkin Hs"</formula>
    </cfRule>
  </conditionalFormatting>
  <conditionalFormatting sqref="B12:C14">
    <cfRule type="cellIs" dxfId="32007" priority="19120" stopIfTrue="1" operator="equal">
      <formula>"Towel"</formula>
    </cfRule>
    <cfRule type="cellIs" dxfId="32006" priority="19121" stopIfTrue="1" operator="equal">
      <formula>"Napkin Hs"</formula>
    </cfRule>
  </conditionalFormatting>
  <conditionalFormatting sqref="B12:C14">
    <cfRule type="cellIs" dxfId="32005" priority="19096" stopIfTrue="1" operator="equal">
      <formula>"Towel"</formula>
    </cfRule>
  </conditionalFormatting>
  <conditionalFormatting sqref="B12:C14">
    <cfRule type="cellIs" dxfId="32004" priority="19097" stopIfTrue="1" operator="equal">
      <formula>"Napkin Hs"</formula>
    </cfRule>
    <cfRule type="cellIs" dxfId="32003" priority="19102" stopIfTrue="1" operator="equal">
      <formula>"Towel"</formula>
    </cfRule>
    <cfRule type="cellIs" dxfId="32002" priority="19103" stopIfTrue="1" operator="equal">
      <formula>"Napkin Hs"</formula>
    </cfRule>
    <cfRule type="cellIs" dxfId="32001" priority="19112" stopIfTrue="1" operator="equal">
      <formula>"Towel"</formula>
    </cfRule>
    <cfRule type="cellIs" dxfId="32000" priority="19113" stopIfTrue="1" operator="equal">
      <formula>"Napkin Hs"</formula>
    </cfRule>
    <cfRule type="cellIs" dxfId="31999" priority="19118" stopIfTrue="1" operator="equal">
      <formula>"Towel"</formula>
    </cfRule>
    <cfRule type="cellIs" dxfId="31998" priority="19119" stopIfTrue="1" operator="equal">
      <formula>"Napkin Hs"</formula>
    </cfRule>
  </conditionalFormatting>
  <conditionalFormatting sqref="C12:C14">
    <cfRule type="cellIs" dxfId="31997" priority="19098" stopIfTrue="1" operator="equal">
      <formula>"Towel"</formula>
    </cfRule>
    <cfRule type="cellIs" dxfId="31996" priority="19099" stopIfTrue="1" operator="equal">
      <formula>"Napkin Hs"</formula>
    </cfRule>
    <cfRule type="cellIs" dxfId="31995" priority="19100" stopIfTrue="1" operator="equal">
      <formula>"Towel"</formula>
    </cfRule>
    <cfRule type="cellIs" dxfId="31994" priority="19101" stopIfTrue="1" operator="equal">
      <formula>"Napkin Hs"</formula>
    </cfRule>
    <cfRule type="cellIs" dxfId="31993" priority="19104" stopIfTrue="1" operator="equal">
      <formula>"Towel"</formula>
    </cfRule>
    <cfRule type="cellIs" dxfId="31992" priority="19105" stopIfTrue="1" operator="equal">
      <formula>"Napkin Hs"</formula>
    </cfRule>
    <cfRule type="cellIs" dxfId="31991" priority="19106" stopIfTrue="1" operator="equal">
      <formula>"Towel"</formula>
    </cfRule>
    <cfRule type="cellIs" dxfId="31990" priority="19107" stopIfTrue="1" operator="equal">
      <formula>"Napkin Hs"</formula>
    </cfRule>
    <cfRule type="cellIs" dxfId="31989" priority="19108" stopIfTrue="1" operator="equal">
      <formula>"Towel"</formula>
    </cfRule>
    <cfRule type="cellIs" dxfId="31988" priority="19109" stopIfTrue="1" operator="equal">
      <formula>"Napkin Hs"</formula>
    </cfRule>
    <cfRule type="cellIs" dxfId="31987" priority="19110" stopIfTrue="1" operator="equal">
      <formula>"Towel"</formula>
    </cfRule>
    <cfRule type="cellIs" dxfId="31986" priority="19111" stopIfTrue="1" operator="equal">
      <formula>"Napkin Hs"</formula>
    </cfRule>
    <cfRule type="cellIs" dxfId="31985" priority="19114" stopIfTrue="1" operator="equal">
      <formula>"Towel"</formula>
    </cfRule>
    <cfRule type="cellIs" dxfId="31984" priority="19115" stopIfTrue="1" operator="equal">
      <formula>"Napkin Hs"</formula>
    </cfRule>
    <cfRule type="cellIs" dxfId="31983" priority="19117" stopIfTrue="1" operator="equal">
      <formula>"Napkin Hs"</formula>
    </cfRule>
  </conditionalFormatting>
  <conditionalFormatting sqref="C12:C14">
    <cfRule type="cellIs" dxfId="31982" priority="19116" stopIfTrue="1" operator="equal">
      <formula>"Towel"</formula>
    </cfRule>
  </conditionalFormatting>
  <conditionalFormatting sqref="B12:C14">
    <cfRule type="cellIs" dxfId="31981" priority="19094" stopIfTrue="1" operator="equal">
      <formula>"Towel"</formula>
    </cfRule>
    <cfRule type="cellIs" dxfId="31980" priority="19095" stopIfTrue="1" operator="equal">
      <formula>"Napkin Hs"</formula>
    </cfRule>
  </conditionalFormatting>
  <conditionalFormatting sqref="C12:C14">
    <cfRule type="cellIs" dxfId="31979" priority="19093" stopIfTrue="1" operator="equal">
      <formula>"Napkin Hs"</formula>
    </cfRule>
  </conditionalFormatting>
  <conditionalFormatting sqref="C12:C14">
    <cfRule type="cellIs" dxfId="31978" priority="19092" stopIfTrue="1" operator="equal">
      <formula>"Towel"</formula>
    </cfRule>
  </conditionalFormatting>
  <conditionalFormatting sqref="C12:C14">
    <cfRule type="cellIs" dxfId="31977" priority="19090" stopIfTrue="1" operator="equal">
      <formula>"Towel"</formula>
    </cfRule>
  </conditionalFormatting>
  <conditionalFormatting sqref="C12:C14">
    <cfRule type="cellIs" dxfId="31976" priority="19091" stopIfTrue="1" operator="equal">
      <formula>"Napkin Hs"</formula>
    </cfRule>
  </conditionalFormatting>
  <conditionalFormatting sqref="B12:B14">
    <cfRule type="cellIs" dxfId="31975" priority="18994" stopIfTrue="1" operator="equal">
      <formula>"Napkin Hs"</formula>
    </cfRule>
  </conditionalFormatting>
  <conditionalFormatting sqref="B12:C14">
    <cfRule type="cellIs" dxfId="31974" priority="18993" stopIfTrue="1" operator="equal">
      <formula>"Towel"</formula>
    </cfRule>
  </conditionalFormatting>
  <conditionalFormatting sqref="B12:C14">
    <cfRule type="cellIs" dxfId="31973" priority="19004" stopIfTrue="1" operator="equal">
      <formula>"Towel"</formula>
    </cfRule>
    <cfRule type="cellIs" dxfId="31972" priority="19005" stopIfTrue="1" operator="equal">
      <formula>"Napkin Hs"</formula>
    </cfRule>
    <cfRule type="cellIs" dxfId="31971" priority="19010" stopIfTrue="1" operator="equal">
      <formula>"Towel"</formula>
    </cfRule>
    <cfRule type="cellIs" dxfId="31970" priority="19011" stopIfTrue="1" operator="equal">
      <formula>"Napkin Hs"</formula>
    </cfRule>
    <cfRule type="cellIs" dxfId="31969" priority="19016" stopIfTrue="1" operator="equal">
      <formula>"Towel"</formula>
    </cfRule>
    <cfRule type="cellIs" dxfId="31968" priority="19017" stopIfTrue="1" operator="equal">
      <formula>"Napkin Hs"</formula>
    </cfRule>
    <cfRule type="cellIs" dxfId="31967" priority="19018" stopIfTrue="1" operator="equal">
      <formula>"Towel"</formula>
    </cfRule>
    <cfRule type="cellIs" dxfId="31966" priority="19019" stopIfTrue="1" operator="equal">
      <formula>"Napkin Hs"</formula>
    </cfRule>
    <cfRule type="cellIs" dxfId="31965" priority="19024" stopIfTrue="1" operator="equal">
      <formula>"Towel"</formula>
    </cfRule>
    <cfRule type="cellIs" dxfId="31964" priority="19025" stopIfTrue="1" operator="equal">
      <formula>"Napkin Hs"</formula>
    </cfRule>
    <cfRule type="cellIs" dxfId="31963" priority="19034" stopIfTrue="1" operator="equal">
      <formula>"Towel"</formula>
    </cfRule>
    <cfRule type="cellIs" dxfId="31962" priority="19035" stopIfTrue="1" operator="equal">
      <formula>"Napkin Hs"</formula>
    </cfRule>
    <cfRule type="cellIs" dxfId="31961" priority="19040" stopIfTrue="1" operator="equal">
      <formula>"Towel"</formula>
    </cfRule>
    <cfRule type="cellIs" dxfId="31960" priority="19041" stopIfTrue="1" operator="equal">
      <formula>"Napkin Hs"</formula>
    </cfRule>
    <cfRule type="cellIs" dxfId="31959" priority="19042" stopIfTrue="1" operator="equal">
      <formula>"Towel"</formula>
    </cfRule>
    <cfRule type="cellIs" dxfId="31958" priority="19043" stopIfTrue="1" operator="equal">
      <formula>"Napkin Hs"</formula>
    </cfRule>
    <cfRule type="cellIs" dxfId="31957" priority="19048" stopIfTrue="1" operator="equal">
      <formula>"Towel"</formula>
    </cfRule>
    <cfRule type="cellIs" dxfId="31956" priority="19049" stopIfTrue="1" operator="equal">
      <formula>"Napkin Hs"</formula>
    </cfRule>
    <cfRule type="cellIs" dxfId="31955" priority="19058" stopIfTrue="1" operator="equal">
      <formula>"Towel"</formula>
    </cfRule>
    <cfRule type="cellIs" dxfId="31954" priority="19059" stopIfTrue="1" operator="equal">
      <formula>"Napkin Hs"</formula>
    </cfRule>
    <cfRule type="cellIs" dxfId="31953" priority="19060" stopIfTrue="1" operator="equal">
      <formula>"Towel"</formula>
    </cfRule>
    <cfRule type="cellIs" dxfId="31952" priority="19061" stopIfTrue="1" operator="equal">
      <formula>"Napkin Hs"</formula>
    </cfRule>
    <cfRule type="cellIs" dxfId="31951" priority="19066" stopIfTrue="1" operator="equal">
      <formula>"Towel"</formula>
    </cfRule>
    <cfRule type="cellIs" dxfId="31950" priority="19067" stopIfTrue="1" operator="equal">
      <formula>"Napkin Hs"</formula>
    </cfRule>
    <cfRule type="cellIs" dxfId="31949" priority="19076" stopIfTrue="1" operator="equal">
      <formula>"Towel"</formula>
    </cfRule>
    <cfRule type="cellIs" dxfId="31948" priority="19077" stopIfTrue="1" operator="equal">
      <formula>"Napkin Hs"</formula>
    </cfRule>
    <cfRule type="cellIs" dxfId="31947" priority="19078" stopIfTrue="1" operator="equal">
      <formula>"Towel"</formula>
    </cfRule>
    <cfRule type="cellIs" dxfId="31946" priority="19079" stopIfTrue="1" operator="equal">
      <formula>"Napkin Hs"</formula>
    </cfRule>
    <cfRule type="cellIs" dxfId="31945" priority="19085" stopIfTrue="1" operator="equal">
      <formula>"Napkin Hs"</formula>
    </cfRule>
  </conditionalFormatting>
  <conditionalFormatting sqref="B12:C14">
    <cfRule type="cellIs" dxfId="31944" priority="19084" stopIfTrue="1" operator="equal">
      <formula>"Towel"</formula>
    </cfRule>
  </conditionalFormatting>
  <conditionalFormatting sqref="C12:C14">
    <cfRule type="cellIs" dxfId="31943" priority="18995" stopIfTrue="1" operator="equal">
      <formula>"Napkin Hs"</formula>
    </cfRule>
    <cfRule type="cellIs" dxfId="31942" priority="18996" stopIfTrue="1" operator="equal">
      <formula>"Towel"</formula>
    </cfRule>
    <cfRule type="cellIs" dxfId="31941" priority="18997" stopIfTrue="1" operator="equal">
      <formula>"Napkin Hs"</formula>
    </cfRule>
    <cfRule type="cellIs" dxfId="31940" priority="18998" stopIfTrue="1" operator="equal">
      <formula>"Towel"</formula>
    </cfRule>
    <cfRule type="cellIs" dxfId="31939" priority="18999" stopIfTrue="1" operator="equal">
      <formula>"Napkin Hs"</formula>
    </cfRule>
    <cfRule type="cellIs" dxfId="31938" priority="19000" stopIfTrue="1" operator="equal">
      <formula>"Towel"</formula>
    </cfRule>
    <cfRule type="cellIs" dxfId="31937" priority="19001" stopIfTrue="1" operator="equal">
      <formula>"Napkin Hs"</formula>
    </cfRule>
    <cfRule type="cellIs" dxfId="31936" priority="19002" stopIfTrue="1" operator="equal">
      <formula>"Towel"</formula>
    </cfRule>
    <cfRule type="cellIs" dxfId="31935" priority="19003" stopIfTrue="1" operator="equal">
      <formula>"Napkin Hs"</formula>
    </cfRule>
    <cfRule type="cellIs" dxfId="31934" priority="19006" stopIfTrue="1" operator="equal">
      <formula>"Towel"</formula>
    </cfRule>
    <cfRule type="cellIs" dxfId="31933" priority="19007" stopIfTrue="1" operator="equal">
      <formula>"Napkin Hs"</formula>
    </cfRule>
    <cfRule type="cellIs" dxfId="31932" priority="19008" stopIfTrue="1" operator="equal">
      <formula>"Towel"</formula>
    </cfRule>
    <cfRule type="cellIs" dxfId="31931" priority="19009" stopIfTrue="1" operator="equal">
      <formula>"Napkin Hs"</formula>
    </cfRule>
    <cfRule type="cellIs" dxfId="31930" priority="19012" stopIfTrue="1" operator="equal">
      <formula>"Towel"</formula>
    </cfRule>
    <cfRule type="cellIs" dxfId="31929" priority="19013" stopIfTrue="1" operator="equal">
      <formula>"Napkin Hs"</formula>
    </cfRule>
    <cfRule type="cellIs" dxfId="31928" priority="19014" stopIfTrue="1" operator="equal">
      <formula>"Towel"</formula>
    </cfRule>
    <cfRule type="cellIs" dxfId="31927" priority="19015" stopIfTrue="1" operator="equal">
      <formula>"Napkin Hs"</formula>
    </cfRule>
    <cfRule type="cellIs" dxfId="31926" priority="19020" stopIfTrue="1" operator="equal">
      <formula>"Towel"</formula>
    </cfRule>
    <cfRule type="cellIs" dxfId="31925" priority="19021" stopIfTrue="1" operator="equal">
      <formula>"Napkin Hs"</formula>
    </cfRule>
    <cfRule type="cellIs" dxfId="31924" priority="19022" stopIfTrue="1" operator="equal">
      <formula>"Towel"</formula>
    </cfRule>
    <cfRule type="cellIs" dxfId="31923" priority="19023" stopIfTrue="1" operator="equal">
      <formula>"Napkin Hs"</formula>
    </cfRule>
    <cfRule type="cellIs" dxfId="31922" priority="19026" stopIfTrue="1" operator="equal">
      <formula>"Towel"</formula>
    </cfRule>
    <cfRule type="cellIs" dxfId="31921" priority="19027" stopIfTrue="1" operator="equal">
      <formula>"Napkin Hs"</formula>
    </cfRule>
    <cfRule type="cellIs" dxfId="31920" priority="19028" stopIfTrue="1" operator="equal">
      <formula>"Towel"</formula>
    </cfRule>
    <cfRule type="cellIs" dxfId="31919" priority="19029" stopIfTrue="1" operator="equal">
      <formula>"Napkin Hs"</formula>
    </cfRule>
    <cfRule type="cellIs" dxfId="31918" priority="19030" stopIfTrue="1" operator="equal">
      <formula>"Towel"</formula>
    </cfRule>
    <cfRule type="cellIs" dxfId="31917" priority="19031" stopIfTrue="1" operator="equal">
      <formula>"Napkin Hs"</formula>
    </cfRule>
    <cfRule type="cellIs" dxfId="31916" priority="19032" stopIfTrue="1" operator="equal">
      <formula>"Towel"</formula>
    </cfRule>
    <cfRule type="cellIs" dxfId="31915" priority="19033" stopIfTrue="1" operator="equal">
      <formula>"Napkin Hs"</formula>
    </cfRule>
    <cfRule type="cellIs" dxfId="31914" priority="19036" stopIfTrue="1" operator="equal">
      <formula>"Towel"</formula>
    </cfRule>
    <cfRule type="cellIs" dxfId="31913" priority="19037" stopIfTrue="1" operator="equal">
      <formula>"Napkin Hs"</formula>
    </cfRule>
    <cfRule type="cellIs" dxfId="31912" priority="19038" stopIfTrue="1" operator="equal">
      <formula>"Towel"</formula>
    </cfRule>
    <cfRule type="cellIs" dxfId="31911" priority="19039" stopIfTrue="1" operator="equal">
      <formula>"Napkin Hs"</formula>
    </cfRule>
    <cfRule type="cellIs" dxfId="31910" priority="19044" stopIfTrue="1" operator="equal">
      <formula>"Towel"</formula>
    </cfRule>
    <cfRule type="cellIs" dxfId="31909" priority="19045" stopIfTrue="1" operator="equal">
      <formula>"Napkin Hs"</formula>
    </cfRule>
    <cfRule type="cellIs" dxfId="31908" priority="19046" stopIfTrue="1" operator="equal">
      <formula>"Towel"</formula>
    </cfRule>
    <cfRule type="cellIs" dxfId="31907" priority="19047" stopIfTrue="1" operator="equal">
      <formula>"Napkin Hs"</formula>
    </cfRule>
    <cfRule type="cellIs" dxfId="31906" priority="19050" stopIfTrue="1" operator="equal">
      <formula>"Towel"</formula>
    </cfRule>
    <cfRule type="cellIs" dxfId="31905" priority="19051" stopIfTrue="1" operator="equal">
      <formula>"Napkin Hs"</formula>
    </cfRule>
    <cfRule type="cellIs" dxfId="31904" priority="19052" stopIfTrue="1" operator="equal">
      <formula>"Towel"</formula>
    </cfRule>
    <cfRule type="cellIs" dxfId="31903" priority="19053" stopIfTrue="1" operator="equal">
      <formula>"Napkin Hs"</formula>
    </cfRule>
    <cfRule type="cellIs" dxfId="31902" priority="19054" stopIfTrue="1" operator="equal">
      <formula>"Towel"</formula>
    </cfRule>
    <cfRule type="cellIs" dxfId="31901" priority="19055" stopIfTrue="1" operator="equal">
      <formula>"Napkin Hs"</formula>
    </cfRule>
    <cfRule type="cellIs" dxfId="31900" priority="19056" stopIfTrue="1" operator="equal">
      <formula>"Towel"</formula>
    </cfRule>
    <cfRule type="cellIs" dxfId="31899" priority="19057" stopIfTrue="1" operator="equal">
      <formula>"Napkin Hs"</formula>
    </cfRule>
    <cfRule type="cellIs" dxfId="31898" priority="19062" stopIfTrue="1" operator="equal">
      <formula>"Towel"</formula>
    </cfRule>
    <cfRule type="cellIs" dxfId="31897" priority="19063" stopIfTrue="1" operator="equal">
      <formula>"Napkin Hs"</formula>
    </cfRule>
    <cfRule type="cellIs" dxfId="31896" priority="19064" stopIfTrue="1" operator="equal">
      <formula>"Towel"</formula>
    </cfRule>
    <cfRule type="cellIs" dxfId="31895" priority="19065" stopIfTrue="1" operator="equal">
      <formula>"Napkin Hs"</formula>
    </cfRule>
    <cfRule type="cellIs" dxfId="31894" priority="19068" stopIfTrue="1" operator="equal">
      <formula>"Towel"</formula>
    </cfRule>
    <cfRule type="cellIs" dxfId="31893" priority="19069" stopIfTrue="1" operator="equal">
      <formula>"Napkin Hs"</formula>
    </cfRule>
    <cfRule type="cellIs" dxfId="31892" priority="19070" stopIfTrue="1" operator="equal">
      <formula>"Towel"</formula>
    </cfRule>
    <cfRule type="cellIs" dxfId="31891" priority="19071" stopIfTrue="1" operator="equal">
      <formula>"Napkin Hs"</formula>
    </cfRule>
    <cfRule type="cellIs" dxfId="31890" priority="19072" stopIfTrue="1" operator="equal">
      <formula>"Towel"</formula>
    </cfRule>
    <cfRule type="cellIs" dxfId="31889" priority="19073" stopIfTrue="1" operator="equal">
      <formula>"Napkin Hs"</formula>
    </cfRule>
    <cfRule type="cellIs" dxfId="31888" priority="19074" stopIfTrue="1" operator="equal">
      <formula>"Towel"</formula>
    </cfRule>
    <cfRule type="cellIs" dxfId="31887" priority="19075" stopIfTrue="1" operator="equal">
      <formula>"Napkin Hs"</formula>
    </cfRule>
    <cfRule type="cellIs" dxfId="31886" priority="19080" stopIfTrue="1" operator="equal">
      <formula>"Towel"</formula>
    </cfRule>
    <cfRule type="cellIs" dxfId="31885" priority="19081" stopIfTrue="1" operator="equal">
      <formula>"Napkin Hs"</formula>
    </cfRule>
    <cfRule type="cellIs" dxfId="31884" priority="19082" stopIfTrue="1" operator="equal">
      <formula>"Towel"</formula>
    </cfRule>
    <cfRule type="cellIs" dxfId="31883" priority="19083" stopIfTrue="1" operator="equal">
      <formula>"Napkin Hs"</formula>
    </cfRule>
    <cfRule type="cellIs" dxfId="31882" priority="19086" stopIfTrue="1" operator="equal">
      <formula>"Towel"</formula>
    </cfRule>
    <cfRule type="cellIs" dxfId="31881" priority="19087" stopIfTrue="1" operator="equal">
      <formula>"Napkin Hs"</formula>
    </cfRule>
    <cfRule type="cellIs" dxfId="31880" priority="19088" stopIfTrue="1" operator="equal">
      <formula>"Towel"</formula>
    </cfRule>
    <cfRule type="cellIs" dxfId="31879" priority="19089" stopIfTrue="1" operator="equal">
      <formula>"Napkin Hs"</formula>
    </cfRule>
  </conditionalFormatting>
  <conditionalFormatting sqref="C12:C14">
    <cfRule type="cellIs" dxfId="31878" priority="18992" stopIfTrue="1" operator="equal">
      <formula>"Napkin Hs"</formula>
    </cfRule>
  </conditionalFormatting>
  <conditionalFormatting sqref="C12:C14">
    <cfRule type="cellIs" dxfId="31877" priority="18991" stopIfTrue="1" operator="equal">
      <formula>"Napkin Hs"</formula>
    </cfRule>
  </conditionalFormatting>
  <conditionalFormatting sqref="B12:B14">
    <cfRule type="cellIs" dxfId="31876" priority="18990" stopIfTrue="1" operator="equal">
      <formula>"Napkin Hs"</formula>
    </cfRule>
  </conditionalFormatting>
  <conditionalFormatting sqref="C12:C14">
    <cfRule type="cellIs" dxfId="31875" priority="18989" stopIfTrue="1" operator="equal">
      <formula>"Napkin Hs"</formula>
    </cfRule>
  </conditionalFormatting>
  <conditionalFormatting sqref="C12:C14">
    <cfRule type="cellIs" dxfId="31874" priority="18988" stopIfTrue="1" operator="equal">
      <formula>"Napkin Hs"</formula>
    </cfRule>
  </conditionalFormatting>
  <conditionalFormatting sqref="C12:C14">
    <cfRule type="cellIs" dxfId="31873" priority="18987" stopIfTrue="1" operator="equal">
      <formula>"Napkin Hs"</formula>
    </cfRule>
  </conditionalFormatting>
  <conditionalFormatting sqref="C12:C14">
    <cfRule type="cellIs" dxfId="31872" priority="18986" stopIfTrue="1" operator="equal">
      <formula>"Napkin Hs"</formula>
    </cfRule>
  </conditionalFormatting>
  <conditionalFormatting sqref="B12:B14">
    <cfRule type="cellIs" dxfId="31871" priority="18985" stopIfTrue="1" operator="equal">
      <formula>"Napkin Hs"</formula>
    </cfRule>
  </conditionalFormatting>
  <conditionalFormatting sqref="B12:B14">
    <cfRule type="cellIs" dxfId="31870" priority="18984" stopIfTrue="1" operator="equal">
      <formula>"Napkin Hs"</formula>
    </cfRule>
  </conditionalFormatting>
  <conditionalFormatting sqref="C12:C14">
    <cfRule type="cellIs" dxfId="31869" priority="18980" stopIfTrue="1" operator="equal">
      <formula>"Towel"</formula>
    </cfRule>
    <cfRule type="cellIs" dxfId="31868" priority="18981" stopIfTrue="1" operator="equal">
      <formula>"Napkin Hs"</formula>
    </cfRule>
  </conditionalFormatting>
  <conditionalFormatting sqref="C12:C14">
    <cfRule type="cellIs" dxfId="31867" priority="18982" stopIfTrue="1" operator="equal">
      <formula>"Towel"</formula>
    </cfRule>
    <cfRule type="cellIs" dxfId="31866" priority="18983" stopIfTrue="1" operator="equal">
      <formula>"Napkin Hs"</formula>
    </cfRule>
  </conditionalFormatting>
  <conditionalFormatting sqref="C12:C14">
    <cfRule type="cellIs" dxfId="31865" priority="18976" stopIfTrue="1" operator="equal">
      <formula>"Towel"</formula>
    </cfRule>
    <cfRule type="cellIs" dxfId="31864" priority="18977" stopIfTrue="1" operator="equal">
      <formula>"Napkin Hs"</formula>
    </cfRule>
  </conditionalFormatting>
  <conditionalFormatting sqref="C12:C14">
    <cfRule type="cellIs" dxfId="31863" priority="18978" stopIfTrue="1" operator="equal">
      <formula>"Towel"</formula>
    </cfRule>
    <cfRule type="cellIs" dxfId="31862" priority="18979" stopIfTrue="1" operator="equal">
      <formula>"Napkin Hs"</formula>
    </cfRule>
  </conditionalFormatting>
  <conditionalFormatting sqref="C18">
    <cfRule type="cellIs" dxfId="31861" priority="18796" stopIfTrue="1" operator="equal">
      <formula>"Towel"</formula>
    </cfRule>
    <cfRule type="cellIs" dxfId="31860" priority="18797" stopIfTrue="1" operator="equal">
      <formula>"Napkin Hs"</formula>
    </cfRule>
  </conditionalFormatting>
  <conditionalFormatting sqref="C18">
    <cfRule type="cellIs" dxfId="31859" priority="18800" stopIfTrue="1" operator="equal">
      <formula>"Towel"</formula>
    </cfRule>
    <cfRule type="cellIs" dxfId="31858" priority="18801" stopIfTrue="1" operator="equal">
      <formula>"Napkin Hs"</formula>
    </cfRule>
  </conditionalFormatting>
  <conditionalFormatting sqref="C18">
    <cfRule type="cellIs" dxfId="31857" priority="18798" stopIfTrue="1" operator="equal">
      <formula>"Towel"</formula>
    </cfRule>
    <cfRule type="cellIs" dxfId="31856" priority="18799" stopIfTrue="1" operator="equal">
      <formula>"Napkin Hs"</formula>
    </cfRule>
  </conditionalFormatting>
  <conditionalFormatting sqref="C18">
    <cfRule type="cellIs" dxfId="31855" priority="18790" stopIfTrue="1" operator="equal">
      <formula>"Towel"</formula>
    </cfRule>
    <cfRule type="cellIs" dxfId="31854" priority="18791" stopIfTrue="1" operator="equal">
      <formula>"Napkin Hs"</formula>
    </cfRule>
  </conditionalFormatting>
  <conditionalFormatting sqref="C18">
    <cfRule type="cellIs" dxfId="31853" priority="18792" stopIfTrue="1" operator="equal">
      <formula>"Towel"</formula>
    </cfRule>
    <cfRule type="cellIs" dxfId="31852" priority="18793" stopIfTrue="1" operator="equal">
      <formula>"Napkin Hs"</formula>
    </cfRule>
  </conditionalFormatting>
  <conditionalFormatting sqref="C18">
    <cfRule type="cellIs" dxfId="31851" priority="18794" stopIfTrue="1" operator="equal">
      <formula>"Towel"</formula>
    </cfRule>
    <cfRule type="cellIs" dxfId="31850" priority="18795" stopIfTrue="1" operator="equal">
      <formula>"Napkin Hs"</formula>
    </cfRule>
  </conditionalFormatting>
  <conditionalFormatting sqref="B18:C18">
    <cfRule type="cellIs" dxfId="31849" priority="18788" stopIfTrue="1" operator="equal">
      <formula>"Towel"</formula>
    </cfRule>
    <cfRule type="cellIs" dxfId="31848" priority="18789" stopIfTrue="1" operator="equal">
      <formula>"Napkin Hs"</formula>
    </cfRule>
  </conditionalFormatting>
  <conditionalFormatting sqref="B18:C18">
    <cfRule type="cellIs" dxfId="31847" priority="18786" stopIfTrue="1" operator="equal">
      <formula>"Towel"</formula>
    </cfRule>
    <cfRule type="cellIs" dxfId="31846" priority="18787" stopIfTrue="1" operator="equal">
      <formula>"Napkin Hs"</formula>
    </cfRule>
  </conditionalFormatting>
  <conditionalFormatting sqref="B18:C18">
    <cfRule type="cellIs" dxfId="31845" priority="18762" stopIfTrue="1" operator="equal">
      <formula>"Towel"</formula>
    </cfRule>
  </conditionalFormatting>
  <conditionalFormatting sqref="B18:C18">
    <cfRule type="cellIs" dxfId="31844" priority="18763" stopIfTrue="1" operator="equal">
      <formula>"Napkin Hs"</formula>
    </cfRule>
    <cfRule type="cellIs" dxfId="31843" priority="18768" stopIfTrue="1" operator="equal">
      <formula>"Towel"</formula>
    </cfRule>
    <cfRule type="cellIs" dxfId="31842" priority="18769" stopIfTrue="1" operator="equal">
      <formula>"Napkin Hs"</formula>
    </cfRule>
    <cfRule type="cellIs" dxfId="31841" priority="18778" stopIfTrue="1" operator="equal">
      <formula>"Towel"</formula>
    </cfRule>
    <cfRule type="cellIs" dxfId="31840" priority="18779" stopIfTrue="1" operator="equal">
      <formula>"Napkin Hs"</formula>
    </cfRule>
    <cfRule type="cellIs" dxfId="31839" priority="18784" stopIfTrue="1" operator="equal">
      <formula>"Towel"</formula>
    </cfRule>
    <cfRule type="cellIs" dxfId="31838" priority="18785" stopIfTrue="1" operator="equal">
      <formula>"Napkin Hs"</formula>
    </cfRule>
  </conditionalFormatting>
  <conditionalFormatting sqref="C18">
    <cfRule type="cellIs" dxfId="31837" priority="18764" stopIfTrue="1" operator="equal">
      <formula>"Towel"</formula>
    </cfRule>
    <cfRule type="cellIs" dxfId="31836" priority="18765" stopIfTrue="1" operator="equal">
      <formula>"Napkin Hs"</formula>
    </cfRule>
    <cfRule type="cellIs" dxfId="31835" priority="18766" stopIfTrue="1" operator="equal">
      <formula>"Towel"</formula>
    </cfRule>
    <cfRule type="cellIs" dxfId="31834" priority="18767" stopIfTrue="1" operator="equal">
      <formula>"Napkin Hs"</formula>
    </cfRule>
    <cfRule type="cellIs" dxfId="31833" priority="18770" stopIfTrue="1" operator="equal">
      <formula>"Towel"</formula>
    </cfRule>
    <cfRule type="cellIs" dxfId="31832" priority="18771" stopIfTrue="1" operator="equal">
      <formula>"Napkin Hs"</formula>
    </cfRule>
    <cfRule type="cellIs" dxfId="31831" priority="18772" stopIfTrue="1" operator="equal">
      <formula>"Towel"</formula>
    </cfRule>
    <cfRule type="cellIs" dxfId="31830" priority="18773" stopIfTrue="1" operator="equal">
      <formula>"Napkin Hs"</formula>
    </cfRule>
    <cfRule type="cellIs" dxfId="31829" priority="18774" stopIfTrue="1" operator="equal">
      <formula>"Towel"</formula>
    </cfRule>
    <cfRule type="cellIs" dxfId="31828" priority="18775" stopIfTrue="1" operator="equal">
      <formula>"Napkin Hs"</formula>
    </cfRule>
    <cfRule type="cellIs" dxfId="31827" priority="18776" stopIfTrue="1" operator="equal">
      <formula>"Towel"</formula>
    </cfRule>
    <cfRule type="cellIs" dxfId="31826" priority="18777" stopIfTrue="1" operator="equal">
      <formula>"Napkin Hs"</formula>
    </cfRule>
    <cfRule type="cellIs" dxfId="31825" priority="18780" stopIfTrue="1" operator="equal">
      <formula>"Towel"</formula>
    </cfRule>
    <cfRule type="cellIs" dxfId="31824" priority="18781" stopIfTrue="1" operator="equal">
      <formula>"Napkin Hs"</formula>
    </cfRule>
    <cfRule type="cellIs" dxfId="31823" priority="18783" stopIfTrue="1" operator="equal">
      <formula>"Napkin Hs"</formula>
    </cfRule>
  </conditionalFormatting>
  <conditionalFormatting sqref="C18">
    <cfRule type="cellIs" dxfId="31822" priority="18782" stopIfTrue="1" operator="equal">
      <formula>"Towel"</formula>
    </cfRule>
  </conditionalFormatting>
  <conditionalFormatting sqref="B18:C18">
    <cfRule type="cellIs" dxfId="31821" priority="18760" stopIfTrue="1" operator="equal">
      <formula>"Towel"</formula>
    </cfRule>
    <cfRule type="cellIs" dxfId="31820" priority="18761" stopIfTrue="1" operator="equal">
      <formula>"Napkin Hs"</formula>
    </cfRule>
  </conditionalFormatting>
  <conditionalFormatting sqref="C18">
    <cfRule type="cellIs" dxfId="31819" priority="18759" stopIfTrue="1" operator="equal">
      <formula>"Napkin Hs"</formula>
    </cfRule>
  </conditionalFormatting>
  <conditionalFormatting sqref="C18">
    <cfRule type="cellIs" dxfId="31818" priority="18758" stopIfTrue="1" operator="equal">
      <formula>"Towel"</formula>
    </cfRule>
  </conditionalFormatting>
  <conditionalFormatting sqref="C18">
    <cfRule type="cellIs" dxfId="31817" priority="18756" stopIfTrue="1" operator="equal">
      <formula>"Towel"</formula>
    </cfRule>
  </conditionalFormatting>
  <conditionalFormatting sqref="C18">
    <cfRule type="cellIs" dxfId="31816" priority="18757" stopIfTrue="1" operator="equal">
      <formula>"Napkin Hs"</formula>
    </cfRule>
  </conditionalFormatting>
  <conditionalFormatting sqref="B18">
    <cfRule type="cellIs" dxfId="31815" priority="18660" stopIfTrue="1" operator="equal">
      <formula>"Napkin Hs"</formula>
    </cfRule>
  </conditionalFormatting>
  <conditionalFormatting sqref="B18:C18">
    <cfRule type="cellIs" dxfId="31814" priority="18659" stopIfTrue="1" operator="equal">
      <formula>"Towel"</formula>
    </cfRule>
  </conditionalFormatting>
  <conditionalFormatting sqref="B18:C18">
    <cfRule type="cellIs" dxfId="31813" priority="18670" stopIfTrue="1" operator="equal">
      <formula>"Towel"</formula>
    </cfRule>
    <cfRule type="cellIs" dxfId="31812" priority="18671" stopIfTrue="1" operator="equal">
      <formula>"Napkin Hs"</formula>
    </cfRule>
    <cfRule type="cellIs" dxfId="31811" priority="18676" stopIfTrue="1" operator="equal">
      <formula>"Towel"</formula>
    </cfRule>
    <cfRule type="cellIs" dxfId="31810" priority="18677" stopIfTrue="1" operator="equal">
      <formula>"Napkin Hs"</formula>
    </cfRule>
    <cfRule type="cellIs" dxfId="31809" priority="18682" stopIfTrue="1" operator="equal">
      <formula>"Towel"</formula>
    </cfRule>
    <cfRule type="cellIs" dxfId="31808" priority="18683" stopIfTrue="1" operator="equal">
      <formula>"Napkin Hs"</formula>
    </cfRule>
    <cfRule type="cellIs" dxfId="31807" priority="18684" stopIfTrue="1" operator="equal">
      <formula>"Towel"</formula>
    </cfRule>
    <cfRule type="cellIs" dxfId="31806" priority="18685" stopIfTrue="1" operator="equal">
      <formula>"Napkin Hs"</formula>
    </cfRule>
    <cfRule type="cellIs" dxfId="31805" priority="18690" stopIfTrue="1" operator="equal">
      <formula>"Towel"</formula>
    </cfRule>
    <cfRule type="cellIs" dxfId="31804" priority="18691" stopIfTrue="1" operator="equal">
      <formula>"Napkin Hs"</formula>
    </cfRule>
    <cfRule type="cellIs" dxfId="31803" priority="18700" stopIfTrue="1" operator="equal">
      <formula>"Towel"</formula>
    </cfRule>
    <cfRule type="cellIs" dxfId="31802" priority="18701" stopIfTrue="1" operator="equal">
      <formula>"Napkin Hs"</formula>
    </cfRule>
    <cfRule type="cellIs" dxfId="31801" priority="18706" stopIfTrue="1" operator="equal">
      <formula>"Towel"</formula>
    </cfRule>
    <cfRule type="cellIs" dxfId="31800" priority="18707" stopIfTrue="1" operator="equal">
      <formula>"Napkin Hs"</formula>
    </cfRule>
    <cfRule type="cellIs" dxfId="31799" priority="18708" stopIfTrue="1" operator="equal">
      <formula>"Towel"</formula>
    </cfRule>
    <cfRule type="cellIs" dxfId="31798" priority="18709" stopIfTrue="1" operator="equal">
      <formula>"Napkin Hs"</formula>
    </cfRule>
    <cfRule type="cellIs" dxfId="31797" priority="18714" stopIfTrue="1" operator="equal">
      <formula>"Towel"</formula>
    </cfRule>
    <cfRule type="cellIs" dxfId="31796" priority="18715" stopIfTrue="1" operator="equal">
      <formula>"Napkin Hs"</formula>
    </cfRule>
    <cfRule type="cellIs" dxfId="31795" priority="18724" stopIfTrue="1" operator="equal">
      <formula>"Towel"</formula>
    </cfRule>
    <cfRule type="cellIs" dxfId="31794" priority="18725" stopIfTrue="1" operator="equal">
      <formula>"Napkin Hs"</formula>
    </cfRule>
    <cfRule type="cellIs" dxfId="31793" priority="18726" stopIfTrue="1" operator="equal">
      <formula>"Towel"</formula>
    </cfRule>
    <cfRule type="cellIs" dxfId="31792" priority="18727" stopIfTrue="1" operator="equal">
      <formula>"Napkin Hs"</formula>
    </cfRule>
    <cfRule type="cellIs" dxfId="31791" priority="18732" stopIfTrue="1" operator="equal">
      <formula>"Towel"</formula>
    </cfRule>
    <cfRule type="cellIs" dxfId="31790" priority="18733" stopIfTrue="1" operator="equal">
      <formula>"Napkin Hs"</formula>
    </cfRule>
    <cfRule type="cellIs" dxfId="31789" priority="18742" stopIfTrue="1" operator="equal">
      <formula>"Towel"</formula>
    </cfRule>
    <cfRule type="cellIs" dxfId="31788" priority="18743" stopIfTrue="1" operator="equal">
      <formula>"Napkin Hs"</formula>
    </cfRule>
    <cfRule type="cellIs" dxfId="31787" priority="18744" stopIfTrue="1" operator="equal">
      <formula>"Towel"</formula>
    </cfRule>
    <cfRule type="cellIs" dxfId="31786" priority="18745" stopIfTrue="1" operator="equal">
      <formula>"Napkin Hs"</formula>
    </cfRule>
    <cfRule type="cellIs" dxfId="31785" priority="18751" stopIfTrue="1" operator="equal">
      <formula>"Napkin Hs"</formula>
    </cfRule>
  </conditionalFormatting>
  <conditionalFormatting sqref="B18:C18">
    <cfRule type="cellIs" dxfId="31784" priority="18750" stopIfTrue="1" operator="equal">
      <formula>"Towel"</formula>
    </cfRule>
  </conditionalFormatting>
  <conditionalFormatting sqref="C18">
    <cfRule type="cellIs" dxfId="31783" priority="18661" stopIfTrue="1" operator="equal">
      <formula>"Napkin Hs"</formula>
    </cfRule>
    <cfRule type="cellIs" dxfId="31782" priority="18662" stopIfTrue="1" operator="equal">
      <formula>"Towel"</formula>
    </cfRule>
    <cfRule type="cellIs" dxfId="31781" priority="18663" stopIfTrue="1" operator="equal">
      <formula>"Napkin Hs"</formula>
    </cfRule>
    <cfRule type="cellIs" dxfId="31780" priority="18664" stopIfTrue="1" operator="equal">
      <formula>"Towel"</formula>
    </cfRule>
    <cfRule type="cellIs" dxfId="31779" priority="18665" stopIfTrue="1" operator="equal">
      <formula>"Napkin Hs"</formula>
    </cfRule>
    <cfRule type="cellIs" dxfId="31778" priority="18666" stopIfTrue="1" operator="equal">
      <formula>"Towel"</formula>
    </cfRule>
    <cfRule type="cellIs" dxfId="31777" priority="18667" stopIfTrue="1" operator="equal">
      <formula>"Napkin Hs"</formula>
    </cfRule>
    <cfRule type="cellIs" dxfId="31776" priority="18668" stopIfTrue="1" operator="equal">
      <formula>"Towel"</formula>
    </cfRule>
    <cfRule type="cellIs" dxfId="31775" priority="18669" stopIfTrue="1" operator="equal">
      <formula>"Napkin Hs"</formula>
    </cfRule>
    <cfRule type="cellIs" dxfId="31774" priority="18672" stopIfTrue="1" operator="equal">
      <formula>"Towel"</formula>
    </cfRule>
    <cfRule type="cellIs" dxfId="31773" priority="18673" stopIfTrue="1" operator="equal">
      <formula>"Napkin Hs"</formula>
    </cfRule>
    <cfRule type="cellIs" dxfId="31772" priority="18674" stopIfTrue="1" operator="equal">
      <formula>"Towel"</formula>
    </cfRule>
    <cfRule type="cellIs" dxfId="31771" priority="18675" stopIfTrue="1" operator="equal">
      <formula>"Napkin Hs"</formula>
    </cfRule>
    <cfRule type="cellIs" dxfId="31770" priority="18678" stopIfTrue="1" operator="equal">
      <formula>"Towel"</formula>
    </cfRule>
    <cfRule type="cellIs" dxfId="31769" priority="18679" stopIfTrue="1" operator="equal">
      <formula>"Napkin Hs"</formula>
    </cfRule>
    <cfRule type="cellIs" dxfId="31768" priority="18680" stopIfTrue="1" operator="equal">
      <formula>"Towel"</formula>
    </cfRule>
    <cfRule type="cellIs" dxfId="31767" priority="18681" stopIfTrue="1" operator="equal">
      <formula>"Napkin Hs"</formula>
    </cfRule>
    <cfRule type="cellIs" dxfId="31766" priority="18686" stopIfTrue="1" operator="equal">
      <formula>"Towel"</formula>
    </cfRule>
    <cfRule type="cellIs" dxfId="31765" priority="18687" stopIfTrue="1" operator="equal">
      <formula>"Napkin Hs"</formula>
    </cfRule>
    <cfRule type="cellIs" dxfId="31764" priority="18688" stopIfTrue="1" operator="equal">
      <formula>"Towel"</formula>
    </cfRule>
    <cfRule type="cellIs" dxfId="31763" priority="18689" stopIfTrue="1" operator="equal">
      <formula>"Napkin Hs"</formula>
    </cfRule>
    <cfRule type="cellIs" dxfId="31762" priority="18692" stopIfTrue="1" operator="equal">
      <formula>"Towel"</formula>
    </cfRule>
    <cfRule type="cellIs" dxfId="31761" priority="18693" stopIfTrue="1" operator="equal">
      <formula>"Napkin Hs"</formula>
    </cfRule>
    <cfRule type="cellIs" dxfId="31760" priority="18694" stopIfTrue="1" operator="equal">
      <formula>"Towel"</formula>
    </cfRule>
    <cfRule type="cellIs" dxfId="31759" priority="18695" stopIfTrue="1" operator="equal">
      <formula>"Napkin Hs"</formula>
    </cfRule>
    <cfRule type="cellIs" dxfId="31758" priority="18696" stopIfTrue="1" operator="equal">
      <formula>"Towel"</formula>
    </cfRule>
    <cfRule type="cellIs" dxfId="31757" priority="18697" stopIfTrue="1" operator="equal">
      <formula>"Napkin Hs"</formula>
    </cfRule>
    <cfRule type="cellIs" dxfId="31756" priority="18698" stopIfTrue="1" operator="equal">
      <formula>"Towel"</formula>
    </cfRule>
    <cfRule type="cellIs" dxfId="31755" priority="18699" stopIfTrue="1" operator="equal">
      <formula>"Napkin Hs"</formula>
    </cfRule>
    <cfRule type="cellIs" dxfId="31754" priority="18702" stopIfTrue="1" operator="equal">
      <formula>"Towel"</formula>
    </cfRule>
    <cfRule type="cellIs" dxfId="31753" priority="18703" stopIfTrue="1" operator="equal">
      <formula>"Napkin Hs"</formula>
    </cfRule>
    <cfRule type="cellIs" dxfId="31752" priority="18704" stopIfTrue="1" operator="equal">
      <formula>"Towel"</formula>
    </cfRule>
    <cfRule type="cellIs" dxfId="31751" priority="18705" stopIfTrue="1" operator="equal">
      <formula>"Napkin Hs"</formula>
    </cfRule>
    <cfRule type="cellIs" dxfId="31750" priority="18710" stopIfTrue="1" operator="equal">
      <formula>"Towel"</formula>
    </cfRule>
    <cfRule type="cellIs" dxfId="31749" priority="18711" stopIfTrue="1" operator="equal">
      <formula>"Napkin Hs"</formula>
    </cfRule>
    <cfRule type="cellIs" dxfId="31748" priority="18712" stopIfTrue="1" operator="equal">
      <formula>"Towel"</formula>
    </cfRule>
    <cfRule type="cellIs" dxfId="31747" priority="18713" stopIfTrue="1" operator="equal">
      <formula>"Napkin Hs"</formula>
    </cfRule>
    <cfRule type="cellIs" dxfId="31746" priority="18716" stopIfTrue="1" operator="equal">
      <formula>"Towel"</formula>
    </cfRule>
    <cfRule type="cellIs" dxfId="31745" priority="18717" stopIfTrue="1" operator="equal">
      <formula>"Napkin Hs"</formula>
    </cfRule>
    <cfRule type="cellIs" dxfId="31744" priority="18718" stopIfTrue="1" operator="equal">
      <formula>"Towel"</formula>
    </cfRule>
    <cfRule type="cellIs" dxfId="31743" priority="18719" stopIfTrue="1" operator="equal">
      <formula>"Napkin Hs"</formula>
    </cfRule>
    <cfRule type="cellIs" dxfId="31742" priority="18720" stopIfTrue="1" operator="equal">
      <formula>"Towel"</formula>
    </cfRule>
    <cfRule type="cellIs" dxfId="31741" priority="18721" stopIfTrue="1" operator="equal">
      <formula>"Napkin Hs"</formula>
    </cfRule>
    <cfRule type="cellIs" dxfId="31740" priority="18722" stopIfTrue="1" operator="equal">
      <formula>"Towel"</formula>
    </cfRule>
    <cfRule type="cellIs" dxfId="31739" priority="18723" stopIfTrue="1" operator="equal">
      <formula>"Napkin Hs"</formula>
    </cfRule>
    <cfRule type="cellIs" dxfId="31738" priority="18728" stopIfTrue="1" operator="equal">
      <formula>"Towel"</formula>
    </cfRule>
    <cfRule type="cellIs" dxfId="31737" priority="18729" stopIfTrue="1" operator="equal">
      <formula>"Napkin Hs"</formula>
    </cfRule>
    <cfRule type="cellIs" dxfId="31736" priority="18730" stopIfTrue="1" operator="equal">
      <formula>"Towel"</formula>
    </cfRule>
    <cfRule type="cellIs" dxfId="31735" priority="18731" stopIfTrue="1" operator="equal">
      <formula>"Napkin Hs"</formula>
    </cfRule>
    <cfRule type="cellIs" dxfId="31734" priority="18734" stopIfTrue="1" operator="equal">
      <formula>"Towel"</formula>
    </cfRule>
    <cfRule type="cellIs" dxfId="31733" priority="18735" stopIfTrue="1" operator="equal">
      <formula>"Napkin Hs"</formula>
    </cfRule>
    <cfRule type="cellIs" dxfId="31732" priority="18736" stopIfTrue="1" operator="equal">
      <formula>"Towel"</formula>
    </cfRule>
    <cfRule type="cellIs" dxfId="31731" priority="18737" stopIfTrue="1" operator="equal">
      <formula>"Napkin Hs"</formula>
    </cfRule>
    <cfRule type="cellIs" dxfId="31730" priority="18738" stopIfTrue="1" operator="equal">
      <formula>"Towel"</formula>
    </cfRule>
    <cfRule type="cellIs" dxfId="31729" priority="18739" stopIfTrue="1" operator="equal">
      <formula>"Napkin Hs"</formula>
    </cfRule>
    <cfRule type="cellIs" dxfId="31728" priority="18740" stopIfTrue="1" operator="equal">
      <formula>"Towel"</formula>
    </cfRule>
    <cfRule type="cellIs" dxfId="31727" priority="18741" stopIfTrue="1" operator="equal">
      <formula>"Napkin Hs"</formula>
    </cfRule>
    <cfRule type="cellIs" dxfId="31726" priority="18746" stopIfTrue="1" operator="equal">
      <formula>"Towel"</formula>
    </cfRule>
    <cfRule type="cellIs" dxfId="31725" priority="18747" stopIfTrue="1" operator="equal">
      <formula>"Napkin Hs"</formula>
    </cfRule>
    <cfRule type="cellIs" dxfId="31724" priority="18748" stopIfTrue="1" operator="equal">
      <formula>"Towel"</formula>
    </cfRule>
    <cfRule type="cellIs" dxfId="31723" priority="18749" stopIfTrue="1" operator="equal">
      <formula>"Napkin Hs"</formula>
    </cfRule>
    <cfRule type="cellIs" dxfId="31722" priority="18752" stopIfTrue="1" operator="equal">
      <formula>"Towel"</formula>
    </cfRule>
    <cfRule type="cellIs" dxfId="31721" priority="18753" stopIfTrue="1" operator="equal">
      <formula>"Napkin Hs"</formula>
    </cfRule>
    <cfRule type="cellIs" dxfId="31720" priority="18754" stopIfTrue="1" operator="equal">
      <formula>"Towel"</formula>
    </cfRule>
    <cfRule type="cellIs" dxfId="31719" priority="18755" stopIfTrue="1" operator="equal">
      <formula>"Napkin Hs"</formula>
    </cfRule>
  </conditionalFormatting>
  <conditionalFormatting sqref="C18">
    <cfRule type="cellIs" dxfId="31718" priority="18658" stopIfTrue="1" operator="equal">
      <formula>"Napkin Hs"</formula>
    </cfRule>
  </conditionalFormatting>
  <conditionalFormatting sqref="C18">
    <cfRule type="cellIs" dxfId="31717" priority="18657" stopIfTrue="1" operator="equal">
      <formula>"Napkin Hs"</formula>
    </cfRule>
  </conditionalFormatting>
  <conditionalFormatting sqref="B18">
    <cfRule type="cellIs" dxfId="31716" priority="18656" stopIfTrue="1" operator="equal">
      <formula>"Napkin Hs"</formula>
    </cfRule>
  </conditionalFormatting>
  <conditionalFormatting sqref="C18">
    <cfRule type="cellIs" dxfId="31715" priority="18655" stopIfTrue="1" operator="equal">
      <formula>"Napkin Hs"</formula>
    </cfRule>
  </conditionalFormatting>
  <conditionalFormatting sqref="C18">
    <cfRule type="cellIs" dxfId="31714" priority="18654" stopIfTrue="1" operator="equal">
      <formula>"Napkin Hs"</formula>
    </cfRule>
  </conditionalFormatting>
  <conditionalFormatting sqref="C18">
    <cfRule type="cellIs" dxfId="31713" priority="18653" stopIfTrue="1" operator="equal">
      <formula>"Napkin Hs"</formula>
    </cfRule>
  </conditionalFormatting>
  <conditionalFormatting sqref="C18">
    <cfRule type="cellIs" dxfId="31712" priority="18652" stopIfTrue="1" operator="equal">
      <formula>"Napkin Hs"</formula>
    </cfRule>
  </conditionalFormatting>
  <conditionalFormatting sqref="B18">
    <cfRule type="cellIs" dxfId="31711" priority="18651" stopIfTrue="1" operator="equal">
      <formula>"Napkin Hs"</formula>
    </cfRule>
  </conditionalFormatting>
  <conditionalFormatting sqref="B18">
    <cfRule type="cellIs" dxfId="31710" priority="18650" stopIfTrue="1" operator="equal">
      <formula>"Napkin Hs"</formula>
    </cfRule>
  </conditionalFormatting>
  <conditionalFormatting sqref="C18">
    <cfRule type="cellIs" dxfId="31709" priority="18646" stopIfTrue="1" operator="equal">
      <formula>"Towel"</formula>
    </cfRule>
    <cfRule type="cellIs" dxfId="31708" priority="18647" stopIfTrue="1" operator="equal">
      <formula>"Napkin Hs"</formula>
    </cfRule>
  </conditionalFormatting>
  <conditionalFormatting sqref="C18">
    <cfRule type="cellIs" dxfId="31707" priority="18648" stopIfTrue="1" operator="equal">
      <formula>"Towel"</formula>
    </cfRule>
    <cfRule type="cellIs" dxfId="31706" priority="18649" stopIfTrue="1" operator="equal">
      <formula>"Napkin Hs"</formula>
    </cfRule>
  </conditionalFormatting>
  <conditionalFormatting sqref="C18">
    <cfRule type="cellIs" dxfId="31705" priority="18642" stopIfTrue="1" operator="equal">
      <formula>"Towel"</formula>
    </cfRule>
    <cfRule type="cellIs" dxfId="31704" priority="18643" stopIfTrue="1" operator="equal">
      <formula>"Napkin Hs"</formula>
    </cfRule>
  </conditionalFormatting>
  <conditionalFormatting sqref="C18">
    <cfRule type="cellIs" dxfId="31703" priority="18644" stopIfTrue="1" operator="equal">
      <formula>"Towel"</formula>
    </cfRule>
    <cfRule type="cellIs" dxfId="31702" priority="18645" stopIfTrue="1" operator="equal">
      <formula>"Napkin Hs"</formula>
    </cfRule>
  </conditionalFormatting>
  <conditionalFormatting sqref="C16:C17">
    <cfRule type="cellIs" dxfId="31701" priority="18636" stopIfTrue="1" operator="equal">
      <formula>"Towel"</formula>
    </cfRule>
    <cfRule type="cellIs" dxfId="31700" priority="18637" stopIfTrue="1" operator="equal">
      <formula>"Napkin Hs"</formula>
    </cfRule>
  </conditionalFormatting>
  <conditionalFormatting sqref="C16:C17">
    <cfRule type="cellIs" dxfId="31699" priority="18640" stopIfTrue="1" operator="equal">
      <formula>"Towel"</formula>
    </cfRule>
    <cfRule type="cellIs" dxfId="31698" priority="18641" stopIfTrue="1" operator="equal">
      <formula>"Napkin Hs"</formula>
    </cfRule>
  </conditionalFormatting>
  <conditionalFormatting sqref="C16:C17">
    <cfRule type="cellIs" dxfId="31697" priority="18638" stopIfTrue="1" operator="equal">
      <formula>"Towel"</formula>
    </cfRule>
    <cfRule type="cellIs" dxfId="31696" priority="18639" stopIfTrue="1" operator="equal">
      <formula>"Napkin Hs"</formula>
    </cfRule>
  </conditionalFormatting>
  <conditionalFormatting sqref="C16:C17">
    <cfRule type="cellIs" dxfId="31695" priority="18630" stopIfTrue="1" operator="equal">
      <formula>"Towel"</formula>
    </cfRule>
    <cfRule type="cellIs" dxfId="31694" priority="18631" stopIfTrue="1" operator="equal">
      <formula>"Napkin Hs"</formula>
    </cfRule>
  </conditionalFormatting>
  <conditionalFormatting sqref="C16:C17">
    <cfRule type="cellIs" dxfId="31693" priority="18632" stopIfTrue="1" operator="equal">
      <formula>"Towel"</formula>
    </cfRule>
    <cfRule type="cellIs" dxfId="31692" priority="18633" stopIfTrue="1" operator="equal">
      <formula>"Napkin Hs"</formula>
    </cfRule>
  </conditionalFormatting>
  <conditionalFormatting sqref="C16:C17">
    <cfRule type="cellIs" dxfId="31691" priority="18634" stopIfTrue="1" operator="equal">
      <formula>"Towel"</formula>
    </cfRule>
    <cfRule type="cellIs" dxfId="31690" priority="18635" stopIfTrue="1" operator="equal">
      <formula>"Napkin Hs"</formula>
    </cfRule>
  </conditionalFormatting>
  <conditionalFormatting sqref="B16:C17">
    <cfRule type="cellIs" dxfId="31689" priority="18628" stopIfTrue="1" operator="equal">
      <formula>"Towel"</formula>
    </cfRule>
    <cfRule type="cellIs" dxfId="31688" priority="18629" stopIfTrue="1" operator="equal">
      <formula>"Napkin Hs"</formula>
    </cfRule>
  </conditionalFormatting>
  <conditionalFormatting sqref="B16:C17">
    <cfRule type="cellIs" dxfId="31687" priority="18626" stopIfTrue="1" operator="equal">
      <formula>"Towel"</formula>
    </cfRule>
    <cfRule type="cellIs" dxfId="31686" priority="18627" stopIfTrue="1" operator="equal">
      <formula>"Napkin Hs"</formula>
    </cfRule>
  </conditionalFormatting>
  <conditionalFormatting sqref="B16:C17">
    <cfRule type="cellIs" dxfId="31685" priority="18602" stopIfTrue="1" operator="equal">
      <formula>"Towel"</formula>
    </cfRule>
  </conditionalFormatting>
  <conditionalFormatting sqref="B16:C17">
    <cfRule type="cellIs" dxfId="31684" priority="18603" stopIfTrue="1" operator="equal">
      <formula>"Napkin Hs"</formula>
    </cfRule>
    <cfRule type="cellIs" dxfId="31683" priority="18608" stopIfTrue="1" operator="equal">
      <formula>"Towel"</formula>
    </cfRule>
    <cfRule type="cellIs" dxfId="31682" priority="18609" stopIfTrue="1" operator="equal">
      <formula>"Napkin Hs"</formula>
    </cfRule>
    <cfRule type="cellIs" dxfId="31681" priority="18618" stopIfTrue="1" operator="equal">
      <formula>"Towel"</formula>
    </cfRule>
    <cfRule type="cellIs" dxfId="31680" priority="18619" stopIfTrue="1" operator="equal">
      <formula>"Napkin Hs"</formula>
    </cfRule>
    <cfRule type="cellIs" dxfId="31679" priority="18624" stopIfTrue="1" operator="equal">
      <formula>"Towel"</formula>
    </cfRule>
    <cfRule type="cellIs" dxfId="31678" priority="18625" stopIfTrue="1" operator="equal">
      <formula>"Napkin Hs"</formula>
    </cfRule>
  </conditionalFormatting>
  <conditionalFormatting sqref="C16:C17">
    <cfRule type="cellIs" dxfId="31677" priority="18604" stopIfTrue="1" operator="equal">
      <formula>"Towel"</formula>
    </cfRule>
    <cfRule type="cellIs" dxfId="31676" priority="18605" stopIfTrue="1" operator="equal">
      <formula>"Napkin Hs"</formula>
    </cfRule>
    <cfRule type="cellIs" dxfId="31675" priority="18606" stopIfTrue="1" operator="equal">
      <formula>"Towel"</formula>
    </cfRule>
    <cfRule type="cellIs" dxfId="31674" priority="18607" stopIfTrue="1" operator="equal">
      <formula>"Napkin Hs"</formula>
    </cfRule>
    <cfRule type="cellIs" dxfId="31673" priority="18610" stopIfTrue="1" operator="equal">
      <formula>"Towel"</formula>
    </cfRule>
    <cfRule type="cellIs" dxfId="31672" priority="18611" stopIfTrue="1" operator="equal">
      <formula>"Napkin Hs"</formula>
    </cfRule>
    <cfRule type="cellIs" dxfId="31671" priority="18612" stopIfTrue="1" operator="equal">
      <formula>"Towel"</formula>
    </cfRule>
    <cfRule type="cellIs" dxfId="31670" priority="18613" stopIfTrue="1" operator="equal">
      <formula>"Napkin Hs"</formula>
    </cfRule>
    <cfRule type="cellIs" dxfId="31669" priority="18614" stopIfTrue="1" operator="equal">
      <formula>"Towel"</formula>
    </cfRule>
    <cfRule type="cellIs" dxfId="31668" priority="18615" stopIfTrue="1" operator="equal">
      <formula>"Napkin Hs"</formula>
    </cfRule>
    <cfRule type="cellIs" dxfId="31667" priority="18616" stopIfTrue="1" operator="equal">
      <formula>"Towel"</formula>
    </cfRule>
    <cfRule type="cellIs" dxfId="31666" priority="18617" stopIfTrue="1" operator="equal">
      <formula>"Napkin Hs"</formula>
    </cfRule>
    <cfRule type="cellIs" dxfId="31665" priority="18620" stopIfTrue="1" operator="equal">
      <formula>"Towel"</formula>
    </cfRule>
    <cfRule type="cellIs" dxfId="31664" priority="18621" stopIfTrue="1" operator="equal">
      <formula>"Napkin Hs"</formula>
    </cfRule>
    <cfRule type="cellIs" dxfId="31663" priority="18623" stopIfTrue="1" operator="equal">
      <formula>"Napkin Hs"</formula>
    </cfRule>
  </conditionalFormatting>
  <conditionalFormatting sqref="C16:C17">
    <cfRule type="cellIs" dxfId="31662" priority="18622" stopIfTrue="1" operator="equal">
      <formula>"Towel"</formula>
    </cfRule>
  </conditionalFormatting>
  <conditionalFormatting sqref="B16:C17">
    <cfRule type="cellIs" dxfId="31661" priority="18600" stopIfTrue="1" operator="equal">
      <formula>"Towel"</formula>
    </cfRule>
    <cfRule type="cellIs" dxfId="31660" priority="18601" stopIfTrue="1" operator="equal">
      <formula>"Napkin Hs"</formula>
    </cfRule>
  </conditionalFormatting>
  <conditionalFormatting sqref="C16:C17">
    <cfRule type="cellIs" dxfId="31659" priority="18599" stopIfTrue="1" operator="equal">
      <formula>"Napkin Hs"</formula>
    </cfRule>
  </conditionalFormatting>
  <conditionalFormatting sqref="C16:C17">
    <cfRule type="cellIs" dxfId="31658" priority="18598" stopIfTrue="1" operator="equal">
      <formula>"Towel"</formula>
    </cfRule>
  </conditionalFormatting>
  <conditionalFormatting sqref="C16:C17">
    <cfRule type="cellIs" dxfId="31657" priority="18596" stopIfTrue="1" operator="equal">
      <formula>"Towel"</formula>
    </cfRule>
  </conditionalFormatting>
  <conditionalFormatting sqref="C16:C17">
    <cfRule type="cellIs" dxfId="31656" priority="18597" stopIfTrue="1" operator="equal">
      <formula>"Napkin Hs"</formula>
    </cfRule>
  </conditionalFormatting>
  <conditionalFormatting sqref="B16:B17">
    <cfRule type="cellIs" dxfId="31655" priority="18500" stopIfTrue="1" operator="equal">
      <formula>"Napkin Hs"</formula>
    </cfRule>
  </conditionalFormatting>
  <conditionalFormatting sqref="B16:C17">
    <cfRule type="cellIs" dxfId="31654" priority="18499" stopIfTrue="1" operator="equal">
      <formula>"Towel"</formula>
    </cfRule>
  </conditionalFormatting>
  <conditionalFormatting sqref="B16:C17">
    <cfRule type="cellIs" dxfId="31653" priority="18510" stopIfTrue="1" operator="equal">
      <formula>"Towel"</formula>
    </cfRule>
    <cfRule type="cellIs" dxfId="31652" priority="18511" stopIfTrue="1" operator="equal">
      <formula>"Napkin Hs"</formula>
    </cfRule>
    <cfRule type="cellIs" dxfId="31651" priority="18516" stopIfTrue="1" operator="equal">
      <formula>"Towel"</formula>
    </cfRule>
    <cfRule type="cellIs" dxfId="31650" priority="18517" stopIfTrue="1" operator="equal">
      <formula>"Napkin Hs"</formula>
    </cfRule>
    <cfRule type="cellIs" dxfId="31649" priority="18522" stopIfTrue="1" operator="equal">
      <formula>"Towel"</formula>
    </cfRule>
    <cfRule type="cellIs" dxfId="31648" priority="18523" stopIfTrue="1" operator="equal">
      <formula>"Napkin Hs"</formula>
    </cfRule>
    <cfRule type="cellIs" dxfId="31647" priority="18524" stopIfTrue="1" operator="equal">
      <formula>"Towel"</formula>
    </cfRule>
    <cfRule type="cellIs" dxfId="31646" priority="18525" stopIfTrue="1" operator="equal">
      <formula>"Napkin Hs"</formula>
    </cfRule>
    <cfRule type="cellIs" dxfId="31645" priority="18530" stopIfTrue="1" operator="equal">
      <formula>"Towel"</formula>
    </cfRule>
    <cfRule type="cellIs" dxfId="31644" priority="18531" stopIfTrue="1" operator="equal">
      <formula>"Napkin Hs"</formula>
    </cfRule>
    <cfRule type="cellIs" dxfId="31643" priority="18540" stopIfTrue="1" operator="equal">
      <formula>"Towel"</formula>
    </cfRule>
    <cfRule type="cellIs" dxfId="31642" priority="18541" stopIfTrue="1" operator="equal">
      <formula>"Napkin Hs"</formula>
    </cfRule>
    <cfRule type="cellIs" dxfId="31641" priority="18546" stopIfTrue="1" operator="equal">
      <formula>"Towel"</formula>
    </cfRule>
    <cfRule type="cellIs" dxfId="31640" priority="18547" stopIfTrue="1" operator="equal">
      <formula>"Napkin Hs"</formula>
    </cfRule>
    <cfRule type="cellIs" dxfId="31639" priority="18548" stopIfTrue="1" operator="equal">
      <formula>"Towel"</formula>
    </cfRule>
    <cfRule type="cellIs" dxfId="31638" priority="18549" stopIfTrue="1" operator="equal">
      <formula>"Napkin Hs"</formula>
    </cfRule>
    <cfRule type="cellIs" dxfId="31637" priority="18554" stopIfTrue="1" operator="equal">
      <formula>"Towel"</formula>
    </cfRule>
    <cfRule type="cellIs" dxfId="31636" priority="18555" stopIfTrue="1" operator="equal">
      <formula>"Napkin Hs"</formula>
    </cfRule>
    <cfRule type="cellIs" dxfId="31635" priority="18564" stopIfTrue="1" operator="equal">
      <formula>"Towel"</formula>
    </cfRule>
    <cfRule type="cellIs" dxfId="31634" priority="18565" stopIfTrue="1" operator="equal">
      <formula>"Napkin Hs"</formula>
    </cfRule>
    <cfRule type="cellIs" dxfId="31633" priority="18566" stopIfTrue="1" operator="equal">
      <formula>"Towel"</formula>
    </cfRule>
    <cfRule type="cellIs" dxfId="31632" priority="18567" stopIfTrue="1" operator="equal">
      <formula>"Napkin Hs"</formula>
    </cfRule>
    <cfRule type="cellIs" dxfId="31631" priority="18572" stopIfTrue="1" operator="equal">
      <formula>"Towel"</formula>
    </cfRule>
    <cfRule type="cellIs" dxfId="31630" priority="18573" stopIfTrue="1" operator="equal">
      <formula>"Napkin Hs"</formula>
    </cfRule>
    <cfRule type="cellIs" dxfId="31629" priority="18582" stopIfTrue="1" operator="equal">
      <formula>"Towel"</formula>
    </cfRule>
    <cfRule type="cellIs" dxfId="31628" priority="18583" stopIfTrue="1" operator="equal">
      <formula>"Napkin Hs"</formula>
    </cfRule>
    <cfRule type="cellIs" dxfId="31627" priority="18584" stopIfTrue="1" operator="equal">
      <formula>"Towel"</formula>
    </cfRule>
    <cfRule type="cellIs" dxfId="31626" priority="18585" stopIfTrue="1" operator="equal">
      <formula>"Napkin Hs"</formula>
    </cfRule>
    <cfRule type="cellIs" dxfId="31625" priority="18591" stopIfTrue="1" operator="equal">
      <formula>"Napkin Hs"</formula>
    </cfRule>
  </conditionalFormatting>
  <conditionalFormatting sqref="B16:C17">
    <cfRule type="cellIs" dxfId="31624" priority="18590" stopIfTrue="1" operator="equal">
      <formula>"Towel"</formula>
    </cfRule>
  </conditionalFormatting>
  <conditionalFormatting sqref="C16:C17">
    <cfRule type="cellIs" dxfId="31623" priority="18501" stopIfTrue="1" operator="equal">
      <formula>"Napkin Hs"</formula>
    </cfRule>
    <cfRule type="cellIs" dxfId="31622" priority="18502" stopIfTrue="1" operator="equal">
      <formula>"Towel"</formula>
    </cfRule>
    <cfRule type="cellIs" dxfId="31621" priority="18503" stopIfTrue="1" operator="equal">
      <formula>"Napkin Hs"</formula>
    </cfRule>
    <cfRule type="cellIs" dxfId="31620" priority="18504" stopIfTrue="1" operator="equal">
      <formula>"Towel"</formula>
    </cfRule>
    <cfRule type="cellIs" dxfId="31619" priority="18505" stopIfTrue="1" operator="equal">
      <formula>"Napkin Hs"</formula>
    </cfRule>
    <cfRule type="cellIs" dxfId="31618" priority="18506" stopIfTrue="1" operator="equal">
      <formula>"Towel"</formula>
    </cfRule>
    <cfRule type="cellIs" dxfId="31617" priority="18507" stopIfTrue="1" operator="equal">
      <formula>"Napkin Hs"</formula>
    </cfRule>
    <cfRule type="cellIs" dxfId="31616" priority="18508" stopIfTrue="1" operator="equal">
      <formula>"Towel"</formula>
    </cfRule>
    <cfRule type="cellIs" dxfId="31615" priority="18509" stopIfTrue="1" operator="equal">
      <formula>"Napkin Hs"</formula>
    </cfRule>
    <cfRule type="cellIs" dxfId="31614" priority="18512" stopIfTrue="1" operator="equal">
      <formula>"Towel"</formula>
    </cfRule>
    <cfRule type="cellIs" dxfId="31613" priority="18513" stopIfTrue="1" operator="equal">
      <formula>"Napkin Hs"</formula>
    </cfRule>
    <cfRule type="cellIs" dxfId="31612" priority="18514" stopIfTrue="1" operator="equal">
      <formula>"Towel"</formula>
    </cfRule>
    <cfRule type="cellIs" dxfId="31611" priority="18515" stopIfTrue="1" operator="equal">
      <formula>"Napkin Hs"</formula>
    </cfRule>
    <cfRule type="cellIs" dxfId="31610" priority="18518" stopIfTrue="1" operator="equal">
      <formula>"Towel"</formula>
    </cfRule>
    <cfRule type="cellIs" dxfId="31609" priority="18519" stopIfTrue="1" operator="equal">
      <formula>"Napkin Hs"</formula>
    </cfRule>
    <cfRule type="cellIs" dxfId="31608" priority="18520" stopIfTrue="1" operator="equal">
      <formula>"Towel"</formula>
    </cfRule>
    <cfRule type="cellIs" dxfId="31607" priority="18521" stopIfTrue="1" operator="equal">
      <formula>"Napkin Hs"</formula>
    </cfRule>
    <cfRule type="cellIs" dxfId="31606" priority="18526" stopIfTrue="1" operator="equal">
      <formula>"Towel"</formula>
    </cfRule>
    <cfRule type="cellIs" dxfId="31605" priority="18527" stopIfTrue="1" operator="equal">
      <formula>"Napkin Hs"</formula>
    </cfRule>
    <cfRule type="cellIs" dxfId="31604" priority="18528" stopIfTrue="1" operator="equal">
      <formula>"Towel"</formula>
    </cfRule>
    <cfRule type="cellIs" dxfId="31603" priority="18529" stopIfTrue="1" operator="equal">
      <formula>"Napkin Hs"</formula>
    </cfRule>
    <cfRule type="cellIs" dxfId="31602" priority="18532" stopIfTrue="1" operator="equal">
      <formula>"Towel"</formula>
    </cfRule>
    <cfRule type="cellIs" dxfId="31601" priority="18533" stopIfTrue="1" operator="equal">
      <formula>"Napkin Hs"</formula>
    </cfRule>
    <cfRule type="cellIs" dxfId="31600" priority="18534" stopIfTrue="1" operator="equal">
      <formula>"Towel"</formula>
    </cfRule>
    <cfRule type="cellIs" dxfId="31599" priority="18535" stopIfTrue="1" operator="equal">
      <formula>"Napkin Hs"</formula>
    </cfRule>
    <cfRule type="cellIs" dxfId="31598" priority="18536" stopIfTrue="1" operator="equal">
      <formula>"Towel"</formula>
    </cfRule>
    <cfRule type="cellIs" dxfId="31597" priority="18537" stopIfTrue="1" operator="equal">
      <formula>"Napkin Hs"</formula>
    </cfRule>
    <cfRule type="cellIs" dxfId="31596" priority="18538" stopIfTrue="1" operator="equal">
      <formula>"Towel"</formula>
    </cfRule>
    <cfRule type="cellIs" dxfId="31595" priority="18539" stopIfTrue="1" operator="equal">
      <formula>"Napkin Hs"</formula>
    </cfRule>
    <cfRule type="cellIs" dxfId="31594" priority="18542" stopIfTrue="1" operator="equal">
      <formula>"Towel"</formula>
    </cfRule>
    <cfRule type="cellIs" dxfId="31593" priority="18543" stopIfTrue="1" operator="equal">
      <formula>"Napkin Hs"</formula>
    </cfRule>
    <cfRule type="cellIs" dxfId="31592" priority="18544" stopIfTrue="1" operator="equal">
      <formula>"Towel"</formula>
    </cfRule>
    <cfRule type="cellIs" dxfId="31591" priority="18545" stopIfTrue="1" operator="equal">
      <formula>"Napkin Hs"</formula>
    </cfRule>
    <cfRule type="cellIs" dxfId="31590" priority="18550" stopIfTrue="1" operator="equal">
      <formula>"Towel"</formula>
    </cfRule>
    <cfRule type="cellIs" dxfId="31589" priority="18551" stopIfTrue="1" operator="equal">
      <formula>"Napkin Hs"</formula>
    </cfRule>
    <cfRule type="cellIs" dxfId="31588" priority="18552" stopIfTrue="1" operator="equal">
      <formula>"Towel"</formula>
    </cfRule>
    <cfRule type="cellIs" dxfId="31587" priority="18553" stopIfTrue="1" operator="equal">
      <formula>"Napkin Hs"</formula>
    </cfRule>
    <cfRule type="cellIs" dxfId="31586" priority="18556" stopIfTrue="1" operator="equal">
      <formula>"Towel"</formula>
    </cfRule>
    <cfRule type="cellIs" dxfId="31585" priority="18557" stopIfTrue="1" operator="equal">
      <formula>"Napkin Hs"</formula>
    </cfRule>
    <cfRule type="cellIs" dxfId="31584" priority="18558" stopIfTrue="1" operator="equal">
      <formula>"Towel"</formula>
    </cfRule>
    <cfRule type="cellIs" dxfId="31583" priority="18559" stopIfTrue="1" operator="equal">
      <formula>"Napkin Hs"</formula>
    </cfRule>
    <cfRule type="cellIs" dxfId="31582" priority="18560" stopIfTrue="1" operator="equal">
      <formula>"Towel"</formula>
    </cfRule>
    <cfRule type="cellIs" dxfId="31581" priority="18561" stopIfTrue="1" operator="equal">
      <formula>"Napkin Hs"</formula>
    </cfRule>
    <cfRule type="cellIs" dxfId="31580" priority="18562" stopIfTrue="1" operator="equal">
      <formula>"Towel"</formula>
    </cfRule>
    <cfRule type="cellIs" dxfId="31579" priority="18563" stopIfTrue="1" operator="equal">
      <formula>"Napkin Hs"</formula>
    </cfRule>
    <cfRule type="cellIs" dxfId="31578" priority="18568" stopIfTrue="1" operator="equal">
      <formula>"Towel"</formula>
    </cfRule>
    <cfRule type="cellIs" dxfId="31577" priority="18569" stopIfTrue="1" operator="equal">
      <formula>"Napkin Hs"</formula>
    </cfRule>
    <cfRule type="cellIs" dxfId="31576" priority="18570" stopIfTrue="1" operator="equal">
      <formula>"Towel"</formula>
    </cfRule>
    <cfRule type="cellIs" dxfId="31575" priority="18571" stopIfTrue="1" operator="equal">
      <formula>"Napkin Hs"</formula>
    </cfRule>
    <cfRule type="cellIs" dxfId="31574" priority="18574" stopIfTrue="1" operator="equal">
      <formula>"Towel"</formula>
    </cfRule>
    <cfRule type="cellIs" dxfId="31573" priority="18575" stopIfTrue="1" operator="equal">
      <formula>"Napkin Hs"</formula>
    </cfRule>
    <cfRule type="cellIs" dxfId="31572" priority="18576" stopIfTrue="1" operator="equal">
      <formula>"Towel"</formula>
    </cfRule>
    <cfRule type="cellIs" dxfId="31571" priority="18577" stopIfTrue="1" operator="equal">
      <formula>"Napkin Hs"</formula>
    </cfRule>
    <cfRule type="cellIs" dxfId="31570" priority="18578" stopIfTrue="1" operator="equal">
      <formula>"Towel"</formula>
    </cfRule>
    <cfRule type="cellIs" dxfId="31569" priority="18579" stopIfTrue="1" operator="equal">
      <formula>"Napkin Hs"</formula>
    </cfRule>
    <cfRule type="cellIs" dxfId="31568" priority="18580" stopIfTrue="1" operator="equal">
      <formula>"Towel"</formula>
    </cfRule>
    <cfRule type="cellIs" dxfId="31567" priority="18581" stopIfTrue="1" operator="equal">
      <formula>"Napkin Hs"</formula>
    </cfRule>
    <cfRule type="cellIs" dxfId="31566" priority="18586" stopIfTrue="1" operator="equal">
      <formula>"Towel"</formula>
    </cfRule>
    <cfRule type="cellIs" dxfId="31565" priority="18587" stopIfTrue="1" operator="equal">
      <formula>"Napkin Hs"</formula>
    </cfRule>
    <cfRule type="cellIs" dxfId="31564" priority="18588" stopIfTrue="1" operator="equal">
      <formula>"Towel"</formula>
    </cfRule>
    <cfRule type="cellIs" dxfId="31563" priority="18589" stopIfTrue="1" operator="equal">
      <formula>"Napkin Hs"</formula>
    </cfRule>
    <cfRule type="cellIs" dxfId="31562" priority="18592" stopIfTrue="1" operator="equal">
      <formula>"Towel"</formula>
    </cfRule>
    <cfRule type="cellIs" dxfId="31561" priority="18593" stopIfTrue="1" operator="equal">
      <formula>"Napkin Hs"</formula>
    </cfRule>
    <cfRule type="cellIs" dxfId="31560" priority="18594" stopIfTrue="1" operator="equal">
      <formula>"Towel"</formula>
    </cfRule>
    <cfRule type="cellIs" dxfId="31559" priority="18595" stopIfTrue="1" operator="equal">
      <formula>"Napkin Hs"</formula>
    </cfRule>
  </conditionalFormatting>
  <conditionalFormatting sqref="C16:C17">
    <cfRule type="cellIs" dxfId="31558" priority="18498" stopIfTrue="1" operator="equal">
      <formula>"Napkin Hs"</formula>
    </cfRule>
  </conditionalFormatting>
  <conditionalFormatting sqref="C16:C17">
    <cfRule type="cellIs" dxfId="31557" priority="18497" stopIfTrue="1" operator="equal">
      <formula>"Napkin Hs"</formula>
    </cfRule>
  </conditionalFormatting>
  <conditionalFormatting sqref="B16:B17">
    <cfRule type="cellIs" dxfId="31556" priority="18496" stopIfTrue="1" operator="equal">
      <formula>"Napkin Hs"</formula>
    </cfRule>
  </conditionalFormatting>
  <conditionalFormatting sqref="C16:C17">
    <cfRule type="cellIs" dxfId="31555" priority="18495" stopIfTrue="1" operator="equal">
      <formula>"Napkin Hs"</formula>
    </cfRule>
  </conditionalFormatting>
  <conditionalFormatting sqref="C16:C17">
    <cfRule type="cellIs" dxfId="31554" priority="18494" stopIfTrue="1" operator="equal">
      <formula>"Napkin Hs"</formula>
    </cfRule>
  </conditionalFormatting>
  <conditionalFormatting sqref="C16:C17">
    <cfRule type="cellIs" dxfId="31553" priority="18493" stopIfTrue="1" operator="equal">
      <formula>"Napkin Hs"</formula>
    </cfRule>
  </conditionalFormatting>
  <conditionalFormatting sqref="C16:C17">
    <cfRule type="cellIs" dxfId="31552" priority="18492" stopIfTrue="1" operator="equal">
      <formula>"Napkin Hs"</formula>
    </cfRule>
  </conditionalFormatting>
  <conditionalFormatting sqref="B16:B17">
    <cfRule type="cellIs" dxfId="31551" priority="18491" stopIfTrue="1" operator="equal">
      <formula>"Napkin Hs"</formula>
    </cfRule>
  </conditionalFormatting>
  <conditionalFormatting sqref="B16:B17">
    <cfRule type="cellIs" dxfId="31550" priority="18490" stopIfTrue="1" operator="equal">
      <formula>"Napkin Hs"</formula>
    </cfRule>
  </conditionalFormatting>
  <conditionalFormatting sqref="C16:C17">
    <cfRule type="cellIs" dxfId="31549" priority="18486" stopIfTrue="1" operator="equal">
      <formula>"Towel"</formula>
    </cfRule>
    <cfRule type="cellIs" dxfId="31548" priority="18487" stopIfTrue="1" operator="equal">
      <formula>"Napkin Hs"</formula>
    </cfRule>
  </conditionalFormatting>
  <conditionalFormatting sqref="C16:C17">
    <cfRule type="cellIs" dxfId="31547" priority="18488" stopIfTrue="1" operator="equal">
      <formula>"Towel"</formula>
    </cfRule>
    <cfRule type="cellIs" dxfId="31546" priority="18489" stopIfTrue="1" operator="equal">
      <formula>"Napkin Hs"</formula>
    </cfRule>
  </conditionalFormatting>
  <conditionalFormatting sqref="C16:C17">
    <cfRule type="cellIs" dxfId="31545" priority="18482" stopIfTrue="1" operator="equal">
      <formula>"Towel"</formula>
    </cfRule>
    <cfRule type="cellIs" dxfId="31544" priority="18483" stopIfTrue="1" operator="equal">
      <formula>"Napkin Hs"</formula>
    </cfRule>
  </conditionalFormatting>
  <conditionalFormatting sqref="C16:C17">
    <cfRule type="cellIs" dxfId="31543" priority="18484" stopIfTrue="1" operator="equal">
      <formula>"Towel"</formula>
    </cfRule>
    <cfRule type="cellIs" dxfId="31542" priority="18485" stopIfTrue="1" operator="equal">
      <formula>"Napkin Hs"</formula>
    </cfRule>
  </conditionalFormatting>
  <conditionalFormatting sqref="B23">
    <cfRule type="cellIs" dxfId="31541" priority="18480" stopIfTrue="1" operator="equal">
      <formula>"Towel"</formula>
    </cfRule>
    <cfRule type="cellIs" dxfId="31540" priority="18481" stopIfTrue="1" operator="equal">
      <formula>"Napkin Hs"</formula>
    </cfRule>
  </conditionalFormatting>
  <conditionalFormatting sqref="B23">
    <cfRule type="cellIs" dxfId="31539" priority="18478" stopIfTrue="1" operator="equal">
      <formula>"Towel"</formula>
    </cfRule>
    <cfRule type="cellIs" dxfId="31538" priority="18479" stopIfTrue="1" operator="equal">
      <formula>"Napkin Hs"</formula>
    </cfRule>
  </conditionalFormatting>
  <conditionalFormatting sqref="C23">
    <cfRule type="cellIs" dxfId="31537" priority="18454" stopIfTrue="1" operator="equal">
      <formula>"Towel"</formula>
    </cfRule>
  </conditionalFormatting>
  <conditionalFormatting sqref="C23">
    <cfRule type="cellIs" dxfId="31536" priority="18455" stopIfTrue="1" operator="equal">
      <formula>"Napkin Hs"</formula>
    </cfRule>
    <cfRule type="cellIs" dxfId="31535" priority="18460" stopIfTrue="1" operator="equal">
      <formula>"Towel"</formula>
    </cfRule>
    <cfRule type="cellIs" dxfId="31534" priority="18461" stopIfTrue="1" operator="equal">
      <formula>"Napkin Hs"</formula>
    </cfRule>
    <cfRule type="cellIs" dxfId="31533" priority="18470" stopIfTrue="1" operator="equal">
      <formula>"Towel"</formula>
    </cfRule>
    <cfRule type="cellIs" dxfId="31532" priority="18471" stopIfTrue="1" operator="equal">
      <formula>"Napkin Hs"</formula>
    </cfRule>
    <cfRule type="cellIs" dxfId="31531" priority="18476" stopIfTrue="1" operator="equal">
      <formula>"Towel"</formula>
    </cfRule>
    <cfRule type="cellIs" dxfId="31530" priority="18477" stopIfTrue="1" operator="equal">
      <formula>"Napkin Hs"</formula>
    </cfRule>
  </conditionalFormatting>
  <conditionalFormatting sqref="C23">
    <cfRule type="cellIs" dxfId="31529" priority="18456" stopIfTrue="1" operator="equal">
      <formula>"Towel"</formula>
    </cfRule>
    <cfRule type="cellIs" dxfId="31528" priority="18457" stopIfTrue="1" operator="equal">
      <formula>"Napkin Hs"</formula>
    </cfRule>
    <cfRule type="cellIs" dxfId="31527" priority="18458" stopIfTrue="1" operator="equal">
      <formula>"Towel"</formula>
    </cfRule>
    <cfRule type="cellIs" dxfId="31526" priority="18459" stopIfTrue="1" operator="equal">
      <formula>"Napkin Hs"</formula>
    </cfRule>
    <cfRule type="cellIs" dxfId="31525" priority="18462" stopIfTrue="1" operator="equal">
      <formula>"Towel"</formula>
    </cfRule>
    <cfRule type="cellIs" dxfId="31524" priority="18463" stopIfTrue="1" operator="equal">
      <formula>"Napkin Hs"</formula>
    </cfRule>
    <cfRule type="cellIs" dxfId="31523" priority="18464" stopIfTrue="1" operator="equal">
      <formula>"Towel"</formula>
    </cfRule>
    <cfRule type="cellIs" dxfId="31522" priority="18465" stopIfTrue="1" operator="equal">
      <formula>"Napkin Hs"</formula>
    </cfRule>
    <cfRule type="cellIs" dxfId="31521" priority="18466" stopIfTrue="1" operator="equal">
      <formula>"Towel"</formula>
    </cfRule>
    <cfRule type="cellIs" dxfId="31520" priority="18467" stopIfTrue="1" operator="equal">
      <formula>"Napkin Hs"</formula>
    </cfRule>
    <cfRule type="cellIs" dxfId="31519" priority="18468" stopIfTrue="1" operator="equal">
      <formula>"Towel"</formula>
    </cfRule>
    <cfRule type="cellIs" dxfId="31518" priority="18469" stopIfTrue="1" operator="equal">
      <formula>"Napkin Hs"</formula>
    </cfRule>
    <cfRule type="cellIs" dxfId="31517" priority="18472" stopIfTrue="1" operator="equal">
      <formula>"Towel"</formula>
    </cfRule>
    <cfRule type="cellIs" dxfId="31516" priority="18473" stopIfTrue="1" operator="equal">
      <formula>"Napkin Hs"</formula>
    </cfRule>
    <cfRule type="cellIs" dxfId="31515" priority="18475" stopIfTrue="1" operator="equal">
      <formula>"Napkin Hs"</formula>
    </cfRule>
  </conditionalFormatting>
  <conditionalFormatting sqref="C23">
    <cfRule type="cellIs" dxfId="31514" priority="18474" stopIfTrue="1" operator="equal">
      <formula>"Towel"</formula>
    </cfRule>
  </conditionalFormatting>
  <conditionalFormatting sqref="C23">
    <cfRule type="cellIs" dxfId="31513" priority="18452" stopIfTrue="1" operator="equal">
      <formula>"Towel"</formula>
    </cfRule>
    <cfRule type="cellIs" dxfId="31512" priority="18453" stopIfTrue="1" operator="equal">
      <formula>"Napkin Hs"</formula>
    </cfRule>
  </conditionalFormatting>
  <conditionalFormatting sqref="C23">
    <cfRule type="cellIs" dxfId="31511" priority="18451" stopIfTrue="1" operator="equal">
      <formula>"Napkin Hs"</formula>
    </cfRule>
  </conditionalFormatting>
  <conditionalFormatting sqref="C23">
    <cfRule type="cellIs" dxfId="31510" priority="18450" stopIfTrue="1" operator="equal">
      <formula>"Towel"</formula>
    </cfRule>
  </conditionalFormatting>
  <conditionalFormatting sqref="C23">
    <cfRule type="cellIs" dxfId="31509" priority="18448" stopIfTrue="1" operator="equal">
      <formula>"Towel"</formula>
    </cfRule>
  </conditionalFormatting>
  <conditionalFormatting sqref="C23">
    <cfRule type="cellIs" dxfId="31508" priority="18449" stopIfTrue="1" operator="equal">
      <formula>"Napkin Hs"</formula>
    </cfRule>
  </conditionalFormatting>
  <conditionalFormatting sqref="C23">
    <cfRule type="cellIs" dxfId="31507" priority="18352" stopIfTrue="1" operator="equal">
      <formula>"Towel"</formula>
    </cfRule>
  </conditionalFormatting>
  <conditionalFormatting sqref="C23">
    <cfRule type="cellIs" dxfId="31506" priority="18362" stopIfTrue="1" operator="equal">
      <formula>"Towel"</formula>
    </cfRule>
    <cfRule type="cellIs" dxfId="31505" priority="18363" stopIfTrue="1" operator="equal">
      <formula>"Napkin Hs"</formula>
    </cfRule>
    <cfRule type="cellIs" dxfId="31504" priority="18368" stopIfTrue="1" operator="equal">
      <formula>"Towel"</formula>
    </cfRule>
    <cfRule type="cellIs" dxfId="31503" priority="18369" stopIfTrue="1" operator="equal">
      <formula>"Napkin Hs"</formula>
    </cfRule>
    <cfRule type="cellIs" dxfId="31502" priority="18374" stopIfTrue="1" operator="equal">
      <formula>"Towel"</formula>
    </cfRule>
    <cfRule type="cellIs" dxfId="31501" priority="18375" stopIfTrue="1" operator="equal">
      <formula>"Napkin Hs"</formula>
    </cfRule>
    <cfRule type="cellIs" dxfId="31500" priority="18376" stopIfTrue="1" operator="equal">
      <formula>"Towel"</formula>
    </cfRule>
    <cfRule type="cellIs" dxfId="31499" priority="18377" stopIfTrue="1" operator="equal">
      <formula>"Napkin Hs"</formula>
    </cfRule>
    <cfRule type="cellIs" dxfId="31498" priority="18382" stopIfTrue="1" operator="equal">
      <formula>"Towel"</formula>
    </cfRule>
    <cfRule type="cellIs" dxfId="31497" priority="18383" stopIfTrue="1" operator="equal">
      <formula>"Napkin Hs"</formula>
    </cfRule>
    <cfRule type="cellIs" dxfId="31496" priority="18392" stopIfTrue="1" operator="equal">
      <formula>"Towel"</formula>
    </cfRule>
    <cfRule type="cellIs" dxfId="31495" priority="18393" stopIfTrue="1" operator="equal">
      <formula>"Napkin Hs"</formula>
    </cfRule>
    <cfRule type="cellIs" dxfId="31494" priority="18398" stopIfTrue="1" operator="equal">
      <formula>"Towel"</formula>
    </cfRule>
    <cfRule type="cellIs" dxfId="31493" priority="18399" stopIfTrue="1" operator="equal">
      <formula>"Napkin Hs"</formula>
    </cfRule>
    <cfRule type="cellIs" dxfId="31492" priority="18400" stopIfTrue="1" operator="equal">
      <formula>"Towel"</formula>
    </cfRule>
    <cfRule type="cellIs" dxfId="31491" priority="18401" stopIfTrue="1" operator="equal">
      <formula>"Napkin Hs"</formula>
    </cfRule>
    <cfRule type="cellIs" dxfId="31490" priority="18406" stopIfTrue="1" operator="equal">
      <formula>"Towel"</formula>
    </cfRule>
    <cfRule type="cellIs" dxfId="31489" priority="18407" stopIfTrue="1" operator="equal">
      <formula>"Napkin Hs"</formula>
    </cfRule>
    <cfRule type="cellIs" dxfId="31488" priority="18416" stopIfTrue="1" operator="equal">
      <formula>"Towel"</formula>
    </cfRule>
    <cfRule type="cellIs" dxfId="31487" priority="18417" stopIfTrue="1" operator="equal">
      <formula>"Napkin Hs"</formula>
    </cfRule>
    <cfRule type="cellIs" dxfId="31486" priority="18418" stopIfTrue="1" operator="equal">
      <formula>"Towel"</formula>
    </cfRule>
    <cfRule type="cellIs" dxfId="31485" priority="18419" stopIfTrue="1" operator="equal">
      <formula>"Napkin Hs"</formula>
    </cfRule>
    <cfRule type="cellIs" dxfId="31484" priority="18424" stopIfTrue="1" operator="equal">
      <formula>"Towel"</formula>
    </cfRule>
    <cfRule type="cellIs" dxfId="31483" priority="18425" stopIfTrue="1" operator="equal">
      <formula>"Napkin Hs"</formula>
    </cfRule>
    <cfRule type="cellIs" dxfId="31482" priority="18434" stopIfTrue="1" operator="equal">
      <formula>"Towel"</formula>
    </cfRule>
    <cfRule type="cellIs" dxfId="31481" priority="18435" stopIfTrue="1" operator="equal">
      <formula>"Napkin Hs"</formula>
    </cfRule>
    <cfRule type="cellIs" dxfId="31480" priority="18436" stopIfTrue="1" operator="equal">
      <formula>"Towel"</formula>
    </cfRule>
    <cfRule type="cellIs" dxfId="31479" priority="18437" stopIfTrue="1" operator="equal">
      <formula>"Napkin Hs"</formula>
    </cfRule>
    <cfRule type="cellIs" dxfId="31478" priority="18443" stopIfTrue="1" operator="equal">
      <formula>"Napkin Hs"</formula>
    </cfRule>
  </conditionalFormatting>
  <conditionalFormatting sqref="C23">
    <cfRule type="cellIs" dxfId="31477" priority="18442" stopIfTrue="1" operator="equal">
      <formula>"Towel"</formula>
    </cfRule>
  </conditionalFormatting>
  <conditionalFormatting sqref="C23">
    <cfRule type="cellIs" dxfId="31476" priority="18353" stopIfTrue="1" operator="equal">
      <formula>"Napkin Hs"</formula>
    </cfRule>
    <cfRule type="cellIs" dxfId="31475" priority="18354" stopIfTrue="1" operator="equal">
      <formula>"Towel"</formula>
    </cfRule>
    <cfRule type="cellIs" dxfId="31474" priority="18355" stopIfTrue="1" operator="equal">
      <formula>"Napkin Hs"</formula>
    </cfRule>
    <cfRule type="cellIs" dxfId="31473" priority="18356" stopIfTrue="1" operator="equal">
      <formula>"Towel"</formula>
    </cfRule>
    <cfRule type="cellIs" dxfId="31472" priority="18357" stopIfTrue="1" operator="equal">
      <formula>"Napkin Hs"</formula>
    </cfRule>
    <cfRule type="cellIs" dxfId="31471" priority="18358" stopIfTrue="1" operator="equal">
      <formula>"Towel"</formula>
    </cfRule>
    <cfRule type="cellIs" dxfId="31470" priority="18359" stopIfTrue="1" operator="equal">
      <formula>"Napkin Hs"</formula>
    </cfRule>
    <cfRule type="cellIs" dxfId="31469" priority="18360" stopIfTrue="1" operator="equal">
      <formula>"Towel"</formula>
    </cfRule>
    <cfRule type="cellIs" dxfId="31468" priority="18361" stopIfTrue="1" operator="equal">
      <formula>"Napkin Hs"</formula>
    </cfRule>
    <cfRule type="cellIs" dxfId="31467" priority="18364" stopIfTrue="1" operator="equal">
      <formula>"Towel"</formula>
    </cfRule>
    <cfRule type="cellIs" dxfId="31466" priority="18365" stopIfTrue="1" operator="equal">
      <formula>"Napkin Hs"</formula>
    </cfRule>
    <cfRule type="cellIs" dxfId="31465" priority="18366" stopIfTrue="1" operator="equal">
      <formula>"Towel"</formula>
    </cfRule>
    <cfRule type="cellIs" dxfId="31464" priority="18367" stopIfTrue="1" operator="equal">
      <formula>"Napkin Hs"</formula>
    </cfRule>
    <cfRule type="cellIs" dxfId="31463" priority="18370" stopIfTrue="1" operator="equal">
      <formula>"Towel"</formula>
    </cfRule>
    <cfRule type="cellIs" dxfId="31462" priority="18371" stopIfTrue="1" operator="equal">
      <formula>"Napkin Hs"</formula>
    </cfRule>
    <cfRule type="cellIs" dxfId="31461" priority="18372" stopIfTrue="1" operator="equal">
      <formula>"Towel"</formula>
    </cfRule>
    <cfRule type="cellIs" dxfId="31460" priority="18373" stopIfTrue="1" operator="equal">
      <formula>"Napkin Hs"</formula>
    </cfRule>
    <cfRule type="cellIs" dxfId="31459" priority="18378" stopIfTrue="1" operator="equal">
      <formula>"Towel"</formula>
    </cfRule>
    <cfRule type="cellIs" dxfId="31458" priority="18379" stopIfTrue="1" operator="equal">
      <formula>"Napkin Hs"</formula>
    </cfRule>
    <cfRule type="cellIs" dxfId="31457" priority="18380" stopIfTrue="1" operator="equal">
      <formula>"Towel"</formula>
    </cfRule>
    <cfRule type="cellIs" dxfId="31456" priority="18381" stopIfTrue="1" operator="equal">
      <formula>"Napkin Hs"</formula>
    </cfRule>
    <cfRule type="cellIs" dxfId="31455" priority="18384" stopIfTrue="1" operator="equal">
      <formula>"Towel"</formula>
    </cfRule>
    <cfRule type="cellIs" dxfId="31454" priority="18385" stopIfTrue="1" operator="equal">
      <formula>"Napkin Hs"</formula>
    </cfRule>
    <cfRule type="cellIs" dxfId="31453" priority="18386" stopIfTrue="1" operator="equal">
      <formula>"Towel"</formula>
    </cfRule>
    <cfRule type="cellIs" dxfId="31452" priority="18387" stopIfTrue="1" operator="equal">
      <formula>"Napkin Hs"</formula>
    </cfRule>
    <cfRule type="cellIs" dxfId="31451" priority="18388" stopIfTrue="1" operator="equal">
      <formula>"Towel"</formula>
    </cfRule>
    <cfRule type="cellIs" dxfId="31450" priority="18389" stopIfTrue="1" operator="equal">
      <formula>"Napkin Hs"</formula>
    </cfRule>
    <cfRule type="cellIs" dxfId="31449" priority="18390" stopIfTrue="1" operator="equal">
      <formula>"Towel"</formula>
    </cfRule>
    <cfRule type="cellIs" dxfId="31448" priority="18391" stopIfTrue="1" operator="equal">
      <formula>"Napkin Hs"</formula>
    </cfRule>
    <cfRule type="cellIs" dxfId="31447" priority="18394" stopIfTrue="1" operator="equal">
      <formula>"Towel"</formula>
    </cfRule>
    <cfRule type="cellIs" dxfId="31446" priority="18395" stopIfTrue="1" operator="equal">
      <formula>"Napkin Hs"</formula>
    </cfRule>
    <cfRule type="cellIs" dxfId="31445" priority="18396" stopIfTrue="1" operator="equal">
      <formula>"Towel"</formula>
    </cfRule>
    <cfRule type="cellIs" dxfId="31444" priority="18397" stopIfTrue="1" operator="equal">
      <formula>"Napkin Hs"</formula>
    </cfRule>
    <cfRule type="cellIs" dxfId="31443" priority="18402" stopIfTrue="1" operator="equal">
      <formula>"Towel"</formula>
    </cfRule>
    <cfRule type="cellIs" dxfId="31442" priority="18403" stopIfTrue="1" operator="equal">
      <formula>"Napkin Hs"</formula>
    </cfRule>
    <cfRule type="cellIs" dxfId="31441" priority="18404" stopIfTrue="1" operator="equal">
      <formula>"Towel"</formula>
    </cfRule>
    <cfRule type="cellIs" dxfId="31440" priority="18405" stopIfTrue="1" operator="equal">
      <formula>"Napkin Hs"</formula>
    </cfRule>
    <cfRule type="cellIs" dxfId="31439" priority="18408" stopIfTrue="1" operator="equal">
      <formula>"Towel"</formula>
    </cfRule>
    <cfRule type="cellIs" dxfId="31438" priority="18409" stopIfTrue="1" operator="equal">
      <formula>"Napkin Hs"</formula>
    </cfRule>
    <cfRule type="cellIs" dxfId="31437" priority="18410" stopIfTrue="1" operator="equal">
      <formula>"Towel"</formula>
    </cfRule>
    <cfRule type="cellIs" dxfId="31436" priority="18411" stopIfTrue="1" operator="equal">
      <formula>"Napkin Hs"</formula>
    </cfRule>
    <cfRule type="cellIs" dxfId="31435" priority="18412" stopIfTrue="1" operator="equal">
      <formula>"Towel"</formula>
    </cfRule>
    <cfRule type="cellIs" dxfId="31434" priority="18413" stopIfTrue="1" operator="equal">
      <formula>"Napkin Hs"</formula>
    </cfRule>
    <cfRule type="cellIs" dxfId="31433" priority="18414" stopIfTrue="1" operator="equal">
      <formula>"Towel"</formula>
    </cfRule>
    <cfRule type="cellIs" dxfId="31432" priority="18415" stopIfTrue="1" operator="equal">
      <formula>"Napkin Hs"</formula>
    </cfRule>
    <cfRule type="cellIs" dxfId="31431" priority="18420" stopIfTrue="1" operator="equal">
      <formula>"Towel"</formula>
    </cfRule>
    <cfRule type="cellIs" dxfId="31430" priority="18421" stopIfTrue="1" operator="equal">
      <formula>"Napkin Hs"</formula>
    </cfRule>
    <cfRule type="cellIs" dxfId="31429" priority="18422" stopIfTrue="1" operator="equal">
      <formula>"Towel"</formula>
    </cfRule>
    <cfRule type="cellIs" dxfId="31428" priority="18423" stopIfTrue="1" operator="equal">
      <formula>"Napkin Hs"</formula>
    </cfRule>
    <cfRule type="cellIs" dxfId="31427" priority="18426" stopIfTrue="1" operator="equal">
      <formula>"Towel"</formula>
    </cfRule>
    <cfRule type="cellIs" dxfId="31426" priority="18427" stopIfTrue="1" operator="equal">
      <formula>"Napkin Hs"</formula>
    </cfRule>
    <cfRule type="cellIs" dxfId="31425" priority="18428" stopIfTrue="1" operator="equal">
      <formula>"Towel"</formula>
    </cfRule>
    <cfRule type="cellIs" dxfId="31424" priority="18429" stopIfTrue="1" operator="equal">
      <formula>"Napkin Hs"</formula>
    </cfRule>
    <cfRule type="cellIs" dxfId="31423" priority="18430" stopIfTrue="1" operator="equal">
      <formula>"Towel"</formula>
    </cfRule>
    <cfRule type="cellIs" dxfId="31422" priority="18431" stopIfTrue="1" operator="equal">
      <formula>"Napkin Hs"</formula>
    </cfRule>
    <cfRule type="cellIs" dxfId="31421" priority="18432" stopIfTrue="1" operator="equal">
      <formula>"Towel"</formula>
    </cfRule>
    <cfRule type="cellIs" dxfId="31420" priority="18433" stopIfTrue="1" operator="equal">
      <formula>"Napkin Hs"</formula>
    </cfRule>
    <cfRule type="cellIs" dxfId="31419" priority="18438" stopIfTrue="1" operator="equal">
      <formula>"Towel"</formula>
    </cfRule>
    <cfRule type="cellIs" dxfId="31418" priority="18439" stopIfTrue="1" operator="equal">
      <formula>"Napkin Hs"</formula>
    </cfRule>
    <cfRule type="cellIs" dxfId="31417" priority="18440" stopIfTrue="1" operator="equal">
      <formula>"Towel"</formula>
    </cfRule>
    <cfRule type="cellIs" dxfId="31416" priority="18441" stopIfTrue="1" operator="equal">
      <formula>"Napkin Hs"</formula>
    </cfRule>
    <cfRule type="cellIs" dxfId="31415" priority="18444" stopIfTrue="1" operator="equal">
      <formula>"Towel"</formula>
    </cfRule>
    <cfRule type="cellIs" dxfId="31414" priority="18445" stopIfTrue="1" operator="equal">
      <formula>"Napkin Hs"</formula>
    </cfRule>
    <cfRule type="cellIs" dxfId="31413" priority="18446" stopIfTrue="1" operator="equal">
      <formula>"Towel"</formula>
    </cfRule>
    <cfRule type="cellIs" dxfId="31412" priority="18447" stopIfTrue="1" operator="equal">
      <formula>"Napkin Hs"</formula>
    </cfRule>
  </conditionalFormatting>
  <conditionalFormatting sqref="C23">
    <cfRule type="cellIs" dxfId="31411" priority="18350" stopIfTrue="1" operator="equal">
      <formula>"Towel"</formula>
    </cfRule>
    <cfRule type="cellIs" dxfId="31410" priority="18351" stopIfTrue="1" operator="equal">
      <formula>"Napkin Hs"</formula>
    </cfRule>
  </conditionalFormatting>
  <conditionalFormatting sqref="C23">
    <cfRule type="cellIs" dxfId="31409" priority="18346" stopIfTrue="1" operator="equal">
      <formula>"Towel"</formula>
    </cfRule>
    <cfRule type="cellIs" dxfId="31408" priority="18347" stopIfTrue="1" operator="equal">
      <formula>"Napkin Hs"</formula>
    </cfRule>
  </conditionalFormatting>
  <conditionalFormatting sqref="C23">
    <cfRule type="cellIs" dxfId="31407" priority="18349" stopIfTrue="1" operator="equal">
      <formula>"Napkin Hs"</formula>
    </cfRule>
  </conditionalFormatting>
  <conditionalFormatting sqref="C23">
    <cfRule type="cellIs" dxfId="31406" priority="18348" stopIfTrue="1" operator="equal">
      <formula>"Towel"</formula>
    </cfRule>
  </conditionalFormatting>
  <conditionalFormatting sqref="C21">
    <cfRule type="cellIs" dxfId="31405" priority="18180" stopIfTrue="1" operator="equal">
      <formula>"Towel"</formula>
    </cfRule>
    <cfRule type="cellIs" dxfId="31404" priority="18181" stopIfTrue="1" operator="equal">
      <formula>"Napkin Hs"</formula>
    </cfRule>
  </conditionalFormatting>
  <conditionalFormatting sqref="C21">
    <cfRule type="cellIs" dxfId="31403" priority="18184" stopIfTrue="1" operator="equal">
      <formula>"Towel"</formula>
    </cfRule>
    <cfRule type="cellIs" dxfId="31402" priority="18185" stopIfTrue="1" operator="equal">
      <formula>"Napkin Hs"</formula>
    </cfRule>
  </conditionalFormatting>
  <conditionalFormatting sqref="C21">
    <cfRule type="cellIs" dxfId="31401" priority="18182" stopIfTrue="1" operator="equal">
      <formula>"Towel"</formula>
    </cfRule>
    <cfRule type="cellIs" dxfId="31400" priority="18183" stopIfTrue="1" operator="equal">
      <formula>"Napkin Hs"</formula>
    </cfRule>
  </conditionalFormatting>
  <conditionalFormatting sqref="C21">
    <cfRule type="cellIs" dxfId="31399" priority="18174" stopIfTrue="1" operator="equal">
      <formula>"Towel"</formula>
    </cfRule>
    <cfRule type="cellIs" dxfId="31398" priority="18175" stopIfTrue="1" operator="equal">
      <formula>"Napkin Hs"</formula>
    </cfRule>
  </conditionalFormatting>
  <conditionalFormatting sqref="C21">
    <cfRule type="cellIs" dxfId="31397" priority="18176" stopIfTrue="1" operator="equal">
      <formula>"Towel"</formula>
    </cfRule>
    <cfRule type="cellIs" dxfId="31396" priority="18177" stopIfTrue="1" operator="equal">
      <formula>"Napkin Hs"</formula>
    </cfRule>
  </conditionalFormatting>
  <conditionalFormatting sqref="C21">
    <cfRule type="cellIs" dxfId="31395" priority="18178" stopIfTrue="1" operator="equal">
      <formula>"Towel"</formula>
    </cfRule>
    <cfRule type="cellIs" dxfId="31394" priority="18179" stopIfTrue="1" operator="equal">
      <formula>"Napkin Hs"</formula>
    </cfRule>
  </conditionalFormatting>
  <conditionalFormatting sqref="B21:C21">
    <cfRule type="cellIs" dxfId="31393" priority="18172" stopIfTrue="1" operator="equal">
      <formula>"Towel"</formula>
    </cfRule>
    <cfRule type="cellIs" dxfId="31392" priority="18173" stopIfTrue="1" operator="equal">
      <formula>"Napkin Hs"</formula>
    </cfRule>
  </conditionalFormatting>
  <conditionalFormatting sqref="B21:C21">
    <cfRule type="cellIs" dxfId="31391" priority="18170" stopIfTrue="1" operator="equal">
      <formula>"Towel"</formula>
    </cfRule>
    <cfRule type="cellIs" dxfId="31390" priority="18171" stopIfTrue="1" operator="equal">
      <formula>"Napkin Hs"</formula>
    </cfRule>
  </conditionalFormatting>
  <conditionalFormatting sqref="B21:C21">
    <cfRule type="cellIs" dxfId="31389" priority="18146" stopIfTrue="1" operator="equal">
      <formula>"Towel"</formula>
    </cfRule>
  </conditionalFormatting>
  <conditionalFormatting sqref="B21:C21">
    <cfRule type="cellIs" dxfId="31388" priority="18147" stopIfTrue="1" operator="equal">
      <formula>"Napkin Hs"</formula>
    </cfRule>
    <cfRule type="cellIs" dxfId="31387" priority="18152" stopIfTrue="1" operator="equal">
      <formula>"Towel"</formula>
    </cfRule>
    <cfRule type="cellIs" dxfId="31386" priority="18153" stopIfTrue="1" operator="equal">
      <formula>"Napkin Hs"</formula>
    </cfRule>
    <cfRule type="cellIs" dxfId="31385" priority="18162" stopIfTrue="1" operator="equal">
      <formula>"Towel"</formula>
    </cfRule>
    <cfRule type="cellIs" dxfId="31384" priority="18163" stopIfTrue="1" operator="equal">
      <formula>"Napkin Hs"</formula>
    </cfRule>
    <cfRule type="cellIs" dxfId="31383" priority="18168" stopIfTrue="1" operator="equal">
      <formula>"Towel"</formula>
    </cfRule>
    <cfRule type="cellIs" dxfId="31382" priority="18169" stopIfTrue="1" operator="equal">
      <formula>"Napkin Hs"</formula>
    </cfRule>
  </conditionalFormatting>
  <conditionalFormatting sqref="C21">
    <cfRule type="cellIs" dxfId="31381" priority="18148" stopIfTrue="1" operator="equal">
      <formula>"Towel"</formula>
    </cfRule>
    <cfRule type="cellIs" dxfId="31380" priority="18149" stopIfTrue="1" operator="equal">
      <formula>"Napkin Hs"</formula>
    </cfRule>
    <cfRule type="cellIs" dxfId="31379" priority="18150" stopIfTrue="1" operator="equal">
      <formula>"Towel"</formula>
    </cfRule>
    <cfRule type="cellIs" dxfId="31378" priority="18151" stopIfTrue="1" operator="equal">
      <formula>"Napkin Hs"</formula>
    </cfRule>
    <cfRule type="cellIs" dxfId="31377" priority="18154" stopIfTrue="1" operator="equal">
      <formula>"Towel"</formula>
    </cfRule>
    <cfRule type="cellIs" dxfId="31376" priority="18155" stopIfTrue="1" operator="equal">
      <formula>"Napkin Hs"</formula>
    </cfRule>
    <cfRule type="cellIs" dxfId="31375" priority="18156" stopIfTrue="1" operator="equal">
      <formula>"Towel"</formula>
    </cfRule>
    <cfRule type="cellIs" dxfId="31374" priority="18157" stopIfTrue="1" operator="equal">
      <formula>"Napkin Hs"</formula>
    </cfRule>
    <cfRule type="cellIs" dxfId="31373" priority="18158" stopIfTrue="1" operator="equal">
      <formula>"Towel"</formula>
    </cfRule>
    <cfRule type="cellIs" dxfId="31372" priority="18159" stopIfTrue="1" operator="equal">
      <formula>"Napkin Hs"</formula>
    </cfRule>
    <cfRule type="cellIs" dxfId="31371" priority="18160" stopIfTrue="1" operator="equal">
      <formula>"Towel"</formula>
    </cfRule>
    <cfRule type="cellIs" dxfId="31370" priority="18161" stopIfTrue="1" operator="equal">
      <formula>"Napkin Hs"</formula>
    </cfRule>
    <cfRule type="cellIs" dxfId="31369" priority="18164" stopIfTrue="1" operator="equal">
      <formula>"Towel"</formula>
    </cfRule>
    <cfRule type="cellIs" dxfId="31368" priority="18165" stopIfTrue="1" operator="equal">
      <formula>"Napkin Hs"</formula>
    </cfRule>
    <cfRule type="cellIs" dxfId="31367" priority="18167" stopIfTrue="1" operator="equal">
      <formula>"Napkin Hs"</formula>
    </cfRule>
  </conditionalFormatting>
  <conditionalFormatting sqref="C21">
    <cfRule type="cellIs" dxfId="31366" priority="18166" stopIfTrue="1" operator="equal">
      <formula>"Towel"</formula>
    </cfRule>
  </conditionalFormatting>
  <conditionalFormatting sqref="B21:C21">
    <cfRule type="cellIs" dxfId="31365" priority="18144" stopIfTrue="1" operator="equal">
      <formula>"Towel"</formula>
    </cfRule>
    <cfRule type="cellIs" dxfId="31364" priority="18145" stopIfTrue="1" operator="equal">
      <formula>"Napkin Hs"</formula>
    </cfRule>
  </conditionalFormatting>
  <conditionalFormatting sqref="C21">
    <cfRule type="cellIs" dxfId="31363" priority="18143" stopIfTrue="1" operator="equal">
      <formula>"Napkin Hs"</formula>
    </cfRule>
  </conditionalFormatting>
  <conditionalFormatting sqref="C21">
    <cfRule type="cellIs" dxfId="31362" priority="18142" stopIfTrue="1" operator="equal">
      <formula>"Towel"</formula>
    </cfRule>
  </conditionalFormatting>
  <conditionalFormatting sqref="C21">
    <cfRule type="cellIs" dxfId="31361" priority="18140" stopIfTrue="1" operator="equal">
      <formula>"Towel"</formula>
    </cfRule>
  </conditionalFormatting>
  <conditionalFormatting sqref="C21">
    <cfRule type="cellIs" dxfId="31360" priority="18141" stopIfTrue="1" operator="equal">
      <formula>"Napkin Hs"</formula>
    </cfRule>
  </conditionalFormatting>
  <conditionalFormatting sqref="B21">
    <cfRule type="cellIs" dxfId="31359" priority="18044" stopIfTrue="1" operator="equal">
      <formula>"Napkin Hs"</formula>
    </cfRule>
  </conditionalFormatting>
  <conditionalFormatting sqref="B21:C21">
    <cfRule type="cellIs" dxfId="31358" priority="18043" stopIfTrue="1" operator="equal">
      <formula>"Towel"</formula>
    </cfRule>
  </conditionalFormatting>
  <conditionalFormatting sqref="B21:C21">
    <cfRule type="cellIs" dxfId="31357" priority="18054" stopIfTrue="1" operator="equal">
      <formula>"Towel"</formula>
    </cfRule>
    <cfRule type="cellIs" dxfId="31356" priority="18055" stopIfTrue="1" operator="equal">
      <formula>"Napkin Hs"</formula>
    </cfRule>
    <cfRule type="cellIs" dxfId="31355" priority="18060" stopIfTrue="1" operator="equal">
      <formula>"Towel"</formula>
    </cfRule>
    <cfRule type="cellIs" dxfId="31354" priority="18061" stopIfTrue="1" operator="equal">
      <formula>"Napkin Hs"</formula>
    </cfRule>
    <cfRule type="cellIs" dxfId="31353" priority="18066" stopIfTrue="1" operator="equal">
      <formula>"Towel"</formula>
    </cfRule>
    <cfRule type="cellIs" dxfId="31352" priority="18067" stopIfTrue="1" operator="equal">
      <formula>"Napkin Hs"</formula>
    </cfRule>
    <cfRule type="cellIs" dxfId="31351" priority="18068" stopIfTrue="1" operator="equal">
      <formula>"Towel"</formula>
    </cfRule>
    <cfRule type="cellIs" dxfId="31350" priority="18069" stopIfTrue="1" operator="equal">
      <formula>"Napkin Hs"</formula>
    </cfRule>
    <cfRule type="cellIs" dxfId="31349" priority="18074" stopIfTrue="1" operator="equal">
      <formula>"Towel"</formula>
    </cfRule>
    <cfRule type="cellIs" dxfId="31348" priority="18075" stopIfTrue="1" operator="equal">
      <formula>"Napkin Hs"</formula>
    </cfRule>
    <cfRule type="cellIs" dxfId="31347" priority="18084" stopIfTrue="1" operator="equal">
      <formula>"Towel"</formula>
    </cfRule>
    <cfRule type="cellIs" dxfId="31346" priority="18085" stopIfTrue="1" operator="equal">
      <formula>"Napkin Hs"</formula>
    </cfRule>
    <cfRule type="cellIs" dxfId="31345" priority="18090" stopIfTrue="1" operator="equal">
      <formula>"Towel"</formula>
    </cfRule>
    <cfRule type="cellIs" dxfId="31344" priority="18091" stopIfTrue="1" operator="equal">
      <formula>"Napkin Hs"</formula>
    </cfRule>
    <cfRule type="cellIs" dxfId="31343" priority="18092" stopIfTrue="1" operator="equal">
      <formula>"Towel"</formula>
    </cfRule>
    <cfRule type="cellIs" dxfId="31342" priority="18093" stopIfTrue="1" operator="equal">
      <formula>"Napkin Hs"</formula>
    </cfRule>
    <cfRule type="cellIs" dxfId="31341" priority="18098" stopIfTrue="1" operator="equal">
      <formula>"Towel"</formula>
    </cfRule>
    <cfRule type="cellIs" dxfId="31340" priority="18099" stopIfTrue="1" operator="equal">
      <formula>"Napkin Hs"</formula>
    </cfRule>
    <cfRule type="cellIs" dxfId="31339" priority="18108" stopIfTrue="1" operator="equal">
      <formula>"Towel"</formula>
    </cfRule>
    <cfRule type="cellIs" dxfId="31338" priority="18109" stopIfTrue="1" operator="equal">
      <formula>"Napkin Hs"</formula>
    </cfRule>
    <cfRule type="cellIs" dxfId="31337" priority="18110" stopIfTrue="1" operator="equal">
      <formula>"Towel"</formula>
    </cfRule>
    <cfRule type="cellIs" dxfId="31336" priority="18111" stopIfTrue="1" operator="equal">
      <formula>"Napkin Hs"</formula>
    </cfRule>
    <cfRule type="cellIs" dxfId="31335" priority="18116" stopIfTrue="1" operator="equal">
      <formula>"Towel"</formula>
    </cfRule>
    <cfRule type="cellIs" dxfId="31334" priority="18117" stopIfTrue="1" operator="equal">
      <formula>"Napkin Hs"</formula>
    </cfRule>
    <cfRule type="cellIs" dxfId="31333" priority="18126" stopIfTrue="1" operator="equal">
      <formula>"Towel"</formula>
    </cfRule>
    <cfRule type="cellIs" dxfId="31332" priority="18127" stopIfTrue="1" operator="equal">
      <formula>"Napkin Hs"</formula>
    </cfRule>
    <cfRule type="cellIs" dxfId="31331" priority="18128" stopIfTrue="1" operator="equal">
      <formula>"Towel"</formula>
    </cfRule>
    <cfRule type="cellIs" dxfId="31330" priority="18129" stopIfTrue="1" operator="equal">
      <formula>"Napkin Hs"</formula>
    </cfRule>
    <cfRule type="cellIs" dxfId="31329" priority="18135" stopIfTrue="1" operator="equal">
      <formula>"Napkin Hs"</formula>
    </cfRule>
  </conditionalFormatting>
  <conditionalFormatting sqref="B21:C21">
    <cfRule type="cellIs" dxfId="31328" priority="18134" stopIfTrue="1" operator="equal">
      <formula>"Towel"</formula>
    </cfRule>
  </conditionalFormatting>
  <conditionalFormatting sqref="C21">
    <cfRule type="cellIs" dxfId="31327" priority="18045" stopIfTrue="1" operator="equal">
      <formula>"Napkin Hs"</formula>
    </cfRule>
    <cfRule type="cellIs" dxfId="31326" priority="18046" stopIfTrue="1" operator="equal">
      <formula>"Towel"</formula>
    </cfRule>
    <cfRule type="cellIs" dxfId="31325" priority="18047" stopIfTrue="1" operator="equal">
      <formula>"Napkin Hs"</formula>
    </cfRule>
    <cfRule type="cellIs" dxfId="31324" priority="18048" stopIfTrue="1" operator="equal">
      <formula>"Towel"</formula>
    </cfRule>
    <cfRule type="cellIs" dxfId="31323" priority="18049" stopIfTrue="1" operator="equal">
      <formula>"Napkin Hs"</formula>
    </cfRule>
    <cfRule type="cellIs" dxfId="31322" priority="18050" stopIfTrue="1" operator="equal">
      <formula>"Towel"</formula>
    </cfRule>
    <cfRule type="cellIs" dxfId="31321" priority="18051" stopIfTrue="1" operator="equal">
      <formula>"Napkin Hs"</formula>
    </cfRule>
    <cfRule type="cellIs" dxfId="31320" priority="18052" stopIfTrue="1" operator="equal">
      <formula>"Towel"</formula>
    </cfRule>
    <cfRule type="cellIs" dxfId="31319" priority="18053" stopIfTrue="1" operator="equal">
      <formula>"Napkin Hs"</formula>
    </cfRule>
    <cfRule type="cellIs" dxfId="31318" priority="18056" stopIfTrue="1" operator="equal">
      <formula>"Towel"</formula>
    </cfRule>
    <cfRule type="cellIs" dxfId="31317" priority="18057" stopIfTrue="1" operator="equal">
      <formula>"Napkin Hs"</formula>
    </cfRule>
    <cfRule type="cellIs" dxfId="31316" priority="18058" stopIfTrue="1" operator="equal">
      <formula>"Towel"</formula>
    </cfRule>
    <cfRule type="cellIs" dxfId="31315" priority="18059" stopIfTrue="1" operator="equal">
      <formula>"Napkin Hs"</formula>
    </cfRule>
    <cfRule type="cellIs" dxfId="31314" priority="18062" stopIfTrue="1" operator="equal">
      <formula>"Towel"</formula>
    </cfRule>
    <cfRule type="cellIs" dxfId="31313" priority="18063" stopIfTrue="1" operator="equal">
      <formula>"Napkin Hs"</formula>
    </cfRule>
    <cfRule type="cellIs" dxfId="31312" priority="18064" stopIfTrue="1" operator="equal">
      <formula>"Towel"</formula>
    </cfRule>
    <cfRule type="cellIs" dxfId="31311" priority="18065" stopIfTrue="1" operator="equal">
      <formula>"Napkin Hs"</formula>
    </cfRule>
    <cfRule type="cellIs" dxfId="31310" priority="18070" stopIfTrue="1" operator="equal">
      <formula>"Towel"</formula>
    </cfRule>
    <cfRule type="cellIs" dxfId="31309" priority="18071" stopIfTrue="1" operator="equal">
      <formula>"Napkin Hs"</formula>
    </cfRule>
    <cfRule type="cellIs" dxfId="31308" priority="18072" stopIfTrue="1" operator="equal">
      <formula>"Towel"</formula>
    </cfRule>
    <cfRule type="cellIs" dxfId="31307" priority="18073" stopIfTrue="1" operator="equal">
      <formula>"Napkin Hs"</formula>
    </cfRule>
    <cfRule type="cellIs" dxfId="31306" priority="18076" stopIfTrue="1" operator="equal">
      <formula>"Towel"</formula>
    </cfRule>
    <cfRule type="cellIs" dxfId="31305" priority="18077" stopIfTrue="1" operator="equal">
      <formula>"Napkin Hs"</formula>
    </cfRule>
    <cfRule type="cellIs" dxfId="31304" priority="18078" stopIfTrue="1" operator="equal">
      <formula>"Towel"</formula>
    </cfRule>
    <cfRule type="cellIs" dxfId="31303" priority="18079" stopIfTrue="1" operator="equal">
      <formula>"Napkin Hs"</formula>
    </cfRule>
    <cfRule type="cellIs" dxfId="31302" priority="18080" stopIfTrue="1" operator="equal">
      <formula>"Towel"</formula>
    </cfRule>
    <cfRule type="cellIs" dxfId="31301" priority="18081" stopIfTrue="1" operator="equal">
      <formula>"Napkin Hs"</formula>
    </cfRule>
    <cfRule type="cellIs" dxfId="31300" priority="18082" stopIfTrue="1" operator="equal">
      <formula>"Towel"</formula>
    </cfRule>
    <cfRule type="cellIs" dxfId="31299" priority="18083" stopIfTrue="1" operator="equal">
      <formula>"Napkin Hs"</formula>
    </cfRule>
    <cfRule type="cellIs" dxfId="31298" priority="18086" stopIfTrue="1" operator="equal">
      <formula>"Towel"</formula>
    </cfRule>
    <cfRule type="cellIs" dxfId="31297" priority="18087" stopIfTrue="1" operator="equal">
      <formula>"Napkin Hs"</formula>
    </cfRule>
    <cfRule type="cellIs" dxfId="31296" priority="18088" stopIfTrue="1" operator="equal">
      <formula>"Towel"</formula>
    </cfRule>
    <cfRule type="cellIs" dxfId="31295" priority="18089" stopIfTrue="1" operator="equal">
      <formula>"Napkin Hs"</formula>
    </cfRule>
    <cfRule type="cellIs" dxfId="31294" priority="18094" stopIfTrue="1" operator="equal">
      <formula>"Towel"</formula>
    </cfRule>
    <cfRule type="cellIs" dxfId="31293" priority="18095" stopIfTrue="1" operator="equal">
      <formula>"Napkin Hs"</formula>
    </cfRule>
    <cfRule type="cellIs" dxfId="31292" priority="18096" stopIfTrue="1" operator="equal">
      <formula>"Towel"</formula>
    </cfRule>
    <cfRule type="cellIs" dxfId="31291" priority="18097" stopIfTrue="1" operator="equal">
      <formula>"Napkin Hs"</formula>
    </cfRule>
    <cfRule type="cellIs" dxfId="31290" priority="18100" stopIfTrue="1" operator="equal">
      <formula>"Towel"</formula>
    </cfRule>
    <cfRule type="cellIs" dxfId="31289" priority="18101" stopIfTrue="1" operator="equal">
      <formula>"Napkin Hs"</formula>
    </cfRule>
    <cfRule type="cellIs" dxfId="31288" priority="18102" stopIfTrue="1" operator="equal">
      <formula>"Towel"</formula>
    </cfRule>
    <cfRule type="cellIs" dxfId="31287" priority="18103" stopIfTrue="1" operator="equal">
      <formula>"Napkin Hs"</formula>
    </cfRule>
    <cfRule type="cellIs" dxfId="31286" priority="18104" stopIfTrue="1" operator="equal">
      <formula>"Towel"</formula>
    </cfRule>
    <cfRule type="cellIs" dxfId="31285" priority="18105" stopIfTrue="1" operator="equal">
      <formula>"Napkin Hs"</formula>
    </cfRule>
    <cfRule type="cellIs" dxfId="31284" priority="18106" stopIfTrue="1" operator="equal">
      <formula>"Towel"</formula>
    </cfRule>
    <cfRule type="cellIs" dxfId="31283" priority="18107" stopIfTrue="1" operator="equal">
      <formula>"Napkin Hs"</formula>
    </cfRule>
    <cfRule type="cellIs" dxfId="31282" priority="18112" stopIfTrue="1" operator="equal">
      <formula>"Towel"</formula>
    </cfRule>
    <cfRule type="cellIs" dxfId="31281" priority="18113" stopIfTrue="1" operator="equal">
      <formula>"Napkin Hs"</formula>
    </cfRule>
    <cfRule type="cellIs" dxfId="31280" priority="18114" stopIfTrue="1" operator="equal">
      <formula>"Towel"</formula>
    </cfRule>
    <cfRule type="cellIs" dxfId="31279" priority="18115" stopIfTrue="1" operator="equal">
      <formula>"Napkin Hs"</formula>
    </cfRule>
    <cfRule type="cellIs" dxfId="31278" priority="18118" stopIfTrue="1" operator="equal">
      <formula>"Towel"</formula>
    </cfRule>
    <cfRule type="cellIs" dxfId="31277" priority="18119" stopIfTrue="1" operator="equal">
      <formula>"Napkin Hs"</formula>
    </cfRule>
    <cfRule type="cellIs" dxfId="31276" priority="18120" stopIfTrue="1" operator="equal">
      <formula>"Towel"</formula>
    </cfRule>
    <cfRule type="cellIs" dxfId="31275" priority="18121" stopIfTrue="1" operator="equal">
      <formula>"Napkin Hs"</formula>
    </cfRule>
    <cfRule type="cellIs" dxfId="31274" priority="18122" stopIfTrue="1" operator="equal">
      <formula>"Towel"</formula>
    </cfRule>
    <cfRule type="cellIs" dxfId="31273" priority="18123" stopIfTrue="1" operator="equal">
      <formula>"Napkin Hs"</formula>
    </cfRule>
    <cfRule type="cellIs" dxfId="31272" priority="18124" stopIfTrue="1" operator="equal">
      <formula>"Towel"</formula>
    </cfRule>
    <cfRule type="cellIs" dxfId="31271" priority="18125" stopIfTrue="1" operator="equal">
      <formula>"Napkin Hs"</formula>
    </cfRule>
    <cfRule type="cellIs" dxfId="31270" priority="18130" stopIfTrue="1" operator="equal">
      <formula>"Towel"</formula>
    </cfRule>
    <cfRule type="cellIs" dxfId="31269" priority="18131" stopIfTrue="1" operator="equal">
      <formula>"Napkin Hs"</formula>
    </cfRule>
    <cfRule type="cellIs" dxfId="31268" priority="18132" stopIfTrue="1" operator="equal">
      <formula>"Towel"</formula>
    </cfRule>
    <cfRule type="cellIs" dxfId="31267" priority="18133" stopIfTrue="1" operator="equal">
      <formula>"Napkin Hs"</formula>
    </cfRule>
    <cfRule type="cellIs" dxfId="31266" priority="18136" stopIfTrue="1" operator="equal">
      <formula>"Towel"</formula>
    </cfRule>
    <cfRule type="cellIs" dxfId="31265" priority="18137" stopIfTrue="1" operator="equal">
      <formula>"Napkin Hs"</formula>
    </cfRule>
    <cfRule type="cellIs" dxfId="31264" priority="18138" stopIfTrue="1" operator="equal">
      <formula>"Towel"</formula>
    </cfRule>
    <cfRule type="cellIs" dxfId="31263" priority="18139" stopIfTrue="1" operator="equal">
      <formula>"Napkin Hs"</formula>
    </cfRule>
  </conditionalFormatting>
  <conditionalFormatting sqref="C21">
    <cfRule type="cellIs" dxfId="31262" priority="18042" stopIfTrue="1" operator="equal">
      <formula>"Napkin Hs"</formula>
    </cfRule>
  </conditionalFormatting>
  <conditionalFormatting sqref="C21">
    <cfRule type="cellIs" dxfId="31261" priority="18041" stopIfTrue="1" operator="equal">
      <formula>"Napkin Hs"</formula>
    </cfRule>
  </conditionalFormatting>
  <conditionalFormatting sqref="B21">
    <cfRule type="cellIs" dxfId="31260" priority="18040" stopIfTrue="1" operator="equal">
      <formula>"Napkin Hs"</formula>
    </cfRule>
  </conditionalFormatting>
  <conditionalFormatting sqref="C21">
    <cfRule type="cellIs" dxfId="31259" priority="18039" stopIfTrue="1" operator="equal">
      <formula>"Napkin Hs"</formula>
    </cfRule>
  </conditionalFormatting>
  <conditionalFormatting sqref="C21">
    <cfRule type="cellIs" dxfId="31258" priority="18038" stopIfTrue="1" operator="equal">
      <formula>"Napkin Hs"</formula>
    </cfRule>
  </conditionalFormatting>
  <conditionalFormatting sqref="C21">
    <cfRule type="cellIs" dxfId="31257" priority="18037" stopIfTrue="1" operator="equal">
      <formula>"Napkin Hs"</formula>
    </cfRule>
  </conditionalFormatting>
  <conditionalFormatting sqref="C21">
    <cfRule type="cellIs" dxfId="31256" priority="18036" stopIfTrue="1" operator="equal">
      <formula>"Napkin Hs"</formula>
    </cfRule>
  </conditionalFormatting>
  <conditionalFormatting sqref="B21">
    <cfRule type="cellIs" dxfId="31255" priority="18035" stopIfTrue="1" operator="equal">
      <formula>"Napkin Hs"</formula>
    </cfRule>
  </conditionalFormatting>
  <conditionalFormatting sqref="B21">
    <cfRule type="cellIs" dxfId="31254" priority="18034" stopIfTrue="1" operator="equal">
      <formula>"Napkin Hs"</formula>
    </cfRule>
  </conditionalFormatting>
  <conditionalFormatting sqref="C21">
    <cfRule type="cellIs" dxfId="31253" priority="18030" stopIfTrue="1" operator="equal">
      <formula>"Towel"</formula>
    </cfRule>
    <cfRule type="cellIs" dxfId="31252" priority="18031" stopIfTrue="1" operator="equal">
      <formula>"Napkin Hs"</formula>
    </cfRule>
  </conditionalFormatting>
  <conditionalFormatting sqref="C21">
    <cfRule type="cellIs" dxfId="31251" priority="18032" stopIfTrue="1" operator="equal">
      <formula>"Towel"</formula>
    </cfRule>
    <cfRule type="cellIs" dxfId="31250" priority="18033" stopIfTrue="1" operator="equal">
      <formula>"Napkin Hs"</formula>
    </cfRule>
  </conditionalFormatting>
  <conditionalFormatting sqref="C21">
    <cfRule type="cellIs" dxfId="31249" priority="18026" stopIfTrue="1" operator="equal">
      <formula>"Towel"</formula>
    </cfRule>
    <cfRule type="cellIs" dxfId="31248" priority="18027" stopIfTrue="1" operator="equal">
      <formula>"Napkin Hs"</formula>
    </cfRule>
  </conditionalFormatting>
  <conditionalFormatting sqref="C21">
    <cfRule type="cellIs" dxfId="31247" priority="18028" stopIfTrue="1" operator="equal">
      <formula>"Towel"</formula>
    </cfRule>
    <cfRule type="cellIs" dxfId="31246" priority="18029" stopIfTrue="1" operator="equal">
      <formula>"Napkin Hs"</formula>
    </cfRule>
  </conditionalFormatting>
  <conditionalFormatting sqref="C20">
    <cfRule type="cellIs" dxfId="31245" priority="18020" stopIfTrue="1" operator="equal">
      <formula>"Towel"</formula>
    </cfRule>
    <cfRule type="cellIs" dxfId="31244" priority="18021" stopIfTrue="1" operator="equal">
      <formula>"Napkin Hs"</formula>
    </cfRule>
  </conditionalFormatting>
  <conditionalFormatting sqref="C20">
    <cfRule type="cellIs" dxfId="31243" priority="18024" stopIfTrue="1" operator="equal">
      <formula>"Towel"</formula>
    </cfRule>
    <cfRule type="cellIs" dxfId="31242" priority="18025" stopIfTrue="1" operator="equal">
      <formula>"Napkin Hs"</formula>
    </cfRule>
  </conditionalFormatting>
  <conditionalFormatting sqref="C20">
    <cfRule type="cellIs" dxfId="31241" priority="18022" stopIfTrue="1" operator="equal">
      <formula>"Towel"</formula>
    </cfRule>
    <cfRule type="cellIs" dxfId="31240" priority="18023" stopIfTrue="1" operator="equal">
      <formula>"Napkin Hs"</formula>
    </cfRule>
  </conditionalFormatting>
  <conditionalFormatting sqref="C20">
    <cfRule type="cellIs" dxfId="31239" priority="18014" stopIfTrue="1" operator="equal">
      <formula>"Towel"</formula>
    </cfRule>
    <cfRule type="cellIs" dxfId="31238" priority="18015" stopIfTrue="1" operator="equal">
      <formula>"Napkin Hs"</formula>
    </cfRule>
  </conditionalFormatting>
  <conditionalFormatting sqref="C20">
    <cfRule type="cellIs" dxfId="31237" priority="18016" stopIfTrue="1" operator="equal">
      <formula>"Towel"</formula>
    </cfRule>
    <cfRule type="cellIs" dxfId="31236" priority="18017" stopIfTrue="1" operator="equal">
      <formula>"Napkin Hs"</formula>
    </cfRule>
  </conditionalFormatting>
  <conditionalFormatting sqref="C20">
    <cfRule type="cellIs" dxfId="31235" priority="18018" stopIfTrue="1" operator="equal">
      <formula>"Towel"</formula>
    </cfRule>
    <cfRule type="cellIs" dxfId="31234" priority="18019" stopIfTrue="1" operator="equal">
      <formula>"Napkin Hs"</formula>
    </cfRule>
  </conditionalFormatting>
  <conditionalFormatting sqref="B20:C20">
    <cfRule type="cellIs" dxfId="31233" priority="18012" stopIfTrue="1" operator="equal">
      <formula>"Towel"</formula>
    </cfRule>
    <cfRule type="cellIs" dxfId="31232" priority="18013" stopIfTrue="1" operator="equal">
      <formula>"Napkin Hs"</formula>
    </cfRule>
  </conditionalFormatting>
  <conditionalFormatting sqref="B20:C20">
    <cfRule type="cellIs" dxfId="31231" priority="18010" stopIfTrue="1" operator="equal">
      <formula>"Towel"</formula>
    </cfRule>
    <cfRule type="cellIs" dxfId="31230" priority="18011" stopIfTrue="1" operator="equal">
      <formula>"Napkin Hs"</formula>
    </cfRule>
  </conditionalFormatting>
  <conditionalFormatting sqref="B20:C20">
    <cfRule type="cellIs" dxfId="31229" priority="17986" stopIfTrue="1" operator="equal">
      <formula>"Towel"</formula>
    </cfRule>
  </conditionalFormatting>
  <conditionalFormatting sqref="B20:C20">
    <cfRule type="cellIs" dxfId="31228" priority="17987" stopIfTrue="1" operator="equal">
      <formula>"Napkin Hs"</formula>
    </cfRule>
    <cfRule type="cellIs" dxfId="31227" priority="17992" stopIfTrue="1" operator="equal">
      <formula>"Towel"</formula>
    </cfRule>
    <cfRule type="cellIs" dxfId="31226" priority="17993" stopIfTrue="1" operator="equal">
      <formula>"Napkin Hs"</formula>
    </cfRule>
    <cfRule type="cellIs" dxfId="31225" priority="18002" stopIfTrue="1" operator="equal">
      <formula>"Towel"</formula>
    </cfRule>
    <cfRule type="cellIs" dxfId="31224" priority="18003" stopIfTrue="1" operator="equal">
      <formula>"Napkin Hs"</formula>
    </cfRule>
    <cfRule type="cellIs" dxfId="31223" priority="18008" stopIfTrue="1" operator="equal">
      <formula>"Towel"</formula>
    </cfRule>
    <cfRule type="cellIs" dxfId="31222" priority="18009" stopIfTrue="1" operator="equal">
      <formula>"Napkin Hs"</formula>
    </cfRule>
  </conditionalFormatting>
  <conditionalFormatting sqref="C20">
    <cfRule type="cellIs" dxfId="31221" priority="17988" stopIfTrue="1" operator="equal">
      <formula>"Towel"</formula>
    </cfRule>
    <cfRule type="cellIs" dxfId="31220" priority="17989" stopIfTrue="1" operator="equal">
      <formula>"Napkin Hs"</formula>
    </cfRule>
    <cfRule type="cellIs" dxfId="31219" priority="17990" stopIfTrue="1" operator="equal">
      <formula>"Towel"</formula>
    </cfRule>
    <cfRule type="cellIs" dxfId="31218" priority="17991" stopIfTrue="1" operator="equal">
      <formula>"Napkin Hs"</formula>
    </cfRule>
    <cfRule type="cellIs" dxfId="31217" priority="17994" stopIfTrue="1" operator="equal">
      <formula>"Towel"</formula>
    </cfRule>
    <cfRule type="cellIs" dxfId="31216" priority="17995" stopIfTrue="1" operator="equal">
      <formula>"Napkin Hs"</formula>
    </cfRule>
    <cfRule type="cellIs" dxfId="31215" priority="17996" stopIfTrue="1" operator="equal">
      <formula>"Towel"</formula>
    </cfRule>
    <cfRule type="cellIs" dxfId="31214" priority="17997" stopIfTrue="1" operator="equal">
      <formula>"Napkin Hs"</formula>
    </cfRule>
    <cfRule type="cellIs" dxfId="31213" priority="17998" stopIfTrue="1" operator="equal">
      <formula>"Towel"</formula>
    </cfRule>
    <cfRule type="cellIs" dxfId="31212" priority="17999" stopIfTrue="1" operator="equal">
      <formula>"Napkin Hs"</formula>
    </cfRule>
    <cfRule type="cellIs" dxfId="31211" priority="18000" stopIfTrue="1" operator="equal">
      <formula>"Towel"</formula>
    </cfRule>
    <cfRule type="cellIs" dxfId="31210" priority="18001" stopIfTrue="1" operator="equal">
      <formula>"Napkin Hs"</formula>
    </cfRule>
    <cfRule type="cellIs" dxfId="31209" priority="18004" stopIfTrue="1" operator="equal">
      <formula>"Towel"</formula>
    </cfRule>
    <cfRule type="cellIs" dxfId="31208" priority="18005" stopIfTrue="1" operator="equal">
      <formula>"Napkin Hs"</formula>
    </cfRule>
    <cfRule type="cellIs" dxfId="31207" priority="18007" stopIfTrue="1" operator="equal">
      <formula>"Napkin Hs"</formula>
    </cfRule>
  </conditionalFormatting>
  <conditionalFormatting sqref="C20">
    <cfRule type="cellIs" dxfId="31206" priority="18006" stopIfTrue="1" operator="equal">
      <formula>"Towel"</formula>
    </cfRule>
  </conditionalFormatting>
  <conditionalFormatting sqref="B20:C20">
    <cfRule type="cellIs" dxfId="31205" priority="17984" stopIfTrue="1" operator="equal">
      <formula>"Towel"</formula>
    </cfRule>
    <cfRule type="cellIs" dxfId="31204" priority="17985" stopIfTrue="1" operator="equal">
      <formula>"Napkin Hs"</formula>
    </cfRule>
  </conditionalFormatting>
  <conditionalFormatting sqref="C20">
    <cfRule type="cellIs" dxfId="31203" priority="17983" stopIfTrue="1" operator="equal">
      <formula>"Napkin Hs"</formula>
    </cfRule>
  </conditionalFormatting>
  <conditionalFormatting sqref="C20">
    <cfRule type="cellIs" dxfId="31202" priority="17982" stopIfTrue="1" operator="equal">
      <formula>"Towel"</formula>
    </cfRule>
  </conditionalFormatting>
  <conditionalFormatting sqref="C20">
    <cfRule type="cellIs" dxfId="31201" priority="17980" stopIfTrue="1" operator="equal">
      <formula>"Towel"</formula>
    </cfRule>
  </conditionalFormatting>
  <conditionalFormatting sqref="C20">
    <cfRule type="cellIs" dxfId="31200" priority="17981" stopIfTrue="1" operator="equal">
      <formula>"Napkin Hs"</formula>
    </cfRule>
  </conditionalFormatting>
  <conditionalFormatting sqref="B20">
    <cfRule type="cellIs" dxfId="31199" priority="17884" stopIfTrue="1" operator="equal">
      <formula>"Napkin Hs"</formula>
    </cfRule>
  </conditionalFormatting>
  <conditionalFormatting sqref="B20:C20">
    <cfRule type="cellIs" dxfId="31198" priority="17883" stopIfTrue="1" operator="equal">
      <formula>"Towel"</formula>
    </cfRule>
  </conditionalFormatting>
  <conditionalFormatting sqref="B20:C20">
    <cfRule type="cellIs" dxfId="31197" priority="17894" stopIfTrue="1" operator="equal">
      <formula>"Towel"</formula>
    </cfRule>
    <cfRule type="cellIs" dxfId="31196" priority="17895" stopIfTrue="1" operator="equal">
      <formula>"Napkin Hs"</formula>
    </cfRule>
    <cfRule type="cellIs" dxfId="31195" priority="17900" stopIfTrue="1" operator="equal">
      <formula>"Towel"</formula>
    </cfRule>
    <cfRule type="cellIs" dxfId="31194" priority="17901" stopIfTrue="1" operator="equal">
      <formula>"Napkin Hs"</formula>
    </cfRule>
    <cfRule type="cellIs" dxfId="31193" priority="17906" stopIfTrue="1" operator="equal">
      <formula>"Towel"</formula>
    </cfRule>
    <cfRule type="cellIs" dxfId="31192" priority="17907" stopIfTrue="1" operator="equal">
      <formula>"Napkin Hs"</formula>
    </cfRule>
    <cfRule type="cellIs" dxfId="31191" priority="17908" stopIfTrue="1" operator="equal">
      <formula>"Towel"</formula>
    </cfRule>
    <cfRule type="cellIs" dxfId="31190" priority="17909" stopIfTrue="1" operator="equal">
      <formula>"Napkin Hs"</formula>
    </cfRule>
    <cfRule type="cellIs" dxfId="31189" priority="17914" stopIfTrue="1" operator="equal">
      <formula>"Towel"</formula>
    </cfRule>
    <cfRule type="cellIs" dxfId="31188" priority="17915" stopIfTrue="1" operator="equal">
      <formula>"Napkin Hs"</formula>
    </cfRule>
    <cfRule type="cellIs" dxfId="31187" priority="17924" stopIfTrue="1" operator="equal">
      <formula>"Towel"</formula>
    </cfRule>
    <cfRule type="cellIs" dxfId="31186" priority="17925" stopIfTrue="1" operator="equal">
      <formula>"Napkin Hs"</formula>
    </cfRule>
    <cfRule type="cellIs" dxfId="31185" priority="17930" stopIfTrue="1" operator="equal">
      <formula>"Towel"</formula>
    </cfRule>
    <cfRule type="cellIs" dxfId="31184" priority="17931" stopIfTrue="1" operator="equal">
      <formula>"Napkin Hs"</formula>
    </cfRule>
    <cfRule type="cellIs" dxfId="31183" priority="17932" stopIfTrue="1" operator="equal">
      <formula>"Towel"</formula>
    </cfRule>
    <cfRule type="cellIs" dxfId="31182" priority="17933" stopIfTrue="1" operator="equal">
      <formula>"Napkin Hs"</formula>
    </cfRule>
    <cfRule type="cellIs" dxfId="31181" priority="17938" stopIfTrue="1" operator="equal">
      <formula>"Towel"</formula>
    </cfRule>
    <cfRule type="cellIs" dxfId="31180" priority="17939" stopIfTrue="1" operator="equal">
      <formula>"Napkin Hs"</formula>
    </cfRule>
    <cfRule type="cellIs" dxfId="31179" priority="17948" stopIfTrue="1" operator="equal">
      <formula>"Towel"</formula>
    </cfRule>
    <cfRule type="cellIs" dxfId="31178" priority="17949" stopIfTrue="1" operator="equal">
      <formula>"Napkin Hs"</formula>
    </cfRule>
    <cfRule type="cellIs" dxfId="31177" priority="17950" stopIfTrue="1" operator="equal">
      <formula>"Towel"</formula>
    </cfRule>
    <cfRule type="cellIs" dxfId="31176" priority="17951" stopIfTrue="1" operator="equal">
      <formula>"Napkin Hs"</formula>
    </cfRule>
    <cfRule type="cellIs" dxfId="31175" priority="17956" stopIfTrue="1" operator="equal">
      <formula>"Towel"</formula>
    </cfRule>
    <cfRule type="cellIs" dxfId="31174" priority="17957" stopIfTrue="1" operator="equal">
      <formula>"Napkin Hs"</formula>
    </cfRule>
    <cfRule type="cellIs" dxfId="31173" priority="17966" stopIfTrue="1" operator="equal">
      <formula>"Towel"</formula>
    </cfRule>
    <cfRule type="cellIs" dxfId="31172" priority="17967" stopIfTrue="1" operator="equal">
      <formula>"Napkin Hs"</formula>
    </cfRule>
    <cfRule type="cellIs" dxfId="31171" priority="17968" stopIfTrue="1" operator="equal">
      <formula>"Towel"</formula>
    </cfRule>
    <cfRule type="cellIs" dxfId="31170" priority="17969" stopIfTrue="1" operator="equal">
      <formula>"Napkin Hs"</formula>
    </cfRule>
    <cfRule type="cellIs" dxfId="31169" priority="17975" stopIfTrue="1" operator="equal">
      <formula>"Napkin Hs"</formula>
    </cfRule>
  </conditionalFormatting>
  <conditionalFormatting sqref="B20:C20">
    <cfRule type="cellIs" dxfId="31168" priority="17974" stopIfTrue="1" operator="equal">
      <formula>"Towel"</formula>
    </cfRule>
  </conditionalFormatting>
  <conditionalFormatting sqref="C20">
    <cfRule type="cellIs" dxfId="31167" priority="17885" stopIfTrue="1" operator="equal">
      <formula>"Napkin Hs"</formula>
    </cfRule>
    <cfRule type="cellIs" dxfId="31166" priority="17886" stopIfTrue="1" operator="equal">
      <formula>"Towel"</formula>
    </cfRule>
    <cfRule type="cellIs" dxfId="31165" priority="17887" stopIfTrue="1" operator="equal">
      <formula>"Napkin Hs"</formula>
    </cfRule>
    <cfRule type="cellIs" dxfId="31164" priority="17888" stopIfTrue="1" operator="equal">
      <formula>"Towel"</formula>
    </cfRule>
    <cfRule type="cellIs" dxfId="31163" priority="17889" stopIfTrue="1" operator="equal">
      <formula>"Napkin Hs"</formula>
    </cfRule>
    <cfRule type="cellIs" dxfId="31162" priority="17890" stopIfTrue="1" operator="equal">
      <formula>"Towel"</formula>
    </cfRule>
    <cfRule type="cellIs" dxfId="31161" priority="17891" stopIfTrue="1" operator="equal">
      <formula>"Napkin Hs"</formula>
    </cfRule>
    <cfRule type="cellIs" dxfId="31160" priority="17892" stopIfTrue="1" operator="equal">
      <formula>"Towel"</formula>
    </cfRule>
    <cfRule type="cellIs" dxfId="31159" priority="17893" stopIfTrue="1" operator="equal">
      <formula>"Napkin Hs"</formula>
    </cfRule>
    <cfRule type="cellIs" dxfId="31158" priority="17896" stopIfTrue="1" operator="equal">
      <formula>"Towel"</formula>
    </cfRule>
    <cfRule type="cellIs" dxfId="31157" priority="17897" stopIfTrue="1" operator="equal">
      <formula>"Napkin Hs"</formula>
    </cfRule>
    <cfRule type="cellIs" dxfId="31156" priority="17898" stopIfTrue="1" operator="equal">
      <formula>"Towel"</formula>
    </cfRule>
    <cfRule type="cellIs" dxfId="31155" priority="17899" stopIfTrue="1" operator="equal">
      <formula>"Napkin Hs"</formula>
    </cfRule>
    <cfRule type="cellIs" dxfId="31154" priority="17902" stopIfTrue="1" operator="equal">
      <formula>"Towel"</formula>
    </cfRule>
    <cfRule type="cellIs" dxfId="31153" priority="17903" stopIfTrue="1" operator="equal">
      <formula>"Napkin Hs"</formula>
    </cfRule>
    <cfRule type="cellIs" dxfId="31152" priority="17904" stopIfTrue="1" operator="equal">
      <formula>"Towel"</formula>
    </cfRule>
    <cfRule type="cellIs" dxfId="31151" priority="17905" stopIfTrue="1" operator="equal">
      <formula>"Napkin Hs"</formula>
    </cfRule>
    <cfRule type="cellIs" dxfId="31150" priority="17910" stopIfTrue="1" operator="equal">
      <formula>"Towel"</formula>
    </cfRule>
    <cfRule type="cellIs" dxfId="31149" priority="17911" stopIfTrue="1" operator="equal">
      <formula>"Napkin Hs"</formula>
    </cfRule>
    <cfRule type="cellIs" dxfId="31148" priority="17912" stopIfTrue="1" operator="equal">
      <formula>"Towel"</formula>
    </cfRule>
    <cfRule type="cellIs" dxfId="31147" priority="17913" stopIfTrue="1" operator="equal">
      <formula>"Napkin Hs"</formula>
    </cfRule>
    <cfRule type="cellIs" dxfId="31146" priority="17916" stopIfTrue="1" operator="equal">
      <formula>"Towel"</formula>
    </cfRule>
    <cfRule type="cellIs" dxfId="31145" priority="17917" stopIfTrue="1" operator="equal">
      <formula>"Napkin Hs"</formula>
    </cfRule>
    <cfRule type="cellIs" dxfId="31144" priority="17918" stopIfTrue="1" operator="equal">
      <formula>"Towel"</formula>
    </cfRule>
    <cfRule type="cellIs" dxfId="31143" priority="17919" stopIfTrue="1" operator="equal">
      <formula>"Napkin Hs"</formula>
    </cfRule>
    <cfRule type="cellIs" dxfId="31142" priority="17920" stopIfTrue="1" operator="equal">
      <formula>"Towel"</formula>
    </cfRule>
    <cfRule type="cellIs" dxfId="31141" priority="17921" stopIfTrue="1" operator="equal">
      <formula>"Napkin Hs"</formula>
    </cfRule>
    <cfRule type="cellIs" dxfId="31140" priority="17922" stopIfTrue="1" operator="equal">
      <formula>"Towel"</formula>
    </cfRule>
    <cfRule type="cellIs" dxfId="31139" priority="17923" stopIfTrue="1" operator="equal">
      <formula>"Napkin Hs"</formula>
    </cfRule>
    <cfRule type="cellIs" dxfId="31138" priority="17926" stopIfTrue="1" operator="equal">
      <formula>"Towel"</formula>
    </cfRule>
    <cfRule type="cellIs" dxfId="31137" priority="17927" stopIfTrue="1" operator="equal">
      <formula>"Napkin Hs"</formula>
    </cfRule>
    <cfRule type="cellIs" dxfId="31136" priority="17928" stopIfTrue="1" operator="equal">
      <formula>"Towel"</formula>
    </cfRule>
    <cfRule type="cellIs" dxfId="31135" priority="17929" stopIfTrue="1" operator="equal">
      <formula>"Napkin Hs"</formula>
    </cfRule>
    <cfRule type="cellIs" dxfId="31134" priority="17934" stopIfTrue="1" operator="equal">
      <formula>"Towel"</formula>
    </cfRule>
    <cfRule type="cellIs" dxfId="31133" priority="17935" stopIfTrue="1" operator="equal">
      <formula>"Napkin Hs"</formula>
    </cfRule>
    <cfRule type="cellIs" dxfId="31132" priority="17936" stopIfTrue="1" operator="equal">
      <formula>"Towel"</formula>
    </cfRule>
    <cfRule type="cellIs" dxfId="31131" priority="17937" stopIfTrue="1" operator="equal">
      <formula>"Napkin Hs"</formula>
    </cfRule>
    <cfRule type="cellIs" dxfId="31130" priority="17940" stopIfTrue="1" operator="equal">
      <formula>"Towel"</formula>
    </cfRule>
    <cfRule type="cellIs" dxfId="31129" priority="17941" stopIfTrue="1" operator="equal">
      <formula>"Napkin Hs"</formula>
    </cfRule>
    <cfRule type="cellIs" dxfId="31128" priority="17942" stopIfTrue="1" operator="equal">
      <formula>"Towel"</formula>
    </cfRule>
    <cfRule type="cellIs" dxfId="31127" priority="17943" stopIfTrue="1" operator="equal">
      <formula>"Napkin Hs"</formula>
    </cfRule>
    <cfRule type="cellIs" dxfId="31126" priority="17944" stopIfTrue="1" operator="equal">
      <formula>"Towel"</formula>
    </cfRule>
    <cfRule type="cellIs" dxfId="31125" priority="17945" stopIfTrue="1" operator="equal">
      <formula>"Napkin Hs"</formula>
    </cfRule>
    <cfRule type="cellIs" dxfId="31124" priority="17946" stopIfTrue="1" operator="equal">
      <formula>"Towel"</formula>
    </cfRule>
    <cfRule type="cellIs" dxfId="31123" priority="17947" stopIfTrue="1" operator="equal">
      <formula>"Napkin Hs"</formula>
    </cfRule>
    <cfRule type="cellIs" dxfId="31122" priority="17952" stopIfTrue="1" operator="equal">
      <formula>"Towel"</formula>
    </cfRule>
    <cfRule type="cellIs" dxfId="31121" priority="17953" stopIfTrue="1" operator="equal">
      <formula>"Napkin Hs"</formula>
    </cfRule>
    <cfRule type="cellIs" dxfId="31120" priority="17954" stopIfTrue="1" operator="equal">
      <formula>"Towel"</formula>
    </cfRule>
    <cfRule type="cellIs" dxfId="31119" priority="17955" stopIfTrue="1" operator="equal">
      <formula>"Napkin Hs"</formula>
    </cfRule>
    <cfRule type="cellIs" dxfId="31118" priority="17958" stopIfTrue="1" operator="equal">
      <formula>"Towel"</formula>
    </cfRule>
    <cfRule type="cellIs" dxfId="31117" priority="17959" stopIfTrue="1" operator="equal">
      <formula>"Napkin Hs"</formula>
    </cfRule>
    <cfRule type="cellIs" dxfId="31116" priority="17960" stopIfTrue="1" operator="equal">
      <formula>"Towel"</formula>
    </cfRule>
    <cfRule type="cellIs" dxfId="31115" priority="17961" stopIfTrue="1" operator="equal">
      <formula>"Napkin Hs"</formula>
    </cfRule>
    <cfRule type="cellIs" dxfId="31114" priority="17962" stopIfTrue="1" operator="equal">
      <formula>"Towel"</formula>
    </cfRule>
    <cfRule type="cellIs" dxfId="31113" priority="17963" stopIfTrue="1" operator="equal">
      <formula>"Napkin Hs"</formula>
    </cfRule>
    <cfRule type="cellIs" dxfId="31112" priority="17964" stopIfTrue="1" operator="equal">
      <formula>"Towel"</formula>
    </cfRule>
    <cfRule type="cellIs" dxfId="31111" priority="17965" stopIfTrue="1" operator="equal">
      <formula>"Napkin Hs"</formula>
    </cfRule>
    <cfRule type="cellIs" dxfId="31110" priority="17970" stopIfTrue="1" operator="equal">
      <formula>"Towel"</formula>
    </cfRule>
    <cfRule type="cellIs" dxfId="31109" priority="17971" stopIfTrue="1" operator="equal">
      <formula>"Napkin Hs"</formula>
    </cfRule>
    <cfRule type="cellIs" dxfId="31108" priority="17972" stopIfTrue="1" operator="equal">
      <formula>"Towel"</formula>
    </cfRule>
    <cfRule type="cellIs" dxfId="31107" priority="17973" stopIfTrue="1" operator="equal">
      <formula>"Napkin Hs"</formula>
    </cfRule>
    <cfRule type="cellIs" dxfId="31106" priority="17976" stopIfTrue="1" operator="equal">
      <formula>"Towel"</formula>
    </cfRule>
    <cfRule type="cellIs" dxfId="31105" priority="17977" stopIfTrue="1" operator="equal">
      <formula>"Napkin Hs"</formula>
    </cfRule>
    <cfRule type="cellIs" dxfId="31104" priority="17978" stopIfTrue="1" operator="equal">
      <formula>"Towel"</formula>
    </cfRule>
    <cfRule type="cellIs" dxfId="31103" priority="17979" stopIfTrue="1" operator="equal">
      <formula>"Napkin Hs"</formula>
    </cfRule>
  </conditionalFormatting>
  <conditionalFormatting sqref="C20">
    <cfRule type="cellIs" dxfId="31102" priority="17882" stopIfTrue="1" operator="equal">
      <formula>"Napkin Hs"</formula>
    </cfRule>
  </conditionalFormatting>
  <conditionalFormatting sqref="C20">
    <cfRule type="cellIs" dxfId="31101" priority="17881" stopIfTrue="1" operator="equal">
      <formula>"Napkin Hs"</formula>
    </cfRule>
  </conditionalFormatting>
  <conditionalFormatting sqref="B20">
    <cfRule type="cellIs" dxfId="31100" priority="17880" stopIfTrue="1" operator="equal">
      <formula>"Napkin Hs"</formula>
    </cfRule>
  </conditionalFormatting>
  <conditionalFormatting sqref="C20">
    <cfRule type="cellIs" dxfId="31099" priority="17879" stopIfTrue="1" operator="equal">
      <formula>"Napkin Hs"</formula>
    </cfRule>
  </conditionalFormatting>
  <conditionalFormatting sqref="C20">
    <cfRule type="cellIs" dxfId="31098" priority="17878" stopIfTrue="1" operator="equal">
      <formula>"Napkin Hs"</formula>
    </cfRule>
  </conditionalFormatting>
  <conditionalFormatting sqref="C20">
    <cfRule type="cellIs" dxfId="31097" priority="17877" stopIfTrue="1" operator="equal">
      <formula>"Napkin Hs"</formula>
    </cfRule>
  </conditionalFormatting>
  <conditionalFormatting sqref="C20">
    <cfRule type="cellIs" dxfId="31096" priority="17876" stopIfTrue="1" operator="equal">
      <formula>"Napkin Hs"</formula>
    </cfRule>
  </conditionalFormatting>
  <conditionalFormatting sqref="B20">
    <cfRule type="cellIs" dxfId="31095" priority="17875" stopIfTrue="1" operator="equal">
      <formula>"Napkin Hs"</formula>
    </cfRule>
  </conditionalFormatting>
  <conditionalFormatting sqref="B20">
    <cfRule type="cellIs" dxfId="31094" priority="17874" stopIfTrue="1" operator="equal">
      <formula>"Napkin Hs"</formula>
    </cfRule>
  </conditionalFormatting>
  <conditionalFormatting sqref="C20">
    <cfRule type="cellIs" dxfId="31093" priority="17870" stopIfTrue="1" operator="equal">
      <formula>"Towel"</formula>
    </cfRule>
    <cfRule type="cellIs" dxfId="31092" priority="17871" stopIfTrue="1" operator="equal">
      <formula>"Napkin Hs"</formula>
    </cfRule>
  </conditionalFormatting>
  <conditionalFormatting sqref="C20">
    <cfRule type="cellIs" dxfId="31091" priority="17872" stopIfTrue="1" operator="equal">
      <formula>"Towel"</formula>
    </cfRule>
    <cfRule type="cellIs" dxfId="31090" priority="17873" stopIfTrue="1" operator="equal">
      <formula>"Napkin Hs"</formula>
    </cfRule>
  </conditionalFormatting>
  <conditionalFormatting sqref="C20">
    <cfRule type="cellIs" dxfId="31089" priority="17866" stopIfTrue="1" operator="equal">
      <formula>"Towel"</formula>
    </cfRule>
    <cfRule type="cellIs" dxfId="31088" priority="17867" stopIfTrue="1" operator="equal">
      <formula>"Napkin Hs"</formula>
    </cfRule>
  </conditionalFormatting>
  <conditionalFormatting sqref="C20">
    <cfRule type="cellIs" dxfId="31087" priority="17868" stopIfTrue="1" operator="equal">
      <formula>"Towel"</formula>
    </cfRule>
    <cfRule type="cellIs" dxfId="31086" priority="17869" stopIfTrue="1" operator="equal">
      <formula>"Napkin Hs"</formula>
    </cfRule>
  </conditionalFormatting>
  <conditionalFormatting sqref="C22">
    <cfRule type="cellIs" dxfId="31085" priority="17860" stopIfTrue="1" operator="equal">
      <formula>"Towel"</formula>
    </cfRule>
    <cfRule type="cellIs" dxfId="31084" priority="17861" stopIfTrue="1" operator="equal">
      <formula>"Napkin Hs"</formula>
    </cfRule>
  </conditionalFormatting>
  <conditionalFormatting sqref="C22">
    <cfRule type="cellIs" dxfId="31083" priority="17864" stopIfTrue="1" operator="equal">
      <formula>"Towel"</formula>
    </cfRule>
    <cfRule type="cellIs" dxfId="31082" priority="17865" stopIfTrue="1" operator="equal">
      <formula>"Napkin Hs"</formula>
    </cfRule>
  </conditionalFormatting>
  <conditionalFormatting sqref="C22">
    <cfRule type="cellIs" dxfId="31081" priority="17862" stopIfTrue="1" operator="equal">
      <formula>"Towel"</formula>
    </cfRule>
    <cfRule type="cellIs" dxfId="31080" priority="17863" stopIfTrue="1" operator="equal">
      <formula>"Napkin Hs"</formula>
    </cfRule>
  </conditionalFormatting>
  <conditionalFormatting sqref="C22">
    <cfRule type="cellIs" dxfId="31079" priority="17854" stopIfTrue="1" operator="equal">
      <formula>"Towel"</formula>
    </cfRule>
    <cfRule type="cellIs" dxfId="31078" priority="17855" stopIfTrue="1" operator="equal">
      <formula>"Napkin Hs"</formula>
    </cfRule>
  </conditionalFormatting>
  <conditionalFormatting sqref="C22">
    <cfRule type="cellIs" dxfId="31077" priority="17856" stopIfTrue="1" operator="equal">
      <formula>"Towel"</formula>
    </cfRule>
    <cfRule type="cellIs" dxfId="31076" priority="17857" stopIfTrue="1" operator="equal">
      <formula>"Napkin Hs"</formula>
    </cfRule>
  </conditionalFormatting>
  <conditionalFormatting sqref="C22">
    <cfRule type="cellIs" dxfId="31075" priority="17858" stopIfTrue="1" operator="equal">
      <formula>"Towel"</formula>
    </cfRule>
    <cfRule type="cellIs" dxfId="31074" priority="17859" stopIfTrue="1" operator="equal">
      <formula>"Napkin Hs"</formula>
    </cfRule>
  </conditionalFormatting>
  <conditionalFormatting sqref="B22:C22">
    <cfRule type="cellIs" dxfId="31073" priority="17852" stopIfTrue="1" operator="equal">
      <formula>"Towel"</formula>
    </cfRule>
    <cfRule type="cellIs" dxfId="31072" priority="17853" stopIfTrue="1" operator="equal">
      <formula>"Napkin Hs"</formula>
    </cfRule>
  </conditionalFormatting>
  <conditionalFormatting sqref="B22:C22">
    <cfRule type="cellIs" dxfId="31071" priority="17850" stopIfTrue="1" operator="equal">
      <formula>"Towel"</formula>
    </cfRule>
    <cfRule type="cellIs" dxfId="31070" priority="17851" stopIfTrue="1" operator="equal">
      <formula>"Napkin Hs"</formula>
    </cfRule>
  </conditionalFormatting>
  <conditionalFormatting sqref="B22:C22">
    <cfRule type="cellIs" dxfId="31069" priority="17826" stopIfTrue="1" operator="equal">
      <formula>"Towel"</formula>
    </cfRule>
  </conditionalFormatting>
  <conditionalFormatting sqref="B22:C22">
    <cfRule type="cellIs" dxfId="31068" priority="17827" stopIfTrue="1" operator="equal">
      <formula>"Napkin Hs"</formula>
    </cfRule>
    <cfRule type="cellIs" dxfId="31067" priority="17832" stopIfTrue="1" operator="equal">
      <formula>"Towel"</formula>
    </cfRule>
    <cfRule type="cellIs" dxfId="31066" priority="17833" stopIfTrue="1" operator="equal">
      <formula>"Napkin Hs"</formula>
    </cfRule>
    <cfRule type="cellIs" dxfId="31065" priority="17842" stopIfTrue="1" operator="equal">
      <formula>"Towel"</formula>
    </cfRule>
    <cfRule type="cellIs" dxfId="31064" priority="17843" stopIfTrue="1" operator="equal">
      <formula>"Napkin Hs"</formula>
    </cfRule>
    <cfRule type="cellIs" dxfId="31063" priority="17848" stopIfTrue="1" operator="equal">
      <formula>"Towel"</formula>
    </cfRule>
    <cfRule type="cellIs" dxfId="31062" priority="17849" stopIfTrue="1" operator="equal">
      <formula>"Napkin Hs"</formula>
    </cfRule>
  </conditionalFormatting>
  <conditionalFormatting sqref="C22">
    <cfRule type="cellIs" dxfId="31061" priority="17828" stopIfTrue="1" operator="equal">
      <formula>"Towel"</formula>
    </cfRule>
    <cfRule type="cellIs" dxfId="31060" priority="17829" stopIfTrue="1" operator="equal">
      <formula>"Napkin Hs"</formula>
    </cfRule>
    <cfRule type="cellIs" dxfId="31059" priority="17830" stopIfTrue="1" operator="equal">
      <formula>"Towel"</formula>
    </cfRule>
    <cfRule type="cellIs" dxfId="31058" priority="17831" stopIfTrue="1" operator="equal">
      <formula>"Napkin Hs"</formula>
    </cfRule>
    <cfRule type="cellIs" dxfId="31057" priority="17834" stopIfTrue="1" operator="equal">
      <formula>"Towel"</formula>
    </cfRule>
    <cfRule type="cellIs" dxfId="31056" priority="17835" stopIfTrue="1" operator="equal">
      <formula>"Napkin Hs"</formula>
    </cfRule>
    <cfRule type="cellIs" dxfId="31055" priority="17836" stopIfTrue="1" operator="equal">
      <formula>"Towel"</formula>
    </cfRule>
    <cfRule type="cellIs" dxfId="31054" priority="17837" stopIfTrue="1" operator="equal">
      <formula>"Napkin Hs"</formula>
    </cfRule>
    <cfRule type="cellIs" dxfId="31053" priority="17838" stopIfTrue="1" operator="equal">
      <formula>"Towel"</formula>
    </cfRule>
    <cfRule type="cellIs" dxfId="31052" priority="17839" stopIfTrue="1" operator="equal">
      <formula>"Napkin Hs"</formula>
    </cfRule>
    <cfRule type="cellIs" dxfId="31051" priority="17840" stopIfTrue="1" operator="equal">
      <formula>"Towel"</formula>
    </cfRule>
    <cfRule type="cellIs" dxfId="31050" priority="17841" stopIfTrue="1" operator="equal">
      <formula>"Napkin Hs"</formula>
    </cfRule>
    <cfRule type="cellIs" dxfId="31049" priority="17844" stopIfTrue="1" operator="equal">
      <formula>"Towel"</formula>
    </cfRule>
    <cfRule type="cellIs" dxfId="31048" priority="17845" stopIfTrue="1" operator="equal">
      <formula>"Napkin Hs"</formula>
    </cfRule>
    <cfRule type="cellIs" dxfId="31047" priority="17847" stopIfTrue="1" operator="equal">
      <formula>"Napkin Hs"</formula>
    </cfRule>
  </conditionalFormatting>
  <conditionalFormatting sqref="C22">
    <cfRule type="cellIs" dxfId="31046" priority="17846" stopIfTrue="1" operator="equal">
      <formula>"Towel"</formula>
    </cfRule>
  </conditionalFormatting>
  <conditionalFormatting sqref="B22:C22">
    <cfRule type="cellIs" dxfId="31045" priority="17824" stopIfTrue="1" operator="equal">
      <formula>"Towel"</formula>
    </cfRule>
    <cfRule type="cellIs" dxfId="31044" priority="17825" stopIfTrue="1" operator="equal">
      <formula>"Napkin Hs"</formula>
    </cfRule>
  </conditionalFormatting>
  <conditionalFormatting sqref="C22">
    <cfRule type="cellIs" dxfId="31043" priority="17823" stopIfTrue="1" operator="equal">
      <formula>"Napkin Hs"</formula>
    </cfRule>
  </conditionalFormatting>
  <conditionalFormatting sqref="C22">
    <cfRule type="cellIs" dxfId="31042" priority="17822" stopIfTrue="1" operator="equal">
      <formula>"Towel"</formula>
    </cfRule>
  </conditionalFormatting>
  <conditionalFormatting sqref="C22">
    <cfRule type="cellIs" dxfId="31041" priority="17820" stopIfTrue="1" operator="equal">
      <formula>"Towel"</formula>
    </cfRule>
  </conditionalFormatting>
  <conditionalFormatting sqref="C22">
    <cfRule type="cellIs" dxfId="31040" priority="17821" stopIfTrue="1" operator="equal">
      <formula>"Napkin Hs"</formula>
    </cfRule>
  </conditionalFormatting>
  <conditionalFormatting sqref="B22">
    <cfRule type="cellIs" dxfId="31039" priority="17724" stopIfTrue="1" operator="equal">
      <formula>"Napkin Hs"</formula>
    </cfRule>
  </conditionalFormatting>
  <conditionalFormatting sqref="B22:C22">
    <cfRule type="cellIs" dxfId="31038" priority="17723" stopIfTrue="1" operator="equal">
      <formula>"Towel"</formula>
    </cfRule>
  </conditionalFormatting>
  <conditionalFormatting sqref="B22:C22">
    <cfRule type="cellIs" dxfId="31037" priority="17734" stopIfTrue="1" operator="equal">
      <formula>"Towel"</formula>
    </cfRule>
    <cfRule type="cellIs" dxfId="31036" priority="17735" stopIfTrue="1" operator="equal">
      <formula>"Napkin Hs"</formula>
    </cfRule>
    <cfRule type="cellIs" dxfId="31035" priority="17740" stopIfTrue="1" operator="equal">
      <formula>"Towel"</formula>
    </cfRule>
    <cfRule type="cellIs" dxfId="31034" priority="17741" stopIfTrue="1" operator="equal">
      <formula>"Napkin Hs"</formula>
    </cfRule>
    <cfRule type="cellIs" dxfId="31033" priority="17746" stopIfTrue="1" operator="equal">
      <formula>"Towel"</formula>
    </cfRule>
    <cfRule type="cellIs" dxfId="31032" priority="17747" stopIfTrue="1" operator="equal">
      <formula>"Napkin Hs"</formula>
    </cfRule>
    <cfRule type="cellIs" dxfId="31031" priority="17748" stopIfTrue="1" operator="equal">
      <formula>"Towel"</formula>
    </cfRule>
    <cfRule type="cellIs" dxfId="31030" priority="17749" stopIfTrue="1" operator="equal">
      <formula>"Napkin Hs"</formula>
    </cfRule>
    <cfRule type="cellIs" dxfId="31029" priority="17754" stopIfTrue="1" operator="equal">
      <formula>"Towel"</formula>
    </cfRule>
    <cfRule type="cellIs" dxfId="31028" priority="17755" stopIfTrue="1" operator="equal">
      <formula>"Napkin Hs"</formula>
    </cfRule>
    <cfRule type="cellIs" dxfId="31027" priority="17764" stopIfTrue="1" operator="equal">
      <formula>"Towel"</formula>
    </cfRule>
    <cfRule type="cellIs" dxfId="31026" priority="17765" stopIfTrue="1" operator="equal">
      <formula>"Napkin Hs"</formula>
    </cfRule>
    <cfRule type="cellIs" dxfId="31025" priority="17770" stopIfTrue="1" operator="equal">
      <formula>"Towel"</formula>
    </cfRule>
    <cfRule type="cellIs" dxfId="31024" priority="17771" stopIfTrue="1" operator="equal">
      <formula>"Napkin Hs"</formula>
    </cfRule>
    <cfRule type="cellIs" dxfId="31023" priority="17772" stopIfTrue="1" operator="equal">
      <formula>"Towel"</formula>
    </cfRule>
    <cfRule type="cellIs" dxfId="31022" priority="17773" stopIfTrue="1" operator="equal">
      <formula>"Napkin Hs"</formula>
    </cfRule>
    <cfRule type="cellIs" dxfId="31021" priority="17778" stopIfTrue="1" operator="equal">
      <formula>"Towel"</formula>
    </cfRule>
    <cfRule type="cellIs" dxfId="31020" priority="17779" stopIfTrue="1" operator="equal">
      <formula>"Napkin Hs"</formula>
    </cfRule>
    <cfRule type="cellIs" dxfId="31019" priority="17788" stopIfTrue="1" operator="equal">
      <formula>"Towel"</formula>
    </cfRule>
    <cfRule type="cellIs" dxfId="31018" priority="17789" stopIfTrue="1" operator="equal">
      <formula>"Napkin Hs"</formula>
    </cfRule>
    <cfRule type="cellIs" dxfId="31017" priority="17790" stopIfTrue="1" operator="equal">
      <formula>"Towel"</formula>
    </cfRule>
    <cfRule type="cellIs" dxfId="31016" priority="17791" stopIfTrue="1" operator="equal">
      <formula>"Napkin Hs"</formula>
    </cfRule>
    <cfRule type="cellIs" dxfId="31015" priority="17796" stopIfTrue="1" operator="equal">
      <formula>"Towel"</formula>
    </cfRule>
    <cfRule type="cellIs" dxfId="31014" priority="17797" stopIfTrue="1" operator="equal">
      <formula>"Napkin Hs"</formula>
    </cfRule>
    <cfRule type="cellIs" dxfId="31013" priority="17806" stopIfTrue="1" operator="equal">
      <formula>"Towel"</formula>
    </cfRule>
    <cfRule type="cellIs" dxfId="31012" priority="17807" stopIfTrue="1" operator="equal">
      <formula>"Napkin Hs"</formula>
    </cfRule>
    <cfRule type="cellIs" dxfId="31011" priority="17808" stopIfTrue="1" operator="equal">
      <formula>"Towel"</formula>
    </cfRule>
    <cfRule type="cellIs" dxfId="31010" priority="17809" stopIfTrue="1" operator="equal">
      <formula>"Napkin Hs"</formula>
    </cfRule>
    <cfRule type="cellIs" dxfId="31009" priority="17815" stopIfTrue="1" operator="equal">
      <formula>"Napkin Hs"</formula>
    </cfRule>
  </conditionalFormatting>
  <conditionalFormatting sqref="B22:C22">
    <cfRule type="cellIs" dxfId="31008" priority="17814" stopIfTrue="1" operator="equal">
      <formula>"Towel"</formula>
    </cfRule>
  </conditionalFormatting>
  <conditionalFormatting sqref="C22">
    <cfRule type="cellIs" dxfId="31007" priority="17725" stopIfTrue="1" operator="equal">
      <formula>"Napkin Hs"</formula>
    </cfRule>
    <cfRule type="cellIs" dxfId="31006" priority="17726" stopIfTrue="1" operator="equal">
      <formula>"Towel"</formula>
    </cfRule>
    <cfRule type="cellIs" dxfId="31005" priority="17727" stopIfTrue="1" operator="equal">
      <formula>"Napkin Hs"</formula>
    </cfRule>
    <cfRule type="cellIs" dxfId="31004" priority="17728" stopIfTrue="1" operator="equal">
      <formula>"Towel"</formula>
    </cfRule>
    <cfRule type="cellIs" dxfId="31003" priority="17729" stopIfTrue="1" operator="equal">
      <formula>"Napkin Hs"</formula>
    </cfRule>
    <cfRule type="cellIs" dxfId="31002" priority="17730" stopIfTrue="1" operator="equal">
      <formula>"Towel"</formula>
    </cfRule>
    <cfRule type="cellIs" dxfId="31001" priority="17731" stopIfTrue="1" operator="equal">
      <formula>"Napkin Hs"</formula>
    </cfRule>
    <cfRule type="cellIs" dxfId="31000" priority="17732" stopIfTrue="1" operator="equal">
      <formula>"Towel"</formula>
    </cfRule>
    <cfRule type="cellIs" dxfId="30999" priority="17733" stopIfTrue="1" operator="equal">
      <formula>"Napkin Hs"</formula>
    </cfRule>
    <cfRule type="cellIs" dxfId="30998" priority="17736" stopIfTrue="1" operator="equal">
      <formula>"Towel"</formula>
    </cfRule>
    <cfRule type="cellIs" dxfId="30997" priority="17737" stopIfTrue="1" operator="equal">
      <formula>"Napkin Hs"</formula>
    </cfRule>
    <cfRule type="cellIs" dxfId="30996" priority="17738" stopIfTrue="1" operator="equal">
      <formula>"Towel"</formula>
    </cfRule>
    <cfRule type="cellIs" dxfId="30995" priority="17739" stopIfTrue="1" operator="equal">
      <formula>"Napkin Hs"</formula>
    </cfRule>
    <cfRule type="cellIs" dxfId="30994" priority="17742" stopIfTrue="1" operator="equal">
      <formula>"Towel"</formula>
    </cfRule>
    <cfRule type="cellIs" dxfId="30993" priority="17743" stopIfTrue="1" operator="equal">
      <formula>"Napkin Hs"</formula>
    </cfRule>
    <cfRule type="cellIs" dxfId="30992" priority="17744" stopIfTrue="1" operator="equal">
      <formula>"Towel"</formula>
    </cfRule>
    <cfRule type="cellIs" dxfId="30991" priority="17745" stopIfTrue="1" operator="equal">
      <formula>"Napkin Hs"</formula>
    </cfRule>
    <cfRule type="cellIs" dxfId="30990" priority="17750" stopIfTrue="1" operator="equal">
      <formula>"Towel"</formula>
    </cfRule>
    <cfRule type="cellIs" dxfId="30989" priority="17751" stopIfTrue="1" operator="equal">
      <formula>"Napkin Hs"</formula>
    </cfRule>
    <cfRule type="cellIs" dxfId="30988" priority="17752" stopIfTrue="1" operator="equal">
      <formula>"Towel"</formula>
    </cfRule>
    <cfRule type="cellIs" dxfId="30987" priority="17753" stopIfTrue="1" operator="equal">
      <formula>"Napkin Hs"</formula>
    </cfRule>
    <cfRule type="cellIs" dxfId="30986" priority="17756" stopIfTrue="1" operator="equal">
      <formula>"Towel"</formula>
    </cfRule>
    <cfRule type="cellIs" dxfId="30985" priority="17757" stopIfTrue="1" operator="equal">
      <formula>"Napkin Hs"</formula>
    </cfRule>
    <cfRule type="cellIs" dxfId="30984" priority="17758" stopIfTrue="1" operator="equal">
      <formula>"Towel"</formula>
    </cfRule>
    <cfRule type="cellIs" dxfId="30983" priority="17759" stopIfTrue="1" operator="equal">
      <formula>"Napkin Hs"</formula>
    </cfRule>
    <cfRule type="cellIs" dxfId="30982" priority="17760" stopIfTrue="1" operator="equal">
      <formula>"Towel"</formula>
    </cfRule>
    <cfRule type="cellIs" dxfId="30981" priority="17761" stopIfTrue="1" operator="equal">
      <formula>"Napkin Hs"</formula>
    </cfRule>
    <cfRule type="cellIs" dxfId="30980" priority="17762" stopIfTrue="1" operator="equal">
      <formula>"Towel"</formula>
    </cfRule>
    <cfRule type="cellIs" dxfId="30979" priority="17763" stopIfTrue="1" operator="equal">
      <formula>"Napkin Hs"</formula>
    </cfRule>
    <cfRule type="cellIs" dxfId="30978" priority="17766" stopIfTrue="1" operator="equal">
      <formula>"Towel"</formula>
    </cfRule>
    <cfRule type="cellIs" dxfId="30977" priority="17767" stopIfTrue="1" operator="equal">
      <formula>"Napkin Hs"</formula>
    </cfRule>
    <cfRule type="cellIs" dxfId="30976" priority="17768" stopIfTrue="1" operator="equal">
      <formula>"Towel"</formula>
    </cfRule>
    <cfRule type="cellIs" dxfId="30975" priority="17769" stopIfTrue="1" operator="equal">
      <formula>"Napkin Hs"</formula>
    </cfRule>
    <cfRule type="cellIs" dxfId="30974" priority="17774" stopIfTrue="1" operator="equal">
      <formula>"Towel"</formula>
    </cfRule>
    <cfRule type="cellIs" dxfId="30973" priority="17775" stopIfTrue="1" operator="equal">
      <formula>"Napkin Hs"</formula>
    </cfRule>
    <cfRule type="cellIs" dxfId="30972" priority="17776" stopIfTrue="1" operator="equal">
      <formula>"Towel"</formula>
    </cfRule>
    <cfRule type="cellIs" dxfId="30971" priority="17777" stopIfTrue="1" operator="equal">
      <formula>"Napkin Hs"</formula>
    </cfRule>
    <cfRule type="cellIs" dxfId="30970" priority="17780" stopIfTrue="1" operator="equal">
      <formula>"Towel"</formula>
    </cfRule>
    <cfRule type="cellIs" dxfId="30969" priority="17781" stopIfTrue="1" operator="equal">
      <formula>"Napkin Hs"</formula>
    </cfRule>
    <cfRule type="cellIs" dxfId="30968" priority="17782" stopIfTrue="1" operator="equal">
      <formula>"Towel"</formula>
    </cfRule>
    <cfRule type="cellIs" dxfId="30967" priority="17783" stopIfTrue="1" operator="equal">
      <formula>"Napkin Hs"</formula>
    </cfRule>
    <cfRule type="cellIs" dxfId="30966" priority="17784" stopIfTrue="1" operator="equal">
      <formula>"Towel"</formula>
    </cfRule>
    <cfRule type="cellIs" dxfId="30965" priority="17785" stopIfTrue="1" operator="equal">
      <formula>"Napkin Hs"</formula>
    </cfRule>
    <cfRule type="cellIs" dxfId="30964" priority="17786" stopIfTrue="1" operator="equal">
      <formula>"Towel"</formula>
    </cfRule>
    <cfRule type="cellIs" dxfId="30963" priority="17787" stopIfTrue="1" operator="equal">
      <formula>"Napkin Hs"</formula>
    </cfRule>
    <cfRule type="cellIs" dxfId="30962" priority="17792" stopIfTrue="1" operator="equal">
      <formula>"Towel"</formula>
    </cfRule>
    <cfRule type="cellIs" dxfId="30961" priority="17793" stopIfTrue="1" operator="equal">
      <formula>"Napkin Hs"</formula>
    </cfRule>
    <cfRule type="cellIs" dxfId="30960" priority="17794" stopIfTrue="1" operator="equal">
      <formula>"Towel"</formula>
    </cfRule>
    <cfRule type="cellIs" dxfId="30959" priority="17795" stopIfTrue="1" operator="equal">
      <formula>"Napkin Hs"</formula>
    </cfRule>
    <cfRule type="cellIs" dxfId="30958" priority="17798" stopIfTrue="1" operator="equal">
      <formula>"Towel"</formula>
    </cfRule>
    <cfRule type="cellIs" dxfId="30957" priority="17799" stopIfTrue="1" operator="equal">
      <formula>"Napkin Hs"</formula>
    </cfRule>
    <cfRule type="cellIs" dxfId="30956" priority="17800" stopIfTrue="1" operator="equal">
      <formula>"Towel"</formula>
    </cfRule>
    <cfRule type="cellIs" dxfId="30955" priority="17801" stopIfTrue="1" operator="equal">
      <formula>"Napkin Hs"</formula>
    </cfRule>
    <cfRule type="cellIs" dxfId="30954" priority="17802" stopIfTrue="1" operator="equal">
      <formula>"Towel"</formula>
    </cfRule>
    <cfRule type="cellIs" dxfId="30953" priority="17803" stopIfTrue="1" operator="equal">
      <formula>"Napkin Hs"</formula>
    </cfRule>
    <cfRule type="cellIs" dxfId="30952" priority="17804" stopIfTrue="1" operator="equal">
      <formula>"Towel"</formula>
    </cfRule>
    <cfRule type="cellIs" dxfId="30951" priority="17805" stopIfTrue="1" operator="equal">
      <formula>"Napkin Hs"</formula>
    </cfRule>
    <cfRule type="cellIs" dxfId="30950" priority="17810" stopIfTrue="1" operator="equal">
      <formula>"Towel"</formula>
    </cfRule>
    <cfRule type="cellIs" dxfId="30949" priority="17811" stopIfTrue="1" operator="equal">
      <formula>"Napkin Hs"</formula>
    </cfRule>
    <cfRule type="cellIs" dxfId="30948" priority="17812" stopIfTrue="1" operator="equal">
      <formula>"Towel"</formula>
    </cfRule>
    <cfRule type="cellIs" dxfId="30947" priority="17813" stopIfTrue="1" operator="equal">
      <formula>"Napkin Hs"</formula>
    </cfRule>
    <cfRule type="cellIs" dxfId="30946" priority="17816" stopIfTrue="1" operator="equal">
      <formula>"Towel"</formula>
    </cfRule>
    <cfRule type="cellIs" dxfId="30945" priority="17817" stopIfTrue="1" operator="equal">
      <formula>"Napkin Hs"</formula>
    </cfRule>
    <cfRule type="cellIs" dxfId="30944" priority="17818" stopIfTrue="1" operator="equal">
      <formula>"Towel"</formula>
    </cfRule>
    <cfRule type="cellIs" dxfId="30943" priority="17819" stopIfTrue="1" operator="equal">
      <formula>"Napkin Hs"</formula>
    </cfRule>
  </conditionalFormatting>
  <conditionalFormatting sqref="C22">
    <cfRule type="cellIs" dxfId="30942" priority="17722" stopIfTrue="1" operator="equal">
      <formula>"Napkin Hs"</formula>
    </cfRule>
  </conditionalFormatting>
  <conditionalFormatting sqref="C22">
    <cfRule type="cellIs" dxfId="30941" priority="17721" stopIfTrue="1" operator="equal">
      <formula>"Napkin Hs"</formula>
    </cfRule>
  </conditionalFormatting>
  <conditionalFormatting sqref="B22">
    <cfRule type="cellIs" dxfId="30940" priority="17720" stopIfTrue="1" operator="equal">
      <formula>"Napkin Hs"</formula>
    </cfRule>
  </conditionalFormatting>
  <conditionalFormatting sqref="C22">
    <cfRule type="cellIs" dxfId="30939" priority="17719" stopIfTrue="1" operator="equal">
      <formula>"Napkin Hs"</formula>
    </cfRule>
  </conditionalFormatting>
  <conditionalFormatting sqref="C22">
    <cfRule type="cellIs" dxfId="30938" priority="17718" stopIfTrue="1" operator="equal">
      <formula>"Napkin Hs"</formula>
    </cfRule>
  </conditionalFormatting>
  <conditionalFormatting sqref="C22">
    <cfRule type="cellIs" dxfId="30937" priority="17717" stopIfTrue="1" operator="equal">
      <formula>"Napkin Hs"</formula>
    </cfRule>
  </conditionalFormatting>
  <conditionalFormatting sqref="C22">
    <cfRule type="cellIs" dxfId="30936" priority="17716" stopIfTrue="1" operator="equal">
      <formula>"Napkin Hs"</formula>
    </cfRule>
  </conditionalFormatting>
  <conditionalFormatting sqref="B22">
    <cfRule type="cellIs" dxfId="30935" priority="17715" stopIfTrue="1" operator="equal">
      <formula>"Napkin Hs"</formula>
    </cfRule>
  </conditionalFormatting>
  <conditionalFormatting sqref="B22">
    <cfRule type="cellIs" dxfId="30934" priority="17714" stopIfTrue="1" operator="equal">
      <formula>"Napkin Hs"</formula>
    </cfRule>
  </conditionalFormatting>
  <conditionalFormatting sqref="C22">
    <cfRule type="cellIs" dxfId="30933" priority="17710" stopIfTrue="1" operator="equal">
      <formula>"Towel"</formula>
    </cfRule>
    <cfRule type="cellIs" dxfId="30932" priority="17711" stopIfTrue="1" operator="equal">
      <formula>"Napkin Hs"</formula>
    </cfRule>
  </conditionalFormatting>
  <conditionalFormatting sqref="C22">
    <cfRule type="cellIs" dxfId="30931" priority="17712" stopIfTrue="1" operator="equal">
      <formula>"Towel"</formula>
    </cfRule>
    <cfRule type="cellIs" dxfId="30930" priority="17713" stopIfTrue="1" operator="equal">
      <formula>"Napkin Hs"</formula>
    </cfRule>
  </conditionalFormatting>
  <conditionalFormatting sqref="C22">
    <cfRule type="cellIs" dxfId="30929" priority="17706" stopIfTrue="1" operator="equal">
      <formula>"Towel"</formula>
    </cfRule>
    <cfRule type="cellIs" dxfId="30928" priority="17707" stopIfTrue="1" operator="equal">
      <formula>"Napkin Hs"</formula>
    </cfRule>
  </conditionalFormatting>
  <conditionalFormatting sqref="C22">
    <cfRule type="cellIs" dxfId="30927" priority="17708" stopIfTrue="1" operator="equal">
      <formula>"Towel"</formula>
    </cfRule>
    <cfRule type="cellIs" dxfId="30926" priority="17709" stopIfTrue="1" operator="equal">
      <formula>"Napkin Hs"</formula>
    </cfRule>
  </conditionalFormatting>
  <conditionalFormatting sqref="B29:C29">
    <cfRule type="cellIs" dxfId="30925" priority="17692" stopIfTrue="1" operator="equal">
      <formula>"Towel"</formula>
    </cfRule>
    <cfRule type="cellIs" dxfId="30924" priority="17693" stopIfTrue="1" operator="equal">
      <formula>"Napkin Hs"</formula>
    </cfRule>
  </conditionalFormatting>
  <conditionalFormatting sqref="C29">
    <cfRule type="cellIs" dxfId="30923" priority="17688" stopIfTrue="1" operator="equal">
      <formula>"Towel"</formula>
    </cfRule>
    <cfRule type="cellIs" dxfId="30922" priority="17689" stopIfTrue="1" operator="equal">
      <formula>"Napkin Hs"</formula>
    </cfRule>
  </conditionalFormatting>
  <conditionalFormatting sqref="C29">
    <cfRule type="cellIs" dxfId="30921" priority="17691" stopIfTrue="1" operator="equal">
      <formula>"Napkin Hs"</formula>
    </cfRule>
  </conditionalFormatting>
  <conditionalFormatting sqref="C29">
    <cfRule type="cellIs" dxfId="30920" priority="17690" stopIfTrue="1" operator="equal">
      <formula>"Towel"</formula>
    </cfRule>
  </conditionalFormatting>
  <conditionalFormatting sqref="B28">
    <cfRule type="cellIs" dxfId="30919" priority="17686" stopIfTrue="1" operator="equal">
      <formula>"Towel"</formula>
    </cfRule>
    <cfRule type="cellIs" dxfId="30918" priority="17687" stopIfTrue="1" operator="equal">
      <formula>"Napkin Hs"</formula>
    </cfRule>
  </conditionalFormatting>
  <conditionalFormatting sqref="B28">
    <cfRule type="cellIs" dxfId="30917" priority="17684" stopIfTrue="1" operator="equal">
      <formula>"Towel"</formula>
    </cfRule>
    <cfRule type="cellIs" dxfId="30916" priority="17685" stopIfTrue="1" operator="equal">
      <formula>"Napkin Hs"</formula>
    </cfRule>
  </conditionalFormatting>
  <conditionalFormatting sqref="C28">
    <cfRule type="cellIs" dxfId="30915" priority="17660" stopIfTrue="1" operator="equal">
      <formula>"Towel"</formula>
    </cfRule>
  </conditionalFormatting>
  <conditionalFormatting sqref="C28">
    <cfRule type="cellIs" dxfId="30914" priority="17661" stopIfTrue="1" operator="equal">
      <formula>"Napkin Hs"</formula>
    </cfRule>
    <cfRule type="cellIs" dxfId="30913" priority="17666" stopIfTrue="1" operator="equal">
      <formula>"Towel"</formula>
    </cfRule>
    <cfRule type="cellIs" dxfId="30912" priority="17667" stopIfTrue="1" operator="equal">
      <formula>"Napkin Hs"</formula>
    </cfRule>
    <cfRule type="cellIs" dxfId="30911" priority="17676" stopIfTrue="1" operator="equal">
      <formula>"Towel"</formula>
    </cfRule>
    <cfRule type="cellIs" dxfId="30910" priority="17677" stopIfTrue="1" operator="equal">
      <formula>"Napkin Hs"</formula>
    </cfRule>
    <cfRule type="cellIs" dxfId="30909" priority="17682" stopIfTrue="1" operator="equal">
      <formula>"Towel"</formula>
    </cfRule>
    <cfRule type="cellIs" dxfId="30908" priority="17683" stopIfTrue="1" operator="equal">
      <formula>"Napkin Hs"</formula>
    </cfRule>
  </conditionalFormatting>
  <conditionalFormatting sqref="C28">
    <cfRule type="cellIs" dxfId="30907" priority="17662" stopIfTrue="1" operator="equal">
      <formula>"Towel"</formula>
    </cfRule>
    <cfRule type="cellIs" dxfId="30906" priority="17663" stopIfTrue="1" operator="equal">
      <formula>"Napkin Hs"</formula>
    </cfRule>
    <cfRule type="cellIs" dxfId="30905" priority="17664" stopIfTrue="1" operator="equal">
      <formula>"Towel"</formula>
    </cfRule>
    <cfRule type="cellIs" dxfId="30904" priority="17665" stopIfTrue="1" operator="equal">
      <formula>"Napkin Hs"</formula>
    </cfRule>
    <cfRule type="cellIs" dxfId="30903" priority="17668" stopIfTrue="1" operator="equal">
      <formula>"Towel"</formula>
    </cfRule>
    <cfRule type="cellIs" dxfId="30902" priority="17669" stopIfTrue="1" operator="equal">
      <formula>"Napkin Hs"</formula>
    </cfRule>
    <cfRule type="cellIs" dxfId="30901" priority="17670" stopIfTrue="1" operator="equal">
      <formula>"Towel"</formula>
    </cfRule>
    <cfRule type="cellIs" dxfId="30900" priority="17671" stopIfTrue="1" operator="equal">
      <formula>"Napkin Hs"</formula>
    </cfRule>
    <cfRule type="cellIs" dxfId="30899" priority="17672" stopIfTrue="1" operator="equal">
      <formula>"Towel"</formula>
    </cfRule>
    <cfRule type="cellIs" dxfId="30898" priority="17673" stopIfTrue="1" operator="equal">
      <formula>"Napkin Hs"</formula>
    </cfRule>
    <cfRule type="cellIs" dxfId="30897" priority="17674" stopIfTrue="1" operator="equal">
      <formula>"Towel"</formula>
    </cfRule>
    <cfRule type="cellIs" dxfId="30896" priority="17675" stopIfTrue="1" operator="equal">
      <formula>"Napkin Hs"</formula>
    </cfRule>
    <cfRule type="cellIs" dxfId="30895" priority="17678" stopIfTrue="1" operator="equal">
      <formula>"Towel"</formula>
    </cfRule>
    <cfRule type="cellIs" dxfId="30894" priority="17679" stopIfTrue="1" operator="equal">
      <formula>"Napkin Hs"</formula>
    </cfRule>
    <cfRule type="cellIs" dxfId="30893" priority="17681" stopIfTrue="1" operator="equal">
      <formula>"Napkin Hs"</formula>
    </cfRule>
  </conditionalFormatting>
  <conditionalFormatting sqref="C28">
    <cfRule type="cellIs" dxfId="30892" priority="17680" stopIfTrue="1" operator="equal">
      <formula>"Towel"</formula>
    </cfRule>
  </conditionalFormatting>
  <conditionalFormatting sqref="C28">
    <cfRule type="cellIs" dxfId="30891" priority="17658" stopIfTrue="1" operator="equal">
      <formula>"Towel"</formula>
    </cfRule>
    <cfRule type="cellIs" dxfId="30890" priority="17659" stopIfTrue="1" operator="equal">
      <formula>"Napkin Hs"</formula>
    </cfRule>
  </conditionalFormatting>
  <conditionalFormatting sqref="C28">
    <cfRule type="cellIs" dxfId="30889" priority="17657" stopIfTrue="1" operator="equal">
      <formula>"Napkin Hs"</formula>
    </cfRule>
  </conditionalFormatting>
  <conditionalFormatting sqref="C28">
    <cfRule type="cellIs" dxfId="30888" priority="17656" stopIfTrue="1" operator="equal">
      <formula>"Towel"</formula>
    </cfRule>
  </conditionalFormatting>
  <conditionalFormatting sqref="C28">
    <cfRule type="cellIs" dxfId="30887" priority="17654" stopIfTrue="1" operator="equal">
      <formula>"Towel"</formula>
    </cfRule>
  </conditionalFormatting>
  <conditionalFormatting sqref="C28">
    <cfRule type="cellIs" dxfId="30886" priority="17655" stopIfTrue="1" operator="equal">
      <formula>"Napkin Hs"</formula>
    </cfRule>
  </conditionalFormatting>
  <conditionalFormatting sqref="C28">
    <cfRule type="cellIs" dxfId="30885" priority="17558" stopIfTrue="1" operator="equal">
      <formula>"Towel"</formula>
    </cfRule>
  </conditionalFormatting>
  <conditionalFormatting sqref="C28">
    <cfRule type="cellIs" dxfId="30884" priority="17568" stopIfTrue="1" operator="equal">
      <formula>"Towel"</formula>
    </cfRule>
    <cfRule type="cellIs" dxfId="30883" priority="17569" stopIfTrue="1" operator="equal">
      <formula>"Napkin Hs"</formula>
    </cfRule>
    <cfRule type="cellIs" dxfId="30882" priority="17574" stopIfTrue="1" operator="equal">
      <formula>"Towel"</formula>
    </cfRule>
    <cfRule type="cellIs" dxfId="30881" priority="17575" stopIfTrue="1" operator="equal">
      <formula>"Napkin Hs"</formula>
    </cfRule>
    <cfRule type="cellIs" dxfId="30880" priority="17580" stopIfTrue="1" operator="equal">
      <formula>"Towel"</formula>
    </cfRule>
    <cfRule type="cellIs" dxfId="30879" priority="17581" stopIfTrue="1" operator="equal">
      <formula>"Napkin Hs"</formula>
    </cfRule>
    <cfRule type="cellIs" dxfId="30878" priority="17582" stopIfTrue="1" operator="equal">
      <formula>"Towel"</formula>
    </cfRule>
    <cfRule type="cellIs" dxfId="30877" priority="17583" stopIfTrue="1" operator="equal">
      <formula>"Napkin Hs"</formula>
    </cfRule>
    <cfRule type="cellIs" dxfId="30876" priority="17588" stopIfTrue="1" operator="equal">
      <formula>"Towel"</formula>
    </cfRule>
    <cfRule type="cellIs" dxfId="30875" priority="17589" stopIfTrue="1" operator="equal">
      <formula>"Napkin Hs"</formula>
    </cfRule>
    <cfRule type="cellIs" dxfId="30874" priority="17598" stopIfTrue="1" operator="equal">
      <formula>"Towel"</formula>
    </cfRule>
    <cfRule type="cellIs" dxfId="30873" priority="17599" stopIfTrue="1" operator="equal">
      <formula>"Napkin Hs"</formula>
    </cfRule>
    <cfRule type="cellIs" dxfId="30872" priority="17604" stopIfTrue="1" operator="equal">
      <formula>"Towel"</formula>
    </cfRule>
    <cfRule type="cellIs" dxfId="30871" priority="17605" stopIfTrue="1" operator="equal">
      <formula>"Napkin Hs"</formula>
    </cfRule>
    <cfRule type="cellIs" dxfId="30870" priority="17606" stopIfTrue="1" operator="equal">
      <formula>"Towel"</formula>
    </cfRule>
    <cfRule type="cellIs" dxfId="30869" priority="17607" stopIfTrue="1" operator="equal">
      <formula>"Napkin Hs"</formula>
    </cfRule>
    <cfRule type="cellIs" dxfId="30868" priority="17612" stopIfTrue="1" operator="equal">
      <formula>"Towel"</formula>
    </cfRule>
    <cfRule type="cellIs" dxfId="30867" priority="17613" stopIfTrue="1" operator="equal">
      <formula>"Napkin Hs"</formula>
    </cfRule>
    <cfRule type="cellIs" dxfId="30866" priority="17622" stopIfTrue="1" operator="equal">
      <formula>"Towel"</formula>
    </cfRule>
    <cfRule type="cellIs" dxfId="30865" priority="17623" stopIfTrue="1" operator="equal">
      <formula>"Napkin Hs"</formula>
    </cfRule>
    <cfRule type="cellIs" dxfId="30864" priority="17624" stopIfTrue="1" operator="equal">
      <formula>"Towel"</formula>
    </cfRule>
    <cfRule type="cellIs" dxfId="30863" priority="17625" stopIfTrue="1" operator="equal">
      <formula>"Napkin Hs"</formula>
    </cfRule>
    <cfRule type="cellIs" dxfId="30862" priority="17630" stopIfTrue="1" operator="equal">
      <formula>"Towel"</formula>
    </cfRule>
    <cfRule type="cellIs" dxfId="30861" priority="17631" stopIfTrue="1" operator="equal">
      <formula>"Napkin Hs"</formula>
    </cfRule>
    <cfRule type="cellIs" dxfId="30860" priority="17640" stopIfTrue="1" operator="equal">
      <formula>"Towel"</formula>
    </cfRule>
    <cfRule type="cellIs" dxfId="30859" priority="17641" stopIfTrue="1" operator="equal">
      <formula>"Napkin Hs"</formula>
    </cfRule>
    <cfRule type="cellIs" dxfId="30858" priority="17642" stopIfTrue="1" operator="equal">
      <formula>"Towel"</formula>
    </cfRule>
    <cfRule type="cellIs" dxfId="30857" priority="17643" stopIfTrue="1" operator="equal">
      <formula>"Napkin Hs"</formula>
    </cfRule>
    <cfRule type="cellIs" dxfId="30856" priority="17649" stopIfTrue="1" operator="equal">
      <formula>"Napkin Hs"</formula>
    </cfRule>
  </conditionalFormatting>
  <conditionalFormatting sqref="C28">
    <cfRule type="cellIs" dxfId="30855" priority="17648" stopIfTrue="1" operator="equal">
      <formula>"Towel"</formula>
    </cfRule>
  </conditionalFormatting>
  <conditionalFormatting sqref="C28">
    <cfRule type="cellIs" dxfId="30854" priority="17559" stopIfTrue="1" operator="equal">
      <formula>"Napkin Hs"</formula>
    </cfRule>
    <cfRule type="cellIs" dxfId="30853" priority="17560" stopIfTrue="1" operator="equal">
      <formula>"Towel"</formula>
    </cfRule>
    <cfRule type="cellIs" dxfId="30852" priority="17561" stopIfTrue="1" operator="equal">
      <formula>"Napkin Hs"</formula>
    </cfRule>
    <cfRule type="cellIs" dxfId="30851" priority="17562" stopIfTrue="1" operator="equal">
      <formula>"Towel"</formula>
    </cfRule>
    <cfRule type="cellIs" dxfId="30850" priority="17563" stopIfTrue="1" operator="equal">
      <formula>"Napkin Hs"</formula>
    </cfRule>
    <cfRule type="cellIs" dxfId="30849" priority="17564" stopIfTrue="1" operator="equal">
      <formula>"Towel"</formula>
    </cfRule>
    <cfRule type="cellIs" dxfId="30848" priority="17565" stopIfTrue="1" operator="equal">
      <formula>"Napkin Hs"</formula>
    </cfRule>
    <cfRule type="cellIs" dxfId="30847" priority="17566" stopIfTrue="1" operator="equal">
      <formula>"Towel"</formula>
    </cfRule>
    <cfRule type="cellIs" dxfId="30846" priority="17567" stopIfTrue="1" operator="equal">
      <formula>"Napkin Hs"</formula>
    </cfRule>
    <cfRule type="cellIs" dxfId="30845" priority="17570" stopIfTrue="1" operator="equal">
      <formula>"Towel"</formula>
    </cfRule>
    <cfRule type="cellIs" dxfId="30844" priority="17571" stopIfTrue="1" operator="equal">
      <formula>"Napkin Hs"</formula>
    </cfRule>
    <cfRule type="cellIs" dxfId="30843" priority="17572" stopIfTrue="1" operator="equal">
      <formula>"Towel"</formula>
    </cfRule>
    <cfRule type="cellIs" dxfId="30842" priority="17573" stopIfTrue="1" operator="equal">
      <formula>"Napkin Hs"</formula>
    </cfRule>
    <cfRule type="cellIs" dxfId="30841" priority="17576" stopIfTrue="1" operator="equal">
      <formula>"Towel"</formula>
    </cfRule>
    <cfRule type="cellIs" dxfId="30840" priority="17577" stopIfTrue="1" operator="equal">
      <formula>"Napkin Hs"</formula>
    </cfRule>
    <cfRule type="cellIs" dxfId="30839" priority="17578" stopIfTrue="1" operator="equal">
      <formula>"Towel"</formula>
    </cfRule>
    <cfRule type="cellIs" dxfId="30838" priority="17579" stopIfTrue="1" operator="equal">
      <formula>"Napkin Hs"</formula>
    </cfRule>
    <cfRule type="cellIs" dxfId="30837" priority="17584" stopIfTrue="1" operator="equal">
      <formula>"Towel"</formula>
    </cfRule>
    <cfRule type="cellIs" dxfId="30836" priority="17585" stopIfTrue="1" operator="equal">
      <formula>"Napkin Hs"</formula>
    </cfRule>
    <cfRule type="cellIs" dxfId="30835" priority="17586" stopIfTrue="1" operator="equal">
      <formula>"Towel"</formula>
    </cfRule>
    <cfRule type="cellIs" dxfId="30834" priority="17587" stopIfTrue="1" operator="equal">
      <formula>"Napkin Hs"</formula>
    </cfRule>
    <cfRule type="cellIs" dxfId="30833" priority="17590" stopIfTrue="1" operator="equal">
      <formula>"Towel"</formula>
    </cfRule>
    <cfRule type="cellIs" dxfId="30832" priority="17591" stopIfTrue="1" operator="equal">
      <formula>"Napkin Hs"</formula>
    </cfRule>
    <cfRule type="cellIs" dxfId="30831" priority="17592" stopIfTrue="1" operator="equal">
      <formula>"Towel"</formula>
    </cfRule>
    <cfRule type="cellIs" dxfId="30830" priority="17593" stopIfTrue="1" operator="equal">
      <formula>"Napkin Hs"</formula>
    </cfRule>
    <cfRule type="cellIs" dxfId="30829" priority="17594" stopIfTrue="1" operator="equal">
      <formula>"Towel"</formula>
    </cfRule>
    <cfRule type="cellIs" dxfId="30828" priority="17595" stopIfTrue="1" operator="equal">
      <formula>"Napkin Hs"</formula>
    </cfRule>
    <cfRule type="cellIs" dxfId="30827" priority="17596" stopIfTrue="1" operator="equal">
      <formula>"Towel"</formula>
    </cfRule>
    <cfRule type="cellIs" dxfId="30826" priority="17597" stopIfTrue="1" operator="equal">
      <formula>"Napkin Hs"</formula>
    </cfRule>
    <cfRule type="cellIs" dxfId="30825" priority="17600" stopIfTrue="1" operator="equal">
      <formula>"Towel"</formula>
    </cfRule>
    <cfRule type="cellIs" dxfId="30824" priority="17601" stopIfTrue="1" operator="equal">
      <formula>"Napkin Hs"</formula>
    </cfRule>
    <cfRule type="cellIs" dxfId="30823" priority="17602" stopIfTrue="1" operator="equal">
      <formula>"Towel"</formula>
    </cfRule>
    <cfRule type="cellIs" dxfId="30822" priority="17603" stopIfTrue="1" operator="equal">
      <formula>"Napkin Hs"</formula>
    </cfRule>
    <cfRule type="cellIs" dxfId="30821" priority="17608" stopIfTrue="1" operator="equal">
      <formula>"Towel"</formula>
    </cfRule>
    <cfRule type="cellIs" dxfId="30820" priority="17609" stopIfTrue="1" operator="equal">
      <formula>"Napkin Hs"</formula>
    </cfRule>
    <cfRule type="cellIs" dxfId="30819" priority="17610" stopIfTrue="1" operator="equal">
      <formula>"Towel"</formula>
    </cfRule>
    <cfRule type="cellIs" dxfId="30818" priority="17611" stopIfTrue="1" operator="equal">
      <formula>"Napkin Hs"</formula>
    </cfRule>
    <cfRule type="cellIs" dxfId="30817" priority="17614" stopIfTrue="1" operator="equal">
      <formula>"Towel"</formula>
    </cfRule>
    <cfRule type="cellIs" dxfId="30816" priority="17615" stopIfTrue="1" operator="equal">
      <formula>"Napkin Hs"</formula>
    </cfRule>
    <cfRule type="cellIs" dxfId="30815" priority="17616" stopIfTrue="1" operator="equal">
      <formula>"Towel"</formula>
    </cfRule>
    <cfRule type="cellIs" dxfId="30814" priority="17617" stopIfTrue="1" operator="equal">
      <formula>"Napkin Hs"</formula>
    </cfRule>
    <cfRule type="cellIs" dxfId="30813" priority="17618" stopIfTrue="1" operator="equal">
      <formula>"Towel"</formula>
    </cfRule>
    <cfRule type="cellIs" dxfId="30812" priority="17619" stopIfTrue="1" operator="equal">
      <formula>"Napkin Hs"</formula>
    </cfRule>
    <cfRule type="cellIs" dxfId="30811" priority="17620" stopIfTrue="1" operator="equal">
      <formula>"Towel"</formula>
    </cfRule>
    <cfRule type="cellIs" dxfId="30810" priority="17621" stopIfTrue="1" operator="equal">
      <formula>"Napkin Hs"</formula>
    </cfRule>
    <cfRule type="cellIs" dxfId="30809" priority="17626" stopIfTrue="1" operator="equal">
      <formula>"Towel"</formula>
    </cfRule>
    <cfRule type="cellIs" dxfId="30808" priority="17627" stopIfTrue="1" operator="equal">
      <formula>"Napkin Hs"</formula>
    </cfRule>
    <cfRule type="cellIs" dxfId="30807" priority="17628" stopIfTrue="1" operator="equal">
      <formula>"Towel"</formula>
    </cfRule>
    <cfRule type="cellIs" dxfId="30806" priority="17629" stopIfTrue="1" operator="equal">
      <formula>"Napkin Hs"</formula>
    </cfRule>
    <cfRule type="cellIs" dxfId="30805" priority="17632" stopIfTrue="1" operator="equal">
      <formula>"Towel"</formula>
    </cfRule>
    <cfRule type="cellIs" dxfId="30804" priority="17633" stopIfTrue="1" operator="equal">
      <formula>"Napkin Hs"</formula>
    </cfRule>
    <cfRule type="cellIs" dxfId="30803" priority="17634" stopIfTrue="1" operator="equal">
      <formula>"Towel"</formula>
    </cfRule>
    <cfRule type="cellIs" dxfId="30802" priority="17635" stopIfTrue="1" operator="equal">
      <formula>"Napkin Hs"</formula>
    </cfRule>
    <cfRule type="cellIs" dxfId="30801" priority="17636" stopIfTrue="1" operator="equal">
      <formula>"Towel"</formula>
    </cfRule>
    <cfRule type="cellIs" dxfId="30800" priority="17637" stopIfTrue="1" operator="equal">
      <formula>"Napkin Hs"</formula>
    </cfRule>
    <cfRule type="cellIs" dxfId="30799" priority="17638" stopIfTrue="1" operator="equal">
      <formula>"Towel"</formula>
    </cfRule>
    <cfRule type="cellIs" dxfId="30798" priority="17639" stopIfTrue="1" operator="equal">
      <formula>"Napkin Hs"</formula>
    </cfRule>
    <cfRule type="cellIs" dxfId="30797" priority="17644" stopIfTrue="1" operator="equal">
      <formula>"Towel"</formula>
    </cfRule>
    <cfRule type="cellIs" dxfId="30796" priority="17645" stopIfTrue="1" operator="equal">
      <formula>"Napkin Hs"</formula>
    </cfRule>
    <cfRule type="cellIs" dxfId="30795" priority="17646" stopIfTrue="1" operator="equal">
      <formula>"Towel"</formula>
    </cfRule>
    <cfRule type="cellIs" dxfId="30794" priority="17647" stopIfTrue="1" operator="equal">
      <formula>"Napkin Hs"</formula>
    </cfRule>
    <cfRule type="cellIs" dxfId="30793" priority="17650" stopIfTrue="1" operator="equal">
      <formula>"Towel"</formula>
    </cfRule>
    <cfRule type="cellIs" dxfId="30792" priority="17651" stopIfTrue="1" operator="equal">
      <formula>"Napkin Hs"</formula>
    </cfRule>
    <cfRule type="cellIs" dxfId="30791" priority="17652" stopIfTrue="1" operator="equal">
      <formula>"Towel"</formula>
    </cfRule>
    <cfRule type="cellIs" dxfId="30790" priority="17653" stopIfTrue="1" operator="equal">
      <formula>"Napkin Hs"</formula>
    </cfRule>
  </conditionalFormatting>
  <conditionalFormatting sqref="C28">
    <cfRule type="cellIs" dxfId="30789" priority="17556" stopIfTrue="1" operator="equal">
      <formula>"Towel"</formula>
    </cfRule>
    <cfRule type="cellIs" dxfId="30788" priority="17557" stopIfTrue="1" operator="equal">
      <formula>"Napkin Hs"</formula>
    </cfRule>
  </conditionalFormatting>
  <conditionalFormatting sqref="C28">
    <cfRule type="cellIs" dxfId="30787" priority="17552" stopIfTrue="1" operator="equal">
      <formula>"Towel"</formula>
    </cfRule>
    <cfRule type="cellIs" dxfId="30786" priority="17553" stopIfTrue="1" operator="equal">
      <formula>"Napkin Hs"</formula>
    </cfRule>
  </conditionalFormatting>
  <conditionalFormatting sqref="C28">
    <cfRule type="cellIs" dxfId="30785" priority="17555" stopIfTrue="1" operator="equal">
      <formula>"Napkin Hs"</formula>
    </cfRule>
  </conditionalFormatting>
  <conditionalFormatting sqref="C28">
    <cfRule type="cellIs" dxfId="30784" priority="17554" stopIfTrue="1" operator="equal">
      <formula>"Towel"</formula>
    </cfRule>
  </conditionalFormatting>
  <conditionalFormatting sqref="C26">
    <cfRule type="cellIs" dxfId="30783" priority="17546" stopIfTrue="1" operator="equal">
      <formula>"Towel"</formula>
    </cfRule>
    <cfRule type="cellIs" dxfId="30782" priority="17547" stopIfTrue="1" operator="equal">
      <formula>"Napkin Hs"</formula>
    </cfRule>
  </conditionalFormatting>
  <conditionalFormatting sqref="C26">
    <cfRule type="cellIs" dxfId="30781" priority="17550" stopIfTrue="1" operator="equal">
      <formula>"Towel"</formula>
    </cfRule>
    <cfRule type="cellIs" dxfId="30780" priority="17551" stopIfTrue="1" operator="equal">
      <formula>"Napkin Hs"</formula>
    </cfRule>
  </conditionalFormatting>
  <conditionalFormatting sqref="C26">
    <cfRule type="cellIs" dxfId="30779" priority="17548" stopIfTrue="1" operator="equal">
      <formula>"Towel"</formula>
    </cfRule>
    <cfRule type="cellIs" dxfId="30778" priority="17549" stopIfTrue="1" operator="equal">
      <formula>"Napkin Hs"</formula>
    </cfRule>
  </conditionalFormatting>
  <conditionalFormatting sqref="C26">
    <cfRule type="cellIs" dxfId="30777" priority="17540" stopIfTrue="1" operator="equal">
      <formula>"Towel"</formula>
    </cfRule>
    <cfRule type="cellIs" dxfId="30776" priority="17541" stopIfTrue="1" operator="equal">
      <formula>"Napkin Hs"</formula>
    </cfRule>
  </conditionalFormatting>
  <conditionalFormatting sqref="C26">
    <cfRule type="cellIs" dxfId="30775" priority="17542" stopIfTrue="1" operator="equal">
      <formula>"Towel"</formula>
    </cfRule>
    <cfRule type="cellIs" dxfId="30774" priority="17543" stopIfTrue="1" operator="equal">
      <formula>"Napkin Hs"</formula>
    </cfRule>
  </conditionalFormatting>
  <conditionalFormatting sqref="C26">
    <cfRule type="cellIs" dxfId="30773" priority="17544" stopIfTrue="1" operator="equal">
      <formula>"Towel"</formula>
    </cfRule>
    <cfRule type="cellIs" dxfId="30772" priority="17545" stopIfTrue="1" operator="equal">
      <formula>"Napkin Hs"</formula>
    </cfRule>
  </conditionalFormatting>
  <conditionalFormatting sqref="B26:C26">
    <cfRule type="cellIs" dxfId="30771" priority="17538" stopIfTrue="1" operator="equal">
      <formula>"Towel"</formula>
    </cfRule>
    <cfRule type="cellIs" dxfId="30770" priority="17539" stopIfTrue="1" operator="equal">
      <formula>"Napkin Hs"</formula>
    </cfRule>
  </conditionalFormatting>
  <conditionalFormatting sqref="B26:C26">
    <cfRule type="cellIs" dxfId="30769" priority="17536" stopIfTrue="1" operator="equal">
      <formula>"Towel"</formula>
    </cfRule>
    <cfRule type="cellIs" dxfId="30768" priority="17537" stopIfTrue="1" operator="equal">
      <formula>"Napkin Hs"</formula>
    </cfRule>
  </conditionalFormatting>
  <conditionalFormatting sqref="B26:C26">
    <cfRule type="cellIs" dxfId="30767" priority="17512" stopIfTrue="1" operator="equal">
      <formula>"Towel"</formula>
    </cfRule>
  </conditionalFormatting>
  <conditionalFormatting sqref="B26:C26">
    <cfRule type="cellIs" dxfId="30766" priority="17513" stopIfTrue="1" operator="equal">
      <formula>"Napkin Hs"</formula>
    </cfRule>
    <cfRule type="cellIs" dxfId="30765" priority="17518" stopIfTrue="1" operator="equal">
      <formula>"Towel"</formula>
    </cfRule>
    <cfRule type="cellIs" dxfId="30764" priority="17519" stopIfTrue="1" operator="equal">
      <formula>"Napkin Hs"</formula>
    </cfRule>
    <cfRule type="cellIs" dxfId="30763" priority="17528" stopIfTrue="1" operator="equal">
      <formula>"Towel"</formula>
    </cfRule>
    <cfRule type="cellIs" dxfId="30762" priority="17529" stopIfTrue="1" operator="equal">
      <formula>"Napkin Hs"</formula>
    </cfRule>
    <cfRule type="cellIs" dxfId="30761" priority="17534" stopIfTrue="1" operator="equal">
      <formula>"Towel"</formula>
    </cfRule>
    <cfRule type="cellIs" dxfId="30760" priority="17535" stopIfTrue="1" operator="equal">
      <formula>"Napkin Hs"</formula>
    </cfRule>
  </conditionalFormatting>
  <conditionalFormatting sqref="C26">
    <cfRule type="cellIs" dxfId="30759" priority="17514" stopIfTrue="1" operator="equal">
      <formula>"Towel"</formula>
    </cfRule>
    <cfRule type="cellIs" dxfId="30758" priority="17515" stopIfTrue="1" operator="equal">
      <formula>"Napkin Hs"</formula>
    </cfRule>
    <cfRule type="cellIs" dxfId="30757" priority="17516" stopIfTrue="1" operator="equal">
      <formula>"Towel"</formula>
    </cfRule>
    <cfRule type="cellIs" dxfId="30756" priority="17517" stopIfTrue="1" operator="equal">
      <formula>"Napkin Hs"</formula>
    </cfRule>
    <cfRule type="cellIs" dxfId="30755" priority="17520" stopIfTrue="1" operator="equal">
      <formula>"Towel"</formula>
    </cfRule>
    <cfRule type="cellIs" dxfId="30754" priority="17521" stopIfTrue="1" operator="equal">
      <formula>"Napkin Hs"</formula>
    </cfRule>
    <cfRule type="cellIs" dxfId="30753" priority="17522" stopIfTrue="1" operator="equal">
      <formula>"Towel"</formula>
    </cfRule>
    <cfRule type="cellIs" dxfId="30752" priority="17523" stopIfTrue="1" operator="equal">
      <formula>"Napkin Hs"</formula>
    </cfRule>
    <cfRule type="cellIs" dxfId="30751" priority="17524" stopIfTrue="1" operator="equal">
      <formula>"Towel"</formula>
    </cfRule>
    <cfRule type="cellIs" dxfId="30750" priority="17525" stopIfTrue="1" operator="equal">
      <formula>"Napkin Hs"</formula>
    </cfRule>
    <cfRule type="cellIs" dxfId="30749" priority="17526" stopIfTrue="1" operator="equal">
      <formula>"Towel"</formula>
    </cfRule>
    <cfRule type="cellIs" dxfId="30748" priority="17527" stopIfTrue="1" operator="equal">
      <formula>"Napkin Hs"</formula>
    </cfRule>
    <cfRule type="cellIs" dxfId="30747" priority="17530" stopIfTrue="1" operator="equal">
      <formula>"Towel"</formula>
    </cfRule>
    <cfRule type="cellIs" dxfId="30746" priority="17531" stopIfTrue="1" operator="equal">
      <formula>"Napkin Hs"</formula>
    </cfRule>
    <cfRule type="cellIs" dxfId="30745" priority="17533" stopIfTrue="1" operator="equal">
      <formula>"Napkin Hs"</formula>
    </cfRule>
  </conditionalFormatting>
  <conditionalFormatting sqref="C26">
    <cfRule type="cellIs" dxfId="30744" priority="17532" stopIfTrue="1" operator="equal">
      <formula>"Towel"</formula>
    </cfRule>
  </conditionalFormatting>
  <conditionalFormatting sqref="B26:C26">
    <cfRule type="cellIs" dxfId="30743" priority="17510" stopIfTrue="1" operator="equal">
      <formula>"Towel"</formula>
    </cfRule>
    <cfRule type="cellIs" dxfId="30742" priority="17511" stopIfTrue="1" operator="equal">
      <formula>"Napkin Hs"</formula>
    </cfRule>
  </conditionalFormatting>
  <conditionalFormatting sqref="C26">
    <cfRule type="cellIs" dxfId="30741" priority="17509" stopIfTrue="1" operator="equal">
      <formula>"Napkin Hs"</formula>
    </cfRule>
  </conditionalFormatting>
  <conditionalFormatting sqref="C26">
    <cfRule type="cellIs" dxfId="30740" priority="17508" stopIfTrue="1" operator="equal">
      <formula>"Towel"</formula>
    </cfRule>
  </conditionalFormatting>
  <conditionalFormatting sqref="C26">
    <cfRule type="cellIs" dxfId="30739" priority="17506" stopIfTrue="1" operator="equal">
      <formula>"Towel"</formula>
    </cfRule>
  </conditionalFormatting>
  <conditionalFormatting sqref="C26">
    <cfRule type="cellIs" dxfId="30738" priority="17507" stopIfTrue="1" operator="equal">
      <formula>"Napkin Hs"</formula>
    </cfRule>
  </conditionalFormatting>
  <conditionalFormatting sqref="B26">
    <cfRule type="cellIs" dxfId="30737" priority="17410" stopIfTrue="1" operator="equal">
      <formula>"Napkin Hs"</formula>
    </cfRule>
  </conditionalFormatting>
  <conditionalFormatting sqref="B26:C26">
    <cfRule type="cellIs" dxfId="30736" priority="17409" stopIfTrue="1" operator="equal">
      <formula>"Towel"</formula>
    </cfRule>
  </conditionalFormatting>
  <conditionalFormatting sqref="B26:C26">
    <cfRule type="cellIs" dxfId="30735" priority="17420" stopIfTrue="1" operator="equal">
      <formula>"Towel"</formula>
    </cfRule>
    <cfRule type="cellIs" dxfId="30734" priority="17421" stopIfTrue="1" operator="equal">
      <formula>"Napkin Hs"</formula>
    </cfRule>
    <cfRule type="cellIs" dxfId="30733" priority="17426" stopIfTrue="1" operator="equal">
      <formula>"Towel"</formula>
    </cfRule>
    <cfRule type="cellIs" dxfId="30732" priority="17427" stopIfTrue="1" operator="equal">
      <formula>"Napkin Hs"</formula>
    </cfRule>
    <cfRule type="cellIs" dxfId="30731" priority="17432" stopIfTrue="1" operator="equal">
      <formula>"Towel"</formula>
    </cfRule>
    <cfRule type="cellIs" dxfId="30730" priority="17433" stopIfTrue="1" operator="equal">
      <formula>"Napkin Hs"</formula>
    </cfRule>
    <cfRule type="cellIs" dxfId="30729" priority="17434" stopIfTrue="1" operator="equal">
      <formula>"Towel"</formula>
    </cfRule>
    <cfRule type="cellIs" dxfId="30728" priority="17435" stopIfTrue="1" operator="equal">
      <formula>"Napkin Hs"</formula>
    </cfRule>
    <cfRule type="cellIs" dxfId="30727" priority="17440" stopIfTrue="1" operator="equal">
      <formula>"Towel"</formula>
    </cfRule>
    <cfRule type="cellIs" dxfId="30726" priority="17441" stopIfTrue="1" operator="equal">
      <formula>"Napkin Hs"</formula>
    </cfRule>
    <cfRule type="cellIs" dxfId="30725" priority="17450" stopIfTrue="1" operator="equal">
      <formula>"Towel"</formula>
    </cfRule>
    <cfRule type="cellIs" dxfId="30724" priority="17451" stopIfTrue="1" operator="equal">
      <formula>"Napkin Hs"</formula>
    </cfRule>
    <cfRule type="cellIs" dxfId="30723" priority="17456" stopIfTrue="1" operator="equal">
      <formula>"Towel"</formula>
    </cfRule>
    <cfRule type="cellIs" dxfId="30722" priority="17457" stopIfTrue="1" operator="equal">
      <formula>"Napkin Hs"</formula>
    </cfRule>
    <cfRule type="cellIs" dxfId="30721" priority="17458" stopIfTrue="1" operator="equal">
      <formula>"Towel"</formula>
    </cfRule>
    <cfRule type="cellIs" dxfId="30720" priority="17459" stopIfTrue="1" operator="equal">
      <formula>"Napkin Hs"</formula>
    </cfRule>
    <cfRule type="cellIs" dxfId="30719" priority="17464" stopIfTrue="1" operator="equal">
      <formula>"Towel"</formula>
    </cfRule>
    <cfRule type="cellIs" dxfId="30718" priority="17465" stopIfTrue="1" operator="equal">
      <formula>"Napkin Hs"</formula>
    </cfRule>
    <cfRule type="cellIs" dxfId="30717" priority="17474" stopIfTrue="1" operator="equal">
      <formula>"Towel"</formula>
    </cfRule>
    <cfRule type="cellIs" dxfId="30716" priority="17475" stopIfTrue="1" operator="equal">
      <formula>"Napkin Hs"</formula>
    </cfRule>
    <cfRule type="cellIs" dxfId="30715" priority="17476" stopIfTrue="1" operator="equal">
      <formula>"Towel"</formula>
    </cfRule>
    <cfRule type="cellIs" dxfId="30714" priority="17477" stopIfTrue="1" operator="equal">
      <formula>"Napkin Hs"</formula>
    </cfRule>
    <cfRule type="cellIs" dxfId="30713" priority="17482" stopIfTrue="1" operator="equal">
      <formula>"Towel"</formula>
    </cfRule>
    <cfRule type="cellIs" dxfId="30712" priority="17483" stopIfTrue="1" operator="equal">
      <formula>"Napkin Hs"</formula>
    </cfRule>
    <cfRule type="cellIs" dxfId="30711" priority="17492" stopIfTrue="1" operator="equal">
      <formula>"Towel"</formula>
    </cfRule>
    <cfRule type="cellIs" dxfId="30710" priority="17493" stopIfTrue="1" operator="equal">
      <formula>"Napkin Hs"</formula>
    </cfRule>
    <cfRule type="cellIs" dxfId="30709" priority="17494" stopIfTrue="1" operator="equal">
      <formula>"Towel"</formula>
    </cfRule>
    <cfRule type="cellIs" dxfId="30708" priority="17495" stopIfTrue="1" operator="equal">
      <formula>"Napkin Hs"</formula>
    </cfRule>
    <cfRule type="cellIs" dxfId="30707" priority="17501" stopIfTrue="1" operator="equal">
      <formula>"Napkin Hs"</formula>
    </cfRule>
  </conditionalFormatting>
  <conditionalFormatting sqref="B26:C26">
    <cfRule type="cellIs" dxfId="30706" priority="17500" stopIfTrue="1" operator="equal">
      <formula>"Towel"</formula>
    </cfRule>
  </conditionalFormatting>
  <conditionalFormatting sqref="C26">
    <cfRule type="cellIs" dxfId="30705" priority="17411" stopIfTrue="1" operator="equal">
      <formula>"Napkin Hs"</formula>
    </cfRule>
    <cfRule type="cellIs" dxfId="30704" priority="17412" stopIfTrue="1" operator="equal">
      <formula>"Towel"</formula>
    </cfRule>
    <cfRule type="cellIs" dxfId="30703" priority="17413" stopIfTrue="1" operator="equal">
      <formula>"Napkin Hs"</formula>
    </cfRule>
    <cfRule type="cellIs" dxfId="30702" priority="17414" stopIfTrue="1" operator="equal">
      <formula>"Towel"</formula>
    </cfRule>
    <cfRule type="cellIs" dxfId="30701" priority="17415" stopIfTrue="1" operator="equal">
      <formula>"Napkin Hs"</formula>
    </cfRule>
    <cfRule type="cellIs" dxfId="30700" priority="17416" stopIfTrue="1" operator="equal">
      <formula>"Towel"</formula>
    </cfRule>
    <cfRule type="cellIs" dxfId="30699" priority="17417" stopIfTrue="1" operator="equal">
      <formula>"Napkin Hs"</formula>
    </cfRule>
    <cfRule type="cellIs" dxfId="30698" priority="17418" stopIfTrue="1" operator="equal">
      <formula>"Towel"</formula>
    </cfRule>
    <cfRule type="cellIs" dxfId="30697" priority="17419" stopIfTrue="1" operator="equal">
      <formula>"Napkin Hs"</formula>
    </cfRule>
    <cfRule type="cellIs" dxfId="30696" priority="17422" stopIfTrue="1" operator="equal">
      <formula>"Towel"</formula>
    </cfRule>
    <cfRule type="cellIs" dxfId="30695" priority="17423" stopIfTrue="1" operator="equal">
      <formula>"Napkin Hs"</formula>
    </cfRule>
    <cfRule type="cellIs" dxfId="30694" priority="17424" stopIfTrue="1" operator="equal">
      <formula>"Towel"</formula>
    </cfRule>
    <cfRule type="cellIs" dxfId="30693" priority="17425" stopIfTrue="1" operator="equal">
      <formula>"Napkin Hs"</formula>
    </cfRule>
    <cfRule type="cellIs" dxfId="30692" priority="17428" stopIfTrue="1" operator="equal">
      <formula>"Towel"</formula>
    </cfRule>
    <cfRule type="cellIs" dxfId="30691" priority="17429" stopIfTrue="1" operator="equal">
      <formula>"Napkin Hs"</formula>
    </cfRule>
    <cfRule type="cellIs" dxfId="30690" priority="17430" stopIfTrue="1" operator="equal">
      <formula>"Towel"</formula>
    </cfRule>
    <cfRule type="cellIs" dxfId="30689" priority="17431" stopIfTrue="1" operator="equal">
      <formula>"Napkin Hs"</formula>
    </cfRule>
    <cfRule type="cellIs" dxfId="30688" priority="17436" stopIfTrue="1" operator="equal">
      <formula>"Towel"</formula>
    </cfRule>
    <cfRule type="cellIs" dxfId="30687" priority="17437" stopIfTrue="1" operator="equal">
      <formula>"Napkin Hs"</formula>
    </cfRule>
    <cfRule type="cellIs" dxfId="30686" priority="17438" stopIfTrue="1" operator="equal">
      <formula>"Towel"</formula>
    </cfRule>
    <cfRule type="cellIs" dxfId="30685" priority="17439" stopIfTrue="1" operator="equal">
      <formula>"Napkin Hs"</formula>
    </cfRule>
    <cfRule type="cellIs" dxfId="30684" priority="17442" stopIfTrue="1" operator="equal">
      <formula>"Towel"</formula>
    </cfRule>
    <cfRule type="cellIs" dxfId="30683" priority="17443" stopIfTrue="1" operator="equal">
      <formula>"Napkin Hs"</formula>
    </cfRule>
    <cfRule type="cellIs" dxfId="30682" priority="17444" stopIfTrue="1" operator="equal">
      <formula>"Towel"</formula>
    </cfRule>
    <cfRule type="cellIs" dxfId="30681" priority="17445" stopIfTrue="1" operator="equal">
      <formula>"Napkin Hs"</formula>
    </cfRule>
    <cfRule type="cellIs" dxfId="30680" priority="17446" stopIfTrue="1" operator="equal">
      <formula>"Towel"</formula>
    </cfRule>
    <cfRule type="cellIs" dxfId="30679" priority="17447" stopIfTrue="1" operator="equal">
      <formula>"Napkin Hs"</formula>
    </cfRule>
    <cfRule type="cellIs" dxfId="30678" priority="17448" stopIfTrue="1" operator="equal">
      <formula>"Towel"</formula>
    </cfRule>
    <cfRule type="cellIs" dxfId="30677" priority="17449" stopIfTrue="1" operator="equal">
      <formula>"Napkin Hs"</formula>
    </cfRule>
    <cfRule type="cellIs" dxfId="30676" priority="17452" stopIfTrue="1" operator="equal">
      <formula>"Towel"</formula>
    </cfRule>
    <cfRule type="cellIs" dxfId="30675" priority="17453" stopIfTrue="1" operator="equal">
      <formula>"Napkin Hs"</formula>
    </cfRule>
    <cfRule type="cellIs" dxfId="30674" priority="17454" stopIfTrue="1" operator="equal">
      <formula>"Towel"</formula>
    </cfRule>
    <cfRule type="cellIs" dxfId="30673" priority="17455" stopIfTrue="1" operator="equal">
      <formula>"Napkin Hs"</formula>
    </cfRule>
    <cfRule type="cellIs" dxfId="30672" priority="17460" stopIfTrue="1" operator="equal">
      <formula>"Towel"</formula>
    </cfRule>
    <cfRule type="cellIs" dxfId="30671" priority="17461" stopIfTrue="1" operator="equal">
      <formula>"Napkin Hs"</formula>
    </cfRule>
    <cfRule type="cellIs" dxfId="30670" priority="17462" stopIfTrue="1" operator="equal">
      <formula>"Towel"</formula>
    </cfRule>
    <cfRule type="cellIs" dxfId="30669" priority="17463" stopIfTrue="1" operator="equal">
      <formula>"Napkin Hs"</formula>
    </cfRule>
    <cfRule type="cellIs" dxfId="30668" priority="17466" stopIfTrue="1" operator="equal">
      <formula>"Towel"</formula>
    </cfRule>
    <cfRule type="cellIs" dxfId="30667" priority="17467" stopIfTrue="1" operator="equal">
      <formula>"Napkin Hs"</formula>
    </cfRule>
    <cfRule type="cellIs" dxfId="30666" priority="17468" stopIfTrue="1" operator="equal">
      <formula>"Towel"</formula>
    </cfRule>
    <cfRule type="cellIs" dxfId="30665" priority="17469" stopIfTrue="1" operator="equal">
      <formula>"Napkin Hs"</formula>
    </cfRule>
    <cfRule type="cellIs" dxfId="30664" priority="17470" stopIfTrue="1" operator="equal">
      <formula>"Towel"</formula>
    </cfRule>
    <cfRule type="cellIs" dxfId="30663" priority="17471" stopIfTrue="1" operator="equal">
      <formula>"Napkin Hs"</formula>
    </cfRule>
    <cfRule type="cellIs" dxfId="30662" priority="17472" stopIfTrue="1" operator="equal">
      <formula>"Towel"</formula>
    </cfRule>
    <cfRule type="cellIs" dxfId="30661" priority="17473" stopIfTrue="1" operator="equal">
      <formula>"Napkin Hs"</formula>
    </cfRule>
    <cfRule type="cellIs" dxfId="30660" priority="17478" stopIfTrue="1" operator="equal">
      <formula>"Towel"</formula>
    </cfRule>
    <cfRule type="cellIs" dxfId="30659" priority="17479" stopIfTrue="1" operator="equal">
      <formula>"Napkin Hs"</formula>
    </cfRule>
    <cfRule type="cellIs" dxfId="30658" priority="17480" stopIfTrue="1" operator="equal">
      <formula>"Towel"</formula>
    </cfRule>
    <cfRule type="cellIs" dxfId="30657" priority="17481" stopIfTrue="1" operator="equal">
      <formula>"Napkin Hs"</formula>
    </cfRule>
    <cfRule type="cellIs" dxfId="30656" priority="17484" stopIfTrue="1" operator="equal">
      <formula>"Towel"</formula>
    </cfRule>
    <cfRule type="cellIs" dxfId="30655" priority="17485" stopIfTrue="1" operator="equal">
      <formula>"Napkin Hs"</formula>
    </cfRule>
    <cfRule type="cellIs" dxfId="30654" priority="17486" stopIfTrue="1" operator="equal">
      <formula>"Towel"</formula>
    </cfRule>
    <cfRule type="cellIs" dxfId="30653" priority="17487" stopIfTrue="1" operator="equal">
      <formula>"Napkin Hs"</formula>
    </cfRule>
    <cfRule type="cellIs" dxfId="30652" priority="17488" stopIfTrue="1" operator="equal">
      <formula>"Towel"</formula>
    </cfRule>
    <cfRule type="cellIs" dxfId="30651" priority="17489" stopIfTrue="1" operator="equal">
      <formula>"Napkin Hs"</formula>
    </cfRule>
    <cfRule type="cellIs" dxfId="30650" priority="17490" stopIfTrue="1" operator="equal">
      <formula>"Towel"</formula>
    </cfRule>
    <cfRule type="cellIs" dxfId="30649" priority="17491" stopIfTrue="1" operator="equal">
      <formula>"Napkin Hs"</formula>
    </cfRule>
    <cfRule type="cellIs" dxfId="30648" priority="17496" stopIfTrue="1" operator="equal">
      <formula>"Towel"</formula>
    </cfRule>
    <cfRule type="cellIs" dxfId="30647" priority="17497" stopIfTrue="1" operator="equal">
      <formula>"Napkin Hs"</formula>
    </cfRule>
    <cfRule type="cellIs" dxfId="30646" priority="17498" stopIfTrue="1" operator="equal">
      <formula>"Towel"</formula>
    </cfRule>
    <cfRule type="cellIs" dxfId="30645" priority="17499" stopIfTrue="1" operator="equal">
      <formula>"Napkin Hs"</formula>
    </cfRule>
    <cfRule type="cellIs" dxfId="30644" priority="17502" stopIfTrue="1" operator="equal">
      <formula>"Towel"</formula>
    </cfRule>
    <cfRule type="cellIs" dxfId="30643" priority="17503" stopIfTrue="1" operator="equal">
      <formula>"Napkin Hs"</formula>
    </cfRule>
    <cfRule type="cellIs" dxfId="30642" priority="17504" stopIfTrue="1" operator="equal">
      <formula>"Towel"</formula>
    </cfRule>
    <cfRule type="cellIs" dxfId="30641" priority="17505" stopIfTrue="1" operator="equal">
      <formula>"Napkin Hs"</formula>
    </cfRule>
  </conditionalFormatting>
  <conditionalFormatting sqref="C26">
    <cfRule type="cellIs" dxfId="30640" priority="17408" stopIfTrue="1" operator="equal">
      <formula>"Napkin Hs"</formula>
    </cfRule>
  </conditionalFormatting>
  <conditionalFormatting sqref="C26">
    <cfRule type="cellIs" dxfId="30639" priority="17407" stopIfTrue="1" operator="equal">
      <formula>"Napkin Hs"</formula>
    </cfRule>
  </conditionalFormatting>
  <conditionalFormatting sqref="B26">
    <cfRule type="cellIs" dxfId="30638" priority="17406" stopIfTrue="1" operator="equal">
      <formula>"Napkin Hs"</formula>
    </cfRule>
  </conditionalFormatting>
  <conditionalFormatting sqref="C26">
    <cfRule type="cellIs" dxfId="30637" priority="17405" stopIfTrue="1" operator="equal">
      <formula>"Napkin Hs"</formula>
    </cfRule>
  </conditionalFormatting>
  <conditionalFormatting sqref="C26">
    <cfRule type="cellIs" dxfId="30636" priority="17404" stopIfTrue="1" operator="equal">
      <formula>"Napkin Hs"</formula>
    </cfRule>
  </conditionalFormatting>
  <conditionalFormatting sqref="C26">
    <cfRule type="cellIs" dxfId="30635" priority="17403" stopIfTrue="1" operator="equal">
      <formula>"Napkin Hs"</formula>
    </cfRule>
  </conditionalFormatting>
  <conditionalFormatting sqref="C26">
    <cfRule type="cellIs" dxfId="30634" priority="17402" stopIfTrue="1" operator="equal">
      <formula>"Napkin Hs"</formula>
    </cfRule>
  </conditionalFormatting>
  <conditionalFormatting sqref="B26">
    <cfRule type="cellIs" dxfId="30633" priority="17401" stopIfTrue="1" operator="equal">
      <formula>"Napkin Hs"</formula>
    </cfRule>
  </conditionalFormatting>
  <conditionalFormatting sqref="B26">
    <cfRule type="cellIs" dxfId="30632" priority="17400" stopIfTrue="1" operator="equal">
      <formula>"Napkin Hs"</formula>
    </cfRule>
  </conditionalFormatting>
  <conditionalFormatting sqref="C26">
    <cfRule type="cellIs" dxfId="30631" priority="17396" stopIfTrue="1" operator="equal">
      <formula>"Towel"</formula>
    </cfRule>
    <cfRule type="cellIs" dxfId="30630" priority="17397" stopIfTrue="1" operator="equal">
      <formula>"Napkin Hs"</formula>
    </cfRule>
  </conditionalFormatting>
  <conditionalFormatting sqref="C26">
    <cfRule type="cellIs" dxfId="30629" priority="17398" stopIfTrue="1" operator="equal">
      <formula>"Towel"</formula>
    </cfRule>
    <cfRule type="cellIs" dxfId="30628" priority="17399" stopIfTrue="1" operator="equal">
      <formula>"Napkin Hs"</formula>
    </cfRule>
  </conditionalFormatting>
  <conditionalFormatting sqref="C26">
    <cfRule type="cellIs" dxfId="30627" priority="17392" stopIfTrue="1" operator="equal">
      <formula>"Towel"</formula>
    </cfRule>
    <cfRule type="cellIs" dxfId="30626" priority="17393" stopIfTrue="1" operator="equal">
      <formula>"Napkin Hs"</formula>
    </cfRule>
  </conditionalFormatting>
  <conditionalFormatting sqref="C26">
    <cfRule type="cellIs" dxfId="30625" priority="17394" stopIfTrue="1" operator="equal">
      <formula>"Towel"</formula>
    </cfRule>
    <cfRule type="cellIs" dxfId="30624" priority="17395" stopIfTrue="1" operator="equal">
      <formula>"Napkin Hs"</formula>
    </cfRule>
  </conditionalFormatting>
  <conditionalFormatting sqref="C27">
    <cfRule type="cellIs" dxfId="30623" priority="17226" stopIfTrue="1" operator="equal">
      <formula>"Towel"</formula>
    </cfRule>
    <cfRule type="cellIs" dxfId="30622" priority="17227" stopIfTrue="1" operator="equal">
      <formula>"Napkin Hs"</formula>
    </cfRule>
  </conditionalFormatting>
  <conditionalFormatting sqref="C27">
    <cfRule type="cellIs" dxfId="30621" priority="17230" stopIfTrue="1" operator="equal">
      <formula>"Towel"</formula>
    </cfRule>
    <cfRule type="cellIs" dxfId="30620" priority="17231" stopIfTrue="1" operator="equal">
      <formula>"Napkin Hs"</formula>
    </cfRule>
  </conditionalFormatting>
  <conditionalFormatting sqref="C27">
    <cfRule type="cellIs" dxfId="30619" priority="17228" stopIfTrue="1" operator="equal">
      <formula>"Towel"</formula>
    </cfRule>
    <cfRule type="cellIs" dxfId="30618" priority="17229" stopIfTrue="1" operator="equal">
      <formula>"Napkin Hs"</formula>
    </cfRule>
  </conditionalFormatting>
  <conditionalFormatting sqref="C27">
    <cfRule type="cellIs" dxfId="30617" priority="17220" stopIfTrue="1" operator="equal">
      <formula>"Towel"</formula>
    </cfRule>
    <cfRule type="cellIs" dxfId="30616" priority="17221" stopIfTrue="1" operator="equal">
      <formula>"Napkin Hs"</formula>
    </cfRule>
  </conditionalFormatting>
  <conditionalFormatting sqref="C27">
    <cfRule type="cellIs" dxfId="30615" priority="17222" stopIfTrue="1" operator="equal">
      <formula>"Towel"</formula>
    </cfRule>
    <cfRule type="cellIs" dxfId="30614" priority="17223" stopIfTrue="1" operator="equal">
      <formula>"Napkin Hs"</formula>
    </cfRule>
  </conditionalFormatting>
  <conditionalFormatting sqref="C27">
    <cfRule type="cellIs" dxfId="30613" priority="17224" stopIfTrue="1" operator="equal">
      <formula>"Towel"</formula>
    </cfRule>
    <cfRule type="cellIs" dxfId="30612" priority="17225" stopIfTrue="1" operator="equal">
      <formula>"Napkin Hs"</formula>
    </cfRule>
  </conditionalFormatting>
  <conditionalFormatting sqref="B27:C27">
    <cfRule type="cellIs" dxfId="30611" priority="17218" stopIfTrue="1" operator="equal">
      <formula>"Towel"</formula>
    </cfRule>
    <cfRule type="cellIs" dxfId="30610" priority="17219" stopIfTrue="1" operator="equal">
      <formula>"Napkin Hs"</formula>
    </cfRule>
  </conditionalFormatting>
  <conditionalFormatting sqref="B27:C27">
    <cfRule type="cellIs" dxfId="30609" priority="17216" stopIfTrue="1" operator="equal">
      <formula>"Towel"</formula>
    </cfRule>
    <cfRule type="cellIs" dxfId="30608" priority="17217" stopIfTrue="1" operator="equal">
      <formula>"Napkin Hs"</formula>
    </cfRule>
  </conditionalFormatting>
  <conditionalFormatting sqref="B27:C27">
    <cfRule type="cellIs" dxfId="30607" priority="17192" stopIfTrue="1" operator="equal">
      <formula>"Towel"</formula>
    </cfRule>
  </conditionalFormatting>
  <conditionalFormatting sqref="B27:C27">
    <cfRule type="cellIs" dxfId="30606" priority="17193" stopIfTrue="1" operator="equal">
      <formula>"Napkin Hs"</formula>
    </cfRule>
    <cfRule type="cellIs" dxfId="30605" priority="17198" stopIfTrue="1" operator="equal">
      <formula>"Towel"</formula>
    </cfRule>
    <cfRule type="cellIs" dxfId="30604" priority="17199" stopIfTrue="1" operator="equal">
      <formula>"Napkin Hs"</formula>
    </cfRule>
    <cfRule type="cellIs" dxfId="30603" priority="17208" stopIfTrue="1" operator="equal">
      <formula>"Towel"</formula>
    </cfRule>
    <cfRule type="cellIs" dxfId="30602" priority="17209" stopIfTrue="1" operator="equal">
      <formula>"Napkin Hs"</formula>
    </cfRule>
    <cfRule type="cellIs" dxfId="30601" priority="17214" stopIfTrue="1" operator="equal">
      <formula>"Towel"</formula>
    </cfRule>
    <cfRule type="cellIs" dxfId="30600" priority="17215" stopIfTrue="1" operator="equal">
      <formula>"Napkin Hs"</formula>
    </cfRule>
  </conditionalFormatting>
  <conditionalFormatting sqref="C27">
    <cfRule type="cellIs" dxfId="30599" priority="17194" stopIfTrue="1" operator="equal">
      <formula>"Towel"</formula>
    </cfRule>
    <cfRule type="cellIs" dxfId="30598" priority="17195" stopIfTrue="1" operator="equal">
      <formula>"Napkin Hs"</formula>
    </cfRule>
    <cfRule type="cellIs" dxfId="30597" priority="17196" stopIfTrue="1" operator="equal">
      <formula>"Towel"</formula>
    </cfRule>
    <cfRule type="cellIs" dxfId="30596" priority="17197" stopIfTrue="1" operator="equal">
      <formula>"Napkin Hs"</formula>
    </cfRule>
    <cfRule type="cellIs" dxfId="30595" priority="17200" stopIfTrue="1" operator="equal">
      <formula>"Towel"</formula>
    </cfRule>
    <cfRule type="cellIs" dxfId="30594" priority="17201" stopIfTrue="1" operator="equal">
      <formula>"Napkin Hs"</formula>
    </cfRule>
    <cfRule type="cellIs" dxfId="30593" priority="17202" stopIfTrue="1" operator="equal">
      <formula>"Towel"</formula>
    </cfRule>
    <cfRule type="cellIs" dxfId="30592" priority="17203" stopIfTrue="1" operator="equal">
      <formula>"Napkin Hs"</formula>
    </cfRule>
    <cfRule type="cellIs" dxfId="30591" priority="17204" stopIfTrue="1" operator="equal">
      <formula>"Towel"</formula>
    </cfRule>
    <cfRule type="cellIs" dxfId="30590" priority="17205" stopIfTrue="1" operator="equal">
      <formula>"Napkin Hs"</formula>
    </cfRule>
    <cfRule type="cellIs" dxfId="30589" priority="17206" stopIfTrue="1" operator="equal">
      <formula>"Towel"</formula>
    </cfRule>
    <cfRule type="cellIs" dxfId="30588" priority="17207" stopIfTrue="1" operator="equal">
      <formula>"Napkin Hs"</formula>
    </cfRule>
    <cfRule type="cellIs" dxfId="30587" priority="17210" stopIfTrue="1" operator="equal">
      <formula>"Towel"</formula>
    </cfRule>
    <cfRule type="cellIs" dxfId="30586" priority="17211" stopIfTrue="1" operator="equal">
      <formula>"Napkin Hs"</formula>
    </cfRule>
    <cfRule type="cellIs" dxfId="30585" priority="17213" stopIfTrue="1" operator="equal">
      <formula>"Napkin Hs"</formula>
    </cfRule>
  </conditionalFormatting>
  <conditionalFormatting sqref="C27">
    <cfRule type="cellIs" dxfId="30584" priority="17212" stopIfTrue="1" operator="equal">
      <formula>"Towel"</formula>
    </cfRule>
  </conditionalFormatting>
  <conditionalFormatting sqref="B27:C27">
    <cfRule type="cellIs" dxfId="30583" priority="17190" stopIfTrue="1" operator="equal">
      <formula>"Towel"</formula>
    </cfRule>
    <cfRule type="cellIs" dxfId="30582" priority="17191" stopIfTrue="1" operator="equal">
      <formula>"Napkin Hs"</formula>
    </cfRule>
  </conditionalFormatting>
  <conditionalFormatting sqref="C27">
    <cfRule type="cellIs" dxfId="30581" priority="17189" stopIfTrue="1" operator="equal">
      <formula>"Napkin Hs"</formula>
    </cfRule>
  </conditionalFormatting>
  <conditionalFormatting sqref="C27">
    <cfRule type="cellIs" dxfId="30580" priority="17188" stopIfTrue="1" operator="equal">
      <formula>"Towel"</formula>
    </cfRule>
  </conditionalFormatting>
  <conditionalFormatting sqref="C27">
    <cfRule type="cellIs" dxfId="30579" priority="17186" stopIfTrue="1" operator="equal">
      <formula>"Towel"</formula>
    </cfRule>
  </conditionalFormatting>
  <conditionalFormatting sqref="C27">
    <cfRule type="cellIs" dxfId="30578" priority="17187" stopIfTrue="1" operator="equal">
      <formula>"Napkin Hs"</formula>
    </cfRule>
  </conditionalFormatting>
  <conditionalFormatting sqref="B27">
    <cfRule type="cellIs" dxfId="30577" priority="17090" stopIfTrue="1" operator="equal">
      <formula>"Napkin Hs"</formula>
    </cfRule>
  </conditionalFormatting>
  <conditionalFormatting sqref="B27:C27">
    <cfRule type="cellIs" dxfId="30576" priority="17089" stopIfTrue="1" operator="equal">
      <formula>"Towel"</formula>
    </cfRule>
  </conditionalFormatting>
  <conditionalFormatting sqref="B27:C27">
    <cfRule type="cellIs" dxfId="30575" priority="17100" stopIfTrue="1" operator="equal">
      <formula>"Towel"</formula>
    </cfRule>
    <cfRule type="cellIs" dxfId="30574" priority="17101" stopIfTrue="1" operator="equal">
      <formula>"Napkin Hs"</formula>
    </cfRule>
    <cfRule type="cellIs" dxfId="30573" priority="17106" stopIfTrue="1" operator="equal">
      <formula>"Towel"</formula>
    </cfRule>
    <cfRule type="cellIs" dxfId="30572" priority="17107" stopIfTrue="1" operator="equal">
      <formula>"Napkin Hs"</formula>
    </cfRule>
    <cfRule type="cellIs" dxfId="30571" priority="17112" stopIfTrue="1" operator="equal">
      <formula>"Towel"</formula>
    </cfRule>
    <cfRule type="cellIs" dxfId="30570" priority="17113" stopIfTrue="1" operator="equal">
      <formula>"Napkin Hs"</formula>
    </cfRule>
    <cfRule type="cellIs" dxfId="30569" priority="17114" stopIfTrue="1" operator="equal">
      <formula>"Towel"</formula>
    </cfRule>
    <cfRule type="cellIs" dxfId="30568" priority="17115" stopIfTrue="1" operator="equal">
      <formula>"Napkin Hs"</formula>
    </cfRule>
    <cfRule type="cellIs" dxfId="30567" priority="17120" stopIfTrue="1" operator="equal">
      <formula>"Towel"</formula>
    </cfRule>
    <cfRule type="cellIs" dxfId="30566" priority="17121" stopIfTrue="1" operator="equal">
      <formula>"Napkin Hs"</formula>
    </cfRule>
    <cfRule type="cellIs" dxfId="30565" priority="17130" stopIfTrue="1" operator="equal">
      <formula>"Towel"</formula>
    </cfRule>
    <cfRule type="cellIs" dxfId="30564" priority="17131" stopIfTrue="1" operator="equal">
      <formula>"Napkin Hs"</formula>
    </cfRule>
    <cfRule type="cellIs" dxfId="30563" priority="17136" stopIfTrue="1" operator="equal">
      <formula>"Towel"</formula>
    </cfRule>
    <cfRule type="cellIs" dxfId="30562" priority="17137" stopIfTrue="1" operator="equal">
      <formula>"Napkin Hs"</formula>
    </cfRule>
    <cfRule type="cellIs" dxfId="30561" priority="17138" stopIfTrue="1" operator="equal">
      <formula>"Towel"</formula>
    </cfRule>
    <cfRule type="cellIs" dxfId="30560" priority="17139" stopIfTrue="1" operator="equal">
      <formula>"Napkin Hs"</formula>
    </cfRule>
    <cfRule type="cellIs" dxfId="30559" priority="17144" stopIfTrue="1" operator="equal">
      <formula>"Towel"</formula>
    </cfRule>
    <cfRule type="cellIs" dxfId="30558" priority="17145" stopIfTrue="1" operator="equal">
      <formula>"Napkin Hs"</formula>
    </cfRule>
    <cfRule type="cellIs" dxfId="30557" priority="17154" stopIfTrue="1" operator="equal">
      <formula>"Towel"</formula>
    </cfRule>
    <cfRule type="cellIs" dxfId="30556" priority="17155" stopIfTrue="1" operator="equal">
      <formula>"Napkin Hs"</formula>
    </cfRule>
    <cfRule type="cellIs" dxfId="30555" priority="17156" stopIfTrue="1" operator="equal">
      <formula>"Towel"</formula>
    </cfRule>
    <cfRule type="cellIs" dxfId="30554" priority="17157" stopIfTrue="1" operator="equal">
      <formula>"Napkin Hs"</formula>
    </cfRule>
    <cfRule type="cellIs" dxfId="30553" priority="17162" stopIfTrue="1" operator="equal">
      <formula>"Towel"</formula>
    </cfRule>
    <cfRule type="cellIs" dxfId="30552" priority="17163" stopIfTrue="1" operator="equal">
      <formula>"Napkin Hs"</formula>
    </cfRule>
    <cfRule type="cellIs" dxfId="30551" priority="17172" stopIfTrue="1" operator="equal">
      <formula>"Towel"</formula>
    </cfRule>
    <cfRule type="cellIs" dxfId="30550" priority="17173" stopIfTrue="1" operator="equal">
      <formula>"Napkin Hs"</formula>
    </cfRule>
    <cfRule type="cellIs" dxfId="30549" priority="17174" stopIfTrue="1" operator="equal">
      <formula>"Towel"</formula>
    </cfRule>
    <cfRule type="cellIs" dxfId="30548" priority="17175" stopIfTrue="1" operator="equal">
      <formula>"Napkin Hs"</formula>
    </cfRule>
    <cfRule type="cellIs" dxfId="30547" priority="17181" stopIfTrue="1" operator="equal">
      <formula>"Napkin Hs"</formula>
    </cfRule>
  </conditionalFormatting>
  <conditionalFormatting sqref="B27:C27">
    <cfRule type="cellIs" dxfId="30546" priority="17180" stopIfTrue="1" operator="equal">
      <formula>"Towel"</formula>
    </cfRule>
  </conditionalFormatting>
  <conditionalFormatting sqref="C27">
    <cfRule type="cellIs" dxfId="30545" priority="17091" stopIfTrue="1" operator="equal">
      <formula>"Napkin Hs"</formula>
    </cfRule>
    <cfRule type="cellIs" dxfId="30544" priority="17092" stopIfTrue="1" operator="equal">
      <formula>"Towel"</formula>
    </cfRule>
    <cfRule type="cellIs" dxfId="30543" priority="17093" stopIfTrue="1" operator="equal">
      <formula>"Napkin Hs"</formula>
    </cfRule>
    <cfRule type="cellIs" dxfId="30542" priority="17094" stopIfTrue="1" operator="equal">
      <formula>"Towel"</formula>
    </cfRule>
    <cfRule type="cellIs" dxfId="30541" priority="17095" stopIfTrue="1" operator="equal">
      <formula>"Napkin Hs"</formula>
    </cfRule>
    <cfRule type="cellIs" dxfId="30540" priority="17096" stopIfTrue="1" operator="equal">
      <formula>"Towel"</formula>
    </cfRule>
    <cfRule type="cellIs" dxfId="30539" priority="17097" stopIfTrue="1" operator="equal">
      <formula>"Napkin Hs"</formula>
    </cfRule>
    <cfRule type="cellIs" dxfId="30538" priority="17098" stopIfTrue="1" operator="equal">
      <formula>"Towel"</formula>
    </cfRule>
    <cfRule type="cellIs" dxfId="30537" priority="17099" stopIfTrue="1" operator="equal">
      <formula>"Napkin Hs"</formula>
    </cfRule>
    <cfRule type="cellIs" dxfId="30536" priority="17102" stopIfTrue="1" operator="equal">
      <formula>"Towel"</formula>
    </cfRule>
    <cfRule type="cellIs" dxfId="30535" priority="17103" stopIfTrue="1" operator="equal">
      <formula>"Napkin Hs"</formula>
    </cfRule>
    <cfRule type="cellIs" dxfId="30534" priority="17104" stopIfTrue="1" operator="equal">
      <formula>"Towel"</formula>
    </cfRule>
    <cfRule type="cellIs" dxfId="30533" priority="17105" stopIfTrue="1" operator="equal">
      <formula>"Napkin Hs"</formula>
    </cfRule>
    <cfRule type="cellIs" dxfId="30532" priority="17108" stopIfTrue="1" operator="equal">
      <formula>"Towel"</formula>
    </cfRule>
    <cfRule type="cellIs" dxfId="30531" priority="17109" stopIfTrue="1" operator="equal">
      <formula>"Napkin Hs"</formula>
    </cfRule>
    <cfRule type="cellIs" dxfId="30530" priority="17110" stopIfTrue="1" operator="equal">
      <formula>"Towel"</formula>
    </cfRule>
    <cfRule type="cellIs" dxfId="30529" priority="17111" stopIfTrue="1" operator="equal">
      <formula>"Napkin Hs"</formula>
    </cfRule>
    <cfRule type="cellIs" dxfId="30528" priority="17116" stopIfTrue="1" operator="equal">
      <formula>"Towel"</formula>
    </cfRule>
    <cfRule type="cellIs" dxfId="30527" priority="17117" stopIfTrue="1" operator="equal">
      <formula>"Napkin Hs"</formula>
    </cfRule>
    <cfRule type="cellIs" dxfId="30526" priority="17118" stopIfTrue="1" operator="equal">
      <formula>"Towel"</formula>
    </cfRule>
    <cfRule type="cellIs" dxfId="30525" priority="17119" stopIfTrue="1" operator="equal">
      <formula>"Napkin Hs"</formula>
    </cfRule>
    <cfRule type="cellIs" dxfId="30524" priority="17122" stopIfTrue="1" operator="equal">
      <formula>"Towel"</formula>
    </cfRule>
    <cfRule type="cellIs" dxfId="30523" priority="17123" stopIfTrue="1" operator="equal">
      <formula>"Napkin Hs"</formula>
    </cfRule>
    <cfRule type="cellIs" dxfId="30522" priority="17124" stopIfTrue="1" operator="equal">
      <formula>"Towel"</formula>
    </cfRule>
    <cfRule type="cellIs" dxfId="30521" priority="17125" stopIfTrue="1" operator="equal">
      <formula>"Napkin Hs"</formula>
    </cfRule>
    <cfRule type="cellIs" dxfId="30520" priority="17126" stopIfTrue="1" operator="equal">
      <formula>"Towel"</formula>
    </cfRule>
    <cfRule type="cellIs" dxfId="30519" priority="17127" stopIfTrue="1" operator="equal">
      <formula>"Napkin Hs"</formula>
    </cfRule>
    <cfRule type="cellIs" dxfId="30518" priority="17128" stopIfTrue="1" operator="equal">
      <formula>"Towel"</formula>
    </cfRule>
    <cfRule type="cellIs" dxfId="30517" priority="17129" stopIfTrue="1" operator="equal">
      <formula>"Napkin Hs"</formula>
    </cfRule>
    <cfRule type="cellIs" dxfId="30516" priority="17132" stopIfTrue="1" operator="equal">
      <formula>"Towel"</formula>
    </cfRule>
    <cfRule type="cellIs" dxfId="30515" priority="17133" stopIfTrue="1" operator="equal">
      <formula>"Napkin Hs"</formula>
    </cfRule>
    <cfRule type="cellIs" dxfId="30514" priority="17134" stopIfTrue="1" operator="equal">
      <formula>"Towel"</formula>
    </cfRule>
    <cfRule type="cellIs" dxfId="30513" priority="17135" stopIfTrue="1" operator="equal">
      <formula>"Napkin Hs"</formula>
    </cfRule>
    <cfRule type="cellIs" dxfId="30512" priority="17140" stopIfTrue="1" operator="equal">
      <formula>"Towel"</formula>
    </cfRule>
    <cfRule type="cellIs" dxfId="30511" priority="17141" stopIfTrue="1" operator="equal">
      <formula>"Napkin Hs"</formula>
    </cfRule>
    <cfRule type="cellIs" dxfId="30510" priority="17142" stopIfTrue="1" operator="equal">
      <formula>"Towel"</formula>
    </cfRule>
    <cfRule type="cellIs" dxfId="30509" priority="17143" stopIfTrue="1" operator="equal">
      <formula>"Napkin Hs"</formula>
    </cfRule>
    <cfRule type="cellIs" dxfId="30508" priority="17146" stopIfTrue="1" operator="equal">
      <formula>"Towel"</formula>
    </cfRule>
    <cfRule type="cellIs" dxfId="30507" priority="17147" stopIfTrue="1" operator="equal">
      <formula>"Napkin Hs"</formula>
    </cfRule>
    <cfRule type="cellIs" dxfId="30506" priority="17148" stopIfTrue="1" operator="equal">
      <formula>"Towel"</formula>
    </cfRule>
    <cfRule type="cellIs" dxfId="30505" priority="17149" stopIfTrue="1" operator="equal">
      <formula>"Napkin Hs"</formula>
    </cfRule>
    <cfRule type="cellIs" dxfId="30504" priority="17150" stopIfTrue="1" operator="equal">
      <formula>"Towel"</formula>
    </cfRule>
    <cfRule type="cellIs" dxfId="30503" priority="17151" stopIfTrue="1" operator="equal">
      <formula>"Napkin Hs"</formula>
    </cfRule>
    <cfRule type="cellIs" dxfId="30502" priority="17152" stopIfTrue="1" operator="equal">
      <formula>"Towel"</formula>
    </cfRule>
    <cfRule type="cellIs" dxfId="30501" priority="17153" stopIfTrue="1" operator="equal">
      <formula>"Napkin Hs"</formula>
    </cfRule>
    <cfRule type="cellIs" dxfId="30500" priority="17158" stopIfTrue="1" operator="equal">
      <formula>"Towel"</formula>
    </cfRule>
    <cfRule type="cellIs" dxfId="30499" priority="17159" stopIfTrue="1" operator="equal">
      <formula>"Napkin Hs"</formula>
    </cfRule>
    <cfRule type="cellIs" dxfId="30498" priority="17160" stopIfTrue="1" operator="equal">
      <formula>"Towel"</formula>
    </cfRule>
    <cfRule type="cellIs" dxfId="30497" priority="17161" stopIfTrue="1" operator="equal">
      <formula>"Napkin Hs"</formula>
    </cfRule>
    <cfRule type="cellIs" dxfId="30496" priority="17164" stopIfTrue="1" operator="equal">
      <formula>"Towel"</formula>
    </cfRule>
    <cfRule type="cellIs" dxfId="30495" priority="17165" stopIfTrue="1" operator="equal">
      <formula>"Napkin Hs"</formula>
    </cfRule>
    <cfRule type="cellIs" dxfId="30494" priority="17166" stopIfTrue="1" operator="equal">
      <formula>"Towel"</formula>
    </cfRule>
    <cfRule type="cellIs" dxfId="30493" priority="17167" stopIfTrue="1" operator="equal">
      <formula>"Napkin Hs"</formula>
    </cfRule>
    <cfRule type="cellIs" dxfId="30492" priority="17168" stopIfTrue="1" operator="equal">
      <formula>"Towel"</formula>
    </cfRule>
    <cfRule type="cellIs" dxfId="30491" priority="17169" stopIfTrue="1" operator="equal">
      <formula>"Napkin Hs"</formula>
    </cfRule>
    <cfRule type="cellIs" dxfId="30490" priority="17170" stopIfTrue="1" operator="equal">
      <formula>"Towel"</formula>
    </cfRule>
    <cfRule type="cellIs" dxfId="30489" priority="17171" stopIfTrue="1" operator="equal">
      <formula>"Napkin Hs"</formula>
    </cfRule>
    <cfRule type="cellIs" dxfId="30488" priority="17176" stopIfTrue="1" operator="equal">
      <formula>"Towel"</formula>
    </cfRule>
    <cfRule type="cellIs" dxfId="30487" priority="17177" stopIfTrue="1" operator="equal">
      <formula>"Napkin Hs"</formula>
    </cfRule>
    <cfRule type="cellIs" dxfId="30486" priority="17178" stopIfTrue="1" operator="equal">
      <formula>"Towel"</formula>
    </cfRule>
    <cfRule type="cellIs" dxfId="30485" priority="17179" stopIfTrue="1" operator="equal">
      <formula>"Napkin Hs"</formula>
    </cfRule>
    <cfRule type="cellIs" dxfId="30484" priority="17182" stopIfTrue="1" operator="equal">
      <formula>"Towel"</formula>
    </cfRule>
    <cfRule type="cellIs" dxfId="30483" priority="17183" stopIfTrue="1" operator="equal">
      <formula>"Napkin Hs"</formula>
    </cfRule>
    <cfRule type="cellIs" dxfId="30482" priority="17184" stopIfTrue="1" operator="equal">
      <formula>"Towel"</formula>
    </cfRule>
    <cfRule type="cellIs" dxfId="30481" priority="17185" stopIfTrue="1" operator="equal">
      <formula>"Napkin Hs"</formula>
    </cfRule>
  </conditionalFormatting>
  <conditionalFormatting sqref="C27">
    <cfRule type="cellIs" dxfId="30480" priority="17088" stopIfTrue="1" operator="equal">
      <formula>"Napkin Hs"</formula>
    </cfRule>
  </conditionalFormatting>
  <conditionalFormatting sqref="C27">
    <cfRule type="cellIs" dxfId="30479" priority="17087" stopIfTrue="1" operator="equal">
      <formula>"Napkin Hs"</formula>
    </cfRule>
  </conditionalFormatting>
  <conditionalFormatting sqref="B27">
    <cfRule type="cellIs" dxfId="30478" priority="17086" stopIfTrue="1" operator="equal">
      <formula>"Napkin Hs"</formula>
    </cfRule>
  </conditionalFormatting>
  <conditionalFormatting sqref="C27">
    <cfRule type="cellIs" dxfId="30477" priority="17085" stopIfTrue="1" operator="equal">
      <formula>"Napkin Hs"</formula>
    </cfRule>
  </conditionalFormatting>
  <conditionalFormatting sqref="C27">
    <cfRule type="cellIs" dxfId="30476" priority="17084" stopIfTrue="1" operator="equal">
      <formula>"Napkin Hs"</formula>
    </cfRule>
  </conditionalFormatting>
  <conditionalFormatting sqref="C27">
    <cfRule type="cellIs" dxfId="30475" priority="17083" stopIfTrue="1" operator="equal">
      <formula>"Napkin Hs"</formula>
    </cfRule>
  </conditionalFormatting>
  <conditionalFormatting sqref="C27">
    <cfRule type="cellIs" dxfId="30474" priority="17082" stopIfTrue="1" operator="equal">
      <formula>"Napkin Hs"</formula>
    </cfRule>
  </conditionalFormatting>
  <conditionalFormatting sqref="B27">
    <cfRule type="cellIs" dxfId="30473" priority="17081" stopIfTrue="1" operator="equal">
      <formula>"Napkin Hs"</formula>
    </cfRule>
  </conditionalFormatting>
  <conditionalFormatting sqref="B27">
    <cfRule type="cellIs" dxfId="30472" priority="17080" stopIfTrue="1" operator="equal">
      <formula>"Napkin Hs"</formula>
    </cfRule>
  </conditionalFormatting>
  <conditionalFormatting sqref="C27">
    <cfRule type="cellIs" dxfId="30471" priority="17076" stopIfTrue="1" operator="equal">
      <formula>"Towel"</formula>
    </cfRule>
    <cfRule type="cellIs" dxfId="30470" priority="17077" stopIfTrue="1" operator="equal">
      <formula>"Napkin Hs"</formula>
    </cfRule>
  </conditionalFormatting>
  <conditionalFormatting sqref="C27">
    <cfRule type="cellIs" dxfId="30469" priority="17078" stopIfTrue="1" operator="equal">
      <formula>"Towel"</formula>
    </cfRule>
    <cfRule type="cellIs" dxfId="30468" priority="17079" stopIfTrue="1" operator="equal">
      <formula>"Napkin Hs"</formula>
    </cfRule>
  </conditionalFormatting>
  <conditionalFormatting sqref="C27">
    <cfRule type="cellIs" dxfId="30467" priority="17072" stopIfTrue="1" operator="equal">
      <formula>"Towel"</formula>
    </cfRule>
    <cfRule type="cellIs" dxfId="30466" priority="17073" stopIfTrue="1" operator="equal">
      <formula>"Napkin Hs"</formula>
    </cfRule>
  </conditionalFormatting>
  <conditionalFormatting sqref="C27">
    <cfRule type="cellIs" dxfId="30465" priority="17074" stopIfTrue="1" operator="equal">
      <formula>"Towel"</formula>
    </cfRule>
    <cfRule type="cellIs" dxfId="30464" priority="17075" stopIfTrue="1" operator="equal">
      <formula>"Napkin Hs"</formula>
    </cfRule>
  </conditionalFormatting>
  <conditionalFormatting sqref="C25">
    <cfRule type="cellIs" dxfId="30463" priority="16900" stopIfTrue="1" operator="equal">
      <formula>"Towel"</formula>
    </cfRule>
    <cfRule type="cellIs" dxfId="30462" priority="16901" stopIfTrue="1" operator="equal">
      <formula>"Napkin Hs"</formula>
    </cfRule>
  </conditionalFormatting>
  <conditionalFormatting sqref="C25">
    <cfRule type="cellIs" dxfId="30461" priority="16902" stopIfTrue="1" operator="equal">
      <formula>"Towel"</formula>
    </cfRule>
    <cfRule type="cellIs" dxfId="30460" priority="16903" stopIfTrue="1" operator="equal">
      <formula>"Napkin Hs"</formula>
    </cfRule>
  </conditionalFormatting>
  <conditionalFormatting sqref="C25">
    <cfRule type="cellIs" dxfId="30459" priority="16898" stopIfTrue="1" operator="equal">
      <formula>"Towel"</formula>
    </cfRule>
    <cfRule type="cellIs" dxfId="30458" priority="16899" stopIfTrue="1" operator="equal">
      <formula>"Napkin Hs"</formula>
    </cfRule>
  </conditionalFormatting>
  <conditionalFormatting sqref="B25">
    <cfRule type="cellIs" dxfId="30457" priority="16896" stopIfTrue="1" operator="equal">
      <formula>"Towel"</formula>
    </cfRule>
    <cfRule type="cellIs" dxfId="30456" priority="16897" stopIfTrue="1" operator="equal">
      <formula>"Napkin Hs"</formula>
    </cfRule>
  </conditionalFormatting>
  <conditionalFormatting sqref="C25">
    <cfRule type="cellIs" dxfId="30455" priority="16890" stopIfTrue="1" operator="equal">
      <formula>"Towel"</formula>
    </cfRule>
    <cfRule type="cellIs" dxfId="30454" priority="16891" stopIfTrue="1" operator="equal">
      <formula>"Napkin Hs"</formula>
    </cfRule>
  </conditionalFormatting>
  <conditionalFormatting sqref="C25">
    <cfRule type="cellIs" dxfId="30453" priority="16894" stopIfTrue="1" operator="equal">
      <formula>"Towel"</formula>
    </cfRule>
    <cfRule type="cellIs" dxfId="30452" priority="16895" stopIfTrue="1" operator="equal">
      <formula>"Napkin Hs"</formula>
    </cfRule>
  </conditionalFormatting>
  <conditionalFormatting sqref="C25">
    <cfRule type="cellIs" dxfId="30451" priority="16892" stopIfTrue="1" operator="equal">
      <formula>"Towel"</formula>
    </cfRule>
    <cfRule type="cellIs" dxfId="30450" priority="16893" stopIfTrue="1" operator="equal">
      <formula>"Napkin Hs"</formula>
    </cfRule>
  </conditionalFormatting>
  <conditionalFormatting sqref="C25">
    <cfRule type="cellIs" dxfId="30449" priority="16884" stopIfTrue="1" operator="equal">
      <formula>"Towel"</formula>
    </cfRule>
    <cfRule type="cellIs" dxfId="30448" priority="16885" stopIfTrue="1" operator="equal">
      <formula>"Napkin Hs"</formula>
    </cfRule>
  </conditionalFormatting>
  <conditionalFormatting sqref="C25">
    <cfRule type="cellIs" dxfId="30447" priority="16886" stopIfTrue="1" operator="equal">
      <formula>"Towel"</formula>
    </cfRule>
    <cfRule type="cellIs" dxfId="30446" priority="16887" stopIfTrue="1" operator="equal">
      <formula>"Napkin Hs"</formula>
    </cfRule>
  </conditionalFormatting>
  <conditionalFormatting sqref="C25">
    <cfRule type="cellIs" dxfId="30445" priority="16888" stopIfTrue="1" operator="equal">
      <formula>"Towel"</formula>
    </cfRule>
    <cfRule type="cellIs" dxfId="30444" priority="16889" stopIfTrue="1" operator="equal">
      <formula>"Napkin Hs"</formula>
    </cfRule>
  </conditionalFormatting>
  <conditionalFormatting sqref="B25:C25">
    <cfRule type="cellIs" dxfId="30443" priority="16882" stopIfTrue="1" operator="equal">
      <formula>"Towel"</formula>
    </cfRule>
    <cfRule type="cellIs" dxfId="30442" priority="16883" stopIfTrue="1" operator="equal">
      <formula>"Napkin Hs"</formula>
    </cfRule>
  </conditionalFormatting>
  <conditionalFormatting sqref="B25:C25">
    <cfRule type="cellIs" dxfId="30441" priority="16880" stopIfTrue="1" operator="equal">
      <formula>"Towel"</formula>
    </cfRule>
    <cfRule type="cellIs" dxfId="30440" priority="16881" stopIfTrue="1" operator="equal">
      <formula>"Napkin Hs"</formula>
    </cfRule>
  </conditionalFormatting>
  <conditionalFormatting sqref="B25:C25">
    <cfRule type="cellIs" dxfId="30439" priority="16856" stopIfTrue="1" operator="equal">
      <formula>"Towel"</formula>
    </cfRule>
  </conditionalFormatting>
  <conditionalFormatting sqref="B25:C25">
    <cfRule type="cellIs" dxfId="30438" priority="16857" stopIfTrue="1" operator="equal">
      <formula>"Napkin Hs"</formula>
    </cfRule>
    <cfRule type="cellIs" dxfId="30437" priority="16862" stopIfTrue="1" operator="equal">
      <formula>"Towel"</formula>
    </cfRule>
    <cfRule type="cellIs" dxfId="30436" priority="16863" stopIfTrue="1" operator="equal">
      <formula>"Napkin Hs"</formula>
    </cfRule>
    <cfRule type="cellIs" dxfId="30435" priority="16872" stopIfTrue="1" operator="equal">
      <formula>"Towel"</formula>
    </cfRule>
    <cfRule type="cellIs" dxfId="30434" priority="16873" stopIfTrue="1" operator="equal">
      <formula>"Napkin Hs"</formula>
    </cfRule>
    <cfRule type="cellIs" dxfId="30433" priority="16878" stopIfTrue="1" operator="equal">
      <formula>"Towel"</formula>
    </cfRule>
    <cfRule type="cellIs" dxfId="30432" priority="16879" stopIfTrue="1" operator="equal">
      <formula>"Napkin Hs"</formula>
    </cfRule>
  </conditionalFormatting>
  <conditionalFormatting sqref="C25">
    <cfRule type="cellIs" dxfId="30431" priority="16858" stopIfTrue="1" operator="equal">
      <formula>"Towel"</formula>
    </cfRule>
    <cfRule type="cellIs" dxfId="30430" priority="16859" stopIfTrue="1" operator="equal">
      <formula>"Napkin Hs"</formula>
    </cfRule>
    <cfRule type="cellIs" dxfId="30429" priority="16860" stopIfTrue="1" operator="equal">
      <formula>"Towel"</formula>
    </cfRule>
    <cfRule type="cellIs" dxfId="30428" priority="16861" stopIfTrue="1" operator="equal">
      <formula>"Napkin Hs"</formula>
    </cfRule>
    <cfRule type="cellIs" dxfId="30427" priority="16864" stopIfTrue="1" operator="equal">
      <formula>"Towel"</formula>
    </cfRule>
    <cfRule type="cellIs" dxfId="30426" priority="16865" stopIfTrue="1" operator="equal">
      <formula>"Napkin Hs"</formula>
    </cfRule>
    <cfRule type="cellIs" dxfId="30425" priority="16866" stopIfTrue="1" operator="equal">
      <formula>"Towel"</formula>
    </cfRule>
    <cfRule type="cellIs" dxfId="30424" priority="16867" stopIfTrue="1" operator="equal">
      <formula>"Napkin Hs"</formula>
    </cfRule>
    <cfRule type="cellIs" dxfId="30423" priority="16868" stopIfTrue="1" operator="equal">
      <formula>"Towel"</formula>
    </cfRule>
    <cfRule type="cellIs" dxfId="30422" priority="16869" stopIfTrue="1" operator="equal">
      <formula>"Napkin Hs"</formula>
    </cfRule>
    <cfRule type="cellIs" dxfId="30421" priority="16870" stopIfTrue="1" operator="equal">
      <formula>"Towel"</formula>
    </cfRule>
    <cfRule type="cellIs" dxfId="30420" priority="16871" stopIfTrue="1" operator="equal">
      <formula>"Napkin Hs"</formula>
    </cfRule>
    <cfRule type="cellIs" dxfId="30419" priority="16874" stopIfTrue="1" operator="equal">
      <formula>"Towel"</formula>
    </cfRule>
    <cfRule type="cellIs" dxfId="30418" priority="16875" stopIfTrue="1" operator="equal">
      <formula>"Napkin Hs"</formula>
    </cfRule>
    <cfRule type="cellIs" dxfId="30417" priority="16877" stopIfTrue="1" operator="equal">
      <formula>"Napkin Hs"</formula>
    </cfRule>
  </conditionalFormatting>
  <conditionalFormatting sqref="C25">
    <cfRule type="cellIs" dxfId="30416" priority="16876" stopIfTrue="1" operator="equal">
      <formula>"Towel"</formula>
    </cfRule>
  </conditionalFormatting>
  <conditionalFormatting sqref="B25:C25">
    <cfRule type="cellIs" dxfId="30415" priority="16854" stopIfTrue="1" operator="equal">
      <formula>"Towel"</formula>
    </cfRule>
    <cfRule type="cellIs" dxfId="30414" priority="16855" stopIfTrue="1" operator="equal">
      <formula>"Napkin Hs"</formula>
    </cfRule>
  </conditionalFormatting>
  <conditionalFormatting sqref="C25">
    <cfRule type="cellIs" dxfId="30413" priority="16853" stopIfTrue="1" operator="equal">
      <formula>"Napkin Hs"</formula>
    </cfRule>
  </conditionalFormatting>
  <conditionalFormatting sqref="C25">
    <cfRule type="cellIs" dxfId="30412" priority="16852" stopIfTrue="1" operator="equal">
      <formula>"Towel"</formula>
    </cfRule>
  </conditionalFormatting>
  <conditionalFormatting sqref="C25">
    <cfRule type="cellIs" dxfId="30411" priority="16850" stopIfTrue="1" operator="equal">
      <formula>"Towel"</formula>
    </cfRule>
  </conditionalFormatting>
  <conditionalFormatting sqref="C25">
    <cfRule type="cellIs" dxfId="30410" priority="16851" stopIfTrue="1" operator="equal">
      <formula>"Napkin Hs"</formula>
    </cfRule>
  </conditionalFormatting>
  <conditionalFormatting sqref="B25">
    <cfRule type="cellIs" dxfId="30409" priority="16754" stopIfTrue="1" operator="equal">
      <formula>"Napkin Hs"</formula>
    </cfRule>
  </conditionalFormatting>
  <conditionalFormatting sqref="B25:C25">
    <cfRule type="cellIs" dxfId="30408" priority="16753" stopIfTrue="1" operator="equal">
      <formula>"Towel"</formula>
    </cfRule>
  </conditionalFormatting>
  <conditionalFormatting sqref="B25:C25">
    <cfRule type="cellIs" dxfId="30407" priority="16764" stopIfTrue="1" operator="equal">
      <formula>"Towel"</formula>
    </cfRule>
    <cfRule type="cellIs" dxfId="30406" priority="16765" stopIfTrue="1" operator="equal">
      <formula>"Napkin Hs"</formula>
    </cfRule>
    <cfRule type="cellIs" dxfId="30405" priority="16770" stopIfTrue="1" operator="equal">
      <formula>"Towel"</formula>
    </cfRule>
    <cfRule type="cellIs" dxfId="30404" priority="16771" stopIfTrue="1" operator="equal">
      <formula>"Napkin Hs"</formula>
    </cfRule>
    <cfRule type="cellIs" dxfId="30403" priority="16776" stopIfTrue="1" operator="equal">
      <formula>"Towel"</formula>
    </cfRule>
    <cfRule type="cellIs" dxfId="30402" priority="16777" stopIfTrue="1" operator="equal">
      <formula>"Napkin Hs"</formula>
    </cfRule>
    <cfRule type="cellIs" dxfId="30401" priority="16778" stopIfTrue="1" operator="equal">
      <formula>"Towel"</formula>
    </cfRule>
    <cfRule type="cellIs" dxfId="30400" priority="16779" stopIfTrue="1" operator="equal">
      <formula>"Napkin Hs"</formula>
    </cfRule>
    <cfRule type="cellIs" dxfId="30399" priority="16784" stopIfTrue="1" operator="equal">
      <formula>"Towel"</formula>
    </cfRule>
    <cfRule type="cellIs" dxfId="30398" priority="16785" stopIfTrue="1" operator="equal">
      <formula>"Napkin Hs"</formula>
    </cfRule>
    <cfRule type="cellIs" dxfId="30397" priority="16794" stopIfTrue="1" operator="equal">
      <formula>"Towel"</formula>
    </cfRule>
    <cfRule type="cellIs" dxfId="30396" priority="16795" stopIfTrue="1" operator="equal">
      <formula>"Napkin Hs"</formula>
    </cfRule>
    <cfRule type="cellIs" dxfId="30395" priority="16800" stopIfTrue="1" operator="equal">
      <formula>"Towel"</formula>
    </cfRule>
    <cfRule type="cellIs" dxfId="30394" priority="16801" stopIfTrue="1" operator="equal">
      <formula>"Napkin Hs"</formula>
    </cfRule>
    <cfRule type="cellIs" dxfId="30393" priority="16802" stopIfTrue="1" operator="equal">
      <formula>"Towel"</formula>
    </cfRule>
    <cfRule type="cellIs" dxfId="30392" priority="16803" stopIfTrue="1" operator="equal">
      <formula>"Napkin Hs"</formula>
    </cfRule>
    <cfRule type="cellIs" dxfId="30391" priority="16808" stopIfTrue="1" operator="equal">
      <formula>"Towel"</formula>
    </cfRule>
    <cfRule type="cellIs" dxfId="30390" priority="16809" stopIfTrue="1" operator="equal">
      <formula>"Napkin Hs"</formula>
    </cfRule>
    <cfRule type="cellIs" dxfId="30389" priority="16818" stopIfTrue="1" operator="equal">
      <formula>"Towel"</formula>
    </cfRule>
    <cfRule type="cellIs" dxfId="30388" priority="16819" stopIfTrue="1" operator="equal">
      <formula>"Napkin Hs"</formula>
    </cfRule>
    <cfRule type="cellIs" dxfId="30387" priority="16820" stopIfTrue="1" operator="equal">
      <formula>"Towel"</formula>
    </cfRule>
    <cfRule type="cellIs" dxfId="30386" priority="16821" stopIfTrue="1" operator="equal">
      <formula>"Napkin Hs"</formula>
    </cfRule>
    <cfRule type="cellIs" dxfId="30385" priority="16826" stopIfTrue="1" operator="equal">
      <formula>"Towel"</formula>
    </cfRule>
    <cfRule type="cellIs" dxfId="30384" priority="16827" stopIfTrue="1" operator="equal">
      <formula>"Napkin Hs"</formula>
    </cfRule>
    <cfRule type="cellIs" dxfId="30383" priority="16836" stopIfTrue="1" operator="equal">
      <formula>"Towel"</formula>
    </cfRule>
    <cfRule type="cellIs" dxfId="30382" priority="16837" stopIfTrue="1" operator="equal">
      <formula>"Napkin Hs"</formula>
    </cfRule>
    <cfRule type="cellIs" dxfId="30381" priority="16838" stopIfTrue="1" operator="equal">
      <formula>"Towel"</formula>
    </cfRule>
    <cfRule type="cellIs" dxfId="30380" priority="16839" stopIfTrue="1" operator="equal">
      <formula>"Napkin Hs"</formula>
    </cfRule>
    <cfRule type="cellIs" dxfId="30379" priority="16845" stopIfTrue="1" operator="equal">
      <formula>"Napkin Hs"</formula>
    </cfRule>
  </conditionalFormatting>
  <conditionalFormatting sqref="B25:C25">
    <cfRule type="cellIs" dxfId="30378" priority="16844" stopIfTrue="1" operator="equal">
      <formula>"Towel"</formula>
    </cfRule>
  </conditionalFormatting>
  <conditionalFormatting sqref="C25">
    <cfRule type="cellIs" dxfId="30377" priority="16755" stopIfTrue="1" operator="equal">
      <formula>"Napkin Hs"</formula>
    </cfRule>
    <cfRule type="cellIs" dxfId="30376" priority="16756" stopIfTrue="1" operator="equal">
      <formula>"Towel"</formula>
    </cfRule>
    <cfRule type="cellIs" dxfId="30375" priority="16757" stopIfTrue="1" operator="equal">
      <formula>"Napkin Hs"</formula>
    </cfRule>
    <cfRule type="cellIs" dxfId="30374" priority="16758" stopIfTrue="1" operator="equal">
      <formula>"Towel"</formula>
    </cfRule>
    <cfRule type="cellIs" dxfId="30373" priority="16759" stopIfTrue="1" operator="equal">
      <formula>"Napkin Hs"</formula>
    </cfRule>
    <cfRule type="cellIs" dxfId="30372" priority="16760" stopIfTrue="1" operator="equal">
      <formula>"Towel"</formula>
    </cfRule>
    <cfRule type="cellIs" dxfId="30371" priority="16761" stopIfTrue="1" operator="equal">
      <formula>"Napkin Hs"</formula>
    </cfRule>
    <cfRule type="cellIs" dxfId="30370" priority="16762" stopIfTrue="1" operator="equal">
      <formula>"Towel"</formula>
    </cfRule>
    <cfRule type="cellIs" dxfId="30369" priority="16763" stopIfTrue="1" operator="equal">
      <formula>"Napkin Hs"</formula>
    </cfRule>
    <cfRule type="cellIs" dxfId="30368" priority="16766" stopIfTrue="1" operator="equal">
      <formula>"Towel"</formula>
    </cfRule>
    <cfRule type="cellIs" dxfId="30367" priority="16767" stopIfTrue="1" operator="equal">
      <formula>"Napkin Hs"</formula>
    </cfRule>
    <cfRule type="cellIs" dxfId="30366" priority="16768" stopIfTrue="1" operator="equal">
      <formula>"Towel"</formula>
    </cfRule>
    <cfRule type="cellIs" dxfId="30365" priority="16769" stopIfTrue="1" operator="equal">
      <formula>"Napkin Hs"</formula>
    </cfRule>
    <cfRule type="cellIs" dxfId="30364" priority="16772" stopIfTrue="1" operator="equal">
      <formula>"Towel"</formula>
    </cfRule>
    <cfRule type="cellIs" dxfId="30363" priority="16773" stopIfTrue="1" operator="equal">
      <formula>"Napkin Hs"</formula>
    </cfRule>
    <cfRule type="cellIs" dxfId="30362" priority="16774" stopIfTrue="1" operator="equal">
      <formula>"Towel"</formula>
    </cfRule>
    <cfRule type="cellIs" dxfId="30361" priority="16775" stopIfTrue="1" operator="equal">
      <formula>"Napkin Hs"</formula>
    </cfRule>
    <cfRule type="cellIs" dxfId="30360" priority="16780" stopIfTrue="1" operator="equal">
      <formula>"Towel"</formula>
    </cfRule>
    <cfRule type="cellIs" dxfId="30359" priority="16781" stopIfTrue="1" operator="equal">
      <formula>"Napkin Hs"</formula>
    </cfRule>
    <cfRule type="cellIs" dxfId="30358" priority="16782" stopIfTrue="1" operator="equal">
      <formula>"Towel"</formula>
    </cfRule>
    <cfRule type="cellIs" dxfId="30357" priority="16783" stopIfTrue="1" operator="equal">
      <formula>"Napkin Hs"</formula>
    </cfRule>
    <cfRule type="cellIs" dxfId="30356" priority="16786" stopIfTrue="1" operator="equal">
      <formula>"Towel"</formula>
    </cfRule>
    <cfRule type="cellIs" dxfId="30355" priority="16787" stopIfTrue="1" operator="equal">
      <formula>"Napkin Hs"</formula>
    </cfRule>
    <cfRule type="cellIs" dxfId="30354" priority="16788" stopIfTrue="1" operator="equal">
      <formula>"Towel"</formula>
    </cfRule>
    <cfRule type="cellIs" dxfId="30353" priority="16789" stopIfTrue="1" operator="equal">
      <formula>"Napkin Hs"</formula>
    </cfRule>
    <cfRule type="cellIs" dxfId="30352" priority="16790" stopIfTrue="1" operator="equal">
      <formula>"Towel"</formula>
    </cfRule>
    <cfRule type="cellIs" dxfId="30351" priority="16791" stopIfTrue="1" operator="equal">
      <formula>"Napkin Hs"</formula>
    </cfRule>
    <cfRule type="cellIs" dxfId="30350" priority="16792" stopIfTrue="1" operator="equal">
      <formula>"Towel"</formula>
    </cfRule>
    <cfRule type="cellIs" dxfId="30349" priority="16793" stopIfTrue="1" operator="equal">
      <formula>"Napkin Hs"</formula>
    </cfRule>
    <cfRule type="cellIs" dxfId="30348" priority="16796" stopIfTrue="1" operator="equal">
      <formula>"Towel"</formula>
    </cfRule>
    <cfRule type="cellIs" dxfId="30347" priority="16797" stopIfTrue="1" operator="equal">
      <formula>"Napkin Hs"</formula>
    </cfRule>
    <cfRule type="cellIs" dxfId="30346" priority="16798" stopIfTrue="1" operator="equal">
      <formula>"Towel"</formula>
    </cfRule>
    <cfRule type="cellIs" dxfId="30345" priority="16799" stopIfTrue="1" operator="equal">
      <formula>"Napkin Hs"</formula>
    </cfRule>
    <cfRule type="cellIs" dxfId="30344" priority="16804" stopIfTrue="1" operator="equal">
      <formula>"Towel"</formula>
    </cfRule>
    <cfRule type="cellIs" dxfId="30343" priority="16805" stopIfTrue="1" operator="equal">
      <formula>"Napkin Hs"</formula>
    </cfRule>
    <cfRule type="cellIs" dxfId="30342" priority="16806" stopIfTrue="1" operator="equal">
      <formula>"Towel"</formula>
    </cfRule>
    <cfRule type="cellIs" dxfId="30341" priority="16807" stopIfTrue="1" operator="equal">
      <formula>"Napkin Hs"</formula>
    </cfRule>
    <cfRule type="cellIs" dxfId="30340" priority="16810" stopIfTrue="1" operator="equal">
      <formula>"Towel"</formula>
    </cfRule>
    <cfRule type="cellIs" dxfId="30339" priority="16811" stopIfTrue="1" operator="equal">
      <formula>"Napkin Hs"</formula>
    </cfRule>
    <cfRule type="cellIs" dxfId="30338" priority="16812" stopIfTrue="1" operator="equal">
      <formula>"Towel"</formula>
    </cfRule>
    <cfRule type="cellIs" dxfId="30337" priority="16813" stopIfTrue="1" operator="equal">
      <formula>"Napkin Hs"</formula>
    </cfRule>
    <cfRule type="cellIs" dxfId="30336" priority="16814" stopIfTrue="1" operator="equal">
      <formula>"Towel"</formula>
    </cfRule>
    <cfRule type="cellIs" dxfId="30335" priority="16815" stopIfTrue="1" operator="equal">
      <formula>"Napkin Hs"</formula>
    </cfRule>
    <cfRule type="cellIs" dxfId="30334" priority="16816" stopIfTrue="1" operator="equal">
      <formula>"Towel"</formula>
    </cfRule>
    <cfRule type="cellIs" dxfId="30333" priority="16817" stopIfTrue="1" operator="equal">
      <formula>"Napkin Hs"</formula>
    </cfRule>
    <cfRule type="cellIs" dxfId="30332" priority="16822" stopIfTrue="1" operator="equal">
      <formula>"Towel"</formula>
    </cfRule>
    <cfRule type="cellIs" dxfId="30331" priority="16823" stopIfTrue="1" operator="equal">
      <formula>"Napkin Hs"</formula>
    </cfRule>
    <cfRule type="cellIs" dxfId="30330" priority="16824" stopIfTrue="1" operator="equal">
      <formula>"Towel"</formula>
    </cfRule>
    <cfRule type="cellIs" dxfId="30329" priority="16825" stopIfTrue="1" operator="equal">
      <formula>"Napkin Hs"</formula>
    </cfRule>
    <cfRule type="cellIs" dxfId="30328" priority="16828" stopIfTrue="1" operator="equal">
      <formula>"Towel"</formula>
    </cfRule>
    <cfRule type="cellIs" dxfId="30327" priority="16829" stopIfTrue="1" operator="equal">
      <formula>"Napkin Hs"</formula>
    </cfRule>
    <cfRule type="cellIs" dxfId="30326" priority="16830" stopIfTrue="1" operator="equal">
      <formula>"Towel"</formula>
    </cfRule>
    <cfRule type="cellIs" dxfId="30325" priority="16831" stopIfTrue="1" operator="equal">
      <formula>"Napkin Hs"</formula>
    </cfRule>
    <cfRule type="cellIs" dxfId="30324" priority="16832" stopIfTrue="1" operator="equal">
      <formula>"Towel"</formula>
    </cfRule>
    <cfRule type="cellIs" dxfId="30323" priority="16833" stopIfTrue="1" operator="equal">
      <formula>"Napkin Hs"</formula>
    </cfRule>
    <cfRule type="cellIs" dxfId="30322" priority="16834" stopIfTrue="1" operator="equal">
      <formula>"Towel"</formula>
    </cfRule>
    <cfRule type="cellIs" dxfId="30321" priority="16835" stopIfTrue="1" operator="equal">
      <formula>"Napkin Hs"</formula>
    </cfRule>
    <cfRule type="cellIs" dxfId="30320" priority="16840" stopIfTrue="1" operator="equal">
      <formula>"Towel"</formula>
    </cfRule>
    <cfRule type="cellIs" dxfId="30319" priority="16841" stopIfTrue="1" operator="equal">
      <formula>"Napkin Hs"</formula>
    </cfRule>
    <cfRule type="cellIs" dxfId="30318" priority="16842" stopIfTrue="1" operator="equal">
      <formula>"Towel"</formula>
    </cfRule>
    <cfRule type="cellIs" dxfId="30317" priority="16843" stopIfTrue="1" operator="equal">
      <formula>"Napkin Hs"</formula>
    </cfRule>
    <cfRule type="cellIs" dxfId="30316" priority="16846" stopIfTrue="1" operator="equal">
      <formula>"Towel"</formula>
    </cfRule>
    <cfRule type="cellIs" dxfId="30315" priority="16847" stopIfTrue="1" operator="equal">
      <formula>"Napkin Hs"</formula>
    </cfRule>
    <cfRule type="cellIs" dxfId="30314" priority="16848" stopIfTrue="1" operator="equal">
      <formula>"Towel"</formula>
    </cfRule>
    <cfRule type="cellIs" dxfId="30313" priority="16849" stopIfTrue="1" operator="equal">
      <formula>"Napkin Hs"</formula>
    </cfRule>
  </conditionalFormatting>
  <conditionalFormatting sqref="C25">
    <cfRule type="cellIs" dxfId="30312" priority="16752" stopIfTrue="1" operator="equal">
      <formula>"Napkin Hs"</formula>
    </cfRule>
  </conditionalFormatting>
  <conditionalFormatting sqref="C25">
    <cfRule type="cellIs" dxfId="30311" priority="16751" stopIfTrue="1" operator="equal">
      <formula>"Napkin Hs"</formula>
    </cfRule>
  </conditionalFormatting>
  <conditionalFormatting sqref="B25">
    <cfRule type="cellIs" dxfId="30310" priority="16750" stopIfTrue="1" operator="equal">
      <formula>"Napkin Hs"</formula>
    </cfRule>
  </conditionalFormatting>
  <conditionalFormatting sqref="C25">
    <cfRule type="cellIs" dxfId="30309" priority="16749" stopIfTrue="1" operator="equal">
      <formula>"Napkin Hs"</formula>
    </cfRule>
  </conditionalFormatting>
  <conditionalFormatting sqref="C25">
    <cfRule type="cellIs" dxfId="30308" priority="16748" stopIfTrue="1" operator="equal">
      <formula>"Napkin Hs"</formula>
    </cfRule>
  </conditionalFormatting>
  <conditionalFormatting sqref="C25">
    <cfRule type="cellIs" dxfId="30307" priority="16747" stopIfTrue="1" operator="equal">
      <formula>"Napkin Hs"</formula>
    </cfRule>
  </conditionalFormatting>
  <conditionalFormatting sqref="C25">
    <cfRule type="cellIs" dxfId="30306" priority="16746" stopIfTrue="1" operator="equal">
      <formula>"Napkin Hs"</formula>
    </cfRule>
  </conditionalFormatting>
  <conditionalFormatting sqref="B25">
    <cfRule type="cellIs" dxfId="30305" priority="16745" stopIfTrue="1" operator="equal">
      <formula>"Napkin Hs"</formula>
    </cfRule>
  </conditionalFormatting>
  <conditionalFormatting sqref="B25">
    <cfRule type="cellIs" dxfId="30304" priority="16744" stopIfTrue="1" operator="equal">
      <formula>"Napkin Hs"</formula>
    </cfRule>
  </conditionalFormatting>
  <conditionalFormatting sqref="C25">
    <cfRule type="cellIs" dxfId="30303" priority="16740" stopIfTrue="1" operator="equal">
      <formula>"Towel"</formula>
    </cfRule>
    <cfRule type="cellIs" dxfId="30302" priority="16741" stopIfTrue="1" operator="equal">
      <formula>"Napkin Hs"</formula>
    </cfRule>
  </conditionalFormatting>
  <conditionalFormatting sqref="C25">
    <cfRule type="cellIs" dxfId="30301" priority="16742" stopIfTrue="1" operator="equal">
      <formula>"Towel"</formula>
    </cfRule>
    <cfRule type="cellIs" dxfId="30300" priority="16743" stopIfTrue="1" operator="equal">
      <formula>"Napkin Hs"</formula>
    </cfRule>
  </conditionalFormatting>
  <conditionalFormatting sqref="C25">
    <cfRule type="cellIs" dxfId="30299" priority="16736" stopIfTrue="1" operator="equal">
      <formula>"Towel"</formula>
    </cfRule>
    <cfRule type="cellIs" dxfId="30298" priority="16737" stopIfTrue="1" operator="equal">
      <formula>"Napkin Hs"</formula>
    </cfRule>
  </conditionalFormatting>
  <conditionalFormatting sqref="C25">
    <cfRule type="cellIs" dxfId="30297" priority="16738" stopIfTrue="1" operator="equal">
      <formula>"Towel"</formula>
    </cfRule>
    <cfRule type="cellIs" dxfId="30296" priority="16739" stopIfTrue="1" operator="equal">
      <formula>"Napkin Hs"</formula>
    </cfRule>
  </conditionalFormatting>
  <conditionalFormatting sqref="C32">
    <cfRule type="cellIs" dxfId="30295" priority="16732" stopIfTrue="1" operator="equal">
      <formula>"Towel"</formula>
    </cfRule>
    <cfRule type="cellIs" dxfId="30294" priority="16733" stopIfTrue="1" operator="equal">
      <formula>"Napkin Hs"</formula>
    </cfRule>
  </conditionalFormatting>
  <conditionalFormatting sqref="C32">
    <cfRule type="cellIs" dxfId="30293" priority="16734" stopIfTrue="1" operator="equal">
      <formula>"Towel"</formula>
    </cfRule>
    <cfRule type="cellIs" dxfId="30292" priority="16735" stopIfTrue="1" operator="equal">
      <formula>"Napkin Hs"</formula>
    </cfRule>
  </conditionalFormatting>
  <conditionalFormatting sqref="C32">
    <cfRule type="cellIs" dxfId="30291" priority="16730" stopIfTrue="1" operator="equal">
      <formula>"Towel"</formula>
    </cfRule>
    <cfRule type="cellIs" dxfId="30290" priority="16731" stopIfTrue="1" operator="equal">
      <formula>"Napkin Hs"</formula>
    </cfRule>
  </conditionalFormatting>
  <conditionalFormatting sqref="B32">
    <cfRule type="cellIs" dxfId="30289" priority="16728" stopIfTrue="1" operator="equal">
      <formula>"Towel"</formula>
    </cfRule>
    <cfRule type="cellIs" dxfId="30288" priority="16729" stopIfTrue="1" operator="equal">
      <formula>"Napkin Hs"</formula>
    </cfRule>
  </conditionalFormatting>
  <conditionalFormatting sqref="C32">
    <cfRule type="cellIs" dxfId="30287" priority="16554" stopIfTrue="1" operator="equal">
      <formula>"Towel"</formula>
    </cfRule>
    <cfRule type="cellIs" dxfId="30286" priority="16555" stopIfTrue="1" operator="equal">
      <formula>"Napkin Hs"</formula>
    </cfRule>
  </conditionalFormatting>
  <conditionalFormatting sqref="C32">
    <cfRule type="cellIs" dxfId="30285" priority="16558" stopIfTrue="1" operator="equal">
      <formula>"Towel"</formula>
    </cfRule>
    <cfRule type="cellIs" dxfId="30284" priority="16559" stopIfTrue="1" operator="equal">
      <formula>"Napkin Hs"</formula>
    </cfRule>
  </conditionalFormatting>
  <conditionalFormatting sqref="C32">
    <cfRule type="cellIs" dxfId="30283" priority="16556" stopIfTrue="1" operator="equal">
      <formula>"Towel"</formula>
    </cfRule>
    <cfRule type="cellIs" dxfId="30282" priority="16557" stopIfTrue="1" operator="equal">
      <formula>"Napkin Hs"</formula>
    </cfRule>
  </conditionalFormatting>
  <conditionalFormatting sqref="C32">
    <cfRule type="cellIs" dxfId="30281" priority="16548" stopIfTrue="1" operator="equal">
      <formula>"Towel"</formula>
    </cfRule>
    <cfRule type="cellIs" dxfId="30280" priority="16549" stopIfTrue="1" operator="equal">
      <formula>"Napkin Hs"</formula>
    </cfRule>
  </conditionalFormatting>
  <conditionalFormatting sqref="C32">
    <cfRule type="cellIs" dxfId="30279" priority="16550" stopIfTrue="1" operator="equal">
      <formula>"Towel"</formula>
    </cfRule>
    <cfRule type="cellIs" dxfId="30278" priority="16551" stopIfTrue="1" operator="equal">
      <formula>"Napkin Hs"</formula>
    </cfRule>
  </conditionalFormatting>
  <conditionalFormatting sqref="C32">
    <cfRule type="cellIs" dxfId="30277" priority="16552" stopIfTrue="1" operator="equal">
      <formula>"Towel"</formula>
    </cfRule>
    <cfRule type="cellIs" dxfId="30276" priority="16553" stopIfTrue="1" operator="equal">
      <formula>"Napkin Hs"</formula>
    </cfRule>
  </conditionalFormatting>
  <conditionalFormatting sqref="B32:C32">
    <cfRule type="cellIs" dxfId="30275" priority="16546" stopIfTrue="1" operator="equal">
      <formula>"Towel"</formula>
    </cfRule>
    <cfRule type="cellIs" dxfId="30274" priority="16547" stopIfTrue="1" operator="equal">
      <formula>"Napkin Hs"</formula>
    </cfRule>
  </conditionalFormatting>
  <conditionalFormatting sqref="B32:C32">
    <cfRule type="cellIs" dxfId="30273" priority="16544" stopIfTrue="1" operator="equal">
      <formula>"Towel"</formula>
    </cfRule>
    <cfRule type="cellIs" dxfId="30272" priority="16545" stopIfTrue="1" operator="equal">
      <formula>"Napkin Hs"</formula>
    </cfRule>
  </conditionalFormatting>
  <conditionalFormatting sqref="B32:C32">
    <cfRule type="cellIs" dxfId="30271" priority="16520" stopIfTrue="1" operator="equal">
      <formula>"Towel"</formula>
    </cfRule>
  </conditionalFormatting>
  <conditionalFormatting sqref="B32:C32">
    <cfRule type="cellIs" dxfId="30270" priority="16521" stopIfTrue="1" operator="equal">
      <formula>"Napkin Hs"</formula>
    </cfRule>
    <cfRule type="cellIs" dxfId="30269" priority="16526" stopIfTrue="1" operator="equal">
      <formula>"Towel"</formula>
    </cfRule>
    <cfRule type="cellIs" dxfId="30268" priority="16527" stopIfTrue="1" operator="equal">
      <formula>"Napkin Hs"</formula>
    </cfRule>
    <cfRule type="cellIs" dxfId="30267" priority="16536" stopIfTrue="1" operator="equal">
      <formula>"Towel"</formula>
    </cfRule>
    <cfRule type="cellIs" dxfId="30266" priority="16537" stopIfTrue="1" operator="equal">
      <formula>"Napkin Hs"</formula>
    </cfRule>
    <cfRule type="cellIs" dxfId="30265" priority="16542" stopIfTrue="1" operator="equal">
      <formula>"Towel"</formula>
    </cfRule>
    <cfRule type="cellIs" dxfId="30264" priority="16543" stopIfTrue="1" operator="equal">
      <formula>"Napkin Hs"</formula>
    </cfRule>
  </conditionalFormatting>
  <conditionalFormatting sqref="C32">
    <cfRule type="cellIs" dxfId="30263" priority="16522" stopIfTrue="1" operator="equal">
      <formula>"Towel"</formula>
    </cfRule>
    <cfRule type="cellIs" dxfId="30262" priority="16523" stopIfTrue="1" operator="equal">
      <formula>"Napkin Hs"</formula>
    </cfRule>
    <cfRule type="cellIs" dxfId="30261" priority="16524" stopIfTrue="1" operator="equal">
      <formula>"Towel"</formula>
    </cfRule>
    <cfRule type="cellIs" dxfId="30260" priority="16525" stopIfTrue="1" operator="equal">
      <formula>"Napkin Hs"</formula>
    </cfRule>
    <cfRule type="cellIs" dxfId="30259" priority="16528" stopIfTrue="1" operator="equal">
      <formula>"Towel"</formula>
    </cfRule>
    <cfRule type="cellIs" dxfId="30258" priority="16529" stopIfTrue="1" operator="equal">
      <formula>"Napkin Hs"</formula>
    </cfRule>
    <cfRule type="cellIs" dxfId="30257" priority="16530" stopIfTrue="1" operator="equal">
      <formula>"Towel"</formula>
    </cfRule>
    <cfRule type="cellIs" dxfId="30256" priority="16531" stopIfTrue="1" operator="equal">
      <formula>"Napkin Hs"</formula>
    </cfRule>
    <cfRule type="cellIs" dxfId="30255" priority="16532" stopIfTrue="1" operator="equal">
      <formula>"Towel"</formula>
    </cfRule>
    <cfRule type="cellIs" dxfId="30254" priority="16533" stopIfTrue="1" operator="equal">
      <formula>"Napkin Hs"</formula>
    </cfRule>
    <cfRule type="cellIs" dxfId="30253" priority="16534" stopIfTrue="1" operator="equal">
      <formula>"Towel"</formula>
    </cfRule>
    <cfRule type="cellIs" dxfId="30252" priority="16535" stopIfTrue="1" operator="equal">
      <formula>"Napkin Hs"</formula>
    </cfRule>
    <cfRule type="cellIs" dxfId="30251" priority="16538" stopIfTrue="1" operator="equal">
      <formula>"Towel"</formula>
    </cfRule>
    <cfRule type="cellIs" dxfId="30250" priority="16539" stopIfTrue="1" operator="equal">
      <formula>"Napkin Hs"</formula>
    </cfRule>
    <cfRule type="cellIs" dxfId="30249" priority="16541" stopIfTrue="1" operator="equal">
      <formula>"Napkin Hs"</formula>
    </cfRule>
  </conditionalFormatting>
  <conditionalFormatting sqref="C32">
    <cfRule type="cellIs" dxfId="30248" priority="16540" stopIfTrue="1" operator="equal">
      <formula>"Towel"</formula>
    </cfRule>
  </conditionalFormatting>
  <conditionalFormatting sqref="B32:C32">
    <cfRule type="cellIs" dxfId="30247" priority="16518" stopIfTrue="1" operator="equal">
      <formula>"Towel"</formula>
    </cfRule>
    <cfRule type="cellIs" dxfId="30246" priority="16519" stopIfTrue="1" operator="equal">
      <formula>"Napkin Hs"</formula>
    </cfRule>
  </conditionalFormatting>
  <conditionalFormatting sqref="C32">
    <cfRule type="cellIs" dxfId="30245" priority="16517" stopIfTrue="1" operator="equal">
      <formula>"Napkin Hs"</formula>
    </cfRule>
  </conditionalFormatting>
  <conditionalFormatting sqref="C32">
    <cfRule type="cellIs" dxfId="30244" priority="16516" stopIfTrue="1" operator="equal">
      <formula>"Towel"</formula>
    </cfRule>
  </conditionalFormatting>
  <conditionalFormatting sqref="C32">
    <cfRule type="cellIs" dxfId="30243" priority="16514" stopIfTrue="1" operator="equal">
      <formula>"Towel"</formula>
    </cfRule>
  </conditionalFormatting>
  <conditionalFormatting sqref="C32">
    <cfRule type="cellIs" dxfId="30242" priority="16515" stopIfTrue="1" operator="equal">
      <formula>"Napkin Hs"</formula>
    </cfRule>
  </conditionalFormatting>
  <conditionalFormatting sqref="B32">
    <cfRule type="cellIs" dxfId="30241" priority="16418" stopIfTrue="1" operator="equal">
      <formula>"Napkin Hs"</formula>
    </cfRule>
  </conditionalFormatting>
  <conditionalFormatting sqref="B32:C32">
    <cfRule type="cellIs" dxfId="30240" priority="16417" stopIfTrue="1" operator="equal">
      <formula>"Towel"</formula>
    </cfRule>
  </conditionalFormatting>
  <conditionalFormatting sqref="B32:C32">
    <cfRule type="cellIs" dxfId="30239" priority="16428" stopIfTrue="1" operator="equal">
      <formula>"Towel"</formula>
    </cfRule>
    <cfRule type="cellIs" dxfId="30238" priority="16429" stopIfTrue="1" operator="equal">
      <formula>"Napkin Hs"</formula>
    </cfRule>
    <cfRule type="cellIs" dxfId="30237" priority="16434" stopIfTrue="1" operator="equal">
      <formula>"Towel"</formula>
    </cfRule>
    <cfRule type="cellIs" dxfId="30236" priority="16435" stopIfTrue="1" operator="equal">
      <formula>"Napkin Hs"</formula>
    </cfRule>
    <cfRule type="cellIs" dxfId="30235" priority="16440" stopIfTrue="1" operator="equal">
      <formula>"Towel"</formula>
    </cfRule>
    <cfRule type="cellIs" dxfId="30234" priority="16441" stopIfTrue="1" operator="equal">
      <formula>"Napkin Hs"</formula>
    </cfRule>
    <cfRule type="cellIs" dxfId="30233" priority="16442" stopIfTrue="1" operator="equal">
      <formula>"Towel"</formula>
    </cfRule>
    <cfRule type="cellIs" dxfId="30232" priority="16443" stopIfTrue="1" operator="equal">
      <formula>"Napkin Hs"</formula>
    </cfRule>
    <cfRule type="cellIs" dxfId="30231" priority="16448" stopIfTrue="1" operator="equal">
      <formula>"Towel"</formula>
    </cfRule>
    <cfRule type="cellIs" dxfId="30230" priority="16449" stopIfTrue="1" operator="equal">
      <formula>"Napkin Hs"</formula>
    </cfRule>
    <cfRule type="cellIs" dxfId="30229" priority="16458" stopIfTrue="1" operator="equal">
      <formula>"Towel"</formula>
    </cfRule>
    <cfRule type="cellIs" dxfId="30228" priority="16459" stopIfTrue="1" operator="equal">
      <formula>"Napkin Hs"</formula>
    </cfRule>
    <cfRule type="cellIs" dxfId="30227" priority="16464" stopIfTrue="1" operator="equal">
      <formula>"Towel"</formula>
    </cfRule>
    <cfRule type="cellIs" dxfId="30226" priority="16465" stopIfTrue="1" operator="equal">
      <formula>"Napkin Hs"</formula>
    </cfRule>
    <cfRule type="cellIs" dxfId="30225" priority="16466" stopIfTrue="1" operator="equal">
      <formula>"Towel"</formula>
    </cfRule>
    <cfRule type="cellIs" dxfId="30224" priority="16467" stopIfTrue="1" operator="equal">
      <formula>"Napkin Hs"</formula>
    </cfRule>
    <cfRule type="cellIs" dxfId="30223" priority="16472" stopIfTrue="1" operator="equal">
      <formula>"Towel"</formula>
    </cfRule>
    <cfRule type="cellIs" dxfId="30222" priority="16473" stopIfTrue="1" operator="equal">
      <formula>"Napkin Hs"</formula>
    </cfRule>
    <cfRule type="cellIs" dxfId="30221" priority="16482" stopIfTrue="1" operator="equal">
      <formula>"Towel"</formula>
    </cfRule>
    <cfRule type="cellIs" dxfId="30220" priority="16483" stopIfTrue="1" operator="equal">
      <formula>"Napkin Hs"</formula>
    </cfRule>
    <cfRule type="cellIs" dxfId="30219" priority="16484" stopIfTrue="1" operator="equal">
      <formula>"Towel"</formula>
    </cfRule>
    <cfRule type="cellIs" dxfId="30218" priority="16485" stopIfTrue="1" operator="equal">
      <formula>"Napkin Hs"</formula>
    </cfRule>
    <cfRule type="cellIs" dxfId="30217" priority="16490" stopIfTrue="1" operator="equal">
      <formula>"Towel"</formula>
    </cfRule>
    <cfRule type="cellIs" dxfId="30216" priority="16491" stopIfTrue="1" operator="equal">
      <formula>"Napkin Hs"</formula>
    </cfRule>
    <cfRule type="cellIs" dxfId="30215" priority="16500" stopIfTrue="1" operator="equal">
      <formula>"Towel"</formula>
    </cfRule>
    <cfRule type="cellIs" dxfId="30214" priority="16501" stopIfTrue="1" operator="equal">
      <formula>"Napkin Hs"</formula>
    </cfRule>
    <cfRule type="cellIs" dxfId="30213" priority="16502" stopIfTrue="1" operator="equal">
      <formula>"Towel"</formula>
    </cfRule>
    <cfRule type="cellIs" dxfId="30212" priority="16503" stopIfTrue="1" operator="equal">
      <formula>"Napkin Hs"</formula>
    </cfRule>
    <cfRule type="cellIs" dxfId="30211" priority="16509" stopIfTrue="1" operator="equal">
      <formula>"Napkin Hs"</formula>
    </cfRule>
  </conditionalFormatting>
  <conditionalFormatting sqref="B32:C32">
    <cfRule type="cellIs" dxfId="30210" priority="16508" stopIfTrue="1" operator="equal">
      <formula>"Towel"</formula>
    </cfRule>
  </conditionalFormatting>
  <conditionalFormatting sqref="C32">
    <cfRule type="cellIs" dxfId="30209" priority="16419" stopIfTrue="1" operator="equal">
      <formula>"Napkin Hs"</formula>
    </cfRule>
    <cfRule type="cellIs" dxfId="30208" priority="16420" stopIfTrue="1" operator="equal">
      <formula>"Towel"</formula>
    </cfRule>
    <cfRule type="cellIs" dxfId="30207" priority="16421" stopIfTrue="1" operator="equal">
      <formula>"Napkin Hs"</formula>
    </cfRule>
    <cfRule type="cellIs" dxfId="30206" priority="16422" stopIfTrue="1" operator="equal">
      <formula>"Towel"</formula>
    </cfRule>
    <cfRule type="cellIs" dxfId="30205" priority="16423" stopIfTrue="1" operator="equal">
      <formula>"Napkin Hs"</formula>
    </cfRule>
    <cfRule type="cellIs" dxfId="30204" priority="16424" stopIfTrue="1" operator="equal">
      <formula>"Towel"</formula>
    </cfRule>
    <cfRule type="cellIs" dxfId="30203" priority="16425" stopIfTrue="1" operator="equal">
      <formula>"Napkin Hs"</formula>
    </cfRule>
    <cfRule type="cellIs" dxfId="30202" priority="16426" stopIfTrue="1" operator="equal">
      <formula>"Towel"</formula>
    </cfRule>
    <cfRule type="cellIs" dxfId="30201" priority="16427" stopIfTrue="1" operator="equal">
      <formula>"Napkin Hs"</formula>
    </cfRule>
    <cfRule type="cellIs" dxfId="30200" priority="16430" stopIfTrue="1" operator="equal">
      <formula>"Towel"</formula>
    </cfRule>
    <cfRule type="cellIs" dxfId="30199" priority="16431" stopIfTrue="1" operator="equal">
      <formula>"Napkin Hs"</formula>
    </cfRule>
    <cfRule type="cellIs" dxfId="30198" priority="16432" stopIfTrue="1" operator="equal">
      <formula>"Towel"</formula>
    </cfRule>
    <cfRule type="cellIs" dxfId="30197" priority="16433" stopIfTrue="1" operator="equal">
      <formula>"Napkin Hs"</formula>
    </cfRule>
    <cfRule type="cellIs" dxfId="30196" priority="16436" stopIfTrue="1" operator="equal">
      <formula>"Towel"</formula>
    </cfRule>
    <cfRule type="cellIs" dxfId="30195" priority="16437" stopIfTrue="1" operator="equal">
      <formula>"Napkin Hs"</formula>
    </cfRule>
    <cfRule type="cellIs" dxfId="30194" priority="16438" stopIfTrue="1" operator="equal">
      <formula>"Towel"</formula>
    </cfRule>
    <cfRule type="cellIs" dxfId="30193" priority="16439" stopIfTrue="1" operator="equal">
      <formula>"Napkin Hs"</formula>
    </cfRule>
    <cfRule type="cellIs" dxfId="30192" priority="16444" stopIfTrue="1" operator="equal">
      <formula>"Towel"</formula>
    </cfRule>
    <cfRule type="cellIs" dxfId="30191" priority="16445" stopIfTrue="1" operator="equal">
      <formula>"Napkin Hs"</formula>
    </cfRule>
    <cfRule type="cellIs" dxfId="30190" priority="16446" stopIfTrue="1" operator="equal">
      <formula>"Towel"</formula>
    </cfRule>
    <cfRule type="cellIs" dxfId="30189" priority="16447" stopIfTrue="1" operator="equal">
      <formula>"Napkin Hs"</formula>
    </cfRule>
    <cfRule type="cellIs" dxfId="30188" priority="16450" stopIfTrue="1" operator="equal">
      <formula>"Towel"</formula>
    </cfRule>
    <cfRule type="cellIs" dxfId="30187" priority="16451" stopIfTrue="1" operator="equal">
      <formula>"Napkin Hs"</formula>
    </cfRule>
    <cfRule type="cellIs" dxfId="30186" priority="16452" stopIfTrue="1" operator="equal">
      <formula>"Towel"</formula>
    </cfRule>
    <cfRule type="cellIs" dxfId="30185" priority="16453" stopIfTrue="1" operator="equal">
      <formula>"Napkin Hs"</formula>
    </cfRule>
    <cfRule type="cellIs" dxfId="30184" priority="16454" stopIfTrue="1" operator="equal">
      <formula>"Towel"</formula>
    </cfRule>
    <cfRule type="cellIs" dxfId="30183" priority="16455" stopIfTrue="1" operator="equal">
      <formula>"Napkin Hs"</formula>
    </cfRule>
    <cfRule type="cellIs" dxfId="30182" priority="16456" stopIfTrue="1" operator="equal">
      <formula>"Towel"</formula>
    </cfRule>
    <cfRule type="cellIs" dxfId="30181" priority="16457" stopIfTrue="1" operator="equal">
      <formula>"Napkin Hs"</formula>
    </cfRule>
    <cfRule type="cellIs" dxfId="30180" priority="16460" stopIfTrue="1" operator="equal">
      <formula>"Towel"</formula>
    </cfRule>
    <cfRule type="cellIs" dxfId="30179" priority="16461" stopIfTrue="1" operator="equal">
      <formula>"Napkin Hs"</formula>
    </cfRule>
    <cfRule type="cellIs" dxfId="30178" priority="16462" stopIfTrue="1" operator="equal">
      <formula>"Towel"</formula>
    </cfRule>
    <cfRule type="cellIs" dxfId="30177" priority="16463" stopIfTrue="1" operator="equal">
      <formula>"Napkin Hs"</formula>
    </cfRule>
    <cfRule type="cellIs" dxfId="30176" priority="16468" stopIfTrue="1" operator="equal">
      <formula>"Towel"</formula>
    </cfRule>
    <cfRule type="cellIs" dxfId="30175" priority="16469" stopIfTrue="1" operator="equal">
      <formula>"Napkin Hs"</formula>
    </cfRule>
    <cfRule type="cellIs" dxfId="30174" priority="16470" stopIfTrue="1" operator="equal">
      <formula>"Towel"</formula>
    </cfRule>
    <cfRule type="cellIs" dxfId="30173" priority="16471" stopIfTrue="1" operator="equal">
      <formula>"Napkin Hs"</formula>
    </cfRule>
    <cfRule type="cellIs" dxfId="30172" priority="16474" stopIfTrue="1" operator="equal">
      <formula>"Towel"</formula>
    </cfRule>
    <cfRule type="cellIs" dxfId="30171" priority="16475" stopIfTrue="1" operator="equal">
      <formula>"Napkin Hs"</formula>
    </cfRule>
    <cfRule type="cellIs" dxfId="30170" priority="16476" stopIfTrue="1" operator="equal">
      <formula>"Towel"</formula>
    </cfRule>
    <cfRule type="cellIs" dxfId="30169" priority="16477" stopIfTrue="1" operator="equal">
      <formula>"Napkin Hs"</formula>
    </cfRule>
    <cfRule type="cellIs" dxfId="30168" priority="16478" stopIfTrue="1" operator="equal">
      <formula>"Towel"</formula>
    </cfRule>
    <cfRule type="cellIs" dxfId="30167" priority="16479" stopIfTrue="1" operator="equal">
      <formula>"Napkin Hs"</formula>
    </cfRule>
    <cfRule type="cellIs" dxfId="30166" priority="16480" stopIfTrue="1" operator="equal">
      <formula>"Towel"</formula>
    </cfRule>
    <cfRule type="cellIs" dxfId="30165" priority="16481" stopIfTrue="1" operator="equal">
      <formula>"Napkin Hs"</formula>
    </cfRule>
    <cfRule type="cellIs" dxfId="30164" priority="16486" stopIfTrue="1" operator="equal">
      <formula>"Towel"</formula>
    </cfRule>
    <cfRule type="cellIs" dxfId="30163" priority="16487" stopIfTrue="1" operator="equal">
      <formula>"Napkin Hs"</formula>
    </cfRule>
    <cfRule type="cellIs" dxfId="30162" priority="16488" stopIfTrue="1" operator="equal">
      <formula>"Towel"</formula>
    </cfRule>
    <cfRule type="cellIs" dxfId="30161" priority="16489" stopIfTrue="1" operator="equal">
      <formula>"Napkin Hs"</formula>
    </cfRule>
    <cfRule type="cellIs" dxfId="30160" priority="16492" stopIfTrue="1" operator="equal">
      <formula>"Towel"</formula>
    </cfRule>
    <cfRule type="cellIs" dxfId="30159" priority="16493" stopIfTrue="1" operator="equal">
      <formula>"Napkin Hs"</formula>
    </cfRule>
    <cfRule type="cellIs" dxfId="30158" priority="16494" stopIfTrue="1" operator="equal">
      <formula>"Towel"</formula>
    </cfRule>
    <cfRule type="cellIs" dxfId="30157" priority="16495" stopIfTrue="1" operator="equal">
      <formula>"Napkin Hs"</formula>
    </cfRule>
    <cfRule type="cellIs" dxfId="30156" priority="16496" stopIfTrue="1" operator="equal">
      <formula>"Towel"</formula>
    </cfRule>
    <cfRule type="cellIs" dxfId="30155" priority="16497" stopIfTrue="1" operator="equal">
      <formula>"Napkin Hs"</formula>
    </cfRule>
    <cfRule type="cellIs" dxfId="30154" priority="16498" stopIfTrue="1" operator="equal">
      <formula>"Towel"</formula>
    </cfRule>
    <cfRule type="cellIs" dxfId="30153" priority="16499" stopIfTrue="1" operator="equal">
      <formula>"Napkin Hs"</formula>
    </cfRule>
    <cfRule type="cellIs" dxfId="30152" priority="16504" stopIfTrue="1" operator="equal">
      <formula>"Towel"</formula>
    </cfRule>
    <cfRule type="cellIs" dxfId="30151" priority="16505" stopIfTrue="1" operator="equal">
      <formula>"Napkin Hs"</formula>
    </cfRule>
    <cfRule type="cellIs" dxfId="30150" priority="16506" stopIfTrue="1" operator="equal">
      <formula>"Towel"</formula>
    </cfRule>
    <cfRule type="cellIs" dxfId="30149" priority="16507" stopIfTrue="1" operator="equal">
      <formula>"Napkin Hs"</formula>
    </cfRule>
    <cfRule type="cellIs" dxfId="30148" priority="16510" stopIfTrue="1" operator="equal">
      <formula>"Towel"</formula>
    </cfRule>
    <cfRule type="cellIs" dxfId="30147" priority="16511" stopIfTrue="1" operator="equal">
      <formula>"Napkin Hs"</formula>
    </cfRule>
    <cfRule type="cellIs" dxfId="30146" priority="16512" stopIfTrue="1" operator="equal">
      <formula>"Towel"</formula>
    </cfRule>
    <cfRule type="cellIs" dxfId="30145" priority="16513" stopIfTrue="1" operator="equal">
      <formula>"Napkin Hs"</formula>
    </cfRule>
  </conditionalFormatting>
  <conditionalFormatting sqref="C32">
    <cfRule type="cellIs" dxfId="30144" priority="16416" stopIfTrue="1" operator="equal">
      <formula>"Napkin Hs"</formula>
    </cfRule>
  </conditionalFormatting>
  <conditionalFormatting sqref="C32">
    <cfRule type="cellIs" dxfId="30143" priority="16415" stopIfTrue="1" operator="equal">
      <formula>"Napkin Hs"</formula>
    </cfRule>
  </conditionalFormatting>
  <conditionalFormatting sqref="B32">
    <cfRule type="cellIs" dxfId="30142" priority="16414" stopIfTrue="1" operator="equal">
      <formula>"Napkin Hs"</formula>
    </cfRule>
  </conditionalFormatting>
  <conditionalFormatting sqref="C32">
    <cfRule type="cellIs" dxfId="30141" priority="16413" stopIfTrue="1" operator="equal">
      <formula>"Napkin Hs"</formula>
    </cfRule>
  </conditionalFormatting>
  <conditionalFormatting sqref="C32">
    <cfRule type="cellIs" dxfId="30140" priority="16412" stopIfTrue="1" operator="equal">
      <formula>"Napkin Hs"</formula>
    </cfRule>
  </conditionalFormatting>
  <conditionalFormatting sqref="C32">
    <cfRule type="cellIs" dxfId="30139" priority="16411" stopIfTrue="1" operator="equal">
      <formula>"Napkin Hs"</formula>
    </cfRule>
  </conditionalFormatting>
  <conditionalFormatting sqref="C32">
    <cfRule type="cellIs" dxfId="30138" priority="16410" stopIfTrue="1" operator="equal">
      <formula>"Napkin Hs"</formula>
    </cfRule>
  </conditionalFormatting>
  <conditionalFormatting sqref="B32">
    <cfRule type="cellIs" dxfId="30137" priority="16409" stopIfTrue="1" operator="equal">
      <formula>"Napkin Hs"</formula>
    </cfRule>
  </conditionalFormatting>
  <conditionalFormatting sqref="B32">
    <cfRule type="cellIs" dxfId="30136" priority="16408" stopIfTrue="1" operator="equal">
      <formula>"Napkin Hs"</formula>
    </cfRule>
  </conditionalFormatting>
  <conditionalFormatting sqref="C32">
    <cfRule type="cellIs" dxfId="30135" priority="16404" stopIfTrue="1" operator="equal">
      <formula>"Towel"</formula>
    </cfRule>
    <cfRule type="cellIs" dxfId="30134" priority="16405" stopIfTrue="1" operator="equal">
      <formula>"Napkin Hs"</formula>
    </cfRule>
  </conditionalFormatting>
  <conditionalFormatting sqref="C32">
    <cfRule type="cellIs" dxfId="30133" priority="16406" stopIfTrue="1" operator="equal">
      <formula>"Towel"</formula>
    </cfRule>
    <cfRule type="cellIs" dxfId="30132" priority="16407" stopIfTrue="1" operator="equal">
      <formula>"Napkin Hs"</formula>
    </cfRule>
  </conditionalFormatting>
  <conditionalFormatting sqref="C32">
    <cfRule type="cellIs" dxfId="30131" priority="16400" stopIfTrue="1" operator="equal">
      <formula>"Towel"</formula>
    </cfRule>
    <cfRule type="cellIs" dxfId="30130" priority="16401" stopIfTrue="1" operator="equal">
      <formula>"Napkin Hs"</formula>
    </cfRule>
  </conditionalFormatting>
  <conditionalFormatting sqref="C32">
    <cfRule type="cellIs" dxfId="30129" priority="16402" stopIfTrue="1" operator="equal">
      <formula>"Towel"</formula>
    </cfRule>
    <cfRule type="cellIs" dxfId="30128" priority="16403" stopIfTrue="1" operator="equal">
      <formula>"Napkin Hs"</formula>
    </cfRule>
  </conditionalFormatting>
  <conditionalFormatting sqref="C30">
    <cfRule type="cellIs" dxfId="30127" priority="16228" stopIfTrue="1" operator="equal">
      <formula>"Towel"</formula>
    </cfRule>
    <cfRule type="cellIs" dxfId="30126" priority="16229" stopIfTrue="1" operator="equal">
      <formula>"Napkin Hs"</formula>
    </cfRule>
  </conditionalFormatting>
  <conditionalFormatting sqref="C30">
    <cfRule type="cellIs" dxfId="30125" priority="16230" stopIfTrue="1" operator="equal">
      <formula>"Towel"</formula>
    </cfRule>
    <cfRule type="cellIs" dxfId="30124" priority="16231" stopIfTrue="1" operator="equal">
      <formula>"Napkin Hs"</formula>
    </cfRule>
  </conditionalFormatting>
  <conditionalFormatting sqref="C30">
    <cfRule type="cellIs" dxfId="30123" priority="16226" stopIfTrue="1" operator="equal">
      <formula>"Towel"</formula>
    </cfRule>
    <cfRule type="cellIs" dxfId="30122" priority="16227" stopIfTrue="1" operator="equal">
      <formula>"Napkin Hs"</formula>
    </cfRule>
  </conditionalFormatting>
  <conditionalFormatting sqref="B30">
    <cfRule type="cellIs" dxfId="30121" priority="16224" stopIfTrue="1" operator="equal">
      <formula>"Towel"</formula>
    </cfRule>
    <cfRule type="cellIs" dxfId="30120" priority="16225" stopIfTrue="1" operator="equal">
      <formula>"Napkin Hs"</formula>
    </cfRule>
  </conditionalFormatting>
  <conditionalFormatting sqref="C30">
    <cfRule type="cellIs" dxfId="30119" priority="16218" stopIfTrue="1" operator="equal">
      <formula>"Towel"</formula>
    </cfRule>
    <cfRule type="cellIs" dxfId="30118" priority="16219" stopIfTrue="1" operator="equal">
      <formula>"Napkin Hs"</formula>
    </cfRule>
  </conditionalFormatting>
  <conditionalFormatting sqref="C30">
    <cfRule type="cellIs" dxfId="30117" priority="16222" stopIfTrue="1" operator="equal">
      <formula>"Towel"</formula>
    </cfRule>
    <cfRule type="cellIs" dxfId="30116" priority="16223" stopIfTrue="1" operator="equal">
      <formula>"Napkin Hs"</formula>
    </cfRule>
  </conditionalFormatting>
  <conditionalFormatting sqref="C30">
    <cfRule type="cellIs" dxfId="30115" priority="16220" stopIfTrue="1" operator="equal">
      <formula>"Towel"</formula>
    </cfRule>
    <cfRule type="cellIs" dxfId="30114" priority="16221" stopIfTrue="1" operator="equal">
      <formula>"Napkin Hs"</formula>
    </cfRule>
  </conditionalFormatting>
  <conditionalFormatting sqref="C30">
    <cfRule type="cellIs" dxfId="30113" priority="16212" stopIfTrue="1" operator="equal">
      <formula>"Towel"</formula>
    </cfRule>
    <cfRule type="cellIs" dxfId="30112" priority="16213" stopIfTrue="1" operator="equal">
      <formula>"Napkin Hs"</formula>
    </cfRule>
  </conditionalFormatting>
  <conditionalFormatting sqref="C30">
    <cfRule type="cellIs" dxfId="30111" priority="16214" stopIfTrue="1" operator="equal">
      <formula>"Towel"</formula>
    </cfRule>
    <cfRule type="cellIs" dxfId="30110" priority="16215" stopIfTrue="1" operator="equal">
      <formula>"Napkin Hs"</formula>
    </cfRule>
  </conditionalFormatting>
  <conditionalFormatting sqref="C30">
    <cfRule type="cellIs" dxfId="30109" priority="16216" stopIfTrue="1" operator="equal">
      <formula>"Towel"</formula>
    </cfRule>
    <cfRule type="cellIs" dxfId="30108" priority="16217" stopIfTrue="1" operator="equal">
      <formula>"Napkin Hs"</formula>
    </cfRule>
  </conditionalFormatting>
  <conditionalFormatting sqref="B30:C30">
    <cfRule type="cellIs" dxfId="30107" priority="16210" stopIfTrue="1" operator="equal">
      <formula>"Towel"</formula>
    </cfRule>
    <cfRule type="cellIs" dxfId="30106" priority="16211" stopIfTrue="1" operator="equal">
      <formula>"Napkin Hs"</formula>
    </cfRule>
  </conditionalFormatting>
  <conditionalFormatting sqref="B30:C30">
    <cfRule type="cellIs" dxfId="30105" priority="16208" stopIfTrue="1" operator="equal">
      <formula>"Towel"</formula>
    </cfRule>
    <cfRule type="cellIs" dxfId="30104" priority="16209" stopIfTrue="1" operator="equal">
      <formula>"Napkin Hs"</formula>
    </cfRule>
  </conditionalFormatting>
  <conditionalFormatting sqref="B30:C30">
    <cfRule type="cellIs" dxfId="30103" priority="16184" stopIfTrue="1" operator="equal">
      <formula>"Towel"</formula>
    </cfRule>
  </conditionalFormatting>
  <conditionalFormatting sqref="B30:C30">
    <cfRule type="cellIs" dxfId="30102" priority="16185" stopIfTrue="1" operator="equal">
      <formula>"Napkin Hs"</formula>
    </cfRule>
    <cfRule type="cellIs" dxfId="30101" priority="16190" stopIfTrue="1" operator="equal">
      <formula>"Towel"</formula>
    </cfRule>
    <cfRule type="cellIs" dxfId="30100" priority="16191" stopIfTrue="1" operator="equal">
      <formula>"Napkin Hs"</formula>
    </cfRule>
    <cfRule type="cellIs" dxfId="30099" priority="16200" stopIfTrue="1" operator="equal">
      <formula>"Towel"</formula>
    </cfRule>
    <cfRule type="cellIs" dxfId="30098" priority="16201" stopIfTrue="1" operator="equal">
      <formula>"Napkin Hs"</formula>
    </cfRule>
    <cfRule type="cellIs" dxfId="30097" priority="16206" stopIfTrue="1" operator="equal">
      <formula>"Towel"</formula>
    </cfRule>
    <cfRule type="cellIs" dxfId="30096" priority="16207" stopIfTrue="1" operator="equal">
      <formula>"Napkin Hs"</formula>
    </cfRule>
  </conditionalFormatting>
  <conditionalFormatting sqref="C30">
    <cfRule type="cellIs" dxfId="30095" priority="16186" stopIfTrue="1" operator="equal">
      <formula>"Towel"</formula>
    </cfRule>
    <cfRule type="cellIs" dxfId="30094" priority="16187" stopIfTrue="1" operator="equal">
      <formula>"Napkin Hs"</formula>
    </cfRule>
    <cfRule type="cellIs" dxfId="30093" priority="16188" stopIfTrue="1" operator="equal">
      <formula>"Towel"</formula>
    </cfRule>
    <cfRule type="cellIs" dxfId="30092" priority="16189" stopIfTrue="1" operator="equal">
      <formula>"Napkin Hs"</formula>
    </cfRule>
    <cfRule type="cellIs" dxfId="30091" priority="16192" stopIfTrue="1" operator="equal">
      <formula>"Towel"</formula>
    </cfRule>
    <cfRule type="cellIs" dxfId="30090" priority="16193" stopIfTrue="1" operator="equal">
      <formula>"Napkin Hs"</formula>
    </cfRule>
    <cfRule type="cellIs" dxfId="30089" priority="16194" stopIfTrue="1" operator="equal">
      <formula>"Towel"</formula>
    </cfRule>
    <cfRule type="cellIs" dxfId="30088" priority="16195" stopIfTrue="1" operator="equal">
      <formula>"Napkin Hs"</formula>
    </cfRule>
    <cfRule type="cellIs" dxfId="30087" priority="16196" stopIfTrue="1" operator="equal">
      <formula>"Towel"</formula>
    </cfRule>
    <cfRule type="cellIs" dxfId="30086" priority="16197" stopIfTrue="1" operator="equal">
      <formula>"Napkin Hs"</formula>
    </cfRule>
    <cfRule type="cellIs" dxfId="30085" priority="16198" stopIfTrue="1" operator="equal">
      <formula>"Towel"</formula>
    </cfRule>
    <cfRule type="cellIs" dxfId="30084" priority="16199" stopIfTrue="1" operator="equal">
      <formula>"Napkin Hs"</formula>
    </cfRule>
    <cfRule type="cellIs" dxfId="30083" priority="16202" stopIfTrue="1" operator="equal">
      <formula>"Towel"</formula>
    </cfRule>
    <cfRule type="cellIs" dxfId="30082" priority="16203" stopIfTrue="1" operator="equal">
      <formula>"Napkin Hs"</formula>
    </cfRule>
    <cfRule type="cellIs" dxfId="30081" priority="16205" stopIfTrue="1" operator="equal">
      <formula>"Napkin Hs"</formula>
    </cfRule>
  </conditionalFormatting>
  <conditionalFormatting sqref="C30">
    <cfRule type="cellIs" dxfId="30080" priority="16204" stopIfTrue="1" operator="equal">
      <formula>"Towel"</formula>
    </cfRule>
  </conditionalFormatting>
  <conditionalFormatting sqref="B30:C30">
    <cfRule type="cellIs" dxfId="30079" priority="16182" stopIfTrue="1" operator="equal">
      <formula>"Towel"</formula>
    </cfRule>
    <cfRule type="cellIs" dxfId="30078" priority="16183" stopIfTrue="1" operator="equal">
      <formula>"Napkin Hs"</formula>
    </cfRule>
  </conditionalFormatting>
  <conditionalFormatting sqref="C30">
    <cfRule type="cellIs" dxfId="30077" priority="16181" stopIfTrue="1" operator="equal">
      <formula>"Napkin Hs"</formula>
    </cfRule>
  </conditionalFormatting>
  <conditionalFormatting sqref="C30">
    <cfRule type="cellIs" dxfId="30076" priority="16180" stopIfTrue="1" operator="equal">
      <formula>"Towel"</formula>
    </cfRule>
  </conditionalFormatting>
  <conditionalFormatting sqref="C30">
    <cfRule type="cellIs" dxfId="30075" priority="16178" stopIfTrue="1" operator="equal">
      <formula>"Towel"</formula>
    </cfRule>
  </conditionalFormatting>
  <conditionalFormatting sqref="C30">
    <cfRule type="cellIs" dxfId="30074" priority="16179" stopIfTrue="1" operator="equal">
      <formula>"Napkin Hs"</formula>
    </cfRule>
  </conditionalFormatting>
  <conditionalFormatting sqref="B30">
    <cfRule type="cellIs" dxfId="30073" priority="16082" stopIfTrue="1" operator="equal">
      <formula>"Napkin Hs"</formula>
    </cfRule>
  </conditionalFormatting>
  <conditionalFormatting sqref="B30:C30">
    <cfRule type="cellIs" dxfId="30072" priority="16081" stopIfTrue="1" operator="equal">
      <formula>"Towel"</formula>
    </cfRule>
  </conditionalFormatting>
  <conditionalFormatting sqref="B30:C30">
    <cfRule type="cellIs" dxfId="30071" priority="16092" stopIfTrue="1" operator="equal">
      <formula>"Towel"</formula>
    </cfRule>
    <cfRule type="cellIs" dxfId="30070" priority="16093" stopIfTrue="1" operator="equal">
      <formula>"Napkin Hs"</formula>
    </cfRule>
    <cfRule type="cellIs" dxfId="30069" priority="16098" stopIfTrue="1" operator="equal">
      <formula>"Towel"</formula>
    </cfRule>
    <cfRule type="cellIs" dxfId="30068" priority="16099" stopIfTrue="1" operator="equal">
      <formula>"Napkin Hs"</formula>
    </cfRule>
    <cfRule type="cellIs" dxfId="30067" priority="16104" stopIfTrue="1" operator="equal">
      <formula>"Towel"</formula>
    </cfRule>
    <cfRule type="cellIs" dxfId="30066" priority="16105" stopIfTrue="1" operator="equal">
      <formula>"Napkin Hs"</formula>
    </cfRule>
    <cfRule type="cellIs" dxfId="30065" priority="16106" stopIfTrue="1" operator="equal">
      <formula>"Towel"</formula>
    </cfRule>
    <cfRule type="cellIs" dxfId="30064" priority="16107" stopIfTrue="1" operator="equal">
      <formula>"Napkin Hs"</formula>
    </cfRule>
    <cfRule type="cellIs" dxfId="30063" priority="16112" stopIfTrue="1" operator="equal">
      <formula>"Towel"</formula>
    </cfRule>
    <cfRule type="cellIs" dxfId="30062" priority="16113" stopIfTrue="1" operator="equal">
      <formula>"Napkin Hs"</formula>
    </cfRule>
    <cfRule type="cellIs" dxfId="30061" priority="16122" stopIfTrue="1" operator="equal">
      <formula>"Towel"</formula>
    </cfRule>
    <cfRule type="cellIs" dxfId="30060" priority="16123" stopIfTrue="1" operator="equal">
      <formula>"Napkin Hs"</formula>
    </cfRule>
    <cfRule type="cellIs" dxfId="30059" priority="16128" stopIfTrue="1" operator="equal">
      <formula>"Towel"</formula>
    </cfRule>
    <cfRule type="cellIs" dxfId="30058" priority="16129" stopIfTrue="1" operator="equal">
      <formula>"Napkin Hs"</formula>
    </cfRule>
    <cfRule type="cellIs" dxfId="30057" priority="16130" stopIfTrue="1" operator="equal">
      <formula>"Towel"</formula>
    </cfRule>
    <cfRule type="cellIs" dxfId="30056" priority="16131" stopIfTrue="1" operator="equal">
      <formula>"Napkin Hs"</formula>
    </cfRule>
    <cfRule type="cellIs" dxfId="30055" priority="16136" stopIfTrue="1" operator="equal">
      <formula>"Towel"</formula>
    </cfRule>
    <cfRule type="cellIs" dxfId="30054" priority="16137" stopIfTrue="1" operator="equal">
      <formula>"Napkin Hs"</formula>
    </cfRule>
    <cfRule type="cellIs" dxfId="30053" priority="16146" stopIfTrue="1" operator="equal">
      <formula>"Towel"</formula>
    </cfRule>
    <cfRule type="cellIs" dxfId="30052" priority="16147" stopIfTrue="1" operator="equal">
      <formula>"Napkin Hs"</formula>
    </cfRule>
    <cfRule type="cellIs" dxfId="30051" priority="16148" stopIfTrue="1" operator="equal">
      <formula>"Towel"</formula>
    </cfRule>
    <cfRule type="cellIs" dxfId="30050" priority="16149" stopIfTrue="1" operator="equal">
      <formula>"Napkin Hs"</formula>
    </cfRule>
    <cfRule type="cellIs" dxfId="30049" priority="16154" stopIfTrue="1" operator="equal">
      <formula>"Towel"</formula>
    </cfRule>
    <cfRule type="cellIs" dxfId="30048" priority="16155" stopIfTrue="1" operator="equal">
      <formula>"Napkin Hs"</formula>
    </cfRule>
    <cfRule type="cellIs" dxfId="30047" priority="16164" stopIfTrue="1" operator="equal">
      <formula>"Towel"</formula>
    </cfRule>
    <cfRule type="cellIs" dxfId="30046" priority="16165" stopIfTrue="1" operator="equal">
      <formula>"Napkin Hs"</formula>
    </cfRule>
    <cfRule type="cellIs" dxfId="30045" priority="16166" stopIfTrue="1" operator="equal">
      <formula>"Towel"</formula>
    </cfRule>
    <cfRule type="cellIs" dxfId="30044" priority="16167" stopIfTrue="1" operator="equal">
      <formula>"Napkin Hs"</formula>
    </cfRule>
    <cfRule type="cellIs" dxfId="30043" priority="16173" stopIfTrue="1" operator="equal">
      <formula>"Napkin Hs"</formula>
    </cfRule>
  </conditionalFormatting>
  <conditionalFormatting sqref="B30:C30">
    <cfRule type="cellIs" dxfId="30042" priority="16172" stopIfTrue="1" operator="equal">
      <formula>"Towel"</formula>
    </cfRule>
  </conditionalFormatting>
  <conditionalFormatting sqref="C30">
    <cfRule type="cellIs" dxfId="30041" priority="16083" stopIfTrue="1" operator="equal">
      <formula>"Napkin Hs"</formula>
    </cfRule>
    <cfRule type="cellIs" dxfId="30040" priority="16084" stopIfTrue="1" operator="equal">
      <formula>"Towel"</formula>
    </cfRule>
    <cfRule type="cellIs" dxfId="30039" priority="16085" stopIfTrue="1" operator="equal">
      <formula>"Napkin Hs"</formula>
    </cfRule>
    <cfRule type="cellIs" dxfId="30038" priority="16086" stopIfTrue="1" operator="equal">
      <formula>"Towel"</formula>
    </cfRule>
    <cfRule type="cellIs" dxfId="30037" priority="16087" stopIfTrue="1" operator="equal">
      <formula>"Napkin Hs"</formula>
    </cfRule>
    <cfRule type="cellIs" dxfId="30036" priority="16088" stopIfTrue="1" operator="equal">
      <formula>"Towel"</formula>
    </cfRule>
    <cfRule type="cellIs" dxfId="30035" priority="16089" stopIfTrue="1" operator="equal">
      <formula>"Napkin Hs"</formula>
    </cfRule>
    <cfRule type="cellIs" dxfId="30034" priority="16090" stopIfTrue="1" operator="equal">
      <formula>"Towel"</formula>
    </cfRule>
    <cfRule type="cellIs" dxfId="30033" priority="16091" stopIfTrue="1" operator="equal">
      <formula>"Napkin Hs"</formula>
    </cfRule>
    <cfRule type="cellIs" dxfId="30032" priority="16094" stopIfTrue="1" operator="equal">
      <formula>"Towel"</formula>
    </cfRule>
    <cfRule type="cellIs" dxfId="30031" priority="16095" stopIfTrue="1" operator="equal">
      <formula>"Napkin Hs"</formula>
    </cfRule>
    <cfRule type="cellIs" dxfId="30030" priority="16096" stopIfTrue="1" operator="equal">
      <formula>"Towel"</formula>
    </cfRule>
    <cfRule type="cellIs" dxfId="30029" priority="16097" stopIfTrue="1" operator="equal">
      <formula>"Napkin Hs"</formula>
    </cfRule>
    <cfRule type="cellIs" dxfId="30028" priority="16100" stopIfTrue="1" operator="equal">
      <formula>"Towel"</formula>
    </cfRule>
    <cfRule type="cellIs" dxfId="30027" priority="16101" stopIfTrue="1" operator="equal">
      <formula>"Napkin Hs"</formula>
    </cfRule>
    <cfRule type="cellIs" dxfId="30026" priority="16102" stopIfTrue="1" operator="equal">
      <formula>"Towel"</formula>
    </cfRule>
    <cfRule type="cellIs" dxfId="30025" priority="16103" stopIfTrue="1" operator="equal">
      <formula>"Napkin Hs"</formula>
    </cfRule>
    <cfRule type="cellIs" dxfId="30024" priority="16108" stopIfTrue="1" operator="equal">
      <formula>"Towel"</formula>
    </cfRule>
    <cfRule type="cellIs" dxfId="30023" priority="16109" stopIfTrue="1" operator="equal">
      <formula>"Napkin Hs"</formula>
    </cfRule>
    <cfRule type="cellIs" dxfId="30022" priority="16110" stopIfTrue="1" operator="equal">
      <formula>"Towel"</formula>
    </cfRule>
    <cfRule type="cellIs" dxfId="30021" priority="16111" stopIfTrue="1" operator="equal">
      <formula>"Napkin Hs"</formula>
    </cfRule>
    <cfRule type="cellIs" dxfId="30020" priority="16114" stopIfTrue="1" operator="equal">
      <formula>"Towel"</formula>
    </cfRule>
    <cfRule type="cellIs" dxfId="30019" priority="16115" stopIfTrue="1" operator="equal">
      <formula>"Napkin Hs"</formula>
    </cfRule>
    <cfRule type="cellIs" dxfId="30018" priority="16116" stopIfTrue="1" operator="equal">
      <formula>"Towel"</formula>
    </cfRule>
    <cfRule type="cellIs" dxfId="30017" priority="16117" stopIfTrue="1" operator="equal">
      <formula>"Napkin Hs"</formula>
    </cfRule>
    <cfRule type="cellIs" dxfId="30016" priority="16118" stopIfTrue="1" operator="equal">
      <formula>"Towel"</formula>
    </cfRule>
    <cfRule type="cellIs" dxfId="30015" priority="16119" stopIfTrue="1" operator="equal">
      <formula>"Napkin Hs"</formula>
    </cfRule>
    <cfRule type="cellIs" dxfId="30014" priority="16120" stopIfTrue="1" operator="equal">
      <formula>"Towel"</formula>
    </cfRule>
    <cfRule type="cellIs" dxfId="30013" priority="16121" stopIfTrue="1" operator="equal">
      <formula>"Napkin Hs"</formula>
    </cfRule>
    <cfRule type="cellIs" dxfId="30012" priority="16124" stopIfTrue="1" operator="equal">
      <formula>"Towel"</formula>
    </cfRule>
    <cfRule type="cellIs" dxfId="30011" priority="16125" stopIfTrue="1" operator="equal">
      <formula>"Napkin Hs"</formula>
    </cfRule>
    <cfRule type="cellIs" dxfId="30010" priority="16126" stopIfTrue="1" operator="equal">
      <formula>"Towel"</formula>
    </cfRule>
    <cfRule type="cellIs" dxfId="30009" priority="16127" stopIfTrue="1" operator="equal">
      <formula>"Napkin Hs"</formula>
    </cfRule>
    <cfRule type="cellIs" dxfId="30008" priority="16132" stopIfTrue="1" operator="equal">
      <formula>"Towel"</formula>
    </cfRule>
    <cfRule type="cellIs" dxfId="30007" priority="16133" stopIfTrue="1" operator="equal">
      <formula>"Napkin Hs"</formula>
    </cfRule>
    <cfRule type="cellIs" dxfId="30006" priority="16134" stopIfTrue="1" operator="equal">
      <formula>"Towel"</formula>
    </cfRule>
    <cfRule type="cellIs" dxfId="30005" priority="16135" stopIfTrue="1" operator="equal">
      <formula>"Napkin Hs"</formula>
    </cfRule>
    <cfRule type="cellIs" dxfId="30004" priority="16138" stopIfTrue="1" operator="equal">
      <formula>"Towel"</formula>
    </cfRule>
    <cfRule type="cellIs" dxfId="30003" priority="16139" stopIfTrue="1" operator="equal">
      <formula>"Napkin Hs"</formula>
    </cfRule>
    <cfRule type="cellIs" dxfId="30002" priority="16140" stopIfTrue="1" operator="equal">
      <formula>"Towel"</formula>
    </cfRule>
    <cfRule type="cellIs" dxfId="30001" priority="16141" stopIfTrue="1" operator="equal">
      <formula>"Napkin Hs"</formula>
    </cfRule>
    <cfRule type="cellIs" dxfId="30000" priority="16142" stopIfTrue="1" operator="equal">
      <formula>"Towel"</formula>
    </cfRule>
    <cfRule type="cellIs" dxfId="29999" priority="16143" stopIfTrue="1" operator="equal">
      <formula>"Napkin Hs"</formula>
    </cfRule>
    <cfRule type="cellIs" dxfId="29998" priority="16144" stopIfTrue="1" operator="equal">
      <formula>"Towel"</formula>
    </cfRule>
    <cfRule type="cellIs" dxfId="29997" priority="16145" stopIfTrue="1" operator="equal">
      <formula>"Napkin Hs"</formula>
    </cfRule>
    <cfRule type="cellIs" dxfId="29996" priority="16150" stopIfTrue="1" operator="equal">
      <formula>"Towel"</formula>
    </cfRule>
    <cfRule type="cellIs" dxfId="29995" priority="16151" stopIfTrue="1" operator="equal">
      <formula>"Napkin Hs"</formula>
    </cfRule>
    <cfRule type="cellIs" dxfId="29994" priority="16152" stopIfTrue="1" operator="equal">
      <formula>"Towel"</formula>
    </cfRule>
    <cfRule type="cellIs" dxfId="29993" priority="16153" stopIfTrue="1" operator="equal">
      <formula>"Napkin Hs"</formula>
    </cfRule>
    <cfRule type="cellIs" dxfId="29992" priority="16156" stopIfTrue="1" operator="equal">
      <formula>"Towel"</formula>
    </cfRule>
    <cfRule type="cellIs" dxfId="29991" priority="16157" stopIfTrue="1" operator="equal">
      <formula>"Napkin Hs"</formula>
    </cfRule>
    <cfRule type="cellIs" dxfId="29990" priority="16158" stopIfTrue="1" operator="equal">
      <formula>"Towel"</formula>
    </cfRule>
    <cfRule type="cellIs" dxfId="29989" priority="16159" stopIfTrue="1" operator="equal">
      <formula>"Napkin Hs"</formula>
    </cfRule>
    <cfRule type="cellIs" dxfId="29988" priority="16160" stopIfTrue="1" operator="equal">
      <formula>"Towel"</formula>
    </cfRule>
    <cfRule type="cellIs" dxfId="29987" priority="16161" stopIfTrue="1" operator="equal">
      <formula>"Napkin Hs"</formula>
    </cfRule>
    <cfRule type="cellIs" dxfId="29986" priority="16162" stopIfTrue="1" operator="equal">
      <formula>"Towel"</formula>
    </cfRule>
    <cfRule type="cellIs" dxfId="29985" priority="16163" stopIfTrue="1" operator="equal">
      <formula>"Napkin Hs"</formula>
    </cfRule>
    <cfRule type="cellIs" dxfId="29984" priority="16168" stopIfTrue="1" operator="equal">
      <formula>"Towel"</formula>
    </cfRule>
    <cfRule type="cellIs" dxfId="29983" priority="16169" stopIfTrue="1" operator="equal">
      <formula>"Napkin Hs"</formula>
    </cfRule>
    <cfRule type="cellIs" dxfId="29982" priority="16170" stopIfTrue="1" operator="equal">
      <formula>"Towel"</formula>
    </cfRule>
    <cfRule type="cellIs" dxfId="29981" priority="16171" stopIfTrue="1" operator="equal">
      <formula>"Napkin Hs"</formula>
    </cfRule>
    <cfRule type="cellIs" dxfId="29980" priority="16174" stopIfTrue="1" operator="equal">
      <formula>"Towel"</formula>
    </cfRule>
    <cfRule type="cellIs" dxfId="29979" priority="16175" stopIfTrue="1" operator="equal">
      <formula>"Napkin Hs"</formula>
    </cfRule>
    <cfRule type="cellIs" dxfId="29978" priority="16176" stopIfTrue="1" operator="equal">
      <formula>"Towel"</formula>
    </cfRule>
    <cfRule type="cellIs" dxfId="29977" priority="16177" stopIfTrue="1" operator="equal">
      <formula>"Napkin Hs"</formula>
    </cfRule>
  </conditionalFormatting>
  <conditionalFormatting sqref="C30">
    <cfRule type="cellIs" dxfId="29976" priority="16080" stopIfTrue="1" operator="equal">
      <formula>"Napkin Hs"</formula>
    </cfRule>
  </conditionalFormatting>
  <conditionalFormatting sqref="C30">
    <cfRule type="cellIs" dxfId="29975" priority="16079" stopIfTrue="1" operator="equal">
      <formula>"Napkin Hs"</formula>
    </cfRule>
  </conditionalFormatting>
  <conditionalFormatting sqref="B30">
    <cfRule type="cellIs" dxfId="29974" priority="16078" stopIfTrue="1" operator="equal">
      <formula>"Napkin Hs"</formula>
    </cfRule>
  </conditionalFormatting>
  <conditionalFormatting sqref="C30">
    <cfRule type="cellIs" dxfId="29973" priority="16077" stopIfTrue="1" operator="equal">
      <formula>"Napkin Hs"</formula>
    </cfRule>
  </conditionalFormatting>
  <conditionalFormatting sqref="C30">
    <cfRule type="cellIs" dxfId="29972" priority="16076" stopIfTrue="1" operator="equal">
      <formula>"Napkin Hs"</formula>
    </cfRule>
  </conditionalFormatting>
  <conditionalFormatting sqref="C30">
    <cfRule type="cellIs" dxfId="29971" priority="16075" stopIfTrue="1" operator="equal">
      <formula>"Napkin Hs"</formula>
    </cfRule>
  </conditionalFormatting>
  <conditionalFormatting sqref="C30">
    <cfRule type="cellIs" dxfId="29970" priority="16074" stopIfTrue="1" operator="equal">
      <formula>"Napkin Hs"</formula>
    </cfRule>
  </conditionalFormatting>
  <conditionalFormatting sqref="B30">
    <cfRule type="cellIs" dxfId="29969" priority="16073" stopIfTrue="1" operator="equal">
      <formula>"Napkin Hs"</formula>
    </cfRule>
  </conditionalFormatting>
  <conditionalFormatting sqref="B30">
    <cfRule type="cellIs" dxfId="29968" priority="16072" stopIfTrue="1" operator="equal">
      <formula>"Napkin Hs"</formula>
    </cfRule>
  </conditionalFormatting>
  <conditionalFormatting sqref="C30">
    <cfRule type="cellIs" dxfId="29967" priority="16068" stopIfTrue="1" operator="equal">
      <formula>"Towel"</formula>
    </cfRule>
    <cfRule type="cellIs" dxfId="29966" priority="16069" stopIfTrue="1" operator="equal">
      <formula>"Napkin Hs"</formula>
    </cfRule>
  </conditionalFormatting>
  <conditionalFormatting sqref="C30">
    <cfRule type="cellIs" dxfId="29965" priority="16070" stopIfTrue="1" operator="equal">
      <formula>"Towel"</formula>
    </cfRule>
    <cfRule type="cellIs" dxfId="29964" priority="16071" stopIfTrue="1" operator="equal">
      <formula>"Napkin Hs"</formula>
    </cfRule>
  </conditionalFormatting>
  <conditionalFormatting sqref="C30">
    <cfRule type="cellIs" dxfId="29963" priority="16064" stopIfTrue="1" operator="equal">
      <formula>"Towel"</formula>
    </cfRule>
    <cfRule type="cellIs" dxfId="29962" priority="16065" stopIfTrue="1" operator="equal">
      <formula>"Napkin Hs"</formula>
    </cfRule>
  </conditionalFormatting>
  <conditionalFormatting sqref="C30">
    <cfRule type="cellIs" dxfId="29961" priority="16066" stopIfTrue="1" operator="equal">
      <formula>"Towel"</formula>
    </cfRule>
    <cfRule type="cellIs" dxfId="29960" priority="16067" stopIfTrue="1" operator="equal">
      <formula>"Napkin Hs"</formula>
    </cfRule>
  </conditionalFormatting>
  <conditionalFormatting sqref="C31">
    <cfRule type="cellIs" dxfId="29959" priority="16060" stopIfTrue="1" operator="equal">
      <formula>"Towel"</formula>
    </cfRule>
    <cfRule type="cellIs" dxfId="29958" priority="16061" stopIfTrue="1" operator="equal">
      <formula>"Napkin Hs"</formula>
    </cfRule>
  </conditionalFormatting>
  <conditionalFormatting sqref="C31">
    <cfRule type="cellIs" dxfId="29957" priority="16062" stopIfTrue="1" operator="equal">
      <formula>"Towel"</formula>
    </cfRule>
    <cfRule type="cellIs" dxfId="29956" priority="16063" stopIfTrue="1" operator="equal">
      <formula>"Napkin Hs"</formula>
    </cfRule>
  </conditionalFormatting>
  <conditionalFormatting sqref="C31">
    <cfRule type="cellIs" dxfId="29955" priority="16058" stopIfTrue="1" operator="equal">
      <formula>"Towel"</formula>
    </cfRule>
    <cfRule type="cellIs" dxfId="29954" priority="16059" stopIfTrue="1" operator="equal">
      <formula>"Napkin Hs"</formula>
    </cfRule>
  </conditionalFormatting>
  <conditionalFormatting sqref="B31">
    <cfRule type="cellIs" dxfId="29953" priority="16056" stopIfTrue="1" operator="equal">
      <formula>"Towel"</formula>
    </cfRule>
    <cfRule type="cellIs" dxfId="29952" priority="16057" stopIfTrue="1" operator="equal">
      <formula>"Napkin Hs"</formula>
    </cfRule>
  </conditionalFormatting>
  <conditionalFormatting sqref="C31">
    <cfRule type="cellIs" dxfId="29951" priority="16050" stopIfTrue="1" operator="equal">
      <formula>"Towel"</formula>
    </cfRule>
    <cfRule type="cellIs" dxfId="29950" priority="16051" stopIfTrue="1" operator="equal">
      <formula>"Napkin Hs"</formula>
    </cfRule>
  </conditionalFormatting>
  <conditionalFormatting sqref="C31">
    <cfRule type="cellIs" dxfId="29949" priority="16054" stopIfTrue="1" operator="equal">
      <formula>"Towel"</formula>
    </cfRule>
    <cfRule type="cellIs" dxfId="29948" priority="16055" stopIfTrue="1" operator="equal">
      <formula>"Napkin Hs"</formula>
    </cfRule>
  </conditionalFormatting>
  <conditionalFormatting sqref="C31">
    <cfRule type="cellIs" dxfId="29947" priority="16052" stopIfTrue="1" operator="equal">
      <formula>"Towel"</formula>
    </cfRule>
    <cfRule type="cellIs" dxfId="29946" priority="16053" stopIfTrue="1" operator="equal">
      <formula>"Napkin Hs"</formula>
    </cfRule>
  </conditionalFormatting>
  <conditionalFormatting sqref="C31">
    <cfRule type="cellIs" dxfId="29945" priority="16044" stopIfTrue="1" operator="equal">
      <formula>"Towel"</formula>
    </cfRule>
    <cfRule type="cellIs" dxfId="29944" priority="16045" stopIfTrue="1" operator="equal">
      <formula>"Napkin Hs"</formula>
    </cfRule>
  </conditionalFormatting>
  <conditionalFormatting sqref="C31">
    <cfRule type="cellIs" dxfId="29943" priority="16046" stopIfTrue="1" operator="equal">
      <formula>"Towel"</formula>
    </cfRule>
    <cfRule type="cellIs" dxfId="29942" priority="16047" stopIfTrue="1" operator="equal">
      <formula>"Napkin Hs"</formula>
    </cfRule>
  </conditionalFormatting>
  <conditionalFormatting sqref="C31">
    <cfRule type="cellIs" dxfId="29941" priority="16048" stopIfTrue="1" operator="equal">
      <formula>"Towel"</formula>
    </cfRule>
    <cfRule type="cellIs" dxfId="29940" priority="16049" stopIfTrue="1" operator="equal">
      <formula>"Napkin Hs"</formula>
    </cfRule>
  </conditionalFormatting>
  <conditionalFormatting sqref="B31:C31">
    <cfRule type="cellIs" dxfId="29939" priority="16042" stopIfTrue="1" operator="equal">
      <formula>"Towel"</formula>
    </cfRule>
    <cfRule type="cellIs" dxfId="29938" priority="16043" stopIfTrue="1" operator="equal">
      <formula>"Napkin Hs"</formula>
    </cfRule>
  </conditionalFormatting>
  <conditionalFormatting sqref="B31:C31">
    <cfRule type="cellIs" dxfId="29937" priority="16040" stopIfTrue="1" operator="equal">
      <formula>"Towel"</formula>
    </cfRule>
    <cfRule type="cellIs" dxfId="29936" priority="16041" stopIfTrue="1" operator="equal">
      <formula>"Napkin Hs"</formula>
    </cfRule>
  </conditionalFormatting>
  <conditionalFormatting sqref="B31:C31">
    <cfRule type="cellIs" dxfId="29935" priority="16016" stopIfTrue="1" operator="equal">
      <formula>"Towel"</formula>
    </cfRule>
  </conditionalFormatting>
  <conditionalFormatting sqref="B31:C31">
    <cfRule type="cellIs" dxfId="29934" priority="16017" stopIfTrue="1" operator="equal">
      <formula>"Napkin Hs"</formula>
    </cfRule>
    <cfRule type="cellIs" dxfId="29933" priority="16022" stopIfTrue="1" operator="equal">
      <formula>"Towel"</formula>
    </cfRule>
    <cfRule type="cellIs" dxfId="29932" priority="16023" stopIfTrue="1" operator="equal">
      <formula>"Napkin Hs"</formula>
    </cfRule>
    <cfRule type="cellIs" dxfId="29931" priority="16032" stopIfTrue="1" operator="equal">
      <formula>"Towel"</formula>
    </cfRule>
    <cfRule type="cellIs" dxfId="29930" priority="16033" stopIfTrue="1" operator="equal">
      <formula>"Napkin Hs"</formula>
    </cfRule>
    <cfRule type="cellIs" dxfId="29929" priority="16038" stopIfTrue="1" operator="equal">
      <formula>"Towel"</formula>
    </cfRule>
    <cfRule type="cellIs" dxfId="29928" priority="16039" stopIfTrue="1" operator="equal">
      <formula>"Napkin Hs"</formula>
    </cfRule>
  </conditionalFormatting>
  <conditionalFormatting sqref="C31">
    <cfRule type="cellIs" dxfId="29927" priority="16018" stopIfTrue="1" operator="equal">
      <formula>"Towel"</formula>
    </cfRule>
    <cfRule type="cellIs" dxfId="29926" priority="16019" stopIfTrue="1" operator="equal">
      <formula>"Napkin Hs"</formula>
    </cfRule>
    <cfRule type="cellIs" dxfId="29925" priority="16020" stopIfTrue="1" operator="equal">
      <formula>"Towel"</formula>
    </cfRule>
    <cfRule type="cellIs" dxfId="29924" priority="16021" stopIfTrue="1" operator="equal">
      <formula>"Napkin Hs"</formula>
    </cfRule>
    <cfRule type="cellIs" dxfId="29923" priority="16024" stopIfTrue="1" operator="equal">
      <formula>"Towel"</formula>
    </cfRule>
    <cfRule type="cellIs" dxfId="29922" priority="16025" stopIfTrue="1" operator="equal">
      <formula>"Napkin Hs"</formula>
    </cfRule>
    <cfRule type="cellIs" dxfId="29921" priority="16026" stopIfTrue="1" operator="equal">
      <formula>"Towel"</formula>
    </cfRule>
    <cfRule type="cellIs" dxfId="29920" priority="16027" stopIfTrue="1" operator="equal">
      <formula>"Napkin Hs"</formula>
    </cfRule>
    <cfRule type="cellIs" dxfId="29919" priority="16028" stopIfTrue="1" operator="equal">
      <formula>"Towel"</formula>
    </cfRule>
    <cfRule type="cellIs" dxfId="29918" priority="16029" stopIfTrue="1" operator="equal">
      <formula>"Napkin Hs"</formula>
    </cfRule>
    <cfRule type="cellIs" dxfId="29917" priority="16030" stopIfTrue="1" operator="equal">
      <formula>"Towel"</formula>
    </cfRule>
    <cfRule type="cellIs" dxfId="29916" priority="16031" stopIfTrue="1" operator="equal">
      <formula>"Napkin Hs"</formula>
    </cfRule>
    <cfRule type="cellIs" dxfId="29915" priority="16034" stopIfTrue="1" operator="equal">
      <formula>"Towel"</formula>
    </cfRule>
    <cfRule type="cellIs" dxfId="29914" priority="16035" stopIfTrue="1" operator="equal">
      <formula>"Napkin Hs"</formula>
    </cfRule>
    <cfRule type="cellIs" dxfId="29913" priority="16037" stopIfTrue="1" operator="equal">
      <formula>"Napkin Hs"</formula>
    </cfRule>
  </conditionalFormatting>
  <conditionalFormatting sqref="C31">
    <cfRule type="cellIs" dxfId="29912" priority="16036" stopIfTrue="1" operator="equal">
      <formula>"Towel"</formula>
    </cfRule>
  </conditionalFormatting>
  <conditionalFormatting sqref="B31:C31">
    <cfRule type="cellIs" dxfId="29911" priority="16014" stopIfTrue="1" operator="equal">
      <formula>"Towel"</formula>
    </cfRule>
    <cfRule type="cellIs" dxfId="29910" priority="16015" stopIfTrue="1" operator="equal">
      <formula>"Napkin Hs"</formula>
    </cfRule>
  </conditionalFormatting>
  <conditionalFormatting sqref="C31">
    <cfRule type="cellIs" dxfId="29909" priority="16013" stopIfTrue="1" operator="equal">
      <formula>"Napkin Hs"</formula>
    </cfRule>
  </conditionalFormatting>
  <conditionalFormatting sqref="C31">
    <cfRule type="cellIs" dxfId="29908" priority="16012" stopIfTrue="1" operator="equal">
      <formula>"Towel"</formula>
    </cfRule>
  </conditionalFormatting>
  <conditionalFormatting sqref="C31">
    <cfRule type="cellIs" dxfId="29907" priority="16010" stopIfTrue="1" operator="equal">
      <formula>"Towel"</formula>
    </cfRule>
  </conditionalFormatting>
  <conditionalFormatting sqref="C31">
    <cfRule type="cellIs" dxfId="29906" priority="16011" stopIfTrue="1" operator="equal">
      <formula>"Napkin Hs"</formula>
    </cfRule>
  </conditionalFormatting>
  <conditionalFormatting sqref="B31">
    <cfRule type="cellIs" dxfId="29905" priority="15914" stopIfTrue="1" operator="equal">
      <formula>"Napkin Hs"</formula>
    </cfRule>
  </conditionalFormatting>
  <conditionalFormatting sqref="B31:C31">
    <cfRule type="cellIs" dxfId="29904" priority="15913" stopIfTrue="1" operator="equal">
      <formula>"Towel"</formula>
    </cfRule>
  </conditionalFormatting>
  <conditionalFormatting sqref="B31:C31">
    <cfRule type="cellIs" dxfId="29903" priority="15924" stopIfTrue="1" operator="equal">
      <formula>"Towel"</formula>
    </cfRule>
    <cfRule type="cellIs" dxfId="29902" priority="15925" stopIfTrue="1" operator="equal">
      <formula>"Napkin Hs"</formula>
    </cfRule>
    <cfRule type="cellIs" dxfId="29901" priority="15930" stopIfTrue="1" operator="equal">
      <formula>"Towel"</formula>
    </cfRule>
    <cfRule type="cellIs" dxfId="29900" priority="15931" stopIfTrue="1" operator="equal">
      <formula>"Napkin Hs"</formula>
    </cfRule>
    <cfRule type="cellIs" dxfId="29899" priority="15936" stopIfTrue="1" operator="equal">
      <formula>"Towel"</formula>
    </cfRule>
    <cfRule type="cellIs" dxfId="29898" priority="15937" stopIfTrue="1" operator="equal">
      <formula>"Napkin Hs"</formula>
    </cfRule>
    <cfRule type="cellIs" dxfId="29897" priority="15938" stopIfTrue="1" operator="equal">
      <formula>"Towel"</formula>
    </cfRule>
    <cfRule type="cellIs" dxfId="29896" priority="15939" stopIfTrue="1" operator="equal">
      <formula>"Napkin Hs"</formula>
    </cfRule>
    <cfRule type="cellIs" dxfId="29895" priority="15944" stopIfTrue="1" operator="equal">
      <formula>"Towel"</formula>
    </cfRule>
    <cfRule type="cellIs" dxfId="29894" priority="15945" stopIfTrue="1" operator="equal">
      <formula>"Napkin Hs"</formula>
    </cfRule>
    <cfRule type="cellIs" dxfId="29893" priority="15954" stopIfTrue="1" operator="equal">
      <formula>"Towel"</formula>
    </cfRule>
    <cfRule type="cellIs" dxfId="29892" priority="15955" stopIfTrue="1" operator="equal">
      <formula>"Napkin Hs"</formula>
    </cfRule>
    <cfRule type="cellIs" dxfId="29891" priority="15960" stopIfTrue="1" operator="equal">
      <formula>"Towel"</formula>
    </cfRule>
    <cfRule type="cellIs" dxfId="29890" priority="15961" stopIfTrue="1" operator="equal">
      <formula>"Napkin Hs"</formula>
    </cfRule>
    <cfRule type="cellIs" dxfId="29889" priority="15962" stopIfTrue="1" operator="equal">
      <formula>"Towel"</formula>
    </cfRule>
    <cfRule type="cellIs" dxfId="29888" priority="15963" stopIfTrue="1" operator="equal">
      <formula>"Napkin Hs"</formula>
    </cfRule>
    <cfRule type="cellIs" dxfId="29887" priority="15968" stopIfTrue="1" operator="equal">
      <formula>"Towel"</formula>
    </cfRule>
    <cfRule type="cellIs" dxfId="29886" priority="15969" stopIfTrue="1" operator="equal">
      <formula>"Napkin Hs"</formula>
    </cfRule>
    <cfRule type="cellIs" dxfId="29885" priority="15978" stopIfTrue="1" operator="equal">
      <formula>"Towel"</formula>
    </cfRule>
    <cfRule type="cellIs" dxfId="29884" priority="15979" stopIfTrue="1" operator="equal">
      <formula>"Napkin Hs"</formula>
    </cfRule>
    <cfRule type="cellIs" dxfId="29883" priority="15980" stopIfTrue="1" operator="equal">
      <formula>"Towel"</formula>
    </cfRule>
    <cfRule type="cellIs" dxfId="29882" priority="15981" stopIfTrue="1" operator="equal">
      <formula>"Napkin Hs"</formula>
    </cfRule>
    <cfRule type="cellIs" dxfId="29881" priority="15986" stopIfTrue="1" operator="equal">
      <formula>"Towel"</formula>
    </cfRule>
    <cfRule type="cellIs" dxfId="29880" priority="15987" stopIfTrue="1" operator="equal">
      <formula>"Napkin Hs"</formula>
    </cfRule>
    <cfRule type="cellIs" dxfId="29879" priority="15996" stopIfTrue="1" operator="equal">
      <formula>"Towel"</formula>
    </cfRule>
    <cfRule type="cellIs" dxfId="29878" priority="15997" stopIfTrue="1" operator="equal">
      <formula>"Napkin Hs"</formula>
    </cfRule>
    <cfRule type="cellIs" dxfId="29877" priority="15998" stopIfTrue="1" operator="equal">
      <formula>"Towel"</formula>
    </cfRule>
    <cfRule type="cellIs" dxfId="29876" priority="15999" stopIfTrue="1" operator="equal">
      <formula>"Napkin Hs"</formula>
    </cfRule>
    <cfRule type="cellIs" dxfId="29875" priority="16005" stopIfTrue="1" operator="equal">
      <formula>"Napkin Hs"</formula>
    </cfRule>
  </conditionalFormatting>
  <conditionalFormatting sqref="B31:C31">
    <cfRule type="cellIs" dxfId="29874" priority="16004" stopIfTrue="1" operator="equal">
      <formula>"Towel"</formula>
    </cfRule>
  </conditionalFormatting>
  <conditionalFormatting sqref="C31">
    <cfRule type="cellIs" dxfId="29873" priority="15915" stopIfTrue="1" operator="equal">
      <formula>"Napkin Hs"</formula>
    </cfRule>
    <cfRule type="cellIs" dxfId="29872" priority="15916" stopIfTrue="1" operator="equal">
      <formula>"Towel"</formula>
    </cfRule>
    <cfRule type="cellIs" dxfId="29871" priority="15917" stopIfTrue="1" operator="equal">
      <formula>"Napkin Hs"</formula>
    </cfRule>
    <cfRule type="cellIs" dxfId="29870" priority="15918" stopIfTrue="1" operator="equal">
      <formula>"Towel"</formula>
    </cfRule>
    <cfRule type="cellIs" dxfId="29869" priority="15919" stopIfTrue="1" operator="equal">
      <formula>"Napkin Hs"</formula>
    </cfRule>
    <cfRule type="cellIs" dxfId="29868" priority="15920" stopIfTrue="1" operator="equal">
      <formula>"Towel"</formula>
    </cfRule>
    <cfRule type="cellIs" dxfId="29867" priority="15921" stopIfTrue="1" operator="equal">
      <formula>"Napkin Hs"</formula>
    </cfRule>
    <cfRule type="cellIs" dxfId="29866" priority="15922" stopIfTrue="1" operator="equal">
      <formula>"Towel"</formula>
    </cfRule>
    <cfRule type="cellIs" dxfId="29865" priority="15923" stopIfTrue="1" operator="equal">
      <formula>"Napkin Hs"</formula>
    </cfRule>
    <cfRule type="cellIs" dxfId="29864" priority="15926" stopIfTrue="1" operator="equal">
      <formula>"Towel"</formula>
    </cfRule>
    <cfRule type="cellIs" dxfId="29863" priority="15927" stopIfTrue="1" operator="equal">
      <formula>"Napkin Hs"</formula>
    </cfRule>
    <cfRule type="cellIs" dxfId="29862" priority="15928" stopIfTrue="1" operator="equal">
      <formula>"Towel"</formula>
    </cfRule>
    <cfRule type="cellIs" dxfId="29861" priority="15929" stopIfTrue="1" operator="equal">
      <formula>"Napkin Hs"</formula>
    </cfRule>
    <cfRule type="cellIs" dxfId="29860" priority="15932" stopIfTrue="1" operator="equal">
      <formula>"Towel"</formula>
    </cfRule>
    <cfRule type="cellIs" dxfId="29859" priority="15933" stopIfTrue="1" operator="equal">
      <formula>"Napkin Hs"</formula>
    </cfRule>
    <cfRule type="cellIs" dxfId="29858" priority="15934" stopIfTrue="1" operator="equal">
      <formula>"Towel"</formula>
    </cfRule>
    <cfRule type="cellIs" dxfId="29857" priority="15935" stopIfTrue="1" operator="equal">
      <formula>"Napkin Hs"</formula>
    </cfRule>
    <cfRule type="cellIs" dxfId="29856" priority="15940" stopIfTrue="1" operator="equal">
      <formula>"Towel"</formula>
    </cfRule>
    <cfRule type="cellIs" dxfId="29855" priority="15941" stopIfTrue="1" operator="equal">
      <formula>"Napkin Hs"</formula>
    </cfRule>
    <cfRule type="cellIs" dxfId="29854" priority="15942" stopIfTrue="1" operator="equal">
      <formula>"Towel"</formula>
    </cfRule>
    <cfRule type="cellIs" dxfId="29853" priority="15943" stopIfTrue="1" operator="equal">
      <formula>"Napkin Hs"</formula>
    </cfRule>
    <cfRule type="cellIs" dxfId="29852" priority="15946" stopIfTrue="1" operator="equal">
      <formula>"Towel"</formula>
    </cfRule>
    <cfRule type="cellIs" dxfId="29851" priority="15947" stopIfTrue="1" operator="equal">
      <formula>"Napkin Hs"</formula>
    </cfRule>
    <cfRule type="cellIs" dxfId="29850" priority="15948" stopIfTrue="1" operator="equal">
      <formula>"Towel"</formula>
    </cfRule>
    <cfRule type="cellIs" dxfId="29849" priority="15949" stopIfTrue="1" operator="equal">
      <formula>"Napkin Hs"</formula>
    </cfRule>
    <cfRule type="cellIs" dxfId="29848" priority="15950" stopIfTrue="1" operator="equal">
      <formula>"Towel"</formula>
    </cfRule>
    <cfRule type="cellIs" dxfId="29847" priority="15951" stopIfTrue="1" operator="equal">
      <formula>"Napkin Hs"</formula>
    </cfRule>
    <cfRule type="cellIs" dxfId="29846" priority="15952" stopIfTrue="1" operator="equal">
      <formula>"Towel"</formula>
    </cfRule>
    <cfRule type="cellIs" dxfId="29845" priority="15953" stopIfTrue="1" operator="equal">
      <formula>"Napkin Hs"</formula>
    </cfRule>
    <cfRule type="cellIs" dxfId="29844" priority="15956" stopIfTrue="1" operator="equal">
      <formula>"Towel"</formula>
    </cfRule>
    <cfRule type="cellIs" dxfId="29843" priority="15957" stopIfTrue="1" operator="equal">
      <formula>"Napkin Hs"</formula>
    </cfRule>
    <cfRule type="cellIs" dxfId="29842" priority="15958" stopIfTrue="1" operator="equal">
      <formula>"Towel"</formula>
    </cfRule>
    <cfRule type="cellIs" dxfId="29841" priority="15959" stopIfTrue="1" operator="equal">
      <formula>"Napkin Hs"</formula>
    </cfRule>
    <cfRule type="cellIs" dxfId="29840" priority="15964" stopIfTrue="1" operator="equal">
      <formula>"Towel"</formula>
    </cfRule>
    <cfRule type="cellIs" dxfId="29839" priority="15965" stopIfTrue="1" operator="equal">
      <formula>"Napkin Hs"</formula>
    </cfRule>
    <cfRule type="cellIs" dxfId="29838" priority="15966" stopIfTrue="1" operator="equal">
      <formula>"Towel"</formula>
    </cfRule>
    <cfRule type="cellIs" dxfId="29837" priority="15967" stopIfTrue="1" operator="equal">
      <formula>"Napkin Hs"</formula>
    </cfRule>
    <cfRule type="cellIs" dxfId="29836" priority="15970" stopIfTrue="1" operator="equal">
      <formula>"Towel"</formula>
    </cfRule>
    <cfRule type="cellIs" dxfId="29835" priority="15971" stopIfTrue="1" operator="equal">
      <formula>"Napkin Hs"</formula>
    </cfRule>
    <cfRule type="cellIs" dxfId="29834" priority="15972" stopIfTrue="1" operator="equal">
      <formula>"Towel"</formula>
    </cfRule>
    <cfRule type="cellIs" dxfId="29833" priority="15973" stopIfTrue="1" operator="equal">
      <formula>"Napkin Hs"</formula>
    </cfRule>
    <cfRule type="cellIs" dxfId="29832" priority="15974" stopIfTrue="1" operator="equal">
      <formula>"Towel"</formula>
    </cfRule>
    <cfRule type="cellIs" dxfId="29831" priority="15975" stopIfTrue="1" operator="equal">
      <formula>"Napkin Hs"</formula>
    </cfRule>
    <cfRule type="cellIs" dxfId="29830" priority="15976" stopIfTrue="1" operator="equal">
      <formula>"Towel"</formula>
    </cfRule>
    <cfRule type="cellIs" dxfId="29829" priority="15977" stopIfTrue="1" operator="equal">
      <formula>"Napkin Hs"</formula>
    </cfRule>
    <cfRule type="cellIs" dxfId="29828" priority="15982" stopIfTrue="1" operator="equal">
      <formula>"Towel"</formula>
    </cfRule>
    <cfRule type="cellIs" dxfId="29827" priority="15983" stopIfTrue="1" operator="equal">
      <formula>"Napkin Hs"</formula>
    </cfRule>
    <cfRule type="cellIs" dxfId="29826" priority="15984" stopIfTrue="1" operator="equal">
      <formula>"Towel"</formula>
    </cfRule>
    <cfRule type="cellIs" dxfId="29825" priority="15985" stopIfTrue="1" operator="equal">
      <formula>"Napkin Hs"</formula>
    </cfRule>
    <cfRule type="cellIs" dxfId="29824" priority="15988" stopIfTrue="1" operator="equal">
      <formula>"Towel"</formula>
    </cfRule>
    <cfRule type="cellIs" dxfId="29823" priority="15989" stopIfTrue="1" operator="equal">
      <formula>"Napkin Hs"</formula>
    </cfRule>
    <cfRule type="cellIs" dxfId="29822" priority="15990" stopIfTrue="1" operator="equal">
      <formula>"Towel"</formula>
    </cfRule>
    <cfRule type="cellIs" dxfId="29821" priority="15991" stopIfTrue="1" operator="equal">
      <formula>"Napkin Hs"</formula>
    </cfRule>
    <cfRule type="cellIs" dxfId="29820" priority="15992" stopIfTrue="1" operator="equal">
      <formula>"Towel"</formula>
    </cfRule>
    <cfRule type="cellIs" dxfId="29819" priority="15993" stopIfTrue="1" operator="equal">
      <formula>"Napkin Hs"</formula>
    </cfRule>
    <cfRule type="cellIs" dxfId="29818" priority="15994" stopIfTrue="1" operator="equal">
      <formula>"Towel"</formula>
    </cfRule>
    <cfRule type="cellIs" dxfId="29817" priority="15995" stopIfTrue="1" operator="equal">
      <formula>"Napkin Hs"</formula>
    </cfRule>
    <cfRule type="cellIs" dxfId="29816" priority="16000" stopIfTrue="1" operator="equal">
      <formula>"Towel"</formula>
    </cfRule>
    <cfRule type="cellIs" dxfId="29815" priority="16001" stopIfTrue="1" operator="equal">
      <formula>"Napkin Hs"</formula>
    </cfRule>
    <cfRule type="cellIs" dxfId="29814" priority="16002" stopIfTrue="1" operator="equal">
      <formula>"Towel"</formula>
    </cfRule>
    <cfRule type="cellIs" dxfId="29813" priority="16003" stopIfTrue="1" operator="equal">
      <formula>"Napkin Hs"</formula>
    </cfRule>
    <cfRule type="cellIs" dxfId="29812" priority="16006" stopIfTrue="1" operator="equal">
      <formula>"Towel"</formula>
    </cfRule>
    <cfRule type="cellIs" dxfId="29811" priority="16007" stopIfTrue="1" operator="equal">
      <formula>"Napkin Hs"</formula>
    </cfRule>
    <cfRule type="cellIs" dxfId="29810" priority="16008" stopIfTrue="1" operator="equal">
      <formula>"Towel"</formula>
    </cfRule>
    <cfRule type="cellIs" dxfId="29809" priority="16009" stopIfTrue="1" operator="equal">
      <formula>"Napkin Hs"</formula>
    </cfRule>
  </conditionalFormatting>
  <conditionalFormatting sqref="C31">
    <cfRule type="cellIs" dxfId="29808" priority="15912" stopIfTrue="1" operator="equal">
      <formula>"Napkin Hs"</formula>
    </cfRule>
  </conditionalFormatting>
  <conditionalFormatting sqref="C31">
    <cfRule type="cellIs" dxfId="29807" priority="15911" stopIfTrue="1" operator="equal">
      <formula>"Napkin Hs"</formula>
    </cfRule>
  </conditionalFormatting>
  <conditionalFormatting sqref="B31">
    <cfRule type="cellIs" dxfId="29806" priority="15910" stopIfTrue="1" operator="equal">
      <formula>"Napkin Hs"</formula>
    </cfRule>
  </conditionalFormatting>
  <conditionalFormatting sqref="C31">
    <cfRule type="cellIs" dxfId="29805" priority="15909" stopIfTrue="1" operator="equal">
      <formula>"Napkin Hs"</formula>
    </cfRule>
  </conditionalFormatting>
  <conditionalFormatting sqref="C31">
    <cfRule type="cellIs" dxfId="29804" priority="15908" stopIfTrue="1" operator="equal">
      <formula>"Napkin Hs"</formula>
    </cfRule>
  </conditionalFormatting>
  <conditionalFormatting sqref="C31">
    <cfRule type="cellIs" dxfId="29803" priority="15907" stopIfTrue="1" operator="equal">
      <formula>"Napkin Hs"</formula>
    </cfRule>
  </conditionalFormatting>
  <conditionalFormatting sqref="C31">
    <cfRule type="cellIs" dxfId="29802" priority="15906" stopIfTrue="1" operator="equal">
      <formula>"Napkin Hs"</formula>
    </cfRule>
  </conditionalFormatting>
  <conditionalFormatting sqref="B31">
    <cfRule type="cellIs" dxfId="29801" priority="15905" stopIfTrue="1" operator="equal">
      <formula>"Napkin Hs"</formula>
    </cfRule>
  </conditionalFormatting>
  <conditionalFormatting sqref="B31">
    <cfRule type="cellIs" dxfId="29800" priority="15904" stopIfTrue="1" operator="equal">
      <formula>"Napkin Hs"</formula>
    </cfRule>
  </conditionalFormatting>
  <conditionalFormatting sqref="C31">
    <cfRule type="cellIs" dxfId="29799" priority="15900" stopIfTrue="1" operator="equal">
      <formula>"Towel"</formula>
    </cfRule>
    <cfRule type="cellIs" dxfId="29798" priority="15901" stopIfTrue="1" operator="equal">
      <formula>"Napkin Hs"</formula>
    </cfRule>
  </conditionalFormatting>
  <conditionalFormatting sqref="C31">
    <cfRule type="cellIs" dxfId="29797" priority="15902" stopIfTrue="1" operator="equal">
      <formula>"Towel"</formula>
    </cfRule>
    <cfRule type="cellIs" dxfId="29796" priority="15903" stopIfTrue="1" operator="equal">
      <formula>"Napkin Hs"</formula>
    </cfRule>
  </conditionalFormatting>
  <conditionalFormatting sqref="C31">
    <cfRule type="cellIs" dxfId="29795" priority="15896" stopIfTrue="1" operator="equal">
      <formula>"Towel"</formula>
    </cfRule>
    <cfRule type="cellIs" dxfId="29794" priority="15897" stopIfTrue="1" operator="equal">
      <formula>"Napkin Hs"</formula>
    </cfRule>
  </conditionalFormatting>
  <conditionalFormatting sqref="C31">
    <cfRule type="cellIs" dxfId="29793" priority="15898" stopIfTrue="1" operator="equal">
      <formula>"Towel"</formula>
    </cfRule>
    <cfRule type="cellIs" dxfId="29792" priority="15899" stopIfTrue="1" operator="equal">
      <formula>"Napkin Hs"</formula>
    </cfRule>
  </conditionalFormatting>
  <conditionalFormatting sqref="B40:C40">
    <cfRule type="cellIs" dxfId="29791" priority="15894" stopIfTrue="1" operator="equal">
      <formula>"Towel"</formula>
    </cfRule>
    <cfRule type="cellIs" dxfId="29790" priority="15895" stopIfTrue="1" operator="equal">
      <formula>"Napkin Hs"</formula>
    </cfRule>
  </conditionalFormatting>
  <conditionalFormatting sqref="C40">
    <cfRule type="cellIs" dxfId="29789" priority="15890" stopIfTrue="1" operator="equal">
      <formula>"Towel"</formula>
    </cfRule>
    <cfRule type="cellIs" dxfId="29788" priority="15891" stopIfTrue="1" operator="equal">
      <formula>"Napkin Hs"</formula>
    </cfRule>
  </conditionalFormatting>
  <conditionalFormatting sqref="C40">
    <cfRule type="cellIs" dxfId="29787" priority="15893" stopIfTrue="1" operator="equal">
      <formula>"Napkin Hs"</formula>
    </cfRule>
  </conditionalFormatting>
  <conditionalFormatting sqref="C40">
    <cfRule type="cellIs" dxfId="29786" priority="15892" stopIfTrue="1" operator="equal">
      <formula>"Towel"</formula>
    </cfRule>
  </conditionalFormatting>
  <conditionalFormatting sqref="C39">
    <cfRule type="cellIs" dxfId="29785" priority="15886" stopIfTrue="1" operator="equal">
      <formula>"Towel"</formula>
    </cfRule>
    <cfRule type="cellIs" dxfId="29784" priority="15887" stopIfTrue="1" operator="equal">
      <formula>"Napkin Hs"</formula>
    </cfRule>
  </conditionalFormatting>
  <conditionalFormatting sqref="C39">
    <cfRule type="cellIs" dxfId="29783" priority="15888" stopIfTrue="1" operator="equal">
      <formula>"Towel"</formula>
    </cfRule>
    <cfRule type="cellIs" dxfId="29782" priority="15889" stopIfTrue="1" operator="equal">
      <formula>"Napkin Hs"</formula>
    </cfRule>
  </conditionalFormatting>
  <conditionalFormatting sqref="C39">
    <cfRule type="cellIs" dxfId="29781" priority="15884" stopIfTrue="1" operator="equal">
      <formula>"Towel"</formula>
    </cfRule>
    <cfRule type="cellIs" dxfId="29780" priority="15885" stopIfTrue="1" operator="equal">
      <formula>"Napkin Hs"</formula>
    </cfRule>
  </conditionalFormatting>
  <conditionalFormatting sqref="B39">
    <cfRule type="cellIs" dxfId="29779" priority="15882" stopIfTrue="1" operator="equal">
      <formula>"Towel"</formula>
    </cfRule>
    <cfRule type="cellIs" dxfId="29778" priority="15883" stopIfTrue="1" operator="equal">
      <formula>"Napkin Hs"</formula>
    </cfRule>
  </conditionalFormatting>
  <conditionalFormatting sqref="C39">
    <cfRule type="cellIs" dxfId="29777" priority="15876" stopIfTrue="1" operator="equal">
      <formula>"Towel"</formula>
    </cfRule>
    <cfRule type="cellIs" dxfId="29776" priority="15877" stopIfTrue="1" operator="equal">
      <formula>"Napkin Hs"</formula>
    </cfRule>
  </conditionalFormatting>
  <conditionalFormatting sqref="C39">
    <cfRule type="cellIs" dxfId="29775" priority="15880" stopIfTrue="1" operator="equal">
      <formula>"Towel"</formula>
    </cfRule>
    <cfRule type="cellIs" dxfId="29774" priority="15881" stopIfTrue="1" operator="equal">
      <formula>"Napkin Hs"</formula>
    </cfRule>
  </conditionalFormatting>
  <conditionalFormatting sqref="C39">
    <cfRule type="cellIs" dxfId="29773" priority="15878" stopIfTrue="1" operator="equal">
      <formula>"Towel"</formula>
    </cfRule>
    <cfRule type="cellIs" dxfId="29772" priority="15879" stopIfTrue="1" operator="equal">
      <formula>"Napkin Hs"</formula>
    </cfRule>
  </conditionalFormatting>
  <conditionalFormatting sqref="C39">
    <cfRule type="cellIs" dxfId="29771" priority="15870" stopIfTrue="1" operator="equal">
      <formula>"Towel"</formula>
    </cfRule>
    <cfRule type="cellIs" dxfId="29770" priority="15871" stopIfTrue="1" operator="equal">
      <formula>"Napkin Hs"</formula>
    </cfRule>
  </conditionalFormatting>
  <conditionalFormatting sqref="C39">
    <cfRule type="cellIs" dxfId="29769" priority="15872" stopIfTrue="1" operator="equal">
      <formula>"Towel"</formula>
    </cfRule>
    <cfRule type="cellIs" dxfId="29768" priority="15873" stopIfTrue="1" operator="equal">
      <formula>"Napkin Hs"</formula>
    </cfRule>
  </conditionalFormatting>
  <conditionalFormatting sqref="C39">
    <cfRule type="cellIs" dxfId="29767" priority="15874" stopIfTrue="1" operator="equal">
      <formula>"Towel"</formula>
    </cfRule>
    <cfRule type="cellIs" dxfId="29766" priority="15875" stopIfTrue="1" operator="equal">
      <formula>"Napkin Hs"</formula>
    </cfRule>
  </conditionalFormatting>
  <conditionalFormatting sqref="B39:C39">
    <cfRule type="cellIs" dxfId="29765" priority="15868" stopIfTrue="1" operator="equal">
      <formula>"Towel"</formula>
    </cfRule>
    <cfRule type="cellIs" dxfId="29764" priority="15869" stopIfTrue="1" operator="equal">
      <formula>"Napkin Hs"</formula>
    </cfRule>
  </conditionalFormatting>
  <conditionalFormatting sqref="B39:C39">
    <cfRule type="cellIs" dxfId="29763" priority="15866" stopIfTrue="1" operator="equal">
      <formula>"Towel"</formula>
    </cfRule>
    <cfRule type="cellIs" dxfId="29762" priority="15867" stopIfTrue="1" operator="equal">
      <formula>"Napkin Hs"</formula>
    </cfRule>
  </conditionalFormatting>
  <conditionalFormatting sqref="B39:C39">
    <cfRule type="cellIs" dxfId="29761" priority="15842" stopIfTrue="1" operator="equal">
      <formula>"Towel"</formula>
    </cfRule>
  </conditionalFormatting>
  <conditionalFormatting sqref="B39:C39">
    <cfRule type="cellIs" dxfId="29760" priority="15843" stopIfTrue="1" operator="equal">
      <formula>"Napkin Hs"</formula>
    </cfRule>
    <cfRule type="cellIs" dxfId="29759" priority="15848" stopIfTrue="1" operator="equal">
      <formula>"Towel"</formula>
    </cfRule>
    <cfRule type="cellIs" dxfId="29758" priority="15849" stopIfTrue="1" operator="equal">
      <formula>"Napkin Hs"</formula>
    </cfRule>
    <cfRule type="cellIs" dxfId="29757" priority="15858" stopIfTrue="1" operator="equal">
      <formula>"Towel"</formula>
    </cfRule>
    <cfRule type="cellIs" dxfId="29756" priority="15859" stopIfTrue="1" operator="equal">
      <formula>"Napkin Hs"</formula>
    </cfRule>
    <cfRule type="cellIs" dxfId="29755" priority="15864" stopIfTrue="1" operator="equal">
      <formula>"Towel"</formula>
    </cfRule>
    <cfRule type="cellIs" dxfId="29754" priority="15865" stopIfTrue="1" operator="equal">
      <formula>"Napkin Hs"</formula>
    </cfRule>
  </conditionalFormatting>
  <conditionalFormatting sqref="C39">
    <cfRule type="cellIs" dxfId="29753" priority="15844" stopIfTrue="1" operator="equal">
      <formula>"Towel"</formula>
    </cfRule>
    <cfRule type="cellIs" dxfId="29752" priority="15845" stopIfTrue="1" operator="equal">
      <formula>"Napkin Hs"</formula>
    </cfRule>
    <cfRule type="cellIs" dxfId="29751" priority="15846" stopIfTrue="1" operator="equal">
      <formula>"Towel"</formula>
    </cfRule>
    <cfRule type="cellIs" dxfId="29750" priority="15847" stopIfTrue="1" operator="equal">
      <formula>"Napkin Hs"</formula>
    </cfRule>
    <cfRule type="cellIs" dxfId="29749" priority="15850" stopIfTrue="1" operator="equal">
      <formula>"Towel"</formula>
    </cfRule>
    <cfRule type="cellIs" dxfId="29748" priority="15851" stopIfTrue="1" operator="equal">
      <formula>"Napkin Hs"</formula>
    </cfRule>
    <cfRule type="cellIs" dxfId="29747" priority="15852" stopIfTrue="1" operator="equal">
      <formula>"Towel"</formula>
    </cfRule>
    <cfRule type="cellIs" dxfId="29746" priority="15853" stopIfTrue="1" operator="equal">
      <formula>"Napkin Hs"</formula>
    </cfRule>
    <cfRule type="cellIs" dxfId="29745" priority="15854" stopIfTrue="1" operator="equal">
      <formula>"Towel"</formula>
    </cfRule>
    <cfRule type="cellIs" dxfId="29744" priority="15855" stopIfTrue="1" operator="equal">
      <formula>"Napkin Hs"</formula>
    </cfRule>
    <cfRule type="cellIs" dxfId="29743" priority="15856" stopIfTrue="1" operator="equal">
      <formula>"Towel"</formula>
    </cfRule>
    <cfRule type="cellIs" dxfId="29742" priority="15857" stopIfTrue="1" operator="equal">
      <formula>"Napkin Hs"</formula>
    </cfRule>
    <cfRule type="cellIs" dxfId="29741" priority="15860" stopIfTrue="1" operator="equal">
      <formula>"Towel"</formula>
    </cfRule>
    <cfRule type="cellIs" dxfId="29740" priority="15861" stopIfTrue="1" operator="equal">
      <formula>"Napkin Hs"</formula>
    </cfRule>
    <cfRule type="cellIs" dxfId="29739" priority="15863" stopIfTrue="1" operator="equal">
      <formula>"Napkin Hs"</formula>
    </cfRule>
  </conditionalFormatting>
  <conditionalFormatting sqref="C39">
    <cfRule type="cellIs" dxfId="29738" priority="15862" stopIfTrue="1" operator="equal">
      <formula>"Towel"</formula>
    </cfRule>
  </conditionalFormatting>
  <conditionalFormatting sqref="B39:C39">
    <cfRule type="cellIs" dxfId="29737" priority="15840" stopIfTrue="1" operator="equal">
      <formula>"Towel"</formula>
    </cfRule>
    <cfRule type="cellIs" dxfId="29736" priority="15841" stopIfTrue="1" operator="equal">
      <formula>"Napkin Hs"</formula>
    </cfRule>
  </conditionalFormatting>
  <conditionalFormatting sqref="C39">
    <cfRule type="cellIs" dxfId="29735" priority="15839" stopIfTrue="1" operator="equal">
      <formula>"Napkin Hs"</formula>
    </cfRule>
  </conditionalFormatting>
  <conditionalFormatting sqref="C39">
    <cfRule type="cellIs" dxfId="29734" priority="15838" stopIfTrue="1" operator="equal">
      <formula>"Towel"</formula>
    </cfRule>
  </conditionalFormatting>
  <conditionalFormatting sqref="C39">
    <cfRule type="cellIs" dxfId="29733" priority="15836" stopIfTrue="1" operator="equal">
      <formula>"Towel"</formula>
    </cfRule>
  </conditionalFormatting>
  <conditionalFormatting sqref="C39">
    <cfRule type="cellIs" dxfId="29732" priority="15837" stopIfTrue="1" operator="equal">
      <formula>"Napkin Hs"</formula>
    </cfRule>
  </conditionalFormatting>
  <conditionalFormatting sqref="B39">
    <cfRule type="cellIs" dxfId="29731" priority="15740" stopIfTrue="1" operator="equal">
      <formula>"Napkin Hs"</formula>
    </cfRule>
  </conditionalFormatting>
  <conditionalFormatting sqref="B39:C39">
    <cfRule type="cellIs" dxfId="29730" priority="15739" stopIfTrue="1" operator="equal">
      <formula>"Towel"</formula>
    </cfRule>
  </conditionalFormatting>
  <conditionalFormatting sqref="B39:C39">
    <cfRule type="cellIs" dxfId="29729" priority="15750" stopIfTrue="1" operator="equal">
      <formula>"Towel"</formula>
    </cfRule>
    <cfRule type="cellIs" dxfId="29728" priority="15751" stopIfTrue="1" operator="equal">
      <formula>"Napkin Hs"</formula>
    </cfRule>
    <cfRule type="cellIs" dxfId="29727" priority="15756" stopIfTrue="1" operator="equal">
      <formula>"Towel"</formula>
    </cfRule>
    <cfRule type="cellIs" dxfId="29726" priority="15757" stopIfTrue="1" operator="equal">
      <formula>"Napkin Hs"</formula>
    </cfRule>
    <cfRule type="cellIs" dxfId="29725" priority="15762" stopIfTrue="1" operator="equal">
      <formula>"Towel"</formula>
    </cfRule>
    <cfRule type="cellIs" dxfId="29724" priority="15763" stopIfTrue="1" operator="equal">
      <formula>"Napkin Hs"</formula>
    </cfRule>
    <cfRule type="cellIs" dxfId="29723" priority="15764" stopIfTrue="1" operator="equal">
      <formula>"Towel"</formula>
    </cfRule>
    <cfRule type="cellIs" dxfId="29722" priority="15765" stopIfTrue="1" operator="equal">
      <formula>"Napkin Hs"</formula>
    </cfRule>
    <cfRule type="cellIs" dxfId="29721" priority="15770" stopIfTrue="1" operator="equal">
      <formula>"Towel"</formula>
    </cfRule>
    <cfRule type="cellIs" dxfId="29720" priority="15771" stopIfTrue="1" operator="equal">
      <formula>"Napkin Hs"</formula>
    </cfRule>
    <cfRule type="cellIs" dxfId="29719" priority="15780" stopIfTrue="1" operator="equal">
      <formula>"Towel"</formula>
    </cfRule>
    <cfRule type="cellIs" dxfId="29718" priority="15781" stopIfTrue="1" operator="equal">
      <formula>"Napkin Hs"</formula>
    </cfRule>
    <cfRule type="cellIs" dxfId="29717" priority="15786" stopIfTrue="1" operator="equal">
      <formula>"Towel"</formula>
    </cfRule>
    <cfRule type="cellIs" dxfId="29716" priority="15787" stopIfTrue="1" operator="equal">
      <formula>"Napkin Hs"</formula>
    </cfRule>
    <cfRule type="cellIs" dxfId="29715" priority="15788" stopIfTrue="1" operator="equal">
      <formula>"Towel"</formula>
    </cfRule>
    <cfRule type="cellIs" dxfId="29714" priority="15789" stopIfTrue="1" operator="equal">
      <formula>"Napkin Hs"</formula>
    </cfRule>
    <cfRule type="cellIs" dxfId="29713" priority="15794" stopIfTrue="1" operator="equal">
      <formula>"Towel"</formula>
    </cfRule>
    <cfRule type="cellIs" dxfId="29712" priority="15795" stopIfTrue="1" operator="equal">
      <formula>"Napkin Hs"</formula>
    </cfRule>
    <cfRule type="cellIs" dxfId="29711" priority="15804" stopIfTrue="1" operator="equal">
      <formula>"Towel"</formula>
    </cfRule>
    <cfRule type="cellIs" dxfId="29710" priority="15805" stopIfTrue="1" operator="equal">
      <formula>"Napkin Hs"</formula>
    </cfRule>
    <cfRule type="cellIs" dxfId="29709" priority="15806" stopIfTrue="1" operator="equal">
      <formula>"Towel"</formula>
    </cfRule>
    <cfRule type="cellIs" dxfId="29708" priority="15807" stopIfTrue="1" operator="equal">
      <formula>"Napkin Hs"</formula>
    </cfRule>
    <cfRule type="cellIs" dxfId="29707" priority="15812" stopIfTrue="1" operator="equal">
      <formula>"Towel"</formula>
    </cfRule>
    <cfRule type="cellIs" dxfId="29706" priority="15813" stopIfTrue="1" operator="equal">
      <formula>"Napkin Hs"</formula>
    </cfRule>
    <cfRule type="cellIs" dxfId="29705" priority="15822" stopIfTrue="1" operator="equal">
      <formula>"Towel"</formula>
    </cfRule>
    <cfRule type="cellIs" dxfId="29704" priority="15823" stopIfTrue="1" operator="equal">
      <formula>"Napkin Hs"</formula>
    </cfRule>
    <cfRule type="cellIs" dxfId="29703" priority="15824" stopIfTrue="1" operator="equal">
      <formula>"Towel"</formula>
    </cfRule>
    <cfRule type="cellIs" dxfId="29702" priority="15825" stopIfTrue="1" operator="equal">
      <formula>"Napkin Hs"</formula>
    </cfRule>
    <cfRule type="cellIs" dxfId="29701" priority="15831" stopIfTrue="1" operator="equal">
      <formula>"Napkin Hs"</formula>
    </cfRule>
  </conditionalFormatting>
  <conditionalFormatting sqref="B39:C39">
    <cfRule type="cellIs" dxfId="29700" priority="15830" stopIfTrue="1" operator="equal">
      <formula>"Towel"</formula>
    </cfRule>
  </conditionalFormatting>
  <conditionalFormatting sqref="C39">
    <cfRule type="cellIs" dxfId="29699" priority="15741" stopIfTrue="1" operator="equal">
      <formula>"Napkin Hs"</formula>
    </cfRule>
    <cfRule type="cellIs" dxfId="29698" priority="15742" stopIfTrue="1" operator="equal">
      <formula>"Towel"</formula>
    </cfRule>
    <cfRule type="cellIs" dxfId="29697" priority="15743" stopIfTrue="1" operator="equal">
      <formula>"Napkin Hs"</formula>
    </cfRule>
    <cfRule type="cellIs" dxfId="29696" priority="15744" stopIfTrue="1" operator="equal">
      <formula>"Towel"</formula>
    </cfRule>
    <cfRule type="cellIs" dxfId="29695" priority="15745" stopIfTrue="1" operator="equal">
      <formula>"Napkin Hs"</formula>
    </cfRule>
    <cfRule type="cellIs" dxfId="29694" priority="15746" stopIfTrue="1" operator="equal">
      <formula>"Towel"</formula>
    </cfRule>
    <cfRule type="cellIs" dxfId="29693" priority="15747" stopIfTrue="1" operator="equal">
      <formula>"Napkin Hs"</formula>
    </cfRule>
    <cfRule type="cellIs" dxfId="29692" priority="15748" stopIfTrue="1" operator="equal">
      <formula>"Towel"</formula>
    </cfRule>
    <cfRule type="cellIs" dxfId="29691" priority="15749" stopIfTrue="1" operator="equal">
      <formula>"Napkin Hs"</formula>
    </cfRule>
    <cfRule type="cellIs" dxfId="29690" priority="15752" stopIfTrue="1" operator="equal">
      <formula>"Towel"</formula>
    </cfRule>
    <cfRule type="cellIs" dxfId="29689" priority="15753" stopIfTrue="1" operator="equal">
      <formula>"Napkin Hs"</formula>
    </cfRule>
    <cfRule type="cellIs" dxfId="29688" priority="15754" stopIfTrue="1" operator="equal">
      <formula>"Towel"</formula>
    </cfRule>
    <cfRule type="cellIs" dxfId="29687" priority="15755" stopIfTrue="1" operator="equal">
      <formula>"Napkin Hs"</formula>
    </cfRule>
    <cfRule type="cellIs" dxfId="29686" priority="15758" stopIfTrue="1" operator="equal">
      <formula>"Towel"</formula>
    </cfRule>
    <cfRule type="cellIs" dxfId="29685" priority="15759" stopIfTrue="1" operator="equal">
      <formula>"Napkin Hs"</formula>
    </cfRule>
    <cfRule type="cellIs" dxfId="29684" priority="15760" stopIfTrue="1" operator="equal">
      <formula>"Towel"</formula>
    </cfRule>
    <cfRule type="cellIs" dxfId="29683" priority="15761" stopIfTrue="1" operator="equal">
      <formula>"Napkin Hs"</formula>
    </cfRule>
    <cfRule type="cellIs" dxfId="29682" priority="15766" stopIfTrue="1" operator="equal">
      <formula>"Towel"</formula>
    </cfRule>
    <cfRule type="cellIs" dxfId="29681" priority="15767" stopIfTrue="1" operator="equal">
      <formula>"Napkin Hs"</formula>
    </cfRule>
    <cfRule type="cellIs" dxfId="29680" priority="15768" stopIfTrue="1" operator="equal">
      <formula>"Towel"</formula>
    </cfRule>
    <cfRule type="cellIs" dxfId="29679" priority="15769" stopIfTrue="1" operator="equal">
      <formula>"Napkin Hs"</formula>
    </cfRule>
    <cfRule type="cellIs" dxfId="29678" priority="15772" stopIfTrue="1" operator="equal">
      <formula>"Towel"</formula>
    </cfRule>
    <cfRule type="cellIs" dxfId="29677" priority="15773" stopIfTrue="1" operator="equal">
      <formula>"Napkin Hs"</formula>
    </cfRule>
    <cfRule type="cellIs" dxfId="29676" priority="15774" stopIfTrue="1" operator="equal">
      <formula>"Towel"</formula>
    </cfRule>
    <cfRule type="cellIs" dxfId="29675" priority="15775" stopIfTrue="1" operator="equal">
      <formula>"Napkin Hs"</formula>
    </cfRule>
    <cfRule type="cellIs" dxfId="29674" priority="15776" stopIfTrue="1" operator="equal">
      <formula>"Towel"</formula>
    </cfRule>
    <cfRule type="cellIs" dxfId="29673" priority="15777" stopIfTrue="1" operator="equal">
      <formula>"Napkin Hs"</formula>
    </cfRule>
    <cfRule type="cellIs" dxfId="29672" priority="15778" stopIfTrue="1" operator="equal">
      <formula>"Towel"</formula>
    </cfRule>
    <cfRule type="cellIs" dxfId="29671" priority="15779" stopIfTrue="1" operator="equal">
      <formula>"Napkin Hs"</formula>
    </cfRule>
    <cfRule type="cellIs" dxfId="29670" priority="15782" stopIfTrue="1" operator="equal">
      <formula>"Towel"</formula>
    </cfRule>
    <cfRule type="cellIs" dxfId="29669" priority="15783" stopIfTrue="1" operator="equal">
      <formula>"Napkin Hs"</formula>
    </cfRule>
    <cfRule type="cellIs" dxfId="29668" priority="15784" stopIfTrue="1" operator="equal">
      <formula>"Towel"</formula>
    </cfRule>
    <cfRule type="cellIs" dxfId="29667" priority="15785" stopIfTrue="1" operator="equal">
      <formula>"Napkin Hs"</formula>
    </cfRule>
    <cfRule type="cellIs" dxfId="29666" priority="15790" stopIfTrue="1" operator="equal">
      <formula>"Towel"</formula>
    </cfRule>
    <cfRule type="cellIs" dxfId="29665" priority="15791" stopIfTrue="1" operator="equal">
      <formula>"Napkin Hs"</formula>
    </cfRule>
    <cfRule type="cellIs" dxfId="29664" priority="15792" stopIfTrue="1" operator="equal">
      <formula>"Towel"</formula>
    </cfRule>
    <cfRule type="cellIs" dxfId="29663" priority="15793" stopIfTrue="1" operator="equal">
      <formula>"Napkin Hs"</formula>
    </cfRule>
    <cfRule type="cellIs" dxfId="29662" priority="15796" stopIfTrue="1" operator="equal">
      <formula>"Towel"</formula>
    </cfRule>
    <cfRule type="cellIs" dxfId="29661" priority="15797" stopIfTrue="1" operator="equal">
      <formula>"Napkin Hs"</formula>
    </cfRule>
    <cfRule type="cellIs" dxfId="29660" priority="15798" stopIfTrue="1" operator="equal">
      <formula>"Towel"</formula>
    </cfRule>
    <cfRule type="cellIs" dxfId="29659" priority="15799" stopIfTrue="1" operator="equal">
      <formula>"Napkin Hs"</formula>
    </cfRule>
    <cfRule type="cellIs" dxfId="29658" priority="15800" stopIfTrue="1" operator="equal">
      <formula>"Towel"</formula>
    </cfRule>
    <cfRule type="cellIs" dxfId="29657" priority="15801" stopIfTrue="1" operator="equal">
      <formula>"Napkin Hs"</formula>
    </cfRule>
    <cfRule type="cellIs" dxfId="29656" priority="15802" stopIfTrue="1" operator="equal">
      <formula>"Towel"</formula>
    </cfRule>
    <cfRule type="cellIs" dxfId="29655" priority="15803" stopIfTrue="1" operator="equal">
      <formula>"Napkin Hs"</formula>
    </cfRule>
    <cfRule type="cellIs" dxfId="29654" priority="15808" stopIfTrue="1" operator="equal">
      <formula>"Towel"</formula>
    </cfRule>
    <cfRule type="cellIs" dxfId="29653" priority="15809" stopIfTrue="1" operator="equal">
      <formula>"Napkin Hs"</formula>
    </cfRule>
    <cfRule type="cellIs" dxfId="29652" priority="15810" stopIfTrue="1" operator="equal">
      <formula>"Towel"</formula>
    </cfRule>
    <cfRule type="cellIs" dxfId="29651" priority="15811" stopIfTrue="1" operator="equal">
      <formula>"Napkin Hs"</formula>
    </cfRule>
    <cfRule type="cellIs" dxfId="29650" priority="15814" stopIfTrue="1" operator="equal">
      <formula>"Towel"</formula>
    </cfRule>
    <cfRule type="cellIs" dxfId="29649" priority="15815" stopIfTrue="1" operator="equal">
      <formula>"Napkin Hs"</formula>
    </cfRule>
    <cfRule type="cellIs" dxfId="29648" priority="15816" stopIfTrue="1" operator="equal">
      <formula>"Towel"</formula>
    </cfRule>
    <cfRule type="cellIs" dxfId="29647" priority="15817" stopIfTrue="1" operator="equal">
      <formula>"Napkin Hs"</formula>
    </cfRule>
    <cfRule type="cellIs" dxfId="29646" priority="15818" stopIfTrue="1" operator="equal">
      <formula>"Towel"</formula>
    </cfRule>
    <cfRule type="cellIs" dxfId="29645" priority="15819" stopIfTrue="1" operator="equal">
      <formula>"Napkin Hs"</formula>
    </cfRule>
    <cfRule type="cellIs" dxfId="29644" priority="15820" stopIfTrue="1" operator="equal">
      <formula>"Towel"</formula>
    </cfRule>
    <cfRule type="cellIs" dxfId="29643" priority="15821" stopIfTrue="1" operator="equal">
      <formula>"Napkin Hs"</formula>
    </cfRule>
    <cfRule type="cellIs" dxfId="29642" priority="15826" stopIfTrue="1" operator="equal">
      <formula>"Towel"</formula>
    </cfRule>
    <cfRule type="cellIs" dxfId="29641" priority="15827" stopIfTrue="1" operator="equal">
      <formula>"Napkin Hs"</formula>
    </cfRule>
    <cfRule type="cellIs" dxfId="29640" priority="15828" stopIfTrue="1" operator="equal">
      <formula>"Towel"</formula>
    </cfRule>
    <cfRule type="cellIs" dxfId="29639" priority="15829" stopIfTrue="1" operator="equal">
      <formula>"Napkin Hs"</formula>
    </cfRule>
    <cfRule type="cellIs" dxfId="29638" priority="15832" stopIfTrue="1" operator="equal">
      <formula>"Towel"</formula>
    </cfRule>
    <cfRule type="cellIs" dxfId="29637" priority="15833" stopIfTrue="1" operator="equal">
      <formula>"Napkin Hs"</formula>
    </cfRule>
    <cfRule type="cellIs" dxfId="29636" priority="15834" stopIfTrue="1" operator="equal">
      <formula>"Towel"</formula>
    </cfRule>
    <cfRule type="cellIs" dxfId="29635" priority="15835" stopIfTrue="1" operator="equal">
      <formula>"Napkin Hs"</formula>
    </cfRule>
  </conditionalFormatting>
  <conditionalFormatting sqref="C39">
    <cfRule type="cellIs" dxfId="29634" priority="15738" stopIfTrue="1" operator="equal">
      <formula>"Napkin Hs"</formula>
    </cfRule>
  </conditionalFormatting>
  <conditionalFormatting sqref="C39">
    <cfRule type="cellIs" dxfId="29633" priority="15737" stopIfTrue="1" operator="equal">
      <formula>"Napkin Hs"</formula>
    </cfRule>
  </conditionalFormatting>
  <conditionalFormatting sqref="B39">
    <cfRule type="cellIs" dxfId="29632" priority="15736" stopIfTrue="1" operator="equal">
      <formula>"Napkin Hs"</formula>
    </cfRule>
  </conditionalFormatting>
  <conditionalFormatting sqref="C39">
    <cfRule type="cellIs" dxfId="29631" priority="15735" stopIfTrue="1" operator="equal">
      <formula>"Napkin Hs"</formula>
    </cfRule>
  </conditionalFormatting>
  <conditionalFormatting sqref="C39">
    <cfRule type="cellIs" dxfId="29630" priority="15734" stopIfTrue="1" operator="equal">
      <formula>"Napkin Hs"</formula>
    </cfRule>
  </conditionalFormatting>
  <conditionalFormatting sqref="C39">
    <cfRule type="cellIs" dxfId="29629" priority="15733" stopIfTrue="1" operator="equal">
      <formula>"Napkin Hs"</formula>
    </cfRule>
  </conditionalFormatting>
  <conditionalFormatting sqref="C39">
    <cfRule type="cellIs" dxfId="29628" priority="15732" stopIfTrue="1" operator="equal">
      <formula>"Napkin Hs"</formula>
    </cfRule>
  </conditionalFormatting>
  <conditionalFormatting sqref="B39">
    <cfRule type="cellIs" dxfId="29627" priority="15731" stopIfTrue="1" operator="equal">
      <formula>"Napkin Hs"</formula>
    </cfRule>
  </conditionalFormatting>
  <conditionalFormatting sqref="B39">
    <cfRule type="cellIs" dxfId="29626" priority="15730" stopIfTrue="1" operator="equal">
      <formula>"Napkin Hs"</formula>
    </cfRule>
  </conditionalFormatting>
  <conditionalFormatting sqref="C39">
    <cfRule type="cellIs" dxfId="29625" priority="15726" stopIfTrue="1" operator="equal">
      <formula>"Towel"</formula>
    </cfRule>
    <cfRule type="cellIs" dxfId="29624" priority="15727" stopIfTrue="1" operator="equal">
      <formula>"Napkin Hs"</formula>
    </cfRule>
  </conditionalFormatting>
  <conditionalFormatting sqref="C39">
    <cfRule type="cellIs" dxfId="29623" priority="15728" stopIfTrue="1" operator="equal">
      <formula>"Towel"</formula>
    </cfRule>
    <cfRule type="cellIs" dxfId="29622" priority="15729" stopIfTrue="1" operator="equal">
      <formula>"Napkin Hs"</formula>
    </cfRule>
  </conditionalFormatting>
  <conditionalFormatting sqref="C39">
    <cfRule type="cellIs" dxfId="29621" priority="15722" stopIfTrue="1" operator="equal">
      <formula>"Towel"</formula>
    </cfRule>
    <cfRule type="cellIs" dxfId="29620" priority="15723" stopIfTrue="1" operator="equal">
      <formula>"Napkin Hs"</formula>
    </cfRule>
  </conditionalFormatting>
  <conditionalFormatting sqref="C39">
    <cfRule type="cellIs" dxfId="29619" priority="15724" stopIfTrue="1" operator="equal">
      <formula>"Towel"</formula>
    </cfRule>
    <cfRule type="cellIs" dxfId="29618" priority="15725" stopIfTrue="1" operator="equal">
      <formula>"Napkin Hs"</formula>
    </cfRule>
  </conditionalFormatting>
  <conditionalFormatting sqref="C37">
    <cfRule type="cellIs" dxfId="29617" priority="15718" stopIfTrue="1" operator="equal">
      <formula>"Towel"</formula>
    </cfRule>
    <cfRule type="cellIs" dxfId="29616" priority="15719" stopIfTrue="1" operator="equal">
      <formula>"Napkin Hs"</formula>
    </cfRule>
  </conditionalFormatting>
  <conditionalFormatting sqref="C37">
    <cfRule type="cellIs" dxfId="29615" priority="15720" stopIfTrue="1" operator="equal">
      <formula>"Towel"</formula>
    </cfRule>
    <cfRule type="cellIs" dxfId="29614" priority="15721" stopIfTrue="1" operator="equal">
      <formula>"Napkin Hs"</formula>
    </cfRule>
  </conditionalFormatting>
  <conditionalFormatting sqref="C37">
    <cfRule type="cellIs" dxfId="29613" priority="15716" stopIfTrue="1" operator="equal">
      <formula>"Towel"</formula>
    </cfRule>
    <cfRule type="cellIs" dxfId="29612" priority="15717" stopIfTrue="1" operator="equal">
      <formula>"Napkin Hs"</formula>
    </cfRule>
  </conditionalFormatting>
  <conditionalFormatting sqref="B37">
    <cfRule type="cellIs" dxfId="29611" priority="15714" stopIfTrue="1" operator="equal">
      <formula>"Towel"</formula>
    </cfRule>
    <cfRule type="cellIs" dxfId="29610" priority="15715" stopIfTrue="1" operator="equal">
      <formula>"Napkin Hs"</formula>
    </cfRule>
  </conditionalFormatting>
  <conditionalFormatting sqref="C37">
    <cfRule type="cellIs" dxfId="29609" priority="15708" stopIfTrue="1" operator="equal">
      <formula>"Towel"</formula>
    </cfRule>
    <cfRule type="cellIs" dxfId="29608" priority="15709" stopIfTrue="1" operator="equal">
      <formula>"Napkin Hs"</formula>
    </cfRule>
  </conditionalFormatting>
  <conditionalFormatting sqref="C37">
    <cfRule type="cellIs" dxfId="29607" priority="15712" stopIfTrue="1" operator="equal">
      <formula>"Towel"</formula>
    </cfRule>
    <cfRule type="cellIs" dxfId="29606" priority="15713" stopIfTrue="1" operator="equal">
      <formula>"Napkin Hs"</formula>
    </cfRule>
  </conditionalFormatting>
  <conditionalFormatting sqref="C37">
    <cfRule type="cellIs" dxfId="29605" priority="15710" stopIfTrue="1" operator="equal">
      <formula>"Towel"</formula>
    </cfRule>
    <cfRule type="cellIs" dxfId="29604" priority="15711" stopIfTrue="1" operator="equal">
      <formula>"Napkin Hs"</formula>
    </cfRule>
  </conditionalFormatting>
  <conditionalFormatting sqref="C37">
    <cfRule type="cellIs" dxfId="29603" priority="15702" stopIfTrue="1" operator="equal">
      <formula>"Towel"</formula>
    </cfRule>
    <cfRule type="cellIs" dxfId="29602" priority="15703" stopIfTrue="1" operator="equal">
      <formula>"Napkin Hs"</formula>
    </cfRule>
  </conditionalFormatting>
  <conditionalFormatting sqref="C37">
    <cfRule type="cellIs" dxfId="29601" priority="15704" stopIfTrue="1" operator="equal">
      <formula>"Towel"</formula>
    </cfRule>
    <cfRule type="cellIs" dxfId="29600" priority="15705" stopIfTrue="1" operator="equal">
      <formula>"Napkin Hs"</formula>
    </cfRule>
  </conditionalFormatting>
  <conditionalFormatting sqref="C37">
    <cfRule type="cellIs" dxfId="29599" priority="15706" stopIfTrue="1" operator="equal">
      <formula>"Towel"</formula>
    </cfRule>
    <cfRule type="cellIs" dxfId="29598" priority="15707" stopIfTrue="1" operator="equal">
      <formula>"Napkin Hs"</formula>
    </cfRule>
  </conditionalFormatting>
  <conditionalFormatting sqref="B37:C37">
    <cfRule type="cellIs" dxfId="29597" priority="15700" stopIfTrue="1" operator="equal">
      <formula>"Towel"</formula>
    </cfRule>
    <cfRule type="cellIs" dxfId="29596" priority="15701" stopIfTrue="1" operator="equal">
      <formula>"Napkin Hs"</formula>
    </cfRule>
  </conditionalFormatting>
  <conditionalFormatting sqref="B37:C37">
    <cfRule type="cellIs" dxfId="29595" priority="15698" stopIfTrue="1" operator="equal">
      <formula>"Towel"</formula>
    </cfRule>
    <cfRule type="cellIs" dxfId="29594" priority="15699" stopIfTrue="1" operator="equal">
      <formula>"Napkin Hs"</formula>
    </cfRule>
  </conditionalFormatting>
  <conditionalFormatting sqref="B37:C37">
    <cfRule type="cellIs" dxfId="29593" priority="15674" stopIfTrue="1" operator="equal">
      <formula>"Towel"</formula>
    </cfRule>
  </conditionalFormatting>
  <conditionalFormatting sqref="B37:C37">
    <cfRule type="cellIs" dxfId="29592" priority="15675" stopIfTrue="1" operator="equal">
      <formula>"Napkin Hs"</formula>
    </cfRule>
    <cfRule type="cellIs" dxfId="29591" priority="15680" stopIfTrue="1" operator="equal">
      <formula>"Towel"</formula>
    </cfRule>
    <cfRule type="cellIs" dxfId="29590" priority="15681" stopIfTrue="1" operator="equal">
      <formula>"Napkin Hs"</formula>
    </cfRule>
    <cfRule type="cellIs" dxfId="29589" priority="15690" stopIfTrue="1" operator="equal">
      <formula>"Towel"</formula>
    </cfRule>
    <cfRule type="cellIs" dxfId="29588" priority="15691" stopIfTrue="1" operator="equal">
      <formula>"Napkin Hs"</formula>
    </cfRule>
    <cfRule type="cellIs" dxfId="29587" priority="15696" stopIfTrue="1" operator="equal">
      <formula>"Towel"</formula>
    </cfRule>
    <cfRule type="cellIs" dxfId="29586" priority="15697" stopIfTrue="1" operator="equal">
      <formula>"Napkin Hs"</formula>
    </cfRule>
  </conditionalFormatting>
  <conditionalFormatting sqref="C37">
    <cfRule type="cellIs" dxfId="29585" priority="15676" stopIfTrue="1" operator="equal">
      <formula>"Towel"</formula>
    </cfRule>
    <cfRule type="cellIs" dxfId="29584" priority="15677" stopIfTrue="1" operator="equal">
      <formula>"Napkin Hs"</formula>
    </cfRule>
    <cfRule type="cellIs" dxfId="29583" priority="15678" stopIfTrue="1" operator="equal">
      <formula>"Towel"</formula>
    </cfRule>
    <cfRule type="cellIs" dxfId="29582" priority="15679" stopIfTrue="1" operator="equal">
      <formula>"Napkin Hs"</formula>
    </cfRule>
    <cfRule type="cellIs" dxfId="29581" priority="15682" stopIfTrue="1" operator="equal">
      <formula>"Towel"</formula>
    </cfRule>
    <cfRule type="cellIs" dxfId="29580" priority="15683" stopIfTrue="1" operator="equal">
      <formula>"Napkin Hs"</formula>
    </cfRule>
    <cfRule type="cellIs" dxfId="29579" priority="15684" stopIfTrue="1" operator="equal">
      <formula>"Towel"</formula>
    </cfRule>
    <cfRule type="cellIs" dxfId="29578" priority="15685" stopIfTrue="1" operator="equal">
      <formula>"Napkin Hs"</formula>
    </cfRule>
    <cfRule type="cellIs" dxfId="29577" priority="15686" stopIfTrue="1" operator="equal">
      <formula>"Towel"</formula>
    </cfRule>
    <cfRule type="cellIs" dxfId="29576" priority="15687" stopIfTrue="1" operator="equal">
      <formula>"Napkin Hs"</formula>
    </cfRule>
    <cfRule type="cellIs" dxfId="29575" priority="15688" stopIfTrue="1" operator="equal">
      <formula>"Towel"</formula>
    </cfRule>
    <cfRule type="cellIs" dxfId="29574" priority="15689" stopIfTrue="1" operator="equal">
      <formula>"Napkin Hs"</formula>
    </cfRule>
    <cfRule type="cellIs" dxfId="29573" priority="15692" stopIfTrue="1" operator="equal">
      <formula>"Towel"</formula>
    </cfRule>
    <cfRule type="cellIs" dxfId="29572" priority="15693" stopIfTrue="1" operator="equal">
      <formula>"Napkin Hs"</formula>
    </cfRule>
    <cfRule type="cellIs" dxfId="29571" priority="15695" stopIfTrue="1" operator="equal">
      <formula>"Napkin Hs"</formula>
    </cfRule>
  </conditionalFormatting>
  <conditionalFormatting sqref="C37">
    <cfRule type="cellIs" dxfId="29570" priority="15694" stopIfTrue="1" operator="equal">
      <formula>"Towel"</formula>
    </cfRule>
  </conditionalFormatting>
  <conditionalFormatting sqref="B37:C37">
    <cfRule type="cellIs" dxfId="29569" priority="15672" stopIfTrue="1" operator="equal">
      <formula>"Towel"</formula>
    </cfRule>
    <cfRule type="cellIs" dxfId="29568" priority="15673" stopIfTrue="1" operator="equal">
      <formula>"Napkin Hs"</formula>
    </cfRule>
  </conditionalFormatting>
  <conditionalFormatting sqref="C37">
    <cfRule type="cellIs" dxfId="29567" priority="15671" stopIfTrue="1" operator="equal">
      <formula>"Napkin Hs"</formula>
    </cfRule>
  </conditionalFormatting>
  <conditionalFormatting sqref="C37">
    <cfRule type="cellIs" dxfId="29566" priority="15670" stopIfTrue="1" operator="equal">
      <formula>"Towel"</formula>
    </cfRule>
  </conditionalFormatting>
  <conditionalFormatting sqref="C37">
    <cfRule type="cellIs" dxfId="29565" priority="15668" stopIfTrue="1" operator="equal">
      <formula>"Towel"</formula>
    </cfRule>
  </conditionalFormatting>
  <conditionalFormatting sqref="C37">
    <cfRule type="cellIs" dxfId="29564" priority="15669" stopIfTrue="1" operator="equal">
      <formula>"Napkin Hs"</formula>
    </cfRule>
  </conditionalFormatting>
  <conditionalFormatting sqref="B37">
    <cfRule type="cellIs" dxfId="29563" priority="15572" stopIfTrue="1" operator="equal">
      <formula>"Napkin Hs"</formula>
    </cfRule>
  </conditionalFormatting>
  <conditionalFormatting sqref="B37:C37">
    <cfRule type="cellIs" dxfId="29562" priority="15571" stopIfTrue="1" operator="equal">
      <formula>"Towel"</formula>
    </cfRule>
  </conditionalFormatting>
  <conditionalFormatting sqref="B37:C37">
    <cfRule type="cellIs" dxfId="29561" priority="15582" stopIfTrue="1" operator="equal">
      <formula>"Towel"</formula>
    </cfRule>
    <cfRule type="cellIs" dxfId="29560" priority="15583" stopIfTrue="1" operator="equal">
      <formula>"Napkin Hs"</formula>
    </cfRule>
    <cfRule type="cellIs" dxfId="29559" priority="15588" stopIfTrue="1" operator="equal">
      <formula>"Towel"</formula>
    </cfRule>
    <cfRule type="cellIs" dxfId="29558" priority="15589" stopIfTrue="1" operator="equal">
      <formula>"Napkin Hs"</formula>
    </cfRule>
    <cfRule type="cellIs" dxfId="29557" priority="15594" stopIfTrue="1" operator="equal">
      <formula>"Towel"</formula>
    </cfRule>
    <cfRule type="cellIs" dxfId="29556" priority="15595" stopIfTrue="1" operator="equal">
      <formula>"Napkin Hs"</formula>
    </cfRule>
    <cfRule type="cellIs" dxfId="29555" priority="15596" stopIfTrue="1" operator="equal">
      <formula>"Towel"</formula>
    </cfRule>
    <cfRule type="cellIs" dxfId="29554" priority="15597" stopIfTrue="1" operator="equal">
      <formula>"Napkin Hs"</formula>
    </cfRule>
    <cfRule type="cellIs" dxfId="29553" priority="15602" stopIfTrue="1" operator="equal">
      <formula>"Towel"</formula>
    </cfRule>
    <cfRule type="cellIs" dxfId="29552" priority="15603" stopIfTrue="1" operator="equal">
      <formula>"Napkin Hs"</formula>
    </cfRule>
    <cfRule type="cellIs" dxfId="29551" priority="15612" stopIfTrue="1" operator="equal">
      <formula>"Towel"</formula>
    </cfRule>
    <cfRule type="cellIs" dxfId="29550" priority="15613" stopIfTrue="1" operator="equal">
      <formula>"Napkin Hs"</formula>
    </cfRule>
    <cfRule type="cellIs" dxfId="29549" priority="15618" stopIfTrue="1" operator="equal">
      <formula>"Towel"</formula>
    </cfRule>
    <cfRule type="cellIs" dxfId="29548" priority="15619" stopIfTrue="1" operator="equal">
      <formula>"Napkin Hs"</formula>
    </cfRule>
    <cfRule type="cellIs" dxfId="29547" priority="15620" stopIfTrue="1" operator="equal">
      <formula>"Towel"</formula>
    </cfRule>
    <cfRule type="cellIs" dxfId="29546" priority="15621" stopIfTrue="1" operator="equal">
      <formula>"Napkin Hs"</formula>
    </cfRule>
    <cfRule type="cellIs" dxfId="29545" priority="15626" stopIfTrue="1" operator="equal">
      <formula>"Towel"</formula>
    </cfRule>
    <cfRule type="cellIs" dxfId="29544" priority="15627" stopIfTrue="1" operator="equal">
      <formula>"Napkin Hs"</formula>
    </cfRule>
    <cfRule type="cellIs" dxfId="29543" priority="15636" stopIfTrue="1" operator="equal">
      <formula>"Towel"</formula>
    </cfRule>
    <cfRule type="cellIs" dxfId="29542" priority="15637" stopIfTrue="1" operator="equal">
      <formula>"Napkin Hs"</formula>
    </cfRule>
    <cfRule type="cellIs" dxfId="29541" priority="15638" stopIfTrue="1" operator="equal">
      <formula>"Towel"</formula>
    </cfRule>
    <cfRule type="cellIs" dxfId="29540" priority="15639" stopIfTrue="1" operator="equal">
      <formula>"Napkin Hs"</formula>
    </cfRule>
    <cfRule type="cellIs" dxfId="29539" priority="15644" stopIfTrue="1" operator="equal">
      <formula>"Towel"</formula>
    </cfRule>
    <cfRule type="cellIs" dxfId="29538" priority="15645" stopIfTrue="1" operator="equal">
      <formula>"Napkin Hs"</formula>
    </cfRule>
    <cfRule type="cellIs" dxfId="29537" priority="15654" stopIfTrue="1" operator="equal">
      <formula>"Towel"</formula>
    </cfRule>
    <cfRule type="cellIs" dxfId="29536" priority="15655" stopIfTrue="1" operator="equal">
      <formula>"Napkin Hs"</formula>
    </cfRule>
    <cfRule type="cellIs" dxfId="29535" priority="15656" stopIfTrue="1" operator="equal">
      <formula>"Towel"</formula>
    </cfRule>
    <cfRule type="cellIs" dxfId="29534" priority="15657" stopIfTrue="1" operator="equal">
      <formula>"Napkin Hs"</formula>
    </cfRule>
    <cfRule type="cellIs" dxfId="29533" priority="15663" stopIfTrue="1" operator="equal">
      <formula>"Napkin Hs"</formula>
    </cfRule>
  </conditionalFormatting>
  <conditionalFormatting sqref="B37:C37">
    <cfRule type="cellIs" dxfId="29532" priority="15662" stopIfTrue="1" operator="equal">
      <formula>"Towel"</formula>
    </cfRule>
  </conditionalFormatting>
  <conditionalFormatting sqref="C37">
    <cfRule type="cellIs" dxfId="29531" priority="15573" stopIfTrue="1" operator="equal">
      <formula>"Napkin Hs"</formula>
    </cfRule>
    <cfRule type="cellIs" dxfId="29530" priority="15574" stopIfTrue="1" operator="equal">
      <formula>"Towel"</formula>
    </cfRule>
    <cfRule type="cellIs" dxfId="29529" priority="15575" stopIfTrue="1" operator="equal">
      <formula>"Napkin Hs"</formula>
    </cfRule>
    <cfRule type="cellIs" dxfId="29528" priority="15576" stopIfTrue="1" operator="equal">
      <formula>"Towel"</formula>
    </cfRule>
    <cfRule type="cellIs" dxfId="29527" priority="15577" stopIfTrue="1" operator="equal">
      <formula>"Napkin Hs"</formula>
    </cfRule>
    <cfRule type="cellIs" dxfId="29526" priority="15578" stopIfTrue="1" operator="equal">
      <formula>"Towel"</formula>
    </cfRule>
    <cfRule type="cellIs" dxfId="29525" priority="15579" stopIfTrue="1" operator="equal">
      <formula>"Napkin Hs"</formula>
    </cfRule>
    <cfRule type="cellIs" dxfId="29524" priority="15580" stopIfTrue="1" operator="equal">
      <formula>"Towel"</formula>
    </cfRule>
    <cfRule type="cellIs" dxfId="29523" priority="15581" stopIfTrue="1" operator="equal">
      <formula>"Napkin Hs"</formula>
    </cfRule>
    <cfRule type="cellIs" dxfId="29522" priority="15584" stopIfTrue="1" operator="equal">
      <formula>"Towel"</formula>
    </cfRule>
    <cfRule type="cellIs" dxfId="29521" priority="15585" stopIfTrue="1" operator="equal">
      <formula>"Napkin Hs"</formula>
    </cfRule>
    <cfRule type="cellIs" dxfId="29520" priority="15586" stopIfTrue="1" operator="equal">
      <formula>"Towel"</formula>
    </cfRule>
    <cfRule type="cellIs" dxfId="29519" priority="15587" stopIfTrue="1" operator="equal">
      <formula>"Napkin Hs"</formula>
    </cfRule>
    <cfRule type="cellIs" dxfId="29518" priority="15590" stopIfTrue="1" operator="equal">
      <formula>"Towel"</formula>
    </cfRule>
    <cfRule type="cellIs" dxfId="29517" priority="15591" stopIfTrue="1" operator="equal">
      <formula>"Napkin Hs"</formula>
    </cfRule>
    <cfRule type="cellIs" dxfId="29516" priority="15592" stopIfTrue="1" operator="equal">
      <formula>"Towel"</formula>
    </cfRule>
    <cfRule type="cellIs" dxfId="29515" priority="15593" stopIfTrue="1" operator="equal">
      <formula>"Napkin Hs"</formula>
    </cfRule>
    <cfRule type="cellIs" dxfId="29514" priority="15598" stopIfTrue="1" operator="equal">
      <formula>"Towel"</formula>
    </cfRule>
    <cfRule type="cellIs" dxfId="29513" priority="15599" stopIfTrue="1" operator="equal">
      <formula>"Napkin Hs"</formula>
    </cfRule>
    <cfRule type="cellIs" dxfId="29512" priority="15600" stopIfTrue="1" operator="equal">
      <formula>"Towel"</formula>
    </cfRule>
    <cfRule type="cellIs" dxfId="29511" priority="15601" stopIfTrue="1" operator="equal">
      <formula>"Napkin Hs"</formula>
    </cfRule>
    <cfRule type="cellIs" dxfId="29510" priority="15604" stopIfTrue="1" operator="equal">
      <formula>"Towel"</formula>
    </cfRule>
    <cfRule type="cellIs" dxfId="29509" priority="15605" stopIfTrue="1" operator="equal">
      <formula>"Napkin Hs"</formula>
    </cfRule>
    <cfRule type="cellIs" dxfId="29508" priority="15606" stopIfTrue="1" operator="equal">
      <formula>"Towel"</formula>
    </cfRule>
    <cfRule type="cellIs" dxfId="29507" priority="15607" stopIfTrue="1" operator="equal">
      <formula>"Napkin Hs"</formula>
    </cfRule>
    <cfRule type="cellIs" dxfId="29506" priority="15608" stopIfTrue="1" operator="equal">
      <formula>"Towel"</formula>
    </cfRule>
    <cfRule type="cellIs" dxfId="29505" priority="15609" stopIfTrue="1" operator="equal">
      <formula>"Napkin Hs"</formula>
    </cfRule>
    <cfRule type="cellIs" dxfId="29504" priority="15610" stopIfTrue="1" operator="equal">
      <formula>"Towel"</formula>
    </cfRule>
    <cfRule type="cellIs" dxfId="29503" priority="15611" stopIfTrue="1" operator="equal">
      <formula>"Napkin Hs"</formula>
    </cfRule>
    <cfRule type="cellIs" dxfId="29502" priority="15614" stopIfTrue="1" operator="equal">
      <formula>"Towel"</formula>
    </cfRule>
    <cfRule type="cellIs" dxfId="29501" priority="15615" stopIfTrue="1" operator="equal">
      <formula>"Napkin Hs"</formula>
    </cfRule>
    <cfRule type="cellIs" dxfId="29500" priority="15616" stopIfTrue="1" operator="equal">
      <formula>"Towel"</formula>
    </cfRule>
    <cfRule type="cellIs" dxfId="29499" priority="15617" stopIfTrue="1" operator="equal">
      <formula>"Napkin Hs"</formula>
    </cfRule>
    <cfRule type="cellIs" dxfId="29498" priority="15622" stopIfTrue="1" operator="equal">
      <formula>"Towel"</formula>
    </cfRule>
    <cfRule type="cellIs" dxfId="29497" priority="15623" stopIfTrue="1" operator="equal">
      <formula>"Napkin Hs"</formula>
    </cfRule>
    <cfRule type="cellIs" dxfId="29496" priority="15624" stopIfTrue="1" operator="equal">
      <formula>"Towel"</formula>
    </cfRule>
    <cfRule type="cellIs" dxfId="29495" priority="15625" stopIfTrue="1" operator="equal">
      <formula>"Napkin Hs"</formula>
    </cfRule>
    <cfRule type="cellIs" dxfId="29494" priority="15628" stopIfTrue="1" operator="equal">
      <formula>"Towel"</formula>
    </cfRule>
    <cfRule type="cellIs" dxfId="29493" priority="15629" stopIfTrue="1" operator="equal">
      <formula>"Napkin Hs"</formula>
    </cfRule>
    <cfRule type="cellIs" dxfId="29492" priority="15630" stopIfTrue="1" operator="equal">
      <formula>"Towel"</formula>
    </cfRule>
    <cfRule type="cellIs" dxfId="29491" priority="15631" stopIfTrue="1" operator="equal">
      <formula>"Napkin Hs"</formula>
    </cfRule>
    <cfRule type="cellIs" dxfId="29490" priority="15632" stopIfTrue="1" operator="equal">
      <formula>"Towel"</formula>
    </cfRule>
    <cfRule type="cellIs" dxfId="29489" priority="15633" stopIfTrue="1" operator="equal">
      <formula>"Napkin Hs"</formula>
    </cfRule>
    <cfRule type="cellIs" dxfId="29488" priority="15634" stopIfTrue="1" operator="equal">
      <formula>"Towel"</formula>
    </cfRule>
    <cfRule type="cellIs" dxfId="29487" priority="15635" stopIfTrue="1" operator="equal">
      <formula>"Napkin Hs"</formula>
    </cfRule>
    <cfRule type="cellIs" dxfId="29486" priority="15640" stopIfTrue="1" operator="equal">
      <formula>"Towel"</formula>
    </cfRule>
    <cfRule type="cellIs" dxfId="29485" priority="15641" stopIfTrue="1" operator="equal">
      <formula>"Napkin Hs"</formula>
    </cfRule>
    <cfRule type="cellIs" dxfId="29484" priority="15642" stopIfTrue="1" operator="equal">
      <formula>"Towel"</formula>
    </cfRule>
    <cfRule type="cellIs" dxfId="29483" priority="15643" stopIfTrue="1" operator="equal">
      <formula>"Napkin Hs"</formula>
    </cfRule>
    <cfRule type="cellIs" dxfId="29482" priority="15646" stopIfTrue="1" operator="equal">
      <formula>"Towel"</formula>
    </cfRule>
    <cfRule type="cellIs" dxfId="29481" priority="15647" stopIfTrue="1" operator="equal">
      <formula>"Napkin Hs"</formula>
    </cfRule>
    <cfRule type="cellIs" dxfId="29480" priority="15648" stopIfTrue="1" operator="equal">
      <formula>"Towel"</formula>
    </cfRule>
    <cfRule type="cellIs" dxfId="29479" priority="15649" stopIfTrue="1" operator="equal">
      <formula>"Napkin Hs"</formula>
    </cfRule>
    <cfRule type="cellIs" dxfId="29478" priority="15650" stopIfTrue="1" operator="equal">
      <formula>"Towel"</formula>
    </cfRule>
    <cfRule type="cellIs" dxfId="29477" priority="15651" stopIfTrue="1" operator="equal">
      <formula>"Napkin Hs"</formula>
    </cfRule>
    <cfRule type="cellIs" dxfId="29476" priority="15652" stopIfTrue="1" operator="equal">
      <formula>"Towel"</formula>
    </cfRule>
    <cfRule type="cellIs" dxfId="29475" priority="15653" stopIfTrue="1" operator="equal">
      <formula>"Napkin Hs"</formula>
    </cfRule>
    <cfRule type="cellIs" dxfId="29474" priority="15658" stopIfTrue="1" operator="equal">
      <formula>"Towel"</formula>
    </cfRule>
    <cfRule type="cellIs" dxfId="29473" priority="15659" stopIfTrue="1" operator="equal">
      <formula>"Napkin Hs"</formula>
    </cfRule>
    <cfRule type="cellIs" dxfId="29472" priority="15660" stopIfTrue="1" operator="equal">
      <formula>"Towel"</formula>
    </cfRule>
    <cfRule type="cellIs" dxfId="29471" priority="15661" stopIfTrue="1" operator="equal">
      <formula>"Napkin Hs"</formula>
    </cfRule>
    <cfRule type="cellIs" dxfId="29470" priority="15664" stopIfTrue="1" operator="equal">
      <formula>"Towel"</formula>
    </cfRule>
    <cfRule type="cellIs" dxfId="29469" priority="15665" stopIfTrue="1" operator="equal">
      <formula>"Napkin Hs"</formula>
    </cfRule>
    <cfRule type="cellIs" dxfId="29468" priority="15666" stopIfTrue="1" operator="equal">
      <formula>"Towel"</formula>
    </cfRule>
    <cfRule type="cellIs" dxfId="29467" priority="15667" stopIfTrue="1" operator="equal">
      <formula>"Napkin Hs"</formula>
    </cfRule>
  </conditionalFormatting>
  <conditionalFormatting sqref="C37">
    <cfRule type="cellIs" dxfId="29466" priority="15570" stopIfTrue="1" operator="equal">
      <formula>"Napkin Hs"</formula>
    </cfRule>
  </conditionalFormatting>
  <conditionalFormatting sqref="C37">
    <cfRule type="cellIs" dxfId="29465" priority="15569" stopIfTrue="1" operator="equal">
      <formula>"Napkin Hs"</formula>
    </cfRule>
  </conditionalFormatting>
  <conditionalFormatting sqref="B37">
    <cfRule type="cellIs" dxfId="29464" priority="15568" stopIfTrue="1" operator="equal">
      <formula>"Napkin Hs"</formula>
    </cfRule>
  </conditionalFormatting>
  <conditionalFormatting sqref="C37">
    <cfRule type="cellIs" dxfId="29463" priority="15567" stopIfTrue="1" operator="equal">
      <formula>"Napkin Hs"</formula>
    </cfRule>
  </conditionalFormatting>
  <conditionalFormatting sqref="C37">
    <cfRule type="cellIs" dxfId="29462" priority="15566" stopIfTrue="1" operator="equal">
      <formula>"Napkin Hs"</formula>
    </cfRule>
  </conditionalFormatting>
  <conditionalFormatting sqref="C37">
    <cfRule type="cellIs" dxfId="29461" priority="15565" stopIfTrue="1" operator="equal">
      <formula>"Napkin Hs"</formula>
    </cfRule>
  </conditionalFormatting>
  <conditionalFormatting sqref="C37">
    <cfRule type="cellIs" dxfId="29460" priority="15564" stopIfTrue="1" operator="equal">
      <formula>"Napkin Hs"</formula>
    </cfRule>
  </conditionalFormatting>
  <conditionalFormatting sqref="B37">
    <cfRule type="cellIs" dxfId="29459" priority="15563" stopIfTrue="1" operator="equal">
      <formula>"Napkin Hs"</formula>
    </cfRule>
  </conditionalFormatting>
  <conditionalFormatting sqref="B37">
    <cfRule type="cellIs" dxfId="29458" priority="15562" stopIfTrue="1" operator="equal">
      <formula>"Napkin Hs"</formula>
    </cfRule>
  </conditionalFormatting>
  <conditionalFormatting sqref="C37">
    <cfRule type="cellIs" dxfId="29457" priority="15558" stopIfTrue="1" operator="equal">
      <formula>"Towel"</formula>
    </cfRule>
    <cfRule type="cellIs" dxfId="29456" priority="15559" stopIfTrue="1" operator="equal">
      <formula>"Napkin Hs"</formula>
    </cfRule>
  </conditionalFormatting>
  <conditionalFormatting sqref="C37">
    <cfRule type="cellIs" dxfId="29455" priority="15560" stopIfTrue="1" operator="equal">
      <formula>"Towel"</formula>
    </cfRule>
    <cfRule type="cellIs" dxfId="29454" priority="15561" stopIfTrue="1" operator="equal">
      <formula>"Napkin Hs"</formula>
    </cfRule>
  </conditionalFormatting>
  <conditionalFormatting sqref="C37">
    <cfRule type="cellIs" dxfId="29453" priority="15554" stopIfTrue="1" operator="equal">
      <formula>"Towel"</formula>
    </cfRule>
    <cfRule type="cellIs" dxfId="29452" priority="15555" stopIfTrue="1" operator="equal">
      <formula>"Napkin Hs"</formula>
    </cfRule>
  </conditionalFormatting>
  <conditionalFormatting sqref="C37">
    <cfRule type="cellIs" dxfId="29451" priority="15556" stopIfTrue="1" operator="equal">
      <formula>"Towel"</formula>
    </cfRule>
    <cfRule type="cellIs" dxfId="29450" priority="15557" stopIfTrue="1" operator="equal">
      <formula>"Napkin Hs"</formula>
    </cfRule>
  </conditionalFormatting>
  <conditionalFormatting sqref="C38">
    <cfRule type="cellIs" dxfId="29449" priority="15550" stopIfTrue="1" operator="equal">
      <formula>"Towel"</formula>
    </cfRule>
    <cfRule type="cellIs" dxfId="29448" priority="15551" stopIfTrue="1" operator="equal">
      <formula>"Napkin Hs"</formula>
    </cfRule>
  </conditionalFormatting>
  <conditionalFormatting sqref="C38">
    <cfRule type="cellIs" dxfId="29447" priority="15552" stopIfTrue="1" operator="equal">
      <formula>"Towel"</formula>
    </cfRule>
    <cfRule type="cellIs" dxfId="29446" priority="15553" stopIfTrue="1" operator="equal">
      <formula>"Napkin Hs"</formula>
    </cfRule>
  </conditionalFormatting>
  <conditionalFormatting sqref="C38">
    <cfRule type="cellIs" dxfId="29445" priority="15548" stopIfTrue="1" operator="equal">
      <formula>"Towel"</formula>
    </cfRule>
    <cfRule type="cellIs" dxfId="29444" priority="15549" stopIfTrue="1" operator="equal">
      <formula>"Napkin Hs"</formula>
    </cfRule>
  </conditionalFormatting>
  <conditionalFormatting sqref="B38">
    <cfRule type="cellIs" dxfId="29443" priority="15546" stopIfTrue="1" operator="equal">
      <formula>"Towel"</formula>
    </cfRule>
    <cfRule type="cellIs" dxfId="29442" priority="15547" stopIfTrue="1" operator="equal">
      <formula>"Napkin Hs"</formula>
    </cfRule>
  </conditionalFormatting>
  <conditionalFormatting sqref="C38">
    <cfRule type="cellIs" dxfId="29441" priority="15540" stopIfTrue="1" operator="equal">
      <formula>"Towel"</formula>
    </cfRule>
    <cfRule type="cellIs" dxfId="29440" priority="15541" stopIfTrue="1" operator="equal">
      <formula>"Napkin Hs"</formula>
    </cfRule>
  </conditionalFormatting>
  <conditionalFormatting sqref="C38">
    <cfRule type="cellIs" dxfId="29439" priority="15544" stopIfTrue="1" operator="equal">
      <formula>"Towel"</formula>
    </cfRule>
    <cfRule type="cellIs" dxfId="29438" priority="15545" stopIfTrue="1" operator="equal">
      <formula>"Napkin Hs"</formula>
    </cfRule>
  </conditionalFormatting>
  <conditionalFormatting sqref="C38">
    <cfRule type="cellIs" dxfId="29437" priority="15542" stopIfTrue="1" operator="equal">
      <formula>"Towel"</formula>
    </cfRule>
    <cfRule type="cellIs" dxfId="29436" priority="15543" stopIfTrue="1" operator="equal">
      <formula>"Napkin Hs"</formula>
    </cfRule>
  </conditionalFormatting>
  <conditionalFormatting sqref="C38">
    <cfRule type="cellIs" dxfId="29435" priority="15534" stopIfTrue="1" operator="equal">
      <formula>"Towel"</formula>
    </cfRule>
    <cfRule type="cellIs" dxfId="29434" priority="15535" stopIfTrue="1" operator="equal">
      <formula>"Napkin Hs"</formula>
    </cfRule>
  </conditionalFormatting>
  <conditionalFormatting sqref="C38">
    <cfRule type="cellIs" dxfId="29433" priority="15536" stopIfTrue="1" operator="equal">
      <formula>"Towel"</formula>
    </cfRule>
    <cfRule type="cellIs" dxfId="29432" priority="15537" stopIfTrue="1" operator="equal">
      <formula>"Napkin Hs"</formula>
    </cfRule>
  </conditionalFormatting>
  <conditionalFormatting sqref="C38">
    <cfRule type="cellIs" dxfId="29431" priority="15538" stopIfTrue="1" operator="equal">
      <formula>"Towel"</formula>
    </cfRule>
    <cfRule type="cellIs" dxfId="29430" priority="15539" stopIfTrue="1" operator="equal">
      <formula>"Napkin Hs"</formula>
    </cfRule>
  </conditionalFormatting>
  <conditionalFormatting sqref="B38:C38">
    <cfRule type="cellIs" dxfId="29429" priority="15532" stopIfTrue="1" operator="equal">
      <formula>"Towel"</formula>
    </cfRule>
    <cfRule type="cellIs" dxfId="29428" priority="15533" stopIfTrue="1" operator="equal">
      <formula>"Napkin Hs"</formula>
    </cfRule>
  </conditionalFormatting>
  <conditionalFormatting sqref="B38:C38">
    <cfRule type="cellIs" dxfId="29427" priority="15530" stopIfTrue="1" operator="equal">
      <formula>"Towel"</formula>
    </cfRule>
    <cfRule type="cellIs" dxfId="29426" priority="15531" stopIfTrue="1" operator="equal">
      <formula>"Napkin Hs"</formula>
    </cfRule>
  </conditionalFormatting>
  <conditionalFormatting sqref="B38:C38">
    <cfRule type="cellIs" dxfId="29425" priority="15506" stopIfTrue="1" operator="equal">
      <formula>"Towel"</formula>
    </cfRule>
  </conditionalFormatting>
  <conditionalFormatting sqref="B38:C38">
    <cfRule type="cellIs" dxfId="29424" priority="15507" stopIfTrue="1" operator="equal">
      <formula>"Napkin Hs"</formula>
    </cfRule>
    <cfRule type="cellIs" dxfId="29423" priority="15512" stopIfTrue="1" operator="equal">
      <formula>"Towel"</formula>
    </cfRule>
    <cfRule type="cellIs" dxfId="29422" priority="15513" stopIfTrue="1" operator="equal">
      <formula>"Napkin Hs"</formula>
    </cfRule>
    <cfRule type="cellIs" dxfId="29421" priority="15522" stopIfTrue="1" operator="equal">
      <formula>"Towel"</formula>
    </cfRule>
    <cfRule type="cellIs" dxfId="29420" priority="15523" stopIfTrue="1" operator="equal">
      <formula>"Napkin Hs"</formula>
    </cfRule>
    <cfRule type="cellIs" dxfId="29419" priority="15528" stopIfTrue="1" operator="equal">
      <formula>"Towel"</formula>
    </cfRule>
    <cfRule type="cellIs" dxfId="29418" priority="15529" stopIfTrue="1" operator="equal">
      <formula>"Napkin Hs"</formula>
    </cfRule>
  </conditionalFormatting>
  <conditionalFormatting sqref="C38">
    <cfRule type="cellIs" dxfId="29417" priority="15508" stopIfTrue="1" operator="equal">
      <formula>"Towel"</formula>
    </cfRule>
    <cfRule type="cellIs" dxfId="29416" priority="15509" stopIfTrue="1" operator="equal">
      <formula>"Napkin Hs"</formula>
    </cfRule>
    <cfRule type="cellIs" dxfId="29415" priority="15510" stopIfTrue="1" operator="equal">
      <formula>"Towel"</formula>
    </cfRule>
    <cfRule type="cellIs" dxfId="29414" priority="15511" stopIfTrue="1" operator="equal">
      <formula>"Napkin Hs"</formula>
    </cfRule>
    <cfRule type="cellIs" dxfId="29413" priority="15514" stopIfTrue="1" operator="equal">
      <formula>"Towel"</formula>
    </cfRule>
    <cfRule type="cellIs" dxfId="29412" priority="15515" stopIfTrue="1" operator="equal">
      <formula>"Napkin Hs"</formula>
    </cfRule>
    <cfRule type="cellIs" dxfId="29411" priority="15516" stopIfTrue="1" operator="equal">
      <formula>"Towel"</formula>
    </cfRule>
    <cfRule type="cellIs" dxfId="29410" priority="15517" stopIfTrue="1" operator="equal">
      <formula>"Napkin Hs"</formula>
    </cfRule>
    <cfRule type="cellIs" dxfId="29409" priority="15518" stopIfTrue="1" operator="equal">
      <formula>"Towel"</formula>
    </cfRule>
    <cfRule type="cellIs" dxfId="29408" priority="15519" stopIfTrue="1" operator="equal">
      <formula>"Napkin Hs"</formula>
    </cfRule>
    <cfRule type="cellIs" dxfId="29407" priority="15520" stopIfTrue="1" operator="equal">
      <formula>"Towel"</formula>
    </cfRule>
    <cfRule type="cellIs" dxfId="29406" priority="15521" stopIfTrue="1" operator="equal">
      <formula>"Napkin Hs"</formula>
    </cfRule>
    <cfRule type="cellIs" dxfId="29405" priority="15524" stopIfTrue="1" operator="equal">
      <formula>"Towel"</formula>
    </cfRule>
    <cfRule type="cellIs" dxfId="29404" priority="15525" stopIfTrue="1" operator="equal">
      <formula>"Napkin Hs"</formula>
    </cfRule>
    <cfRule type="cellIs" dxfId="29403" priority="15527" stopIfTrue="1" operator="equal">
      <formula>"Napkin Hs"</formula>
    </cfRule>
  </conditionalFormatting>
  <conditionalFormatting sqref="C38">
    <cfRule type="cellIs" dxfId="29402" priority="15526" stopIfTrue="1" operator="equal">
      <formula>"Towel"</formula>
    </cfRule>
  </conditionalFormatting>
  <conditionalFormatting sqref="B38:C38">
    <cfRule type="cellIs" dxfId="29401" priority="15504" stopIfTrue="1" operator="equal">
      <formula>"Towel"</formula>
    </cfRule>
    <cfRule type="cellIs" dxfId="29400" priority="15505" stopIfTrue="1" operator="equal">
      <formula>"Napkin Hs"</formula>
    </cfRule>
  </conditionalFormatting>
  <conditionalFormatting sqref="C38">
    <cfRule type="cellIs" dxfId="29399" priority="15503" stopIfTrue="1" operator="equal">
      <formula>"Napkin Hs"</formula>
    </cfRule>
  </conditionalFormatting>
  <conditionalFormatting sqref="C38">
    <cfRule type="cellIs" dxfId="29398" priority="15502" stopIfTrue="1" operator="equal">
      <formula>"Towel"</formula>
    </cfRule>
  </conditionalFormatting>
  <conditionalFormatting sqref="C38">
    <cfRule type="cellIs" dxfId="29397" priority="15500" stopIfTrue="1" operator="equal">
      <formula>"Towel"</formula>
    </cfRule>
  </conditionalFormatting>
  <conditionalFormatting sqref="C38">
    <cfRule type="cellIs" dxfId="29396" priority="15501" stopIfTrue="1" operator="equal">
      <formula>"Napkin Hs"</formula>
    </cfRule>
  </conditionalFormatting>
  <conditionalFormatting sqref="B38">
    <cfRule type="cellIs" dxfId="29395" priority="15404" stopIfTrue="1" operator="equal">
      <formula>"Napkin Hs"</formula>
    </cfRule>
  </conditionalFormatting>
  <conditionalFormatting sqref="B38:C38">
    <cfRule type="cellIs" dxfId="29394" priority="15403" stopIfTrue="1" operator="equal">
      <formula>"Towel"</formula>
    </cfRule>
  </conditionalFormatting>
  <conditionalFormatting sqref="B38:C38">
    <cfRule type="cellIs" dxfId="29393" priority="15414" stopIfTrue="1" operator="equal">
      <formula>"Towel"</formula>
    </cfRule>
    <cfRule type="cellIs" dxfId="29392" priority="15415" stopIfTrue="1" operator="equal">
      <formula>"Napkin Hs"</formula>
    </cfRule>
    <cfRule type="cellIs" dxfId="29391" priority="15420" stopIfTrue="1" operator="equal">
      <formula>"Towel"</formula>
    </cfRule>
    <cfRule type="cellIs" dxfId="29390" priority="15421" stopIfTrue="1" operator="equal">
      <formula>"Napkin Hs"</formula>
    </cfRule>
    <cfRule type="cellIs" dxfId="29389" priority="15426" stopIfTrue="1" operator="equal">
      <formula>"Towel"</formula>
    </cfRule>
    <cfRule type="cellIs" dxfId="29388" priority="15427" stopIfTrue="1" operator="equal">
      <formula>"Napkin Hs"</formula>
    </cfRule>
    <cfRule type="cellIs" dxfId="29387" priority="15428" stopIfTrue="1" operator="equal">
      <formula>"Towel"</formula>
    </cfRule>
    <cfRule type="cellIs" dxfId="29386" priority="15429" stopIfTrue="1" operator="equal">
      <formula>"Napkin Hs"</formula>
    </cfRule>
    <cfRule type="cellIs" dxfId="29385" priority="15434" stopIfTrue="1" operator="equal">
      <formula>"Towel"</formula>
    </cfRule>
    <cfRule type="cellIs" dxfId="29384" priority="15435" stopIfTrue="1" operator="equal">
      <formula>"Napkin Hs"</formula>
    </cfRule>
    <cfRule type="cellIs" dxfId="29383" priority="15444" stopIfTrue="1" operator="equal">
      <formula>"Towel"</formula>
    </cfRule>
    <cfRule type="cellIs" dxfId="29382" priority="15445" stopIfTrue="1" operator="equal">
      <formula>"Napkin Hs"</formula>
    </cfRule>
    <cfRule type="cellIs" dxfId="29381" priority="15450" stopIfTrue="1" operator="equal">
      <formula>"Towel"</formula>
    </cfRule>
    <cfRule type="cellIs" dxfId="29380" priority="15451" stopIfTrue="1" operator="equal">
      <formula>"Napkin Hs"</formula>
    </cfRule>
    <cfRule type="cellIs" dxfId="29379" priority="15452" stopIfTrue="1" operator="equal">
      <formula>"Towel"</formula>
    </cfRule>
    <cfRule type="cellIs" dxfId="29378" priority="15453" stopIfTrue="1" operator="equal">
      <formula>"Napkin Hs"</formula>
    </cfRule>
    <cfRule type="cellIs" dxfId="29377" priority="15458" stopIfTrue="1" operator="equal">
      <formula>"Towel"</formula>
    </cfRule>
    <cfRule type="cellIs" dxfId="29376" priority="15459" stopIfTrue="1" operator="equal">
      <formula>"Napkin Hs"</formula>
    </cfRule>
    <cfRule type="cellIs" dxfId="29375" priority="15468" stopIfTrue="1" operator="equal">
      <formula>"Towel"</formula>
    </cfRule>
    <cfRule type="cellIs" dxfId="29374" priority="15469" stopIfTrue="1" operator="equal">
      <formula>"Napkin Hs"</formula>
    </cfRule>
    <cfRule type="cellIs" dxfId="29373" priority="15470" stopIfTrue="1" operator="equal">
      <formula>"Towel"</formula>
    </cfRule>
    <cfRule type="cellIs" dxfId="29372" priority="15471" stopIfTrue="1" operator="equal">
      <formula>"Napkin Hs"</formula>
    </cfRule>
    <cfRule type="cellIs" dxfId="29371" priority="15476" stopIfTrue="1" operator="equal">
      <formula>"Towel"</formula>
    </cfRule>
    <cfRule type="cellIs" dxfId="29370" priority="15477" stopIfTrue="1" operator="equal">
      <formula>"Napkin Hs"</formula>
    </cfRule>
    <cfRule type="cellIs" dxfId="29369" priority="15486" stopIfTrue="1" operator="equal">
      <formula>"Towel"</formula>
    </cfRule>
    <cfRule type="cellIs" dxfId="29368" priority="15487" stopIfTrue="1" operator="equal">
      <formula>"Napkin Hs"</formula>
    </cfRule>
    <cfRule type="cellIs" dxfId="29367" priority="15488" stopIfTrue="1" operator="equal">
      <formula>"Towel"</formula>
    </cfRule>
    <cfRule type="cellIs" dxfId="29366" priority="15489" stopIfTrue="1" operator="equal">
      <formula>"Napkin Hs"</formula>
    </cfRule>
    <cfRule type="cellIs" dxfId="29365" priority="15495" stopIfTrue="1" operator="equal">
      <formula>"Napkin Hs"</formula>
    </cfRule>
  </conditionalFormatting>
  <conditionalFormatting sqref="B38:C38">
    <cfRule type="cellIs" dxfId="29364" priority="15494" stopIfTrue="1" operator="equal">
      <formula>"Towel"</formula>
    </cfRule>
  </conditionalFormatting>
  <conditionalFormatting sqref="C38">
    <cfRule type="cellIs" dxfId="29363" priority="15405" stopIfTrue="1" operator="equal">
      <formula>"Napkin Hs"</formula>
    </cfRule>
    <cfRule type="cellIs" dxfId="29362" priority="15406" stopIfTrue="1" operator="equal">
      <formula>"Towel"</formula>
    </cfRule>
    <cfRule type="cellIs" dxfId="29361" priority="15407" stopIfTrue="1" operator="equal">
      <formula>"Napkin Hs"</formula>
    </cfRule>
    <cfRule type="cellIs" dxfId="29360" priority="15408" stopIfTrue="1" operator="equal">
      <formula>"Towel"</formula>
    </cfRule>
    <cfRule type="cellIs" dxfId="29359" priority="15409" stopIfTrue="1" operator="equal">
      <formula>"Napkin Hs"</formula>
    </cfRule>
    <cfRule type="cellIs" dxfId="29358" priority="15410" stopIfTrue="1" operator="equal">
      <formula>"Towel"</formula>
    </cfRule>
    <cfRule type="cellIs" dxfId="29357" priority="15411" stopIfTrue="1" operator="equal">
      <formula>"Napkin Hs"</formula>
    </cfRule>
    <cfRule type="cellIs" dxfId="29356" priority="15412" stopIfTrue="1" operator="equal">
      <formula>"Towel"</formula>
    </cfRule>
    <cfRule type="cellIs" dxfId="29355" priority="15413" stopIfTrue="1" operator="equal">
      <formula>"Napkin Hs"</formula>
    </cfRule>
    <cfRule type="cellIs" dxfId="29354" priority="15416" stopIfTrue="1" operator="equal">
      <formula>"Towel"</formula>
    </cfRule>
    <cfRule type="cellIs" dxfId="29353" priority="15417" stopIfTrue="1" operator="equal">
      <formula>"Napkin Hs"</formula>
    </cfRule>
    <cfRule type="cellIs" dxfId="29352" priority="15418" stopIfTrue="1" operator="equal">
      <formula>"Towel"</formula>
    </cfRule>
    <cfRule type="cellIs" dxfId="29351" priority="15419" stopIfTrue="1" operator="equal">
      <formula>"Napkin Hs"</formula>
    </cfRule>
    <cfRule type="cellIs" dxfId="29350" priority="15422" stopIfTrue="1" operator="equal">
      <formula>"Towel"</formula>
    </cfRule>
    <cfRule type="cellIs" dxfId="29349" priority="15423" stopIfTrue="1" operator="equal">
      <formula>"Napkin Hs"</formula>
    </cfRule>
    <cfRule type="cellIs" dxfId="29348" priority="15424" stopIfTrue="1" operator="equal">
      <formula>"Towel"</formula>
    </cfRule>
    <cfRule type="cellIs" dxfId="29347" priority="15425" stopIfTrue="1" operator="equal">
      <formula>"Napkin Hs"</formula>
    </cfRule>
    <cfRule type="cellIs" dxfId="29346" priority="15430" stopIfTrue="1" operator="equal">
      <formula>"Towel"</formula>
    </cfRule>
    <cfRule type="cellIs" dxfId="29345" priority="15431" stopIfTrue="1" operator="equal">
      <formula>"Napkin Hs"</formula>
    </cfRule>
    <cfRule type="cellIs" dxfId="29344" priority="15432" stopIfTrue="1" operator="equal">
      <formula>"Towel"</formula>
    </cfRule>
    <cfRule type="cellIs" dxfId="29343" priority="15433" stopIfTrue="1" operator="equal">
      <formula>"Napkin Hs"</formula>
    </cfRule>
    <cfRule type="cellIs" dxfId="29342" priority="15436" stopIfTrue="1" operator="equal">
      <formula>"Towel"</formula>
    </cfRule>
    <cfRule type="cellIs" dxfId="29341" priority="15437" stopIfTrue="1" operator="equal">
      <formula>"Napkin Hs"</formula>
    </cfRule>
    <cfRule type="cellIs" dxfId="29340" priority="15438" stopIfTrue="1" operator="equal">
      <formula>"Towel"</formula>
    </cfRule>
    <cfRule type="cellIs" dxfId="29339" priority="15439" stopIfTrue="1" operator="equal">
      <formula>"Napkin Hs"</formula>
    </cfRule>
    <cfRule type="cellIs" dxfId="29338" priority="15440" stopIfTrue="1" operator="equal">
      <formula>"Towel"</formula>
    </cfRule>
    <cfRule type="cellIs" dxfId="29337" priority="15441" stopIfTrue="1" operator="equal">
      <formula>"Napkin Hs"</formula>
    </cfRule>
    <cfRule type="cellIs" dxfId="29336" priority="15442" stopIfTrue="1" operator="equal">
      <formula>"Towel"</formula>
    </cfRule>
    <cfRule type="cellIs" dxfId="29335" priority="15443" stopIfTrue="1" operator="equal">
      <formula>"Napkin Hs"</formula>
    </cfRule>
    <cfRule type="cellIs" dxfId="29334" priority="15446" stopIfTrue="1" operator="equal">
      <formula>"Towel"</formula>
    </cfRule>
    <cfRule type="cellIs" dxfId="29333" priority="15447" stopIfTrue="1" operator="equal">
      <formula>"Napkin Hs"</formula>
    </cfRule>
    <cfRule type="cellIs" dxfId="29332" priority="15448" stopIfTrue="1" operator="equal">
      <formula>"Towel"</formula>
    </cfRule>
    <cfRule type="cellIs" dxfId="29331" priority="15449" stopIfTrue="1" operator="equal">
      <formula>"Napkin Hs"</formula>
    </cfRule>
    <cfRule type="cellIs" dxfId="29330" priority="15454" stopIfTrue="1" operator="equal">
      <formula>"Towel"</formula>
    </cfRule>
    <cfRule type="cellIs" dxfId="29329" priority="15455" stopIfTrue="1" operator="equal">
      <formula>"Napkin Hs"</formula>
    </cfRule>
    <cfRule type="cellIs" dxfId="29328" priority="15456" stopIfTrue="1" operator="equal">
      <formula>"Towel"</formula>
    </cfRule>
    <cfRule type="cellIs" dxfId="29327" priority="15457" stopIfTrue="1" operator="equal">
      <formula>"Napkin Hs"</formula>
    </cfRule>
    <cfRule type="cellIs" dxfId="29326" priority="15460" stopIfTrue="1" operator="equal">
      <formula>"Towel"</formula>
    </cfRule>
    <cfRule type="cellIs" dxfId="29325" priority="15461" stopIfTrue="1" operator="equal">
      <formula>"Napkin Hs"</formula>
    </cfRule>
    <cfRule type="cellIs" dxfId="29324" priority="15462" stopIfTrue="1" operator="equal">
      <formula>"Towel"</formula>
    </cfRule>
    <cfRule type="cellIs" dxfId="29323" priority="15463" stopIfTrue="1" operator="equal">
      <formula>"Napkin Hs"</formula>
    </cfRule>
    <cfRule type="cellIs" dxfId="29322" priority="15464" stopIfTrue="1" operator="equal">
      <formula>"Towel"</formula>
    </cfRule>
    <cfRule type="cellIs" dxfId="29321" priority="15465" stopIfTrue="1" operator="equal">
      <formula>"Napkin Hs"</formula>
    </cfRule>
    <cfRule type="cellIs" dxfId="29320" priority="15466" stopIfTrue="1" operator="equal">
      <formula>"Towel"</formula>
    </cfRule>
    <cfRule type="cellIs" dxfId="29319" priority="15467" stopIfTrue="1" operator="equal">
      <formula>"Napkin Hs"</formula>
    </cfRule>
    <cfRule type="cellIs" dxfId="29318" priority="15472" stopIfTrue="1" operator="equal">
      <formula>"Towel"</formula>
    </cfRule>
    <cfRule type="cellIs" dxfId="29317" priority="15473" stopIfTrue="1" operator="equal">
      <formula>"Napkin Hs"</formula>
    </cfRule>
    <cfRule type="cellIs" dxfId="29316" priority="15474" stopIfTrue="1" operator="equal">
      <formula>"Towel"</formula>
    </cfRule>
    <cfRule type="cellIs" dxfId="29315" priority="15475" stopIfTrue="1" operator="equal">
      <formula>"Napkin Hs"</formula>
    </cfRule>
    <cfRule type="cellIs" dxfId="29314" priority="15478" stopIfTrue="1" operator="equal">
      <formula>"Towel"</formula>
    </cfRule>
    <cfRule type="cellIs" dxfId="29313" priority="15479" stopIfTrue="1" operator="equal">
      <formula>"Napkin Hs"</formula>
    </cfRule>
    <cfRule type="cellIs" dxfId="29312" priority="15480" stopIfTrue="1" operator="equal">
      <formula>"Towel"</formula>
    </cfRule>
    <cfRule type="cellIs" dxfId="29311" priority="15481" stopIfTrue="1" operator="equal">
      <formula>"Napkin Hs"</formula>
    </cfRule>
    <cfRule type="cellIs" dxfId="29310" priority="15482" stopIfTrue="1" operator="equal">
      <formula>"Towel"</formula>
    </cfRule>
    <cfRule type="cellIs" dxfId="29309" priority="15483" stopIfTrue="1" operator="equal">
      <formula>"Napkin Hs"</formula>
    </cfRule>
    <cfRule type="cellIs" dxfId="29308" priority="15484" stopIfTrue="1" operator="equal">
      <formula>"Towel"</formula>
    </cfRule>
    <cfRule type="cellIs" dxfId="29307" priority="15485" stopIfTrue="1" operator="equal">
      <formula>"Napkin Hs"</formula>
    </cfRule>
    <cfRule type="cellIs" dxfId="29306" priority="15490" stopIfTrue="1" operator="equal">
      <formula>"Towel"</formula>
    </cfRule>
    <cfRule type="cellIs" dxfId="29305" priority="15491" stopIfTrue="1" operator="equal">
      <formula>"Napkin Hs"</formula>
    </cfRule>
    <cfRule type="cellIs" dxfId="29304" priority="15492" stopIfTrue="1" operator="equal">
      <formula>"Towel"</formula>
    </cfRule>
    <cfRule type="cellIs" dxfId="29303" priority="15493" stopIfTrue="1" operator="equal">
      <formula>"Napkin Hs"</formula>
    </cfRule>
    <cfRule type="cellIs" dxfId="29302" priority="15496" stopIfTrue="1" operator="equal">
      <formula>"Towel"</formula>
    </cfRule>
    <cfRule type="cellIs" dxfId="29301" priority="15497" stopIfTrue="1" operator="equal">
      <formula>"Napkin Hs"</formula>
    </cfRule>
    <cfRule type="cellIs" dxfId="29300" priority="15498" stopIfTrue="1" operator="equal">
      <formula>"Towel"</formula>
    </cfRule>
    <cfRule type="cellIs" dxfId="29299" priority="15499" stopIfTrue="1" operator="equal">
      <formula>"Napkin Hs"</formula>
    </cfRule>
  </conditionalFormatting>
  <conditionalFormatting sqref="C38">
    <cfRule type="cellIs" dxfId="29298" priority="15402" stopIfTrue="1" operator="equal">
      <formula>"Napkin Hs"</formula>
    </cfRule>
  </conditionalFormatting>
  <conditionalFormatting sqref="C38">
    <cfRule type="cellIs" dxfId="29297" priority="15401" stopIfTrue="1" operator="equal">
      <formula>"Napkin Hs"</formula>
    </cfRule>
  </conditionalFormatting>
  <conditionalFormatting sqref="B38">
    <cfRule type="cellIs" dxfId="29296" priority="15400" stopIfTrue="1" operator="equal">
      <formula>"Napkin Hs"</formula>
    </cfRule>
  </conditionalFormatting>
  <conditionalFormatting sqref="C38">
    <cfRule type="cellIs" dxfId="29295" priority="15399" stopIfTrue="1" operator="equal">
      <formula>"Napkin Hs"</formula>
    </cfRule>
  </conditionalFormatting>
  <conditionalFormatting sqref="C38">
    <cfRule type="cellIs" dxfId="29294" priority="15398" stopIfTrue="1" operator="equal">
      <formula>"Napkin Hs"</formula>
    </cfRule>
  </conditionalFormatting>
  <conditionalFormatting sqref="C38">
    <cfRule type="cellIs" dxfId="29293" priority="15397" stopIfTrue="1" operator="equal">
      <formula>"Napkin Hs"</formula>
    </cfRule>
  </conditionalFormatting>
  <conditionalFormatting sqref="C38">
    <cfRule type="cellIs" dxfId="29292" priority="15396" stopIfTrue="1" operator="equal">
      <formula>"Napkin Hs"</formula>
    </cfRule>
  </conditionalFormatting>
  <conditionalFormatting sqref="B38">
    <cfRule type="cellIs" dxfId="29291" priority="15395" stopIfTrue="1" operator="equal">
      <formula>"Napkin Hs"</formula>
    </cfRule>
  </conditionalFormatting>
  <conditionalFormatting sqref="B38">
    <cfRule type="cellIs" dxfId="29290" priority="15394" stopIfTrue="1" operator="equal">
      <formula>"Napkin Hs"</formula>
    </cfRule>
  </conditionalFormatting>
  <conditionalFormatting sqref="C38">
    <cfRule type="cellIs" dxfId="29289" priority="15390" stopIfTrue="1" operator="equal">
      <formula>"Towel"</formula>
    </cfRule>
    <cfRule type="cellIs" dxfId="29288" priority="15391" stopIfTrue="1" operator="equal">
      <formula>"Napkin Hs"</formula>
    </cfRule>
  </conditionalFormatting>
  <conditionalFormatting sqref="C38">
    <cfRule type="cellIs" dxfId="29287" priority="15392" stopIfTrue="1" operator="equal">
      <formula>"Towel"</formula>
    </cfRule>
    <cfRule type="cellIs" dxfId="29286" priority="15393" stopIfTrue="1" operator="equal">
      <formula>"Napkin Hs"</formula>
    </cfRule>
  </conditionalFormatting>
  <conditionalFormatting sqref="C38">
    <cfRule type="cellIs" dxfId="29285" priority="15386" stopIfTrue="1" operator="equal">
      <formula>"Towel"</formula>
    </cfRule>
    <cfRule type="cellIs" dxfId="29284" priority="15387" stopIfTrue="1" operator="equal">
      <formula>"Napkin Hs"</formula>
    </cfRule>
  </conditionalFormatting>
  <conditionalFormatting sqref="C38">
    <cfRule type="cellIs" dxfId="29283" priority="15388" stopIfTrue="1" operator="equal">
      <formula>"Towel"</formula>
    </cfRule>
    <cfRule type="cellIs" dxfId="29282" priority="15389" stopIfTrue="1" operator="equal">
      <formula>"Napkin Hs"</formula>
    </cfRule>
  </conditionalFormatting>
  <conditionalFormatting sqref="C44">
    <cfRule type="cellIs" dxfId="29281" priority="15382" stopIfTrue="1" operator="equal">
      <formula>"Towel"</formula>
    </cfRule>
    <cfRule type="cellIs" dxfId="29280" priority="15383" stopIfTrue="1" operator="equal">
      <formula>"Napkin Hs"</formula>
    </cfRule>
  </conditionalFormatting>
  <conditionalFormatting sqref="C44">
    <cfRule type="cellIs" dxfId="29279" priority="15384" stopIfTrue="1" operator="equal">
      <formula>"Towel"</formula>
    </cfRule>
    <cfRule type="cellIs" dxfId="29278" priority="15385" stopIfTrue="1" operator="equal">
      <formula>"Napkin Hs"</formula>
    </cfRule>
  </conditionalFormatting>
  <conditionalFormatting sqref="C44">
    <cfRule type="cellIs" dxfId="29277" priority="15380" stopIfTrue="1" operator="equal">
      <formula>"Towel"</formula>
    </cfRule>
    <cfRule type="cellIs" dxfId="29276" priority="15381" stopIfTrue="1" operator="equal">
      <formula>"Napkin Hs"</formula>
    </cfRule>
  </conditionalFormatting>
  <conditionalFormatting sqref="B44">
    <cfRule type="cellIs" dxfId="29275" priority="15378" stopIfTrue="1" operator="equal">
      <formula>"Towel"</formula>
    </cfRule>
    <cfRule type="cellIs" dxfId="29274" priority="15379" stopIfTrue="1" operator="equal">
      <formula>"Napkin Hs"</formula>
    </cfRule>
  </conditionalFormatting>
  <conditionalFormatting sqref="C44">
    <cfRule type="cellIs" dxfId="29273" priority="15372" stopIfTrue="1" operator="equal">
      <formula>"Towel"</formula>
    </cfRule>
    <cfRule type="cellIs" dxfId="29272" priority="15373" stopIfTrue="1" operator="equal">
      <formula>"Napkin Hs"</formula>
    </cfRule>
  </conditionalFormatting>
  <conditionalFormatting sqref="C44">
    <cfRule type="cellIs" dxfId="29271" priority="15376" stopIfTrue="1" operator="equal">
      <formula>"Towel"</formula>
    </cfRule>
    <cfRule type="cellIs" dxfId="29270" priority="15377" stopIfTrue="1" operator="equal">
      <formula>"Napkin Hs"</formula>
    </cfRule>
  </conditionalFormatting>
  <conditionalFormatting sqref="C44">
    <cfRule type="cellIs" dxfId="29269" priority="15374" stopIfTrue="1" operator="equal">
      <formula>"Towel"</formula>
    </cfRule>
    <cfRule type="cellIs" dxfId="29268" priority="15375" stopIfTrue="1" operator="equal">
      <formula>"Napkin Hs"</formula>
    </cfRule>
  </conditionalFormatting>
  <conditionalFormatting sqref="C44">
    <cfRule type="cellIs" dxfId="29267" priority="15366" stopIfTrue="1" operator="equal">
      <formula>"Towel"</formula>
    </cfRule>
    <cfRule type="cellIs" dxfId="29266" priority="15367" stopIfTrue="1" operator="equal">
      <formula>"Napkin Hs"</formula>
    </cfRule>
  </conditionalFormatting>
  <conditionalFormatting sqref="C44">
    <cfRule type="cellIs" dxfId="29265" priority="15368" stopIfTrue="1" operator="equal">
      <formula>"Towel"</formula>
    </cfRule>
    <cfRule type="cellIs" dxfId="29264" priority="15369" stopIfTrue="1" operator="equal">
      <formula>"Napkin Hs"</formula>
    </cfRule>
  </conditionalFormatting>
  <conditionalFormatting sqref="C44">
    <cfRule type="cellIs" dxfId="29263" priority="15370" stopIfTrue="1" operator="equal">
      <formula>"Towel"</formula>
    </cfRule>
    <cfRule type="cellIs" dxfId="29262" priority="15371" stopIfTrue="1" operator="equal">
      <formula>"Napkin Hs"</formula>
    </cfRule>
  </conditionalFormatting>
  <conditionalFormatting sqref="B44:C44">
    <cfRule type="cellIs" dxfId="29261" priority="15364" stopIfTrue="1" operator="equal">
      <formula>"Towel"</formula>
    </cfRule>
    <cfRule type="cellIs" dxfId="29260" priority="15365" stopIfTrue="1" operator="equal">
      <formula>"Napkin Hs"</formula>
    </cfRule>
  </conditionalFormatting>
  <conditionalFormatting sqref="B44:C44">
    <cfRule type="cellIs" dxfId="29259" priority="15362" stopIfTrue="1" operator="equal">
      <formula>"Towel"</formula>
    </cfRule>
    <cfRule type="cellIs" dxfId="29258" priority="15363" stopIfTrue="1" operator="equal">
      <formula>"Napkin Hs"</formula>
    </cfRule>
  </conditionalFormatting>
  <conditionalFormatting sqref="B44:C44">
    <cfRule type="cellIs" dxfId="29257" priority="15338" stopIfTrue="1" operator="equal">
      <formula>"Towel"</formula>
    </cfRule>
  </conditionalFormatting>
  <conditionalFormatting sqref="B44:C44">
    <cfRule type="cellIs" dxfId="29256" priority="15339" stopIfTrue="1" operator="equal">
      <formula>"Napkin Hs"</formula>
    </cfRule>
    <cfRule type="cellIs" dxfId="29255" priority="15344" stopIfTrue="1" operator="equal">
      <formula>"Towel"</formula>
    </cfRule>
    <cfRule type="cellIs" dxfId="29254" priority="15345" stopIfTrue="1" operator="equal">
      <formula>"Napkin Hs"</formula>
    </cfRule>
    <cfRule type="cellIs" dxfId="29253" priority="15354" stopIfTrue="1" operator="equal">
      <formula>"Towel"</formula>
    </cfRule>
    <cfRule type="cellIs" dxfId="29252" priority="15355" stopIfTrue="1" operator="equal">
      <formula>"Napkin Hs"</formula>
    </cfRule>
    <cfRule type="cellIs" dxfId="29251" priority="15360" stopIfTrue="1" operator="equal">
      <formula>"Towel"</formula>
    </cfRule>
    <cfRule type="cellIs" dxfId="29250" priority="15361" stopIfTrue="1" operator="equal">
      <formula>"Napkin Hs"</formula>
    </cfRule>
  </conditionalFormatting>
  <conditionalFormatting sqref="C44">
    <cfRule type="cellIs" dxfId="29249" priority="15340" stopIfTrue="1" operator="equal">
      <formula>"Towel"</formula>
    </cfRule>
    <cfRule type="cellIs" dxfId="29248" priority="15341" stopIfTrue="1" operator="equal">
      <formula>"Napkin Hs"</formula>
    </cfRule>
    <cfRule type="cellIs" dxfId="29247" priority="15342" stopIfTrue="1" operator="equal">
      <formula>"Towel"</formula>
    </cfRule>
    <cfRule type="cellIs" dxfId="29246" priority="15343" stopIfTrue="1" operator="equal">
      <formula>"Napkin Hs"</formula>
    </cfRule>
    <cfRule type="cellIs" dxfId="29245" priority="15346" stopIfTrue="1" operator="equal">
      <formula>"Towel"</formula>
    </cfRule>
    <cfRule type="cellIs" dxfId="29244" priority="15347" stopIfTrue="1" operator="equal">
      <formula>"Napkin Hs"</formula>
    </cfRule>
    <cfRule type="cellIs" dxfId="29243" priority="15348" stopIfTrue="1" operator="equal">
      <formula>"Towel"</formula>
    </cfRule>
    <cfRule type="cellIs" dxfId="29242" priority="15349" stopIfTrue="1" operator="equal">
      <formula>"Napkin Hs"</formula>
    </cfRule>
    <cfRule type="cellIs" dxfId="29241" priority="15350" stopIfTrue="1" operator="equal">
      <formula>"Towel"</formula>
    </cfRule>
    <cfRule type="cellIs" dxfId="29240" priority="15351" stopIfTrue="1" operator="equal">
      <formula>"Napkin Hs"</formula>
    </cfRule>
    <cfRule type="cellIs" dxfId="29239" priority="15352" stopIfTrue="1" operator="equal">
      <formula>"Towel"</formula>
    </cfRule>
    <cfRule type="cellIs" dxfId="29238" priority="15353" stopIfTrue="1" operator="equal">
      <formula>"Napkin Hs"</formula>
    </cfRule>
    <cfRule type="cellIs" dxfId="29237" priority="15356" stopIfTrue="1" operator="equal">
      <formula>"Towel"</formula>
    </cfRule>
    <cfRule type="cellIs" dxfId="29236" priority="15357" stopIfTrue="1" operator="equal">
      <formula>"Napkin Hs"</formula>
    </cfRule>
    <cfRule type="cellIs" dxfId="29235" priority="15359" stopIfTrue="1" operator="equal">
      <formula>"Napkin Hs"</formula>
    </cfRule>
  </conditionalFormatting>
  <conditionalFormatting sqref="C44">
    <cfRule type="cellIs" dxfId="29234" priority="15358" stopIfTrue="1" operator="equal">
      <formula>"Towel"</formula>
    </cfRule>
  </conditionalFormatting>
  <conditionalFormatting sqref="B44:C44">
    <cfRule type="cellIs" dxfId="29233" priority="15336" stopIfTrue="1" operator="equal">
      <formula>"Towel"</formula>
    </cfRule>
    <cfRule type="cellIs" dxfId="29232" priority="15337" stopIfTrue="1" operator="equal">
      <formula>"Napkin Hs"</formula>
    </cfRule>
  </conditionalFormatting>
  <conditionalFormatting sqref="C44">
    <cfRule type="cellIs" dxfId="29231" priority="15335" stopIfTrue="1" operator="equal">
      <formula>"Napkin Hs"</formula>
    </cfRule>
  </conditionalFormatting>
  <conditionalFormatting sqref="C44">
    <cfRule type="cellIs" dxfId="29230" priority="15334" stopIfTrue="1" operator="equal">
      <formula>"Towel"</formula>
    </cfRule>
  </conditionalFormatting>
  <conditionalFormatting sqref="C44">
    <cfRule type="cellIs" dxfId="29229" priority="15332" stopIfTrue="1" operator="equal">
      <formula>"Towel"</formula>
    </cfRule>
  </conditionalFormatting>
  <conditionalFormatting sqref="C44">
    <cfRule type="cellIs" dxfId="29228" priority="15333" stopIfTrue="1" operator="equal">
      <formula>"Napkin Hs"</formula>
    </cfRule>
  </conditionalFormatting>
  <conditionalFormatting sqref="B44">
    <cfRule type="cellIs" dxfId="29227" priority="15236" stopIfTrue="1" operator="equal">
      <formula>"Napkin Hs"</formula>
    </cfRule>
  </conditionalFormatting>
  <conditionalFormatting sqref="B44:C44">
    <cfRule type="cellIs" dxfId="29226" priority="15235" stopIfTrue="1" operator="equal">
      <formula>"Towel"</formula>
    </cfRule>
  </conditionalFormatting>
  <conditionalFormatting sqref="B44:C44">
    <cfRule type="cellIs" dxfId="29225" priority="15246" stopIfTrue="1" operator="equal">
      <formula>"Towel"</formula>
    </cfRule>
    <cfRule type="cellIs" dxfId="29224" priority="15247" stopIfTrue="1" operator="equal">
      <formula>"Napkin Hs"</formula>
    </cfRule>
    <cfRule type="cellIs" dxfId="29223" priority="15252" stopIfTrue="1" operator="equal">
      <formula>"Towel"</formula>
    </cfRule>
    <cfRule type="cellIs" dxfId="29222" priority="15253" stopIfTrue="1" operator="equal">
      <formula>"Napkin Hs"</formula>
    </cfRule>
    <cfRule type="cellIs" dxfId="29221" priority="15258" stopIfTrue="1" operator="equal">
      <formula>"Towel"</formula>
    </cfRule>
    <cfRule type="cellIs" dxfId="29220" priority="15259" stopIfTrue="1" operator="equal">
      <formula>"Napkin Hs"</formula>
    </cfRule>
    <cfRule type="cellIs" dxfId="29219" priority="15260" stopIfTrue="1" operator="equal">
      <formula>"Towel"</formula>
    </cfRule>
    <cfRule type="cellIs" dxfId="29218" priority="15261" stopIfTrue="1" operator="equal">
      <formula>"Napkin Hs"</formula>
    </cfRule>
    <cfRule type="cellIs" dxfId="29217" priority="15266" stopIfTrue="1" operator="equal">
      <formula>"Towel"</formula>
    </cfRule>
    <cfRule type="cellIs" dxfId="29216" priority="15267" stopIfTrue="1" operator="equal">
      <formula>"Napkin Hs"</formula>
    </cfRule>
    <cfRule type="cellIs" dxfId="29215" priority="15276" stopIfTrue="1" operator="equal">
      <formula>"Towel"</formula>
    </cfRule>
    <cfRule type="cellIs" dxfId="29214" priority="15277" stopIfTrue="1" operator="equal">
      <formula>"Napkin Hs"</formula>
    </cfRule>
    <cfRule type="cellIs" dxfId="29213" priority="15282" stopIfTrue="1" operator="equal">
      <formula>"Towel"</formula>
    </cfRule>
    <cfRule type="cellIs" dxfId="29212" priority="15283" stopIfTrue="1" operator="equal">
      <formula>"Napkin Hs"</formula>
    </cfRule>
    <cfRule type="cellIs" dxfId="29211" priority="15284" stopIfTrue="1" operator="equal">
      <formula>"Towel"</formula>
    </cfRule>
    <cfRule type="cellIs" dxfId="29210" priority="15285" stopIfTrue="1" operator="equal">
      <formula>"Napkin Hs"</formula>
    </cfRule>
    <cfRule type="cellIs" dxfId="29209" priority="15290" stopIfTrue="1" operator="equal">
      <formula>"Towel"</formula>
    </cfRule>
    <cfRule type="cellIs" dxfId="29208" priority="15291" stopIfTrue="1" operator="equal">
      <formula>"Napkin Hs"</formula>
    </cfRule>
    <cfRule type="cellIs" dxfId="29207" priority="15300" stopIfTrue="1" operator="equal">
      <formula>"Towel"</formula>
    </cfRule>
    <cfRule type="cellIs" dxfId="29206" priority="15301" stopIfTrue="1" operator="equal">
      <formula>"Napkin Hs"</formula>
    </cfRule>
    <cfRule type="cellIs" dxfId="29205" priority="15302" stopIfTrue="1" operator="equal">
      <formula>"Towel"</formula>
    </cfRule>
    <cfRule type="cellIs" dxfId="29204" priority="15303" stopIfTrue="1" operator="equal">
      <formula>"Napkin Hs"</formula>
    </cfRule>
    <cfRule type="cellIs" dxfId="29203" priority="15308" stopIfTrue="1" operator="equal">
      <formula>"Towel"</formula>
    </cfRule>
    <cfRule type="cellIs" dxfId="29202" priority="15309" stopIfTrue="1" operator="equal">
      <formula>"Napkin Hs"</formula>
    </cfRule>
    <cfRule type="cellIs" dxfId="29201" priority="15318" stopIfTrue="1" operator="equal">
      <formula>"Towel"</formula>
    </cfRule>
    <cfRule type="cellIs" dxfId="29200" priority="15319" stopIfTrue="1" operator="equal">
      <formula>"Napkin Hs"</formula>
    </cfRule>
    <cfRule type="cellIs" dxfId="29199" priority="15320" stopIfTrue="1" operator="equal">
      <formula>"Towel"</formula>
    </cfRule>
    <cfRule type="cellIs" dxfId="29198" priority="15321" stopIfTrue="1" operator="equal">
      <formula>"Napkin Hs"</formula>
    </cfRule>
    <cfRule type="cellIs" dxfId="29197" priority="15327" stopIfTrue="1" operator="equal">
      <formula>"Napkin Hs"</formula>
    </cfRule>
  </conditionalFormatting>
  <conditionalFormatting sqref="B44:C44">
    <cfRule type="cellIs" dxfId="29196" priority="15326" stopIfTrue="1" operator="equal">
      <formula>"Towel"</formula>
    </cfRule>
  </conditionalFormatting>
  <conditionalFormatting sqref="C44">
    <cfRule type="cellIs" dxfId="29195" priority="15237" stopIfTrue="1" operator="equal">
      <formula>"Napkin Hs"</formula>
    </cfRule>
    <cfRule type="cellIs" dxfId="29194" priority="15238" stopIfTrue="1" operator="equal">
      <formula>"Towel"</formula>
    </cfRule>
    <cfRule type="cellIs" dxfId="29193" priority="15239" stopIfTrue="1" operator="equal">
      <formula>"Napkin Hs"</formula>
    </cfRule>
    <cfRule type="cellIs" dxfId="29192" priority="15240" stopIfTrue="1" operator="equal">
      <formula>"Towel"</formula>
    </cfRule>
    <cfRule type="cellIs" dxfId="29191" priority="15241" stopIfTrue="1" operator="equal">
      <formula>"Napkin Hs"</formula>
    </cfRule>
    <cfRule type="cellIs" dxfId="29190" priority="15242" stopIfTrue="1" operator="equal">
      <formula>"Towel"</formula>
    </cfRule>
    <cfRule type="cellIs" dxfId="29189" priority="15243" stopIfTrue="1" operator="equal">
      <formula>"Napkin Hs"</formula>
    </cfRule>
    <cfRule type="cellIs" dxfId="29188" priority="15244" stopIfTrue="1" operator="equal">
      <formula>"Towel"</formula>
    </cfRule>
    <cfRule type="cellIs" dxfId="29187" priority="15245" stopIfTrue="1" operator="equal">
      <formula>"Napkin Hs"</formula>
    </cfRule>
    <cfRule type="cellIs" dxfId="29186" priority="15248" stopIfTrue="1" operator="equal">
      <formula>"Towel"</formula>
    </cfRule>
    <cfRule type="cellIs" dxfId="29185" priority="15249" stopIfTrue="1" operator="equal">
      <formula>"Napkin Hs"</formula>
    </cfRule>
    <cfRule type="cellIs" dxfId="29184" priority="15250" stopIfTrue="1" operator="equal">
      <formula>"Towel"</formula>
    </cfRule>
    <cfRule type="cellIs" dxfId="29183" priority="15251" stopIfTrue="1" operator="equal">
      <formula>"Napkin Hs"</formula>
    </cfRule>
    <cfRule type="cellIs" dxfId="29182" priority="15254" stopIfTrue="1" operator="equal">
      <formula>"Towel"</formula>
    </cfRule>
    <cfRule type="cellIs" dxfId="29181" priority="15255" stopIfTrue="1" operator="equal">
      <formula>"Napkin Hs"</formula>
    </cfRule>
    <cfRule type="cellIs" dxfId="29180" priority="15256" stopIfTrue="1" operator="equal">
      <formula>"Towel"</formula>
    </cfRule>
    <cfRule type="cellIs" dxfId="29179" priority="15257" stopIfTrue="1" operator="equal">
      <formula>"Napkin Hs"</formula>
    </cfRule>
    <cfRule type="cellIs" dxfId="29178" priority="15262" stopIfTrue="1" operator="equal">
      <formula>"Towel"</formula>
    </cfRule>
    <cfRule type="cellIs" dxfId="29177" priority="15263" stopIfTrue="1" operator="equal">
      <formula>"Napkin Hs"</formula>
    </cfRule>
    <cfRule type="cellIs" dxfId="29176" priority="15264" stopIfTrue="1" operator="equal">
      <formula>"Towel"</formula>
    </cfRule>
    <cfRule type="cellIs" dxfId="29175" priority="15265" stopIfTrue="1" operator="equal">
      <formula>"Napkin Hs"</formula>
    </cfRule>
    <cfRule type="cellIs" dxfId="29174" priority="15268" stopIfTrue="1" operator="equal">
      <formula>"Towel"</formula>
    </cfRule>
    <cfRule type="cellIs" dxfId="29173" priority="15269" stopIfTrue="1" operator="equal">
      <formula>"Napkin Hs"</formula>
    </cfRule>
    <cfRule type="cellIs" dxfId="29172" priority="15270" stopIfTrue="1" operator="equal">
      <formula>"Towel"</formula>
    </cfRule>
    <cfRule type="cellIs" dxfId="29171" priority="15271" stopIfTrue="1" operator="equal">
      <formula>"Napkin Hs"</formula>
    </cfRule>
    <cfRule type="cellIs" dxfId="29170" priority="15272" stopIfTrue="1" operator="equal">
      <formula>"Towel"</formula>
    </cfRule>
    <cfRule type="cellIs" dxfId="29169" priority="15273" stopIfTrue="1" operator="equal">
      <formula>"Napkin Hs"</formula>
    </cfRule>
    <cfRule type="cellIs" dxfId="29168" priority="15274" stopIfTrue="1" operator="equal">
      <formula>"Towel"</formula>
    </cfRule>
    <cfRule type="cellIs" dxfId="29167" priority="15275" stopIfTrue="1" operator="equal">
      <formula>"Napkin Hs"</formula>
    </cfRule>
    <cfRule type="cellIs" dxfId="29166" priority="15278" stopIfTrue="1" operator="equal">
      <formula>"Towel"</formula>
    </cfRule>
    <cfRule type="cellIs" dxfId="29165" priority="15279" stopIfTrue="1" operator="equal">
      <formula>"Napkin Hs"</formula>
    </cfRule>
    <cfRule type="cellIs" dxfId="29164" priority="15280" stopIfTrue="1" operator="equal">
      <formula>"Towel"</formula>
    </cfRule>
    <cfRule type="cellIs" dxfId="29163" priority="15281" stopIfTrue="1" operator="equal">
      <formula>"Napkin Hs"</formula>
    </cfRule>
    <cfRule type="cellIs" dxfId="29162" priority="15286" stopIfTrue="1" operator="equal">
      <formula>"Towel"</formula>
    </cfRule>
    <cfRule type="cellIs" dxfId="29161" priority="15287" stopIfTrue="1" operator="equal">
      <formula>"Napkin Hs"</formula>
    </cfRule>
    <cfRule type="cellIs" dxfId="29160" priority="15288" stopIfTrue="1" operator="equal">
      <formula>"Towel"</formula>
    </cfRule>
    <cfRule type="cellIs" dxfId="29159" priority="15289" stopIfTrue="1" operator="equal">
      <formula>"Napkin Hs"</formula>
    </cfRule>
    <cfRule type="cellIs" dxfId="29158" priority="15292" stopIfTrue="1" operator="equal">
      <formula>"Towel"</formula>
    </cfRule>
    <cfRule type="cellIs" dxfId="29157" priority="15293" stopIfTrue="1" operator="equal">
      <formula>"Napkin Hs"</formula>
    </cfRule>
    <cfRule type="cellIs" dxfId="29156" priority="15294" stopIfTrue="1" operator="equal">
      <formula>"Towel"</formula>
    </cfRule>
    <cfRule type="cellIs" dxfId="29155" priority="15295" stopIfTrue="1" operator="equal">
      <formula>"Napkin Hs"</formula>
    </cfRule>
    <cfRule type="cellIs" dxfId="29154" priority="15296" stopIfTrue="1" operator="equal">
      <formula>"Towel"</formula>
    </cfRule>
    <cfRule type="cellIs" dxfId="29153" priority="15297" stopIfTrue="1" operator="equal">
      <formula>"Napkin Hs"</formula>
    </cfRule>
    <cfRule type="cellIs" dxfId="29152" priority="15298" stopIfTrue="1" operator="equal">
      <formula>"Towel"</formula>
    </cfRule>
    <cfRule type="cellIs" dxfId="29151" priority="15299" stopIfTrue="1" operator="equal">
      <formula>"Napkin Hs"</formula>
    </cfRule>
    <cfRule type="cellIs" dxfId="29150" priority="15304" stopIfTrue="1" operator="equal">
      <formula>"Towel"</formula>
    </cfRule>
    <cfRule type="cellIs" dxfId="29149" priority="15305" stopIfTrue="1" operator="equal">
      <formula>"Napkin Hs"</formula>
    </cfRule>
    <cfRule type="cellIs" dxfId="29148" priority="15306" stopIfTrue="1" operator="equal">
      <formula>"Towel"</formula>
    </cfRule>
    <cfRule type="cellIs" dxfId="29147" priority="15307" stopIfTrue="1" operator="equal">
      <formula>"Napkin Hs"</formula>
    </cfRule>
    <cfRule type="cellIs" dxfId="29146" priority="15310" stopIfTrue="1" operator="equal">
      <formula>"Towel"</formula>
    </cfRule>
    <cfRule type="cellIs" dxfId="29145" priority="15311" stopIfTrue="1" operator="equal">
      <formula>"Napkin Hs"</formula>
    </cfRule>
    <cfRule type="cellIs" dxfId="29144" priority="15312" stopIfTrue="1" operator="equal">
      <formula>"Towel"</formula>
    </cfRule>
    <cfRule type="cellIs" dxfId="29143" priority="15313" stopIfTrue="1" operator="equal">
      <formula>"Napkin Hs"</formula>
    </cfRule>
    <cfRule type="cellIs" dxfId="29142" priority="15314" stopIfTrue="1" operator="equal">
      <formula>"Towel"</formula>
    </cfRule>
    <cfRule type="cellIs" dxfId="29141" priority="15315" stopIfTrue="1" operator="equal">
      <formula>"Napkin Hs"</formula>
    </cfRule>
    <cfRule type="cellIs" dxfId="29140" priority="15316" stopIfTrue="1" operator="equal">
      <formula>"Towel"</formula>
    </cfRule>
    <cfRule type="cellIs" dxfId="29139" priority="15317" stopIfTrue="1" operator="equal">
      <formula>"Napkin Hs"</formula>
    </cfRule>
    <cfRule type="cellIs" dxfId="29138" priority="15322" stopIfTrue="1" operator="equal">
      <formula>"Towel"</formula>
    </cfRule>
    <cfRule type="cellIs" dxfId="29137" priority="15323" stopIfTrue="1" operator="equal">
      <formula>"Napkin Hs"</formula>
    </cfRule>
    <cfRule type="cellIs" dxfId="29136" priority="15324" stopIfTrue="1" operator="equal">
      <formula>"Towel"</formula>
    </cfRule>
    <cfRule type="cellIs" dxfId="29135" priority="15325" stopIfTrue="1" operator="equal">
      <formula>"Napkin Hs"</formula>
    </cfRule>
    <cfRule type="cellIs" dxfId="29134" priority="15328" stopIfTrue="1" operator="equal">
      <formula>"Towel"</formula>
    </cfRule>
    <cfRule type="cellIs" dxfId="29133" priority="15329" stopIfTrue="1" operator="equal">
      <formula>"Napkin Hs"</formula>
    </cfRule>
    <cfRule type="cellIs" dxfId="29132" priority="15330" stopIfTrue="1" operator="equal">
      <formula>"Towel"</formula>
    </cfRule>
    <cfRule type="cellIs" dxfId="29131" priority="15331" stopIfTrue="1" operator="equal">
      <formula>"Napkin Hs"</formula>
    </cfRule>
  </conditionalFormatting>
  <conditionalFormatting sqref="C44">
    <cfRule type="cellIs" dxfId="29130" priority="15234" stopIfTrue="1" operator="equal">
      <formula>"Napkin Hs"</formula>
    </cfRule>
  </conditionalFormatting>
  <conditionalFormatting sqref="C44">
    <cfRule type="cellIs" dxfId="29129" priority="15233" stopIfTrue="1" operator="equal">
      <formula>"Napkin Hs"</formula>
    </cfRule>
  </conditionalFormatting>
  <conditionalFormatting sqref="B44">
    <cfRule type="cellIs" dxfId="29128" priority="15232" stopIfTrue="1" operator="equal">
      <formula>"Napkin Hs"</formula>
    </cfRule>
  </conditionalFormatting>
  <conditionalFormatting sqref="C44">
    <cfRule type="cellIs" dxfId="29127" priority="15231" stopIfTrue="1" operator="equal">
      <formula>"Napkin Hs"</formula>
    </cfRule>
  </conditionalFormatting>
  <conditionalFormatting sqref="C44">
    <cfRule type="cellIs" dxfId="29126" priority="15230" stopIfTrue="1" operator="equal">
      <formula>"Napkin Hs"</formula>
    </cfRule>
  </conditionalFormatting>
  <conditionalFormatting sqref="C44">
    <cfRule type="cellIs" dxfId="29125" priority="15229" stopIfTrue="1" operator="equal">
      <formula>"Napkin Hs"</formula>
    </cfRule>
  </conditionalFormatting>
  <conditionalFormatting sqref="C44">
    <cfRule type="cellIs" dxfId="29124" priority="15228" stopIfTrue="1" operator="equal">
      <formula>"Napkin Hs"</formula>
    </cfRule>
  </conditionalFormatting>
  <conditionalFormatting sqref="B44">
    <cfRule type="cellIs" dxfId="29123" priority="15227" stopIfTrue="1" operator="equal">
      <formula>"Napkin Hs"</formula>
    </cfRule>
  </conditionalFormatting>
  <conditionalFormatting sqref="B44">
    <cfRule type="cellIs" dxfId="29122" priority="15226" stopIfTrue="1" operator="equal">
      <formula>"Napkin Hs"</formula>
    </cfRule>
  </conditionalFormatting>
  <conditionalFormatting sqref="C44">
    <cfRule type="cellIs" dxfId="29121" priority="15222" stopIfTrue="1" operator="equal">
      <formula>"Towel"</formula>
    </cfRule>
    <cfRule type="cellIs" dxfId="29120" priority="15223" stopIfTrue="1" operator="equal">
      <formula>"Napkin Hs"</formula>
    </cfRule>
  </conditionalFormatting>
  <conditionalFormatting sqref="C44">
    <cfRule type="cellIs" dxfId="29119" priority="15224" stopIfTrue="1" operator="equal">
      <formula>"Towel"</formula>
    </cfRule>
    <cfRule type="cellIs" dxfId="29118" priority="15225" stopIfTrue="1" operator="equal">
      <formula>"Napkin Hs"</formula>
    </cfRule>
  </conditionalFormatting>
  <conditionalFormatting sqref="C44">
    <cfRule type="cellIs" dxfId="29117" priority="15218" stopIfTrue="1" operator="equal">
      <formula>"Towel"</formula>
    </cfRule>
    <cfRule type="cellIs" dxfId="29116" priority="15219" stopIfTrue="1" operator="equal">
      <formula>"Napkin Hs"</formula>
    </cfRule>
  </conditionalFormatting>
  <conditionalFormatting sqref="C44">
    <cfRule type="cellIs" dxfId="29115" priority="15220" stopIfTrue="1" operator="equal">
      <formula>"Towel"</formula>
    </cfRule>
    <cfRule type="cellIs" dxfId="29114" priority="15221" stopIfTrue="1" operator="equal">
      <formula>"Napkin Hs"</formula>
    </cfRule>
  </conditionalFormatting>
  <conditionalFormatting sqref="C43">
    <cfRule type="cellIs" dxfId="29113" priority="15046" stopIfTrue="1" operator="equal">
      <formula>"Towel"</formula>
    </cfRule>
    <cfRule type="cellIs" dxfId="29112" priority="15047" stopIfTrue="1" operator="equal">
      <formula>"Napkin Hs"</formula>
    </cfRule>
  </conditionalFormatting>
  <conditionalFormatting sqref="C43">
    <cfRule type="cellIs" dxfId="29111" priority="15048" stopIfTrue="1" operator="equal">
      <formula>"Towel"</formula>
    </cfRule>
    <cfRule type="cellIs" dxfId="29110" priority="15049" stopIfTrue="1" operator="equal">
      <formula>"Napkin Hs"</formula>
    </cfRule>
  </conditionalFormatting>
  <conditionalFormatting sqref="C43">
    <cfRule type="cellIs" dxfId="29109" priority="15044" stopIfTrue="1" operator="equal">
      <formula>"Towel"</formula>
    </cfRule>
    <cfRule type="cellIs" dxfId="29108" priority="15045" stopIfTrue="1" operator="equal">
      <formula>"Napkin Hs"</formula>
    </cfRule>
  </conditionalFormatting>
  <conditionalFormatting sqref="B43">
    <cfRule type="cellIs" dxfId="29107" priority="15042" stopIfTrue="1" operator="equal">
      <formula>"Towel"</formula>
    </cfRule>
    <cfRule type="cellIs" dxfId="29106" priority="15043" stopIfTrue="1" operator="equal">
      <formula>"Napkin Hs"</formula>
    </cfRule>
  </conditionalFormatting>
  <conditionalFormatting sqref="C43">
    <cfRule type="cellIs" dxfId="29105" priority="15036" stopIfTrue="1" operator="equal">
      <formula>"Towel"</formula>
    </cfRule>
    <cfRule type="cellIs" dxfId="29104" priority="15037" stopIfTrue="1" operator="equal">
      <formula>"Napkin Hs"</formula>
    </cfRule>
  </conditionalFormatting>
  <conditionalFormatting sqref="C43">
    <cfRule type="cellIs" dxfId="29103" priority="15040" stopIfTrue="1" operator="equal">
      <formula>"Towel"</formula>
    </cfRule>
    <cfRule type="cellIs" dxfId="29102" priority="15041" stopIfTrue="1" operator="equal">
      <formula>"Napkin Hs"</formula>
    </cfRule>
  </conditionalFormatting>
  <conditionalFormatting sqref="C43">
    <cfRule type="cellIs" dxfId="29101" priority="15038" stopIfTrue="1" operator="equal">
      <formula>"Towel"</formula>
    </cfRule>
    <cfRule type="cellIs" dxfId="29100" priority="15039" stopIfTrue="1" operator="equal">
      <formula>"Napkin Hs"</formula>
    </cfRule>
  </conditionalFormatting>
  <conditionalFormatting sqref="C43">
    <cfRule type="cellIs" dxfId="29099" priority="15030" stopIfTrue="1" operator="equal">
      <formula>"Towel"</formula>
    </cfRule>
    <cfRule type="cellIs" dxfId="29098" priority="15031" stopIfTrue="1" operator="equal">
      <formula>"Napkin Hs"</formula>
    </cfRule>
  </conditionalFormatting>
  <conditionalFormatting sqref="C43">
    <cfRule type="cellIs" dxfId="29097" priority="15032" stopIfTrue="1" operator="equal">
      <formula>"Towel"</formula>
    </cfRule>
    <cfRule type="cellIs" dxfId="29096" priority="15033" stopIfTrue="1" operator="equal">
      <formula>"Napkin Hs"</formula>
    </cfRule>
  </conditionalFormatting>
  <conditionalFormatting sqref="C43">
    <cfRule type="cellIs" dxfId="29095" priority="15034" stopIfTrue="1" operator="equal">
      <formula>"Towel"</formula>
    </cfRule>
    <cfRule type="cellIs" dxfId="29094" priority="15035" stopIfTrue="1" operator="equal">
      <formula>"Napkin Hs"</formula>
    </cfRule>
  </conditionalFormatting>
  <conditionalFormatting sqref="B43:C43">
    <cfRule type="cellIs" dxfId="29093" priority="15028" stopIfTrue="1" operator="equal">
      <formula>"Towel"</formula>
    </cfRule>
    <cfRule type="cellIs" dxfId="29092" priority="15029" stopIfTrue="1" operator="equal">
      <formula>"Napkin Hs"</formula>
    </cfRule>
  </conditionalFormatting>
  <conditionalFormatting sqref="B43:C43">
    <cfRule type="cellIs" dxfId="29091" priority="15026" stopIfTrue="1" operator="equal">
      <formula>"Towel"</formula>
    </cfRule>
    <cfRule type="cellIs" dxfId="29090" priority="15027" stopIfTrue="1" operator="equal">
      <formula>"Napkin Hs"</formula>
    </cfRule>
  </conditionalFormatting>
  <conditionalFormatting sqref="B43:C43">
    <cfRule type="cellIs" dxfId="29089" priority="15002" stopIfTrue="1" operator="equal">
      <formula>"Towel"</formula>
    </cfRule>
  </conditionalFormatting>
  <conditionalFormatting sqref="B43:C43">
    <cfRule type="cellIs" dxfId="29088" priority="15003" stopIfTrue="1" operator="equal">
      <formula>"Napkin Hs"</formula>
    </cfRule>
    <cfRule type="cellIs" dxfId="29087" priority="15008" stopIfTrue="1" operator="equal">
      <formula>"Towel"</formula>
    </cfRule>
    <cfRule type="cellIs" dxfId="29086" priority="15009" stopIfTrue="1" operator="equal">
      <formula>"Napkin Hs"</formula>
    </cfRule>
    <cfRule type="cellIs" dxfId="29085" priority="15018" stopIfTrue="1" operator="equal">
      <formula>"Towel"</formula>
    </cfRule>
    <cfRule type="cellIs" dxfId="29084" priority="15019" stopIfTrue="1" operator="equal">
      <formula>"Napkin Hs"</formula>
    </cfRule>
    <cfRule type="cellIs" dxfId="29083" priority="15024" stopIfTrue="1" operator="equal">
      <formula>"Towel"</formula>
    </cfRule>
    <cfRule type="cellIs" dxfId="29082" priority="15025" stopIfTrue="1" operator="equal">
      <formula>"Napkin Hs"</formula>
    </cfRule>
  </conditionalFormatting>
  <conditionalFormatting sqref="C43">
    <cfRule type="cellIs" dxfId="29081" priority="15004" stopIfTrue="1" operator="equal">
      <formula>"Towel"</formula>
    </cfRule>
    <cfRule type="cellIs" dxfId="29080" priority="15005" stopIfTrue="1" operator="equal">
      <formula>"Napkin Hs"</formula>
    </cfRule>
    <cfRule type="cellIs" dxfId="29079" priority="15006" stopIfTrue="1" operator="equal">
      <formula>"Towel"</formula>
    </cfRule>
    <cfRule type="cellIs" dxfId="29078" priority="15007" stopIfTrue="1" operator="equal">
      <formula>"Napkin Hs"</formula>
    </cfRule>
    <cfRule type="cellIs" dxfId="29077" priority="15010" stopIfTrue="1" operator="equal">
      <formula>"Towel"</formula>
    </cfRule>
    <cfRule type="cellIs" dxfId="29076" priority="15011" stopIfTrue="1" operator="equal">
      <formula>"Napkin Hs"</formula>
    </cfRule>
    <cfRule type="cellIs" dxfId="29075" priority="15012" stopIfTrue="1" operator="equal">
      <formula>"Towel"</formula>
    </cfRule>
    <cfRule type="cellIs" dxfId="29074" priority="15013" stopIfTrue="1" operator="equal">
      <formula>"Napkin Hs"</formula>
    </cfRule>
    <cfRule type="cellIs" dxfId="29073" priority="15014" stopIfTrue="1" operator="equal">
      <formula>"Towel"</formula>
    </cfRule>
    <cfRule type="cellIs" dxfId="29072" priority="15015" stopIfTrue="1" operator="equal">
      <formula>"Napkin Hs"</formula>
    </cfRule>
    <cfRule type="cellIs" dxfId="29071" priority="15016" stopIfTrue="1" operator="equal">
      <formula>"Towel"</formula>
    </cfRule>
    <cfRule type="cellIs" dxfId="29070" priority="15017" stopIfTrue="1" operator="equal">
      <formula>"Napkin Hs"</formula>
    </cfRule>
    <cfRule type="cellIs" dxfId="29069" priority="15020" stopIfTrue="1" operator="equal">
      <formula>"Towel"</formula>
    </cfRule>
    <cfRule type="cellIs" dxfId="29068" priority="15021" stopIfTrue="1" operator="equal">
      <formula>"Napkin Hs"</formula>
    </cfRule>
    <cfRule type="cellIs" dxfId="29067" priority="15023" stopIfTrue="1" operator="equal">
      <formula>"Napkin Hs"</formula>
    </cfRule>
  </conditionalFormatting>
  <conditionalFormatting sqref="C43">
    <cfRule type="cellIs" dxfId="29066" priority="15022" stopIfTrue="1" operator="equal">
      <formula>"Towel"</formula>
    </cfRule>
  </conditionalFormatting>
  <conditionalFormatting sqref="B43:C43">
    <cfRule type="cellIs" dxfId="29065" priority="15000" stopIfTrue="1" operator="equal">
      <formula>"Towel"</formula>
    </cfRule>
    <cfRule type="cellIs" dxfId="29064" priority="15001" stopIfTrue="1" operator="equal">
      <formula>"Napkin Hs"</formula>
    </cfRule>
  </conditionalFormatting>
  <conditionalFormatting sqref="C43">
    <cfRule type="cellIs" dxfId="29063" priority="14999" stopIfTrue="1" operator="equal">
      <formula>"Napkin Hs"</formula>
    </cfRule>
  </conditionalFormatting>
  <conditionalFormatting sqref="C43">
    <cfRule type="cellIs" dxfId="29062" priority="14998" stopIfTrue="1" operator="equal">
      <formula>"Towel"</formula>
    </cfRule>
  </conditionalFormatting>
  <conditionalFormatting sqref="C43">
    <cfRule type="cellIs" dxfId="29061" priority="14996" stopIfTrue="1" operator="equal">
      <formula>"Towel"</formula>
    </cfRule>
  </conditionalFormatting>
  <conditionalFormatting sqref="C43">
    <cfRule type="cellIs" dxfId="29060" priority="14997" stopIfTrue="1" operator="equal">
      <formula>"Napkin Hs"</formula>
    </cfRule>
  </conditionalFormatting>
  <conditionalFormatting sqref="B43">
    <cfRule type="cellIs" dxfId="29059" priority="14900" stopIfTrue="1" operator="equal">
      <formula>"Napkin Hs"</formula>
    </cfRule>
  </conditionalFormatting>
  <conditionalFormatting sqref="B43:C43">
    <cfRule type="cellIs" dxfId="29058" priority="14899" stopIfTrue="1" operator="equal">
      <formula>"Towel"</formula>
    </cfRule>
  </conditionalFormatting>
  <conditionalFormatting sqref="B43:C43">
    <cfRule type="cellIs" dxfId="29057" priority="14910" stopIfTrue="1" operator="equal">
      <formula>"Towel"</formula>
    </cfRule>
    <cfRule type="cellIs" dxfId="29056" priority="14911" stopIfTrue="1" operator="equal">
      <formula>"Napkin Hs"</formula>
    </cfRule>
    <cfRule type="cellIs" dxfId="29055" priority="14916" stopIfTrue="1" operator="equal">
      <formula>"Towel"</formula>
    </cfRule>
    <cfRule type="cellIs" dxfId="29054" priority="14917" stopIfTrue="1" operator="equal">
      <formula>"Napkin Hs"</formula>
    </cfRule>
    <cfRule type="cellIs" dxfId="29053" priority="14922" stopIfTrue="1" operator="equal">
      <formula>"Towel"</formula>
    </cfRule>
    <cfRule type="cellIs" dxfId="29052" priority="14923" stopIfTrue="1" operator="equal">
      <formula>"Napkin Hs"</formula>
    </cfRule>
    <cfRule type="cellIs" dxfId="29051" priority="14924" stopIfTrue="1" operator="equal">
      <formula>"Towel"</formula>
    </cfRule>
    <cfRule type="cellIs" dxfId="29050" priority="14925" stopIfTrue="1" operator="equal">
      <formula>"Napkin Hs"</formula>
    </cfRule>
    <cfRule type="cellIs" dxfId="29049" priority="14930" stopIfTrue="1" operator="equal">
      <formula>"Towel"</formula>
    </cfRule>
    <cfRule type="cellIs" dxfId="29048" priority="14931" stopIfTrue="1" operator="equal">
      <formula>"Napkin Hs"</formula>
    </cfRule>
    <cfRule type="cellIs" dxfId="29047" priority="14940" stopIfTrue="1" operator="equal">
      <formula>"Towel"</formula>
    </cfRule>
    <cfRule type="cellIs" dxfId="29046" priority="14941" stopIfTrue="1" operator="equal">
      <formula>"Napkin Hs"</formula>
    </cfRule>
    <cfRule type="cellIs" dxfId="29045" priority="14946" stopIfTrue="1" operator="equal">
      <formula>"Towel"</formula>
    </cfRule>
    <cfRule type="cellIs" dxfId="29044" priority="14947" stopIfTrue="1" operator="equal">
      <formula>"Napkin Hs"</formula>
    </cfRule>
    <cfRule type="cellIs" dxfId="29043" priority="14948" stopIfTrue="1" operator="equal">
      <formula>"Towel"</formula>
    </cfRule>
    <cfRule type="cellIs" dxfId="29042" priority="14949" stopIfTrue="1" operator="equal">
      <formula>"Napkin Hs"</formula>
    </cfRule>
    <cfRule type="cellIs" dxfId="29041" priority="14954" stopIfTrue="1" operator="equal">
      <formula>"Towel"</formula>
    </cfRule>
    <cfRule type="cellIs" dxfId="29040" priority="14955" stopIfTrue="1" operator="equal">
      <formula>"Napkin Hs"</formula>
    </cfRule>
    <cfRule type="cellIs" dxfId="29039" priority="14964" stopIfTrue="1" operator="equal">
      <formula>"Towel"</formula>
    </cfRule>
    <cfRule type="cellIs" dxfId="29038" priority="14965" stopIfTrue="1" operator="equal">
      <formula>"Napkin Hs"</formula>
    </cfRule>
    <cfRule type="cellIs" dxfId="29037" priority="14966" stopIfTrue="1" operator="equal">
      <formula>"Towel"</formula>
    </cfRule>
    <cfRule type="cellIs" dxfId="29036" priority="14967" stopIfTrue="1" operator="equal">
      <formula>"Napkin Hs"</formula>
    </cfRule>
    <cfRule type="cellIs" dxfId="29035" priority="14972" stopIfTrue="1" operator="equal">
      <formula>"Towel"</formula>
    </cfRule>
    <cfRule type="cellIs" dxfId="29034" priority="14973" stopIfTrue="1" operator="equal">
      <formula>"Napkin Hs"</formula>
    </cfRule>
    <cfRule type="cellIs" dxfId="29033" priority="14982" stopIfTrue="1" operator="equal">
      <formula>"Towel"</formula>
    </cfRule>
    <cfRule type="cellIs" dxfId="29032" priority="14983" stopIfTrue="1" operator="equal">
      <formula>"Napkin Hs"</formula>
    </cfRule>
    <cfRule type="cellIs" dxfId="29031" priority="14984" stopIfTrue="1" operator="equal">
      <formula>"Towel"</formula>
    </cfRule>
    <cfRule type="cellIs" dxfId="29030" priority="14985" stopIfTrue="1" operator="equal">
      <formula>"Napkin Hs"</formula>
    </cfRule>
    <cfRule type="cellIs" dxfId="29029" priority="14991" stopIfTrue="1" operator="equal">
      <formula>"Napkin Hs"</formula>
    </cfRule>
  </conditionalFormatting>
  <conditionalFormatting sqref="B43:C43">
    <cfRule type="cellIs" dxfId="29028" priority="14990" stopIfTrue="1" operator="equal">
      <formula>"Towel"</formula>
    </cfRule>
  </conditionalFormatting>
  <conditionalFormatting sqref="C43">
    <cfRule type="cellIs" dxfId="29027" priority="14901" stopIfTrue="1" operator="equal">
      <formula>"Napkin Hs"</formula>
    </cfRule>
    <cfRule type="cellIs" dxfId="29026" priority="14902" stopIfTrue="1" operator="equal">
      <formula>"Towel"</formula>
    </cfRule>
    <cfRule type="cellIs" dxfId="29025" priority="14903" stopIfTrue="1" operator="equal">
      <formula>"Napkin Hs"</formula>
    </cfRule>
    <cfRule type="cellIs" dxfId="29024" priority="14904" stopIfTrue="1" operator="equal">
      <formula>"Towel"</formula>
    </cfRule>
    <cfRule type="cellIs" dxfId="29023" priority="14905" stopIfTrue="1" operator="equal">
      <formula>"Napkin Hs"</formula>
    </cfRule>
    <cfRule type="cellIs" dxfId="29022" priority="14906" stopIfTrue="1" operator="equal">
      <formula>"Towel"</formula>
    </cfRule>
    <cfRule type="cellIs" dxfId="29021" priority="14907" stopIfTrue="1" operator="equal">
      <formula>"Napkin Hs"</formula>
    </cfRule>
    <cfRule type="cellIs" dxfId="29020" priority="14908" stopIfTrue="1" operator="equal">
      <formula>"Towel"</formula>
    </cfRule>
    <cfRule type="cellIs" dxfId="29019" priority="14909" stopIfTrue="1" operator="equal">
      <formula>"Napkin Hs"</formula>
    </cfRule>
    <cfRule type="cellIs" dxfId="29018" priority="14912" stopIfTrue="1" operator="equal">
      <formula>"Towel"</formula>
    </cfRule>
    <cfRule type="cellIs" dxfId="29017" priority="14913" stopIfTrue="1" operator="equal">
      <formula>"Napkin Hs"</formula>
    </cfRule>
    <cfRule type="cellIs" dxfId="29016" priority="14914" stopIfTrue="1" operator="equal">
      <formula>"Towel"</formula>
    </cfRule>
    <cfRule type="cellIs" dxfId="29015" priority="14915" stopIfTrue="1" operator="equal">
      <formula>"Napkin Hs"</formula>
    </cfRule>
    <cfRule type="cellIs" dxfId="29014" priority="14918" stopIfTrue="1" operator="equal">
      <formula>"Towel"</formula>
    </cfRule>
    <cfRule type="cellIs" dxfId="29013" priority="14919" stopIfTrue="1" operator="equal">
      <formula>"Napkin Hs"</formula>
    </cfRule>
    <cfRule type="cellIs" dxfId="29012" priority="14920" stopIfTrue="1" operator="equal">
      <formula>"Towel"</formula>
    </cfRule>
    <cfRule type="cellIs" dxfId="29011" priority="14921" stopIfTrue="1" operator="equal">
      <formula>"Napkin Hs"</formula>
    </cfRule>
    <cfRule type="cellIs" dxfId="29010" priority="14926" stopIfTrue="1" operator="equal">
      <formula>"Towel"</formula>
    </cfRule>
    <cfRule type="cellIs" dxfId="29009" priority="14927" stopIfTrue="1" operator="equal">
      <formula>"Napkin Hs"</formula>
    </cfRule>
    <cfRule type="cellIs" dxfId="29008" priority="14928" stopIfTrue="1" operator="equal">
      <formula>"Towel"</formula>
    </cfRule>
    <cfRule type="cellIs" dxfId="29007" priority="14929" stopIfTrue="1" operator="equal">
      <formula>"Napkin Hs"</formula>
    </cfRule>
    <cfRule type="cellIs" dxfId="29006" priority="14932" stopIfTrue="1" operator="equal">
      <formula>"Towel"</formula>
    </cfRule>
    <cfRule type="cellIs" dxfId="29005" priority="14933" stopIfTrue="1" operator="equal">
      <formula>"Napkin Hs"</formula>
    </cfRule>
    <cfRule type="cellIs" dxfId="29004" priority="14934" stopIfTrue="1" operator="equal">
      <formula>"Towel"</formula>
    </cfRule>
    <cfRule type="cellIs" dxfId="29003" priority="14935" stopIfTrue="1" operator="equal">
      <formula>"Napkin Hs"</formula>
    </cfRule>
    <cfRule type="cellIs" dxfId="29002" priority="14936" stopIfTrue="1" operator="equal">
      <formula>"Towel"</formula>
    </cfRule>
    <cfRule type="cellIs" dxfId="29001" priority="14937" stopIfTrue="1" operator="equal">
      <formula>"Napkin Hs"</formula>
    </cfRule>
    <cfRule type="cellIs" dxfId="29000" priority="14938" stopIfTrue="1" operator="equal">
      <formula>"Towel"</formula>
    </cfRule>
    <cfRule type="cellIs" dxfId="28999" priority="14939" stopIfTrue="1" operator="equal">
      <formula>"Napkin Hs"</formula>
    </cfRule>
    <cfRule type="cellIs" dxfId="28998" priority="14942" stopIfTrue="1" operator="equal">
      <formula>"Towel"</formula>
    </cfRule>
    <cfRule type="cellIs" dxfId="28997" priority="14943" stopIfTrue="1" operator="equal">
      <formula>"Napkin Hs"</formula>
    </cfRule>
    <cfRule type="cellIs" dxfId="28996" priority="14944" stopIfTrue="1" operator="equal">
      <formula>"Towel"</formula>
    </cfRule>
    <cfRule type="cellIs" dxfId="28995" priority="14945" stopIfTrue="1" operator="equal">
      <formula>"Napkin Hs"</formula>
    </cfRule>
    <cfRule type="cellIs" dxfId="28994" priority="14950" stopIfTrue="1" operator="equal">
      <formula>"Towel"</formula>
    </cfRule>
    <cfRule type="cellIs" dxfId="28993" priority="14951" stopIfTrue="1" operator="equal">
      <formula>"Napkin Hs"</formula>
    </cfRule>
    <cfRule type="cellIs" dxfId="28992" priority="14952" stopIfTrue="1" operator="equal">
      <formula>"Towel"</formula>
    </cfRule>
    <cfRule type="cellIs" dxfId="28991" priority="14953" stopIfTrue="1" operator="equal">
      <formula>"Napkin Hs"</formula>
    </cfRule>
    <cfRule type="cellIs" dxfId="28990" priority="14956" stopIfTrue="1" operator="equal">
      <formula>"Towel"</formula>
    </cfRule>
    <cfRule type="cellIs" dxfId="28989" priority="14957" stopIfTrue="1" operator="equal">
      <formula>"Napkin Hs"</formula>
    </cfRule>
    <cfRule type="cellIs" dxfId="28988" priority="14958" stopIfTrue="1" operator="equal">
      <formula>"Towel"</formula>
    </cfRule>
    <cfRule type="cellIs" dxfId="28987" priority="14959" stopIfTrue="1" operator="equal">
      <formula>"Napkin Hs"</formula>
    </cfRule>
    <cfRule type="cellIs" dxfId="28986" priority="14960" stopIfTrue="1" operator="equal">
      <formula>"Towel"</formula>
    </cfRule>
    <cfRule type="cellIs" dxfId="28985" priority="14961" stopIfTrue="1" operator="equal">
      <formula>"Napkin Hs"</formula>
    </cfRule>
    <cfRule type="cellIs" dxfId="28984" priority="14962" stopIfTrue="1" operator="equal">
      <formula>"Towel"</formula>
    </cfRule>
    <cfRule type="cellIs" dxfId="28983" priority="14963" stopIfTrue="1" operator="equal">
      <formula>"Napkin Hs"</formula>
    </cfRule>
    <cfRule type="cellIs" dxfId="28982" priority="14968" stopIfTrue="1" operator="equal">
      <formula>"Towel"</formula>
    </cfRule>
    <cfRule type="cellIs" dxfId="28981" priority="14969" stopIfTrue="1" operator="equal">
      <formula>"Napkin Hs"</formula>
    </cfRule>
    <cfRule type="cellIs" dxfId="28980" priority="14970" stopIfTrue="1" operator="equal">
      <formula>"Towel"</formula>
    </cfRule>
    <cfRule type="cellIs" dxfId="28979" priority="14971" stopIfTrue="1" operator="equal">
      <formula>"Napkin Hs"</formula>
    </cfRule>
    <cfRule type="cellIs" dxfId="28978" priority="14974" stopIfTrue="1" operator="equal">
      <formula>"Towel"</formula>
    </cfRule>
    <cfRule type="cellIs" dxfId="28977" priority="14975" stopIfTrue="1" operator="equal">
      <formula>"Napkin Hs"</formula>
    </cfRule>
    <cfRule type="cellIs" dxfId="28976" priority="14976" stopIfTrue="1" operator="equal">
      <formula>"Towel"</formula>
    </cfRule>
    <cfRule type="cellIs" dxfId="28975" priority="14977" stopIfTrue="1" operator="equal">
      <formula>"Napkin Hs"</formula>
    </cfRule>
    <cfRule type="cellIs" dxfId="28974" priority="14978" stopIfTrue="1" operator="equal">
      <formula>"Towel"</formula>
    </cfRule>
    <cfRule type="cellIs" dxfId="28973" priority="14979" stopIfTrue="1" operator="equal">
      <formula>"Napkin Hs"</formula>
    </cfRule>
    <cfRule type="cellIs" dxfId="28972" priority="14980" stopIfTrue="1" operator="equal">
      <formula>"Towel"</formula>
    </cfRule>
    <cfRule type="cellIs" dxfId="28971" priority="14981" stopIfTrue="1" operator="equal">
      <formula>"Napkin Hs"</formula>
    </cfRule>
    <cfRule type="cellIs" dxfId="28970" priority="14986" stopIfTrue="1" operator="equal">
      <formula>"Towel"</formula>
    </cfRule>
    <cfRule type="cellIs" dxfId="28969" priority="14987" stopIfTrue="1" operator="equal">
      <formula>"Napkin Hs"</formula>
    </cfRule>
    <cfRule type="cellIs" dxfId="28968" priority="14988" stopIfTrue="1" operator="equal">
      <formula>"Towel"</formula>
    </cfRule>
    <cfRule type="cellIs" dxfId="28967" priority="14989" stopIfTrue="1" operator="equal">
      <formula>"Napkin Hs"</formula>
    </cfRule>
    <cfRule type="cellIs" dxfId="28966" priority="14992" stopIfTrue="1" operator="equal">
      <formula>"Towel"</formula>
    </cfRule>
    <cfRule type="cellIs" dxfId="28965" priority="14993" stopIfTrue="1" operator="equal">
      <formula>"Napkin Hs"</formula>
    </cfRule>
    <cfRule type="cellIs" dxfId="28964" priority="14994" stopIfTrue="1" operator="equal">
      <formula>"Towel"</formula>
    </cfRule>
    <cfRule type="cellIs" dxfId="28963" priority="14995" stopIfTrue="1" operator="equal">
      <formula>"Napkin Hs"</formula>
    </cfRule>
  </conditionalFormatting>
  <conditionalFormatting sqref="C43">
    <cfRule type="cellIs" dxfId="28962" priority="14898" stopIfTrue="1" operator="equal">
      <formula>"Napkin Hs"</formula>
    </cfRule>
  </conditionalFormatting>
  <conditionalFormatting sqref="C43">
    <cfRule type="cellIs" dxfId="28961" priority="14897" stopIfTrue="1" operator="equal">
      <formula>"Napkin Hs"</formula>
    </cfRule>
  </conditionalFormatting>
  <conditionalFormatting sqref="B43">
    <cfRule type="cellIs" dxfId="28960" priority="14896" stopIfTrue="1" operator="equal">
      <formula>"Napkin Hs"</formula>
    </cfRule>
  </conditionalFormatting>
  <conditionalFormatting sqref="C43">
    <cfRule type="cellIs" dxfId="28959" priority="14895" stopIfTrue="1" operator="equal">
      <formula>"Napkin Hs"</formula>
    </cfRule>
  </conditionalFormatting>
  <conditionalFormatting sqref="C43">
    <cfRule type="cellIs" dxfId="28958" priority="14894" stopIfTrue="1" operator="equal">
      <formula>"Napkin Hs"</formula>
    </cfRule>
  </conditionalFormatting>
  <conditionalFormatting sqref="C43">
    <cfRule type="cellIs" dxfId="28957" priority="14893" stopIfTrue="1" operator="equal">
      <formula>"Napkin Hs"</formula>
    </cfRule>
  </conditionalFormatting>
  <conditionalFormatting sqref="C43">
    <cfRule type="cellIs" dxfId="28956" priority="14892" stopIfTrue="1" operator="equal">
      <formula>"Napkin Hs"</formula>
    </cfRule>
  </conditionalFormatting>
  <conditionalFormatting sqref="B43">
    <cfRule type="cellIs" dxfId="28955" priority="14891" stopIfTrue="1" operator="equal">
      <formula>"Napkin Hs"</formula>
    </cfRule>
  </conditionalFormatting>
  <conditionalFormatting sqref="B43">
    <cfRule type="cellIs" dxfId="28954" priority="14890" stopIfTrue="1" operator="equal">
      <formula>"Napkin Hs"</formula>
    </cfRule>
  </conditionalFormatting>
  <conditionalFormatting sqref="C43">
    <cfRule type="cellIs" dxfId="28953" priority="14886" stopIfTrue="1" operator="equal">
      <formula>"Towel"</formula>
    </cfRule>
    <cfRule type="cellIs" dxfId="28952" priority="14887" stopIfTrue="1" operator="equal">
      <formula>"Napkin Hs"</formula>
    </cfRule>
  </conditionalFormatting>
  <conditionalFormatting sqref="C43">
    <cfRule type="cellIs" dxfId="28951" priority="14888" stopIfTrue="1" operator="equal">
      <formula>"Towel"</formula>
    </cfRule>
    <cfRule type="cellIs" dxfId="28950" priority="14889" stopIfTrue="1" operator="equal">
      <formula>"Napkin Hs"</formula>
    </cfRule>
  </conditionalFormatting>
  <conditionalFormatting sqref="C43">
    <cfRule type="cellIs" dxfId="28949" priority="14882" stopIfTrue="1" operator="equal">
      <formula>"Towel"</formula>
    </cfRule>
    <cfRule type="cellIs" dxfId="28948" priority="14883" stopIfTrue="1" operator="equal">
      <formula>"Napkin Hs"</formula>
    </cfRule>
  </conditionalFormatting>
  <conditionalFormatting sqref="C43">
    <cfRule type="cellIs" dxfId="28947" priority="14884" stopIfTrue="1" operator="equal">
      <formula>"Towel"</formula>
    </cfRule>
    <cfRule type="cellIs" dxfId="28946" priority="14885" stopIfTrue="1" operator="equal">
      <formula>"Napkin Hs"</formula>
    </cfRule>
  </conditionalFormatting>
  <conditionalFormatting sqref="C42">
    <cfRule type="cellIs" dxfId="28945" priority="14878" stopIfTrue="1" operator="equal">
      <formula>"Towel"</formula>
    </cfRule>
    <cfRule type="cellIs" dxfId="28944" priority="14879" stopIfTrue="1" operator="equal">
      <formula>"Napkin Hs"</formula>
    </cfRule>
  </conditionalFormatting>
  <conditionalFormatting sqref="C42">
    <cfRule type="cellIs" dxfId="28943" priority="14880" stopIfTrue="1" operator="equal">
      <formula>"Towel"</formula>
    </cfRule>
    <cfRule type="cellIs" dxfId="28942" priority="14881" stopIfTrue="1" operator="equal">
      <formula>"Napkin Hs"</formula>
    </cfRule>
  </conditionalFormatting>
  <conditionalFormatting sqref="C42">
    <cfRule type="cellIs" dxfId="28941" priority="14876" stopIfTrue="1" operator="equal">
      <formula>"Towel"</formula>
    </cfRule>
    <cfRule type="cellIs" dxfId="28940" priority="14877" stopIfTrue="1" operator="equal">
      <formula>"Napkin Hs"</formula>
    </cfRule>
  </conditionalFormatting>
  <conditionalFormatting sqref="B42">
    <cfRule type="cellIs" dxfId="28939" priority="14874" stopIfTrue="1" operator="equal">
      <formula>"Towel"</formula>
    </cfRule>
    <cfRule type="cellIs" dxfId="28938" priority="14875" stopIfTrue="1" operator="equal">
      <formula>"Napkin Hs"</formula>
    </cfRule>
  </conditionalFormatting>
  <conditionalFormatting sqref="C42">
    <cfRule type="cellIs" dxfId="28937" priority="14868" stopIfTrue="1" operator="equal">
      <formula>"Towel"</formula>
    </cfRule>
    <cfRule type="cellIs" dxfId="28936" priority="14869" stopIfTrue="1" operator="equal">
      <formula>"Napkin Hs"</formula>
    </cfRule>
  </conditionalFormatting>
  <conditionalFormatting sqref="C42">
    <cfRule type="cellIs" dxfId="28935" priority="14872" stopIfTrue="1" operator="equal">
      <formula>"Towel"</formula>
    </cfRule>
    <cfRule type="cellIs" dxfId="28934" priority="14873" stopIfTrue="1" operator="equal">
      <formula>"Napkin Hs"</formula>
    </cfRule>
  </conditionalFormatting>
  <conditionalFormatting sqref="C42">
    <cfRule type="cellIs" dxfId="28933" priority="14870" stopIfTrue="1" operator="equal">
      <formula>"Towel"</formula>
    </cfRule>
    <cfRule type="cellIs" dxfId="28932" priority="14871" stopIfTrue="1" operator="equal">
      <formula>"Napkin Hs"</formula>
    </cfRule>
  </conditionalFormatting>
  <conditionalFormatting sqref="C42">
    <cfRule type="cellIs" dxfId="28931" priority="14862" stopIfTrue="1" operator="equal">
      <formula>"Towel"</formula>
    </cfRule>
    <cfRule type="cellIs" dxfId="28930" priority="14863" stopIfTrue="1" operator="equal">
      <formula>"Napkin Hs"</formula>
    </cfRule>
  </conditionalFormatting>
  <conditionalFormatting sqref="C42">
    <cfRule type="cellIs" dxfId="28929" priority="14864" stopIfTrue="1" operator="equal">
      <formula>"Towel"</formula>
    </cfRule>
    <cfRule type="cellIs" dxfId="28928" priority="14865" stopIfTrue="1" operator="equal">
      <formula>"Napkin Hs"</formula>
    </cfRule>
  </conditionalFormatting>
  <conditionalFormatting sqref="C42">
    <cfRule type="cellIs" dxfId="28927" priority="14866" stopIfTrue="1" operator="equal">
      <formula>"Towel"</formula>
    </cfRule>
    <cfRule type="cellIs" dxfId="28926" priority="14867" stopIfTrue="1" operator="equal">
      <formula>"Napkin Hs"</formula>
    </cfRule>
  </conditionalFormatting>
  <conditionalFormatting sqref="B42:C42">
    <cfRule type="cellIs" dxfId="28925" priority="14860" stopIfTrue="1" operator="equal">
      <formula>"Towel"</formula>
    </cfRule>
    <cfRule type="cellIs" dxfId="28924" priority="14861" stopIfTrue="1" operator="equal">
      <formula>"Napkin Hs"</formula>
    </cfRule>
  </conditionalFormatting>
  <conditionalFormatting sqref="B42:C42">
    <cfRule type="cellIs" dxfId="28923" priority="14858" stopIfTrue="1" operator="equal">
      <formula>"Towel"</formula>
    </cfRule>
    <cfRule type="cellIs" dxfId="28922" priority="14859" stopIfTrue="1" operator="equal">
      <formula>"Napkin Hs"</formula>
    </cfRule>
  </conditionalFormatting>
  <conditionalFormatting sqref="B42:C42">
    <cfRule type="cellIs" dxfId="28921" priority="14834" stopIfTrue="1" operator="equal">
      <formula>"Towel"</formula>
    </cfRule>
  </conditionalFormatting>
  <conditionalFormatting sqref="B42:C42">
    <cfRule type="cellIs" dxfId="28920" priority="14835" stopIfTrue="1" operator="equal">
      <formula>"Napkin Hs"</formula>
    </cfRule>
    <cfRule type="cellIs" dxfId="28919" priority="14840" stopIfTrue="1" operator="equal">
      <formula>"Towel"</formula>
    </cfRule>
    <cfRule type="cellIs" dxfId="28918" priority="14841" stopIfTrue="1" operator="equal">
      <formula>"Napkin Hs"</formula>
    </cfRule>
    <cfRule type="cellIs" dxfId="28917" priority="14850" stopIfTrue="1" operator="equal">
      <formula>"Towel"</formula>
    </cfRule>
    <cfRule type="cellIs" dxfId="28916" priority="14851" stopIfTrue="1" operator="equal">
      <formula>"Napkin Hs"</formula>
    </cfRule>
    <cfRule type="cellIs" dxfId="28915" priority="14856" stopIfTrue="1" operator="equal">
      <formula>"Towel"</formula>
    </cfRule>
    <cfRule type="cellIs" dxfId="28914" priority="14857" stopIfTrue="1" operator="equal">
      <formula>"Napkin Hs"</formula>
    </cfRule>
  </conditionalFormatting>
  <conditionalFormatting sqref="C42">
    <cfRule type="cellIs" dxfId="28913" priority="14836" stopIfTrue="1" operator="equal">
      <formula>"Towel"</formula>
    </cfRule>
    <cfRule type="cellIs" dxfId="28912" priority="14837" stopIfTrue="1" operator="equal">
      <formula>"Napkin Hs"</formula>
    </cfRule>
    <cfRule type="cellIs" dxfId="28911" priority="14838" stopIfTrue="1" operator="equal">
      <formula>"Towel"</formula>
    </cfRule>
    <cfRule type="cellIs" dxfId="28910" priority="14839" stopIfTrue="1" operator="equal">
      <formula>"Napkin Hs"</formula>
    </cfRule>
    <cfRule type="cellIs" dxfId="28909" priority="14842" stopIfTrue="1" operator="equal">
      <formula>"Towel"</formula>
    </cfRule>
    <cfRule type="cellIs" dxfId="28908" priority="14843" stopIfTrue="1" operator="equal">
      <formula>"Napkin Hs"</formula>
    </cfRule>
    <cfRule type="cellIs" dxfId="28907" priority="14844" stopIfTrue="1" operator="equal">
      <formula>"Towel"</formula>
    </cfRule>
    <cfRule type="cellIs" dxfId="28906" priority="14845" stopIfTrue="1" operator="equal">
      <formula>"Napkin Hs"</formula>
    </cfRule>
    <cfRule type="cellIs" dxfId="28905" priority="14846" stopIfTrue="1" operator="equal">
      <formula>"Towel"</formula>
    </cfRule>
    <cfRule type="cellIs" dxfId="28904" priority="14847" stopIfTrue="1" operator="equal">
      <formula>"Napkin Hs"</formula>
    </cfRule>
    <cfRule type="cellIs" dxfId="28903" priority="14848" stopIfTrue="1" operator="equal">
      <formula>"Towel"</formula>
    </cfRule>
    <cfRule type="cellIs" dxfId="28902" priority="14849" stopIfTrue="1" operator="equal">
      <formula>"Napkin Hs"</formula>
    </cfRule>
    <cfRule type="cellIs" dxfId="28901" priority="14852" stopIfTrue="1" operator="equal">
      <formula>"Towel"</formula>
    </cfRule>
    <cfRule type="cellIs" dxfId="28900" priority="14853" stopIfTrue="1" operator="equal">
      <formula>"Napkin Hs"</formula>
    </cfRule>
    <cfRule type="cellIs" dxfId="28899" priority="14855" stopIfTrue="1" operator="equal">
      <formula>"Napkin Hs"</formula>
    </cfRule>
  </conditionalFormatting>
  <conditionalFormatting sqref="C42">
    <cfRule type="cellIs" dxfId="28898" priority="14854" stopIfTrue="1" operator="equal">
      <formula>"Towel"</formula>
    </cfRule>
  </conditionalFormatting>
  <conditionalFormatting sqref="B42:C42">
    <cfRule type="cellIs" dxfId="28897" priority="14832" stopIfTrue="1" operator="equal">
      <formula>"Towel"</formula>
    </cfRule>
    <cfRule type="cellIs" dxfId="28896" priority="14833" stopIfTrue="1" operator="equal">
      <formula>"Napkin Hs"</formula>
    </cfRule>
  </conditionalFormatting>
  <conditionalFormatting sqref="C42">
    <cfRule type="cellIs" dxfId="28895" priority="14831" stopIfTrue="1" operator="equal">
      <formula>"Napkin Hs"</formula>
    </cfRule>
  </conditionalFormatting>
  <conditionalFormatting sqref="C42">
    <cfRule type="cellIs" dxfId="28894" priority="14830" stopIfTrue="1" operator="equal">
      <formula>"Towel"</formula>
    </cfRule>
  </conditionalFormatting>
  <conditionalFormatting sqref="C42">
    <cfRule type="cellIs" dxfId="28893" priority="14828" stopIfTrue="1" operator="equal">
      <formula>"Towel"</formula>
    </cfRule>
  </conditionalFormatting>
  <conditionalFormatting sqref="C42">
    <cfRule type="cellIs" dxfId="28892" priority="14829" stopIfTrue="1" operator="equal">
      <formula>"Napkin Hs"</formula>
    </cfRule>
  </conditionalFormatting>
  <conditionalFormatting sqref="B42">
    <cfRule type="cellIs" dxfId="28891" priority="14732" stopIfTrue="1" operator="equal">
      <formula>"Napkin Hs"</formula>
    </cfRule>
  </conditionalFormatting>
  <conditionalFormatting sqref="B42:C42">
    <cfRule type="cellIs" dxfId="28890" priority="14731" stopIfTrue="1" operator="equal">
      <formula>"Towel"</formula>
    </cfRule>
  </conditionalFormatting>
  <conditionalFormatting sqref="B42:C42">
    <cfRule type="cellIs" dxfId="28889" priority="14742" stopIfTrue="1" operator="equal">
      <formula>"Towel"</formula>
    </cfRule>
    <cfRule type="cellIs" dxfId="28888" priority="14743" stopIfTrue="1" operator="equal">
      <formula>"Napkin Hs"</formula>
    </cfRule>
    <cfRule type="cellIs" dxfId="28887" priority="14748" stopIfTrue="1" operator="equal">
      <formula>"Towel"</formula>
    </cfRule>
    <cfRule type="cellIs" dxfId="28886" priority="14749" stopIfTrue="1" operator="equal">
      <formula>"Napkin Hs"</formula>
    </cfRule>
    <cfRule type="cellIs" dxfId="28885" priority="14754" stopIfTrue="1" operator="equal">
      <formula>"Towel"</formula>
    </cfRule>
    <cfRule type="cellIs" dxfId="28884" priority="14755" stopIfTrue="1" operator="equal">
      <formula>"Napkin Hs"</formula>
    </cfRule>
    <cfRule type="cellIs" dxfId="28883" priority="14756" stopIfTrue="1" operator="equal">
      <formula>"Towel"</formula>
    </cfRule>
    <cfRule type="cellIs" dxfId="28882" priority="14757" stopIfTrue="1" operator="equal">
      <formula>"Napkin Hs"</formula>
    </cfRule>
    <cfRule type="cellIs" dxfId="28881" priority="14762" stopIfTrue="1" operator="equal">
      <formula>"Towel"</formula>
    </cfRule>
    <cfRule type="cellIs" dxfId="28880" priority="14763" stopIfTrue="1" operator="equal">
      <formula>"Napkin Hs"</formula>
    </cfRule>
    <cfRule type="cellIs" dxfId="28879" priority="14772" stopIfTrue="1" operator="equal">
      <formula>"Towel"</formula>
    </cfRule>
    <cfRule type="cellIs" dxfId="28878" priority="14773" stopIfTrue="1" operator="equal">
      <formula>"Napkin Hs"</formula>
    </cfRule>
    <cfRule type="cellIs" dxfId="28877" priority="14778" stopIfTrue="1" operator="equal">
      <formula>"Towel"</formula>
    </cfRule>
    <cfRule type="cellIs" dxfId="28876" priority="14779" stopIfTrue="1" operator="equal">
      <formula>"Napkin Hs"</formula>
    </cfRule>
    <cfRule type="cellIs" dxfId="28875" priority="14780" stopIfTrue="1" operator="equal">
      <formula>"Towel"</formula>
    </cfRule>
    <cfRule type="cellIs" dxfId="28874" priority="14781" stopIfTrue="1" operator="equal">
      <formula>"Napkin Hs"</formula>
    </cfRule>
    <cfRule type="cellIs" dxfId="28873" priority="14786" stopIfTrue="1" operator="equal">
      <formula>"Towel"</formula>
    </cfRule>
    <cfRule type="cellIs" dxfId="28872" priority="14787" stopIfTrue="1" operator="equal">
      <formula>"Napkin Hs"</formula>
    </cfRule>
    <cfRule type="cellIs" dxfId="28871" priority="14796" stopIfTrue="1" operator="equal">
      <formula>"Towel"</formula>
    </cfRule>
    <cfRule type="cellIs" dxfId="28870" priority="14797" stopIfTrue="1" operator="equal">
      <formula>"Napkin Hs"</formula>
    </cfRule>
    <cfRule type="cellIs" dxfId="28869" priority="14798" stopIfTrue="1" operator="equal">
      <formula>"Towel"</formula>
    </cfRule>
    <cfRule type="cellIs" dxfId="28868" priority="14799" stopIfTrue="1" operator="equal">
      <formula>"Napkin Hs"</formula>
    </cfRule>
    <cfRule type="cellIs" dxfId="28867" priority="14804" stopIfTrue="1" operator="equal">
      <formula>"Towel"</formula>
    </cfRule>
    <cfRule type="cellIs" dxfId="28866" priority="14805" stopIfTrue="1" operator="equal">
      <formula>"Napkin Hs"</formula>
    </cfRule>
    <cfRule type="cellIs" dxfId="28865" priority="14814" stopIfTrue="1" operator="equal">
      <formula>"Towel"</formula>
    </cfRule>
    <cfRule type="cellIs" dxfId="28864" priority="14815" stopIfTrue="1" operator="equal">
      <formula>"Napkin Hs"</formula>
    </cfRule>
    <cfRule type="cellIs" dxfId="28863" priority="14816" stopIfTrue="1" operator="equal">
      <formula>"Towel"</formula>
    </cfRule>
    <cfRule type="cellIs" dxfId="28862" priority="14817" stopIfTrue="1" operator="equal">
      <formula>"Napkin Hs"</formula>
    </cfRule>
    <cfRule type="cellIs" dxfId="28861" priority="14823" stopIfTrue="1" operator="equal">
      <formula>"Napkin Hs"</formula>
    </cfRule>
  </conditionalFormatting>
  <conditionalFormatting sqref="B42:C42">
    <cfRule type="cellIs" dxfId="28860" priority="14822" stopIfTrue="1" operator="equal">
      <formula>"Towel"</formula>
    </cfRule>
  </conditionalFormatting>
  <conditionalFormatting sqref="C42">
    <cfRule type="cellIs" dxfId="28859" priority="14733" stopIfTrue="1" operator="equal">
      <formula>"Napkin Hs"</formula>
    </cfRule>
    <cfRule type="cellIs" dxfId="28858" priority="14734" stopIfTrue="1" operator="equal">
      <formula>"Towel"</formula>
    </cfRule>
    <cfRule type="cellIs" dxfId="28857" priority="14735" stopIfTrue="1" operator="equal">
      <formula>"Napkin Hs"</formula>
    </cfRule>
    <cfRule type="cellIs" dxfId="28856" priority="14736" stopIfTrue="1" operator="equal">
      <formula>"Towel"</formula>
    </cfRule>
    <cfRule type="cellIs" dxfId="28855" priority="14737" stopIfTrue="1" operator="equal">
      <formula>"Napkin Hs"</formula>
    </cfRule>
    <cfRule type="cellIs" dxfId="28854" priority="14738" stopIfTrue="1" operator="equal">
      <formula>"Towel"</formula>
    </cfRule>
    <cfRule type="cellIs" dxfId="28853" priority="14739" stopIfTrue="1" operator="equal">
      <formula>"Napkin Hs"</formula>
    </cfRule>
    <cfRule type="cellIs" dxfId="28852" priority="14740" stopIfTrue="1" operator="equal">
      <formula>"Towel"</formula>
    </cfRule>
    <cfRule type="cellIs" dxfId="28851" priority="14741" stopIfTrue="1" operator="equal">
      <formula>"Napkin Hs"</formula>
    </cfRule>
    <cfRule type="cellIs" dxfId="28850" priority="14744" stopIfTrue="1" operator="equal">
      <formula>"Towel"</formula>
    </cfRule>
    <cfRule type="cellIs" dxfId="28849" priority="14745" stopIfTrue="1" operator="equal">
      <formula>"Napkin Hs"</formula>
    </cfRule>
    <cfRule type="cellIs" dxfId="28848" priority="14746" stopIfTrue="1" operator="equal">
      <formula>"Towel"</formula>
    </cfRule>
    <cfRule type="cellIs" dxfId="28847" priority="14747" stopIfTrue="1" operator="equal">
      <formula>"Napkin Hs"</formula>
    </cfRule>
    <cfRule type="cellIs" dxfId="28846" priority="14750" stopIfTrue="1" operator="equal">
      <formula>"Towel"</formula>
    </cfRule>
    <cfRule type="cellIs" dxfId="28845" priority="14751" stopIfTrue="1" operator="equal">
      <formula>"Napkin Hs"</formula>
    </cfRule>
    <cfRule type="cellIs" dxfId="28844" priority="14752" stopIfTrue="1" operator="equal">
      <formula>"Towel"</formula>
    </cfRule>
    <cfRule type="cellIs" dxfId="28843" priority="14753" stopIfTrue="1" operator="equal">
      <formula>"Napkin Hs"</formula>
    </cfRule>
    <cfRule type="cellIs" dxfId="28842" priority="14758" stopIfTrue="1" operator="equal">
      <formula>"Towel"</formula>
    </cfRule>
    <cfRule type="cellIs" dxfId="28841" priority="14759" stopIfTrue="1" operator="equal">
      <formula>"Napkin Hs"</formula>
    </cfRule>
    <cfRule type="cellIs" dxfId="28840" priority="14760" stopIfTrue="1" operator="equal">
      <formula>"Towel"</formula>
    </cfRule>
    <cfRule type="cellIs" dxfId="28839" priority="14761" stopIfTrue="1" operator="equal">
      <formula>"Napkin Hs"</formula>
    </cfRule>
    <cfRule type="cellIs" dxfId="28838" priority="14764" stopIfTrue="1" operator="equal">
      <formula>"Towel"</formula>
    </cfRule>
    <cfRule type="cellIs" dxfId="28837" priority="14765" stopIfTrue="1" operator="equal">
      <formula>"Napkin Hs"</formula>
    </cfRule>
    <cfRule type="cellIs" dxfId="28836" priority="14766" stopIfTrue="1" operator="equal">
      <formula>"Towel"</formula>
    </cfRule>
    <cfRule type="cellIs" dxfId="28835" priority="14767" stopIfTrue="1" operator="equal">
      <formula>"Napkin Hs"</formula>
    </cfRule>
    <cfRule type="cellIs" dxfId="28834" priority="14768" stopIfTrue="1" operator="equal">
      <formula>"Towel"</formula>
    </cfRule>
    <cfRule type="cellIs" dxfId="28833" priority="14769" stopIfTrue="1" operator="equal">
      <formula>"Napkin Hs"</formula>
    </cfRule>
    <cfRule type="cellIs" dxfId="28832" priority="14770" stopIfTrue="1" operator="equal">
      <formula>"Towel"</formula>
    </cfRule>
    <cfRule type="cellIs" dxfId="28831" priority="14771" stopIfTrue="1" operator="equal">
      <formula>"Napkin Hs"</formula>
    </cfRule>
    <cfRule type="cellIs" dxfId="28830" priority="14774" stopIfTrue="1" operator="equal">
      <formula>"Towel"</formula>
    </cfRule>
    <cfRule type="cellIs" dxfId="28829" priority="14775" stopIfTrue="1" operator="equal">
      <formula>"Napkin Hs"</formula>
    </cfRule>
    <cfRule type="cellIs" dxfId="28828" priority="14776" stopIfTrue="1" operator="equal">
      <formula>"Towel"</formula>
    </cfRule>
    <cfRule type="cellIs" dxfId="28827" priority="14777" stopIfTrue="1" operator="equal">
      <formula>"Napkin Hs"</formula>
    </cfRule>
    <cfRule type="cellIs" dxfId="28826" priority="14782" stopIfTrue="1" operator="equal">
      <formula>"Towel"</formula>
    </cfRule>
    <cfRule type="cellIs" dxfId="28825" priority="14783" stopIfTrue="1" operator="equal">
      <formula>"Napkin Hs"</formula>
    </cfRule>
    <cfRule type="cellIs" dxfId="28824" priority="14784" stopIfTrue="1" operator="equal">
      <formula>"Towel"</formula>
    </cfRule>
    <cfRule type="cellIs" dxfId="28823" priority="14785" stopIfTrue="1" operator="equal">
      <formula>"Napkin Hs"</formula>
    </cfRule>
    <cfRule type="cellIs" dxfId="28822" priority="14788" stopIfTrue="1" operator="equal">
      <formula>"Towel"</formula>
    </cfRule>
    <cfRule type="cellIs" dxfId="28821" priority="14789" stopIfTrue="1" operator="equal">
      <formula>"Napkin Hs"</formula>
    </cfRule>
    <cfRule type="cellIs" dxfId="28820" priority="14790" stopIfTrue="1" operator="equal">
      <formula>"Towel"</formula>
    </cfRule>
    <cfRule type="cellIs" dxfId="28819" priority="14791" stopIfTrue="1" operator="equal">
      <formula>"Napkin Hs"</formula>
    </cfRule>
    <cfRule type="cellIs" dxfId="28818" priority="14792" stopIfTrue="1" operator="equal">
      <formula>"Towel"</formula>
    </cfRule>
    <cfRule type="cellIs" dxfId="28817" priority="14793" stopIfTrue="1" operator="equal">
      <formula>"Napkin Hs"</formula>
    </cfRule>
    <cfRule type="cellIs" dxfId="28816" priority="14794" stopIfTrue="1" operator="equal">
      <formula>"Towel"</formula>
    </cfRule>
    <cfRule type="cellIs" dxfId="28815" priority="14795" stopIfTrue="1" operator="equal">
      <formula>"Napkin Hs"</formula>
    </cfRule>
    <cfRule type="cellIs" dxfId="28814" priority="14800" stopIfTrue="1" operator="equal">
      <formula>"Towel"</formula>
    </cfRule>
    <cfRule type="cellIs" dxfId="28813" priority="14801" stopIfTrue="1" operator="equal">
      <formula>"Napkin Hs"</formula>
    </cfRule>
    <cfRule type="cellIs" dxfId="28812" priority="14802" stopIfTrue="1" operator="equal">
      <formula>"Towel"</formula>
    </cfRule>
    <cfRule type="cellIs" dxfId="28811" priority="14803" stopIfTrue="1" operator="equal">
      <formula>"Napkin Hs"</formula>
    </cfRule>
    <cfRule type="cellIs" dxfId="28810" priority="14806" stopIfTrue="1" operator="equal">
      <formula>"Towel"</formula>
    </cfRule>
    <cfRule type="cellIs" dxfId="28809" priority="14807" stopIfTrue="1" operator="equal">
      <formula>"Napkin Hs"</formula>
    </cfRule>
    <cfRule type="cellIs" dxfId="28808" priority="14808" stopIfTrue="1" operator="equal">
      <formula>"Towel"</formula>
    </cfRule>
    <cfRule type="cellIs" dxfId="28807" priority="14809" stopIfTrue="1" operator="equal">
      <formula>"Napkin Hs"</formula>
    </cfRule>
    <cfRule type="cellIs" dxfId="28806" priority="14810" stopIfTrue="1" operator="equal">
      <formula>"Towel"</formula>
    </cfRule>
    <cfRule type="cellIs" dxfId="28805" priority="14811" stopIfTrue="1" operator="equal">
      <formula>"Napkin Hs"</formula>
    </cfRule>
    <cfRule type="cellIs" dxfId="28804" priority="14812" stopIfTrue="1" operator="equal">
      <formula>"Towel"</formula>
    </cfRule>
    <cfRule type="cellIs" dxfId="28803" priority="14813" stopIfTrue="1" operator="equal">
      <formula>"Napkin Hs"</formula>
    </cfRule>
    <cfRule type="cellIs" dxfId="28802" priority="14818" stopIfTrue="1" operator="equal">
      <formula>"Towel"</formula>
    </cfRule>
    <cfRule type="cellIs" dxfId="28801" priority="14819" stopIfTrue="1" operator="equal">
      <formula>"Napkin Hs"</formula>
    </cfRule>
    <cfRule type="cellIs" dxfId="28800" priority="14820" stopIfTrue="1" operator="equal">
      <formula>"Towel"</formula>
    </cfRule>
    <cfRule type="cellIs" dxfId="28799" priority="14821" stopIfTrue="1" operator="equal">
      <formula>"Napkin Hs"</formula>
    </cfRule>
    <cfRule type="cellIs" dxfId="28798" priority="14824" stopIfTrue="1" operator="equal">
      <formula>"Towel"</formula>
    </cfRule>
    <cfRule type="cellIs" dxfId="28797" priority="14825" stopIfTrue="1" operator="equal">
      <formula>"Napkin Hs"</formula>
    </cfRule>
    <cfRule type="cellIs" dxfId="28796" priority="14826" stopIfTrue="1" operator="equal">
      <formula>"Towel"</formula>
    </cfRule>
    <cfRule type="cellIs" dxfId="28795" priority="14827" stopIfTrue="1" operator="equal">
      <formula>"Napkin Hs"</formula>
    </cfRule>
  </conditionalFormatting>
  <conditionalFormatting sqref="C42">
    <cfRule type="cellIs" dxfId="28794" priority="14730" stopIfTrue="1" operator="equal">
      <formula>"Napkin Hs"</formula>
    </cfRule>
  </conditionalFormatting>
  <conditionalFormatting sqref="C42">
    <cfRule type="cellIs" dxfId="28793" priority="14729" stopIfTrue="1" operator="equal">
      <formula>"Napkin Hs"</formula>
    </cfRule>
  </conditionalFormatting>
  <conditionalFormatting sqref="B42">
    <cfRule type="cellIs" dxfId="28792" priority="14728" stopIfTrue="1" operator="equal">
      <formula>"Napkin Hs"</formula>
    </cfRule>
  </conditionalFormatting>
  <conditionalFormatting sqref="C42">
    <cfRule type="cellIs" dxfId="28791" priority="14727" stopIfTrue="1" operator="equal">
      <formula>"Napkin Hs"</formula>
    </cfRule>
  </conditionalFormatting>
  <conditionalFormatting sqref="C42">
    <cfRule type="cellIs" dxfId="28790" priority="14726" stopIfTrue="1" operator="equal">
      <formula>"Napkin Hs"</formula>
    </cfRule>
  </conditionalFormatting>
  <conditionalFormatting sqref="C42">
    <cfRule type="cellIs" dxfId="28789" priority="14725" stopIfTrue="1" operator="equal">
      <formula>"Napkin Hs"</formula>
    </cfRule>
  </conditionalFormatting>
  <conditionalFormatting sqref="C42">
    <cfRule type="cellIs" dxfId="28788" priority="14724" stopIfTrue="1" operator="equal">
      <formula>"Napkin Hs"</formula>
    </cfRule>
  </conditionalFormatting>
  <conditionalFormatting sqref="B42">
    <cfRule type="cellIs" dxfId="28787" priority="14723" stopIfTrue="1" operator="equal">
      <formula>"Napkin Hs"</formula>
    </cfRule>
  </conditionalFormatting>
  <conditionalFormatting sqref="B42">
    <cfRule type="cellIs" dxfId="28786" priority="14722" stopIfTrue="1" operator="equal">
      <formula>"Napkin Hs"</formula>
    </cfRule>
  </conditionalFormatting>
  <conditionalFormatting sqref="C42">
    <cfRule type="cellIs" dxfId="28785" priority="14718" stopIfTrue="1" operator="equal">
      <formula>"Towel"</formula>
    </cfRule>
    <cfRule type="cellIs" dxfId="28784" priority="14719" stopIfTrue="1" operator="equal">
      <formula>"Napkin Hs"</formula>
    </cfRule>
  </conditionalFormatting>
  <conditionalFormatting sqref="C42">
    <cfRule type="cellIs" dxfId="28783" priority="14720" stopIfTrue="1" operator="equal">
      <formula>"Towel"</formula>
    </cfRule>
    <cfRule type="cellIs" dxfId="28782" priority="14721" stopIfTrue="1" operator="equal">
      <formula>"Napkin Hs"</formula>
    </cfRule>
  </conditionalFormatting>
  <conditionalFormatting sqref="C42">
    <cfRule type="cellIs" dxfId="28781" priority="14714" stopIfTrue="1" operator="equal">
      <formula>"Towel"</formula>
    </cfRule>
    <cfRule type="cellIs" dxfId="28780" priority="14715" stopIfTrue="1" operator="equal">
      <formula>"Napkin Hs"</formula>
    </cfRule>
  </conditionalFormatting>
  <conditionalFormatting sqref="C42">
    <cfRule type="cellIs" dxfId="28779" priority="14716" stopIfTrue="1" operator="equal">
      <formula>"Towel"</formula>
    </cfRule>
    <cfRule type="cellIs" dxfId="28778" priority="14717" stopIfTrue="1" operator="equal">
      <formula>"Napkin Hs"</formula>
    </cfRule>
  </conditionalFormatting>
  <conditionalFormatting sqref="C48:C50">
    <cfRule type="cellIs" dxfId="28777" priority="14710" stopIfTrue="1" operator="equal">
      <formula>"Towel"</formula>
    </cfRule>
    <cfRule type="cellIs" dxfId="28776" priority="14711" stopIfTrue="1" operator="equal">
      <formula>"Napkin Hs"</formula>
    </cfRule>
  </conditionalFormatting>
  <conditionalFormatting sqref="C48:C50">
    <cfRule type="cellIs" dxfId="28775" priority="14712" stopIfTrue="1" operator="equal">
      <formula>"Towel"</formula>
    </cfRule>
    <cfRule type="cellIs" dxfId="28774" priority="14713" stopIfTrue="1" operator="equal">
      <formula>"Napkin Hs"</formula>
    </cfRule>
  </conditionalFormatting>
  <conditionalFormatting sqref="C48:C50">
    <cfRule type="cellIs" dxfId="28773" priority="14708" stopIfTrue="1" operator="equal">
      <formula>"Towel"</formula>
    </cfRule>
    <cfRule type="cellIs" dxfId="28772" priority="14709" stopIfTrue="1" operator="equal">
      <formula>"Napkin Hs"</formula>
    </cfRule>
  </conditionalFormatting>
  <conditionalFormatting sqref="B48:B50">
    <cfRule type="cellIs" dxfId="28771" priority="14706" stopIfTrue="1" operator="equal">
      <formula>"Towel"</formula>
    </cfRule>
    <cfRule type="cellIs" dxfId="28770" priority="14707" stopIfTrue="1" operator="equal">
      <formula>"Napkin Hs"</formula>
    </cfRule>
  </conditionalFormatting>
  <conditionalFormatting sqref="C48:C50">
    <cfRule type="cellIs" dxfId="28769" priority="14700" stopIfTrue="1" operator="equal">
      <formula>"Towel"</formula>
    </cfRule>
    <cfRule type="cellIs" dxfId="28768" priority="14701" stopIfTrue="1" operator="equal">
      <formula>"Napkin Hs"</formula>
    </cfRule>
  </conditionalFormatting>
  <conditionalFormatting sqref="C48:C50">
    <cfRule type="cellIs" dxfId="28767" priority="14704" stopIfTrue="1" operator="equal">
      <formula>"Towel"</formula>
    </cfRule>
    <cfRule type="cellIs" dxfId="28766" priority="14705" stopIfTrue="1" operator="equal">
      <formula>"Napkin Hs"</formula>
    </cfRule>
  </conditionalFormatting>
  <conditionalFormatting sqref="C48:C50">
    <cfRule type="cellIs" dxfId="28765" priority="14702" stopIfTrue="1" operator="equal">
      <formula>"Towel"</formula>
    </cfRule>
    <cfRule type="cellIs" dxfId="28764" priority="14703" stopIfTrue="1" operator="equal">
      <formula>"Napkin Hs"</formula>
    </cfRule>
  </conditionalFormatting>
  <conditionalFormatting sqref="C48:C50">
    <cfRule type="cellIs" dxfId="28763" priority="14694" stopIfTrue="1" operator="equal">
      <formula>"Towel"</formula>
    </cfRule>
    <cfRule type="cellIs" dxfId="28762" priority="14695" stopIfTrue="1" operator="equal">
      <formula>"Napkin Hs"</formula>
    </cfRule>
  </conditionalFormatting>
  <conditionalFormatting sqref="C48:C50">
    <cfRule type="cellIs" dxfId="28761" priority="14696" stopIfTrue="1" operator="equal">
      <formula>"Towel"</formula>
    </cfRule>
    <cfRule type="cellIs" dxfId="28760" priority="14697" stopIfTrue="1" operator="equal">
      <formula>"Napkin Hs"</formula>
    </cfRule>
  </conditionalFormatting>
  <conditionalFormatting sqref="C48:C50">
    <cfRule type="cellIs" dxfId="28759" priority="14698" stopIfTrue="1" operator="equal">
      <formula>"Towel"</formula>
    </cfRule>
    <cfRule type="cellIs" dxfId="28758" priority="14699" stopIfTrue="1" operator="equal">
      <formula>"Napkin Hs"</formula>
    </cfRule>
  </conditionalFormatting>
  <conditionalFormatting sqref="B48:C50">
    <cfRule type="cellIs" dxfId="28757" priority="14692" stopIfTrue="1" operator="equal">
      <formula>"Towel"</formula>
    </cfRule>
    <cfRule type="cellIs" dxfId="28756" priority="14693" stopIfTrue="1" operator="equal">
      <formula>"Napkin Hs"</formula>
    </cfRule>
  </conditionalFormatting>
  <conditionalFormatting sqref="B48:C50">
    <cfRule type="cellIs" dxfId="28755" priority="14690" stopIfTrue="1" operator="equal">
      <formula>"Towel"</formula>
    </cfRule>
    <cfRule type="cellIs" dxfId="28754" priority="14691" stopIfTrue="1" operator="equal">
      <formula>"Napkin Hs"</formula>
    </cfRule>
  </conditionalFormatting>
  <conditionalFormatting sqref="B48:C50">
    <cfRule type="cellIs" dxfId="28753" priority="14666" stopIfTrue="1" operator="equal">
      <formula>"Towel"</formula>
    </cfRule>
  </conditionalFormatting>
  <conditionalFormatting sqref="B48:C50">
    <cfRule type="cellIs" dxfId="28752" priority="14667" stopIfTrue="1" operator="equal">
      <formula>"Napkin Hs"</formula>
    </cfRule>
    <cfRule type="cellIs" dxfId="28751" priority="14672" stopIfTrue="1" operator="equal">
      <formula>"Towel"</formula>
    </cfRule>
    <cfRule type="cellIs" dxfId="28750" priority="14673" stopIfTrue="1" operator="equal">
      <formula>"Napkin Hs"</formula>
    </cfRule>
    <cfRule type="cellIs" dxfId="28749" priority="14682" stopIfTrue="1" operator="equal">
      <formula>"Towel"</formula>
    </cfRule>
    <cfRule type="cellIs" dxfId="28748" priority="14683" stopIfTrue="1" operator="equal">
      <formula>"Napkin Hs"</formula>
    </cfRule>
    <cfRule type="cellIs" dxfId="28747" priority="14688" stopIfTrue="1" operator="equal">
      <formula>"Towel"</formula>
    </cfRule>
    <cfRule type="cellIs" dxfId="28746" priority="14689" stopIfTrue="1" operator="equal">
      <formula>"Napkin Hs"</formula>
    </cfRule>
  </conditionalFormatting>
  <conditionalFormatting sqref="C48:C50">
    <cfRule type="cellIs" dxfId="28745" priority="14668" stopIfTrue="1" operator="equal">
      <formula>"Towel"</formula>
    </cfRule>
    <cfRule type="cellIs" dxfId="28744" priority="14669" stopIfTrue="1" operator="equal">
      <formula>"Napkin Hs"</formula>
    </cfRule>
    <cfRule type="cellIs" dxfId="28743" priority="14670" stopIfTrue="1" operator="equal">
      <formula>"Towel"</formula>
    </cfRule>
    <cfRule type="cellIs" dxfId="28742" priority="14671" stopIfTrue="1" operator="equal">
      <formula>"Napkin Hs"</formula>
    </cfRule>
    <cfRule type="cellIs" dxfId="28741" priority="14674" stopIfTrue="1" operator="equal">
      <formula>"Towel"</formula>
    </cfRule>
    <cfRule type="cellIs" dxfId="28740" priority="14675" stopIfTrue="1" operator="equal">
      <formula>"Napkin Hs"</formula>
    </cfRule>
    <cfRule type="cellIs" dxfId="28739" priority="14676" stopIfTrue="1" operator="equal">
      <formula>"Towel"</formula>
    </cfRule>
    <cfRule type="cellIs" dxfId="28738" priority="14677" stopIfTrue="1" operator="equal">
      <formula>"Napkin Hs"</formula>
    </cfRule>
    <cfRule type="cellIs" dxfId="28737" priority="14678" stopIfTrue="1" operator="equal">
      <formula>"Towel"</formula>
    </cfRule>
    <cfRule type="cellIs" dxfId="28736" priority="14679" stopIfTrue="1" operator="equal">
      <formula>"Napkin Hs"</formula>
    </cfRule>
    <cfRule type="cellIs" dxfId="28735" priority="14680" stopIfTrue="1" operator="equal">
      <formula>"Towel"</formula>
    </cfRule>
    <cfRule type="cellIs" dxfId="28734" priority="14681" stopIfTrue="1" operator="equal">
      <formula>"Napkin Hs"</formula>
    </cfRule>
    <cfRule type="cellIs" dxfId="28733" priority="14684" stopIfTrue="1" operator="equal">
      <formula>"Towel"</formula>
    </cfRule>
    <cfRule type="cellIs" dxfId="28732" priority="14685" stopIfTrue="1" operator="equal">
      <formula>"Napkin Hs"</formula>
    </cfRule>
    <cfRule type="cellIs" dxfId="28731" priority="14687" stopIfTrue="1" operator="equal">
      <formula>"Napkin Hs"</formula>
    </cfRule>
  </conditionalFormatting>
  <conditionalFormatting sqref="C48:C50">
    <cfRule type="cellIs" dxfId="28730" priority="14686" stopIfTrue="1" operator="equal">
      <formula>"Towel"</formula>
    </cfRule>
  </conditionalFormatting>
  <conditionalFormatting sqref="B48:C50">
    <cfRule type="cellIs" dxfId="28729" priority="14664" stopIfTrue="1" operator="equal">
      <formula>"Towel"</formula>
    </cfRule>
    <cfRule type="cellIs" dxfId="28728" priority="14665" stopIfTrue="1" operator="equal">
      <formula>"Napkin Hs"</formula>
    </cfRule>
  </conditionalFormatting>
  <conditionalFormatting sqref="C48:C50">
    <cfRule type="cellIs" dxfId="28727" priority="14663" stopIfTrue="1" operator="equal">
      <formula>"Napkin Hs"</formula>
    </cfRule>
  </conditionalFormatting>
  <conditionalFormatting sqref="C48:C50">
    <cfRule type="cellIs" dxfId="28726" priority="14662" stopIfTrue="1" operator="equal">
      <formula>"Towel"</formula>
    </cfRule>
  </conditionalFormatting>
  <conditionalFormatting sqref="C48:C50">
    <cfRule type="cellIs" dxfId="28725" priority="14660" stopIfTrue="1" operator="equal">
      <formula>"Towel"</formula>
    </cfRule>
  </conditionalFormatting>
  <conditionalFormatting sqref="C48:C50">
    <cfRule type="cellIs" dxfId="28724" priority="14661" stopIfTrue="1" operator="equal">
      <formula>"Napkin Hs"</formula>
    </cfRule>
  </conditionalFormatting>
  <conditionalFormatting sqref="B48:B50">
    <cfRule type="cellIs" dxfId="28723" priority="14564" stopIfTrue="1" operator="equal">
      <formula>"Napkin Hs"</formula>
    </cfRule>
  </conditionalFormatting>
  <conditionalFormatting sqref="B48:C50">
    <cfRule type="cellIs" dxfId="28722" priority="14563" stopIfTrue="1" operator="equal">
      <formula>"Towel"</formula>
    </cfRule>
  </conditionalFormatting>
  <conditionalFormatting sqref="B48:C50">
    <cfRule type="cellIs" dxfId="28721" priority="14574" stopIfTrue="1" operator="equal">
      <formula>"Towel"</formula>
    </cfRule>
    <cfRule type="cellIs" dxfId="28720" priority="14575" stopIfTrue="1" operator="equal">
      <formula>"Napkin Hs"</formula>
    </cfRule>
    <cfRule type="cellIs" dxfId="28719" priority="14580" stopIfTrue="1" operator="equal">
      <formula>"Towel"</formula>
    </cfRule>
    <cfRule type="cellIs" dxfId="28718" priority="14581" stopIfTrue="1" operator="equal">
      <formula>"Napkin Hs"</formula>
    </cfRule>
    <cfRule type="cellIs" dxfId="28717" priority="14586" stopIfTrue="1" operator="equal">
      <formula>"Towel"</formula>
    </cfRule>
    <cfRule type="cellIs" dxfId="28716" priority="14587" stopIfTrue="1" operator="equal">
      <formula>"Napkin Hs"</formula>
    </cfRule>
    <cfRule type="cellIs" dxfId="28715" priority="14588" stopIfTrue="1" operator="equal">
      <formula>"Towel"</formula>
    </cfRule>
    <cfRule type="cellIs" dxfId="28714" priority="14589" stopIfTrue="1" operator="equal">
      <formula>"Napkin Hs"</formula>
    </cfRule>
    <cfRule type="cellIs" dxfId="28713" priority="14594" stopIfTrue="1" operator="equal">
      <formula>"Towel"</formula>
    </cfRule>
    <cfRule type="cellIs" dxfId="28712" priority="14595" stopIfTrue="1" operator="equal">
      <formula>"Napkin Hs"</formula>
    </cfRule>
    <cfRule type="cellIs" dxfId="28711" priority="14604" stopIfTrue="1" operator="equal">
      <formula>"Towel"</formula>
    </cfRule>
    <cfRule type="cellIs" dxfId="28710" priority="14605" stopIfTrue="1" operator="equal">
      <formula>"Napkin Hs"</formula>
    </cfRule>
    <cfRule type="cellIs" dxfId="28709" priority="14610" stopIfTrue="1" operator="equal">
      <formula>"Towel"</formula>
    </cfRule>
    <cfRule type="cellIs" dxfId="28708" priority="14611" stopIfTrue="1" operator="equal">
      <formula>"Napkin Hs"</formula>
    </cfRule>
    <cfRule type="cellIs" dxfId="28707" priority="14612" stopIfTrue="1" operator="equal">
      <formula>"Towel"</formula>
    </cfRule>
    <cfRule type="cellIs" dxfId="28706" priority="14613" stopIfTrue="1" operator="equal">
      <formula>"Napkin Hs"</formula>
    </cfRule>
    <cfRule type="cellIs" dxfId="28705" priority="14618" stopIfTrue="1" operator="equal">
      <formula>"Towel"</formula>
    </cfRule>
    <cfRule type="cellIs" dxfId="28704" priority="14619" stopIfTrue="1" operator="equal">
      <formula>"Napkin Hs"</formula>
    </cfRule>
    <cfRule type="cellIs" dxfId="28703" priority="14628" stopIfTrue="1" operator="equal">
      <formula>"Towel"</formula>
    </cfRule>
    <cfRule type="cellIs" dxfId="28702" priority="14629" stopIfTrue="1" operator="equal">
      <formula>"Napkin Hs"</formula>
    </cfRule>
    <cfRule type="cellIs" dxfId="28701" priority="14630" stopIfTrue="1" operator="equal">
      <formula>"Towel"</formula>
    </cfRule>
    <cfRule type="cellIs" dxfId="28700" priority="14631" stopIfTrue="1" operator="equal">
      <formula>"Napkin Hs"</formula>
    </cfRule>
    <cfRule type="cellIs" dxfId="28699" priority="14636" stopIfTrue="1" operator="equal">
      <formula>"Towel"</formula>
    </cfRule>
    <cfRule type="cellIs" dxfId="28698" priority="14637" stopIfTrue="1" operator="equal">
      <formula>"Napkin Hs"</formula>
    </cfRule>
    <cfRule type="cellIs" dxfId="28697" priority="14646" stopIfTrue="1" operator="equal">
      <formula>"Towel"</formula>
    </cfRule>
    <cfRule type="cellIs" dxfId="28696" priority="14647" stopIfTrue="1" operator="equal">
      <formula>"Napkin Hs"</formula>
    </cfRule>
    <cfRule type="cellIs" dxfId="28695" priority="14648" stopIfTrue="1" operator="equal">
      <formula>"Towel"</formula>
    </cfRule>
    <cfRule type="cellIs" dxfId="28694" priority="14649" stopIfTrue="1" operator="equal">
      <formula>"Napkin Hs"</formula>
    </cfRule>
    <cfRule type="cellIs" dxfId="28693" priority="14655" stopIfTrue="1" operator="equal">
      <formula>"Napkin Hs"</formula>
    </cfRule>
  </conditionalFormatting>
  <conditionalFormatting sqref="B48:C50">
    <cfRule type="cellIs" dxfId="28692" priority="14654" stopIfTrue="1" operator="equal">
      <formula>"Towel"</formula>
    </cfRule>
  </conditionalFormatting>
  <conditionalFormatting sqref="C48:C50">
    <cfRule type="cellIs" dxfId="28691" priority="14565" stopIfTrue="1" operator="equal">
      <formula>"Napkin Hs"</formula>
    </cfRule>
    <cfRule type="cellIs" dxfId="28690" priority="14566" stopIfTrue="1" operator="equal">
      <formula>"Towel"</formula>
    </cfRule>
    <cfRule type="cellIs" dxfId="28689" priority="14567" stopIfTrue="1" operator="equal">
      <formula>"Napkin Hs"</formula>
    </cfRule>
    <cfRule type="cellIs" dxfId="28688" priority="14568" stopIfTrue="1" operator="equal">
      <formula>"Towel"</formula>
    </cfRule>
    <cfRule type="cellIs" dxfId="28687" priority="14569" stopIfTrue="1" operator="equal">
      <formula>"Napkin Hs"</formula>
    </cfRule>
    <cfRule type="cellIs" dxfId="28686" priority="14570" stopIfTrue="1" operator="equal">
      <formula>"Towel"</formula>
    </cfRule>
    <cfRule type="cellIs" dxfId="28685" priority="14571" stopIfTrue="1" operator="equal">
      <formula>"Napkin Hs"</formula>
    </cfRule>
    <cfRule type="cellIs" dxfId="28684" priority="14572" stopIfTrue="1" operator="equal">
      <formula>"Towel"</formula>
    </cfRule>
    <cfRule type="cellIs" dxfId="28683" priority="14573" stopIfTrue="1" operator="equal">
      <formula>"Napkin Hs"</formula>
    </cfRule>
    <cfRule type="cellIs" dxfId="28682" priority="14576" stopIfTrue="1" operator="equal">
      <formula>"Towel"</formula>
    </cfRule>
    <cfRule type="cellIs" dxfId="28681" priority="14577" stopIfTrue="1" operator="equal">
      <formula>"Napkin Hs"</formula>
    </cfRule>
    <cfRule type="cellIs" dxfId="28680" priority="14578" stopIfTrue="1" operator="equal">
      <formula>"Towel"</formula>
    </cfRule>
    <cfRule type="cellIs" dxfId="28679" priority="14579" stopIfTrue="1" operator="equal">
      <formula>"Napkin Hs"</formula>
    </cfRule>
    <cfRule type="cellIs" dxfId="28678" priority="14582" stopIfTrue="1" operator="equal">
      <formula>"Towel"</formula>
    </cfRule>
    <cfRule type="cellIs" dxfId="28677" priority="14583" stopIfTrue="1" operator="equal">
      <formula>"Napkin Hs"</formula>
    </cfRule>
    <cfRule type="cellIs" dxfId="28676" priority="14584" stopIfTrue="1" operator="equal">
      <formula>"Towel"</formula>
    </cfRule>
    <cfRule type="cellIs" dxfId="28675" priority="14585" stopIfTrue="1" operator="equal">
      <formula>"Napkin Hs"</formula>
    </cfRule>
    <cfRule type="cellIs" dxfId="28674" priority="14590" stopIfTrue="1" operator="equal">
      <formula>"Towel"</formula>
    </cfRule>
    <cfRule type="cellIs" dxfId="28673" priority="14591" stopIfTrue="1" operator="equal">
      <formula>"Napkin Hs"</formula>
    </cfRule>
    <cfRule type="cellIs" dxfId="28672" priority="14592" stopIfTrue="1" operator="equal">
      <formula>"Towel"</formula>
    </cfRule>
    <cfRule type="cellIs" dxfId="28671" priority="14593" stopIfTrue="1" operator="equal">
      <formula>"Napkin Hs"</formula>
    </cfRule>
    <cfRule type="cellIs" dxfId="28670" priority="14596" stopIfTrue="1" operator="equal">
      <formula>"Towel"</formula>
    </cfRule>
    <cfRule type="cellIs" dxfId="28669" priority="14597" stopIfTrue="1" operator="equal">
      <formula>"Napkin Hs"</formula>
    </cfRule>
    <cfRule type="cellIs" dxfId="28668" priority="14598" stopIfTrue="1" operator="equal">
      <formula>"Towel"</formula>
    </cfRule>
    <cfRule type="cellIs" dxfId="28667" priority="14599" stopIfTrue="1" operator="equal">
      <formula>"Napkin Hs"</formula>
    </cfRule>
    <cfRule type="cellIs" dxfId="28666" priority="14600" stopIfTrue="1" operator="equal">
      <formula>"Towel"</formula>
    </cfRule>
    <cfRule type="cellIs" dxfId="28665" priority="14601" stopIfTrue="1" operator="equal">
      <formula>"Napkin Hs"</formula>
    </cfRule>
    <cfRule type="cellIs" dxfId="28664" priority="14602" stopIfTrue="1" operator="equal">
      <formula>"Towel"</formula>
    </cfRule>
    <cfRule type="cellIs" dxfId="28663" priority="14603" stopIfTrue="1" operator="equal">
      <formula>"Napkin Hs"</formula>
    </cfRule>
    <cfRule type="cellIs" dxfId="28662" priority="14606" stopIfTrue="1" operator="equal">
      <formula>"Towel"</formula>
    </cfRule>
    <cfRule type="cellIs" dxfId="28661" priority="14607" stopIfTrue="1" operator="equal">
      <formula>"Napkin Hs"</formula>
    </cfRule>
    <cfRule type="cellIs" dxfId="28660" priority="14608" stopIfTrue="1" operator="equal">
      <formula>"Towel"</formula>
    </cfRule>
    <cfRule type="cellIs" dxfId="28659" priority="14609" stopIfTrue="1" operator="equal">
      <formula>"Napkin Hs"</formula>
    </cfRule>
    <cfRule type="cellIs" dxfId="28658" priority="14614" stopIfTrue="1" operator="equal">
      <formula>"Towel"</formula>
    </cfRule>
    <cfRule type="cellIs" dxfId="28657" priority="14615" stopIfTrue="1" operator="equal">
      <formula>"Napkin Hs"</formula>
    </cfRule>
    <cfRule type="cellIs" dxfId="28656" priority="14616" stopIfTrue="1" operator="equal">
      <formula>"Towel"</formula>
    </cfRule>
    <cfRule type="cellIs" dxfId="28655" priority="14617" stopIfTrue="1" operator="equal">
      <formula>"Napkin Hs"</formula>
    </cfRule>
    <cfRule type="cellIs" dxfId="28654" priority="14620" stopIfTrue="1" operator="equal">
      <formula>"Towel"</formula>
    </cfRule>
    <cfRule type="cellIs" dxfId="28653" priority="14621" stopIfTrue="1" operator="equal">
      <formula>"Napkin Hs"</formula>
    </cfRule>
    <cfRule type="cellIs" dxfId="28652" priority="14622" stopIfTrue="1" operator="equal">
      <formula>"Towel"</formula>
    </cfRule>
    <cfRule type="cellIs" dxfId="28651" priority="14623" stopIfTrue="1" operator="equal">
      <formula>"Napkin Hs"</formula>
    </cfRule>
    <cfRule type="cellIs" dxfId="28650" priority="14624" stopIfTrue="1" operator="equal">
      <formula>"Towel"</formula>
    </cfRule>
    <cfRule type="cellIs" dxfId="28649" priority="14625" stopIfTrue="1" operator="equal">
      <formula>"Napkin Hs"</formula>
    </cfRule>
    <cfRule type="cellIs" dxfId="28648" priority="14626" stopIfTrue="1" operator="equal">
      <formula>"Towel"</formula>
    </cfRule>
    <cfRule type="cellIs" dxfId="28647" priority="14627" stopIfTrue="1" operator="equal">
      <formula>"Napkin Hs"</formula>
    </cfRule>
    <cfRule type="cellIs" dxfId="28646" priority="14632" stopIfTrue="1" operator="equal">
      <formula>"Towel"</formula>
    </cfRule>
    <cfRule type="cellIs" dxfId="28645" priority="14633" stopIfTrue="1" operator="equal">
      <formula>"Napkin Hs"</formula>
    </cfRule>
    <cfRule type="cellIs" dxfId="28644" priority="14634" stopIfTrue="1" operator="equal">
      <formula>"Towel"</formula>
    </cfRule>
    <cfRule type="cellIs" dxfId="28643" priority="14635" stopIfTrue="1" operator="equal">
      <formula>"Napkin Hs"</formula>
    </cfRule>
    <cfRule type="cellIs" dxfId="28642" priority="14638" stopIfTrue="1" operator="equal">
      <formula>"Towel"</formula>
    </cfRule>
    <cfRule type="cellIs" dxfId="28641" priority="14639" stopIfTrue="1" operator="equal">
      <formula>"Napkin Hs"</formula>
    </cfRule>
    <cfRule type="cellIs" dxfId="28640" priority="14640" stopIfTrue="1" operator="equal">
      <formula>"Towel"</formula>
    </cfRule>
    <cfRule type="cellIs" dxfId="28639" priority="14641" stopIfTrue="1" operator="equal">
      <formula>"Napkin Hs"</formula>
    </cfRule>
    <cfRule type="cellIs" dxfId="28638" priority="14642" stopIfTrue="1" operator="equal">
      <formula>"Towel"</formula>
    </cfRule>
    <cfRule type="cellIs" dxfId="28637" priority="14643" stopIfTrue="1" operator="equal">
      <formula>"Napkin Hs"</formula>
    </cfRule>
    <cfRule type="cellIs" dxfId="28636" priority="14644" stopIfTrue="1" operator="equal">
      <formula>"Towel"</formula>
    </cfRule>
    <cfRule type="cellIs" dxfId="28635" priority="14645" stopIfTrue="1" operator="equal">
      <formula>"Napkin Hs"</formula>
    </cfRule>
    <cfRule type="cellIs" dxfId="28634" priority="14650" stopIfTrue="1" operator="equal">
      <formula>"Towel"</formula>
    </cfRule>
    <cfRule type="cellIs" dxfId="28633" priority="14651" stopIfTrue="1" operator="equal">
      <formula>"Napkin Hs"</formula>
    </cfRule>
    <cfRule type="cellIs" dxfId="28632" priority="14652" stopIfTrue="1" operator="equal">
      <formula>"Towel"</formula>
    </cfRule>
    <cfRule type="cellIs" dxfId="28631" priority="14653" stopIfTrue="1" operator="equal">
      <formula>"Napkin Hs"</formula>
    </cfRule>
    <cfRule type="cellIs" dxfId="28630" priority="14656" stopIfTrue="1" operator="equal">
      <formula>"Towel"</formula>
    </cfRule>
    <cfRule type="cellIs" dxfId="28629" priority="14657" stopIfTrue="1" operator="equal">
      <formula>"Napkin Hs"</formula>
    </cfRule>
    <cfRule type="cellIs" dxfId="28628" priority="14658" stopIfTrue="1" operator="equal">
      <formula>"Towel"</formula>
    </cfRule>
    <cfRule type="cellIs" dxfId="28627" priority="14659" stopIfTrue="1" operator="equal">
      <formula>"Napkin Hs"</formula>
    </cfRule>
  </conditionalFormatting>
  <conditionalFormatting sqref="C48:C50">
    <cfRule type="cellIs" dxfId="28626" priority="14562" stopIfTrue="1" operator="equal">
      <formula>"Napkin Hs"</formula>
    </cfRule>
  </conditionalFormatting>
  <conditionalFormatting sqref="C48:C50">
    <cfRule type="cellIs" dxfId="28625" priority="14561" stopIfTrue="1" operator="equal">
      <formula>"Napkin Hs"</formula>
    </cfRule>
  </conditionalFormatting>
  <conditionalFormatting sqref="B48:B50">
    <cfRule type="cellIs" dxfId="28624" priority="14560" stopIfTrue="1" operator="equal">
      <formula>"Napkin Hs"</formula>
    </cfRule>
  </conditionalFormatting>
  <conditionalFormatting sqref="C48:C50">
    <cfRule type="cellIs" dxfId="28623" priority="14559" stopIfTrue="1" operator="equal">
      <formula>"Napkin Hs"</formula>
    </cfRule>
  </conditionalFormatting>
  <conditionalFormatting sqref="C48:C50">
    <cfRule type="cellIs" dxfId="28622" priority="14558" stopIfTrue="1" operator="equal">
      <formula>"Napkin Hs"</formula>
    </cfRule>
  </conditionalFormatting>
  <conditionalFormatting sqref="C48:C50">
    <cfRule type="cellIs" dxfId="28621" priority="14557" stopIfTrue="1" operator="equal">
      <formula>"Napkin Hs"</formula>
    </cfRule>
  </conditionalFormatting>
  <conditionalFormatting sqref="C48:C50">
    <cfRule type="cellIs" dxfId="28620" priority="14556" stopIfTrue="1" operator="equal">
      <formula>"Napkin Hs"</formula>
    </cfRule>
  </conditionalFormatting>
  <conditionalFormatting sqref="B48:B50">
    <cfRule type="cellIs" dxfId="28619" priority="14555" stopIfTrue="1" operator="equal">
      <formula>"Napkin Hs"</formula>
    </cfRule>
  </conditionalFormatting>
  <conditionalFormatting sqref="B48:B50">
    <cfRule type="cellIs" dxfId="28618" priority="14554" stopIfTrue="1" operator="equal">
      <formula>"Napkin Hs"</formula>
    </cfRule>
  </conditionalFormatting>
  <conditionalFormatting sqref="C48:C50">
    <cfRule type="cellIs" dxfId="28617" priority="14550" stopIfTrue="1" operator="equal">
      <formula>"Towel"</formula>
    </cfRule>
    <cfRule type="cellIs" dxfId="28616" priority="14551" stopIfTrue="1" operator="equal">
      <formula>"Napkin Hs"</formula>
    </cfRule>
  </conditionalFormatting>
  <conditionalFormatting sqref="C48:C50">
    <cfRule type="cellIs" dxfId="28615" priority="14552" stopIfTrue="1" operator="equal">
      <formula>"Towel"</formula>
    </cfRule>
    <cfRule type="cellIs" dxfId="28614" priority="14553" stopIfTrue="1" operator="equal">
      <formula>"Napkin Hs"</formula>
    </cfRule>
  </conditionalFormatting>
  <conditionalFormatting sqref="C48:C50">
    <cfRule type="cellIs" dxfId="28613" priority="14546" stopIfTrue="1" operator="equal">
      <formula>"Towel"</formula>
    </cfRule>
    <cfRule type="cellIs" dxfId="28612" priority="14547" stopIfTrue="1" operator="equal">
      <formula>"Napkin Hs"</formula>
    </cfRule>
  </conditionalFormatting>
  <conditionalFormatting sqref="C48:C50">
    <cfRule type="cellIs" dxfId="28611" priority="14548" stopIfTrue="1" operator="equal">
      <formula>"Towel"</formula>
    </cfRule>
    <cfRule type="cellIs" dxfId="28610" priority="14549" stopIfTrue="1" operator="equal">
      <formula>"Napkin Hs"</formula>
    </cfRule>
  </conditionalFormatting>
  <conditionalFormatting sqref="C47">
    <cfRule type="cellIs" dxfId="28609" priority="14542" stopIfTrue="1" operator="equal">
      <formula>"Towel"</formula>
    </cfRule>
    <cfRule type="cellIs" dxfId="28608" priority="14543" stopIfTrue="1" operator="equal">
      <formula>"Napkin Hs"</formula>
    </cfRule>
  </conditionalFormatting>
  <conditionalFormatting sqref="C47">
    <cfRule type="cellIs" dxfId="28607" priority="14544" stopIfTrue="1" operator="equal">
      <formula>"Towel"</formula>
    </cfRule>
    <cfRule type="cellIs" dxfId="28606" priority="14545" stopIfTrue="1" operator="equal">
      <formula>"Napkin Hs"</formula>
    </cfRule>
  </conditionalFormatting>
  <conditionalFormatting sqref="C47">
    <cfRule type="cellIs" dxfId="28605" priority="14540" stopIfTrue="1" operator="equal">
      <formula>"Towel"</formula>
    </cfRule>
    <cfRule type="cellIs" dxfId="28604" priority="14541" stopIfTrue="1" operator="equal">
      <formula>"Napkin Hs"</formula>
    </cfRule>
  </conditionalFormatting>
  <conditionalFormatting sqref="B47">
    <cfRule type="cellIs" dxfId="28603" priority="14538" stopIfTrue="1" operator="equal">
      <formula>"Towel"</formula>
    </cfRule>
    <cfRule type="cellIs" dxfId="28602" priority="14539" stopIfTrue="1" operator="equal">
      <formula>"Napkin Hs"</formula>
    </cfRule>
  </conditionalFormatting>
  <conditionalFormatting sqref="C47">
    <cfRule type="cellIs" dxfId="28601" priority="14532" stopIfTrue="1" operator="equal">
      <formula>"Towel"</formula>
    </cfRule>
    <cfRule type="cellIs" dxfId="28600" priority="14533" stopIfTrue="1" operator="equal">
      <formula>"Napkin Hs"</formula>
    </cfRule>
  </conditionalFormatting>
  <conditionalFormatting sqref="C47">
    <cfRule type="cellIs" dxfId="28599" priority="14536" stopIfTrue="1" operator="equal">
      <formula>"Towel"</formula>
    </cfRule>
    <cfRule type="cellIs" dxfId="28598" priority="14537" stopIfTrue="1" operator="equal">
      <formula>"Napkin Hs"</formula>
    </cfRule>
  </conditionalFormatting>
  <conditionalFormatting sqref="C47">
    <cfRule type="cellIs" dxfId="28597" priority="14534" stopIfTrue="1" operator="equal">
      <formula>"Towel"</formula>
    </cfRule>
    <cfRule type="cellIs" dxfId="28596" priority="14535" stopIfTrue="1" operator="equal">
      <formula>"Napkin Hs"</formula>
    </cfRule>
  </conditionalFormatting>
  <conditionalFormatting sqref="C47">
    <cfRule type="cellIs" dxfId="28595" priority="14526" stopIfTrue="1" operator="equal">
      <formula>"Towel"</formula>
    </cfRule>
    <cfRule type="cellIs" dxfId="28594" priority="14527" stopIfTrue="1" operator="equal">
      <formula>"Napkin Hs"</formula>
    </cfRule>
  </conditionalFormatting>
  <conditionalFormatting sqref="C47">
    <cfRule type="cellIs" dxfId="28593" priority="14528" stopIfTrue="1" operator="equal">
      <formula>"Towel"</formula>
    </cfRule>
    <cfRule type="cellIs" dxfId="28592" priority="14529" stopIfTrue="1" operator="equal">
      <formula>"Napkin Hs"</formula>
    </cfRule>
  </conditionalFormatting>
  <conditionalFormatting sqref="C47">
    <cfRule type="cellIs" dxfId="28591" priority="14530" stopIfTrue="1" operator="equal">
      <formula>"Towel"</formula>
    </cfRule>
    <cfRule type="cellIs" dxfId="28590" priority="14531" stopIfTrue="1" operator="equal">
      <formula>"Napkin Hs"</formula>
    </cfRule>
  </conditionalFormatting>
  <conditionalFormatting sqref="B47:C47">
    <cfRule type="cellIs" dxfId="28589" priority="14524" stopIfTrue="1" operator="equal">
      <formula>"Towel"</formula>
    </cfRule>
    <cfRule type="cellIs" dxfId="28588" priority="14525" stopIfTrue="1" operator="equal">
      <formula>"Napkin Hs"</formula>
    </cfRule>
  </conditionalFormatting>
  <conditionalFormatting sqref="B47:C47">
    <cfRule type="cellIs" dxfId="28587" priority="14522" stopIfTrue="1" operator="equal">
      <formula>"Towel"</formula>
    </cfRule>
    <cfRule type="cellIs" dxfId="28586" priority="14523" stopIfTrue="1" operator="equal">
      <formula>"Napkin Hs"</formula>
    </cfRule>
  </conditionalFormatting>
  <conditionalFormatting sqref="B47:C47">
    <cfRule type="cellIs" dxfId="28585" priority="14498" stopIfTrue="1" operator="equal">
      <formula>"Towel"</formula>
    </cfRule>
  </conditionalFormatting>
  <conditionalFormatting sqref="B47:C47">
    <cfRule type="cellIs" dxfId="28584" priority="14499" stopIfTrue="1" operator="equal">
      <formula>"Napkin Hs"</formula>
    </cfRule>
    <cfRule type="cellIs" dxfId="28583" priority="14504" stopIfTrue="1" operator="equal">
      <formula>"Towel"</formula>
    </cfRule>
    <cfRule type="cellIs" dxfId="28582" priority="14505" stopIfTrue="1" operator="equal">
      <formula>"Napkin Hs"</formula>
    </cfRule>
    <cfRule type="cellIs" dxfId="28581" priority="14514" stopIfTrue="1" operator="equal">
      <formula>"Towel"</formula>
    </cfRule>
    <cfRule type="cellIs" dxfId="28580" priority="14515" stopIfTrue="1" operator="equal">
      <formula>"Napkin Hs"</formula>
    </cfRule>
    <cfRule type="cellIs" dxfId="28579" priority="14520" stopIfTrue="1" operator="equal">
      <formula>"Towel"</formula>
    </cfRule>
    <cfRule type="cellIs" dxfId="28578" priority="14521" stopIfTrue="1" operator="equal">
      <formula>"Napkin Hs"</formula>
    </cfRule>
  </conditionalFormatting>
  <conditionalFormatting sqref="C47">
    <cfRule type="cellIs" dxfId="28577" priority="14500" stopIfTrue="1" operator="equal">
      <formula>"Towel"</formula>
    </cfRule>
    <cfRule type="cellIs" dxfId="28576" priority="14501" stopIfTrue="1" operator="equal">
      <formula>"Napkin Hs"</formula>
    </cfRule>
    <cfRule type="cellIs" dxfId="28575" priority="14502" stopIfTrue="1" operator="equal">
      <formula>"Towel"</formula>
    </cfRule>
    <cfRule type="cellIs" dxfId="28574" priority="14503" stopIfTrue="1" operator="equal">
      <formula>"Napkin Hs"</formula>
    </cfRule>
    <cfRule type="cellIs" dxfId="28573" priority="14506" stopIfTrue="1" operator="equal">
      <formula>"Towel"</formula>
    </cfRule>
    <cfRule type="cellIs" dxfId="28572" priority="14507" stopIfTrue="1" operator="equal">
      <formula>"Napkin Hs"</formula>
    </cfRule>
    <cfRule type="cellIs" dxfId="28571" priority="14508" stopIfTrue="1" operator="equal">
      <formula>"Towel"</formula>
    </cfRule>
    <cfRule type="cellIs" dxfId="28570" priority="14509" stopIfTrue="1" operator="equal">
      <formula>"Napkin Hs"</formula>
    </cfRule>
    <cfRule type="cellIs" dxfId="28569" priority="14510" stopIfTrue="1" operator="equal">
      <formula>"Towel"</formula>
    </cfRule>
    <cfRule type="cellIs" dxfId="28568" priority="14511" stopIfTrue="1" operator="equal">
      <formula>"Napkin Hs"</formula>
    </cfRule>
    <cfRule type="cellIs" dxfId="28567" priority="14512" stopIfTrue="1" operator="equal">
      <formula>"Towel"</formula>
    </cfRule>
    <cfRule type="cellIs" dxfId="28566" priority="14513" stopIfTrue="1" operator="equal">
      <formula>"Napkin Hs"</formula>
    </cfRule>
    <cfRule type="cellIs" dxfId="28565" priority="14516" stopIfTrue="1" operator="equal">
      <formula>"Towel"</formula>
    </cfRule>
    <cfRule type="cellIs" dxfId="28564" priority="14517" stopIfTrue="1" operator="equal">
      <formula>"Napkin Hs"</formula>
    </cfRule>
    <cfRule type="cellIs" dxfId="28563" priority="14519" stopIfTrue="1" operator="equal">
      <formula>"Napkin Hs"</formula>
    </cfRule>
  </conditionalFormatting>
  <conditionalFormatting sqref="C47">
    <cfRule type="cellIs" dxfId="28562" priority="14518" stopIfTrue="1" operator="equal">
      <formula>"Towel"</formula>
    </cfRule>
  </conditionalFormatting>
  <conditionalFormatting sqref="B47:C47">
    <cfRule type="cellIs" dxfId="28561" priority="14496" stopIfTrue="1" operator="equal">
      <formula>"Towel"</formula>
    </cfRule>
    <cfRule type="cellIs" dxfId="28560" priority="14497" stopIfTrue="1" operator="equal">
      <formula>"Napkin Hs"</formula>
    </cfRule>
  </conditionalFormatting>
  <conditionalFormatting sqref="C47">
    <cfRule type="cellIs" dxfId="28559" priority="14495" stopIfTrue="1" operator="equal">
      <formula>"Napkin Hs"</formula>
    </cfRule>
  </conditionalFormatting>
  <conditionalFormatting sqref="C47">
    <cfRule type="cellIs" dxfId="28558" priority="14494" stopIfTrue="1" operator="equal">
      <formula>"Towel"</formula>
    </cfRule>
  </conditionalFormatting>
  <conditionalFormatting sqref="C47">
    <cfRule type="cellIs" dxfId="28557" priority="14492" stopIfTrue="1" operator="equal">
      <formula>"Towel"</formula>
    </cfRule>
  </conditionalFormatting>
  <conditionalFormatting sqref="C47">
    <cfRule type="cellIs" dxfId="28556" priority="14493" stopIfTrue="1" operator="equal">
      <formula>"Napkin Hs"</formula>
    </cfRule>
  </conditionalFormatting>
  <conditionalFormatting sqref="B47">
    <cfRule type="cellIs" dxfId="28555" priority="14396" stopIfTrue="1" operator="equal">
      <formula>"Napkin Hs"</formula>
    </cfRule>
  </conditionalFormatting>
  <conditionalFormatting sqref="B47:C47">
    <cfRule type="cellIs" dxfId="28554" priority="14395" stopIfTrue="1" operator="equal">
      <formula>"Towel"</formula>
    </cfRule>
  </conditionalFormatting>
  <conditionalFormatting sqref="B47:C47">
    <cfRule type="cellIs" dxfId="28553" priority="14406" stopIfTrue="1" operator="equal">
      <formula>"Towel"</formula>
    </cfRule>
    <cfRule type="cellIs" dxfId="28552" priority="14407" stopIfTrue="1" operator="equal">
      <formula>"Napkin Hs"</formula>
    </cfRule>
    <cfRule type="cellIs" dxfId="28551" priority="14412" stopIfTrue="1" operator="equal">
      <formula>"Towel"</formula>
    </cfRule>
    <cfRule type="cellIs" dxfId="28550" priority="14413" stopIfTrue="1" operator="equal">
      <formula>"Napkin Hs"</formula>
    </cfRule>
    <cfRule type="cellIs" dxfId="28549" priority="14418" stopIfTrue="1" operator="equal">
      <formula>"Towel"</formula>
    </cfRule>
    <cfRule type="cellIs" dxfId="28548" priority="14419" stopIfTrue="1" operator="equal">
      <formula>"Napkin Hs"</formula>
    </cfRule>
    <cfRule type="cellIs" dxfId="28547" priority="14420" stopIfTrue="1" operator="equal">
      <formula>"Towel"</formula>
    </cfRule>
    <cfRule type="cellIs" dxfId="28546" priority="14421" stopIfTrue="1" operator="equal">
      <formula>"Napkin Hs"</formula>
    </cfRule>
    <cfRule type="cellIs" dxfId="28545" priority="14426" stopIfTrue="1" operator="equal">
      <formula>"Towel"</formula>
    </cfRule>
    <cfRule type="cellIs" dxfId="28544" priority="14427" stopIfTrue="1" operator="equal">
      <formula>"Napkin Hs"</formula>
    </cfRule>
    <cfRule type="cellIs" dxfId="28543" priority="14436" stopIfTrue="1" operator="equal">
      <formula>"Towel"</formula>
    </cfRule>
    <cfRule type="cellIs" dxfId="28542" priority="14437" stopIfTrue="1" operator="equal">
      <formula>"Napkin Hs"</formula>
    </cfRule>
    <cfRule type="cellIs" dxfId="28541" priority="14442" stopIfTrue="1" operator="equal">
      <formula>"Towel"</formula>
    </cfRule>
    <cfRule type="cellIs" dxfId="28540" priority="14443" stopIfTrue="1" operator="equal">
      <formula>"Napkin Hs"</formula>
    </cfRule>
    <cfRule type="cellIs" dxfId="28539" priority="14444" stopIfTrue="1" operator="equal">
      <formula>"Towel"</formula>
    </cfRule>
    <cfRule type="cellIs" dxfId="28538" priority="14445" stopIfTrue="1" operator="equal">
      <formula>"Napkin Hs"</formula>
    </cfRule>
    <cfRule type="cellIs" dxfId="28537" priority="14450" stopIfTrue="1" operator="equal">
      <formula>"Towel"</formula>
    </cfRule>
    <cfRule type="cellIs" dxfId="28536" priority="14451" stopIfTrue="1" operator="equal">
      <formula>"Napkin Hs"</formula>
    </cfRule>
    <cfRule type="cellIs" dxfId="28535" priority="14460" stopIfTrue="1" operator="equal">
      <formula>"Towel"</formula>
    </cfRule>
    <cfRule type="cellIs" dxfId="28534" priority="14461" stopIfTrue="1" operator="equal">
      <formula>"Napkin Hs"</formula>
    </cfRule>
    <cfRule type="cellIs" dxfId="28533" priority="14462" stopIfTrue="1" operator="equal">
      <formula>"Towel"</formula>
    </cfRule>
    <cfRule type="cellIs" dxfId="28532" priority="14463" stopIfTrue="1" operator="equal">
      <formula>"Napkin Hs"</formula>
    </cfRule>
    <cfRule type="cellIs" dxfId="28531" priority="14468" stopIfTrue="1" operator="equal">
      <formula>"Towel"</formula>
    </cfRule>
    <cfRule type="cellIs" dxfId="28530" priority="14469" stopIfTrue="1" operator="equal">
      <formula>"Napkin Hs"</formula>
    </cfRule>
    <cfRule type="cellIs" dxfId="28529" priority="14478" stopIfTrue="1" operator="equal">
      <formula>"Towel"</formula>
    </cfRule>
    <cfRule type="cellIs" dxfId="28528" priority="14479" stopIfTrue="1" operator="equal">
      <formula>"Napkin Hs"</formula>
    </cfRule>
    <cfRule type="cellIs" dxfId="28527" priority="14480" stopIfTrue="1" operator="equal">
      <formula>"Towel"</formula>
    </cfRule>
    <cfRule type="cellIs" dxfId="28526" priority="14481" stopIfTrue="1" operator="equal">
      <formula>"Napkin Hs"</formula>
    </cfRule>
    <cfRule type="cellIs" dxfId="28525" priority="14487" stopIfTrue="1" operator="equal">
      <formula>"Napkin Hs"</formula>
    </cfRule>
  </conditionalFormatting>
  <conditionalFormatting sqref="B47:C47">
    <cfRule type="cellIs" dxfId="28524" priority="14486" stopIfTrue="1" operator="equal">
      <formula>"Towel"</formula>
    </cfRule>
  </conditionalFormatting>
  <conditionalFormatting sqref="C47">
    <cfRule type="cellIs" dxfId="28523" priority="14397" stopIfTrue="1" operator="equal">
      <formula>"Napkin Hs"</formula>
    </cfRule>
    <cfRule type="cellIs" dxfId="28522" priority="14398" stopIfTrue="1" operator="equal">
      <formula>"Towel"</formula>
    </cfRule>
    <cfRule type="cellIs" dxfId="28521" priority="14399" stopIfTrue="1" operator="equal">
      <formula>"Napkin Hs"</formula>
    </cfRule>
    <cfRule type="cellIs" dxfId="28520" priority="14400" stopIfTrue="1" operator="equal">
      <formula>"Towel"</formula>
    </cfRule>
    <cfRule type="cellIs" dxfId="28519" priority="14401" stopIfTrue="1" operator="equal">
      <formula>"Napkin Hs"</formula>
    </cfRule>
    <cfRule type="cellIs" dxfId="28518" priority="14402" stopIfTrue="1" operator="equal">
      <formula>"Towel"</formula>
    </cfRule>
    <cfRule type="cellIs" dxfId="28517" priority="14403" stopIfTrue="1" operator="equal">
      <formula>"Napkin Hs"</formula>
    </cfRule>
    <cfRule type="cellIs" dxfId="28516" priority="14404" stopIfTrue="1" operator="equal">
      <formula>"Towel"</formula>
    </cfRule>
    <cfRule type="cellIs" dxfId="28515" priority="14405" stopIfTrue="1" operator="equal">
      <formula>"Napkin Hs"</formula>
    </cfRule>
    <cfRule type="cellIs" dxfId="28514" priority="14408" stopIfTrue="1" operator="equal">
      <formula>"Towel"</formula>
    </cfRule>
    <cfRule type="cellIs" dxfId="28513" priority="14409" stopIfTrue="1" operator="equal">
      <formula>"Napkin Hs"</formula>
    </cfRule>
    <cfRule type="cellIs" dxfId="28512" priority="14410" stopIfTrue="1" operator="equal">
      <formula>"Towel"</formula>
    </cfRule>
    <cfRule type="cellIs" dxfId="28511" priority="14411" stopIfTrue="1" operator="equal">
      <formula>"Napkin Hs"</formula>
    </cfRule>
    <cfRule type="cellIs" dxfId="28510" priority="14414" stopIfTrue="1" operator="equal">
      <formula>"Towel"</formula>
    </cfRule>
    <cfRule type="cellIs" dxfId="28509" priority="14415" stopIfTrue="1" operator="equal">
      <formula>"Napkin Hs"</formula>
    </cfRule>
    <cfRule type="cellIs" dxfId="28508" priority="14416" stopIfTrue="1" operator="equal">
      <formula>"Towel"</formula>
    </cfRule>
    <cfRule type="cellIs" dxfId="28507" priority="14417" stopIfTrue="1" operator="equal">
      <formula>"Napkin Hs"</formula>
    </cfRule>
    <cfRule type="cellIs" dxfId="28506" priority="14422" stopIfTrue="1" operator="equal">
      <formula>"Towel"</formula>
    </cfRule>
    <cfRule type="cellIs" dxfId="28505" priority="14423" stopIfTrue="1" operator="equal">
      <formula>"Napkin Hs"</formula>
    </cfRule>
    <cfRule type="cellIs" dxfId="28504" priority="14424" stopIfTrue="1" operator="equal">
      <formula>"Towel"</formula>
    </cfRule>
    <cfRule type="cellIs" dxfId="28503" priority="14425" stopIfTrue="1" operator="equal">
      <formula>"Napkin Hs"</formula>
    </cfRule>
    <cfRule type="cellIs" dxfId="28502" priority="14428" stopIfTrue="1" operator="equal">
      <formula>"Towel"</formula>
    </cfRule>
    <cfRule type="cellIs" dxfId="28501" priority="14429" stopIfTrue="1" operator="equal">
      <formula>"Napkin Hs"</formula>
    </cfRule>
    <cfRule type="cellIs" dxfId="28500" priority="14430" stopIfTrue="1" operator="equal">
      <formula>"Towel"</formula>
    </cfRule>
    <cfRule type="cellIs" dxfId="28499" priority="14431" stopIfTrue="1" operator="equal">
      <formula>"Napkin Hs"</formula>
    </cfRule>
    <cfRule type="cellIs" dxfId="28498" priority="14432" stopIfTrue="1" operator="equal">
      <formula>"Towel"</formula>
    </cfRule>
    <cfRule type="cellIs" dxfId="28497" priority="14433" stopIfTrue="1" operator="equal">
      <formula>"Napkin Hs"</formula>
    </cfRule>
    <cfRule type="cellIs" dxfId="28496" priority="14434" stopIfTrue="1" operator="equal">
      <formula>"Towel"</formula>
    </cfRule>
    <cfRule type="cellIs" dxfId="28495" priority="14435" stopIfTrue="1" operator="equal">
      <formula>"Napkin Hs"</formula>
    </cfRule>
    <cfRule type="cellIs" dxfId="28494" priority="14438" stopIfTrue="1" operator="equal">
      <formula>"Towel"</formula>
    </cfRule>
    <cfRule type="cellIs" dxfId="28493" priority="14439" stopIfTrue="1" operator="equal">
      <formula>"Napkin Hs"</formula>
    </cfRule>
    <cfRule type="cellIs" dxfId="28492" priority="14440" stopIfTrue="1" operator="equal">
      <formula>"Towel"</formula>
    </cfRule>
    <cfRule type="cellIs" dxfId="28491" priority="14441" stopIfTrue="1" operator="equal">
      <formula>"Napkin Hs"</formula>
    </cfRule>
    <cfRule type="cellIs" dxfId="28490" priority="14446" stopIfTrue="1" operator="equal">
      <formula>"Towel"</formula>
    </cfRule>
    <cfRule type="cellIs" dxfId="28489" priority="14447" stopIfTrue="1" operator="equal">
      <formula>"Napkin Hs"</formula>
    </cfRule>
    <cfRule type="cellIs" dxfId="28488" priority="14448" stopIfTrue="1" operator="equal">
      <formula>"Towel"</formula>
    </cfRule>
    <cfRule type="cellIs" dxfId="28487" priority="14449" stopIfTrue="1" operator="equal">
      <formula>"Napkin Hs"</formula>
    </cfRule>
    <cfRule type="cellIs" dxfId="28486" priority="14452" stopIfTrue="1" operator="equal">
      <formula>"Towel"</formula>
    </cfRule>
    <cfRule type="cellIs" dxfId="28485" priority="14453" stopIfTrue="1" operator="equal">
      <formula>"Napkin Hs"</formula>
    </cfRule>
    <cfRule type="cellIs" dxfId="28484" priority="14454" stopIfTrue="1" operator="equal">
      <formula>"Towel"</formula>
    </cfRule>
    <cfRule type="cellIs" dxfId="28483" priority="14455" stopIfTrue="1" operator="equal">
      <formula>"Napkin Hs"</formula>
    </cfRule>
    <cfRule type="cellIs" dxfId="28482" priority="14456" stopIfTrue="1" operator="equal">
      <formula>"Towel"</formula>
    </cfRule>
    <cfRule type="cellIs" dxfId="28481" priority="14457" stopIfTrue="1" operator="equal">
      <formula>"Napkin Hs"</formula>
    </cfRule>
    <cfRule type="cellIs" dxfId="28480" priority="14458" stopIfTrue="1" operator="equal">
      <formula>"Towel"</formula>
    </cfRule>
    <cfRule type="cellIs" dxfId="28479" priority="14459" stopIfTrue="1" operator="equal">
      <formula>"Napkin Hs"</formula>
    </cfRule>
    <cfRule type="cellIs" dxfId="28478" priority="14464" stopIfTrue="1" operator="equal">
      <formula>"Towel"</formula>
    </cfRule>
    <cfRule type="cellIs" dxfId="28477" priority="14465" stopIfTrue="1" operator="equal">
      <formula>"Napkin Hs"</formula>
    </cfRule>
    <cfRule type="cellIs" dxfId="28476" priority="14466" stopIfTrue="1" operator="equal">
      <formula>"Towel"</formula>
    </cfRule>
    <cfRule type="cellIs" dxfId="28475" priority="14467" stopIfTrue="1" operator="equal">
      <formula>"Napkin Hs"</formula>
    </cfRule>
    <cfRule type="cellIs" dxfId="28474" priority="14470" stopIfTrue="1" operator="equal">
      <formula>"Towel"</formula>
    </cfRule>
    <cfRule type="cellIs" dxfId="28473" priority="14471" stopIfTrue="1" operator="equal">
      <formula>"Napkin Hs"</formula>
    </cfRule>
    <cfRule type="cellIs" dxfId="28472" priority="14472" stopIfTrue="1" operator="equal">
      <formula>"Towel"</formula>
    </cfRule>
    <cfRule type="cellIs" dxfId="28471" priority="14473" stopIfTrue="1" operator="equal">
      <formula>"Napkin Hs"</formula>
    </cfRule>
    <cfRule type="cellIs" dxfId="28470" priority="14474" stopIfTrue="1" operator="equal">
      <formula>"Towel"</formula>
    </cfRule>
    <cfRule type="cellIs" dxfId="28469" priority="14475" stopIfTrue="1" operator="equal">
      <formula>"Napkin Hs"</formula>
    </cfRule>
    <cfRule type="cellIs" dxfId="28468" priority="14476" stopIfTrue="1" operator="equal">
      <formula>"Towel"</formula>
    </cfRule>
    <cfRule type="cellIs" dxfId="28467" priority="14477" stopIfTrue="1" operator="equal">
      <formula>"Napkin Hs"</formula>
    </cfRule>
    <cfRule type="cellIs" dxfId="28466" priority="14482" stopIfTrue="1" operator="equal">
      <formula>"Towel"</formula>
    </cfRule>
    <cfRule type="cellIs" dxfId="28465" priority="14483" stopIfTrue="1" operator="equal">
      <formula>"Napkin Hs"</formula>
    </cfRule>
    <cfRule type="cellIs" dxfId="28464" priority="14484" stopIfTrue="1" operator="equal">
      <formula>"Towel"</formula>
    </cfRule>
    <cfRule type="cellIs" dxfId="28463" priority="14485" stopIfTrue="1" operator="equal">
      <formula>"Napkin Hs"</formula>
    </cfRule>
    <cfRule type="cellIs" dxfId="28462" priority="14488" stopIfTrue="1" operator="equal">
      <formula>"Towel"</formula>
    </cfRule>
    <cfRule type="cellIs" dxfId="28461" priority="14489" stopIfTrue="1" operator="equal">
      <formula>"Napkin Hs"</formula>
    </cfRule>
    <cfRule type="cellIs" dxfId="28460" priority="14490" stopIfTrue="1" operator="equal">
      <formula>"Towel"</formula>
    </cfRule>
    <cfRule type="cellIs" dxfId="28459" priority="14491" stopIfTrue="1" operator="equal">
      <formula>"Napkin Hs"</formula>
    </cfRule>
  </conditionalFormatting>
  <conditionalFormatting sqref="C47">
    <cfRule type="cellIs" dxfId="28458" priority="14394" stopIfTrue="1" operator="equal">
      <formula>"Napkin Hs"</formula>
    </cfRule>
  </conditionalFormatting>
  <conditionalFormatting sqref="C47">
    <cfRule type="cellIs" dxfId="28457" priority="14393" stopIfTrue="1" operator="equal">
      <formula>"Napkin Hs"</formula>
    </cfRule>
  </conditionalFormatting>
  <conditionalFormatting sqref="B47">
    <cfRule type="cellIs" dxfId="28456" priority="14392" stopIfTrue="1" operator="equal">
      <formula>"Napkin Hs"</formula>
    </cfRule>
  </conditionalFormatting>
  <conditionalFormatting sqref="C47">
    <cfRule type="cellIs" dxfId="28455" priority="14391" stopIfTrue="1" operator="equal">
      <formula>"Napkin Hs"</formula>
    </cfRule>
  </conditionalFormatting>
  <conditionalFormatting sqref="C47">
    <cfRule type="cellIs" dxfId="28454" priority="14390" stopIfTrue="1" operator="equal">
      <formula>"Napkin Hs"</formula>
    </cfRule>
  </conditionalFormatting>
  <conditionalFormatting sqref="C47">
    <cfRule type="cellIs" dxfId="28453" priority="14389" stopIfTrue="1" operator="equal">
      <formula>"Napkin Hs"</formula>
    </cfRule>
  </conditionalFormatting>
  <conditionalFormatting sqref="C47">
    <cfRule type="cellIs" dxfId="28452" priority="14388" stopIfTrue="1" operator="equal">
      <formula>"Napkin Hs"</formula>
    </cfRule>
  </conditionalFormatting>
  <conditionalFormatting sqref="B47">
    <cfRule type="cellIs" dxfId="28451" priority="14387" stopIfTrue="1" operator="equal">
      <formula>"Napkin Hs"</formula>
    </cfRule>
  </conditionalFormatting>
  <conditionalFormatting sqref="B47">
    <cfRule type="cellIs" dxfId="28450" priority="14386" stopIfTrue="1" operator="equal">
      <formula>"Napkin Hs"</formula>
    </cfRule>
  </conditionalFormatting>
  <conditionalFormatting sqref="C47">
    <cfRule type="cellIs" dxfId="28449" priority="14382" stopIfTrue="1" operator="equal">
      <formula>"Towel"</formula>
    </cfRule>
    <cfRule type="cellIs" dxfId="28448" priority="14383" stopIfTrue="1" operator="equal">
      <formula>"Napkin Hs"</formula>
    </cfRule>
  </conditionalFormatting>
  <conditionalFormatting sqref="C47">
    <cfRule type="cellIs" dxfId="28447" priority="14384" stopIfTrue="1" operator="equal">
      <formula>"Towel"</formula>
    </cfRule>
    <cfRule type="cellIs" dxfId="28446" priority="14385" stopIfTrue="1" operator="equal">
      <formula>"Napkin Hs"</formula>
    </cfRule>
  </conditionalFormatting>
  <conditionalFormatting sqref="C47">
    <cfRule type="cellIs" dxfId="28445" priority="14378" stopIfTrue="1" operator="equal">
      <formula>"Towel"</formula>
    </cfRule>
    <cfRule type="cellIs" dxfId="28444" priority="14379" stopIfTrue="1" operator="equal">
      <formula>"Napkin Hs"</formula>
    </cfRule>
  </conditionalFormatting>
  <conditionalFormatting sqref="C47">
    <cfRule type="cellIs" dxfId="28443" priority="14380" stopIfTrue="1" operator="equal">
      <formula>"Towel"</formula>
    </cfRule>
    <cfRule type="cellIs" dxfId="28442" priority="14381" stopIfTrue="1" operator="equal">
      <formula>"Napkin Hs"</formula>
    </cfRule>
  </conditionalFormatting>
  <conditionalFormatting sqref="C46">
    <cfRule type="cellIs" dxfId="28441" priority="14206" stopIfTrue="1" operator="equal">
      <formula>"Towel"</formula>
    </cfRule>
    <cfRule type="cellIs" dxfId="28440" priority="14207" stopIfTrue="1" operator="equal">
      <formula>"Napkin Hs"</formula>
    </cfRule>
  </conditionalFormatting>
  <conditionalFormatting sqref="C46">
    <cfRule type="cellIs" dxfId="28439" priority="14208" stopIfTrue="1" operator="equal">
      <formula>"Towel"</formula>
    </cfRule>
    <cfRule type="cellIs" dxfId="28438" priority="14209" stopIfTrue="1" operator="equal">
      <formula>"Napkin Hs"</formula>
    </cfRule>
  </conditionalFormatting>
  <conditionalFormatting sqref="C46">
    <cfRule type="cellIs" dxfId="28437" priority="14204" stopIfTrue="1" operator="equal">
      <formula>"Towel"</formula>
    </cfRule>
    <cfRule type="cellIs" dxfId="28436" priority="14205" stopIfTrue="1" operator="equal">
      <formula>"Napkin Hs"</formula>
    </cfRule>
  </conditionalFormatting>
  <conditionalFormatting sqref="B46">
    <cfRule type="cellIs" dxfId="28435" priority="14202" stopIfTrue="1" operator="equal">
      <formula>"Towel"</formula>
    </cfRule>
    <cfRule type="cellIs" dxfId="28434" priority="14203" stopIfTrue="1" operator="equal">
      <formula>"Napkin Hs"</formula>
    </cfRule>
  </conditionalFormatting>
  <conditionalFormatting sqref="C46">
    <cfRule type="cellIs" dxfId="28433" priority="14196" stopIfTrue="1" operator="equal">
      <formula>"Towel"</formula>
    </cfRule>
    <cfRule type="cellIs" dxfId="28432" priority="14197" stopIfTrue="1" operator="equal">
      <formula>"Napkin Hs"</formula>
    </cfRule>
  </conditionalFormatting>
  <conditionalFormatting sqref="C46">
    <cfRule type="cellIs" dxfId="28431" priority="14200" stopIfTrue="1" operator="equal">
      <formula>"Towel"</formula>
    </cfRule>
    <cfRule type="cellIs" dxfId="28430" priority="14201" stopIfTrue="1" operator="equal">
      <formula>"Napkin Hs"</formula>
    </cfRule>
  </conditionalFormatting>
  <conditionalFormatting sqref="C46">
    <cfRule type="cellIs" dxfId="28429" priority="14198" stopIfTrue="1" operator="equal">
      <formula>"Towel"</formula>
    </cfRule>
    <cfRule type="cellIs" dxfId="28428" priority="14199" stopIfTrue="1" operator="equal">
      <formula>"Napkin Hs"</formula>
    </cfRule>
  </conditionalFormatting>
  <conditionalFormatting sqref="C46">
    <cfRule type="cellIs" dxfId="28427" priority="14190" stopIfTrue="1" operator="equal">
      <formula>"Towel"</formula>
    </cfRule>
    <cfRule type="cellIs" dxfId="28426" priority="14191" stopIfTrue="1" operator="equal">
      <formula>"Napkin Hs"</formula>
    </cfRule>
  </conditionalFormatting>
  <conditionalFormatting sqref="C46">
    <cfRule type="cellIs" dxfId="28425" priority="14192" stopIfTrue="1" operator="equal">
      <formula>"Towel"</formula>
    </cfRule>
    <cfRule type="cellIs" dxfId="28424" priority="14193" stopIfTrue="1" operator="equal">
      <formula>"Napkin Hs"</formula>
    </cfRule>
  </conditionalFormatting>
  <conditionalFormatting sqref="C46">
    <cfRule type="cellIs" dxfId="28423" priority="14194" stopIfTrue="1" operator="equal">
      <formula>"Towel"</formula>
    </cfRule>
    <cfRule type="cellIs" dxfId="28422" priority="14195" stopIfTrue="1" operator="equal">
      <formula>"Napkin Hs"</formula>
    </cfRule>
  </conditionalFormatting>
  <conditionalFormatting sqref="B46:C46">
    <cfRule type="cellIs" dxfId="28421" priority="14188" stopIfTrue="1" operator="equal">
      <formula>"Towel"</formula>
    </cfRule>
    <cfRule type="cellIs" dxfId="28420" priority="14189" stopIfTrue="1" operator="equal">
      <formula>"Napkin Hs"</formula>
    </cfRule>
  </conditionalFormatting>
  <conditionalFormatting sqref="B46:C46">
    <cfRule type="cellIs" dxfId="28419" priority="14186" stopIfTrue="1" operator="equal">
      <formula>"Towel"</formula>
    </cfRule>
    <cfRule type="cellIs" dxfId="28418" priority="14187" stopIfTrue="1" operator="equal">
      <formula>"Napkin Hs"</formula>
    </cfRule>
  </conditionalFormatting>
  <conditionalFormatting sqref="B46:C46">
    <cfRule type="cellIs" dxfId="28417" priority="14162" stopIfTrue="1" operator="equal">
      <formula>"Towel"</formula>
    </cfRule>
  </conditionalFormatting>
  <conditionalFormatting sqref="B46:C46">
    <cfRule type="cellIs" dxfId="28416" priority="14163" stopIfTrue="1" operator="equal">
      <formula>"Napkin Hs"</formula>
    </cfRule>
    <cfRule type="cellIs" dxfId="28415" priority="14168" stopIfTrue="1" operator="equal">
      <formula>"Towel"</formula>
    </cfRule>
    <cfRule type="cellIs" dxfId="28414" priority="14169" stopIfTrue="1" operator="equal">
      <formula>"Napkin Hs"</formula>
    </cfRule>
    <cfRule type="cellIs" dxfId="28413" priority="14178" stopIfTrue="1" operator="equal">
      <formula>"Towel"</formula>
    </cfRule>
    <cfRule type="cellIs" dxfId="28412" priority="14179" stopIfTrue="1" operator="equal">
      <formula>"Napkin Hs"</formula>
    </cfRule>
    <cfRule type="cellIs" dxfId="28411" priority="14184" stopIfTrue="1" operator="equal">
      <formula>"Towel"</formula>
    </cfRule>
    <cfRule type="cellIs" dxfId="28410" priority="14185" stopIfTrue="1" operator="equal">
      <formula>"Napkin Hs"</formula>
    </cfRule>
  </conditionalFormatting>
  <conditionalFormatting sqref="C46">
    <cfRule type="cellIs" dxfId="28409" priority="14164" stopIfTrue="1" operator="equal">
      <formula>"Towel"</formula>
    </cfRule>
    <cfRule type="cellIs" dxfId="28408" priority="14165" stopIfTrue="1" operator="equal">
      <formula>"Napkin Hs"</formula>
    </cfRule>
    <cfRule type="cellIs" dxfId="28407" priority="14166" stopIfTrue="1" operator="equal">
      <formula>"Towel"</formula>
    </cfRule>
    <cfRule type="cellIs" dxfId="28406" priority="14167" stopIfTrue="1" operator="equal">
      <formula>"Napkin Hs"</formula>
    </cfRule>
    <cfRule type="cellIs" dxfId="28405" priority="14170" stopIfTrue="1" operator="equal">
      <formula>"Towel"</formula>
    </cfRule>
    <cfRule type="cellIs" dxfId="28404" priority="14171" stopIfTrue="1" operator="equal">
      <formula>"Napkin Hs"</formula>
    </cfRule>
    <cfRule type="cellIs" dxfId="28403" priority="14172" stopIfTrue="1" operator="equal">
      <formula>"Towel"</formula>
    </cfRule>
    <cfRule type="cellIs" dxfId="28402" priority="14173" stopIfTrue="1" operator="equal">
      <formula>"Napkin Hs"</formula>
    </cfRule>
    <cfRule type="cellIs" dxfId="28401" priority="14174" stopIfTrue="1" operator="equal">
      <formula>"Towel"</formula>
    </cfRule>
    <cfRule type="cellIs" dxfId="28400" priority="14175" stopIfTrue="1" operator="equal">
      <formula>"Napkin Hs"</formula>
    </cfRule>
    <cfRule type="cellIs" dxfId="28399" priority="14176" stopIfTrue="1" operator="equal">
      <formula>"Towel"</formula>
    </cfRule>
    <cfRule type="cellIs" dxfId="28398" priority="14177" stopIfTrue="1" operator="equal">
      <formula>"Napkin Hs"</formula>
    </cfRule>
    <cfRule type="cellIs" dxfId="28397" priority="14180" stopIfTrue="1" operator="equal">
      <formula>"Towel"</formula>
    </cfRule>
    <cfRule type="cellIs" dxfId="28396" priority="14181" stopIfTrue="1" operator="equal">
      <formula>"Napkin Hs"</formula>
    </cfRule>
    <cfRule type="cellIs" dxfId="28395" priority="14183" stopIfTrue="1" operator="equal">
      <formula>"Napkin Hs"</formula>
    </cfRule>
  </conditionalFormatting>
  <conditionalFormatting sqref="C46">
    <cfRule type="cellIs" dxfId="28394" priority="14182" stopIfTrue="1" operator="equal">
      <formula>"Towel"</formula>
    </cfRule>
  </conditionalFormatting>
  <conditionalFormatting sqref="B46:C46">
    <cfRule type="cellIs" dxfId="28393" priority="14160" stopIfTrue="1" operator="equal">
      <formula>"Towel"</formula>
    </cfRule>
    <cfRule type="cellIs" dxfId="28392" priority="14161" stopIfTrue="1" operator="equal">
      <formula>"Napkin Hs"</formula>
    </cfRule>
  </conditionalFormatting>
  <conditionalFormatting sqref="C46">
    <cfRule type="cellIs" dxfId="28391" priority="14159" stopIfTrue="1" operator="equal">
      <formula>"Napkin Hs"</formula>
    </cfRule>
  </conditionalFormatting>
  <conditionalFormatting sqref="C46">
    <cfRule type="cellIs" dxfId="28390" priority="14158" stopIfTrue="1" operator="equal">
      <formula>"Towel"</formula>
    </cfRule>
  </conditionalFormatting>
  <conditionalFormatting sqref="C46">
    <cfRule type="cellIs" dxfId="28389" priority="14156" stopIfTrue="1" operator="equal">
      <formula>"Towel"</formula>
    </cfRule>
  </conditionalFormatting>
  <conditionalFormatting sqref="C46">
    <cfRule type="cellIs" dxfId="28388" priority="14157" stopIfTrue="1" operator="equal">
      <formula>"Napkin Hs"</formula>
    </cfRule>
  </conditionalFormatting>
  <conditionalFormatting sqref="B46">
    <cfRule type="cellIs" dxfId="28387" priority="14060" stopIfTrue="1" operator="equal">
      <formula>"Napkin Hs"</formula>
    </cfRule>
  </conditionalFormatting>
  <conditionalFormatting sqref="B46:C46">
    <cfRule type="cellIs" dxfId="28386" priority="14059" stopIfTrue="1" operator="equal">
      <formula>"Towel"</formula>
    </cfRule>
  </conditionalFormatting>
  <conditionalFormatting sqref="B46:C46">
    <cfRule type="cellIs" dxfId="28385" priority="14070" stopIfTrue="1" operator="equal">
      <formula>"Towel"</formula>
    </cfRule>
    <cfRule type="cellIs" dxfId="28384" priority="14071" stopIfTrue="1" operator="equal">
      <formula>"Napkin Hs"</formula>
    </cfRule>
    <cfRule type="cellIs" dxfId="28383" priority="14076" stopIfTrue="1" operator="equal">
      <formula>"Towel"</formula>
    </cfRule>
    <cfRule type="cellIs" dxfId="28382" priority="14077" stopIfTrue="1" operator="equal">
      <formula>"Napkin Hs"</formula>
    </cfRule>
    <cfRule type="cellIs" dxfId="28381" priority="14082" stopIfTrue="1" operator="equal">
      <formula>"Towel"</formula>
    </cfRule>
    <cfRule type="cellIs" dxfId="28380" priority="14083" stopIfTrue="1" operator="equal">
      <formula>"Napkin Hs"</formula>
    </cfRule>
    <cfRule type="cellIs" dxfId="28379" priority="14084" stopIfTrue="1" operator="equal">
      <formula>"Towel"</formula>
    </cfRule>
    <cfRule type="cellIs" dxfId="28378" priority="14085" stopIfTrue="1" operator="equal">
      <formula>"Napkin Hs"</formula>
    </cfRule>
    <cfRule type="cellIs" dxfId="28377" priority="14090" stopIfTrue="1" operator="equal">
      <formula>"Towel"</formula>
    </cfRule>
    <cfRule type="cellIs" dxfId="28376" priority="14091" stopIfTrue="1" operator="equal">
      <formula>"Napkin Hs"</formula>
    </cfRule>
    <cfRule type="cellIs" dxfId="28375" priority="14100" stopIfTrue="1" operator="equal">
      <formula>"Towel"</formula>
    </cfRule>
    <cfRule type="cellIs" dxfId="28374" priority="14101" stopIfTrue="1" operator="equal">
      <formula>"Napkin Hs"</formula>
    </cfRule>
    <cfRule type="cellIs" dxfId="28373" priority="14106" stopIfTrue="1" operator="equal">
      <formula>"Towel"</formula>
    </cfRule>
    <cfRule type="cellIs" dxfId="28372" priority="14107" stopIfTrue="1" operator="equal">
      <formula>"Napkin Hs"</formula>
    </cfRule>
    <cfRule type="cellIs" dxfId="28371" priority="14108" stopIfTrue="1" operator="equal">
      <formula>"Towel"</formula>
    </cfRule>
    <cfRule type="cellIs" dxfId="28370" priority="14109" stopIfTrue="1" operator="equal">
      <formula>"Napkin Hs"</formula>
    </cfRule>
    <cfRule type="cellIs" dxfId="28369" priority="14114" stopIfTrue="1" operator="equal">
      <formula>"Towel"</formula>
    </cfRule>
    <cfRule type="cellIs" dxfId="28368" priority="14115" stopIfTrue="1" operator="equal">
      <formula>"Napkin Hs"</formula>
    </cfRule>
    <cfRule type="cellIs" dxfId="28367" priority="14124" stopIfTrue="1" operator="equal">
      <formula>"Towel"</formula>
    </cfRule>
    <cfRule type="cellIs" dxfId="28366" priority="14125" stopIfTrue="1" operator="equal">
      <formula>"Napkin Hs"</formula>
    </cfRule>
    <cfRule type="cellIs" dxfId="28365" priority="14126" stopIfTrue="1" operator="equal">
      <formula>"Towel"</formula>
    </cfRule>
    <cfRule type="cellIs" dxfId="28364" priority="14127" stopIfTrue="1" operator="equal">
      <formula>"Napkin Hs"</formula>
    </cfRule>
    <cfRule type="cellIs" dxfId="28363" priority="14132" stopIfTrue="1" operator="equal">
      <formula>"Towel"</formula>
    </cfRule>
    <cfRule type="cellIs" dxfId="28362" priority="14133" stopIfTrue="1" operator="equal">
      <formula>"Napkin Hs"</formula>
    </cfRule>
    <cfRule type="cellIs" dxfId="28361" priority="14142" stopIfTrue="1" operator="equal">
      <formula>"Towel"</formula>
    </cfRule>
    <cfRule type="cellIs" dxfId="28360" priority="14143" stopIfTrue="1" operator="equal">
      <formula>"Napkin Hs"</formula>
    </cfRule>
    <cfRule type="cellIs" dxfId="28359" priority="14144" stopIfTrue="1" operator="equal">
      <formula>"Towel"</formula>
    </cfRule>
    <cfRule type="cellIs" dxfId="28358" priority="14145" stopIfTrue="1" operator="equal">
      <formula>"Napkin Hs"</formula>
    </cfRule>
    <cfRule type="cellIs" dxfId="28357" priority="14151" stopIfTrue="1" operator="equal">
      <formula>"Napkin Hs"</formula>
    </cfRule>
  </conditionalFormatting>
  <conditionalFormatting sqref="B46:C46">
    <cfRule type="cellIs" dxfId="28356" priority="14150" stopIfTrue="1" operator="equal">
      <formula>"Towel"</formula>
    </cfRule>
  </conditionalFormatting>
  <conditionalFormatting sqref="C46">
    <cfRule type="cellIs" dxfId="28355" priority="14061" stopIfTrue="1" operator="equal">
      <formula>"Napkin Hs"</formula>
    </cfRule>
    <cfRule type="cellIs" dxfId="28354" priority="14062" stopIfTrue="1" operator="equal">
      <formula>"Towel"</formula>
    </cfRule>
    <cfRule type="cellIs" dxfId="28353" priority="14063" stopIfTrue="1" operator="equal">
      <formula>"Napkin Hs"</formula>
    </cfRule>
    <cfRule type="cellIs" dxfId="28352" priority="14064" stopIfTrue="1" operator="equal">
      <formula>"Towel"</formula>
    </cfRule>
    <cfRule type="cellIs" dxfId="28351" priority="14065" stopIfTrue="1" operator="equal">
      <formula>"Napkin Hs"</formula>
    </cfRule>
    <cfRule type="cellIs" dxfId="28350" priority="14066" stopIfTrue="1" operator="equal">
      <formula>"Towel"</formula>
    </cfRule>
    <cfRule type="cellIs" dxfId="28349" priority="14067" stopIfTrue="1" operator="equal">
      <formula>"Napkin Hs"</formula>
    </cfRule>
    <cfRule type="cellIs" dxfId="28348" priority="14068" stopIfTrue="1" operator="equal">
      <formula>"Towel"</formula>
    </cfRule>
    <cfRule type="cellIs" dxfId="28347" priority="14069" stopIfTrue="1" operator="equal">
      <formula>"Napkin Hs"</formula>
    </cfRule>
    <cfRule type="cellIs" dxfId="28346" priority="14072" stopIfTrue="1" operator="equal">
      <formula>"Towel"</formula>
    </cfRule>
    <cfRule type="cellIs" dxfId="28345" priority="14073" stopIfTrue="1" operator="equal">
      <formula>"Napkin Hs"</formula>
    </cfRule>
    <cfRule type="cellIs" dxfId="28344" priority="14074" stopIfTrue="1" operator="equal">
      <formula>"Towel"</formula>
    </cfRule>
    <cfRule type="cellIs" dxfId="28343" priority="14075" stopIfTrue="1" operator="equal">
      <formula>"Napkin Hs"</formula>
    </cfRule>
    <cfRule type="cellIs" dxfId="28342" priority="14078" stopIfTrue="1" operator="equal">
      <formula>"Towel"</formula>
    </cfRule>
    <cfRule type="cellIs" dxfId="28341" priority="14079" stopIfTrue="1" operator="equal">
      <formula>"Napkin Hs"</formula>
    </cfRule>
    <cfRule type="cellIs" dxfId="28340" priority="14080" stopIfTrue="1" operator="equal">
      <formula>"Towel"</formula>
    </cfRule>
    <cfRule type="cellIs" dxfId="28339" priority="14081" stopIfTrue="1" operator="equal">
      <formula>"Napkin Hs"</formula>
    </cfRule>
    <cfRule type="cellIs" dxfId="28338" priority="14086" stopIfTrue="1" operator="equal">
      <formula>"Towel"</formula>
    </cfRule>
    <cfRule type="cellIs" dxfId="28337" priority="14087" stopIfTrue="1" operator="equal">
      <formula>"Napkin Hs"</formula>
    </cfRule>
    <cfRule type="cellIs" dxfId="28336" priority="14088" stopIfTrue="1" operator="equal">
      <formula>"Towel"</formula>
    </cfRule>
    <cfRule type="cellIs" dxfId="28335" priority="14089" stopIfTrue="1" operator="equal">
      <formula>"Napkin Hs"</formula>
    </cfRule>
    <cfRule type="cellIs" dxfId="28334" priority="14092" stopIfTrue="1" operator="equal">
      <formula>"Towel"</formula>
    </cfRule>
    <cfRule type="cellIs" dxfId="28333" priority="14093" stopIfTrue="1" operator="equal">
      <formula>"Napkin Hs"</formula>
    </cfRule>
    <cfRule type="cellIs" dxfId="28332" priority="14094" stopIfTrue="1" operator="equal">
      <formula>"Towel"</formula>
    </cfRule>
    <cfRule type="cellIs" dxfId="28331" priority="14095" stopIfTrue="1" operator="equal">
      <formula>"Napkin Hs"</formula>
    </cfRule>
    <cfRule type="cellIs" dxfId="28330" priority="14096" stopIfTrue="1" operator="equal">
      <formula>"Towel"</formula>
    </cfRule>
    <cfRule type="cellIs" dxfId="28329" priority="14097" stopIfTrue="1" operator="equal">
      <formula>"Napkin Hs"</formula>
    </cfRule>
    <cfRule type="cellIs" dxfId="28328" priority="14098" stopIfTrue="1" operator="equal">
      <formula>"Towel"</formula>
    </cfRule>
    <cfRule type="cellIs" dxfId="28327" priority="14099" stopIfTrue="1" operator="equal">
      <formula>"Napkin Hs"</formula>
    </cfRule>
    <cfRule type="cellIs" dxfId="28326" priority="14102" stopIfTrue="1" operator="equal">
      <formula>"Towel"</formula>
    </cfRule>
    <cfRule type="cellIs" dxfId="28325" priority="14103" stopIfTrue="1" operator="equal">
      <formula>"Napkin Hs"</formula>
    </cfRule>
    <cfRule type="cellIs" dxfId="28324" priority="14104" stopIfTrue="1" operator="equal">
      <formula>"Towel"</formula>
    </cfRule>
    <cfRule type="cellIs" dxfId="28323" priority="14105" stopIfTrue="1" operator="equal">
      <formula>"Napkin Hs"</formula>
    </cfRule>
    <cfRule type="cellIs" dxfId="28322" priority="14110" stopIfTrue="1" operator="equal">
      <formula>"Towel"</formula>
    </cfRule>
    <cfRule type="cellIs" dxfId="28321" priority="14111" stopIfTrue="1" operator="equal">
      <formula>"Napkin Hs"</formula>
    </cfRule>
    <cfRule type="cellIs" dxfId="28320" priority="14112" stopIfTrue="1" operator="equal">
      <formula>"Towel"</formula>
    </cfRule>
    <cfRule type="cellIs" dxfId="28319" priority="14113" stopIfTrue="1" operator="equal">
      <formula>"Napkin Hs"</formula>
    </cfRule>
    <cfRule type="cellIs" dxfId="28318" priority="14116" stopIfTrue="1" operator="equal">
      <formula>"Towel"</formula>
    </cfRule>
    <cfRule type="cellIs" dxfId="28317" priority="14117" stopIfTrue="1" operator="equal">
      <formula>"Napkin Hs"</formula>
    </cfRule>
    <cfRule type="cellIs" dxfId="28316" priority="14118" stopIfTrue="1" operator="equal">
      <formula>"Towel"</formula>
    </cfRule>
    <cfRule type="cellIs" dxfId="28315" priority="14119" stopIfTrue="1" operator="equal">
      <formula>"Napkin Hs"</formula>
    </cfRule>
    <cfRule type="cellIs" dxfId="28314" priority="14120" stopIfTrue="1" operator="equal">
      <formula>"Towel"</formula>
    </cfRule>
    <cfRule type="cellIs" dxfId="28313" priority="14121" stopIfTrue="1" operator="equal">
      <formula>"Napkin Hs"</formula>
    </cfRule>
    <cfRule type="cellIs" dxfId="28312" priority="14122" stopIfTrue="1" operator="equal">
      <formula>"Towel"</formula>
    </cfRule>
    <cfRule type="cellIs" dxfId="28311" priority="14123" stopIfTrue="1" operator="equal">
      <formula>"Napkin Hs"</formula>
    </cfRule>
    <cfRule type="cellIs" dxfId="28310" priority="14128" stopIfTrue="1" operator="equal">
      <formula>"Towel"</formula>
    </cfRule>
    <cfRule type="cellIs" dxfId="28309" priority="14129" stopIfTrue="1" operator="equal">
      <formula>"Napkin Hs"</formula>
    </cfRule>
    <cfRule type="cellIs" dxfId="28308" priority="14130" stopIfTrue="1" operator="equal">
      <formula>"Towel"</formula>
    </cfRule>
    <cfRule type="cellIs" dxfId="28307" priority="14131" stopIfTrue="1" operator="equal">
      <formula>"Napkin Hs"</formula>
    </cfRule>
    <cfRule type="cellIs" dxfId="28306" priority="14134" stopIfTrue="1" operator="equal">
      <formula>"Towel"</formula>
    </cfRule>
    <cfRule type="cellIs" dxfId="28305" priority="14135" stopIfTrue="1" operator="equal">
      <formula>"Napkin Hs"</formula>
    </cfRule>
    <cfRule type="cellIs" dxfId="28304" priority="14136" stopIfTrue="1" operator="equal">
      <formula>"Towel"</formula>
    </cfRule>
    <cfRule type="cellIs" dxfId="28303" priority="14137" stopIfTrue="1" operator="equal">
      <formula>"Napkin Hs"</formula>
    </cfRule>
    <cfRule type="cellIs" dxfId="28302" priority="14138" stopIfTrue="1" operator="equal">
      <formula>"Towel"</formula>
    </cfRule>
    <cfRule type="cellIs" dxfId="28301" priority="14139" stopIfTrue="1" operator="equal">
      <formula>"Napkin Hs"</formula>
    </cfRule>
    <cfRule type="cellIs" dxfId="28300" priority="14140" stopIfTrue="1" operator="equal">
      <formula>"Towel"</formula>
    </cfRule>
    <cfRule type="cellIs" dxfId="28299" priority="14141" stopIfTrue="1" operator="equal">
      <formula>"Napkin Hs"</formula>
    </cfRule>
    <cfRule type="cellIs" dxfId="28298" priority="14146" stopIfTrue="1" operator="equal">
      <formula>"Towel"</formula>
    </cfRule>
    <cfRule type="cellIs" dxfId="28297" priority="14147" stopIfTrue="1" operator="equal">
      <formula>"Napkin Hs"</formula>
    </cfRule>
    <cfRule type="cellIs" dxfId="28296" priority="14148" stopIfTrue="1" operator="equal">
      <formula>"Towel"</formula>
    </cfRule>
    <cfRule type="cellIs" dxfId="28295" priority="14149" stopIfTrue="1" operator="equal">
      <formula>"Napkin Hs"</formula>
    </cfRule>
    <cfRule type="cellIs" dxfId="28294" priority="14152" stopIfTrue="1" operator="equal">
      <formula>"Towel"</formula>
    </cfRule>
    <cfRule type="cellIs" dxfId="28293" priority="14153" stopIfTrue="1" operator="equal">
      <formula>"Napkin Hs"</formula>
    </cfRule>
    <cfRule type="cellIs" dxfId="28292" priority="14154" stopIfTrue="1" operator="equal">
      <formula>"Towel"</formula>
    </cfRule>
    <cfRule type="cellIs" dxfId="28291" priority="14155" stopIfTrue="1" operator="equal">
      <formula>"Napkin Hs"</formula>
    </cfRule>
  </conditionalFormatting>
  <conditionalFormatting sqref="C46">
    <cfRule type="cellIs" dxfId="28290" priority="14058" stopIfTrue="1" operator="equal">
      <formula>"Napkin Hs"</formula>
    </cfRule>
  </conditionalFormatting>
  <conditionalFormatting sqref="C46">
    <cfRule type="cellIs" dxfId="28289" priority="14057" stopIfTrue="1" operator="equal">
      <formula>"Napkin Hs"</formula>
    </cfRule>
  </conditionalFormatting>
  <conditionalFormatting sqref="B46">
    <cfRule type="cellIs" dxfId="28288" priority="14056" stopIfTrue="1" operator="equal">
      <formula>"Napkin Hs"</formula>
    </cfRule>
  </conditionalFormatting>
  <conditionalFormatting sqref="C46">
    <cfRule type="cellIs" dxfId="28287" priority="14055" stopIfTrue="1" operator="equal">
      <formula>"Napkin Hs"</formula>
    </cfRule>
  </conditionalFormatting>
  <conditionalFormatting sqref="C46">
    <cfRule type="cellIs" dxfId="28286" priority="14054" stopIfTrue="1" operator="equal">
      <formula>"Napkin Hs"</formula>
    </cfRule>
  </conditionalFormatting>
  <conditionalFormatting sqref="C46">
    <cfRule type="cellIs" dxfId="28285" priority="14053" stopIfTrue="1" operator="equal">
      <formula>"Napkin Hs"</formula>
    </cfRule>
  </conditionalFormatting>
  <conditionalFormatting sqref="C46">
    <cfRule type="cellIs" dxfId="28284" priority="14052" stopIfTrue="1" operator="equal">
      <formula>"Napkin Hs"</formula>
    </cfRule>
  </conditionalFormatting>
  <conditionalFormatting sqref="B46">
    <cfRule type="cellIs" dxfId="28283" priority="14051" stopIfTrue="1" operator="equal">
      <formula>"Napkin Hs"</formula>
    </cfRule>
  </conditionalFormatting>
  <conditionalFormatting sqref="B46">
    <cfRule type="cellIs" dxfId="28282" priority="14050" stopIfTrue="1" operator="equal">
      <formula>"Napkin Hs"</formula>
    </cfRule>
  </conditionalFormatting>
  <conditionalFormatting sqref="C46">
    <cfRule type="cellIs" dxfId="28281" priority="14046" stopIfTrue="1" operator="equal">
      <formula>"Towel"</formula>
    </cfRule>
    <cfRule type="cellIs" dxfId="28280" priority="14047" stopIfTrue="1" operator="equal">
      <formula>"Napkin Hs"</formula>
    </cfRule>
  </conditionalFormatting>
  <conditionalFormatting sqref="C46">
    <cfRule type="cellIs" dxfId="28279" priority="14048" stopIfTrue="1" operator="equal">
      <formula>"Towel"</formula>
    </cfRule>
    <cfRule type="cellIs" dxfId="28278" priority="14049" stopIfTrue="1" operator="equal">
      <formula>"Napkin Hs"</formula>
    </cfRule>
  </conditionalFormatting>
  <conditionalFormatting sqref="C46">
    <cfRule type="cellIs" dxfId="28277" priority="14042" stopIfTrue="1" operator="equal">
      <formula>"Towel"</formula>
    </cfRule>
    <cfRule type="cellIs" dxfId="28276" priority="14043" stopIfTrue="1" operator="equal">
      <formula>"Napkin Hs"</formula>
    </cfRule>
  </conditionalFormatting>
  <conditionalFormatting sqref="C46">
    <cfRule type="cellIs" dxfId="28275" priority="14044" stopIfTrue="1" operator="equal">
      <formula>"Towel"</formula>
    </cfRule>
    <cfRule type="cellIs" dxfId="28274" priority="14045" stopIfTrue="1" operator="equal">
      <formula>"Napkin Hs"</formula>
    </cfRule>
  </conditionalFormatting>
  <conditionalFormatting sqref="C53:C55">
    <cfRule type="cellIs" dxfId="28273" priority="13870" stopIfTrue="1" operator="equal">
      <formula>"Towel"</formula>
    </cfRule>
    <cfRule type="cellIs" dxfId="28272" priority="13871" stopIfTrue="1" operator="equal">
      <formula>"Napkin Hs"</formula>
    </cfRule>
  </conditionalFormatting>
  <conditionalFormatting sqref="C53:C55">
    <cfRule type="cellIs" dxfId="28271" priority="13872" stopIfTrue="1" operator="equal">
      <formula>"Towel"</formula>
    </cfRule>
    <cfRule type="cellIs" dxfId="28270" priority="13873" stopIfTrue="1" operator="equal">
      <formula>"Napkin Hs"</formula>
    </cfRule>
  </conditionalFormatting>
  <conditionalFormatting sqref="C53:C55">
    <cfRule type="cellIs" dxfId="28269" priority="13868" stopIfTrue="1" operator="equal">
      <formula>"Towel"</formula>
    </cfRule>
    <cfRule type="cellIs" dxfId="28268" priority="13869" stopIfTrue="1" operator="equal">
      <formula>"Napkin Hs"</formula>
    </cfRule>
  </conditionalFormatting>
  <conditionalFormatting sqref="B53:B55">
    <cfRule type="cellIs" dxfId="28267" priority="13866" stopIfTrue="1" operator="equal">
      <formula>"Towel"</formula>
    </cfRule>
    <cfRule type="cellIs" dxfId="28266" priority="13867" stopIfTrue="1" operator="equal">
      <formula>"Napkin Hs"</formula>
    </cfRule>
  </conditionalFormatting>
  <conditionalFormatting sqref="C53:C55">
    <cfRule type="cellIs" dxfId="28265" priority="13860" stopIfTrue="1" operator="equal">
      <formula>"Towel"</formula>
    </cfRule>
    <cfRule type="cellIs" dxfId="28264" priority="13861" stopIfTrue="1" operator="equal">
      <formula>"Napkin Hs"</formula>
    </cfRule>
  </conditionalFormatting>
  <conditionalFormatting sqref="C53:C55">
    <cfRule type="cellIs" dxfId="28263" priority="13864" stopIfTrue="1" operator="equal">
      <formula>"Towel"</formula>
    </cfRule>
    <cfRule type="cellIs" dxfId="28262" priority="13865" stopIfTrue="1" operator="equal">
      <formula>"Napkin Hs"</formula>
    </cfRule>
  </conditionalFormatting>
  <conditionalFormatting sqref="C53:C55">
    <cfRule type="cellIs" dxfId="28261" priority="13862" stopIfTrue="1" operator="equal">
      <formula>"Towel"</formula>
    </cfRule>
    <cfRule type="cellIs" dxfId="28260" priority="13863" stopIfTrue="1" operator="equal">
      <formula>"Napkin Hs"</formula>
    </cfRule>
  </conditionalFormatting>
  <conditionalFormatting sqref="C53:C55">
    <cfRule type="cellIs" dxfId="28259" priority="13854" stopIfTrue="1" operator="equal">
      <formula>"Towel"</formula>
    </cfRule>
    <cfRule type="cellIs" dxfId="28258" priority="13855" stopIfTrue="1" operator="equal">
      <formula>"Napkin Hs"</formula>
    </cfRule>
  </conditionalFormatting>
  <conditionalFormatting sqref="C53:C55">
    <cfRule type="cellIs" dxfId="28257" priority="13856" stopIfTrue="1" operator="equal">
      <formula>"Towel"</formula>
    </cfRule>
    <cfRule type="cellIs" dxfId="28256" priority="13857" stopIfTrue="1" operator="equal">
      <formula>"Napkin Hs"</formula>
    </cfRule>
  </conditionalFormatting>
  <conditionalFormatting sqref="C53:C55">
    <cfRule type="cellIs" dxfId="28255" priority="13858" stopIfTrue="1" operator="equal">
      <formula>"Towel"</formula>
    </cfRule>
    <cfRule type="cellIs" dxfId="28254" priority="13859" stopIfTrue="1" operator="equal">
      <formula>"Napkin Hs"</formula>
    </cfRule>
  </conditionalFormatting>
  <conditionalFormatting sqref="B53:C55">
    <cfRule type="cellIs" dxfId="28253" priority="13852" stopIfTrue="1" operator="equal">
      <formula>"Towel"</formula>
    </cfRule>
    <cfRule type="cellIs" dxfId="28252" priority="13853" stopIfTrue="1" operator="equal">
      <formula>"Napkin Hs"</formula>
    </cfRule>
  </conditionalFormatting>
  <conditionalFormatting sqref="B53:C55">
    <cfRule type="cellIs" dxfId="28251" priority="13850" stopIfTrue="1" operator="equal">
      <formula>"Towel"</formula>
    </cfRule>
    <cfRule type="cellIs" dxfId="28250" priority="13851" stopIfTrue="1" operator="equal">
      <formula>"Napkin Hs"</formula>
    </cfRule>
  </conditionalFormatting>
  <conditionalFormatting sqref="B53:C55">
    <cfRule type="cellIs" dxfId="28249" priority="13826" stopIfTrue="1" operator="equal">
      <formula>"Towel"</formula>
    </cfRule>
  </conditionalFormatting>
  <conditionalFormatting sqref="B53:C55">
    <cfRule type="cellIs" dxfId="28248" priority="13827" stopIfTrue="1" operator="equal">
      <formula>"Napkin Hs"</formula>
    </cfRule>
    <cfRule type="cellIs" dxfId="28247" priority="13832" stopIfTrue="1" operator="equal">
      <formula>"Towel"</formula>
    </cfRule>
    <cfRule type="cellIs" dxfId="28246" priority="13833" stopIfTrue="1" operator="equal">
      <formula>"Napkin Hs"</formula>
    </cfRule>
    <cfRule type="cellIs" dxfId="28245" priority="13842" stopIfTrue="1" operator="equal">
      <formula>"Towel"</formula>
    </cfRule>
    <cfRule type="cellIs" dxfId="28244" priority="13843" stopIfTrue="1" operator="equal">
      <formula>"Napkin Hs"</formula>
    </cfRule>
    <cfRule type="cellIs" dxfId="28243" priority="13848" stopIfTrue="1" operator="equal">
      <formula>"Towel"</formula>
    </cfRule>
    <cfRule type="cellIs" dxfId="28242" priority="13849" stopIfTrue="1" operator="equal">
      <formula>"Napkin Hs"</formula>
    </cfRule>
  </conditionalFormatting>
  <conditionalFormatting sqref="C53:C55">
    <cfRule type="cellIs" dxfId="28241" priority="13828" stopIfTrue="1" operator="equal">
      <formula>"Towel"</formula>
    </cfRule>
    <cfRule type="cellIs" dxfId="28240" priority="13829" stopIfTrue="1" operator="equal">
      <formula>"Napkin Hs"</formula>
    </cfRule>
    <cfRule type="cellIs" dxfId="28239" priority="13830" stopIfTrue="1" operator="equal">
      <formula>"Towel"</formula>
    </cfRule>
    <cfRule type="cellIs" dxfId="28238" priority="13831" stopIfTrue="1" operator="equal">
      <formula>"Napkin Hs"</formula>
    </cfRule>
    <cfRule type="cellIs" dxfId="28237" priority="13834" stopIfTrue="1" operator="equal">
      <formula>"Towel"</formula>
    </cfRule>
    <cfRule type="cellIs" dxfId="28236" priority="13835" stopIfTrue="1" operator="equal">
      <formula>"Napkin Hs"</formula>
    </cfRule>
    <cfRule type="cellIs" dxfId="28235" priority="13836" stopIfTrue="1" operator="equal">
      <formula>"Towel"</formula>
    </cfRule>
    <cfRule type="cellIs" dxfId="28234" priority="13837" stopIfTrue="1" operator="equal">
      <formula>"Napkin Hs"</formula>
    </cfRule>
    <cfRule type="cellIs" dxfId="28233" priority="13838" stopIfTrue="1" operator="equal">
      <formula>"Towel"</formula>
    </cfRule>
    <cfRule type="cellIs" dxfId="28232" priority="13839" stopIfTrue="1" operator="equal">
      <formula>"Napkin Hs"</formula>
    </cfRule>
    <cfRule type="cellIs" dxfId="28231" priority="13840" stopIfTrue="1" operator="equal">
      <formula>"Towel"</formula>
    </cfRule>
    <cfRule type="cellIs" dxfId="28230" priority="13841" stopIfTrue="1" operator="equal">
      <formula>"Napkin Hs"</formula>
    </cfRule>
    <cfRule type="cellIs" dxfId="28229" priority="13844" stopIfTrue="1" operator="equal">
      <formula>"Towel"</formula>
    </cfRule>
    <cfRule type="cellIs" dxfId="28228" priority="13845" stopIfTrue="1" operator="equal">
      <formula>"Napkin Hs"</formula>
    </cfRule>
    <cfRule type="cellIs" dxfId="28227" priority="13847" stopIfTrue="1" operator="equal">
      <formula>"Napkin Hs"</formula>
    </cfRule>
  </conditionalFormatting>
  <conditionalFormatting sqref="C53:C55">
    <cfRule type="cellIs" dxfId="28226" priority="13846" stopIfTrue="1" operator="equal">
      <formula>"Towel"</formula>
    </cfRule>
  </conditionalFormatting>
  <conditionalFormatting sqref="B53:C55">
    <cfRule type="cellIs" dxfId="28225" priority="13824" stopIfTrue="1" operator="equal">
      <formula>"Towel"</formula>
    </cfRule>
    <cfRule type="cellIs" dxfId="28224" priority="13825" stopIfTrue="1" operator="equal">
      <formula>"Napkin Hs"</formula>
    </cfRule>
  </conditionalFormatting>
  <conditionalFormatting sqref="C53:C55">
    <cfRule type="cellIs" dxfId="28223" priority="13823" stopIfTrue="1" operator="equal">
      <formula>"Napkin Hs"</formula>
    </cfRule>
  </conditionalFormatting>
  <conditionalFormatting sqref="C53:C55">
    <cfRule type="cellIs" dxfId="28222" priority="13822" stopIfTrue="1" operator="equal">
      <formula>"Towel"</formula>
    </cfRule>
  </conditionalFormatting>
  <conditionalFormatting sqref="C53:C55">
    <cfRule type="cellIs" dxfId="28221" priority="13820" stopIfTrue="1" operator="equal">
      <formula>"Towel"</formula>
    </cfRule>
  </conditionalFormatting>
  <conditionalFormatting sqref="C53:C55">
    <cfRule type="cellIs" dxfId="28220" priority="13821" stopIfTrue="1" operator="equal">
      <formula>"Napkin Hs"</formula>
    </cfRule>
  </conditionalFormatting>
  <conditionalFormatting sqref="B53:B55">
    <cfRule type="cellIs" dxfId="28219" priority="13724" stopIfTrue="1" operator="equal">
      <formula>"Napkin Hs"</formula>
    </cfRule>
  </conditionalFormatting>
  <conditionalFormatting sqref="B53:C55">
    <cfRule type="cellIs" dxfId="28218" priority="13723" stopIfTrue="1" operator="equal">
      <formula>"Towel"</formula>
    </cfRule>
  </conditionalFormatting>
  <conditionalFormatting sqref="B53:C55">
    <cfRule type="cellIs" dxfId="28217" priority="13734" stopIfTrue="1" operator="equal">
      <formula>"Towel"</formula>
    </cfRule>
    <cfRule type="cellIs" dxfId="28216" priority="13735" stopIfTrue="1" operator="equal">
      <formula>"Napkin Hs"</formula>
    </cfRule>
    <cfRule type="cellIs" dxfId="28215" priority="13740" stopIfTrue="1" operator="equal">
      <formula>"Towel"</formula>
    </cfRule>
    <cfRule type="cellIs" dxfId="28214" priority="13741" stopIfTrue="1" operator="equal">
      <formula>"Napkin Hs"</formula>
    </cfRule>
    <cfRule type="cellIs" dxfId="28213" priority="13746" stopIfTrue="1" operator="equal">
      <formula>"Towel"</formula>
    </cfRule>
    <cfRule type="cellIs" dxfId="28212" priority="13747" stopIfTrue="1" operator="equal">
      <formula>"Napkin Hs"</formula>
    </cfRule>
    <cfRule type="cellIs" dxfId="28211" priority="13748" stopIfTrue="1" operator="equal">
      <formula>"Towel"</formula>
    </cfRule>
    <cfRule type="cellIs" dxfId="28210" priority="13749" stopIfTrue="1" operator="equal">
      <formula>"Napkin Hs"</formula>
    </cfRule>
    <cfRule type="cellIs" dxfId="28209" priority="13754" stopIfTrue="1" operator="equal">
      <formula>"Towel"</formula>
    </cfRule>
    <cfRule type="cellIs" dxfId="28208" priority="13755" stopIfTrue="1" operator="equal">
      <formula>"Napkin Hs"</formula>
    </cfRule>
    <cfRule type="cellIs" dxfId="28207" priority="13764" stopIfTrue="1" operator="equal">
      <formula>"Towel"</formula>
    </cfRule>
    <cfRule type="cellIs" dxfId="28206" priority="13765" stopIfTrue="1" operator="equal">
      <formula>"Napkin Hs"</formula>
    </cfRule>
    <cfRule type="cellIs" dxfId="28205" priority="13770" stopIfTrue="1" operator="equal">
      <formula>"Towel"</formula>
    </cfRule>
    <cfRule type="cellIs" dxfId="28204" priority="13771" stopIfTrue="1" operator="equal">
      <formula>"Napkin Hs"</formula>
    </cfRule>
    <cfRule type="cellIs" dxfId="28203" priority="13772" stopIfTrue="1" operator="equal">
      <formula>"Towel"</formula>
    </cfRule>
    <cfRule type="cellIs" dxfId="28202" priority="13773" stopIfTrue="1" operator="equal">
      <formula>"Napkin Hs"</formula>
    </cfRule>
    <cfRule type="cellIs" dxfId="28201" priority="13778" stopIfTrue="1" operator="equal">
      <formula>"Towel"</formula>
    </cfRule>
    <cfRule type="cellIs" dxfId="28200" priority="13779" stopIfTrue="1" operator="equal">
      <formula>"Napkin Hs"</formula>
    </cfRule>
    <cfRule type="cellIs" dxfId="28199" priority="13788" stopIfTrue="1" operator="equal">
      <formula>"Towel"</formula>
    </cfRule>
    <cfRule type="cellIs" dxfId="28198" priority="13789" stopIfTrue="1" operator="equal">
      <formula>"Napkin Hs"</formula>
    </cfRule>
    <cfRule type="cellIs" dxfId="28197" priority="13790" stopIfTrue="1" operator="equal">
      <formula>"Towel"</formula>
    </cfRule>
    <cfRule type="cellIs" dxfId="28196" priority="13791" stopIfTrue="1" operator="equal">
      <formula>"Napkin Hs"</formula>
    </cfRule>
    <cfRule type="cellIs" dxfId="28195" priority="13796" stopIfTrue="1" operator="equal">
      <formula>"Towel"</formula>
    </cfRule>
    <cfRule type="cellIs" dxfId="28194" priority="13797" stopIfTrue="1" operator="equal">
      <formula>"Napkin Hs"</formula>
    </cfRule>
    <cfRule type="cellIs" dxfId="28193" priority="13806" stopIfTrue="1" operator="equal">
      <formula>"Towel"</formula>
    </cfRule>
    <cfRule type="cellIs" dxfId="28192" priority="13807" stopIfTrue="1" operator="equal">
      <formula>"Napkin Hs"</formula>
    </cfRule>
    <cfRule type="cellIs" dxfId="28191" priority="13808" stopIfTrue="1" operator="equal">
      <formula>"Towel"</formula>
    </cfRule>
    <cfRule type="cellIs" dxfId="28190" priority="13809" stopIfTrue="1" operator="equal">
      <formula>"Napkin Hs"</formula>
    </cfRule>
    <cfRule type="cellIs" dxfId="28189" priority="13815" stopIfTrue="1" operator="equal">
      <formula>"Napkin Hs"</formula>
    </cfRule>
  </conditionalFormatting>
  <conditionalFormatting sqref="B53:C55">
    <cfRule type="cellIs" dxfId="28188" priority="13814" stopIfTrue="1" operator="equal">
      <formula>"Towel"</formula>
    </cfRule>
  </conditionalFormatting>
  <conditionalFormatting sqref="C53:C55">
    <cfRule type="cellIs" dxfId="28187" priority="13725" stopIfTrue="1" operator="equal">
      <formula>"Napkin Hs"</formula>
    </cfRule>
    <cfRule type="cellIs" dxfId="28186" priority="13726" stopIfTrue="1" operator="equal">
      <formula>"Towel"</formula>
    </cfRule>
    <cfRule type="cellIs" dxfId="28185" priority="13727" stopIfTrue="1" operator="equal">
      <formula>"Napkin Hs"</formula>
    </cfRule>
    <cfRule type="cellIs" dxfId="28184" priority="13728" stopIfTrue="1" operator="equal">
      <formula>"Towel"</formula>
    </cfRule>
    <cfRule type="cellIs" dxfId="28183" priority="13729" stopIfTrue="1" operator="equal">
      <formula>"Napkin Hs"</formula>
    </cfRule>
    <cfRule type="cellIs" dxfId="28182" priority="13730" stopIfTrue="1" operator="equal">
      <formula>"Towel"</formula>
    </cfRule>
    <cfRule type="cellIs" dxfId="28181" priority="13731" stopIfTrue="1" operator="equal">
      <formula>"Napkin Hs"</formula>
    </cfRule>
    <cfRule type="cellIs" dxfId="28180" priority="13732" stopIfTrue="1" operator="equal">
      <formula>"Towel"</formula>
    </cfRule>
    <cfRule type="cellIs" dxfId="28179" priority="13733" stopIfTrue="1" operator="equal">
      <formula>"Napkin Hs"</formula>
    </cfRule>
    <cfRule type="cellIs" dxfId="28178" priority="13736" stopIfTrue="1" operator="equal">
      <formula>"Towel"</formula>
    </cfRule>
    <cfRule type="cellIs" dxfId="28177" priority="13737" stopIfTrue="1" operator="equal">
      <formula>"Napkin Hs"</formula>
    </cfRule>
    <cfRule type="cellIs" dxfId="28176" priority="13738" stopIfTrue="1" operator="equal">
      <formula>"Towel"</formula>
    </cfRule>
    <cfRule type="cellIs" dxfId="28175" priority="13739" stopIfTrue="1" operator="equal">
      <formula>"Napkin Hs"</formula>
    </cfRule>
    <cfRule type="cellIs" dxfId="28174" priority="13742" stopIfTrue="1" operator="equal">
      <formula>"Towel"</formula>
    </cfRule>
    <cfRule type="cellIs" dxfId="28173" priority="13743" stopIfTrue="1" operator="equal">
      <formula>"Napkin Hs"</formula>
    </cfRule>
    <cfRule type="cellIs" dxfId="28172" priority="13744" stopIfTrue="1" operator="equal">
      <formula>"Towel"</formula>
    </cfRule>
    <cfRule type="cellIs" dxfId="28171" priority="13745" stopIfTrue="1" operator="equal">
      <formula>"Napkin Hs"</formula>
    </cfRule>
    <cfRule type="cellIs" dxfId="28170" priority="13750" stopIfTrue="1" operator="equal">
      <formula>"Towel"</formula>
    </cfRule>
    <cfRule type="cellIs" dxfId="28169" priority="13751" stopIfTrue="1" operator="equal">
      <formula>"Napkin Hs"</formula>
    </cfRule>
    <cfRule type="cellIs" dxfId="28168" priority="13752" stopIfTrue="1" operator="equal">
      <formula>"Towel"</formula>
    </cfRule>
    <cfRule type="cellIs" dxfId="28167" priority="13753" stopIfTrue="1" operator="equal">
      <formula>"Napkin Hs"</formula>
    </cfRule>
    <cfRule type="cellIs" dxfId="28166" priority="13756" stopIfTrue="1" operator="equal">
      <formula>"Towel"</formula>
    </cfRule>
    <cfRule type="cellIs" dxfId="28165" priority="13757" stopIfTrue="1" operator="equal">
      <formula>"Napkin Hs"</formula>
    </cfRule>
    <cfRule type="cellIs" dxfId="28164" priority="13758" stopIfTrue="1" operator="equal">
      <formula>"Towel"</formula>
    </cfRule>
    <cfRule type="cellIs" dxfId="28163" priority="13759" stopIfTrue="1" operator="equal">
      <formula>"Napkin Hs"</formula>
    </cfRule>
    <cfRule type="cellIs" dxfId="28162" priority="13760" stopIfTrue="1" operator="equal">
      <formula>"Towel"</formula>
    </cfRule>
    <cfRule type="cellIs" dxfId="28161" priority="13761" stopIfTrue="1" operator="equal">
      <formula>"Napkin Hs"</formula>
    </cfRule>
    <cfRule type="cellIs" dxfId="28160" priority="13762" stopIfTrue="1" operator="equal">
      <formula>"Towel"</formula>
    </cfRule>
    <cfRule type="cellIs" dxfId="28159" priority="13763" stopIfTrue="1" operator="equal">
      <formula>"Napkin Hs"</formula>
    </cfRule>
    <cfRule type="cellIs" dxfId="28158" priority="13766" stopIfTrue="1" operator="equal">
      <formula>"Towel"</formula>
    </cfRule>
    <cfRule type="cellIs" dxfId="28157" priority="13767" stopIfTrue="1" operator="equal">
      <formula>"Napkin Hs"</formula>
    </cfRule>
    <cfRule type="cellIs" dxfId="28156" priority="13768" stopIfTrue="1" operator="equal">
      <formula>"Towel"</formula>
    </cfRule>
    <cfRule type="cellIs" dxfId="28155" priority="13769" stopIfTrue="1" operator="equal">
      <formula>"Napkin Hs"</formula>
    </cfRule>
    <cfRule type="cellIs" dxfId="28154" priority="13774" stopIfTrue="1" operator="equal">
      <formula>"Towel"</formula>
    </cfRule>
    <cfRule type="cellIs" dxfId="28153" priority="13775" stopIfTrue="1" operator="equal">
      <formula>"Napkin Hs"</formula>
    </cfRule>
    <cfRule type="cellIs" dxfId="28152" priority="13776" stopIfTrue="1" operator="equal">
      <formula>"Towel"</formula>
    </cfRule>
    <cfRule type="cellIs" dxfId="28151" priority="13777" stopIfTrue="1" operator="equal">
      <formula>"Napkin Hs"</formula>
    </cfRule>
    <cfRule type="cellIs" dxfId="28150" priority="13780" stopIfTrue="1" operator="equal">
      <formula>"Towel"</formula>
    </cfRule>
    <cfRule type="cellIs" dxfId="28149" priority="13781" stopIfTrue="1" operator="equal">
      <formula>"Napkin Hs"</formula>
    </cfRule>
    <cfRule type="cellIs" dxfId="28148" priority="13782" stopIfTrue="1" operator="equal">
      <formula>"Towel"</formula>
    </cfRule>
    <cfRule type="cellIs" dxfId="28147" priority="13783" stopIfTrue="1" operator="equal">
      <formula>"Napkin Hs"</formula>
    </cfRule>
    <cfRule type="cellIs" dxfId="28146" priority="13784" stopIfTrue="1" operator="equal">
      <formula>"Towel"</formula>
    </cfRule>
    <cfRule type="cellIs" dxfId="28145" priority="13785" stopIfTrue="1" operator="equal">
      <formula>"Napkin Hs"</formula>
    </cfRule>
    <cfRule type="cellIs" dxfId="28144" priority="13786" stopIfTrue="1" operator="equal">
      <formula>"Towel"</formula>
    </cfRule>
    <cfRule type="cellIs" dxfId="28143" priority="13787" stopIfTrue="1" operator="equal">
      <formula>"Napkin Hs"</formula>
    </cfRule>
    <cfRule type="cellIs" dxfId="28142" priority="13792" stopIfTrue="1" operator="equal">
      <formula>"Towel"</formula>
    </cfRule>
    <cfRule type="cellIs" dxfId="28141" priority="13793" stopIfTrue="1" operator="equal">
      <formula>"Napkin Hs"</formula>
    </cfRule>
    <cfRule type="cellIs" dxfId="28140" priority="13794" stopIfTrue="1" operator="equal">
      <formula>"Towel"</formula>
    </cfRule>
    <cfRule type="cellIs" dxfId="28139" priority="13795" stopIfTrue="1" operator="equal">
      <formula>"Napkin Hs"</formula>
    </cfRule>
    <cfRule type="cellIs" dxfId="28138" priority="13798" stopIfTrue="1" operator="equal">
      <formula>"Towel"</formula>
    </cfRule>
    <cfRule type="cellIs" dxfId="28137" priority="13799" stopIfTrue="1" operator="equal">
      <formula>"Napkin Hs"</formula>
    </cfRule>
    <cfRule type="cellIs" dxfId="28136" priority="13800" stopIfTrue="1" operator="equal">
      <formula>"Towel"</formula>
    </cfRule>
    <cfRule type="cellIs" dxfId="28135" priority="13801" stopIfTrue="1" operator="equal">
      <formula>"Napkin Hs"</formula>
    </cfRule>
    <cfRule type="cellIs" dxfId="28134" priority="13802" stopIfTrue="1" operator="equal">
      <formula>"Towel"</formula>
    </cfRule>
    <cfRule type="cellIs" dxfId="28133" priority="13803" stopIfTrue="1" operator="equal">
      <formula>"Napkin Hs"</formula>
    </cfRule>
    <cfRule type="cellIs" dxfId="28132" priority="13804" stopIfTrue="1" operator="equal">
      <formula>"Towel"</formula>
    </cfRule>
    <cfRule type="cellIs" dxfId="28131" priority="13805" stopIfTrue="1" operator="equal">
      <formula>"Napkin Hs"</formula>
    </cfRule>
    <cfRule type="cellIs" dxfId="28130" priority="13810" stopIfTrue="1" operator="equal">
      <formula>"Towel"</formula>
    </cfRule>
    <cfRule type="cellIs" dxfId="28129" priority="13811" stopIfTrue="1" operator="equal">
      <formula>"Napkin Hs"</formula>
    </cfRule>
    <cfRule type="cellIs" dxfId="28128" priority="13812" stopIfTrue="1" operator="equal">
      <formula>"Towel"</formula>
    </cfRule>
    <cfRule type="cellIs" dxfId="28127" priority="13813" stopIfTrue="1" operator="equal">
      <formula>"Napkin Hs"</formula>
    </cfRule>
    <cfRule type="cellIs" dxfId="28126" priority="13816" stopIfTrue="1" operator="equal">
      <formula>"Towel"</formula>
    </cfRule>
    <cfRule type="cellIs" dxfId="28125" priority="13817" stopIfTrue="1" operator="equal">
      <formula>"Napkin Hs"</formula>
    </cfRule>
    <cfRule type="cellIs" dxfId="28124" priority="13818" stopIfTrue="1" operator="equal">
      <formula>"Towel"</formula>
    </cfRule>
    <cfRule type="cellIs" dxfId="28123" priority="13819" stopIfTrue="1" operator="equal">
      <formula>"Napkin Hs"</formula>
    </cfRule>
  </conditionalFormatting>
  <conditionalFormatting sqref="C53:C55">
    <cfRule type="cellIs" dxfId="28122" priority="13722" stopIfTrue="1" operator="equal">
      <formula>"Napkin Hs"</formula>
    </cfRule>
  </conditionalFormatting>
  <conditionalFormatting sqref="C53:C55">
    <cfRule type="cellIs" dxfId="28121" priority="13721" stopIfTrue="1" operator="equal">
      <formula>"Napkin Hs"</formula>
    </cfRule>
  </conditionalFormatting>
  <conditionalFormatting sqref="B53:B55">
    <cfRule type="cellIs" dxfId="28120" priority="13720" stopIfTrue="1" operator="equal">
      <formula>"Napkin Hs"</formula>
    </cfRule>
  </conditionalFormatting>
  <conditionalFormatting sqref="C53:C55">
    <cfRule type="cellIs" dxfId="28119" priority="13719" stopIfTrue="1" operator="equal">
      <formula>"Napkin Hs"</formula>
    </cfRule>
  </conditionalFormatting>
  <conditionalFormatting sqref="C53:C55">
    <cfRule type="cellIs" dxfId="28118" priority="13718" stopIfTrue="1" operator="equal">
      <formula>"Napkin Hs"</formula>
    </cfRule>
  </conditionalFormatting>
  <conditionalFormatting sqref="C53:C55">
    <cfRule type="cellIs" dxfId="28117" priority="13717" stopIfTrue="1" operator="equal">
      <formula>"Napkin Hs"</formula>
    </cfRule>
  </conditionalFormatting>
  <conditionalFormatting sqref="C53:C55">
    <cfRule type="cellIs" dxfId="28116" priority="13716" stopIfTrue="1" operator="equal">
      <formula>"Napkin Hs"</formula>
    </cfRule>
  </conditionalFormatting>
  <conditionalFormatting sqref="B53:B55">
    <cfRule type="cellIs" dxfId="28115" priority="13715" stopIfTrue="1" operator="equal">
      <formula>"Napkin Hs"</formula>
    </cfRule>
  </conditionalFormatting>
  <conditionalFormatting sqref="B53:B55">
    <cfRule type="cellIs" dxfId="28114" priority="13714" stopIfTrue="1" operator="equal">
      <formula>"Napkin Hs"</formula>
    </cfRule>
  </conditionalFormatting>
  <conditionalFormatting sqref="C53:C55">
    <cfRule type="cellIs" dxfId="28113" priority="13710" stopIfTrue="1" operator="equal">
      <formula>"Towel"</formula>
    </cfRule>
    <cfRule type="cellIs" dxfId="28112" priority="13711" stopIfTrue="1" operator="equal">
      <formula>"Napkin Hs"</formula>
    </cfRule>
  </conditionalFormatting>
  <conditionalFormatting sqref="C53:C55">
    <cfRule type="cellIs" dxfId="28111" priority="13712" stopIfTrue="1" operator="equal">
      <formula>"Towel"</formula>
    </cfRule>
    <cfRule type="cellIs" dxfId="28110" priority="13713" stopIfTrue="1" operator="equal">
      <formula>"Napkin Hs"</formula>
    </cfRule>
  </conditionalFormatting>
  <conditionalFormatting sqref="C53:C55">
    <cfRule type="cellIs" dxfId="28109" priority="13706" stopIfTrue="1" operator="equal">
      <formula>"Towel"</formula>
    </cfRule>
    <cfRule type="cellIs" dxfId="28108" priority="13707" stopIfTrue="1" operator="equal">
      <formula>"Napkin Hs"</formula>
    </cfRule>
  </conditionalFormatting>
  <conditionalFormatting sqref="C53:C55">
    <cfRule type="cellIs" dxfId="28107" priority="13708" stopIfTrue="1" operator="equal">
      <formula>"Towel"</formula>
    </cfRule>
    <cfRule type="cellIs" dxfId="28106" priority="13709" stopIfTrue="1" operator="equal">
      <formula>"Napkin Hs"</formula>
    </cfRule>
  </conditionalFormatting>
  <conditionalFormatting sqref="C52">
    <cfRule type="cellIs" dxfId="28105" priority="13534" stopIfTrue="1" operator="equal">
      <formula>"Towel"</formula>
    </cfRule>
    <cfRule type="cellIs" dxfId="28104" priority="13535" stopIfTrue="1" operator="equal">
      <formula>"Napkin Hs"</formula>
    </cfRule>
  </conditionalFormatting>
  <conditionalFormatting sqref="C52">
    <cfRule type="cellIs" dxfId="28103" priority="13536" stopIfTrue="1" operator="equal">
      <formula>"Towel"</formula>
    </cfRule>
    <cfRule type="cellIs" dxfId="28102" priority="13537" stopIfTrue="1" operator="equal">
      <formula>"Napkin Hs"</formula>
    </cfRule>
  </conditionalFormatting>
  <conditionalFormatting sqref="C52">
    <cfRule type="cellIs" dxfId="28101" priority="13532" stopIfTrue="1" operator="equal">
      <formula>"Towel"</formula>
    </cfRule>
    <cfRule type="cellIs" dxfId="28100" priority="13533" stopIfTrue="1" operator="equal">
      <formula>"Napkin Hs"</formula>
    </cfRule>
  </conditionalFormatting>
  <conditionalFormatting sqref="B52">
    <cfRule type="cellIs" dxfId="28099" priority="13530" stopIfTrue="1" operator="equal">
      <formula>"Towel"</formula>
    </cfRule>
    <cfRule type="cellIs" dxfId="28098" priority="13531" stopIfTrue="1" operator="equal">
      <formula>"Napkin Hs"</formula>
    </cfRule>
  </conditionalFormatting>
  <conditionalFormatting sqref="C52">
    <cfRule type="cellIs" dxfId="28097" priority="13524" stopIfTrue="1" operator="equal">
      <formula>"Towel"</formula>
    </cfRule>
    <cfRule type="cellIs" dxfId="28096" priority="13525" stopIfTrue="1" operator="equal">
      <formula>"Napkin Hs"</formula>
    </cfRule>
  </conditionalFormatting>
  <conditionalFormatting sqref="C52">
    <cfRule type="cellIs" dxfId="28095" priority="13528" stopIfTrue="1" operator="equal">
      <formula>"Towel"</formula>
    </cfRule>
    <cfRule type="cellIs" dxfId="28094" priority="13529" stopIfTrue="1" operator="equal">
      <formula>"Napkin Hs"</formula>
    </cfRule>
  </conditionalFormatting>
  <conditionalFormatting sqref="C52">
    <cfRule type="cellIs" dxfId="28093" priority="13526" stopIfTrue="1" operator="equal">
      <formula>"Towel"</formula>
    </cfRule>
    <cfRule type="cellIs" dxfId="28092" priority="13527" stopIfTrue="1" operator="equal">
      <formula>"Napkin Hs"</formula>
    </cfRule>
  </conditionalFormatting>
  <conditionalFormatting sqref="C52">
    <cfRule type="cellIs" dxfId="28091" priority="13518" stopIfTrue="1" operator="equal">
      <formula>"Towel"</formula>
    </cfRule>
    <cfRule type="cellIs" dxfId="28090" priority="13519" stopIfTrue="1" operator="equal">
      <formula>"Napkin Hs"</formula>
    </cfRule>
  </conditionalFormatting>
  <conditionalFormatting sqref="C52">
    <cfRule type="cellIs" dxfId="28089" priority="13520" stopIfTrue="1" operator="equal">
      <formula>"Towel"</formula>
    </cfRule>
    <cfRule type="cellIs" dxfId="28088" priority="13521" stopIfTrue="1" operator="equal">
      <formula>"Napkin Hs"</formula>
    </cfRule>
  </conditionalFormatting>
  <conditionalFormatting sqref="C52">
    <cfRule type="cellIs" dxfId="28087" priority="13522" stopIfTrue="1" operator="equal">
      <formula>"Towel"</formula>
    </cfRule>
    <cfRule type="cellIs" dxfId="28086" priority="13523" stopIfTrue="1" operator="equal">
      <formula>"Napkin Hs"</formula>
    </cfRule>
  </conditionalFormatting>
  <conditionalFormatting sqref="B52:C52">
    <cfRule type="cellIs" dxfId="28085" priority="13516" stopIfTrue="1" operator="equal">
      <formula>"Towel"</formula>
    </cfRule>
    <cfRule type="cellIs" dxfId="28084" priority="13517" stopIfTrue="1" operator="equal">
      <formula>"Napkin Hs"</formula>
    </cfRule>
  </conditionalFormatting>
  <conditionalFormatting sqref="B52:C52">
    <cfRule type="cellIs" dxfId="28083" priority="13514" stopIfTrue="1" operator="equal">
      <formula>"Towel"</formula>
    </cfRule>
    <cfRule type="cellIs" dxfId="28082" priority="13515" stopIfTrue="1" operator="equal">
      <formula>"Napkin Hs"</formula>
    </cfRule>
  </conditionalFormatting>
  <conditionalFormatting sqref="B52:C52">
    <cfRule type="cellIs" dxfId="28081" priority="13490" stopIfTrue="1" operator="equal">
      <formula>"Towel"</formula>
    </cfRule>
  </conditionalFormatting>
  <conditionalFormatting sqref="B52:C52">
    <cfRule type="cellIs" dxfId="28080" priority="13491" stopIfTrue="1" operator="equal">
      <formula>"Napkin Hs"</formula>
    </cfRule>
    <cfRule type="cellIs" dxfId="28079" priority="13496" stopIfTrue="1" operator="equal">
      <formula>"Towel"</formula>
    </cfRule>
    <cfRule type="cellIs" dxfId="28078" priority="13497" stopIfTrue="1" operator="equal">
      <formula>"Napkin Hs"</formula>
    </cfRule>
    <cfRule type="cellIs" dxfId="28077" priority="13506" stopIfTrue="1" operator="equal">
      <formula>"Towel"</formula>
    </cfRule>
    <cfRule type="cellIs" dxfId="28076" priority="13507" stopIfTrue="1" operator="equal">
      <formula>"Napkin Hs"</formula>
    </cfRule>
    <cfRule type="cellIs" dxfId="28075" priority="13512" stopIfTrue="1" operator="equal">
      <formula>"Towel"</formula>
    </cfRule>
    <cfRule type="cellIs" dxfId="28074" priority="13513" stopIfTrue="1" operator="equal">
      <formula>"Napkin Hs"</formula>
    </cfRule>
  </conditionalFormatting>
  <conditionalFormatting sqref="C52">
    <cfRule type="cellIs" dxfId="28073" priority="13492" stopIfTrue="1" operator="equal">
      <formula>"Towel"</formula>
    </cfRule>
    <cfRule type="cellIs" dxfId="28072" priority="13493" stopIfTrue="1" operator="equal">
      <formula>"Napkin Hs"</formula>
    </cfRule>
    <cfRule type="cellIs" dxfId="28071" priority="13494" stopIfTrue="1" operator="equal">
      <formula>"Towel"</formula>
    </cfRule>
    <cfRule type="cellIs" dxfId="28070" priority="13495" stopIfTrue="1" operator="equal">
      <formula>"Napkin Hs"</formula>
    </cfRule>
    <cfRule type="cellIs" dxfId="28069" priority="13498" stopIfTrue="1" operator="equal">
      <formula>"Towel"</formula>
    </cfRule>
    <cfRule type="cellIs" dxfId="28068" priority="13499" stopIfTrue="1" operator="equal">
      <formula>"Napkin Hs"</formula>
    </cfRule>
    <cfRule type="cellIs" dxfId="28067" priority="13500" stopIfTrue="1" operator="equal">
      <formula>"Towel"</formula>
    </cfRule>
    <cfRule type="cellIs" dxfId="28066" priority="13501" stopIfTrue="1" operator="equal">
      <formula>"Napkin Hs"</formula>
    </cfRule>
    <cfRule type="cellIs" dxfId="28065" priority="13502" stopIfTrue="1" operator="equal">
      <formula>"Towel"</formula>
    </cfRule>
    <cfRule type="cellIs" dxfId="28064" priority="13503" stopIfTrue="1" operator="equal">
      <formula>"Napkin Hs"</formula>
    </cfRule>
    <cfRule type="cellIs" dxfId="28063" priority="13504" stopIfTrue="1" operator="equal">
      <formula>"Towel"</formula>
    </cfRule>
    <cfRule type="cellIs" dxfId="28062" priority="13505" stopIfTrue="1" operator="equal">
      <formula>"Napkin Hs"</formula>
    </cfRule>
    <cfRule type="cellIs" dxfId="28061" priority="13508" stopIfTrue="1" operator="equal">
      <formula>"Towel"</formula>
    </cfRule>
    <cfRule type="cellIs" dxfId="28060" priority="13509" stopIfTrue="1" operator="equal">
      <formula>"Napkin Hs"</formula>
    </cfRule>
    <cfRule type="cellIs" dxfId="28059" priority="13511" stopIfTrue="1" operator="equal">
      <formula>"Napkin Hs"</formula>
    </cfRule>
  </conditionalFormatting>
  <conditionalFormatting sqref="C52">
    <cfRule type="cellIs" dxfId="28058" priority="13510" stopIfTrue="1" operator="equal">
      <formula>"Towel"</formula>
    </cfRule>
  </conditionalFormatting>
  <conditionalFormatting sqref="B52:C52">
    <cfRule type="cellIs" dxfId="28057" priority="13488" stopIfTrue="1" operator="equal">
      <formula>"Towel"</formula>
    </cfRule>
    <cfRule type="cellIs" dxfId="28056" priority="13489" stopIfTrue="1" operator="equal">
      <formula>"Napkin Hs"</formula>
    </cfRule>
  </conditionalFormatting>
  <conditionalFormatting sqref="C52">
    <cfRule type="cellIs" dxfId="28055" priority="13487" stopIfTrue="1" operator="equal">
      <formula>"Napkin Hs"</formula>
    </cfRule>
  </conditionalFormatting>
  <conditionalFormatting sqref="C52">
    <cfRule type="cellIs" dxfId="28054" priority="13486" stopIfTrue="1" operator="equal">
      <formula>"Towel"</formula>
    </cfRule>
  </conditionalFormatting>
  <conditionalFormatting sqref="C52">
    <cfRule type="cellIs" dxfId="28053" priority="13484" stopIfTrue="1" operator="equal">
      <formula>"Towel"</formula>
    </cfRule>
  </conditionalFormatting>
  <conditionalFormatting sqref="C52">
    <cfRule type="cellIs" dxfId="28052" priority="13485" stopIfTrue="1" operator="equal">
      <formula>"Napkin Hs"</formula>
    </cfRule>
  </conditionalFormatting>
  <conditionalFormatting sqref="B52">
    <cfRule type="cellIs" dxfId="28051" priority="13388" stopIfTrue="1" operator="equal">
      <formula>"Napkin Hs"</formula>
    </cfRule>
  </conditionalFormatting>
  <conditionalFormatting sqref="B52:C52">
    <cfRule type="cellIs" dxfId="28050" priority="13387" stopIfTrue="1" operator="equal">
      <formula>"Towel"</formula>
    </cfRule>
  </conditionalFormatting>
  <conditionalFormatting sqref="B52:C52">
    <cfRule type="cellIs" dxfId="28049" priority="13398" stopIfTrue="1" operator="equal">
      <formula>"Towel"</formula>
    </cfRule>
    <cfRule type="cellIs" dxfId="28048" priority="13399" stopIfTrue="1" operator="equal">
      <formula>"Napkin Hs"</formula>
    </cfRule>
    <cfRule type="cellIs" dxfId="28047" priority="13404" stopIfTrue="1" operator="equal">
      <formula>"Towel"</formula>
    </cfRule>
    <cfRule type="cellIs" dxfId="28046" priority="13405" stopIfTrue="1" operator="equal">
      <formula>"Napkin Hs"</formula>
    </cfRule>
    <cfRule type="cellIs" dxfId="28045" priority="13410" stopIfTrue="1" operator="equal">
      <formula>"Towel"</formula>
    </cfRule>
    <cfRule type="cellIs" dxfId="28044" priority="13411" stopIfTrue="1" operator="equal">
      <formula>"Napkin Hs"</formula>
    </cfRule>
    <cfRule type="cellIs" dxfId="28043" priority="13412" stopIfTrue="1" operator="equal">
      <formula>"Towel"</formula>
    </cfRule>
    <cfRule type="cellIs" dxfId="28042" priority="13413" stopIfTrue="1" operator="equal">
      <formula>"Napkin Hs"</formula>
    </cfRule>
    <cfRule type="cellIs" dxfId="28041" priority="13418" stopIfTrue="1" operator="equal">
      <formula>"Towel"</formula>
    </cfRule>
    <cfRule type="cellIs" dxfId="28040" priority="13419" stopIfTrue="1" operator="equal">
      <formula>"Napkin Hs"</formula>
    </cfRule>
    <cfRule type="cellIs" dxfId="28039" priority="13428" stopIfTrue="1" operator="equal">
      <formula>"Towel"</formula>
    </cfRule>
    <cfRule type="cellIs" dxfId="28038" priority="13429" stopIfTrue="1" operator="equal">
      <formula>"Napkin Hs"</formula>
    </cfRule>
    <cfRule type="cellIs" dxfId="28037" priority="13434" stopIfTrue="1" operator="equal">
      <formula>"Towel"</formula>
    </cfRule>
    <cfRule type="cellIs" dxfId="28036" priority="13435" stopIfTrue="1" operator="equal">
      <formula>"Napkin Hs"</formula>
    </cfRule>
    <cfRule type="cellIs" dxfId="28035" priority="13436" stopIfTrue="1" operator="equal">
      <formula>"Towel"</formula>
    </cfRule>
    <cfRule type="cellIs" dxfId="28034" priority="13437" stopIfTrue="1" operator="equal">
      <formula>"Napkin Hs"</formula>
    </cfRule>
    <cfRule type="cellIs" dxfId="28033" priority="13442" stopIfTrue="1" operator="equal">
      <formula>"Towel"</formula>
    </cfRule>
    <cfRule type="cellIs" dxfId="28032" priority="13443" stopIfTrue="1" operator="equal">
      <formula>"Napkin Hs"</formula>
    </cfRule>
    <cfRule type="cellIs" dxfId="28031" priority="13452" stopIfTrue="1" operator="equal">
      <formula>"Towel"</formula>
    </cfRule>
    <cfRule type="cellIs" dxfId="28030" priority="13453" stopIfTrue="1" operator="equal">
      <formula>"Napkin Hs"</formula>
    </cfRule>
    <cfRule type="cellIs" dxfId="28029" priority="13454" stopIfTrue="1" operator="equal">
      <formula>"Towel"</formula>
    </cfRule>
    <cfRule type="cellIs" dxfId="28028" priority="13455" stopIfTrue="1" operator="equal">
      <formula>"Napkin Hs"</formula>
    </cfRule>
    <cfRule type="cellIs" dxfId="28027" priority="13460" stopIfTrue="1" operator="equal">
      <formula>"Towel"</formula>
    </cfRule>
    <cfRule type="cellIs" dxfId="28026" priority="13461" stopIfTrue="1" operator="equal">
      <formula>"Napkin Hs"</formula>
    </cfRule>
    <cfRule type="cellIs" dxfId="28025" priority="13470" stopIfTrue="1" operator="equal">
      <formula>"Towel"</formula>
    </cfRule>
    <cfRule type="cellIs" dxfId="28024" priority="13471" stopIfTrue="1" operator="equal">
      <formula>"Napkin Hs"</formula>
    </cfRule>
    <cfRule type="cellIs" dxfId="28023" priority="13472" stopIfTrue="1" operator="equal">
      <formula>"Towel"</formula>
    </cfRule>
    <cfRule type="cellIs" dxfId="28022" priority="13473" stopIfTrue="1" operator="equal">
      <formula>"Napkin Hs"</formula>
    </cfRule>
    <cfRule type="cellIs" dxfId="28021" priority="13479" stopIfTrue="1" operator="equal">
      <formula>"Napkin Hs"</formula>
    </cfRule>
  </conditionalFormatting>
  <conditionalFormatting sqref="B52:C52">
    <cfRule type="cellIs" dxfId="28020" priority="13478" stopIfTrue="1" operator="equal">
      <formula>"Towel"</formula>
    </cfRule>
  </conditionalFormatting>
  <conditionalFormatting sqref="C52">
    <cfRule type="cellIs" dxfId="28019" priority="13389" stopIfTrue="1" operator="equal">
      <formula>"Napkin Hs"</formula>
    </cfRule>
    <cfRule type="cellIs" dxfId="28018" priority="13390" stopIfTrue="1" operator="equal">
      <formula>"Towel"</formula>
    </cfRule>
    <cfRule type="cellIs" dxfId="28017" priority="13391" stopIfTrue="1" operator="equal">
      <formula>"Napkin Hs"</formula>
    </cfRule>
    <cfRule type="cellIs" dxfId="28016" priority="13392" stopIfTrue="1" operator="equal">
      <formula>"Towel"</formula>
    </cfRule>
    <cfRule type="cellIs" dxfId="28015" priority="13393" stopIfTrue="1" operator="equal">
      <formula>"Napkin Hs"</formula>
    </cfRule>
    <cfRule type="cellIs" dxfId="28014" priority="13394" stopIfTrue="1" operator="equal">
      <formula>"Towel"</formula>
    </cfRule>
    <cfRule type="cellIs" dxfId="28013" priority="13395" stopIfTrue="1" operator="equal">
      <formula>"Napkin Hs"</formula>
    </cfRule>
    <cfRule type="cellIs" dxfId="28012" priority="13396" stopIfTrue="1" operator="equal">
      <formula>"Towel"</formula>
    </cfRule>
    <cfRule type="cellIs" dxfId="28011" priority="13397" stopIfTrue="1" operator="equal">
      <formula>"Napkin Hs"</formula>
    </cfRule>
    <cfRule type="cellIs" dxfId="28010" priority="13400" stopIfTrue="1" operator="equal">
      <formula>"Towel"</formula>
    </cfRule>
    <cfRule type="cellIs" dxfId="28009" priority="13401" stopIfTrue="1" operator="equal">
      <formula>"Napkin Hs"</formula>
    </cfRule>
    <cfRule type="cellIs" dxfId="28008" priority="13402" stopIfTrue="1" operator="equal">
      <formula>"Towel"</formula>
    </cfRule>
    <cfRule type="cellIs" dxfId="28007" priority="13403" stopIfTrue="1" operator="equal">
      <formula>"Napkin Hs"</formula>
    </cfRule>
    <cfRule type="cellIs" dxfId="28006" priority="13406" stopIfTrue="1" operator="equal">
      <formula>"Towel"</formula>
    </cfRule>
    <cfRule type="cellIs" dxfId="28005" priority="13407" stopIfTrue="1" operator="equal">
      <formula>"Napkin Hs"</formula>
    </cfRule>
    <cfRule type="cellIs" dxfId="28004" priority="13408" stopIfTrue="1" operator="equal">
      <formula>"Towel"</formula>
    </cfRule>
    <cfRule type="cellIs" dxfId="28003" priority="13409" stopIfTrue="1" operator="equal">
      <formula>"Napkin Hs"</formula>
    </cfRule>
    <cfRule type="cellIs" dxfId="28002" priority="13414" stopIfTrue="1" operator="equal">
      <formula>"Towel"</formula>
    </cfRule>
    <cfRule type="cellIs" dxfId="28001" priority="13415" stopIfTrue="1" operator="equal">
      <formula>"Napkin Hs"</formula>
    </cfRule>
    <cfRule type="cellIs" dxfId="28000" priority="13416" stopIfTrue="1" operator="equal">
      <formula>"Towel"</formula>
    </cfRule>
    <cfRule type="cellIs" dxfId="27999" priority="13417" stopIfTrue="1" operator="equal">
      <formula>"Napkin Hs"</formula>
    </cfRule>
    <cfRule type="cellIs" dxfId="27998" priority="13420" stopIfTrue="1" operator="equal">
      <formula>"Towel"</formula>
    </cfRule>
    <cfRule type="cellIs" dxfId="27997" priority="13421" stopIfTrue="1" operator="equal">
      <formula>"Napkin Hs"</formula>
    </cfRule>
    <cfRule type="cellIs" dxfId="27996" priority="13422" stopIfTrue="1" operator="equal">
      <formula>"Towel"</formula>
    </cfRule>
    <cfRule type="cellIs" dxfId="27995" priority="13423" stopIfTrue="1" operator="equal">
      <formula>"Napkin Hs"</formula>
    </cfRule>
    <cfRule type="cellIs" dxfId="27994" priority="13424" stopIfTrue="1" operator="equal">
      <formula>"Towel"</formula>
    </cfRule>
    <cfRule type="cellIs" dxfId="27993" priority="13425" stopIfTrue="1" operator="equal">
      <formula>"Napkin Hs"</formula>
    </cfRule>
    <cfRule type="cellIs" dxfId="27992" priority="13426" stopIfTrue="1" operator="equal">
      <formula>"Towel"</formula>
    </cfRule>
    <cfRule type="cellIs" dxfId="27991" priority="13427" stopIfTrue="1" operator="equal">
      <formula>"Napkin Hs"</formula>
    </cfRule>
    <cfRule type="cellIs" dxfId="27990" priority="13430" stopIfTrue="1" operator="equal">
      <formula>"Towel"</formula>
    </cfRule>
    <cfRule type="cellIs" dxfId="27989" priority="13431" stopIfTrue="1" operator="equal">
      <formula>"Napkin Hs"</formula>
    </cfRule>
    <cfRule type="cellIs" dxfId="27988" priority="13432" stopIfTrue="1" operator="equal">
      <formula>"Towel"</formula>
    </cfRule>
    <cfRule type="cellIs" dxfId="27987" priority="13433" stopIfTrue="1" operator="equal">
      <formula>"Napkin Hs"</formula>
    </cfRule>
    <cfRule type="cellIs" dxfId="27986" priority="13438" stopIfTrue="1" operator="equal">
      <formula>"Towel"</formula>
    </cfRule>
    <cfRule type="cellIs" dxfId="27985" priority="13439" stopIfTrue="1" operator="equal">
      <formula>"Napkin Hs"</formula>
    </cfRule>
    <cfRule type="cellIs" dxfId="27984" priority="13440" stopIfTrue="1" operator="equal">
      <formula>"Towel"</formula>
    </cfRule>
    <cfRule type="cellIs" dxfId="27983" priority="13441" stopIfTrue="1" operator="equal">
      <formula>"Napkin Hs"</formula>
    </cfRule>
    <cfRule type="cellIs" dxfId="27982" priority="13444" stopIfTrue="1" operator="equal">
      <formula>"Towel"</formula>
    </cfRule>
    <cfRule type="cellIs" dxfId="27981" priority="13445" stopIfTrue="1" operator="equal">
      <formula>"Napkin Hs"</formula>
    </cfRule>
    <cfRule type="cellIs" dxfId="27980" priority="13446" stopIfTrue="1" operator="equal">
      <formula>"Towel"</formula>
    </cfRule>
    <cfRule type="cellIs" dxfId="27979" priority="13447" stopIfTrue="1" operator="equal">
      <formula>"Napkin Hs"</formula>
    </cfRule>
    <cfRule type="cellIs" dxfId="27978" priority="13448" stopIfTrue="1" operator="equal">
      <formula>"Towel"</formula>
    </cfRule>
    <cfRule type="cellIs" dxfId="27977" priority="13449" stopIfTrue="1" operator="equal">
      <formula>"Napkin Hs"</formula>
    </cfRule>
    <cfRule type="cellIs" dxfId="27976" priority="13450" stopIfTrue="1" operator="equal">
      <formula>"Towel"</formula>
    </cfRule>
    <cfRule type="cellIs" dxfId="27975" priority="13451" stopIfTrue="1" operator="equal">
      <formula>"Napkin Hs"</formula>
    </cfRule>
    <cfRule type="cellIs" dxfId="27974" priority="13456" stopIfTrue="1" operator="equal">
      <formula>"Towel"</formula>
    </cfRule>
    <cfRule type="cellIs" dxfId="27973" priority="13457" stopIfTrue="1" operator="equal">
      <formula>"Napkin Hs"</formula>
    </cfRule>
    <cfRule type="cellIs" dxfId="27972" priority="13458" stopIfTrue="1" operator="equal">
      <formula>"Towel"</formula>
    </cfRule>
    <cfRule type="cellIs" dxfId="27971" priority="13459" stopIfTrue="1" operator="equal">
      <formula>"Napkin Hs"</formula>
    </cfRule>
    <cfRule type="cellIs" dxfId="27970" priority="13462" stopIfTrue="1" operator="equal">
      <formula>"Towel"</formula>
    </cfRule>
    <cfRule type="cellIs" dxfId="27969" priority="13463" stopIfTrue="1" operator="equal">
      <formula>"Napkin Hs"</formula>
    </cfRule>
    <cfRule type="cellIs" dxfId="27968" priority="13464" stopIfTrue="1" operator="equal">
      <formula>"Towel"</formula>
    </cfRule>
    <cfRule type="cellIs" dxfId="27967" priority="13465" stopIfTrue="1" operator="equal">
      <formula>"Napkin Hs"</formula>
    </cfRule>
    <cfRule type="cellIs" dxfId="27966" priority="13466" stopIfTrue="1" operator="equal">
      <formula>"Towel"</formula>
    </cfRule>
    <cfRule type="cellIs" dxfId="27965" priority="13467" stopIfTrue="1" operator="equal">
      <formula>"Napkin Hs"</formula>
    </cfRule>
    <cfRule type="cellIs" dxfId="27964" priority="13468" stopIfTrue="1" operator="equal">
      <formula>"Towel"</formula>
    </cfRule>
    <cfRule type="cellIs" dxfId="27963" priority="13469" stopIfTrue="1" operator="equal">
      <formula>"Napkin Hs"</formula>
    </cfRule>
    <cfRule type="cellIs" dxfId="27962" priority="13474" stopIfTrue="1" operator="equal">
      <formula>"Towel"</formula>
    </cfRule>
    <cfRule type="cellIs" dxfId="27961" priority="13475" stopIfTrue="1" operator="equal">
      <formula>"Napkin Hs"</formula>
    </cfRule>
    <cfRule type="cellIs" dxfId="27960" priority="13476" stopIfTrue="1" operator="equal">
      <formula>"Towel"</formula>
    </cfRule>
    <cfRule type="cellIs" dxfId="27959" priority="13477" stopIfTrue="1" operator="equal">
      <formula>"Napkin Hs"</formula>
    </cfRule>
    <cfRule type="cellIs" dxfId="27958" priority="13480" stopIfTrue="1" operator="equal">
      <formula>"Towel"</formula>
    </cfRule>
    <cfRule type="cellIs" dxfId="27957" priority="13481" stopIfTrue="1" operator="equal">
      <formula>"Napkin Hs"</formula>
    </cfRule>
    <cfRule type="cellIs" dxfId="27956" priority="13482" stopIfTrue="1" operator="equal">
      <formula>"Towel"</formula>
    </cfRule>
    <cfRule type="cellIs" dxfId="27955" priority="13483" stopIfTrue="1" operator="equal">
      <formula>"Napkin Hs"</formula>
    </cfRule>
  </conditionalFormatting>
  <conditionalFormatting sqref="C52">
    <cfRule type="cellIs" dxfId="27954" priority="13386" stopIfTrue="1" operator="equal">
      <formula>"Napkin Hs"</formula>
    </cfRule>
  </conditionalFormatting>
  <conditionalFormatting sqref="C52">
    <cfRule type="cellIs" dxfId="27953" priority="13385" stopIfTrue="1" operator="equal">
      <formula>"Napkin Hs"</formula>
    </cfRule>
  </conditionalFormatting>
  <conditionalFormatting sqref="B52">
    <cfRule type="cellIs" dxfId="27952" priority="13384" stopIfTrue="1" operator="equal">
      <formula>"Napkin Hs"</formula>
    </cfRule>
  </conditionalFormatting>
  <conditionalFormatting sqref="C52">
    <cfRule type="cellIs" dxfId="27951" priority="13383" stopIfTrue="1" operator="equal">
      <formula>"Napkin Hs"</formula>
    </cfRule>
  </conditionalFormatting>
  <conditionalFormatting sqref="C52">
    <cfRule type="cellIs" dxfId="27950" priority="13382" stopIfTrue="1" operator="equal">
      <formula>"Napkin Hs"</formula>
    </cfRule>
  </conditionalFormatting>
  <conditionalFormatting sqref="C52">
    <cfRule type="cellIs" dxfId="27949" priority="13381" stopIfTrue="1" operator="equal">
      <formula>"Napkin Hs"</formula>
    </cfRule>
  </conditionalFormatting>
  <conditionalFormatting sqref="C52">
    <cfRule type="cellIs" dxfId="27948" priority="13380" stopIfTrue="1" operator="equal">
      <formula>"Napkin Hs"</formula>
    </cfRule>
  </conditionalFormatting>
  <conditionalFormatting sqref="B52">
    <cfRule type="cellIs" dxfId="27947" priority="13379" stopIfTrue="1" operator="equal">
      <formula>"Napkin Hs"</formula>
    </cfRule>
  </conditionalFormatting>
  <conditionalFormatting sqref="B52">
    <cfRule type="cellIs" dxfId="27946" priority="13378" stopIfTrue="1" operator="equal">
      <formula>"Napkin Hs"</formula>
    </cfRule>
  </conditionalFormatting>
  <conditionalFormatting sqref="C52">
    <cfRule type="cellIs" dxfId="27945" priority="13374" stopIfTrue="1" operator="equal">
      <formula>"Towel"</formula>
    </cfRule>
    <cfRule type="cellIs" dxfId="27944" priority="13375" stopIfTrue="1" operator="equal">
      <formula>"Napkin Hs"</formula>
    </cfRule>
  </conditionalFormatting>
  <conditionalFormatting sqref="C52">
    <cfRule type="cellIs" dxfId="27943" priority="13376" stopIfTrue="1" operator="equal">
      <formula>"Towel"</formula>
    </cfRule>
    <cfRule type="cellIs" dxfId="27942" priority="13377" stopIfTrue="1" operator="equal">
      <formula>"Napkin Hs"</formula>
    </cfRule>
  </conditionalFormatting>
  <conditionalFormatting sqref="C52">
    <cfRule type="cellIs" dxfId="27941" priority="13370" stopIfTrue="1" operator="equal">
      <formula>"Towel"</formula>
    </cfRule>
    <cfRule type="cellIs" dxfId="27940" priority="13371" stopIfTrue="1" operator="equal">
      <formula>"Napkin Hs"</formula>
    </cfRule>
  </conditionalFormatting>
  <conditionalFormatting sqref="C52">
    <cfRule type="cellIs" dxfId="27939" priority="13372" stopIfTrue="1" operator="equal">
      <formula>"Towel"</formula>
    </cfRule>
    <cfRule type="cellIs" dxfId="27938" priority="13373" stopIfTrue="1" operator="equal">
      <formula>"Napkin Hs"</formula>
    </cfRule>
  </conditionalFormatting>
  <conditionalFormatting sqref="C58:C60">
    <cfRule type="cellIs" dxfId="27937" priority="13360" stopIfTrue="1" operator="equal">
      <formula>"Towel"</formula>
    </cfRule>
    <cfRule type="cellIs" dxfId="27936" priority="13361" stopIfTrue="1" operator="equal">
      <formula>"Napkin Hs"</formula>
    </cfRule>
  </conditionalFormatting>
  <conditionalFormatting sqref="C58:C60">
    <cfRule type="cellIs" dxfId="27935" priority="13362" stopIfTrue="1" operator="equal">
      <formula>"Towel"</formula>
    </cfRule>
    <cfRule type="cellIs" dxfId="27934" priority="13363" stopIfTrue="1" operator="equal">
      <formula>"Napkin Hs"</formula>
    </cfRule>
  </conditionalFormatting>
  <conditionalFormatting sqref="C58:C60">
    <cfRule type="cellIs" dxfId="27933" priority="13358" stopIfTrue="1" operator="equal">
      <formula>"Towel"</formula>
    </cfRule>
    <cfRule type="cellIs" dxfId="27932" priority="13359" stopIfTrue="1" operator="equal">
      <formula>"Napkin Hs"</formula>
    </cfRule>
  </conditionalFormatting>
  <conditionalFormatting sqref="B59:B60">
    <cfRule type="cellIs" dxfId="27931" priority="13356" stopIfTrue="1" operator="equal">
      <formula>"Towel"</formula>
    </cfRule>
    <cfRule type="cellIs" dxfId="27930" priority="13357" stopIfTrue="1" operator="equal">
      <formula>"Napkin Hs"</formula>
    </cfRule>
  </conditionalFormatting>
  <conditionalFormatting sqref="C58:C60">
    <cfRule type="cellIs" dxfId="27929" priority="13350" stopIfTrue="1" operator="equal">
      <formula>"Towel"</formula>
    </cfRule>
    <cfRule type="cellIs" dxfId="27928" priority="13351" stopIfTrue="1" operator="equal">
      <formula>"Napkin Hs"</formula>
    </cfRule>
  </conditionalFormatting>
  <conditionalFormatting sqref="C58:C60">
    <cfRule type="cellIs" dxfId="27927" priority="13354" stopIfTrue="1" operator="equal">
      <formula>"Towel"</formula>
    </cfRule>
    <cfRule type="cellIs" dxfId="27926" priority="13355" stopIfTrue="1" operator="equal">
      <formula>"Napkin Hs"</formula>
    </cfRule>
  </conditionalFormatting>
  <conditionalFormatting sqref="C58:C60">
    <cfRule type="cellIs" dxfId="27925" priority="13352" stopIfTrue="1" operator="equal">
      <formula>"Towel"</formula>
    </cfRule>
    <cfRule type="cellIs" dxfId="27924" priority="13353" stopIfTrue="1" operator="equal">
      <formula>"Napkin Hs"</formula>
    </cfRule>
  </conditionalFormatting>
  <conditionalFormatting sqref="C58:C60">
    <cfRule type="cellIs" dxfId="27923" priority="13344" stopIfTrue="1" operator="equal">
      <formula>"Towel"</formula>
    </cfRule>
    <cfRule type="cellIs" dxfId="27922" priority="13345" stopIfTrue="1" operator="equal">
      <formula>"Napkin Hs"</formula>
    </cfRule>
  </conditionalFormatting>
  <conditionalFormatting sqref="C58:C60">
    <cfRule type="cellIs" dxfId="27921" priority="13346" stopIfTrue="1" operator="equal">
      <formula>"Towel"</formula>
    </cfRule>
    <cfRule type="cellIs" dxfId="27920" priority="13347" stopIfTrue="1" operator="equal">
      <formula>"Napkin Hs"</formula>
    </cfRule>
  </conditionalFormatting>
  <conditionalFormatting sqref="C58:C60">
    <cfRule type="cellIs" dxfId="27919" priority="13348" stopIfTrue="1" operator="equal">
      <formula>"Towel"</formula>
    </cfRule>
    <cfRule type="cellIs" dxfId="27918" priority="13349" stopIfTrue="1" operator="equal">
      <formula>"Napkin Hs"</formula>
    </cfRule>
  </conditionalFormatting>
  <conditionalFormatting sqref="B59:C60 C58">
    <cfRule type="cellIs" dxfId="27917" priority="13342" stopIfTrue="1" operator="equal">
      <formula>"Towel"</formula>
    </cfRule>
    <cfRule type="cellIs" dxfId="27916" priority="13343" stopIfTrue="1" operator="equal">
      <formula>"Napkin Hs"</formula>
    </cfRule>
  </conditionalFormatting>
  <conditionalFormatting sqref="B59:C60 C58">
    <cfRule type="cellIs" dxfId="27915" priority="13340" stopIfTrue="1" operator="equal">
      <formula>"Towel"</formula>
    </cfRule>
    <cfRule type="cellIs" dxfId="27914" priority="13341" stopIfTrue="1" operator="equal">
      <formula>"Napkin Hs"</formula>
    </cfRule>
  </conditionalFormatting>
  <conditionalFormatting sqref="B59:C60 C58">
    <cfRule type="cellIs" dxfId="27913" priority="13316" stopIfTrue="1" operator="equal">
      <formula>"Towel"</formula>
    </cfRule>
  </conditionalFormatting>
  <conditionalFormatting sqref="B59:C60 C58">
    <cfRule type="cellIs" dxfId="27912" priority="13317" stopIfTrue="1" operator="equal">
      <formula>"Napkin Hs"</formula>
    </cfRule>
    <cfRule type="cellIs" dxfId="27911" priority="13322" stopIfTrue="1" operator="equal">
      <formula>"Towel"</formula>
    </cfRule>
    <cfRule type="cellIs" dxfId="27910" priority="13323" stopIfTrue="1" operator="equal">
      <formula>"Napkin Hs"</formula>
    </cfRule>
    <cfRule type="cellIs" dxfId="27909" priority="13332" stopIfTrue="1" operator="equal">
      <formula>"Towel"</formula>
    </cfRule>
    <cfRule type="cellIs" dxfId="27908" priority="13333" stopIfTrue="1" operator="equal">
      <formula>"Napkin Hs"</formula>
    </cfRule>
    <cfRule type="cellIs" dxfId="27907" priority="13338" stopIfTrue="1" operator="equal">
      <formula>"Towel"</formula>
    </cfRule>
    <cfRule type="cellIs" dxfId="27906" priority="13339" stopIfTrue="1" operator="equal">
      <formula>"Napkin Hs"</formula>
    </cfRule>
  </conditionalFormatting>
  <conditionalFormatting sqref="C58:C60">
    <cfRule type="cellIs" dxfId="27905" priority="13318" stopIfTrue="1" operator="equal">
      <formula>"Towel"</formula>
    </cfRule>
    <cfRule type="cellIs" dxfId="27904" priority="13319" stopIfTrue="1" operator="equal">
      <formula>"Napkin Hs"</formula>
    </cfRule>
    <cfRule type="cellIs" dxfId="27903" priority="13320" stopIfTrue="1" operator="equal">
      <formula>"Towel"</formula>
    </cfRule>
    <cfRule type="cellIs" dxfId="27902" priority="13321" stopIfTrue="1" operator="equal">
      <formula>"Napkin Hs"</formula>
    </cfRule>
    <cfRule type="cellIs" dxfId="27901" priority="13324" stopIfTrue="1" operator="equal">
      <formula>"Towel"</formula>
    </cfRule>
    <cfRule type="cellIs" dxfId="27900" priority="13325" stopIfTrue="1" operator="equal">
      <formula>"Napkin Hs"</formula>
    </cfRule>
    <cfRule type="cellIs" dxfId="27899" priority="13326" stopIfTrue="1" operator="equal">
      <formula>"Towel"</formula>
    </cfRule>
    <cfRule type="cellIs" dxfId="27898" priority="13327" stopIfTrue="1" operator="equal">
      <formula>"Napkin Hs"</formula>
    </cfRule>
    <cfRule type="cellIs" dxfId="27897" priority="13328" stopIfTrue="1" operator="equal">
      <formula>"Towel"</formula>
    </cfRule>
    <cfRule type="cellIs" dxfId="27896" priority="13329" stopIfTrue="1" operator="equal">
      <formula>"Napkin Hs"</formula>
    </cfRule>
    <cfRule type="cellIs" dxfId="27895" priority="13330" stopIfTrue="1" operator="equal">
      <formula>"Towel"</formula>
    </cfRule>
    <cfRule type="cellIs" dxfId="27894" priority="13331" stopIfTrue="1" operator="equal">
      <formula>"Napkin Hs"</formula>
    </cfRule>
    <cfRule type="cellIs" dxfId="27893" priority="13334" stopIfTrue="1" operator="equal">
      <formula>"Towel"</formula>
    </cfRule>
    <cfRule type="cellIs" dxfId="27892" priority="13335" stopIfTrue="1" operator="equal">
      <formula>"Napkin Hs"</formula>
    </cfRule>
    <cfRule type="cellIs" dxfId="27891" priority="13337" stopIfTrue="1" operator="equal">
      <formula>"Napkin Hs"</formula>
    </cfRule>
  </conditionalFormatting>
  <conditionalFormatting sqref="C58:C60">
    <cfRule type="cellIs" dxfId="27890" priority="13336" stopIfTrue="1" operator="equal">
      <formula>"Towel"</formula>
    </cfRule>
  </conditionalFormatting>
  <conditionalFormatting sqref="B59:C60 C58">
    <cfRule type="cellIs" dxfId="27889" priority="13314" stopIfTrue="1" operator="equal">
      <formula>"Towel"</formula>
    </cfRule>
    <cfRule type="cellIs" dxfId="27888" priority="13315" stopIfTrue="1" operator="equal">
      <formula>"Napkin Hs"</formula>
    </cfRule>
  </conditionalFormatting>
  <conditionalFormatting sqref="C58:C60">
    <cfRule type="cellIs" dxfId="27887" priority="13313" stopIfTrue="1" operator="equal">
      <formula>"Napkin Hs"</formula>
    </cfRule>
  </conditionalFormatting>
  <conditionalFormatting sqref="C58:C60">
    <cfRule type="cellIs" dxfId="27886" priority="13312" stopIfTrue="1" operator="equal">
      <formula>"Towel"</formula>
    </cfRule>
  </conditionalFormatting>
  <conditionalFormatting sqref="C58:C60">
    <cfRule type="cellIs" dxfId="27885" priority="13310" stopIfTrue="1" operator="equal">
      <formula>"Towel"</formula>
    </cfRule>
  </conditionalFormatting>
  <conditionalFormatting sqref="C58:C60">
    <cfRule type="cellIs" dxfId="27884" priority="13311" stopIfTrue="1" operator="equal">
      <formula>"Napkin Hs"</formula>
    </cfRule>
  </conditionalFormatting>
  <conditionalFormatting sqref="B59:B60">
    <cfRule type="cellIs" dxfId="27883" priority="13214" stopIfTrue="1" operator="equal">
      <formula>"Napkin Hs"</formula>
    </cfRule>
  </conditionalFormatting>
  <conditionalFormatting sqref="B59:C60 C58">
    <cfRule type="cellIs" dxfId="27882" priority="13213" stopIfTrue="1" operator="equal">
      <formula>"Towel"</formula>
    </cfRule>
  </conditionalFormatting>
  <conditionalFormatting sqref="B59:C60 C58">
    <cfRule type="cellIs" dxfId="27881" priority="13224" stopIfTrue="1" operator="equal">
      <formula>"Towel"</formula>
    </cfRule>
    <cfRule type="cellIs" dxfId="27880" priority="13225" stopIfTrue="1" operator="equal">
      <formula>"Napkin Hs"</formula>
    </cfRule>
    <cfRule type="cellIs" dxfId="27879" priority="13230" stopIfTrue="1" operator="equal">
      <formula>"Towel"</formula>
    </cfRule>
    <cfRule type="cellIs" dxfId="27878" priority="13231" stopIfTrue="1" operator="equal">
      <formula>"Napkin Hs"</formula>
    </cfRule>
    <cfRule type="cellIs" dxfId="27877" priority="13236" stopIfTrue="1" operator="equal">
      <formula>"Towel"</formula>
    </cfRule>
    <cfRule type="cellIs" dxfId="27876" priority="13237" stopIfTrue="1" operator="equal">
      <formula>"Napkin Hs"</formula>
    </cfRule>
    <cfRule type="cellIs" dxfId="27875" priority="13238" stopIfTrue="1" operator="equal">
      <formula>"Towel"</formula>
    </cfRule>
    <cfRule type="cellIs" dxfId="27874" priority="13239" stopIfTrue="1" operator="equal">
      <formula>"Napkin Hs"</formula>
    </cfRule>
    <cfRule type="cellIs" dxfId="27873" priority="13244" stopIfTrue="1" operator="equal">
      <formula>"Towel"</formula>
    </cfRule>
    <cfRule type="cellIs" dxfId="27872" priority="13245" stopIfTrue="1" operator="equal">
      <formula>"Napkin Hs"</formula>
    </cfRule>
    <cfRule type="cellIs" dxfId="27871" priority="13254" stopIfTrue="1" operator="equal">
      <formula>"Towel"</formula>
    </cfRule>
    <cfRule type="cellIs" dxfId="27870" priority="13255" stopIfTrue="1" operator="equal">
      <formula>"Napkin Hs"</formula>
    </cfRule>
    <cfRule type="cellIs" dxfId="27869" priority="13260" stopIfTrue="1" operator="equal">
      <formula>"Towel"</formula>
    </cfRule>
    <cfRule type="cellIs" dxfId="27868" priority="13261" stopIfTrue="1" operator="equal">
      <formula>"Napkin Hs"</formula>
    </cfRule>
    <cfRule type="cellIs" dxfId="27867" priority="13262" stopIfTrue="1" operator="equal">
      <formula>"Towel"</formula>
    </cfRule>
    <cfRule type="cellIs" dxfId="27866" priority="13263" stopIfTrue="1" operator="equal">
      <formula>"Napkin Hs"</formula>
    </cfRule>
    <cfRule type="cellIs" dxfId="27865" priority="13268" stopIfTrue="1" operator="equal">
      <formula>"Towel"</formula>
    </cfRule>
    <cfRule type="cellIs" dxfId="27864" priority="13269" stopIfTrue="1" operator="equal">
      <formula>"Napkin Hs"</formula>
    </cfRule>
    <cfRule type="cellIs" dxfId="27863" priority="13278" stopIfTrue="1" operator="equal">
      <formula>"Towel"</formula>
    </cfRule>
    <cfRule type="cellIs" dxfId="27862" priority="13279" stopIfTrue="1" operator="equal">
      <formula>"Napkin Hs"</formula>
    </cfRule>
    <cfRule type="cellIs" dxfId="27861" priority="13280" stopIfTrue="1" operator="equal">
      <formula>"Towel"</formula>
    </cfRule>
    <cfRule type="cellIs" dxfId="27860" priority="13281" stopIfTrue="1" operator="equal">
      <formula>"Napkin Hs"</formula>
    </cfRule>
    <cfRule type="cellIs" dxfId="27859" priority="13286" stopIfTrue="1" operator="equal">
      <formula>"Towel"</formula>
    </cfRule>
    <cfRule type="cellIs" dxfId="27858" priority="13287" stopIfTrue="1" operator="equal">
      <formula>"Napkin Hs"</formula>
    </cfRule>
    <cfRule type="cellIs" dxfId="27857" priority="13296" stopIfTrue="1" operator="equal">
      <formula>"Towel"</formula>
    </cfRule>
    <cfRule type="cellIs" dxfId="27856" priority="13297" stopIfTrue="1" operator="equal">
      <formula>"Napkin Hs"</formula>
    </cfRule>
    <cfRule type="cellIs" dxfId="27855" priority="13298" stopIfTrue="1" operator="equal">
      <formula>"Towel"</formula>
    </cfRule>
    <cfRule type="cellIs" dxfId="27854" priority="13299" stopIfTrue="1" operator="equal">
      <formula>"Napkin Hs"</formula>
    </cfRule>
    <cfRule type="cellIs" dxfId="27853" priority="13305" stopIfTrue="1" operator="equal">
      <formula>"Napkin Hs"</formula>
    </cfRule>
  </conditionalFormatting>
  <conditionalFormatting sqref="B59:C60 C58">
    <cfRule type="cellIs" dxfId="27852" priority="13304" stopIfTrue="1" operator="equal">
      <formula>"Towel"</formula>
    </cfRule>
  </conditionalFormatting>
  <conditionalFormatting sqref="C58:C60">
    <cfRule type="cellIs" dxfId="27851" priority="13215" stopIfTrue="1" operator="equal">
      <formula>"Napkin Hs"</formula>
    </cfRule>
    <cfRule type="cellIs" dxfId="27850" priority="13216" stopIfTrue="1" operator="equal">
      <formula>"Towel"</formula>
    </cfRule>
    <cfRule type="cellIs" dxfId="27849" priority="13217" stopIfTrue="1" operator="equal">
      <formula>"Napkin Hs"</formula>
    </cfRule>
    <cfRule type="cellIs" dxfId="27848" priority="13218" stopIfTrue="1" operator="equal">
      <formula>"Towel"</formula>
    </cfRule>
    <cfRule type="cellIs" dxfId="27847" priority="13219" stopIfTrue="1" operator="equal">
      <formula>"Napkin Hs"</formula>
    </cfRule>
    <cfRule type="cellIs" dxfId="27846" priority="13220" stopIfTrue="1" operator="equal">
      <formula>"Towel"</formula>
    </cfRule>
    <cfRule type="cellIs" dxfId="27845" priority="13221" stopIfTrue="1" operator="equal">
      <formula>"Napkin Hs"</formula>
    </cfRule>
    <cfRule type="cellIs" dxfId="27844" priority="13222" stopIfTrue="1" operator="equal">
      <formula>"Towel"</formula>
    </cfRule>
    <cfRule type="cellIs" dxfId="27843" priority="13223" stopIfTrue="1" operator="equal">
      <formula>"Napkin Hs"</formula>
    </cfRule>
    <cfRule type="cellIs" dxfId="27842" priority="13226" stopIfTrue="1" operator="equal">
      <formula>"Towel"</formula>
    </cfRule>
    <cfRule type="cellIs" dxfId="27841" priority="13227" stopIfTrue="1" operator="equal">
      <formula>"Napkin Hs"</formula>
    </cfRule>
    <cfRule type="cellIs" dxfId="27840" priority="13228" stopIfTrue="1" operator="equal">
      <formula>"Towel"</formula>
    </cfRule>
    <cfRule type="cellIs" dxfId="27839" priority="13229" stopIfTrue="1" operator="equal">
      <formula>"Napkin Hs"</formula>
    </cfRule>
    <cfRule type="cellIs" dxfId="27838" priority="13232" stopIfTrue="1" operator="equal">
      <formula>"Towel"</formula>
    </cfRule>
    <cfRule type="cellIs" dxfId="27837" priority="13233" stopIfTrue="1" operator="equal">
      <formula>"Napkin Hs"</formula>
    </cfRule>
    <cfRule type="cellIs" dxfId="27836" priority="13234" stopIfTrue="1" operator="equal">
      <formula>"Towel"</formula>
    </cfRule>
    <cfRule type="cellIs" dxfId="27835" priority="13235" stopIfTrue="1" operator="equal">
      <formula>"Napkin Hs"</formula>
    </cfRule>
    <cfRule type="cellIs" dxfId="27834" priority="13240" stopIfTrue="1" operator="equal">
      <formula>"Towel"</formula>
    </cfRule>
    <cfRule type="cellIs" dxfId="27833" priority="13241" stopIfTrue="1" operator="equal">
      <formula>"Napkin Hs"</formula>
    </cfRule>
    <cfRule type="cellIs" dxfId="27832" priority="13242" stopIfTrue="1" operator="equal">
      <formula>"Towel"</formula>
    </cfRule>
    <cfRule type="cellIs" dxfId="27831" priority="13243" stopIfTrue="1" operator="equal">
      <formula>"Napkin Hs"</formula>
    </cfRule>
    <cfRule type="cellIs" dxfId="27830" priority="13246" stopIfTrue="1" operator="equal">
      <formula>"Towel"</formula>
    </cfRule>
    <cfRule type="cellIs" dxfId="27829" priority="13247" stopIfTrue="1" operator="equal">
      <formula>"Napkin Hs"</formula>
    </cfRule>
    <cfRule type="cellIs" dxfId="27828" priority="13248" stopIfTrue="1" operator="equal">
      <formula>"Towel"</formula>
    </cfRule>
    <cfRule type="cellIs" dxfId="27827" priority="13249" stopIfTrue="1" operator="equal">
      <formula>"Napkin Hs"</formula>
    </cfRule>
    <cfRule type="cellIs" dxfId="27826" priority="13250" stopIfTrue="1" operator="equal">
      <formula>"Towel"</formula>
    </cfRule>
    <cfRule type="cellIs" dxfId="27825" priority="13251" stopIfTrue="1" operator="equal">
      <formula>"Napkin Hs"</formula>
    </cfRule>
    <cfRule type="cellIs" dxfId="27824" priority="13252" stopIfTrue="1" operator="equal">
      <formula>"Towel"</formula>
    </cfRule>
    <cfRule type="cellIs" dxfId="27823" priority="13253" stopIfTrue="1" operator="equal">
      <formula>"Napkin Hs"</formula>
    </cfRule>
    <cfRule type="cellIs" dxfId="27822" priority="13256" stopIfTrue="1" operator="equal">
      <formula>"Towel"</formula>
    </cfRule>
    <cfRule type="cellIs" dxfId="27821" priority="13257" stopIfTrue="1" operator="equal">
      <formula>"Napkin Hs"</formula>
    </cfRule>
    <cfRule type="cellIs" dxfId="27820" priority="13258" stopIfTrue="1" operator="equal">
      <formula>"Towel"</formula>
    </cfRule>
    <cfRule type="cellIs" dxfId="27819" priority="13259" stopIfTrue="1" operator="equal">
      <formula>"Napkin Hs"</formula>
    </cfRule>
    <cfRule type="cellIs" dxfId="27818" priority="13264" stopIfTrue="1" operator="equal">
      <formula>"Towel"</formula>
    </cfRule>
    <cfRule type="cellIs" dxfId="27817" priority="13265" stopIfTrue="1" operator="equal">
      <formula>"Napkin Hs"</formula>
    </cfRule>
    <cfRule type="cellIs" dxfId="27816" priority="13266" stopIfTrue="1" operator="equal">
      <formula>"Towel"</formula>
    </cfRule>
    <cfRule type="cellIs" dxfId="27815" priority="13267" stopIfTrue="1" operator="equal">
      <formula>"Napkin Hs"</formula>
    </cfRule>
    <cfRule type="cellIs" dxfId="27814" priority="13270" stopIfTrue="1" operator="equal">
      <formula>"Towel"</formula>
    </cfRule>
    <cfRule type="cellIs" dxfId="27813" priority="13271" stopIfTrue="1" operator="equal">
      <formula>"Napkin Hs"</formula>
    </cfRule>
    <cfRule type="cellIs" dxfId="27812" priority="13272" stopIfTrue="1" operator="equal">
      <formula>"Towel"</formula>
    </cfRule>
    <cfRule type="cellIs" dxfId="27811" priority="13273" stopIfTrue="1" operator="equal">
      <formula>"Napkin Hs"</formula>
    </cfRule>
    <cfRule type="cellIs" dxfId="27810" priority="13274" stopIfTrue="1" operator="equal">
      <formula>"Towel"</formula>
    </cfRule>
    <cfRule type="cellIs" dxfId="27809" priority="13275" stopIfTrue="1" operator="equal">
      <formula>"Napkin Hs"</formula>
    </cfRule>
    <cfRule type="cellIs" dxfId="27808" priority="13276" stopIfTrue="1" operator="equal">
      <formula>"Towel"</formula>
    </cfRule>
    <cfRule type="cellIs" dxfId="27807" priority="13277" stopIfTrue="1" operator="equal">
      <formula>"Napkin Hs"</formula>
    </cfRule>
    <cfRule type="cellIs" dxfId="27806" priority="13282" stopIfTrue="1" operator="equal">
      <formula>"Towel"</formula>
    </cfRule>
    <cfRule type="cellIs" dxfId="27805" priority="13283" stopIfTrue="1" operator="equal">
      <formula>"Napkin Hs"</formula>
    </cfRule>
    <cfRule type="cellIs" dxfId="27804" priority="13284" stopIfTrue="1" operator="equal">
      <formula>"Towel"</formula>
    </cfRule>
    <cfRule type="cellIs" dxfId="27803" priority="13285" stopIfTrue="1" operator="equal">
      <formula>"Napkin Hs"</formula>
    </cfRule>
    <cfRule type="cellIs" dxfId="27802" priority="13288" stopIfTrue="1" operator="equal">
      <formula>"Towel"</formula>
    </cfRule>
    <cfRule type="cellIs" dxfId="27801" priority="13289" stopIfTrue="1" operator="equal">
      <formula>"Napkin Hs"</formula>
    </cfRule>
    <cfRule type="cellIs" dxfId="27800" priority="13290" stopIfTrue="1" operator="equal">
      <formula>"Towel"</formula>
    </cfRule>
    <cfRule type="cellIs" dxfId="27799" priority="13291" stopIfTrue="1" operator="equal">
      <formula>"Napkin Hs"</formula>
    </cfRule>
    <cfRule type="cellIs" dxfId="27798" priority="13292" stopIfTrue="1" operator="equal">
      <formula>"Towel"</formula>
    </cfRule>
    <cfRule type="cellIs" dxfId="27797" priority="13293" stopIfTrue="1" operator="equal">
      <formula>"Napkin Hs"</formula>
    </cfRule>
    <cfRule type="cellIs" dxfId="27796" priority="13294" stopIfTrue="1" operator="equal">
      <formula>"Towel"</formula>
    </cfRule>
    <cfRule type="cellIs" dxfId="27795" priority="13295" stopIfTrue="1" operator="equal">
      <formula>"Napkin Hs"</formula>
    </cfRule>
    <cfRule type="cellIs" dxfId="27794" priority="13300" stopIfTrue="1" operator="equal">
      <formula>"Towel"</formula>
    </cfRule>
    <cfRule type="cellIs" dxfId="27793" priority="13301" stopIfTrue="1" operator="equal">
      <formula>"Napkin Hs"</formula>
    </cfRule>
    <cfRule type="cellIs" dxfId="27792" priority="13302" stopIfTrue="1" operator="equal">
      <formula>"Towel"</formula>
    </cfRule>
    <cfRule type="cellIs" dxfId="27791" priority="13303" stopIfTrue="1" operator="equal">
      <formula>"Napkin Hs"</formula>
    </cfRule>
    <cfRule type="cellIs" dxfId="27790" priority="13306" stopIfTrue="1" operator="equal">
      <formula>"Towel"</formula>
    </cfRule>
    <cfRule type="cellIs" dxfId="27789" priority="13307" stopIfTrue="1" operator="equal">
      <formula>"Napkin Hs"</formula>
    </cfRule>
    <cfRule type="cellIs" dxfId="27788" priority="13308" stopIfTrue="1" operator="equal">
      <formula>"Towel"</formula>
    </cfRule>
    <cfRule type="cellIs" dxfId="27787" priority="13309" stopIfTrue="1" operator="equal">
      <formula>"Napkin Hs"</formula>
    </cfRule>
  </conditionalFormatting>
  <conditionalFormatting sqref="C58:C60">
    <cfRule type="cellIs" dxfId="27786" priority="13212" stopIfTrue="1" operator="equal">
      <formula>"Napkin Hs"</formula>
    </cfRule>
  </conditionalFormatting>
  <conditionalFormatting sqref="C58:C60">
    <cfRule type="cellIs" dxfId="27785" priority="13211" stopIfTrue="1" operator="equal">
      <formula>"Napkin Hs"</formula>
    </cfRule>
  </conditionalFormatting>
  <conditionalFormatting sqref="B59:B60">
    <cfRule type="cellIs" dxfId="27784" priority="13210" stopIfTrue="1" operator="equal">
      <formula>"Napkin Hs"</formula>
    </cfRule>
  </conditionalFormatting>
  <conditionalFormatting sqref="C58:C60">
    <cfRule type="cellIs" dxfId="27783" priority="13209" stopIfTrue="1" operator="equal">
      <formula>"Napkin Hs"</formula>
    </cfRule>
  </conditionalFormatting>
  <conditionalFormatting sqref="C58:C60">
    <cfRule type="cellIs" dxfId="27782" priority="13208" stopIfTrue="1" operator="equal">
      <formula>"Napkin Hs"</formula>
    </cfRule>
  </conditionalFormatting>
  <conditionalFormatting sqref="C58:C60">
    <cfRule type="cellIs" dxfId="27781" priority="13207" stopIfTrue="1" operator="equal">
      <formula>"Napkin Hs"</formula>
    </cfRule>
  </conditionalFormatting>
  <conditionalFormatting sqref="C58:C60">
    <cfRule type="cellIs" dxfId="27780" priority="13206" stopIfTrue="1" operator="equal">
      <formula>"Napkin Hs"</formula>
    </cfRule>
  </conditionalFormatting>
  <conditionalFormatting sqref="B59:B60">
    <cfRule type="cellIs" dxfId="27779" priority="13205" stopIfTrue="1" operator="equal">
      <formula>"Napkin Hs"</formula>
    </cfRule>
  </conditionalFormatting>
  <conditionalFormatting sqref="B59:B60">
    <cfRule type="cellIs" dxfId="27778" priority="13204" stopIfTrue="1" operator="equal">
      <formula>"Napkin Hs"</formula>
    </cfRule>
  </conditionalFormatting>
  <conditionalFormatting sqref="C58:C60">
    <cfRule type="cellIs" dxfId="27777" priority="13200" stopIfTrue="1" operator="equal">
      <formula>"Towel"</formula>
    </cfRule>
    <cfRule type="cellIs" dxfId="27776" priority="13201" stopIfTrue="1" operator="equal">
      <formula>"Napkin Hs"</formula>
    </cfRule>
  </conditionalFormatting>
  <conditionalFormatting sqref="C58:C60">
    <cfRule type="cellIs" dxfId="27775" priority="13202" stopIfTrue="1" operator="equal">
      <formula>"Towel"</formula>
    </cfRule>
    <cfRule type="cellIs" dxfId="27774" priority="13203" stopIfTrue="1" operator="equal">
      <formula>"Napkin Hs"</formula>
    </cfRule>
  </conditionalFormatting>
  <conditionalFormatting sqref="C58:C60">
    <cfRule type="cellIs" dxfId="27773" priority="13196" stopIfTrue="1" operator="equal">
      <formula>"Towel"</formula>
    </cfRule>
    <cfRule type="cellIs" dxfId="27772" priority="13197" stopIfTrue="1" operator="equal">
      <formula>"Napkin Hs"</formula>
    </cfRule>
  </conditionalFormatting>
  <conditionalFormatting sqref="C58:C60">
    <cfRule type="cellIs" dxfId="27771" priority="13198" stopIfTrue="1" operator="equal">
      <formula>"Towel"</formula>
    </cfRule>
    <cfRule type="cellIs" dxfId="27770" priority="13199" stopIfTrue="1" operator="equal">
      <formula>"Napkin Hs"</formula>
    </cfRule>
  </conditionalFormatting>
  <conditionalFormatting sqref="C57">
    <cfRule type="cellIs" dxfId="27769" priority="13024" stopIfTrue="1" operator="equal">
      <formula>"Towel"</formula>
    </cfRule>
    <cfRule type="cellIs" dxfId="27768" priority="13025" stopIfTrue="1" operator="equal">
      <formula>"Napkin Hs"</formula>
    </cfRule>
  </conditionalFormatting>
  <conditionalFormatting sqref="C57">
    <cfRule type="cellIs" dxfId="27767" priority="13026" stopIfTrue="1" operator="equal">
      <formula>"Towel"</formula>
    </cfRule>
    <cfRule type="cellIs" dxfId="27766" priority="13027" stopIfTrue="1" operator="equal">
      <formula>"Napkin Hs"</formula>
    </cfRule>
  </conditionalFormatting>
  <conditionalFormatting sqref="C57">
    <cfRule type="cellIs" dxfId="27765" priority="13022" stopIfTrue="1" operator="equal">
      <formula>"Towel"</formula>
    </cfRule>
    <cfRule type="cellIs" dxfId="27764" priority="13023" stopIfTrue="1" operator="equal">
      <formula>"Napkin Hs"</formula>
    </cfRule>
  </conditionalFormatting>
  <conditionalFormatting sqref="B57">
    <cfRule type="cellIs" dxfId="27763" priority="13020" stopIfTrue="1" operator="equal">
      <formula>"Towel"</formula>
    </cfRule>
    <cfRule type="cellIs" dxfId="27762" priority="13021" stopIfTrue="1" operator="equal">
      <formula>"Napkin Hs"</formula>
    </cfRule>
  </conditionalFormatting>
  <conditionalFormatting sqref="C57">
    <cfRule type="cellIs" dxfId="27761" priority="13014" stopIfTrue="1" operator="equal">
      <formula>"Towel"</formula>
    </cfRule>
    <cfRule type="cellIs" dxfId="27760" priority="13015" stopIfTrue="1" operator="equal">
      <formula>"Napkin Hs"</formula>
    </cfRule>
  </conditionalFormatting>
  <conditionalFormatting sqref="C57">
    <cfRule type="cellIs" dxfId="27759" priority="13018" stopIfTrue="1" operator="equal">
      <formula>"Towel"</formula>
    </cfRule>
    <cfRule type="cellIs" dxfId="27758" priority="13019" stopIfTrue="1" operator="equal">
      <formula>"Napkin Hs"</formula>
    </cfRule>
  </conditionalFormatting>
  <conditionalFormatting sqref="C57">
    <cfRule type="cellIs" dxfId="27757" priority="13016" stopIfTrue="1" operator="equal">
      <formula>"Towel"</formula>
    </cfRule>
    <cfRule type="cellIs" dxfId="27756" priority="13017" stopIfTrue="1" operator="equal">
      <formula>"Napkin Hs"</formula>
    </cfRule>
  </conditionalFormatting>
  <conditionalFormatting sqref="C57">
    <cfRule type="cellIs" dxfId="27755" priority="13008" stopIfTrue="1" operator="equal">
      <formula>"Towel"</formula>
    </cfRule>
    <cfRule type="cellIs" dxfId="27754" priority="13009" stopIfTrue="1" operator="equal">
      <formula>"Napkin Hs"</formula>
    </cfRule>
  </conditionalFormatting>
  <conditionalFormatting sqref="C57">
    <cfRule type="cellIs" dxfId="27753" priority="13010" stopIfTrue="1" operator="equal">
      <formula>"Towel"</formula>
    </cfRule>
    <cfRule type="cellIs" dxfId="27752" priority="13011" stopIfTrue="1" operator="equal">
      <formula>"Napkin Hs"</formula>
    </cfRule>
  </conditionalFormatting>
  <conditionalFormatting sqref="C57">
    <cfRule type="cellIs" dxfId="27751" priority="13012" stopIfTrue="1" operator="equal">
      <formula>"Towel"</formula>
    </cfRule>
    <cfRule type="cellIs" dxfId="27750" priority="13013" stopIfTrue="1" operator="equal">
      <formula>"Napkin Hs"</formula>
    </cfRule>
  </conditionalFormatting>
  <conditionalFormatting sqref="B57:C57">
    <cfRule type="cellIs" dxfId="27749" priority="13006" stopIfTrue="1" operator="equal">
      <formula>"Towel"</formula>
    </cfRule>
    <cfRule type="cellIs" dxfId="27748" priority="13007" stopIfTrue="1" operator="equal">
      <formula>"Napkin Hs"</formula>
    </cfRule>
  </conditionalFormatting>
  <conditionalFormatting sqref="B57:C57">
    <cfRule type="cellIs" dxfId="27747" priority="13004" stopIfTrue="1" operator="equal">
      <formula>"Towel"</formula>
    </cfRule>
    <cfRule type="cellIs" dxfId="27746" priority="13005" stopIfTrue="1" operator="equal">
      <formula>"Napkin Hs"</formula>
    </cfRule>
  </conditionalFormatting>
  <conditionalFormatting sqref="B57:C57">
    <cfRule type="cellIs" dxfId="27745" priority="12980" stopIfTrue="1" operator="equal">
      <formula>"Towel"</formula>
    </cfRule>
  </conditionalFormatting>
  <conditionalFormatting sqref="B57:C57">
    <cfRule type="cellIs" dxfId="27744" priority="12981" stopIfTrue="1" operator="equal">
      <formula>"Napkin Hs"</formula>
    </cfRule>
    <cfRule type="cellIs" dxfId="27743" priority="12986" stopIfTrue="1" operator="equal">
      <formula>"Towel"</formula>
    </cfRule>
    <cfRule type="cellIs" dxfId="27742" priority="12987" stopIfTrue="1" operator="equal">
      <formula>"Napkin Hs"</formula>
    </cfRule>
    <cfRule type="cellIs" dxfId="27741" priority="12996" stopIfTrue="1" operator="equal">
      <formula>"Towel"</formula>
    </cfRule>
    <cfRule type="cellIs" dxfId="27740" priority="12997" stopIfTrue="1" operator="equal">
      <formula>"Napkin Hs"</formula>
    </cfRule>
    <cfRule type="cellIs" dxfId="27739" priority="13002" stopIfTrue="1" operator="equal">
      <formula>"Towel"</formula>
    </cfRule>
    <cfRule type="cellIs" dxfId="27738" priority="13003" stopIfTrue="1" operator="equal">
      <formula>"Napkin Hs"</formula>
    </cfRule>
  </conditionalFormatting>
  <conditionalFormatting sqref="C57">
    <cfRule type="cellIs" dxfId="27737" priority="12982" stopIfTrue="1" operator="equal">
      <formula>"Towel"</formula>
    </cfRule>
    <cfRule type="cellIs" dxfId="27736" priority="12983" stopIfTrue="1" operator="equal">
      <formula>"Napkin Hs"</formula>
    </cfRule>
    <cfRule type="cellIs" dxfId="27735" priority="12984" stopIfTrue="1" operator="equal">
      <formula>"Towel"</formula>
    </cfRule>
    <cfRule type="cellIs" dxfId="27734" priority="12985" stopIfTrue="1" operator="equal">
      <formula>"Napkin Hs"</formula>
    </cfRule>
    <cfRule type="cellIs" dxfId="27733" priority="12988" stopIfTrue="1" operator="equal">
      <formula>"Towel"</formula>
    </cfRule>
    <cfRule type="cellIs" dxfId="27732" priority="12989" stopIfTrue="1" operator="equal">
      <formula>"Napkin Hs"</formula>
    </cfRule>
    <cfRule type="cellIs" dxfId="27731" priority="12990" stopIfTrue="1" operator="equal">
      <formula>"Towel"</formula>
    </cfRule>
    <cfRule type="cellIs" dxfId="27730" priority="12991" stopIfTrue="1" operator="equal">
      <formula>"Napkin Hs"</formula>
    </cfRule>
    <cfRule type="cellIs" dxfId="27729" priority="12992" stopIfTrue="1" operator="equal">
      <formula>"Towel"</formula>
    </cfRule>
    <cfRule type="cellIs" dxfId="27728" priority="12993" stopIfTrue="1" operator="equal">
      <formula>"Napkin Hs"</formula>
    </cfRule>
    <cfRule type="cellIs" dxfId="27727" priority="12994" stopIfTrue="1" operator="equal">
      <formula>"Towel"</formula>
    </cfRule>
    <cfRule type="cellIs" dxfId="27726" priority="12995" stopIfTrue="1" operator="equal">
      <formula>"Napkin Hs"</formula>
    </cfRule>
    <cfRule type="cellIs" dxfId="27725" priority="12998" stopIfTrue="1" operator="equal">
      <formula>"Towel"</formula>
    </cfRule>
    <cfRule type="cellIs" dxfId="27724" priority="12999" stopIfTrue="1" operator="equal">
      <formula>"Napkin Hs"</formula>
    </cfRule>
    <cfRule type="cellIs" dxfId="27723" priority="13001" stopIfTrue="1" operator="equal">
      <formula>"Napkin Hs"</formula>
    </cfRule>
  </conditionalFormatting>
  <conditionalFormatting sqref="C57">
    <cfRule type="cellIs" dxfId="27722" priority="13000" stopIfTrue="1" operator="equal">
      <formula>"Towel"</formula>
    </cfRule>
  </conditionalFormatting>
  <conditionalFormatting sqref="B57:C57">
    <cfRule type="cellIs" dxfId="27721" priority="12978" stopIfTrue="1" operator="equal">
      <formula>"Towel"</formula>
    </cfRule>
    <cfRule type="cellIs" dxfId="27720" priority="12979" stopIfTrue="1" operator="equal">
      <formula>"Napkin Hs"</formula>
    </cfRule>
  </conditionalFormatting>
  <conditionalFormatting sqref="C57">
    <cfRule type="cellIs" dxfId="27719" priority="12977" stopIfTrue="1" operator="equal">
      <formula>"Napkin Hs"</formula>
    </cfRule>
  </conditionalFormatting>
  <conditionalFormatting sqref="C57">
    <cfRule type="cellIs" dxfId="27718" priority="12976" stopIfTrue="1" operator="equal">
      <formula>"Towel"</formula>
    </cfRule>
  </conditionalFormatting>
  <conditionalFormatting sqref="C57">
    <cfRule type="cellIs" dxfId="27717" priority="12974" stopIfTrue="1" operator="equal">
      <formula>"Towel"</formula>
    </cfRule>
  </conditionalFormatting>
  <conditionalFormatting sqref="C57">
    <cfRule type="cellIs" dxfId="27716" priority="12975" stopIfTrue="1" operator="equal">
      <formula>"Napkin Hs"</formula>
    </cfRule>
  </conditionalFormatting>
  <conditionalFormatting sqref="B57">
    <cfRule type="cellIs" dxfId="27715" priority="12878" stopIfTrue="1" operator="equal">
      <formula>"Napkin Hs"</formula>
    </cfRule>
  </conditionalFormatting>
  <conditionalFormatting sqref="B57:C57">
    <cfRule type="cellIs" dxfId="27714" priority="12877" stopIfTrue="1" operator="equal">
      <formula>"Towel"</formula>
    </cfRule>
  </conditionalFormatting>
  <conditionalFormatting sqref="B57:C57">
    <cfRule type="cellIs" dxfId="27713" priority="12888" stopIfTrue="1" operator="equal">
      <formula>"Towel"</formula>
    </cfRule>
    <cfRule type="cellIs" dxfId="27712" priority="12889" stopIfTrue="1" operator="equal">
      <formula>"Napkin Hs"</formula>
    </cfRule>
    <cfRule type="cellIs" dxfId="27711" priority="12894" stopIfTrue="1" operator="equal">
      <formula>"Towel"</formula>
    </cfRule>
    <cfRule type="cellIs" dxfId="27710" priority="12895" stopIfTrue="1" operator="equal">
      <formula>"Napkin Hs"</formula>
    </cfRule>
    <cfRule type="cellIs" dxfId="27709" priority="12900" stopIfTrue="1" operator="equal">
      <formula>"Towel"</formula>
    </cfRule>
    <cfRule type="cellIs" dxfId="27708" priority="12901" stopIfTrue="1" operator="equal">
      <formula>"Napkin Hs"</formula>
    </cfRule>
    <cfRule type="cellIs" dxfId="27707" priority="12902" stopIfTrue="1" operator="equal">
      <formula>"Towel"</formula>
    </cfRule>
    <cfRule type="cellIs" dxfId="27706" priority="12903" stopIfTrue="1" operator="equal">
      <formula>"Napkin Hs"</formula>
    </cfRule>
    <cfRule type="cellIs" dxfId="27705" priority="12908" stopIfTrue="1" operator="equal">
      <formula>"Towel"</formula>
    </cfRule>
    <cfRule type="cellIs" dxfId="27704" priority="12909" stopIfTrue="1" operator="equal">
      <formula>"Napkin Hs"</formula>
    </cfRule>
    <cfRule type="cellIs" dxfId="27703" priority="12918" stopIfTrue="1" operator="equal">
      <formula>"Towel"</formula>
    </cfRule>
    <cfRule type="cellIs" dxfId="27702" priority="12919" stopIfTrue="1" operator="equal">
      <formula>"Napkin Hs"</formula>
    </cfRule>
    <cfRule type="cellIs" dxfId="27701" priority="12924" stopIfTrue="1" operator="equal">
      <formula>"Towel"</formula>
    </cfRule>
    <cfRule type="cellIs" dxfId="27700" priority="12925" stopIfTrue="1" operator="equal">
      <formula>"Napkin Hs"</formula>
    </cfRule>
    <cfRule type="cellIs" dxfId="27699" priority="12926" stopIfTrue="1" operator="equal">
      <formula>"Towel"</formula>
    </cfRule>
    <cfRule type="cellIs" dxfId="27698" priority="12927" stopIfTrue="1" operator="equal">
      <formula>"Napkin Hs"</formula>
    </cfRule>
    <cfRule type="cellIs" dxfId="27697" priority="12932" stopIfTrue="1" operator="equal">
      <formula>"Towel"</formula>
    </cfRule>
    <cfRule type="cellIs" dxfId="27696" priority="12933" stopIfTrue="1" operator="equal">
      <formula>"Napkin Hs"</formula>
    </cfRule>
    <cfRule type="cellIs" dxfId="27695" priority="12942" stopIfTrue="1" operator="equal">
      <formula>"Towel"</formula>
    </cfRule>
    <cfRule type="cellIs" dxfId="27694" priority="12943" stopIfTrue="1" operator="equal">
      <formula>"Napkin Hs"</formula>
    </cfRule>
    <cfRule type="cellIs" dxfId="27693" priority="12944" stopIfTrue="1" operator="equal">
      <formula>"Towel"</formula>
    </cfRule>
    <cfRule type="cellIs" dxfId="27692" priority="12945" stopIfTrue="1" operator="equal">
      <formula>"Napkin Hs"</formula>
    </cfRule>
    <cfRule type="cellIs" dxfId="27691" priority="12950" stopIfTrue="1" operator="equal">
      <formula>"Towel"</formula>
    </cfRule>
    <cfRule type="cellIs" dxfId="27690" priority="12951" stopIfTrue="1" operator="equal">
      <formula>"Napkin Hs"</formula>
    </cfRule>
    <cfRule type="cellIs" dxfId="27689" priority="12960" stopIfTrue="1" operator="equal">
      <formula>"Towel"</formula>
    </cfRule>
    <cfRule type="cellIs" dxfId="27688" priority="12961" stopIfTrue="1" operator="equal">
      <formula>"Napkin Hs"</formula>
    </cfRule>
    <cfRule type="cellIs" dxfId="27687" priority="12962" stopIfTrue="1" operator="equal">
      <formula>"Towel"</formula>
    </cfRule>
    <cfRule type="cellIs" dxfId="27686" priority="12963" stopIfTrue="1" operator="equal">
      <formula>"Napkin Hs"</formula>
    </cfRule>
    <cfRule type="cellIs" dxfId="27685" priority="12969" stopIfTrue="1" operator="equal">
      <formula>"Napkin Hs"</formula>
    </cfRule>
  </conditionalFormatting>
  <conditionalFormatting sqref="B57:C57">
    <cfRule type="cellIs" dxfId="27684" priority="12968" stopIfTrue="1" operator="equal">
      <formula>"Towel"</formula>
    </cfRule>
  </conditionalFormatting>
  <conditionalFormatting sqref="C57">
    <cfRule type="cellIs" dxfId="27683" priority="12879" stopIfTrue="1" operator="equal">
      <formula>"Napkin Hs"</formula>
    </cfRule>
    <cfRule type="cellIs" dxfId="27682" priority="12880" stopIfTrue="1" operator="equal">
      <formula>"Towel"</formula>
    </cfRule>
    <cfRule type="cellIs" dxfId="27681" priority="12881" stopIfTrue="1" operator="equal">
      <formula>"Napkin Hs"</formula>
    </cfRule>
    <cfRule type="cellIs" dxfId="27680" priority="12882" stopIfTrue="1" operator="equal">
      <formula>"Towel"</formula>
    </cfRule>
    <cfRule type="cellIs" dxfId="27679" priority="12883" stopIfTrue="1" operator="equal">
      <formula>"Napkin Hs"</formula>
    </cfRule>
    <cfRule type="cellIs" dxfId="27678" priority="12884" stopIfTrue="1" operator="equal">
      <formula>"Towel"</formula>
    </cfRule>
    <cfRule type="cellIs" dxfId="27677" priority="12885" stopIfTrue="1" operator="equal">
      <formula>"Napkin Hs"</formula>
    </cfRule>
    <cfRule type="cellIs" dxfId="27676" priority="12886" stopIfTrue="1" operator="equal">
      <formula>"Towel"</formula>
    </cfRule>
    <cfRule type="cellIs" dxfId="27675" priority="12887" stopIfTrue="1" operator="equal">
      <formula>"Napkin Hs"</formula>
    </cfRule>
    <cfRule type="cellIs" dxfId="27674" priority="12890" stopIfTrue="1" operator="equal">
      <formula>"Towel"</formula>
    </cfRule>
    <cfRule type="cellIs" dxfId="27673" priority="12891" stopIfTrue="1" operator="equal">
      <formula>"Napkin Hs"</formula>
    </cfRule>
    <cfRule type="cellIs" dxfId="27672" priority="12892" stopIfTrue="1" operator="equal">
      <formula>"Towel"</formula>
    </cfRule>
    <cfRule type="cellIs" dxfId="27671" priority="12893" stopIfTrue="1" operator="equal">
      <formula>"Napkin Hs"</formula>
    </cfRule>
    <cfRule type="cellIs" dxfId="27670" priority="12896" stopIfTrue="1" operator="equal">
      <formula>"Towel"</formula>
    </cfRule>
    <cfRule type="cellIs" dxfId="27669" priority="12897" stopIfTrue="1" operator="equal">
      <formula>"Napkin Hs"</formula>
    </cfRule>
    <cfRule type="cellIs" dxfId="27668" priority="12898" stopIfTrue="1" operator="equal">
      <formula>"Towel"</formula>
    </cfRule>
    <cfRule type="cellIs" dxfId="27667" priority="12899" stopIfTrue="1" operator="equal">
      <formula>"Napkin Hs"</formula>
    </cfRule>
    <cfRule type="cellIs" dxfId="27666" priority="12904" stopIfTrue="1" operator="equal">
      <formula>"Towel"</formula>
    </cfRule>
    <cfRule type="cellIs" dxfId="27665" priority="12905" stopIfTrue="1" operator="equal">
      <formula>"Napkin Hs"</formula>
    </cfRule>
    <cfRule type="cellIs" dxfId="27664" priority="12906" stopIfTrue="1" operator="equal">
      <formula>"Towel"</formula>
    </cfRule>
    <cfRule type="cellIs" dxfId="27663" priority="12907" stopIfTrue="1" operator="equal">
      <formula>"Napkin Hs"</formula>
    </cfRule>
    <cfRule type="cellIs" dxfId="27662" priority="12910" stopIfTrue="1" operator="equal">
      <formula>"Towel"</formula>
    </cfRule>
    <cfRule type="cellIs" dxfId="27661" priority="12911" stopIfTrue="1" operator="equal">
      <formula>"Napkin Hs"</formula>
    </cfRule>
    <cfRule type="cellIs" dxfId="27660" priority="12912" stopIfTrue="1" operator="equal">
      <formula>"Towel"</formula>
    </cfRule>
    <cfRule type="cellIs" dxfId="27659" priority="12913" stopIfTrue="1" operator="equal">
      <formula>"Napkin Hs"</formula>
    </cfRule>
    <cfRule type="cellIs" dxfId="27658" priority="12914" stopIfTrue="1" operator="equal">
      <formula>"Towel"</formula>
    </cfRule>
    <cfRule type="cellIs" dxfId="27657" priority="12915" stopIfTrue="1" operator="equal">
      <formula>"Napkin Hs"</formula>
    </cfRule>
    <cfRule type="cellIs" dxfId="27656" priority="12916" stopIfTrue="1" operator="equal">
      <formula>"Towel"</formula>
    </cfRule>
    <cfRule type="cellIs" dxfId="27655" priority="12917" stopIfTrue="1" operator="equal">
      <formula>"Napkin Hs"</formula>
    </cfRule>
    <cfRule type="cellIs" dxfId="27654" priority="12920" stopIfTrue="1" operator="equal">
      <formula>"Towel"</formula>
    </cfRule>
    <cfRule type="cellIs" dxfId="27653" priority="12921" stopIfTrue="1" operator="equal">
      <formula>"Napkin Hs"</formula>
    </cfRule>
    <cfRule type="cellIs" dxfId="27652" priority="12922" stopIfTrue="1" operator="equal">
      <formula>"Towel"</formula>
    </cfRule>
    <cfRule type="cellIs" dxfId="27651" priority="12923" stopIfTrue="1" operator="equal">
      <formula>"Napkin Hs"</formula>
    </cfRule>
    <cfRule type="cellIs" dxfId="27650" priority="12928" stopIfTrue="1" operator="equal">
      <formula>"Towel"</formula>
    </cfRule>
    <cfRule type="cellIs" dxfId="27649" priority="12929" stopIfTrue="1" operator="equal">
      <formula>"Napkin Hs"</formula>
    </cfRule>
    <cfRule type="cellIs" dxfId="27648" priority="12930" stopIfTrue="1" operator="equal">
      <formula>"Towel"</formula>
    </cfRule>
    <cfRule type="cellIs" dxfId="27647" priority="12931" stopIfTrue="1" operator="equal">
      <formula>"Napkin Hs"</formula>
    </cfRule>
    <cfRule type="cellIs" dxfId="27646" priority="12934" stopIfTrue="1" operator="equal">
      <formula>"Towel"</formula>
    </cfRule>
    <cfRule type="cellIs" dxfId="27645" priority="12935" stopIfTrue="1" operator="equal">
      <formula>"Napkin Hs"</formula>
    </cfRule>
    <cfRule type="cellIs" dxfId="27644" priority="12936" stopIfTrue="1" operator="equal">
      <formula>"Towel"</formula>
    </cfRule>
    <cfRule type="cellIs" dxfId="27643" priority="12937" stopIfTrue="1" operator="equal">
      <formula>"Napkin Hs"</formula>
    </cfRule>
    <cfRule type="cellIs" dxfId="27642" priority="12938" stopIfTrue="1" operator="equal">
      <formula>"Towel"</formula>
    </cfRule>
    <cfRule type="cellIs" dxfId="27641" priority="12939" stopIfTrue="1" operator="equal">
      <formula>"Napkin Hs"</formula>
    </cfRule>
    <cfRule type="cellIs" dxfId="27640" priority="12940" stopIfTrue="1" operator="equal">
      <formula>"Towel"</formula>
    </cfRule>
    <cfRule type="cellIs" dxfId="27639" priority="12941" stopIfTrue="1" operator="equal">
      <formula>"Napkin Hs"</formula>
    </cfRule>
    <cfRule type="cellIs" dxfId="27638" priority="12946" stopIfTrue="1" operator="equal">
      <formula>"Towel"</formula>
    </cfRule>
    <cfRule type="cellIs" dxfId="27637" priority="12947" stopIfTrue="1" operator="equal">
      <formula>"Napkin Hs"</formula>
    </cfRule>
    <cfRule type="cellIs" dxfId="27636" priority="12948" stopIfTrue="1" operator="equal">
      <formula>"Towel"</formula>
    </cfRule>
    <cfRule type="cellIs" dxfId="27635" priority="12949" stopIfTrue="1" operator="equal">
      <formula>"Napkin Hs"</formula>
    </cfRule>
    <cfRule type="cellIs" dxfId="27634" priority="12952" stopIfTrue="1" operator="equal">
      <formula>"Towel"</formula>
    </cfRule>
    <cfRule type="cellIs" dxfId="27633" priority="12953" stopIfTrue="1" operator="equal">
      <formula>"Napkin Hs"</formula>
    </cfRule>
    <cfRule type="cellIs" dxfId="27632" priority="12954" stopIfTrue="1" operator="equal">
      <formula>"Towel"</formula>
    </cfRule>
    <cfRule type="cellIs" dxfId="27631" priority="12955" stopIfTrue="1" operator="equal">
      <formula>"Napkin Hs"</formula>
    </cfRule>
    <cfRule type="cellIs" dxfId="27630" priority="12956" stopIfTrue="1" operator="equal">
      <formula>"Towel"</formula>
    </cfRule>
    <cfRule type="cellIs" dxfId="27629" priority="12957" stopIfTrue="1" operator="equal">
      <formula>"Napkin Hs"</formula>
    </cfRule>
    <cfRule type="cellIs" dxfId="27628" priority="12958" stopIfTrue="1" operator="equal">
      <formula>"Towel"</formula>
    </cfRule>
    <cfRule type="cellIs" dxfId="27627" priority="12959" stopIfTrue="1" operator="equal">
      <formula>"Napkin Hs"</formula>
    </cfRule>
    <cfRule type="cellIs" dxfId="27626" priority="12964" stopIfTrue="1" operator="equal">
      <formula>"Towel"</formula>
    </cfRule>
    <cfRule type="cellIs" dxfId="27625" priority="12965" stopIfTrue="1" operator="equal">
      <formula>"Napkin Hs"</formula>
    </cfRule>
    <cfRule type="cellIs" dxfId="27624" priority="12966" stopIfTrue="1" operator="equal">
      <formula>"Towel"</formula>
    </cfRule>
    <cfRule type="cellIs" dxfId="27623" priority="12967" stopIfTrue="1" operator="equal">
      <formula>"Napkin Hs"</formula>
    </cfRule>
    <cfRule type="cellIs" dxfId="27622" priority="12970" stopIfTrue="1" operator="equal">
      <formula>"Towel"</formula>
    </cfRule>
    <cfRule type="cellIs" dxfId="27621" priority="12971" stopIfTrue="1" operator="equal">
      <formula>"Napkin Hs"</formula>
    </cfRule>
    <cfRule type="cellIs" dxfId="27620" priority="12972" stopIfTrue="1" operator="equal">
      <formula>"Towel"</formula>
    </cfRule>
    <cfRule type="cellIs" dxfId="27619" priority="12973" stopIfTrue="1" operator="equal">
      <formula>"Napkin Hs"</formula>
    </cfRule>
  </conditionalFormatting>
  <conditionalFormatting sqref="C57">
    <cfRule type="cellIs" dxfId="27618" priority="12876" stopIfTrue="1" operator="equal">
      <formula>"Napkin Hs"</formula>
    </cfRule>
  </conditionalFormatting>
  <conditionalFormatting sqref="C57">
    <cfRule type="cellIs" dxfId="27617" priority="12875" stopIfTrue="1" operator="equal">
      <formula>"Napkin Hs"</formula>
    </cfRule>
  </conditionalFormatting>
  <conditionalFormatting sqref="B57">
    <cfRule type="cellIs" dxfId="27616" priority="12874" stopIfTrue="1" operator="equal">
      <formula>"Napkin Hs"</formula>
    </cfRule>
  </conditionalFormatting>
  <conditionalFormatting sqref="C57">
    <cfRule type="cellIs" dxfId="27615" priority="12873" stopIfTrue="1" operator="equal">
      <formula>"Napkin Hs"</formula>
    </cfRule>
  </conditionalFormatting>
  <conditionalFormatting sqref="C57">
    <cfRule type="cellIs" dxfId="27614" priority="12872" stopIfTrue="1" operator="equal">
      <formula>"Napkin Hs"</formula>
    </cfRule>
  </conditionalFormatting>
  <conditionalFormatting sqref="C57">
    <cfRule type="cellIs" dxfId="27613" priority="12871" stopIfTrue="1" operator="equal">
      <formula>"Napkin Hs"</formula>
    </cfRule>
  </conditionalFormatting>
  <conditionalFormatting sqref="C57">
    <cfRule type="cellIs" dxfId="27612" priority="12870" stopIfTrue="1" operator="equal">
      <formula>"Napkin Hs"</formula>
    </cfRule>
  </conditionalFormatting>
  <conditionalFormatting sqref="B57">
    <cfRule type="cellIs" dxfId="27611" priority="12869" stopIfTrue="1" operator="equal">
      <formula>"Napkin Hs"</formula>
    </cfRule>
  </conditionalFormatting>
  <conditionalFormatting sqref="B57">
    <cfRule type="cellIs" dxfId="27610" priority="12868" stopIfTrue="1" operator="equal">
      <formula>"Napkin Hs"</formula>
    </cfRule>
  </conditionalFormatting>
  <conditionalFormatting sqref="C57">
    <cfRule type="cellIs" dxfId="27609" priority="12864" stopIfTrue="1" operator="equal">
      <formula>"Towel"</formula>
    </cfRule>
    <cfRule type="cellIs" dxfId="27608" priority="12865" stopIfTrue="1" operator="equal">
      <formula>"Napkin Hs"</formula>
    </cfRule>
  </conditionalFormatting>
  <conditionalFormatting sqref="C57">
    <cfRule type="cellIs" dxfId="27607" priority="12866" stopIfTrue="1" operator="equal">
      <formula>"Towel"</formula>
    </cfRule>
    <cfRule type="cellIs" dxfId="27606" priority="12867" stopIfTrue="1" operator="equal">
      <formula>"Napkin Hs"</formula>
    </cfRule>
  </conditionalFormatting>
  <conditionalFormatting sqref="C57">
    <cfRule type="cellIs" dxfId="27605" priority="12860" stopIfTrue="1" operator="equal">
      <formula>"Towel"</formula>
    </cfRule>
    <cfRule type="cellIs" dxfId="27604" priority="12861" stopIfTrue="1" operator="equal">
      <formula>"Napkin Hs"</formula>
    </cfRule>
  </conditionalFormatting>
  <conditionalFormatting sqref="C57">
    <cfRule type="cellIs" dxfId="27603" priority="12862" stopIfTrue="1" operator="equal">
      <formula>"Towel"</formula>
    </cfRule>
    <cfRule type="cellIs" dxfId="27602" priority="12863" stopIfTrue="1" operator="equal">
      <formula>"Napkin Hs"</formula>
    </cfRule>
  </conditionalFormatting>
  <conditionalFormatting sqref="B58">
    <cfRule type="cellIs" dxfId="27601" priority="12858" stopIfTrue="1" operator="equal">
      <formula>"Towel"</formula>
    </cfRule>
    <cfRule type="cellIs" dxfId="27600" priority="12859" stopIfTrue="1" operator="equal">
      <formula>"Napkin Hs"</formula>
    </cfRule>
  </conditionalFormatting>
  <conditionalFormatting sqref="B58">
    <cfRule type="cellIs" dxfId="27599" priority="12856" stopIfTrue="1" operator="equal">
      <formula>"Towel"</formula>
    </cfRule>
    <cfRule type="cellIs" dxfId="27598" priority="12857" stopIfTrue="1" operator="equal">
      <formula>"Napkin Hs"</formula>
    </cfRule>
  </conditionalFormatting>
  <conditionalFormatting sqref="B58">
    <cfRule type="cellIs" dxfId="27597" priority="12854" stopIfTrue="1" operator="equal">
      <formula>"Towel"</formula>
    </cfRule>
    <cfRule type="cellIs" dxfId="27596" priority="12855" stopIfTrue="1" operator="equal">
      <formula>"Napkin Hs"</formula>
    </cfRule>
  </conditionalFormatting>
  <conditionalFormatting sqref="B58">
    <cfRule type="cellIs" dxfId="27595" priority="12846" stopIfTrue="1" operator="equal">
      <formula>"Towel"</formula>
    </cfRule>
  </conditionalFormatting>
  <conditionalFormatting sqref="B58">
    <cfRule type="cellIs" dxfId="27594" priority="12847" stopIfTrue="1" operator="equal">
      <formula>"Napkin Hs"</formula>
    </cfRule>
    <cfRule type="cellIs" dxfId="27593" priority="12848" stopIfTrue="1" operator="equal">
      <formula>"Towel"</formula>
    </cfRule>
    <cfRule type="cellIs" dxfId="27592" priority="12849" stopIfTrue="1" operator="equal">
      <formula>"Napkin Hs"</formula>
    </cfRule>
    <cfRule type="cellIs" dxfId="27591" priority="12850" stopIfTrue="1" operator="equal">
      <formula>"Towel"</formula>
    </cfRule>
    <cfRule type="cellIs" dxfId="27590" priority="12851" stopIfTrue="1" operator="equal">
      <formula>"Napkin Hs"</formula>
    </cfRule>
    <cfRule type="cellIs" dxfId="27589" priority="12852" stopIfTrue="1" operator="equal">
      <formula>"Towel"</formula>
    </cfRule>
    <cfRule type="cellIs" dxfId="27588" priority="12853" stopIfTrue="1" operator="equal">
      <formula>"Napkin Hs"</formula>
    </cfRule>
  </conditionalFormatting>
  <conditionalFormatting sqref="B58">
    <cfRule type="cellIs" dxfId="27587" priority="12844" stopIfTrue="1" operator="equal">
      <formula>"Towel"</formula>
    </cfRule>
    <cfRule type="cellIs" dxfId="27586" priority="12845" stopIfTrue="1" operator="equal">
      <formula>"Napkin Hs"</formula>
    </cfRule>
  </conditionalFormatting>
  <conditionalFormatting sqref="B58">
    <cfRule type="cellIs" dxfId="27585" priority="12813" stopIfTrue="1" operator="equal">
      <formula>"Napkin Hs"</formula>
    </cfRule>
  </conditionalFormatting>
  <conditionalFormatting sqref="B58">
    <cfRule type="cellIs" dxfId="27584" priority="12812" stopIfTrue="1" operator="equal">
      <formula>"Towel"</formula>
    </cfRule>
  </conditionalFormatting>
  <conditionalFormatting sqref="B58">
    <cfRule type="cellIs" dxfId="27583" priority="12814" stopIfTrue="1" operator="equal">
      <formula>"Towel"</formula>
    </cfRule>
    <cfRule type="cellIs" dxfId="27582" priority="12815" stopIfTrue="1" operator="equal">
      <formula>"Napkin Hs"</formula>
    </cfRule>
    <cfRule type="cellIs" dxfId="27581" priority="12816" stopIfTrue="1" operator="equal">
      <formula>"Towel"</formula>
    </cfRule>
    <cfRule type="cellIs" dxfId="27580" priority="12817" stopIfTrue="1" operator="equal">
      <formula>"Napkin Hs"</formula>
    </cfRule>
    <cfRule type="cellIs" dxfId="27579" priority="12818" stopIfTrue="1" operator="equal">
      <formula>"Towel"</formula>
    </cfRule>
    <cfRule type="cellIs" dxfId="27578" priority="12819" stopIfTrue="1" operator="equal">
      <formula>"Napkin Hs"</formula>
    </cfRule>
    <cfRule type="cellIs" dxfId="27577" priority="12820" stopIfTrue="1" operator="equal">
      <formula>"Towel"</formula>
    </cfRule>
    <cfRule type="cellIs" dxfId="27576" priority="12821" stopIfTrue="1" operator="equal">
      <formula>"Napkin Hs"</formula>
    </cfRule>
    <cfRule type="cellIs" dxfId="27575" priority="12822" stopIfTrue="1" operator="equal">
      <formula>"Towel"</formula>
    </cfRule>
    <cfRule type="cellIs" dxfId="27574" priority="12823" stopIfTrue="1" operator="equal">
      <formula>"Napkin Hs"</formula>
    </cfRule>
    <cfRule type="cellIs" dxfId="27573" priority="12824" stopIfTrue="1" operator="equal">
      <formula>"Towel"</formula>
    </cfRule>
    <cfRule type="cellIs" dxfId="27572" priority="12825" stopIfTrue="1" operator="equal">
      <formula>"Napkin Hs"</formula>
    </cfRule>
    <cfRule type="cellIs" dxfId="27571" priority="12826" stopIfTrue="1" operator="equal">
      <formula>"Towel"</formula>
    </cfRule>
    <cfRule type="cellIs" dxfId="27570" priority="12827" stopIfTrue="1" operator="equal">
      <formula>"Napkin Hs"</formula>
    </cfRule>
    <cfRule type="cellIs" dxfId="27569" priority="12828" stopIfTrue="1" operator="equal">
      <formula>"Towel"</formula>
    </cfRule>
    <cfRule type="cellIs" dxfId="27568" priority="12829" stopIfTrue="1" operator="equal">
      <formula>"Napkin Hs"</formula>
    </cfRule>
    <cfRule type="cellIs" dxfId="27567" priority="12830" stopIfTrue="1" operator="equal">
      <formula>"Towel"</formula>
    </cfRule>
    <cfRule type="cellIs" dxfId="27566" priority="12831" stopIfTrue="1" operator="equal">
      <formula>"Napkin Hs"</formula>
    </cfRule>
    <cfRule type="cellIs" dxfId="27565" priority="12832" stopIfTrue="1" operator="equal">
      <formula>"Towel"</formula>
    </cfRule>
    <cfRule type="cellIs" dxfId="27564" priority="12833" stopIfTrue="1" operator="equal">
      <formula>"Napkin Hs"</formula>
    </cfRule>
    <cfRule type="cellIs" dxfId="27563" priority="12834" stopIfTrue="1" operator="equal">
      <formula>"Towel"</formula>
    </cfRule>
    <cfRule type="cellIs" dxfId="27562" priority="12835" stopIfTrue="1" operator="equal">
      <formula>"Napkin Hs"</formula>
    </cfRule>
    <cfRule type="cellIs" dxfId="27561" priority="12836" stopIfTrue="1" operator="equal">
      <formula>"Towel"</formula>
    </cfRule>
    <cfRule type="cellIs" dxfId="27560" priority="12837" stopIfTrue="1" operator="equal">
      <formula>"Napkin Hs"</formula>
    </cfRule>
    <cfRule type="cellIs" dxfId="27559" priority="12838" stopIfTrue="1" operator="equal">
      <formula>"Towel"</formula>
    </cfRule>
    <cfRule type="cellIs" dxfId="27558" priority="12839" stopIfTrue="1" operator="equal">
      <formula>"Napkin Hs"</formula>
    </cfRule>
    <cfRule type="cellIs" dxfId="27557" priority="12840" stopIfTrue="1" operator="equal">
      <formula>"Towel"</formula>
    </cfRule>
    <cfRule type="cellIs" dxfId="27556" priority="12841" stopIfTrue="1" operator="equal">
      <formula>"Napkin Hs"</formula>
    </cfRule>
    <cfRule type="cellIs" dxfId="27555" priority="12843" stopIfTrue="1" operator="equal">
      <formula>"Napkin Hs"</formula>
    </cfRule>
  </conditionalFormatting>
  <conditionalFormatting sqref="B58">
    <cfRule type="cellIs" dxfId="27554" priority="12842" stopIfTrue="1" operator="equal">
      <formula>"Towel"</formula>
    </cfRule>
  </conditionalFormatting>
  <conditionalFormatting sqref="B58">
    <cfRule type="cellIs" dxfId="27553" priority="12811" stopIfTrue="1" operator="equal">
      <formula>"Napkin Hs"</formula>
    </cfRule>
  </conditionalFormatting>
  <conditionalFormatting sqref="B58">
    <cfRule type="cellIs" dxfId="27552" priority="12810" stopIfTrue="1" operator="equal">
      <formula>"Napkin Hs"</formula>
    </cfRule>
  </conditionalFormatting>
  <conditionalFormatting sqref="B58">
    <cfRule type="cellIs" dxfId="27551" priority="12809" stopIfTrue="1" operator="equal">
      <formula>"Napkin Hs"</formula>
    </cfRule>
  </conditionalFormatting>
  <conditionalFormatting sqref="C63:C64">
    <cfRule type="cellIs" dxfId="27550" priority="12805" stopIfTrue="1" operator="equal">
      <formula>"Towel"</formula>
    </cfRule>
    <cfRule type="cellIs" dxfId="27549" priority="12806" stopIfTrue="1" operator="equal">
      <formula>"Napkin Hs"</formula>
    </cfRule>
  </conditionalFormatting>
  <conditionalFormatting sqref="C63:C64">
    <cfRule type="cellIs" dxfId="27548" priority="12807" stopIfTrue="1" operator="equal">
      <formula>"Towel"</formula>
    </cfRule>
    <cfRule type="cellIs" dxfId="27547" priority="12808" stopIfTrue="1" operator="equal">
      <formula>"Napkin Hs"</formula>
    </cfRule>
  </conditionalFormatting>
  <conditionalFormatting sqref="C63:C64">
    <cfRule type="cellIs" dxfId="27546" priority="12803" stopIfTrue="1" operator="equal">
      <formula>"Towel"</formula>
    </cfRule>
    <cfRule type="cellIs" dxfId="27545" priority="12804" stopIfTrue="1" operator="equal">
      <formula>"Napkin Hs"</formula>
    </cfRule>
  </conditionalFormatting>
  <conditionalFormatting sqref="B63:B64">
    <cfRule type="cellIs" dxfId="27544" priority="12801" stopIfTrue="1" operator="equal">
      <formula>"Towel"</formula>
    </cfRule>
    <cfRule type="cellIs" dxfId="27543" priority="12802" stopIfTrue="1" operator="equal">
      <formula>"Napkin Hs"</formula>
    </cfRule>
  </conditionalFormatting>
  <conditionalFormatting sqref="C63:C64">
    <cfRule type="cellIs" dxfId="27542" priority="12795" stopIfTrue="1" operator="equal">
      <formula>"Towel"</formula>
    </cfRule>
    <cfRule type="cellIs" dxfId="27541" priority="12796" stopIfTrue="1" operator="equal">
      <formula>"Napkin Hs"</formula>
    </cfRule>
  </conditionalFormatting>
  <conditionalFormatting sqref="C63:C64">
    <cfRule type="cellIs" dxfId="27540" priority="12799" stopIfTrue="1" operator="equal">
      <formula>"Towel"</formula>
    </cfRule>
    <cfRule type="cellIs" dxfId="27539" priority="12800" stopIfTrue="1" operator="equal">
      <formula>"Napkin Hs"</formula>
    </cfRule>
  </conditionalFormatting>
  <conditionalFormatting sqref="C63:C64">
    <cfRule type="cellIs" dxfId="27538" priority="12797" stopIfTrue="1" operator="equal">
      <formula>"Towel"</formula>
    </cfRule>
    <cfRule type="cellIs" dxfId="27537" priority="12798" stopIfTrue="1" operator="equal">
      <formula>"Napkin Hs"</formula>
    </cfRule>
  </conditionalFormatting>
  <conditionalFormatting sqref="C63:C64">
    <cfRule type="cellIs" dxfId="27536" priority="12789" stopIfTrue="1" operator="equal">
      <formula>"Towel"</formula>
    </cfRule>
    <cfRule type="cellIs" dxfId="27535" priority="12790" stopIfTrue="1" operator="equal">
      <formula>"Napkin Hs"</formula>
    </cfRule>
  </conditionalFormatting>
  <conditionalFormatting sqref="C63:C64">
    <cfRule type="cellIs" dxfId="27534" priority="12791" stopIfTrue="1" operator="equal">
      <formula>"Towel"</formula>
    </cfRule>
    <cfRule type="cellIs" dxfId="27533" priority="12792" stopIfTrue="1" operator="equal">
      <formula>"Napkin Hs"</formula>
    </cfRule>
  </conditionalFormatting>
  <conditionalFormatting sqref="C63:C64">
    <cfRule type="cellIs" dxfId="27532" priority="12793" stopIfTrue="1" operator="equal">
      <formula>"Towel"</formula>
    </cfRule>
    <cfRule type="cellIs" dxfId="27531" priority="12794" stopIfTrue="1" operator="equal">
      <formula>"Napkin Hs"</formula>
    </cfRule>
  </conditionalFormatting>
  <conditionalFormatting sqref="B63:C64">
    <cfRule type="cellIs" dxfId="27530" priority="12787" stopIfTrue="1" operator="equal">
      <formula>"Towel"</formula>
    </cfRule>
    <cfRule type="cellIs" dxfId="27529" priority="12788" stopIfTrue="1" operator="equal">
      <formula>"Napkin Hs"</formula>
    </cfRule>
  </conditionalFormatting>
  <conditionalFormatting sqref="B63:C64">
    <cfRule type="cellIs" dxfId="27528" priority="12785" stopIfTrue="1" operator="equal">
      <formula>"Towel"</formula>
    </cfRule>
    <cfRule type="cellIs" dxfId="27527" priority="12786" stopIfTrue="1" operator="equal">
      <formula>"Napkin Hs"</formula>
    </cfRule>
  </conditionalFormatting>
  <conditionalFormatting sqref="B63:C64">
    <cfRule type="cellIs" dxfId="27526" priority="12761" stopIfTrue="1" operator="equal">
      <formula>"Towel"</formula>
    </cfRule>
  </conditionalFormatting>
  <conditionalFormatting sqref="B63:C64">
    <cfRule type="cellIs" dxfId="27525" priority="12762" stopIfTrue="1" operator="equal">
      <formula>"Napkin Hs"</formula>
    </cfRule>
    <cfRule type="cellIs" dxfId="27524" priority="12767" stopIfTrue="1" operator="equal">
      <formula>"Towel"</formula>
    </cfRule>
    <cfRule type="cellIs" dxfId="27523" priority="12768" stopIfTrue="1" operator="equal">
      <formula>"Napkin Hs"</formula>
    </cfRule>
    <cfRule type="cellIs" dxfId="27522" priority="12777" stopIfTrue="1" operator="equal">
      <formula>"Towel"</formula>
    </cfRule>
    <cfRule type="cellIs" dxfId="27521" priority="12778" stopIfTrue="1" operator="equal">
      <formula>"Napkin Hs"</formula>
    </cfRule>
    <cfRule type="cellIs" dxfId="27520" priority="12783" stopIfTrue="1" operator="equal">
      <formula>"Towel"</formula>
    </cfRule>
    <cfRule type="cellIs" dxfId="27519" priority="12784" stopIfTrue="1" operator="equal">
      <formula>"Napkin Hs"</formula>
    </cfRule>
  </conditionalFormatting>
  <conditionalFormatting sqref="C63:C64">
    <cfRule type="cellIs" dxfId="27518" priority="12763" stopIfTrue="1" operator="equal">
      <formula>"Towel"</formula>
    </cfRule>
    <cfRule type="cellIs" dxfId="27517" priority="12764" stopIfTrue="1" operator="equal">
      <formula>"Napkin Hs"</formula>
    </cfRule>
    <cfRule type="cellIs" dxfId="27516" priority="12765" stopIfTrue="1" operator="equal">
      <formula>"Towel"</formula>
    </cfRule>
    <cfRule type="cellIs" dxfId="27515" priority="12766" stopIfTrue="1" operator="equal">
      <formula>"Napkin Hs"</formula>
    </cfRule>
    <cfRule type="cellIs" dxfId="27514" priority="12769" stopIfTrue="1" operator="equal">
      <formula>"Towel"</formula>
    </cfRule>
    <cfRule type="cellIs" dxfId="27513" priority="12770" stopIfTrue="1" operator="equal">
      <formula>"Napkin Hs"</formula>
    </cfRule>
    <cfRule type="cellIs" dxfId="27512" priority="12771" stopIfTrue="1" operator="equal">
      <formula>"Towel"</formula>
    </cfRule>
    <cfRule type="cellIs" dxfId="27511" priority="12772" stopIfTrue="1" operator="equal">
      <formula>"Napkin Hs"</formula>
    </cfRule>
    <cfRule type="cellIs" dxfId="27510" priority="12773" stopIfTrue="1" operator="equal">
      <formula>"Towel"</formula>
    </cfRule>
    <cfRule type="cellIs" dxfId="27509" priority="12774" stopIfTrue="1" operator="equal">
      <formula>"Napkin Hs"</formula>
    </cfRule>
    <cfRule type="cellIs" dxfId="27508" priority="12775" stopIfTrue="1" operator="equal">
      <formula>"Towel"</formula>
    </cfRule>
    <cfRule type="cellIs" dxfId="27507" priority="12776" stopIfTrue="1" operator="equal">
      <formula>"Napkin Hs"</formula>
    </cfRule>
    <cfRule type="cellIs" dxfId="27506" priority="12779" stopIfTrue="1" operator="equal">
      <formula>"Towel"</formula>
    </cfRule>
    <cfRule type="cellIs" dxfId="27505" priority="12780" stopIfTrue="1" operator="equal">
      <formula>"Napkin Hs"</formula>
    </cfRule>
    <cfRule type="cellIs" dxfId="27504" priority="12782" stopIfTrue="1" operator="equal">
      <formula>"Napkin Hs"</formula>
    </cfRule>
  </conditionalFormatting>
  <conditionalFormatting sqref="C63:C64">
    <cfRule type="cellIs" dxfId="27503" priority="12781" stopIfTrue="1" operator="equal">
      <formula>"Towel"</formula>
    </cfRule>
  </conditionalFormatting>
  <conditionalFormatting sqref="B63:C64">
    <cfRule type="cellIs" dxfId="27502" priority="12759" stopIfTrue="1" operator="equal">
      <formula>"Towel"</formula>
    </cfRule>
    <cfRule type="cellIs" dxfId="27501" priority="12760" stopIfTrue="1" operator="equal">
      <formula>"Napkin Hs"</formula>
    </cfRule>
  </conditionalFormatting>
  <conditionalFormatting sqref="C63:C64">
    <cfRule type="cellIs" dxfId="27500" priority="12758" stopIfTrue="1" operator="equal">
      <formula>"Napkin Hs"</formula>
    </cfRule>
  </conditionalFormatting>
  <conditionalFormatting sqref="C63:C64">
    <cfRule type="cellIs" dxfId="27499" priority="12757" stopIfTrue="1" operator="equal">
      <formula>"Towel"</formula>
    </cfRule>
  </conditionalFormatting>
  <conditionalFormatting sqref="C63:C64">
    <cfRule type="cellIs" dxfId="27498" priority="12755" stopIfTrue="1" operator="equal">
      <formula>"Towel"</formula>
    </cfRule>
  </conditionalFormatting>
  <conditionalFormatting sqref="C63:C64">
    <cfRule type="cellIs" dxfId="27497" priority="12756" stopIfTrue="1" operator="equal">
      <formula>"Napkin Hs"</formula>
    </cfRule>
  </conditionalFormatting>
  <conditionalFormatting sqref="B63:B64">
    <cfRule type="cellIs" dxfId="27496" priority="12659" stopIfTrue="1" operator="equal">
      <formula>"Napkin Hs"</formula>
    </cfRule>
  </conditionalFormatting>
  <conditionalFormatting sqref="B63:C64">
    <cfRule type="cellIs" dxfId="27495" priority="12658" stopIfTrue="1" operator="equal">
      <formula>"Towel"</formula>
    </cfRule>
  </conditionalFormatting>
  <conditionalFormatting sqref="B63:C64">
    <cfRule type="cellIs" dxfId="27494" priority="12669" stopIfTrue="1" operator="equal">
      <formula>"Towel"</formula>
    </cfRule>
    <cfRule type="cellIs" dxfId="27493" priority="12670" stopIfTrue="1" operator="equal">
      <formula>"Napkin Hs"</formula>
    </cfRule>
    <cfRule type="cellIs" dxfId="27492" priority="12675" stopIfTrue="1" operator="equal">
      <formula>"Towel"</formula>
    </cfRule>
    <cfRule type="cellIs" dxfId="27491" priority="12676" stopIfTrue="1" operator="equal">
      <formula>"Napkin Hs"</formula>
    </cfRule>
    <cfRule type="cellIs" dxfId="27490" priority="12681" stopIfTrue="1" operator="equal">
      <formula>"Towel"</formula>
    </cfRule>
    <cfRule type="cellIs" dxfId="27489" priority="12682" stopIfTrue="1" operator="equal">
      <formula>"Napkin Hs"</formula>
    </cfRule>
    <cfRule type="cellIs" dxfId="27488" priority="12683" stopIfTrue="1" operator="equal">
      <formula>"Towel"</formula>
    </cfRule>
    <cfRule type="cellIs" dxfId="27487" priority="12684" stopIfTrue="1" operator="equal">
      <formula>"Napkin Hs"</formula>
    </cfRule>
    <cfRule type="cellIs" dxfId="27486" priority="12689" stopIfTrue="1" operator="equal">
      <formula>"Towel"</formula>
    </cfRule>
    <cfRule type="cellIs" dxfId="27485" priority="12690" stopIfTrue="1" operator="equal">
      <formula>"Napkin Hs"</formula>
    </cfRule>
    <cfRule type="cellIs" dxfId="27484" priority="12699" stopIfTrue="1" operator="equal">
      <formula>"Towel"</formula>
    </cfRule>
    <cfRule type="cellIs" dxfId="27483" priority="12700" stopIfTrue="1" operator="equal">
      <formula>"Napkin Hs"</formula>
    </cfRule>
    <cfRule type="cellIs" dxfId="27482" priority="12705" stopIfTrue="1" operator="equal">
      <formula>"Towel"</formula>
    </cfRule>
    <cfRule type="cellIs" dxfId="27481" priority="12706" stopIfTrue="1" operator="equal">
      <formula>"Napkin Hs"</formula>
    </cfRule>
    <cfRule type="cellIs" dxfId="27480" priority="12707" stopIfTrue="1" operator="equal">
      <formula>"Towel"</formula>
    </cfRule>
    <cfRule type="cellIs" dxfId="27479" priority="12708" stopIfTrue="1" operator="equal">
      <formula>"Napkin Hs"</formula>
    </cfRule>
    <cfRule type="cellIs" dxfId="27478" priority="12713" stopIfTrue="1" operator="equal">
      <formula>"Towel"</formula>
    </cfRule>
    <cfRule type="cellIs" dxfId="27477" priority="12714" stopIfTrue="1" operator="equal">
      <formula>"Napkin Hs"</formula>
    </cfRule>
    <cfRule type="cellIs" dxfId="27476" priority="12723" stopIfTrue="1" operator="equal">
      <formula>"Towel"</formula>
    </cfRule>
    <cfRule type="cellIs" dxfId="27475" priority="12724" stopIfTrue="1" operator="equal">
      <formula>"Napkin Hs"</formula>
    </cfRule>
    <cfRule type="cellIs" dxfId="27474" priority="12725" stopIfTrue="1" operator="equal">
      <formula>"Towel"</formula>
    </cfRule>
    <cfRule type="cellIs" dxfId="27473" priority="12726" stopIfTrue="1" operator="equal">
      <formula>"Napkin Hs"</formula>
    </cfRule>
    <cfRule type="cellIs" dxfId="27472" priority="12731" stopIfTrue="1" operator="equal">
      <formula>"Towel"</formula>
    </cfRule>
    <cfRule type="cellIs" dxfId="27471" priority="12732" stopIfTrue="1" operator="equal">
      <formula>"Napkin Hs"</formula>
    </cfRule>
    <cfRule type="cellIs" dxfId="27470" priority="12741" stopIfTrue="1" operator="equal">
      <formula>"Towel"</formula>
    </cfRule>
    <cfRule type="cellIs" dxfId="27469" priority="12742" stopIfTrue="1" operator="equal">
      <formula>"Napkin Hs"</formula>
    </cfRule>
    <cfRule type="cellIs" dxfId="27468" priority="12743" stopIfTrue="1" operator="equal">
      <formula>"Towel"</formula>
    </cfRule>
    <cfRule type="cellIs" dxfId="27467" priority="12744" stopIfTrue="1" operator="equal">
      <formula>"Napkin Hs"</formula>
    </cfRule>
    <cfRule type="cellIs" dxfId="27466" priority="12750" stopIfTrue="1" operator="equal">
      <formula>"Napkin Hs"</formula>
    </cfRule>
  </conditionalFormatting>
  <conditionalFormatting sqref="B63:C64">
    <cfRule type="cellIs" dxfId="27465" priority="12749" stopIfTrue="1" operator="equal">
      <formula>"Towel"</formula>
    </cfRule>
  </conditionalFormatting>
  <conditionalFormatting sqref="C63:C64">
    <cfRule type="cellIs" dxfId="27464" priority="12660" stopIfTrue="1" operator="equal">
      <formula>"Napkin Hs"</formula>
    </cfRule>
    <cfRule type="cellIs" dxfId="27463" priority="12661" stopIfTrue="1" operator="equal">
      <formula>"Towel"</formula>
    </cfRule>
    <cfRule type="cellIs" dxfId="27462" priority="12662" stopIfTrue="1" operator="equal">
      <formula>"Napkin Hs"</formula>
    </cfRule>
    <cfRule type="cellIs" dxfId="27461" priority="12663" stopIfTrue="1" operator="equal">
      <formula>"Towel"</formula>
    </cfRule>
    <cfRule type="cellIs" dxfId="27460" priority="12664" stopIfTrue="1" operator="equal">
      <formula>"Napkin Hs"</formula>
    </cfRule>
    <cfRule type="cellIs" dxfId="27459" priority="12665" stopIfTrue="1" operator="equal">
      <formula>"Towel"</formula>
    </cfRule>
    <cfRule type="cellIs" dxfId="27458" priority="12666" stopIfTrue="1" operator="equal">
      <formula>"Napkin Hs"</formula>
    </cfRule>
    <cfRule type="cellIs" dxfId="27457" priority="12667" stopIfTrue="1" operator="equal">
      <formula>"Towel"</formula>
    </cfRule>
    <cfRule type="cellIs" dxfId="27456" priority="12668" stopIfTrue="1" operator="equal">
      <formula>"Napkin Hs"</formula>
    </cfRule>
    <cfRule type="cellIs" dxfId="27455" priority="12671" stopIfTrue="1" operator="equal">
      <formula>"Towel"</formula>
    </cfRule>
    <cfRule type="cellIs" dxfId="27454" priority="12672" stopIfTrue="1" operator="equal">
      <formula>"Napkin Hs"</formula>
    </cfRule>
    <cfRule type="cellIs" dxfId="27453" priority="12673" stopIfTrue="1" operator="equal">
      <formula>"Towel"</formula>
    </cfRule>
    <cfRule type="cellIs" dxfId="27452" priority="12674" stopIfTrue="1" operator="equal">
      <formula>"Napkin Hs"</formula>
    </cfRule>
    <cfRule type="cellIs" dxfId="27451" priority="12677" stopIfTrue="1" operator="equal">
      <formula>"Towel"</formula>
    </cfRule>
    <cfRule type="cellIs" dxfId="27450" priority="12678" stopIfTrue="1" operator="equal">
      <formula>"Napkin Hs"</formula>
    </cfRule>
    <cfRule type="cellIs" dxfId="27449" priority="12679" stopIfTrue="1" operator="equal">
      <formula>"Towel"</formula>
    </cfRule>
    <cfRule type="cellIs" dxfId="27448" priority="12680" stopIfTrue="1" operator="equal">
      <formula>"Napkin Hs"</formula>
    </cfRule>
    <cfRule type="cellIs" dxfId="27447" priority="12685" stopIfTrue="1" operator="equal">
      <formula>"Towel"</formula>
    </cfRule>
    <cfRule type="cellIs" dxfId="27446" priority="12686" stopIfTrue="1" operator="equal">
      <formula>"Napkin Hs"</formula>
    </cfRule>
    <cfRule type="cellIs" dxfId="27445" priority="12687" stopIfTrue="1" operator="equal">
      <formula>"Towel"</formula>
    </cfRule>
    <cfRule type="cellIs" dxfId="27444" priority="12688" stopIfTrue="1" operator="equal">
      <formula>"Napkin Hs"</formula>
    </cfRule>
    <cfRule type="cellIs" dxfId="27443" priority="12691" stopIfTrue="1" operator="equal">
      <formula>"Towel"</formula>
    </cfRule>
    <cfRule type="cellIs" dxfId="27442" priority="12692" stopIfTrue="1" operator="equal">
      <formula>"Napkin Hs"</formula>
    </cfRule>
    <cfRule type="cellIs" dxfId="27441" priority="12693" stopIfTrue="1" operator="equal">
      <formula>"Towel"</formula>
    </cfRule>
    <cfRule type="cellIs" dxfId="27440" priority="12694" stopIfTrue="1" operator="equal">
      <formula>"Napkin Hs"</formula>
    </cfRule>
    <cfRule type="cellIs" dxfId="27439" priority="12695" stopIfTrue="1" operator="equal">
      <formula>"Towel"</formula>
    </cfRule>
    <cfRule type="cellIs" dxfId="27438" priority="12696" stopIfTrue="1" operator="equal">
      <formula>"Napkin Hs"</formula>
    </cfRule>
    <cfRule type="cellIs" dxfId="27437" priority="12697" stopIfTrue="1" operator="equal">
      <formula>"Towel"</formula>
    </cfRule>
    <cfRule type="cellIs" dxfId="27436" priority="12698" stopIfTrue="1" operator="equal">
      <formula>"Napkin Hs"</formula>
    </cfRule>
    <cfRule type="cellIs" dxfId="27435" priority="12701" stopIfTrue="1" operator="equal">
      <formula>"Towel"</formula>
    </cfRule>
    <cfRule type="cellIs" dxfId="27434" priority="12702" stopIfTrue="1" operator="equal">
      <formula>"Napkin Hs"</formula>
    </cfRule>
    <cfRule type="cellIs" dxfId="27433" priority="12703" stopIfTrue="1" operator="equal">
      <formula>"Towel"</formula>
    </cfRule>
    <cfRule type="cellIs" dxfId="27432" priority="12704" stopIfTrue="1" operator="equal">
      <formula>"Napkin Hs"</formula>
    </cfRule>
    <cfRule type="cellIs" dxfId="27431" priority="12709" stopIfTrue="1" operator="equal">
      <formula>"Towel"</formula>
    </cfRule>
    <cfRule type="cellIs" dxfId="27430" priority="12710" stopIfTrue="1" operator="equal">
      <formula>"Napkin Hs"</formula>
    </cfRule>
    <cfRule type="cellIs" dxfId="27429" priority="12711" stopIfTrue="1" operator="equal">
      <formula>"Towel"</formula>
    </cfRule>
    <cfRule type="cellIs" dxfId="27428" priority="12712" stopIfTrue="1" operator="equal">
      <formula>"Napkin Hs"</formula>
    </cfRule>
    <cfRule type="cellIs" dxfId="27427" priority="12715" stopIfTrue="1" operator="equal">
      <formula>"Towel"</formula>
    </cfRule>
    <cfRule type="cellIs" dxfId="27426" priority="12716" stopIfTrue="1" operator="equal">
      <formula>"Napkin Hs"</formula>
    </cfRule>
    <cfRule type="cellIs" dxfId="27425" priority="12717" stopIfTrue="1" operator="equal">
      <formula>"Towel"</formula>
    </cfRule>
    <cfRule type="cellIs" dxfId="27424" priority="12718" stopIfTrue="1" operator="equal">
      <formula>"Napkin Hs"</formula>
    </cfRule>
    <cfRule type="cellIs" dxfId="27423" priority="12719" stopIfTrue="1" operator="equal">
      <formula>"Towel"</formula>
    </cfRule>
    <cfRule type="cellIs" dxfId="27422" priority="12720" stopIfTrue="1" operator="equal">
      <formula>"Napkin Hs"</formula>
    </cfRule>
    <cfRule type="cellIs" dxfId="27421" priority="12721" stopIfTrue="1" operator="equal">
      <formula>"Towel"</formula>
    </cfRule>
    <cfRule type="cellIs" dxfId="27420" priority="12722" stopIfTrue="1" operator="equal">
      <formula>"Napkin Hs"</formula>
    </cfRule>
    <cfRule type="cellIs" dxfId="27419" priority="12727" stopIfTrue="1" operator="equal">
      <formula>"Towel"</formula>
    </cfRule>
    <cfRule type="cellIs" dxfId="27418" priority="12728" stopIfTrue="1" operator="equal">
      <formula>"Napkin Hs"</formula>
    </cfRule>
    <cfRule type="cellIs" dxfId="27417" priority="12729" stopIfTrue="1" operator="equal">
      <formula>"Towel"</formula>
    </cfRule>
    <cfRule type="cellIs" dxfId="27416" priority="12730" stopIfTrue="1" operator="equal">
      <formula>"Napkin Hs"</formula>
    </cfRule>
    <cfRule type="cellIs" dxfId="27415" priority="12733" stopIfTrue="1" operator="equal">
      <formula>"Towel"</formula>
    </cfRule>
    <cfRule type="cellIs" dxfId="27414" priority="12734" stopIfTrue="1" operator="equal">
      <formula>"Napkin Hs"</formula>
    </cfRule>
    <cfRule type="cellIs" dxfId="27413" priority="12735" stopIfTrue="1" operator="equal">
      <formula>"Towel"</formula>
    </cfRule>
    <cfRule type="cellIs" dxfId="27412" priority="12736" stopIfTrue="1" operator="equal">
      <formula>"Napkin Hs"</formula>
    </cfRule>
    <cfRule type="cellIs" dxfId="27411" priority="12737" stopIfTrue="1" operator="equal">
      <formula>"Towel"</formula>
    </cfRule>
    <cfRule type="cellIs" dxfId="27410" priority="12738" stopIfTrue="1" operator="equal">
      <formula>"Napkin Hs"</formula>
    </cfRule>
    <cfRule type="cellIs" dxfId="27409" priority="12739" stopIfTrue="1" operator="equal">
      <formula>"Towel"</formula>
    </cfRule>
    <cfRule type="cellIs" dxfId="27408" priority="12740" stopIfTrue="1" operator="equal">
      <formula>"Napkin Hs"</formula>
    </cfRule>
    <cfRule type="cellIs" dxfId="27407" priority="12745" stopIfTrue="1" operator="equal">
      <formula>"Towel"</formula>
    </cfRule>
    <cfRule type="cellIs" dxfId="27406" priority="12746" stopIfTrue="1" operator="equal">
      <formula>"Napkin Hs"</formula>
    </cfRule>
    <cfRule type="cellIs" dxfId="27405" priority="12747" stopIfTrue="1" operator="equal">
      <formula>"Towel"</formula>
    </cfRule>
    <cfRule type="cellIs" dxfId="27404" priority="12748" stopIfTrue="1" operator="equal">
      <formula>"Napkin Hs"</formula>
    </cfRule>
    <cfRule type="cellIs" dxfId="27403" priority="12751" stopIfTrue="1" operator="equal">
      <formula>"Towel"</formula>
    </cfRule>
    <cfRule type="cellIs" dxfId="27402" priority="12752" stopIfTrue="1" operator="equal">
      <formula>"Napkin Hs"</formula>
    </cfRule>
    <cfRule type="cellIs" dxfId="27401" priority="12753" stopIfTrue="1" operator="equal">
      <formula>"Towel"</formula>
    </cfRule>
    <cfRule type="cellIs" dxfId="27400" priority="12754" stopIfTrue="1" operator="equal">
      <formula>"Napkin Hs"</formula>
    </cfRule>
  </conditionalFormatting>
  <conditionalFormatting sqref="C63:C64">
    <cfRule type="cellIs" dxfId="27399" priority="12657" stopIfTrue="1" operator="equal">
      <formula>"Napkin Hs"</formula>
    </cfRule>
  </conditionalFormatting>
  <conditionalFormatting sqref="C63:C64">
    <cfRule type="cellIs" dxfId="27398" priority="12656" stopIfTrue="1" operator="equal">
      <formula>"Napkin Hs"</formula>
    </cfRule>
  </conditionalFormatting>
  <conditionalFormatting sqref="B63:B64">
    <cfRule type="cellIs" dxfId="27397" priority="12655" stopIfTrue="1" operator="equal">
      <formula>"Napkin Hs"</formula>
    </cfRule>
  </conditionalFormatting>
  <conditionalFormatting sqref="C63:C64">
    <cfRule type="cellIs" dxfId="27396" priority="12654" stopIfTrue="1" operator="equal">
      <formula>"Napkin Hs"</formula>
    </cfRule>
  </conditionalFormatting>
  <conditionalFormatting sqref="C63:C64">
    <cfRule type="cellIs" dxfId="27395" priority="12653" stopIfTrue="1" operator="equal">
      <formula>"Napkin Hs"</formula>
    </cfRule>
  </conditionalFormatting>
  <conditionalFormatting sqref="C63:C64">
    <cfRule type="cellIs" dxfId="27394" priority="12652" stopIfTrue="1" operator="equal">
      <formula>"Napkin Hs"</formula>
    </cfRule>
  </conditionalFormatting>
  <conditionalFormatting sqref="C63:C64">
    <cfRule type="cellIs" dxfId="27393" priority="12651" stopIfTrue="1" operator="equal">
      <formula>"Napkin Hs"</formula>
    </cfRule>
  </conditionalFormatting>
  <conditionalFormatting sqref="B63:B64">
    <cfRule type="cellIs" dxfId="27392" priority="12650" stopIfTrue="1" operator="equal">
      <formula>"Napkin Hs"</formula>
    </cfRule>
  </conditionalFormatting>
  <conditionalFormatting sqref="B63:B64">
    <cfRule type="cellIs" dxfId="27391" priority="12649" stopIfTrue="1" operator="equal">
      <formula>"Napkin Hs"</formula>
    </cfRule>
  </conditionalFormatting>
  <conditionalFormatting sqref="C63:C64">
    <cfRule type="cellIs" dxfId="27390" priority="12645" stopIfTrue="1" operator="equal">
      <formula>"Towel"</formula>
    </cfRule>
    <cfRule type="cellIs" dxfId="27389" priority="12646" stopIfTrue="1" operator="equal">
      <formula>"Napkin Hs"</formula>
    </cfRule>
  </conditionalFormatting>
  <conditionalFormatting sqref="C63:C64">
    <cfRule type="cellIs" dxfId="27388" priority="12647" stopIfTrue="1" operator="equal">
      <formula>"Towel"</formula>
    </cfRule>
    <cfRule type="cellIs" dxfId="27387" priority="12648" stopIfTrue="1" operator="equal">
      <formula>"Napkin Hs"</formula>
    </cfRule>
  </conditionalFormatting>
  <conditionalFormatting sqref="C63:C64">
    <cfRule type="cellIs" dxfId="27386" priority="12641" stopIfTrue="1" operator="equal">
      <formula>"Towel"</formula>
    </cfRule>
    <cfRule type="cellIs" dxfId="27385" priority="12642" stopIfTrue="1" operator="equal">
      <formula>"Napkin Hs"</formula>
    </cfRule>
  </conditionalFormatting>
  <conditionalFormatting sqref="C63:C64">
    <cfRule type="cellIs" dxfId="27384" priority="12643" stopIfTrue="1" operator="equal">
      <formula>"Towel"</formula>
    </cfRule>
    <cfRule type="cellIs" dxfId="27383" priority="12644" stopIfTrue="1" operator="equal">
      <formula>"Napkin Hs"</formula>
    </cfRule>
  </conditionalFormatting>
  <conditionalFormatting sqref="C61:C62">
    <cfRule type="cellIs" dxfId="27382" priority="12637" stopIfTrue="1" operator="equal">
      <formula>"Towel"</formula>
    </cfRule>
    <cfRule type="cellIs" dxfId="27381" priority="12638" stopIfTrue="1" operator="equal">
      <formula>"Napkin Hs"</formula>
    </cfRule>
  </conditionalFormatting>
  <conditionalFormatting sqref="C61:C62">
    <cfRule type="cellIs" dxfId="27380" priority="12639" stopIfTrue="1" operator="equal">
      <formula>"Towel"</formula>
    </cfRule>
    <cfRule type="cellIs" dxfId="27379" priority="12640" stopIfTrue="1" operator="equal">
      <formula>"Napkin Hs"</formula>
    </cfRule>
  </conditionalFormatting>
  <conditionalFormatting sqref="C61:C62">
    <cfRule type="cellIs" dxfId="27378" priority="12635" stopIfTrue="1" operator="equal">
      <formula>"Towel"</formula>
    </cfRule>
    <cfRule type="cellIs" dxfId="27377" priority="12636" stopIfTrue="1" operator="equal">
      <formula>"Napkin Hs"</formula>
    </cfRule>
  </conditionalFormatting>
  <conditionalFormatting sqref="B61">
    <cfRule type="cellIs" dxfId="27376" priority="12633" stopIfTrue="1" operator="equal">
      <formula>"Towel"</formula>
    </cfRule>
    <cfRule type="cellIs" dxfId="27375" priority="12634" stopIfTrue="1" operator="equal">
      <formula>"Napkin Hs"</formula>
    </cfRule>
  </conditionalFormatting>
  <conditionalFormatting sqref="C61:C62">
    <cfRule type="cellIs" dxfId="27374" priority="12627" stopIfTrue="1" operator="equal">
      <formula>"Towel"</formula>
    </cfRule>
    <cfRule type="cellIs" dxfId="27373" priority="12628" stopIfTrue="1" operator="equal">
      <formula>"Napkin Hs"</formula>
    </cfRule>
  </conditionalFormatting>
  <conditionalFormatting sqref="C61:C62">
    <cfRule type="cellIs" dxfId="27372" priority="12631" stopIfTrue="1" operator="equal">
      <formula>"Towel"</formula>
    </cfRule>
    <cfRule type="cellIs" dxfId="27371" priority="12632" stopIfTrue="1" operator="equal">
      <formula>"Napkin Hs"</formula>
    </cfRule>
  </conditionalFormatting>
  <conditionalFormatting sqref="C61:C62">
    <cfRule type="cellIs" dxfId="27370" priority="12629" stopIfTrue="1" operator="equal">
      <formula>"Towel"</formula>
    </cfRule>
    <cfRule type="cellIs" dxfId="27369" priority="12630" stopIfTrue="1" operator="equal">
      <formula>"Napkin Hs"</formula>
    </cfRule>
  </conditionalFormatting>
  <conditionalFormatting sqref="C61:C62">
    <cfRule type="cellIs" dxfId="27368" priority="12621" stopIfTrue="1" operator="equal">
      <formula>"Towel"</formula>
    </cfRule>
    <cfRule type="cellIs" dxfId="27367" priority="12622" stopIfTrue="1" operator="equal">
      <formula>"Napkin Hs"</formula>
    </cfRule>
  </conditionalFormatting>
  <conditionalFormatting sqref="C61:C62">
    <cfRule type="cellIs" dxfId="27366" priority="12623" stopIfTrue="1" operator="equal">
      <formula>"Towel"</formula>
    </cfRule>
    <cfRule type="cellIs" dxfId="27365" priority="12624" stopIfTrue="1" operator="equal">
      <formula>"Napkin Hs"</formula>
    </cfRule>
  </conditionalFormatting>
  <conditionalFormatting sqref="C61:C62">
    <cfRule type="cellIs" dxfId="27364" priority="12625" stopIfTrue="1" operator="equal">
      <formula>"Towel"</formula>
    </cfRule>
    <cfRule type="cellIs" dxfId="27363" priority="12626" stopIfTrue="1" operator="equal">
      <formula>"Napkin Hs"</formula>
    </cfRule>
  </conditionalFormatting>
  <conditionalFormatting sqref="B61:C61 C62">
    <cfRule type="cellIs" dxfId="27362" priority="12619" stopIfTrue="1" operator="equal">
      <formula>"Towel"</formula>
    </cfRule>
    <cfRule type="cellIs" dxfId="27361" priority="12620" stopIfTrue="1" operator="equal">
      <formula>"Napkin Hs"</formula>
    </cfRule>
  </conditionalFormatting>
  <conditionalFormatting sqref="B61:C61 C62">
    <cfRule type="cellIs" dxfId="27360" priority="12617" stopIfTrue="1" operator="equal">
      <formula>"Towel"</formula>
    </cfRule>
    <cfRule type="cellIs" dxfId="27359" priority="12618" stopIfTrue="1" operator="equal">
      <formula>"Napkin Hs"</formula>
    </cfRule>
  </conditionalFormatting>
  <conditionalFormatting sqref="B61:C61 C62">
    <cfRule type="cellIs" dxfId="27358" priority="12593" stopIfTrue="1" operator="equal">
      <formula>"Towel"</formula>
    </cfRule>
  </conditionalFormatting>
  <conditionalFormatting sqref="B61:C61 C62">
    <cfRule type="cellIs" dxfId="27357" priority="12594" stopIfTrue="1" operator="equal">
      <formula>"Napkin Hs"</formula>
    </cfRule>
    <cfRule type="cellIs" dxfId="27356" priority="12599" stopIfTrue="1" operator="equal">
      <formula>"Towel"</formula>
    </cfRule>
    <cfRule type="cellIs" dxfId="27355" priority="12600" stopIfTrue="1" operator="equal">
      <formula>"Napkin Hs"</formula>
    </cfRule>
    <cfRule type="cellIs" dxfId="27354" priority="12609" stopIfTrue="1" operator="equal">
      <formula>"Towel"</formula>
    </cfRule>
    <cfRule type="cellIs" dxfId="27353" priority="12610" stopIfTrue="1" operator="equal">
      <formula>"Napkin Hs"</formula>
    </cfRule>
    <cfRule type="cellIs" dxfId="27352" priority="12615" stopIfTrue="1" operator="equal">
      <formula>"Towel"</formula>
    </cfRule>
    <cfRule type="cellIs" dxfId="27351" priority="12616" stopIfTrue="1" operator="equal">
      <formula>"Napkin Hs"</formula>
    </cfRule>
  </conditionalFormatting>
  <conditionalFormatting sqref="C61:C62">
    <cfRule type="cellIs" dxfId="27350" priority="12595" stopIfTrue="1" operator="equal">
      <formula>"Towel"</formula>
    </cfRule>
    <cfRule type="cellIs" dxfId="27349" priority="12596" stopIfTrue="1" operator="equal">
      <formula>"Napkin Hs"</formula>
    </cfRule>
    <cfRule type="cellIs" dxfId="27348" priority="12597" stopIfTrue="1" operator="equal">
      <formula>"Towel"</formula>
    </cfRule>
    <cfRule type="cellIs" dxfId="27347" priority="12598" stopIfTrue="1" operator="equal">
      <formula>"Napkin Hs"</formula>
    </cfRule>
    <cfRule type="cellIs" dxfId="27346" priority="12601" stopIfTrue="1" operator="equal">
      <formula>"Towel"</formula>
    </cfRule>
    <cfRule type="cellIs" dxfId="27345" priority="12602" stopIfTrue="1" operator="equal">
      <formula>"Napkin Hs"</formula>
    </cfRule>
    <cfRule type="cellIs" dxfId="27344" priority="12603" stopIfTrue="1" operator="equal">
      <formula>"Towel"</formula>
    </cfRule>
    <cfRule type="cellIs" dxfId="27343" priority="12604" stopIfTrue="1" operator="equal">
      <formula>"Napkin Hs"</formula>
    </cfRule>
    <cfRule type="cellIs" dxfId="27342" priority="12605" stopIfTrue="1" operator="equal">
      <formula>"Towel"</formula>
    </cfRule>
    <cfRule type="cellIs" dxfId="27341" priority="12606" stopIfTrue="1" operator="equal">
      <formula>"Napkin Hs"</formula>
    </cfRule>
    <cfRule type="cellIs" dxfId="27340" priority="12607" stopIfTrue="1" operator="equal">
      <formula>"Towel"</formula>
    </cfRule>
    <cfRule type="cellIs" dxfId="27339" priority="12608" stopIfTrue="1" operator="equal">
      <formula>"Napkin Hs"</formula>
    </cfRule>
    <cfRule type="cellIs" dxfId="27338" priority="12611" stopIfTrue="1" operator="equal">
      <formula>"Towel"</formula>
    </cfRule>
    <cfRule type="cellIs" dxfId="27337" priority="12612" stopIfTrue="1" operator="equal">
      <formula>"Napkin Hs"</formula>
    </cfRule>
    <cfRule type="cellIs" dxfId="27336" priority="12614" stopIfTrue="1" operator="equal">
      <formula>"Napkin Hs"</formula>
    </cfRule>
  </conditionalFormatting>
  <conditionalFormatting sqref="C61:C62">
    <cfRule type="cellIs" dxfId="27335" priority="12613" stopIfTrue="1" operator="equal">
      <formula>"Towel"</formula>
    </cfRule>
  </conditionalFormatting>
  <conditionalFormatting sqref="B61:C61 C62">
    <cfRule type="cellIs" dxfId="27334" priority="12591" stopIfTrue="1" operator="equal">
      <formula>"Towel"</formula>
    </cfRule>
    <cfRule type="cellIs" dxfId="27333" priority="12592" stopIfTrue="1" operator="equal">
      <formula>"Napkin Hs"</formula>
    </cfRule>
  </conditionalFormatting>
  <conditionalFormatting sqref="C61:C62">
    <cfRule type="cellIs" dxfId="27332" priority="12590" stopIfTrue="1" operator="equal">
      <formula>"Napkin Hs"</formula>
    </cfRule>
  </conditionalFormatting>
  <conditionalFormatting sqref="C61:C62">
    <cfRule type="cellIs" dxfId="27331" priority="12589" stopIfTrue="1" operator="equal">
      <formula>"Towel"</formula>
    </cfRule>
  </conditionalFormatting>
  <conditionalFormatting sqref="C61:C62">
    <cfRule type="cellIs" dxfId="27330" priority="12587" stopIfTrue="1" operator="equal">
      <formula>"Towel"</formula>
    </cfRule>
  </conditionalFormatting>
  <conditionalFormatting sqref="C61:C62">
    <cfRule type="cellIs" dxfId="27329" priority="12588" stopIfTrue="1" operator="equal">
      <formula>"Napkin Hs"</formula>
    </cfRule>
  </conditionalFormatting>
  <conditionalFormatting sqref="B61">
    <cfRule type="cellIs" dxfId="27328" priority="12491" stopIfTrue="1" operator="equal">
      <formula>"Napkin Hs"</formula>
    </cfRule>
  </conditionalFormatting>
  <conditionalFormatting sqref="B61:C61 C62">
    <cfRule type="cellIs" dxfId="27327" priority="12490" stopIfTrue="1" operator="equal">
      <formula>"Towel"</formula>
    </cfRule>
  </conditionalFormatting>
  <conditionalFormatting sqref="B61:C61 C62">
    <cfRule type="cellIs" dxfId="27326" priority="12501" stopIfTrue="1" operator="equal">
      <formula>"Towel"</formula>
    </cfRule>
    <cfRule type="cellIs" dxfId="27325" priority="12502" stopIfTrue="1" operator="equal">
      <formula>"Napkin Hs"</formula>
    </cfRule>
    <cfRule type="cellIs" dxfId="27324" priority="12507" stopIfTrue="1" operator="equal">
      <formula>"Towel"</formula>
    </cfRule>
    <cfRule type="cellIs" dxfId="27323" priority="12508" stopIfTrue="1" operator="equal">
      <formula>"Napkin Hs"</formula>
    </cfRule>
    <cfRule type="cellIs" dxfId="27322" priority="12513" stopIfTrue="1" operator="equal">
      <formula>"Towel"</formula>
    </cfRule>
    <cfRule type="cellIs" dxfId="27321" priority="12514" stopIfTrue="1" operator="equal">
      <formula>"Napkin Hs"</formula>
    </cfRule>
    <cfRule type="cellIs" dxfId="27320" priority="12515" stopIfTrue="1" operator="equal">
      <formula>"Towel"</formula>
    </cfRule>
    <cfRule type="cellIs" dxfId="27319" priority="12516" stopIfTrue="1" operator="equal">
      <formula>"Napkin Hs"</formula>
    </cfRule>
    <cfRule type="cellIs" dxfId="27318" priority="12521" stopIfTrue="1" operator="equal">
      <formula>"Towel"</formula>
    </cfRule>
    <cfRule type="cellIs" dxfId="27317" priority="12522" stopIfTrue="1" operator="equal">
      <formula>"Napkin Hs"</formula>
    </cfRule>
    <cfRule type="cellIs" dxfId="27316" priority="12531" stopIfTrue="1" operator="equal">
      <formula>"Towel"</formula>
    </cfRule>
    <cfRule type="cellIs" dxfId="27315" priority="12532" stopIfTrue="1" operator="equal">
      <formula>"Napkin Hs"</formula>
    </cfRule>
    <cfRule type="cellIs" dxfId="27314" priority="12537" stopIfTrue="1" operator="equal">
      <formula>"Towel"</formula>
    </cfRule>
    <cfRule type="cellIs" dxfId="27313" priority="12538" stopIfTrue="1" operator="equal">
      <formula>"Napkin Hs"</formula>
    </cfRule>
    <cfRule type="cellIs" dxfId="27312" priority="12539" stopIfTrue="1" operator="equal">
      <formula>"Towel"</formula>
    </cfRule>
    <cfRule type="cellIs" dxfId="27311" priority="12540" stopIfTrue="1" operator="equal">
      <formula>"Napkin Hs"</formula>
    </cfRule>
    <cfRule type="cellIs" dxfId="27310" priority="12545" stopIfTrue="1" operator="equal">
      <formula>"Towel"</formula>
    </cfRule>
    <cfRule type="cellIs" dxfId="27309" priority="12546" stopIfTrue="1" operator="equal">
      <formula>"Napkin Hs"</formula>
    </cfRule>
    <cfRule type="cellIs" dxfId="27308" priority="12555" stopIfTrue="1" operator="equal">
      <formula>"Towel"</formula>
    </cfRule>
    <cfRule type="cellIs" dxfId="27307" priority="12556" stopIfTrue="1" operator="equal">
      <formula>"Napkin Hs"</formula>
    </cfRule>
    <cfRule type="cellIs" dxfId="27306" priority="12557" stopIfTrue="1" operator="equal">
      <formula>"Towel"</formula>
    </cfRule>
    <cfRule type="cellIs" dxfId="27305" priority="12558" stopIfTrue="1" operator="equal">
      <formula>"Napkin Hs"</formula>
    </cfRule>
    <cfRule type="cellIs" dxfId="27304" priority="12563" stopIfTrue="1" operator="equal">
      <formula>"Towel"</formula>
    </cfRule>
    <cfRule type="cellIs" dxfId="27303" priority="12564" stopIfTrue="1" operator="equal">
      <formula>"Napkin Hs"</formula>
    </cfRule>
    <cfRule type="cellIs" dxfId="27302" priority="12573" stopIfTrue="1" operator="equal">
      <formula>"Towel"</formula>
    </cfRule>
    <cfRule type="cellIs" dxfId="27301" priority="12574" stopIfTrue="1" operator="equal">
      <formula>"Napkin Hs"</formula>
    </cfRule>
    <cfRule type="cellIs" dxfId="27300" priority="12575" stopIfTrue="1" operator="equal">
      <formula>"Towel"</formula>
    </cfRule>
    <cfRule type="cellIs" dxfId="27299" priority="12576" stopIfTrue="1" operator="equal">
      <formula>"Napkin Hs"</formula>
    </cfRule>
    <cfRule type="cellIs" dxfId="27298" priority="12582" stopIfTrue="1" operator="equal">
      <formula>"Napkin Hs"</formula>
    </cfRule>
  </conditionalFormatting>
  <conditionalFormatting sqref="B61:C61 C62">
    <cfRule type="cellIs" dxfId="27297" priority="12581" stopIfTrue="1" operator="equal">
      <formula>"Towel"</formula>
    </cfRule>
  </conditionalFormatting>
  <conditionalFormatting sqref="C61:C62">
    <cfRule type="cellIs" dxfId="27296" priority="12492" stopIfTrue="1" operator="equal">
      <formula>"Napkin Hs"</formula>
    </cfRule>
    <cfRule type="cellIs" dxfId="27295" priority="12493" stopIfTrue="1" operator="equal">
      <formula>"Towel"</formula>
    </cfRule>
    <cfRule type="cellIs" dxfId="27294" priority="12494" stopIfTrue="1" operator="equal">
      <formula>"Napkin Hs"</formula>
    </cfRule>
    <cfRule type="cellIs" dxfId="27293" priority="12495" stopIfTrue="1" operator="equal">
      <formula>"Towel"</formula>
    </cfRule>
    <cfRule type="cellIs" dxfId="27292" priority="12496" stopIfTrue="1" operator="equal">
      <formula>"Napkin Hs"</formula>
    </cfRule>
    <cfRule type="cellIs" dxfId="27291" priority="12497" stopIfTrue="1" operator="equal">
      <formula>"Towel"</formula>
    </cfRule>
    <cfRule type="cellIs" dxfId="27290" priority="12498" stopIfTrue="1" operator="equal">
      <formula>"Napkin Hs"</formula>
    </cfRule>
    <cfRule type="cellIs" dxfId="27289" priority="12499" stopIfTrue="1" operator="equal">
      <formula>"Towel"</formula>
    </cfRule>
    <cfRule type="cellIs" dxfId="27288" priority="12500" stopIfTrue="1" operator="equal">
      <formula>"Napkin Hs"</formula>
    </cfRule>
    <cfRule type="cellIs" dxfId="27287" priority="12503" stopIfTrue="1" operator="equal">
      <formula>"Towel"</formula>
    </cfRule>
    <cfRule type="cellIs" dxfId="27286" priority="12504" stopIfTrue="1" operator="equal">
      <formula>"Napkin Hs"</formula>
    </cfRule>
    <cfRule type="cellIs" dxfId="27285" priority="12505" stopIfTrue="1" operator="equal">
      <formula>"Towel"</formula>
    </cfRule>
    <cfRule type="cellIs" dxfId="27284" priority="12506" stopIfTrue="1" operator="equal">
      <formula>"Napkin Hs"</formula>
    </cfRule>
    <cfRule type="cellIs" dxfId="27283" priority="12509" stopIfTrue="1" operator="equal">
      <formula>"Towel"</formula>
    </cfRule>
    <cfRule type="cellIs" dxfId="27282" priority="12510" stopIfTrue="1" operator="equal">
      <formula>"Napkin Hs"</formula>
    </cfRule>
    <cfRule type="cellIs" dxfId="27281" priority="12511" stopIfTrue="1" operator="equal">
      <formula>"Towel"</formula>
    </cfRule>
    <cfRule type="cellIs" dxfId="27280" priority="12512" stopIfTrue="1" operator="equal">
      <formula>"Napkin Hs"</formula>
    </cfRule>
    <cfRule type="cellIs" dxfId="27279" priority="12517" stopIfTrue="1" operator="equal">
      <formula>"Towel"</formula>
    </cfRule>
    <cfRule type="cellIs" dxfId="27278" priority="12518" stopIfTrue="1" operator="equal">
      <formula>"Napkin Hs"</formula>
    </cfRule>
    <cfRule type="cellIs" dxfId="27277" priority="12519" stopIfTrue="1" operator="equal">
      <formula>"Towel"</formula>
    </cfRule>
    <cfRule type="cellIs" dxfId="27276" priority="12520" stopIfTrue="1" operator="equal">
      <formula>"Napkin Hs"</formula>
    </cfRule>
    <cfRule type="cellIs" dxfId="27275" priority="12523" stopIfTrue="1" operator="equal">
      <formula>"Towel"</formula>
    </cfRule>
    <cfRule type="cellIs" dxfId="27274" priority="12524" stopIfTrue="1" operator="equal">
      <formula>"Napkin Hs"</formula>
    </cfRule>
    <cfRule type="cellIs" dxfId="27273" priority="12525" stopIfTrue="1" operator="equal">
      <formula>"Towel"</formula>
    </cfRule>
    <cfRule type="cellIs" dxfId="27272" priority="12526" stopIfTrue="1" operator="equal">
      <formula>"Napkin Hs"</formula>
    </cfRule>
    <cfRule type="cellIs" dxfId="27271" priority="12527" stopIfTrue="1" operator="equal">
      <formula>"Towel"</formula>
    </cfRule>
    <cfRule type="cellIs" dxfId="27270" priority="12528" stopIfTrue="1" operator="equal">
      <formula>"Napkin Hs"</formula>
    </cfRule>
    <cfRule type="cellIs" dxfId="27269" priority="12529" stopIfTrue="1" operator="equal">
      <formula>"Towel"</formula>
    </cfRule>
    <cfRule type="cellIs" dxfId="27268" priority="12530" stopIfTrue="1" operator="equal">
      <formula>"Napkin Hs"</formula>
    </cfRule>
    <cfRule type="cellIs" dxfId="27267" priority="12533" stopIfTrue="1" operator="equal">
      <formula>"Towel"</formula>
    </cfRule>
    <cfRule type="cellIs" dxfId="27266" priority="12534" stopIfTrue="1" operator="equal">
      <formula>"Napkin Hs"</formula>
    </cfRule>
    <cfRule type="cellIs" dxfId="27265" priority="12535" stopIfTrue="1" operator="equal">
      <formula>"Towel"</formula>
    </cfRule>
    <cfRule type="cellIs" dxfId="27264" priority="12536" stopIfTrue="1" operator="equal">
      <formula>"Napkin Hs"</formula>
    </cfRule>
    <cfRule type="cellIs" dxfId="27263" priority="12541" stopIfTrue="1" operator="equal">
      <formula>"Towel"</formula>
    </cfRule>
    <cfRule type="cellIs" dxfId="27262" priority="12542" stopIfTrue="1" operator="equal">
      <formula>"Napkin Hs"</formula>
    </cfRule>
    <cfRule type="cellIs" dxfId="27261" priority="12543" stopIfTrue="1" operator="equal">
      <formula>"Towel"</formula>
    </cfRule>
    <cfRule type="cellIs" dxfId="27260" priority="12544" stopIfTrue="1" operator="equal">
      <formula>"Napkin Hs"</formula>
    </cfRule>
    <cfRule type="cellIs" dxfId="27259" priority="12547" stopIfTrue="1" operator="equal">
      <formula>"Towel"</formula>
    </cfRule>
    <cfRule type="cellIs" dxfId="27258" priority="12548" stopIfTrue="1" operator="equal">
      <formula>"Napkin Hs"</formula>
    </cfRule>
    <cfRule type="cellIs" dxfId="27257" priority="12549" stopIfTrue="1" operator="equal">
      <formula>"Towel"</formula>
    </cfRule>
    <cfRule type="cellIs" dxfId="27256" priority="12550" stopIfTrue="1" operator="equal">
      <formula>"Napkin Hs"</formula>
    </cfRule>
    <cfRule type="cellIs" dxfId="27255" priority="12551" stopIfTrue="1" operator="equal">
      <formula>"Towel"</formula>
    </cfRule>
    <cfRule type="cellIs" dxfId="27254" priority="12552" stopIfTrue="1" operator="equal">
      <formula>"Napkin Hs"</formula>
    </cfRule>
    <cfRule type="cellIs" dxfId="27253" priority="12553" stopIfTrue="1" operator="equal">
      <formula>"Towel"</formula>
    </cfRule>
    <cfRule type="cellIs" dxfId="27252" priority="12554" stopIfTrue="1" operator="equal">
      <formula>"Napkin Hs"</formula>
    </cfRule>
    <cfRule type="cellIs" dxfId="27251" priority="12559" stopIfTrue="1" operator="equal">
      <formula>"Towel"</formula>
    </cfRule>
    <cfRule type="cellIs" dxfId="27250" priority="12560" stopIfTrue="1" operator="equal">
      <formula>"Napkin Hs"</formula>
    </cfRule>
    <cfRule type="cellIs" dxfId="27249" priority="12561" stopIfTrue="1" operator="equal">
      <formula>"Towel"</formula>
    </cfRule>
    <cfRule type="cellIs" dxfId="27248" priority="12562" stopIfTrue="1" operator="equal">
      <formula>"Napkin Hs"</formula>
    </cfRule>
    <cfRule type="cellIs" dxfId="27247" priority="12565" stopIfTrue="1" operator="equal">
      <formula>"Towel"</formula>
    </cfRule>
    <cfRule type="cellIs" dxfId="27246" priority="12566" stopIfTrue="1" operator="equal">
      <formula>"Napkin Hs"</formula>
    </cfRule>
    <cfRule type="cellIs" dxfId="27245" priority="12567" stopIfTrue="1" operator="equal">
      <formula>"Towel"</formula>
    </cfRule>
    <cfRule type="cellIs" dxfId="27244" priority="12568" stopIfTrue="1" operator="equal">
      <formula>"Napkin Hs"</formula>
    </cfRule>
    <cfRule type="cellIs" dxfId="27243" priority="12569" stopIfTrue="1" operator="equal">
      <formula>"Towel"</formula>
    </cfRule>
    <cfRule type="cellIs" dxfId="27242" priority="12570" stopIfTrue="1" operator="equal">
      <formula>"Napkin Hs"</formula>
    </cfRule>
    <cfRule type="cellIs" dxfId="27241" priority="12571" stopIfTrue="1" operator="equal">
      <formula>"Towel"</formula>
    </cfRule>
    <cfRule type="cellIs" dxfId="27240" priority="12572" stopIfTrue="1" operator="equal">
      <formula>"Napkin Hs"</formula>
    </cfRule>
    <cfRule type="cellIs" dxfId="27239" priority="12577" stopIfTrue="1" operator="equal">
      <formula>"Towel"</formula>
    </cfRule>
    <cfRule type="cellIs" dxfId="27238" priority="12578" stopIfTrue="1" operator="equal">
      <formula>"Napkin Hs"</formula>
    </cfRule>
    <cfRule type="cellIs" dxfId="27237" priority="12579" stopIfTrue="1" operator="equal">
      <formula>"Towel"</formula>
    </cfRule>
    <cfRule type="cellIs" dxfId="27236" priority="12580" stopIfTrue="1" operator="equal">
      <formula>"Napkin Hs"</formula>
    </cfRule>
    <cfRule type="cellIs" dxfId="27235" priority="12583" stopIfTrue="1" operator="equal">
      <formula>"Towel"</formula>
    </cfRule>
    <cfRule type="cellIs" dxfId="27234" priority="12584" stopIfTrue="1" operator="equal">
      <formula>"Napkin Hs"</formula>
    </cfRule>
    <cfRule type="cellIs" dxfId="27233" priority="12585" stopIfTrue="1" operator="equal">
      <formula>"Towel"</formula>
    </cfRule>
    <cfRule type="cellIs" dxfId="27232" priority="12586" stopIfTrue="1" operator="equal">
      <formula>"Napkin Hs"</formula>
    </cfRule>
  </conditionalFormatting>
  <conditionalFormatting sqref="C61:C62">
    <cfRule type="cellIs" dxfId="27231" priority="12489" stopIfTrue="1" operator="equal">
      <formula>"Napkin Hs"</formula>
    </cfRule>
  </conditionalFormatting>
  <conditionalFormatting sqref="C61:C62">
    <cfRule type="cellIs" dxfId="27230" priority="12488" stopIfTrue="1" operator="equal">
      <formula>"Napkin Hs"</formula>
    </cfRule>
  </conditionalFormatting>
  <conditionalFormatting sqref="B61">
    <cfRule type="cellIs" dxfId="27229" priority="12487" stopIfTrue="1" operator="equal">
      <formula>"Napkin Hs"</formula>
    </cfRule>
  </conditionalFormatting>
  <conditionalFormatting sqref="C61:C62">
    <cfRule type="cellIs" dxfId="27228" priority="12486" stopIfTrue="1" operator="equal">
      <formula>"Napkin Hs"</formula>
    </cfRule>
  </conditionalFormatting>
  <conditionalFormatting sqref="C61:C62">
    <cfRule type="cellIs" dxfId="27227" priority="12485" stopIfTrue="1" operator="equal">
      <formula>"Napkin Hs"</formula>
    </cfRule>
  </conditionalFormatting>
  <conditionalFormatting sqref="C61:C62">
    <cfRule type="cellIs" dxfId="27226" priority="12484" stopIfTrue="1" operator="equal">
      <formula>"Napkin Hs"</formula>
    </cfRule>
  </conditionalFormatting>
  <conditionalFormatting sqref="C61:C62">
    <cfRule type="cellIs" dxfId="27225" priority="12483" stopIfTrue="1" operator="equal">
      <formula>"Napkin Hs"</formula>
    </cfRule>
  </conditionalFormatting>
  <conditionalFormatting sqref="B61">
    <cfRule type="cellIs" dxfId="27224" priority="12482" stopIfTrue="1" operator="equal">
      <formula>"Napkin Hs"</formula>
    </cfRule>
  </conditionalFormatting>
  <conditionalFormatting sqref="B61">
    <cfRule type="cellIs" dxfId="27223" priority="12481" stopIfTrue="1" operator="equal">
      <formula>"Napkin Hs"</formula>
    </cfRule>
  </conditionalFormatting>
  <conditionalFormatting sqref="C61:C62">
    <cfRule type="cellIs" dxfId="27222" priority="12477" stopIfTrue="1" operator="equal">
      <formula>"Towel"</formula>
    </cfRule>
    <cfRule type="cellIs" dxfId="27221" priority="12478" stopIfTrue="1" operator="equal">
      <formula>"Napkin Hs"</formula>
    </cfRule>
  </conditionalFormatting>
  <conditionalFormatting sqref="C61:C62">
    <cfRule type="cellIs" dxfId="27220" priority="12479" stopIfTrue="1" operator="equal">
      <formula>"Towel"</formula>
    </cfRule>
    <cfRule type="cellIs" dxfId="27219" priority="12480" stopIfTrue="1" operator="equal">
      <formula>"Napkin Hs"</formula>
    </cfRule>
  </conditionalFormatting>
  <conditionalFormatting sqref="C61:C62">
    <cfRule type="cellIs" dxfId="27218" priority="12473" stopIfTrue="1" operator="equal">
      <formula>"Towel"</formula>
    </cfRule>
    <cfRule type="cellIs" dxfId="27217" priority="12474" stopIfTrue="1" operator="equal">
      <formula>"Napkin Hs"</formula>
    </cfRule>
  </conditionalFormatting>
  <conditionalFormatting sqref="C61:C62">
    <cfRule type="cellIs" dxfId="27216" priority="12475" stopIfTrue="1" operator="equal">
      <formula>"Towel"</formula>
    </cfRule>
    <cfRule type="cellIs" dxfId="27215" priority="12476" stopIfTrue="1" operator="equal">
      <formula>"Napkin Hs"</formula>
    </cfRule>
  </conditionalFormatting>
  <conditionalFormatting sqref="B62">
    <cfRule type="cellIs" dxfId="27214" priority="12420" stopIfTrue="1" operator="equal">
      <formula>"Towel"</formula>
    </cfRule>
    <cfRule type="cellIs" dxfId="27213" priority="12421" stopIfTrue="1" operator="equal">
      <formula>"Napkin Hs"</formula>
    </cfRule>
  </conditionalFormatting>
  <conditionalFormatting sqref="B62">
    <cfRule type="cellIs" dxfId="27212" priority="12418" stopIfTrue="1" operator="equal">
      <formula>"Towel"</formula>
    </cfRule>
    <cfRule type="cellIs" dxfId="27211" priority="12419" stopIfTrue="1" operator="equal">
      <formula>"Napkin Hs"</formula>
    </cfRule>
  </conditionalFormatting>
  <conditionalFormatting sqref="B62">
    <cfRule type="cellIs" dxfId="27210" priority="12416" stopIfTrue="1" operator="equal">
      <formula>"Towel"</formula>
    </cfRule>
    <cfRule type="cellIs" dxfId="27209" priority="12417" stopIfTrue="1" operator="equal">
      <formula>"Napkin Hs"</formula>
    </cfRule>
  </conditionalFormatting>
  <conditionalFormatting sqref="B62">
    <cfRule type="cellIs" dxfId="27208" priority="12408" stopIfTrue="1" operator="equal">
      <formula>"Towel"</formula>
    </cfRule>
  </conditionalFormatting>
  <conditionalFormatting sqref="B62">
    <cfRule type="cellIs" dxfId="27207" priority="12409" stopIfTrue="1" operator="equal">
      <formula>"Napkin Hs"</formula>
    </cfRule>
    <cfRule type="cellIs" dxfId="27206" priority="12410" stopIfTrue="1" operator="equal">
      <formula>"Towel"</formula>
    </cfRule>
    <cfRule type="cellIs" dxfId="27205" priority="12411" stopIfTrue="1" operator="equal">
      <formula>"Napkin Hs"</formula>
    </cfRule>
    <cfRule type="cellIs" dxfId="27204" priority="12412" stopIfTrue="1" operator="equal">
      <formula>"Towel"</formula>
    </cfRule>
    <cfRule type="cellIs" dxfId="27203" priority="12413" stopIfTrue="1" operator="equal">
      <formula>"Napkin Hs"</formula>
    </cfRule>
    <cfRule type="cellIs" dxfId="27202" priority="12414" stopIfTrue="1" operator="equal">
      <formula>"Towel"</formula>
    </cfRule>
    <cfRule type="cellIs" dxfId="27201" priority="12415" stopIfTrue="1" operator="equal">
      <formula>"Napkin Hs"</formula>
    </cfRule>
  </conditionalFormatting>
  <conditionalFormatting sqref="B62">
    <cfRule type="cellIs" dxfId="27200" priority="12406" stopIfTrue="1" operator="equal">
      <formula>"Towel"</formula>
    </cfRule>
    <cfRule type="cellIs" dxfId="27199" priority="12407" stopIfTrue="1" operator="equal">
      <formula>"Napkin Hs"</formula>
    </cfRule>
  </conditionalFormatting>
  <conditionalFormatting sqref="B62">
    <cfRule type="cellIs" dxfId="27198" priority="12375" stopIfTrue="1" operator="equal">
      <formula>"Napkin Hs"</formula>
    </cfRule>
  </conditionalFormatting>
  <conditionalFormatting sqref="B62">
    <cfRule type="cellIs" dxfId="27197" priority="12374" stopIfTrue="1" operator="equal">
      <formula>"Towel"</formula>
    </cfRule>
  </conditionalFormatting>
  <conditionalFormatting sqref="B62">
    <cfRule type="cellIs" dxfId="27196" priority="12376" stopIfTrue="1" operator="equal">
      <formula>"Towel"</formula>
    </cfRule>
    <cfRule type="cellIs" dxfId="27195" priority="12377" stopIfTrue="1" operator="equal">
      <formula>"Napkin Hs"</formula>
    </cfRule>
    <cfRule type="cellIs" dxfId="27194" priority="12378" stopIfTrue="1" operator="equal">
      <formula>"Towel"</formula>
    </cfRule>
    <cfRule type="cellIs" dxfId="27193" priority="12379" stopIfTrue="1" operator="equal">
      <formula>"Napkin Hs"</formula>
    </cfRule>
    <cfRule type="cellIs" dxfId="27192" priority="12380" stopIfTrue="1" operator="equal">
      <formula>"Towel"</formula>
    </cfRule>
    <cfRule type="cellIs" dxfId="27191" priority="12381" stopIfTrue="1" operator="equal">
      <formula>"Napkin Hs"</formula>
    </cfRule>
    <cfRule type="cellIs" dxfId="27190" priority="12382" stopIfTrue="1" operator="equal">
      <formula>"Towel"</formula>
    </cfRule>
    <cfRule type="cellIs" dxfId="27189" priority="12383" stopIfTrue="1" operator="equal">
      <formula>"Napkin Hs"</formula>
    </cfRule>
    <cfRule type="cellIs" dxfId="27188" priority="12384" stopIfTrue="1" operator="equal">
      <formula>"Towel"</formula>
    </cfRule>
    <cfRule type="cellIs" dxfId="27187" priority="12385" stopIfTrue="1" operator="equal">
      <formula>"Napkin Hs"</formula>
    </cfRule>
    <cfRule type="cellIs" dxfId="27186" priority="12386" stopIfTrue="1" operator="equal">
      <formula>"Towel"</formula>
    </cfRule>
    <cfRule type="cellIs" dxfId="27185" priority="12387" stopIfTrue="1" operator="equal">
      <formula>"Napkin Hs"</formula>
    </cfRule>
    <cfRule type="cellIs" dxfId="27184" priority="12388" stopIfTrue="1" operator="equal">
      <formula>"Towel"</formula>
    </cfRule>
    <cfRule type="cellIs" dxfId="27183" priority="12389" stopIfTrue="1" operator="equal">
      <formula>"Napkin Hs"</formula>
    </cfRule>
    <cfRule type="cellIs" dxfId="27182" priority="12390" stopIfTrue="1" operator="equal">
      <formula>"Towel"</formula>
    </cfRule>
    <cfRule type="cellIs" dxfId="27181" priority="12391" stopIfTrue="1" operator="equal">
      <formula>"Napkin Hs"</formula>
    </cfRule>
    <cfRule type="cellIs" dxfId="27180" priority="12392" stopIfTrue="1" operator="equal">
      <formula>"Towel"</formula>
    </cfRule>
    <cfRule type="cellIs" dxfId="27179" priority="12393" stopIfTrue="1" operator="equal">
      <formula>"Napkin Hs"</formula>
    </cfRule>
    <cfRule type="cellIs" dxfId="27178" priority="12394" stopIfTrue="1" operator="equal">
      <formula>"Towel"</formula>
    </cfRule>
    <cfRule type="cellIs" dxfId="27177" priority="12395" stopIfTrue="1" operator="equal">
      <formula>"Napkin Hs"</formula>
    </cfRule>
    <cfRule type="cellIs" dxfId="27176" priority="12396" stopIfTrue="1" operator="equal">
      <formula>"Towel"</formula>
    </cfRule>
    <cfRule type="cellIs" dxfId="27175" priority="12397" stopIfTrue="1" operator="equal">
      <formula>"Napkin Hs"</formula>
    </cfRule>
    <cfRule type="cellIs" dxfId="27174" priority="12398" stopIfTrue="1" operator="equal">
      <formula>"Towel"</formula>
    </cfRule>
    <cfRule type="cellIs" dxfId="27173" priority="12399" stopIfTrue="1" operator="equal">
      <formula>"Napkin Hs"</formula>
    </cfRule>
    <cfRule type="cellIs" dxfId="27172" priority="12400" stopIfTrue="1" operator="equal">
      <formula>"Towel"</formula>
    </cfRule>
    <cfRule type="cellIs" dxfId="27171" priority="12401" stopIfTrue="1" operator="equal">
      <formula>"Napkin Hs"</formula>
    </cfRule>
    <cfRule type="cellIs" dxfId="27170" priority="12402" stopIfTrue="1" operator="equal">
      <formula>"Towel"</formula>
    </cfRule>
    <cfRule type="cellIs" dxfId="27169" priority="12403" stopIfTrue="1" operator="equal">
      <formula>"Napkin Hs"</formula>
    </cfRule>
    <cfRule type="cellIs" dxfId="27168" priority="12405" stopIfTrue="1" operator="equal">
      <formula>"Napkin Hs"</formula>
    </cfRule>
  </conditionalFormatting>
  <conditionalFormatting sqref="B62">
    <cfRule type="cellIs" dxfId="27167" priority="12404" stopIfTrue="1" operator="equal">
      <formula>"Towel"</formula>
    </cfRule>
  </conditionalFormatting>
  <conditionalFormatting sqref="B62">
    <cfRule type="cellIs" dxfId="27166" priority="12373" stopIfTrue="1" operator="equal">
      <formula>"Napkin Hs"</formula>
    </cfRule>
  </conditionalFormatting>
  <conditionalFormatting sqref="B62">
    <cfRule type="cellIs" dxfId="27165" priority="12372" stopIfTrue="1" operator="equal">
      <formula>"Napkin Hs"</formula>
    </cfRule>
  </conditionalFormatting>
  <conditionalFormatting sqref="B62">
    <cfRule type="cellIs" dxfId="27164" priority="12371" stopIfTrue="1" operator="equal">
      <formula>"Napkin Hs"</formula>
    </cfRule>
  </conditionalFormatting>
  <conditionalFormatting sqref="C67:C69">
    <cfRule type="cellIs" dxfId="27163" priority="12367" stopIfTrue="1" operator="equal">
      <formula>"Towel"</formula>
    </cfRule>
    <cfRule type="cellIs" dxfId="27162" priority="12368" stopIfTrue="1" operator="equal">
      <formula>"Napkin Hs"</formula>
    </cfRule>
  </conditionalFormatting>
  <conditionalFormatting sqref="C67:C69">
    <cfRule type="cellIs" dxfId="27161" priority="12369" stopIfTrue="1" operator="equal">
      <formula>"Towel"</formula>
    </cfRule>
    <cfRule type="cellIs" dxfId="27160" priority="12370" stopIfTrue="1" operator="equal">
      <formula>"Napkin Hs"</formula>
    </cfRule>
  </conditionalFormatting>
  <conditionalFormatting sqref="C67:C69">
    <cfRule type="cellIs" dxfId="27159" priority="12365" stopIfTrue="1" operator="equal">
      <formula>"Towel"</formula>
    </cfRule>
    <cfRule type="cellIs" dxfId="27158" priority="12366" stopIfTrue="1" operator="equal">
      <formula>"Napkin Hs"</formula>
    </cfRule>
  </conditionalFormatting>
  <conditionalFormatting sqref="B67:B69">
    <cfRule type="cellIs" dxfId="27157" priority="12363" stopIfTrue="1" operator="equal">
      <formula>"Towel"</formula>
    </cfRule>
    <cfRule type="cellIs" dxfId="27156" priority="12364" stopIfTrue="1" operator="equal">
      <formula>"Napkin Hs"</formula>
    </cfRule>
  </conditionalFormatting>
  <conditionalFormatting sqref="C67:C69">
    <cfRule type="cellIs" dxfId="27155" priority="12357" stopIfTrue="1" operator="equal">
      <formula>"Towel"</formula>
    </cfRule>
    <cfRule type="cellIs" dxfId="27154" priority="12358" stopIfTrue="1" operator="equal">
      <formula>"Napkin Hs"</formula>
    </cfRule>
  </conditionalFormatting>
  <conditionalFormatting sqref="C67:C69">
    <cfRule type="cellIs" dxfId="27153" priority="12361" stopIfTrue="1" operator="equal">
      <formula>"Towel"</formula>
    </cfRule>
    <cfRule type="cellIs" dxfId="27152" priority="12362" stopIfTrue="1" operator="equal">
      <formula>"Napkin Hs"</formula>
    </cfRule>
  </conditionalFormatting>
  <conditionalFormatting sqref="C67:C69">
    <cfRule type="cellIs" dxfId="27151" priority="12359" stopIfTrue="1" operator="equal">
      <formula>"Towel"</formula>
    </cfRule>
    <cfRule type="cellIs" dxfId="27150" priority="12360" stopIfTrue="1" operator="equal">
      <formula>"Napkin Hs"</formula>
    </cfRule>
  </conditionalFormatting>
  <conditionalFormatting sqref="C67:C69">
    <cfRule type="cellIs" dxfId="27149" priority="12351" stopIfTrue="1" operator="equal">
      <formula>"Towel"</formula>
    </cfRule>
    <cfRule type="cellIs" dxfId="27148" priority="12352" stopIfTrue="1" operator="equal">
      <formula>"Napkin Hs"</formula>
    </cfRule>
  </conditionalFormatting>
  <conditionalFormatting sqref="C67:C69">
    <cfRule type="cellIs" dxfId="27147" priority="12353" stopIfTrue="1" operator="equal">
      <formula>"Towel"</formula>
    </cfRule>
    <cfRule type="cellIs" dxfId="27146" priority="12354" stopIfTrue="1" operator="equal">
      <formula>"Napkin Hs"</formula>
    </cfRule>
  </conditionalFormatting>
  <conditionalFormatting sqref="C67:C69">
    <cfRule type="cellIs" dxfId="27145" priority="12355" stopIfTrue="1" operator="equal">
      <formula>"Towel"</formula>
    </cfRule>
    <cfRule type="cellIs" dxfId="27144" priority="12356" stopIfTrue="1" operator="equal">
      <formula>"Napkin Hs"</formula>
    </cfRule>
  </conditionalFormatting>
  <conditionalFormatting sqref="B67:C69">
    <cfRule type="cellIs" dxfId="27143" priority="12349" stopIfTrue="1" operator="equal">
      <formula>"Towel"</formula>
    </cfRule>
    <cfRule type="cellIs" dxfId="27142" priority="12350" stopIfTrue="1" operator="equal">
      <formula>"Napkin Hs"</formula>
    </cfRule>
  </conditionalFormatting>
  <conditionalFormatting sqref="B67:C69">
    <cfRule type="cellIs" dxfId="27141" priority="12347" stopIfTrue="1" operator="equal">
      <formula>"Towel"</formula>
    </cfRule>
    <cfRule type="cellIs" dxfId="27140" priority="12348" stopIfTrue="1" operator="equal">
      <formula>"Napkin Hs"</formula>
    </cfRule>
  </conditionalFormatting>
  <conditionalFormatting sqref="B67:C69">
    <cfRule type="cellIs" dxfId="27139" priority="12323" stopIfTrue="1" operator="equal">
      <formula>"Towel"</formula>
    </cfRule>
  </conditionalFormatting>
  <conditionalFormatting sqref="B67:C69">
    <cfRule type="cellIs" dxfId="27138" priority="12324" stopIfTrue="1" operator="equal">
      <formula>"Napkin Hs"</formula>
    </cfRule>
    <cfRule type="cellIs" dxfId="27137" priority="12329" stopIfTrue="1" operator="equal">
      <formula>"Towel"</formula>
    </cfRule>
    <cfRule type="cellIs" dxfId="27136" priority="12330" stopIfTrue="1" operator="equal">
      <formula>"Napkin Hs"</formula>
    </cfRule>
    <cfRule type="cellIs" dxfId="27135" priority="12339" stopIfTrue="1" operator="equal">
      <formula>"Towel"</formula>
    </cfRule>
    <cfRule type="cellIs" dxfId="27134" priority="12340" stopIfTrue="1" operator="equal">
      <formula>"Napkin Hs"</formula>
    </cfRule>
    <cfRule type="cellIs" dxfId="27133" priority="12345" stopIfTrue="1" operator="equal">
      <formula>"Towel"</formula>
    </cfRule>
    <cfRule type="cellIs" dxfId="27132" priority="12346" stopIfTrue="1" operator="equal">
      <formula>"Napkin Hs"</formula>
    </cfRule>
  </conditionalFormatting>
  <conditionalFormatting sqref="C67:C69">
    <cfRule type="cellIs" dxfId="27131" priority="12325" stopIfTrue="1" operator="equal">
      <formula>"Towel"</formula>
    </cfRule>
    <cfRule type="cellIs" dxfId="27130" priority="12326" stopIfTrue="1" operator="equal">
      <formula>"Napkin Hs"</formula>
    </cfRule>
    <cfRule type="cellIs" dxfId="27129" priority="12327" stopIfTrue="1" operator="equal">
      <formula>"Towel"</formula>
    </cfRule>
    <cfRule type="cellIs" dxfId="27128" priority="12328" stopIfTrue="1" operator="equal">
      <formula>"Napkin Hs"</formula>
    </cfRule>
    <cfRule type="cellIs" dxfId="27127" priority="12331" stopIfTrue="1" operator="equal">
      <formula>"Towel"</formula>
    </cfRule>
    <cfRule type="cellIs" dxfId="27126" priority="12332" stopIfTrue="1" operator="equal">
      <formula>"Napkin Hs"</formula>
    </cfRule>
    <cfRule type="cellIs" dxfId="27125" priority="12333" stopIfTrue="1" operator="equal">
      <formula>"Towel"</formula>
    </cfRule>
    <cfRule type="cellIs" dxfId="27124" priority="12334" stopIfTrue="1" operator="equal">
      <formula>"Napkin Hs"</formula>
    </cfRule>
    <cfRule type="cellIs" dxfId="27123" priority="12335" stopIfTrue="1" operator="equal">
      <formula>"Towel"</formula>
    </cfRule>
    <cfRule type="cellIs" dxfId="27122" priority="12336" stopIfTrue="1" operator="equal">
      <formula>"Napkin Hs"</formula>
    </cfRule>
    <cfRule type="cellIs" dxfId="27121" priority="12337" stopIfTrue="1" operator="equal">
      <formula>"Towel"</formula>
    </cfRule>
    <cfRule type="cellIs" dxfId="27120" priority="12338" stopIfTrue="1" operator="equal">
      <formula>"Napkin Hs"</formula>
    </cfRule>
    <cfRule type="cellIs" dxfId="27119" priority="12341" stopIfTrue="1" operator="equal">
      <formula>"Towel"</formula>
    </cfRule>
    <cfRule type="cellIs" dxfId="27118" priority="12342" stopIfTrue="1" operator="equal">
      <formula>"Napkin Hs"</formula>
    </cfRule>
    <cfRule type="cellIs" dxfId="27117" priority="12344" stopIfTrue="1" operator="equal">
      <formula>"Napkin Hs"</formula>
    </cfRule>
  </conditionalFormatting>
  <conditionalFormatting sqref="C67:C69">
    <cfRule type="cellIs" dxfId="27116" priority="12343" stopIfTrue="1" operator="equal">
      <formula>"Towel"</formula>
    </cfRule>
  </conditionalFormatting>
  <conditionalFormatting sqref="B67:C69">
    <cfRule type="cellIs" dxfId="27115" priority="12321" stopIfTrue="1" operator="equal">
      <formula>"Towel"</formula>
    </cfRule>
    <cfRule type="cellIs" dxfId="27114" priority="12322" stopIfTrue="1" operator="equal">
      <formula>"Napkin Hs"</formula>
    </cfRule>
  </conditionalFormatting>
  <conditionalFormatting sqref="C67:C69">
    <cfRule type="cellIs" dxfId="27113" priority="12320" stopIfTrue="1" operator="equal">
      <formula>"Napkin Hs"</formula>
    </cfRule>
  </conditionalFormatting>
  <conditionalFormatting sqref="C67:C69">
    <cfRule type="cellIs" dxfId="27112" priority="12319" stopIfTrue="1" operator="equal">
      <formula>"Towel"</formula>
    </cfRule>
  </conditionalFormatting>
  <conditionalFormatting sqref="C67:C69">
    <cfRule type="cellIs" dxfId="27111" priority="12317" stopIfTrue="1" operator="equal">
      <formula>"Towel"</formula>
    </cfRule>
  </conditionalFormatting>
  <conditionalFormatting sqref="C67:C69">
    <cfRule type="cellIs" dxfId="27110" priority="12318" stopIfTrue="1" operator="equal">
      <formula>"Napkin Hs"</formula>
    </cfRule>
  </conditionalFormatting>
  <conditionalFormatting sqref="B67:B69">
    <cfRule type="cellIs" dxfId="27109" priority="12221" stopIfTrue="1" operator="equal">
      <formula>"Napkin Hs"</formula>
    </cfRule>
  </conditionalFormatting>
  <conditionalFormatting sqref="B67:C69">
    <cfRule type="cellIs" dxfId="27108" priority="12220" stopIfTrue="1" operator="equal">
      <formula>"Towel"</formula>
    </cfRule>
  </conditionalFormatting>
  <conditionalFormatting sqref="B67:C69">
    <cfRule type="cellIs" dxfId="27107" priority="12231" stopIfTrue="1" operator="equal">
      <formula>"Towel"</formula>
    </cfRule>
    <cfRule type="cellIs" dxfId="27106" priority="12232" stopIfTrue="1" operator="equal">
      <formula>"Napkin Hs"</formula>
    </cfRule>
    <cfRule type="cellIs" dxfId="27105" priority="12237" stopIfTrue="1" operator="equal">
      <formula>"Towel"</formula>
    </cfRule>
    <cfRule type="cellIs" dxfId="27104" priority="12238" stopIfTrue="1" operator="equal">
      <formula>"Napkin Hs"</formula>
    </cfRule>
    <cfRule type="cellIs" dxfId="27103" priority="12243" stopIfTrue="1" operator="equal">
      <formula>"Towel"</formula>
    </cfRule>
    <cfRule type="cellIs" dxfId="27102" priority="12244" stopIfTrue="1" operator="equal">
      <formula>"Napkin Hs"</formula>
    </cfRule>
    <cfRule type="cellIs" dxfId="27101" priority="12245" stopIfTrue="1" operator="equal">
      <formula>"Towel"</formula>
    </cfRule>
    <cfRule type="cellIs" dxfId="27100" priority="12246" stopIfTrue="1" operator="equal">
      <formula>"Napkin Hs"</formula>
    </cfRule>
    <cfRule type="cellIs" dxfId="27099" priority="12251" stopIfTrue="1" operator="equal">
      <formula>"Towel"</formula>
    </cfRule>
    <cfRule type="cellIs" dxfId="27098" priority="12252" stopIfTrue="1" operator="equal">
      <formula>"Napkin Hs"</formula>
    </cfRule>
    <cfRule type="cellIs" dxfId="27097" priority="12261" stopIfTrue="1" operator="equal">
      <formula>"Towel"</formula>
    </cfRule>
    <cfRule type="cellIs" dxfId="27096" priority="12262" stopIfTrue="1" operator="equal">
      <formula>"Napkin Hs"</formula>
    </cfRule>
    <cfRule type="cellIs" dxfId="27095" priority="12267" stopIfTrue="1" operator="equal">
      <formula>"Towel"</formula>
    </cfRule>
    <cfRule type="cellIs" dxfId="27094" priority="12268" stopIfTrue="1" operator="equal">
      <formula>"Napkin Hs"</formula>
    </cfRule>
    <cfRule type="cellIs" dxfId="27093" priority="12269" stopIfTrue="1" operator="equal">
      <formula>"Towel"</formula>
    </cfRule>
    <cfRule type="cellIs" dxfId="27092" priority="12270" stopIfTrue="1" operator="equal">
      <formula>"Napkin Hs"</formula>
    </cfRule>
    <cfRule type="cellIs" dxfId="27091" priority="12275" stopIfTrue="1" operator="equal">
      <formula>"Towel"</formula>
    </cfRule>
    <cfRule type="cellIs" dxfId="27090" priority="12276" stopIfTrue="1" operator="equal">
      <formula>"Napkin Hs"</formula>
    </cfRule>
    <cfRule type="cellIs" dxfId="27089" priority="12285" stopIfTrue="1" operator="equal">
      <formula>"Towel"</formula>
    </cfRule>
    <cfRule type="cellIs" dxfId="27088" priority="12286" stopIfTrue="1" operator="equal">
      <formula>"Napkin Hs"</formula>
    </cfRule>
    <cfRule type="cellIs" dxfId="27087" priority="12287" stopIfTrue="1" operator="equal">
      <formula>"Towel"</formula>
    </cfRule>
    <cfRule type="cellIs" dxfId="27086" priority="12288" stopIfTrue="1" operator="equal">
      <formula>"Napkin Hs"</formula>
    </cfRule>
    <cfRule type="cellIs" dxfId="27085" priority="12293" stopIfTrue="1" operator="equal">
      <formula>"Towel"</formula>
    </cfRule>
    <cfRule type="cellIs" dxfId="27084" priority="12294" stopIfTrue="1" operator="equal">
      <formula>"Napkin Hs"</formula>
    </cfRule>
    <cfRule type="cellIs" dxfId="27083" priority="12303" stopIfTrue="1" operator="equal">
      <formula>"Towel"</formula>
    </cfRule>
    <cfRule type="cellIs" dxfId="27082" priority="12304" stopIfTrue="1" operator="equal">
      <formula>"Napkin Hs"</formula>
    </cfRule>
    <cfRule type="cellIs" dxfId="27081" priority="12305" stopIfTrue="1" operator="equal">
      <formula>"Towel"</formula>
    </cfRule>
    <cfRule type="cellIs" dxfId="27080" priority="12306" stopIfTrue="1" operator="equal">
      <formula>"Napkin Hs"</formula>
    </cfRule>
    <cfRule type="cellIs" dxfId="27079" priority="12312" stopIfTrue="1" operator="equal">
      <formula>"Napkin Hs"</formula>
    </cfRule>
  </conditionalFormatting>
  <conditionalFormatting sqref="B67:C69">
    <cfRule type="cellIs" dxfId="27078" priority="12311" stopIfTrue="1" operator="equal">
      <formula>"Towel"</formula>
    </cfRule>
  </conditionalFormatting>
  <conditionalFormatting sqref="C67:C69">
    <cfRule type="cellIs" dxfId="27077" priority="12222" stopIfTrue="1" operator="equal">
      <formula>"Napkin Hs"</formula>
    </cfRule>
    <cfRule type="cellIs" dxfId="27076" priority="12223" stopIfTrue="1" operator="equal">
      <formula>"Towel"</formula>
    </cfRule>
    <cfRule type="cellIs" dxfId="27075" priority="12224" stopIfTrue="1" operator="equal">
      <formula>"Napkin Hs"</formula>
    </cfRule>
    <cfRule type="cellIs" dxfId="27074" priority="12225" stopIfTrue="1" operator="equal">
      <formula>"Towel"</formula>
    </cfRule>
    <cfRule type="cellIs" dxfId="27073" priority="12226" stopIfTrue="1" operator="equal">
      <formula>"Napkin Hs"</formula>
    </cfRule>
    <cfRule type="cellIs" dxfId="27072" priority="12227" stopIfTrue="1" operator="equal">
      <formula>"Towel"</formula>
    </cfRule>
    <cfRule type="cellIs" dxfId="27071" priority="12228" stopIfTrue="1" operator="equal">
      <formula>"Napkin Hs"</formula>
    </cfRule>
    <cfRule type="cellIs" dxfId="27070" priority="12229" stopIfTrue="1" operator="equal">
      <formula>"Towel"</formula>
    </cfRule>
    <cfRule type="cellIs" dxfId="27069" priority="12230" stopIfTrue="1" operator="equal">
      <formula>"Napkin Hs"</formula>
    </cfRule>
    <cfRule type="cellIs" dxfId="27068" priority="12233" stopIfTrue="1" operator="equal">
      <formula>"Towel"</formula>
    </cfRule>
    <cfRule type="cellIs" dxfId="27067" priority="12234" stopIfTrue="1" operator="equal">
      <formula>"Napkin Hs"</formula>
    </cfRule>
    <cfRule type="cellIs" dxfId="27066" priority="12235" stopIfTrue="1" operator="equal">
      <formula>"Towel"</formula>
    </cfRule>
    <cfRule type="cellIs" dxfId="27065" priority="12236" stopIfTrue="1" operator="equal">
      <formula>"Napkin Hs"</formula>
    </cfRule>
    <cfRule type="cellIs" dxfId="27064" priority="12239" stopIfTrue="1" operator="equal">
      <formula>"Towel"</formula>
    </cfRule>
    <cfRule type="cellIs" dxfId="27063" priority="12240" stopIfTrue="1" operator="equal">
      <formula>"Napkin Hs"</formula>
    </cfRule>
    <cfRule type="cellIs" dxfId="27062" priority="12241" stopIfTrue="1" operator="equal">
      <formula>"Towel"</formula>
    </cfRule>
    <cfRule type="cellIs" dxfId="27061" priority="12242" stopIfTrue="1" operator="equal">
      <formula>"Napkin Hs"</formula>
    </cfRule>
    <cfRule type="cellIs" dxfId="27060" priority="12247" stopIfTrue="1" operator="equal">
      <formula>"Towel"</formula>
    </cfRule>
    <cfRule type="cellIs" dxfId="27059" priority="12248" stopIfTrue="1" operator="equal">
      <formula>"Napkin Hs"</formula>
    </cfRule>
    <cfRule type="cellIs" dxfId="27058" priority="12249" stopIfTrue="1" operator="equal">
      <formula>"Towel"</formula>
    </cfRule>
    <cfRule type="cellIs" dxfId="27057" priority="12250" stopIfTrue="1" operator="equal">
      <formula>"Napkin Hs"</formula>
    </cfRule>
    <cfRule type="cellIs" dxfId="27056" priority="12253" stopIfTrue="1" operator="equal">
      <formula>"Towel"</formula>
    </cfRule>
    <cfRule type="cellIs" dxfId="27055" priority="12254" stopIfTrue="1" operator="equal">
      <formula>"Napkin Hs"</formula>
    </cfRule>
    <cfRule type="cellIs" dxfId="27054" priority="12255" stopIfTrue="1" operator="equal">
      <formula>"Towel"</formula>
    </cfRule>
    <cfRule type="cellIs" dxfId="27053" priority="12256" stopIfTrue="1" operator="equal">
      <formula>"Napkin Hs"</formula>
    </cfRule>
    <cfRule type="cellIs" dxfId="27052" priority="12257" stopIfTrue="1" operator="equal">
      <formula>"Towel"</formula>
    </cfRule>
    <cfRule type="cellIs" dxfId="27051" priority="12258" stopIfTrue="1" operator="equal">
      <formula>"Napkin Hs"</formula>
    </cfRule>
    <cfRule type="cellIs" dxfId="27050" priority="12259" stopIfTrue="1" operator="equal">
      <formula>"Towel"</formula>
    </cfRule>
    <cfRule type="cellIs" dxfId="27049" priority="12260" stopIfTrue="1" operator="equal">
      <formula>"Napkin Hs"</formula>
    </cfRule>
    <cfRule type="cellIs" dxfId="27048" priority="12263" stopIfTrue="1" operator="equal">
      <formula>"Towel"</formula>
    </cfRule>
    <cfRule type="cellIs" dxfId="27047" priority="12264" stopIfTrue="1" operator="equal">
      <formula>"Napkin Hs"</formula>
    </cfRule>
    <cfRule type="cellIs" dxfId="27046" priority="12265" stopIfTrue="1" operator="equal">
      <formula>"Towel"</formula>
    </cfRule>
    <cfRule type="cellIs" dxfId="27045" priority="12266" stopIfTrue="1" operator="equal">
      <formula>"Napkin Hs"</formula>
    </cfRule>
    <cfRule type="cellIs" dxfId="27044" priority="12271" stopIfTrue="1" operator="equal">
      <formula>"Towel"</formula>
    </cfRule>
    <cfRule type="cellIs" dxfId="27043" priority="12272" stopIfTrue="1" operator="equal">
      <formula>"Napkin Hs"</formula>
    </cfRule>
    <cfRule type="cellIs" dxfId="27042" priority="12273" stopIfTrue="1" operator="equal">
      <formula>"Towel"</formula>
    </cfRule>
    <cfRule type="cellIs" dxfId="27041" priority="12274" stopIfTrue="1" operator="equal">
      <formula>"Napkin Hs"</formula>
    </cfRule>
    <cfRule type="cellIs" dxfId="27040" priority="12277" stopIfTrue="1" operator="equal">
      <formula>"Towel"</formula>
    </cfRule>
    <cfRule type="cellIs" dxfId="27039" priority="12278" stopIfTrue="1" operator="equal">
      <formula>"Napkin Hs"</formula>
    </cfRule>
    <cfRule type="cellIs" dxfId="27038" priority="12279" stopIfTrue="1" operator="equal">
      <formula>"Towel"</formula>
    </cfRule>
    <cfRule type="cellIs" dxfId="27037" priority="12280" stopIfTrue="1" operator="equal">
      <formula>"Napkin Hs"</formula>
    </cfRule>
    <cfRule type="cellIs" dxfId="27036" priority="12281" stopIfTrue="1" operator="equal">
      <formula>"Towel"</formula>
    </cfRule>
    <cfRule type="cellIs" dxfId="27035" priority="12282" stopIfTrue="1" operator="equal">
      <formula>"Napkin Hs"</formula>
    </cfRule>
    <cfRule type="cellIs" dxfId="27034" priority="12283" stopIfTrue="1" operator="equal">
      <formula>"Towel"</formula>
    </cfRule>
    <cfRule type="cellIs" dxfId="27033" priority="12284" stopIfTrue="1" operator="equal">
      <formula>"Napkin Hs"</formula>
    </cfRule>
    <cfRule type="cellIs" dxfId="27032" priority="12289" stopIfTrue="1" operator="equal">
      <formula>"Towel"</formula>
    </cfRule>
    <cfRule type="cellIs" dxfId="27031" priority="12290" stopIfTrue="1" operator="equal">
      <formula>"Napkin Hs"</formula>
    </cfRule>
    <cfRule type="cellIs" dxfId="27030" priority="12291" stopIfTrue="1" operator="equal">
      <formula>"Towel"</formula>
    </cfRule>
    <cfRule type="cellIs" dxfId="27029" priority="12292" stopIfTrue="1" operator="equal">
      <formula>"Napkin Hs"</formula>
    </cfRule>
    <cfRule type="cellIs" dxfId="27028" priority="12295" stopIfTrue="1" operator="equal">
      <formula>"Towel"</formula>
    </cfRule>
    <cfRule type="cellIs" dxfId="27027" priority="12296" stopIfTrue="1" operator="equal">
      <formula>"Napkin Hs"</formula>
    </cfRule>
    <cfRule type="cellIs" dxfId="27026" priority="12297" stopIfTrue="1" operator="equal">
      <formula>"Towel"</formula>
    </cfRule>
    <cfRule type="cellIs" dxfId="27025" priority="12298" stopIfTrue="1" operator="equal">
      <formula>"Napkin Hs"</formula>
    </cfRule>
    <cfRule type="cellIs" dxfId="27024" priority="12299" stopIfTrue="1" operator="equal">
      <formula>"Towel"</formula>
    </cfRule>
    <cfRule type="cellIs" dxfId="27023" priority="12300" stopIfTrue="1" operator="equal">
      <formula>"Napkin Hs"</formula>
    </cfRule>
    <cfRule type="cellIs" dxfId="27022" priority="12301" stopIfTrue="1" operator="equal">
      <formula>"Towel"</formula>
    </cfRule>
    <cfRule type="cellIs" dxfId="27021" priority="12302" stopIfTrue="1" operator="equal">
      <formula>"Napkin Hs"</formula>
    </cfRule>
    <cfRule type="cellIs" dxfId="27020" priority="12307" stopIfTrue="1" operator="equal">
      <formula>"Towel"</formula>
    </cfRule>
    <cfRule type="cellIs" dxfId="27019" priority="12308" stopIfTrue="1" operator="equal">
      <formula>"Napkin Hs"</formula>
    </cfRule>
    <cfRule type="cellIs" dxfId="27018" priority="12309" stopIfTrue="1" operator="equal">
      <formula>"Towel"</formula>
    </cfRule>
    <cfRule type="cellIs" dxfId="27017" priority="12310" stopIfTrue="1" operator="equal">
      <formula>"Napkin Hs"</formula>
    </cfRule>
    <cfRule type="cellIs" dxfId="27016" priority="12313" stopIfTrue="1" operator="equal">
      <formula>"Towel"</formula>
    </cfRule>
    <cfRule type="cellIs" dxfId="27015" priority="12314" stopIfTrue="1" operator="equal">
      <formula>"Napkin Hs"</formula>
    </cfRule>
    <cfRule type="cellIs" dxfId="27014" priority="12315" stopIfTrue="1" operator="equal">
      <formula>"Towel"</formula>
    </cfRule>
    <cfRule type="cellIs" dxfId="27013" priority="12316" stopIfTrue="1" operator="equal">
      <formula>"Napkin Hs"</formula>
    </cfRule>
  </conditionalFormatting>
  <conditionalFormatting sqref="C67:C69">
    <cfRule type="cellIs" dxfId="27012" priority="12219" stopIfTrue="1" operator="equal">
      <formula>"Napkin Hs"</formula>
    </cfRule>
  </conditionalFormatting>
  <conditionalFormatting sqref="C67:C69">
    <cfRule type="cellIs" dxfId="27011" priority="12218" stopIfTrue="1" operator="equal">
      <formula>"Napkin Hs"</formula>
    </cfRule>
  </conditionalFormatting>
  <conditionalFormatting sqref="B67:B69">
    <cfRule type="cellIs" dxfId="27010" priority="12217" stopIfTrue="1" operator="equal">
      <formula>"Napkin Hs"</formula>
    </cfRule>
  </conditionalFormatting>
  <conditionalFormatting sqref="C67:C69">
    <cfRule type="cellIs" dxfId="27009" priority="12216" stopIfTrue="1" operator="equal">
      <formula>"Napkin Hs"</formula>
    </cfRule>
  </conditionalFormatting>
  <conditionalFormatting sqref="C67:C69">
    <cfRule type="cellIs" dxfId="27008" priority="12215" stopIfTrue="1" operator="equal">
      <formula>"Napkin Hs"</formula>
    </cfRule>
  </conditionalFormatting>
  <conditionalFormatting sqref="C67:C69">
    <cfRule type="cellIs" dxfId="27007" priority="12214" stopIfTrue="1" operator="equal">
      <formula>"Napkin Hs"</formula>
    </cfRule>
  </conditionalFormatting>
  <conditionalFormatting sqref="C67:C69">
    <cfRule type="cellIs" dxfId="27006" priority="12213" stopIfTrue="1" operator="equal">
      <formula>"Napkin Hs"</formula>
    </cfRule>
  </conditionalFormatting>
  <conditionalFormatting sqref="B67:B69">
    <cfRule type="cellIs" dxfId="27005" priority="12212" stopIfTrue="1" operator="equal">
      <formula>"Napkin Hs"</formula>
    </cfRule>
  </conditionalFormatting>
  <conditionalFormatting sqref="B67:B69">
    <cfRule type="cellIs" dxfId="27004" priority="12211" stopIfTrue="1" operator="equal">
      <formula>"Napkin Hs"</formula>
    </cfRule>
  </conditionalFormatting>
  <conditionalFormatting sqref="C67:C69">
    <cfRule type="cellIs" dxfId="27003" priority="12207" stopIfTrue="1" operator="equal">
      <formula>"Towel"</formula>
    </cfRule>
    <cfRule type="cellIs" dxfId="27002" priority="12208" stopIfTrue="1" operator="equal">
      <formula>"Napkin Hs"</formula>
    </cfRule>
  </conditionalFormatting>
  <conditionalFormatting sqref="C67:C69">
    <cfRule type="cellIs" dxfId="27001" priority="12209" stopIfTrue="1" operator="equal">
      <formula>"Towel"</formula>
    </cfRule>
    <cfRule type="cellIs" dxfId="27000" priority="12210" stopIfTrue="1" operator="equal">
      <formula>"Napkin Hs"</formula>
    </cfRule>
  </conditionalFormatting>
  <conditionalFormatting sqref="C67:C69">
    <cfRule type="cellIs" dxfId="26999" priority="12203" stopIfTrue="1" operator="equal">
      <formula>"Towel"</formula>
    </cfRule>
    <cfRule type="cellIs" dxfId="26998" priority="12204" stopIfTrue="1" operator="equal">
      <formula>"Napkin Hs"</formula>
    </cfRule>
  </conditionalFormatting>
  <conditionalFormatting sqref="C67:C69">
    <cfRule type="cellIs" dxfId="26997" priority="12205" stopIfTrue="1" operator="equal">
      <formula>"Towel"</formula>
    </cfRule>
    <cfRule type="cellIs" dxfId="26996" priority="12206" stopIfTrue="1" operator="equal">
      <formula>"Napkin Hs"</formula>
    </cfRule>
  </conditionalFormatting>
  <conditionalFormatting sqref="C66">
    <cfRule type="cellIs" dxfId="26995" priority="12199" stopIfTrue="1" operator="equal">
      <formula>"Towel"</formula>
    </cfRule>
    <cfRule type="cellIs" dxfId="26994" priority="12200" stopIfTrue="1" operator="equal">
      <formula>"Napkin Hs"</formula>
    </cfRule>
  </conditionalFormatting>
  <conditionalFormatting sqref="C66">
    <cfRule type="cellIs" dxfId="26993" priority="12201" stopIfTrue="1" operator="equal">
      <formula>"Towel"</formula>
    </cfRule>
    <cfRule type="cellIs" dxfId="26992" priority="12202" stopIfTrue="1" operator="equal">
      <formula>"Napkin Hs"</formula>
    </cfRule>
  </conditionalFormatting>
  <conditionalFormatting sqref="C66">
    <cfRule type="cellIs" dxfId="26991" priority="12197" stopIfTrue="1" operator="equal">
      <formula>"Towel"</formula>
    </cfRule>
    <cfRule type="cellIs" dxfId="26990" priority="12198" stopIfTrue="1" operator="equal">
      <formula>"Napkin Hs"</formula>
    </cfRule>
  </conditionalFormatting>
  <conditionalFormatting sqref="C66">
    <cfRule type="cellIs" dxfId="26989" priority="12189" stopIfTrue="1" operator="equal">
      <formula>"Towel"</formula>
    </cfRule>
    <cfRule type="cellIs" dxfId="26988" priority="12190" stopIfTrue="1" operator="equal">
      <formula>"Napkin Hs"</formula>
    </cfRule>
  </conditionalFormatting>
  <conditionalFormatting sqref="C66">
    <cfRule type="cellIs" dxfId="26987" priority="12193" stopIfTrue="1" operator="equal">
      <formula>"Towel"</formula>
    </cfRule>
    <cfRule type="cellIs" dxfId="26986" priority="12194" stopIfTrue="1" operator="equal">
      <formula>"Napkin Hs"</formula>
    </cfRule>
  </conditionalFormatting>
  <conditionalFormatting sqref="C66">
    <cfRule type="cellIs" dxfId="26985" priority="12191" stopIfTrue="1" operator="equal">
      <formula>"Towel"</formula>
    </cfRule>
    <cfRule type="cellIs" dxfId="26984" priority="12192" stopIfTrue="1" operator="equal">
      <formula>"Napkin Hs"</formula>
    </cfRule>
  </conditionalFormatting>
  <conditionalFormatting sqref="C66">
    <cfRule type="cellIs" dxfId="26983" priority="12183" stopIfTrue="1" operator="equal">
      <formula>"Towel"</formula>
    </cfRule>
    <cfRule type="cellIs" dxfId="26982" priority="12184" stopIfTrue="1" operator="equal">
      <formula>"Napkin Hs"</formula>
    </cfRule>
  </conditionalFormatting>
  <conditionalFormatting sqref="C66">
    <cfRule type="cellIs" dxfId="26981" priority="12185" stopIfTrue="1" operator="equal">
      <formula>"Towel"</formula>
    </cfRule>
    <cfRule type="cellIs" dxfId="26980" priority="12186" stopIfTrue="1" operator="equal">
      <formula>"Napkin Hs"</formula>
    </cfRule>
  </conditionalFormatting>
  <conditionalFormatting sqref="C66">
    <cfRule type="cellIs" dxfId="26979" priority="12187" stopIfTrue="1" operator="equal">
      <formula>"Towel"</formula>
    </cfRule>
    <cfRule type="cellIs" dxfId="26978" priority="12188" stopIfTrue="1" operator="equal">
      <formula>"Napkin Hs"</formula>
    </cfRule>
  </conditionalFormatting>
  <conditionalFormatting sqref="C66">
    <cfRule type="cellIs" dxfId="26977" priority="12181" stopIfTrue="1" operator="equal">
      <formula>"Towel"</formula>
    </cfRule>
    <cfRule type="cellIs" dxfId="26976" priority="12182" stopIfTrue="1" operator="equal">
      <formula>"Napkin Hs"</formula>
    </cfRule>
  </conditionalFormatting>
  <conditionalFormatting sqref="C66">
    <cfRule type="cellIs" dxfId="26975" priority="12179" stopIfTrue="1" operator="equal">
      <formula>"Towel"</formula>
    </cfRule>
    <cfRule type="cellIs" dxfId="26974" priority="12180" stopIfTrue="1" operator="equal">
      <formula>"Napkin Hs"</formula>
    </cfRule>
  </conditionalFormatting>
  <conditionalFormatting sqref="C66">
    <cfRule type="cellIs" dxfId="26973" priority="12155" stopIfTrue="1" operator="equal">
      <formula>"Towel"</formula>
    </cfRule>
  </conditionalFormatting>
  <conditionalFormatting sqref="C66">
    <cfRule type="cellIs" dxfId="26972" priority="12156" stopIfTrue="1" operator="equal">
      <formula>"Napkin Hs"</formula>
    </cfRule>
    <cfRule type="cellIs" dxfId="26971" priority="12161" stopIfTrue="1" operator="equal">
      <formula>"Towel"</formula>
    </cfRule>
    <cfRule type="cellIs" dxfId="26970" priority="12162" stopIfTrue="1" operator="equal">
      <formula>"Napkin Hs"</formula>
    </cfRule>
    <cfRule type="cellIs" dxfId="26969" priority="12171" stopIfTrue="1" operator="equal">
      <formula>"Towel"</formula>
    </cfRule>
    <cfRule type="cellIs" dxfId="26968" priority="12172" stopIfTrue="1" operator="equal">
      <formula>"Napkin Hs"</formula>
    </cfRule>
    <cfRule type="cellIs" dxfId="26967" priority="12177" stopIfTrue="1" operator="equal">
      <formula>"Towel"</formula>
    </cfRule>
    <cfRule type="cellIs" dxfId="26966" priority="12178" stopIfTrue="1" operator="equal">
      <formula>"Napkin Hs"</formula>
    </cfRule>
  </conditionalFormatting>
  <conditionalFormatting sqref="C66">
    <cfRule type="cellIs" dxfId="26965" priority="12157" stopIfTrue="1" operator="equal">
      <formula>"Towel"</formula>
    </cfRule>
    <cfRule type="cellIs" dxfId="26964" priority="12158" stopIfTrue="1" operator="equal">
      <formula>"Napkin Hs"</formula>
    </cfRule>
    <cfRule type="cellIs" dxfId="26963" priority="12159" stopIfTrue="1" operator="equal">
      <formula>"Towel"</formula>
    </cfRule>
    <cfRule type="cellIs" dxfId="26962" priority="12160" stopIfTrue="1" operator="equal">
      <formula>"Napkin Hs"</formula>
    </cfRule>
    <cfRule type="cellIs" dxfId="26961" priority="12163" stopIfTrue="1" operator="equal">
      <formula>"Towel"</formula>
    </cfRule>
    <cfRule type="cellIs" dxfId="26960" priority="12164" stopIfTrue="1" operator="equal">
      <formula>"Napkin Hs"</formula>
    </cfRule>
    <cfRule type="cellIs" dxfId="26959" priority="12165" stopIfTrue="1" operator="equal">
      <formula>"Towel"</formula>
    </cfRule>
    <cfRule type="cellIs" dxfId="26958" priority="12166" stopIfTrue="1" operator="equal">
      <formula>"Napkin Hs"</formula>
    </cfRule>
    <cfRule type="cellIs" dxfId="26957" priority="12167" stopIfTrue="1" operator="equal">
      <formula>"Towel"</formula>
    </cfRule>
    <cfRule type="cellIs" dxfId="26956" priority="12168" stopIfTrue="1" operator="equal">
      <formula>"Napkin Hs"</formula>
    </cfRule>
    <cfRule type="cellIs" dxfId="26955" priority="12169" stopIfTrue="1" operator="equal">
      <formula>"Towel"</formula>
    </cfRule>
    <cfRule type="cellIs" dxfId="26954" priority="12170" stopIfTrue="1" operator="equal">
      <formula>"Napkin Hs"</formula>
    </cfRule>
    <cfRule type="cellIs" dxfId="26953" priority="12173" stopIfTrue="1" operator="equal">
      <formula>"Towel"</formula>
    </cfRule>
    <cfRule type="cellIs" dxfId="26952" priority="12174" stopIfTrue="1" operator="equal">
      <formula>"Napkin Hs"</formula>
    </cfRule>
    <cfRule type="cellIs" dxfId="26951" priority="12176" stopIfTrue="1" operator="equal">
      <formula>"Napkin Hs"</formula>
    </cfRule>
  </conditionalFormatting>
  <conditionalFormatting sqref="C66">
    <cfRule type="cellIs" dxfId="26950" priority="12175" stopIfTrue="1" operator="equal">
      <formula>"Towel"</formula>
    </cfRule>
  </conditionalFormatting>
  <conditionalFormatting sqref="C66">
    <cfRule type="cellIs" dxfId="26949" priority="12153" stopIfTrue="1" operator="equal">
      <formula>"Towel"</formula>
    </cfRule>
    <cfRule type="cellIs" dxfId="26948" priority="12154" stopIfTrue="1" operator="equal">
      <formula>"Napkin Hs"</formula>
    </cfRule>
  </conditionalFormatting>
  <conditionalFormatting sqref="C66">
    <cfRule type="cellIs" dxfId="26947" priority="12152" stopIfTrue="1" operator="equal">
      <formula>"Napkin Hs"</formula>
    </cfRule>
  </conditionalFormatting>
  <conditionalFormatting sqref="C66">
    <cfRule type="cellIs" dxfId="26946" priority="12151" stopIfTrue="1" operator="equal">
      <formula>"Towel"</formula>
    </cfRule>
  </conditionalFormatting>
  <conditionalFormatting sqref="C66">
    <cfRule type="cellIs" dxfId="26945" priority="12149" stopIfTrue="1" operator="equal">
      <formula>"Towel"</formula>
    </cfRule>
  </conditionalFormatting>
  <conditionalFormatting sqref="C66">
    <cfRule type="cellIs" dxfId="26944" priority="12150" stopIfTrue="1" operator="equal">
      <formula>"Napkin Hs"</formula>
    </cfRule>
  </conditionalFormatting>
  <conditionalFormatting sqref="C66">
    <cfRule type="cellIs" dxfId="26943" priority="12052" stopIfTrue="1" operator="equal">
      <formula>"Towel"</formula>
    </cfRule>
  </conditionalFormatting>
  <conditionalFormatting sqref="C66">
    <cfRule type="cellIs" dxfId="26942" priority="12063" stopIfTrue="1" operator="equal">
      <formula>"Towel"</formula>
    </cfRule>
    <cfRule type="cellIs" dxfId="26941" priority="12064" stopIfTrue="1" operator="equal">
      <formula>"Napkin Hs"</formula>
    </cfRule>
    <cfRule type="cellIs" dxfId="26940" priority="12069" stopIfTrue="1" operator="equal">
      <formula>"Towel"</formula>
    </cfRule>
    <cfRule type="cellIs" dxfId="26939" priority="12070" stopIfTrue="1" operator="equal">
      <formula>"Napkin Hs"</formula>
    </cfRule>
    <cfRule type="cellIs" dxfId="26938" priority="12075" stopIfTrue="1" operator="equal">
      <formula>"Towel"</formula>
    </cfRule>
    <cfRule type="cellIs" dxfId="26937" priority="12076" stopIfTrue="1" operator="equal">
      <formula>"Napkin Hs"</formula>
    </cfRule>
    <cfRule type="cellIs" dxfId="26936" priority="12077" stopIfTrue="1" operator="equal">
      <formula>"Towel"</formula>
    </cfRule>
    <cfRule type="cellIs" dxfId="26935" priority="12078" stopIfTrue="1" operator="equal">
      <formula>"Napkin Hs"</formula>
    </cfRule>
    <cfRule type="cellIs" dxfId="26934" priority="12083" stopIfTrue="1" operator="equal">
      <formula>"Towel"</formula>
    </cfRule>
    <cfRule type="cellIs" dxfId="26933" priority="12084" stopIfTrue="1" operator="equal">
      <formula>"Napkin Hs"</formula>
    </cfRule>
    <cfRule type="cellIs" dxfId="26932" priority="12093" stopIfTrue="1" operator="equal">
      <formula>"Towel"</formula>
    </cfRule>
    <cfRule type="cellIs" dxfId="26931" priority="12094" stopIfTrue="1" operator="equal">
      <formula>"Napkin Hs"</formula>
    </cfRule>
    <cfRule type="cellIs" dxfId="26930" priority="12099" stopIfTrue="1" operator="equal">
      <formula>"Towel"</formula>
    </cfRule>
    <cfRule type="cellIs" dxfId="26929" priority="12100" stopIfTrue="1" operator="equal">
      <formula>"Napkin Hs"</formula>
    </cfRule>
    <cfRule type="cellIs" dxfId="26928" priority="12101" stopIfTrue="1" operator="equal">
      <formula>"Towel"</formula>
    </cfRule>
    <cfRule type="cellIs" dxfId="26927" priority="12102" stopIfTrue="1" operator="equal">
      <formula>"Napkin Hs"</formula>
    </cfRule>
    <cfRule type="cellIs" dxfId="26926" priority="12107" stopIfTrue="1" operator="equal">
      <formula>"Towel"</formula>
    </cfRule>
    <cfRule type="cellIs" dxfId="26925" priority="12108" stopIfTrue="1" operator="equal">
      <formula>"Napkin Hs"</formula>
    </cfRule>
    <cfRule type="cellIs" dxfId="26924" priority="12117" stopIfTrue="1" operator="equal">
      <formula>"Towel"</formula>
    </cfRule>
    <cfRule type="cellIs" dxfId="26923" priority="12118" stopIfTrue="1" operator="equal">
      <formula>"Napkin Hs"</formula>
    </cfRule>
    <cfRule type="cellIs" dxfId="26922" priority="12119" stopIfTrue="1" operator="equal">
      <formula>"Towel"</formula>
    </cfRule>
    <cfRule type="cellIs" dxfId="26921" priority="12120" stopIfTrue="1" operator="equal">
      <formula>"Napkin Hs"</formula>
    </cfRule>
    <cfRule type="cellIs" dxfId="26920" priority="12125" stopIfTrue="1" operator="equal">
      <formula>"Towel"</formula>
    </cfRule>
    <cfRule type="cellIs" dxfId="26919" priority="12126" stopIfTrue="1" operator="equal">
      <formula>"Napkin Hs"</formula>
    </cfRule>
    <cfRule type="cellIs" dxfId="26918" priority="12135" stopIfTrue="1" operator="equal">
      <formula>"Towel"</formula>
    </cfRule>
    <cfRule type="cellIs" dxfId="26917" priority="12136" stopIfTrue="1" operator="equal">
      <formula>"Napkin Hs"</formula>
    </cfRule>
    <cfRule type="cellIs" dxfId="26916" priority="12137" stopIfTrue="1" operator="equal">
      <formula>"Towel"</formula>
    </cfRule>
    <cfRule type="cellIs" dxfId="26915" priority="12138" stopIfTrue="1" operator="equal">
      <formula>"Napkin Hs"</formula>
    </cfRule>
    <cfRule type="cellIs" dxfId="26914" priority="12144" stopIfTrue="1" operator="equal">
      <formula>"Napkin Hs"</formula>
    </cfRule>
  </conditionalFormatting>
  <conditionalFormatting sqref="C66">
    <cfRule type="cellIs" dxfId="26913" priority="12143" stopIfTrue="1" operator="equal">
      <formula>"Towel"</formula>
    </cfRule>
  </conditionalFormatting>
  <conditionalFormatting sqref="C66">
    <cfRule type="cellIs" dxfId="26912" priority="12054" stopIfTrue="1" operator="equal">
      <formula>"Napkin Hs"</formula>
    </cfRule>
    <cfRule type="cellIs" dxfId="26911" priority="12055" stopIfTrue="1" operator="equal">
      <formula>"Towel"</formula>
    </cfRule>
    <cfRule type="cellIs" dxfId="26910" priority="12056" stopIfTrue="1" operator="equal">
      <formula>"Napkin Hs"</formula>
    </cfRule>
    <cfRule type="cellIs" dxfId="26909" priority="12057" stopIfTrue="1" operator="equal">
      <formula>"Towel"</formula>
    </cfRule>
    <cfRule type="cellIs" dxfId="26908" priority="12058" stopIfTrue="1" operator="equal">
      <formula>"Napkin Hs"</formula>
    </cfRule>
    <cfRule type="cellIs" dxfId="26907" priority="12059" stopIfTrue="1" operator="equal">
      <formula>"Towel"</formula>
    </cfRule>
    <cfRule type="cellIs" dxfId="26906" priority="12060" stopIfTrue="1" operator="equal">
      <formula>"Napkin Hs"</formula>
    </cfRule>
    <cfRule type="cellIs" dxfId="26905" priority="12061" stopIfTrue="1" operator="equal">
      <formula>"Towel"</formula>
    </cfRule>
    <cfRule type="cellIs" dxfId="26904" priority="12062" stopIfTrue="1" operator="equal">
      <formula>"Napkin Hs"</formula>
    </cfRule>
    <cfRule type="cellIs" dxfId="26903" priority="12065" stopIfTrue="1" operator="equal">
      <formula>"Towel"</formula>
    </cfRule>
    <cfRule type="cellIs" dxfId="26902" priority="12066" stopIfTrue="1" operator="equal">
      <formula>"Napkin Hs"</formula>
    </cfRule>
    <cfRule type="cellIs" dxfId="26901" priority="12067" stopIfTrue="1" operator="equal">
      <formula>"Towel"</formula>
    </cfRule>
    <cfRule type="cellIs" dxfId="26900" priority="12068" stopIfTrue="1" operator="equal">
      <formula>"Napkin Hs"</formula>
    </cfRule>
    <cfRule type="cellIs" dxfId="26899" priority="12071" stopIfTrue="1" operator="equal">
      <formula>"Towel"</formula>
    </cfRule>
    <cfRule type="cellIs" dxfId="26898" priority="12072" stopIfTrue="1" operator="equal">
      <formula>"Napkin Hs"</formula>
    </cfRule>
    <cfRule type="cellIs" dxfId="26897" priority="12073" stopIfTrue="1" operator="equal">
      <formula>"Towel"</formula>
    </cfRule>
    <cfRule type="cellIs" dxfId="26896" priority="12074" stopIfTrue="1" operator="equal">
      <formula>"Napkin Hs"</formula>
    </cfRule>
    <cfRule type="cellIs" dxfId="26895" priority="12079" stopIfTrue="1" operator="equal">
      <formula>"Towel"</formula>
    </cfRule>
    <cfRule type="cellIs" dxfId="26894" priority="12080" stopIfTrue="1" operator="equal">
      <formula>"Napkin Hs"</formula>
    </cfRule>
    <cfRule type="cellIs" dxfId="26893" priority="12081" stopIfTrue="1" operator="equal">
      <formula>"Towel"</formula>
    </cfRule>
    <cfRule type="cellIs" dxfId="26892" priority="12082" stopIfTrue="1" operator="equal">
      <formula>"Napkin Hs"</formula>
    </cfRule>
    <cfRule type="cellIs" dxfId="26891" priority="12085" stopIfTrue="1" operator="equal">
      <formula>"Towel"</formula>
    </cfRule>
    <cfRule type="cellIs" dxfId="26890" priority="12086" stopIfTrue="1" operator="equal">
      <formula>"Napkin Hs"</formula>
    </cfRule>
    <cfRule type="cellIs" dxfId="26889" priority="12087" stopIfTrue="1" operator="equal">
      <formula>"Towel"</formula>
    </cfRule>
    <cfRule type="cellIs" dxfId="26888" priority="12088" stopIfTrue="1" operator="equal">
      <formula>"Napkin Hs"</formula>
    </cfRule>
    <cfRule type="cellIs" dxfId="26887" priority="12089" stopIfTrue="1" operator="equal">
      <formula>"Towel"</formula>
    </cfRule>
    <cfRule type="cellIs" dxfId="26886" priority="12090" stopIfTrue="1" operator="equal">
      <formula>"Napkin Hs"</formula>
    </cfRule>
    <cfRule type="cellIs" dxfId="26885" priority="12091" stopIfTrue="1" operator="equal">
      <formula>"Towel"</formula>
    </cfRule>
    <cfRule type="cellIs" dxfId="26884" priority="12092" stopIfTrue="1" operator="equal">
      <formula>"Napkin Hs"</formula>
    </cfRule>
    <cfRule type="cellIs" dxfId="26883" priority="12095" stopIfTrue="1" operator="equal">
      <formula>"Towel"</formula>
    </cfRule>
    <cfRule type="cellIs" dxfId="26882" priority="12096" stopIfTrue="1" operator="equal">
      <formula>"Napkin Hs"</formula>
    </cfRule>
    <cfRule type="cellIs" dxfId="26881" priority="12097" stopIfTrue="1" operator="equal">
      <formula>"Towel"</formula>
    </cfRule>
    <cfRule type="cellIs" dxfId="26880" priority="12098" stopIfTrue="1" operator="equal">
      <formula>"Napkin Hs"</formula>
    </cfRule>
    <cfRule type="cellIs" dxfId="26879" priority="12103" stopIfTrue="1" operator="equal">
      <formula>"Towel"</formula>
    </cfRule>
    <cfRule type="cellIs" dxfId="26878" priority="12104" stopIfTrue="1" operator="equal">
      <formula>"Napkin Hs"</formula>
    </cfRule>
    <cfRule type="cellIs" dxfId="26877" priority="12105" stopIfTrue="1" operator="equal">
      <formula>"Towel"</formula>
    </cfRule>
    <cfRule type="cellIs" dxfId="26876" priority="12106" stopIfTrue="1" operator="equal">
      <formula>"Napkin Hs"</formula>
    </cfRule>
    <cfRule type="cellIs" dxfId="26875" priority="12109" stopIfTrue="1" operator="equal">
      <formula>"Towel"</formula>
    </cfRule>
    <cfRule type="cellIs" dxfId="26874" priority="12110" stopIfTrue="1" operator="equal">
      <formula>"Napkin Hs"</formula>
    </cfRule>
    <cfRule type="cellIs" dxfId="26873" priority="12111" stopIfTrue="1" operator="equal">
      <formula>"Towel"</formula>
    </cfRule>
    <cfRule type="cellIs" dxfId="26872" priority="12112" stopIfTrue="1" operator="equal">
      <formula>"Napkin Hs"</formula>
    </cfRule>
    <cfRule type="cellIs" dxfId="26871" priority="12113" stopIfTrue="1" operator="equal">
      <formula>"Towel"</formula>
    </cfRule>
    <cfRule type="cellIs" dxfId="26870" priority="12114" stopIfTrue="1" operator="equal">
      <formula>"Napkin Hs"</formula>
    </cfRule>
    <cfRule type="cellIs" dxfId="26869" priority="12115" stopIfTrue="1" operator="equal">
      <formula>"Towel"</formula>
    </cfRule>
    <cfRule type="cellIs" dxfId="26868" priority="12116" stopIfTrue="1" operator="equal">
      <formula>"Napkin Hs"</formula>
    </cfRule>
    <cfRule type="cellIs" dxfId="26867" priority="12121" stopIfTrue="1" operator="equal">
      <formula>"Towel"</formula>
    </cfRule>
    <cfRule type="cellIs" dxfId="26866" priority="12122" stopIfTrue="1" operator="equal">
      <formula>"Napkin Hs"</formula>
    </cfRule>
    <cfRule type="cellIs" dxfId="26865" priority="12123" stopIfTrue="1" operator="equal">
      <formula>"Towel"</formula>
    </cfRule>
    <cfRule type="cellIs" dxfId="26864" priority="12124" stopIfTrue="1" operator="equal">
      <formula>"Napkin Hs"</formula>
    </cfRule>
    <cfRule type="cellIs" dxfId="26863" priority="12127" stopIfTrue="1" operator="equal">
      <formula>"Towel"</formula>
    </cfRule>
    <cfRule type="cellIs" dxfId="26862" priority="12128" stopIfTrue="1" operator="equal">
      <formula>"Napkin Hs"</formula>
    </cfRule>
    <cfRule type="cellIs" dxfId="26861" priority="12129" stopIfTrue="1" operator="equal">
      <formula>"Towel"</formula>
    </cfRule>
    <cfRule type="cellIs" dxfId="26860" priority="12130" stopIfTrue="1" operator="equal">
      <formula>"Napkin Hs"</formula>
    </cfRule>
    <cfRule type="cellIs" dxfId="26859" priority="12131" stopIfTrue="1" operator="equal">
      <formula>"Towel"</formula>
    </cfRule>
    <cfRule type="cellIs" dxfId="26858" priority="12132" stopIfTrue="1" operator="equal">
      <formula>"Napkin Hs"</formula>
    </cfRule>
    <cfRule type="cellIs" dxfId="26857" priority="12133" stopIfTrue="1" operator="equal">
      <formula>"Towel"</formula>
    </cfRule>
    <cfRule type="cellIs" dxfId="26856" priority="12134" stopIfTrue="1" operator="equal">
      <formula>"Napkin Hs"</formula>
    </cfRule>
    <cfRule type="cellIs" dxfId="26855" priority="12139" stopIfTrue="1" operator="equal">
      <formula>"Towel"</formula>
    </cfRule>
    <cfRule type="cellIs" dxfId="26854" priority="12140" stopIfTrue="1" operator="equal">
      <formula>"Napkin Hs"</formula>
    </cfRule>
    <cfRule type="cellIs" dxfId="26853" priority="12141" stopIfTrue="1" operator="equal">
      <formula>"Towel"</formula>
    </cfRule>
    <cfRule type="cellIs" dxfId="26852" priority="12142" stopIfTrue="1" operator="equal">
      <formula>"Napkin Hs"</formula>
    </cfRule>
    <cfRule type="cellIs" dxfId="26851" priority="12145" stopIfTrue="1" operator="equal">
      <formula>"Towel"</formula>
    </cfRule>
    <cfRule type="cellIs" dxfId="26850" priority="12146" stopIfTrue="1" operator="equal">
      <formula>"Napkin Hs"</formula>
    </cfRule>
    <cfRule type="cellIs" dxfId="26849" priority="12147" stopIfTrue="1" operator="equal">
      <formula>"Towel"</formula>
    </cfRule>
    <cfRule type="cellIs" dxfId="26848" priority="12148" stopIfTrue="1" operator="equal">
      <formula>"Napkin Hs"</formula>
    </cfRule>
  </conditionalFormatting>
  <conditionalFormatting sqref="C66">
    <cfRule type="cellIs" dxfId="26847" priority="12051" stopIfTrue="1" operator="equal">
      <formula>"Napkin Hs"</formula>
    </cfRule>
  </conditionalFormatting>
  <conditionalFormatting sqref="C66">
    <cfRule type="cellIs" dxfId="26846" priority="12050" stopIfTrue="1" operator="equal">
      <formula>"Napkin Hs"</formula>
    </cfRule>
  </conditionalFormatting>
  <conditionalFormatting sqref="C66">
    <cfRule type="cellIs" dxfId="26845" priority="12048" stopIfTrue="1" operator="equal">
      <formula>"Napkin Hs"</formula>
    </cfRule>
  </conditionalFormatting>
  <conditionalFormatting sqref="C66">
    <cfRule type="cellIs" dxfId="26844" priority="12047" stopIfTrue="1" operator="equal">
      <formula>"Napkin Hs"</formula>
    </cfRule>
  </conditionalFormatting>
  <conditionalFormatting sqref="C66">
    <cfRule type="cellIs" dxfId="26843" priority="12046" stopIfTrue="1" operator="equal">
      <formula>"Napkin Hs"</formula>
    </cfRule>
  </conditionalFormatting>
  <conditionalFormatting sqref="C66">
    <cfRule type="cellIs" dxfId="26842" priority="12045" stopIfTrue="1" operator="equal">
      <formula>"Napkin Hs"</formula>
    </cfRule>
  </conditionalFormatting>
  <conditionalFormatting sqref="C66">
    <cfRule type="cellIs" dxfId="26841" priority="12039" stopIfTrue="1" operator="equal">
      <formula>"Towel"</formula>
    </cfRule>
    <cfRule type="cellIs" dxfId="26840" priority="12040" stopIfTrue="1" operator="equal">
      <formula>"Napkin Hs"</formula>
    </cfRule>
  </conditionalFormatting>
  <conditionalFormatting sqref="C66">
    <cfRule type="cellIs" dxfId="26839" priority="12041" stopIfTrue="1" operator="equal">
      <formula>"Towel"</formula>
    </cfRule>
    <cfRule type="cellIs" dxfId="26838" priority="12042" stopIfTrue="1" operator="equal">
      <formula>"Napkin Hs"</formula>
    </cfRule>
  </conditionalFormatting>
  <conditionalFormatting sqref="C66">
    <cfRule type="cellIs" dxfId="26837" priority="12035" stopIfTrue="1" operator="equal">
      <formula>"Towel"</formula>
    </cfRule>
    <cfRule type="cellIs" dxfId="26836" priority="12036" stopIfTrue="1" operator="equal">
      <formula>"Napkin Hs"</formula>
    </cfRule>
  </conditionalFormatting>
  <conditionalFormatting sqref="C66">
    <cfRule type="cellIs" dxfId="26835" priority="12037" stopIfTrue="1" operator="equal">
      <formula>"Towel"</formula>
    </cfRule>
    <cfRule type="cellIs" dxfId="26834" priority="12038" stopIfTrue="1" operator="equal">
      <formula>"Napkin Hs"</formula>
    </cfRule>
  </conditionalFormatting>
  <conditionalFormatting sqref="B66">
    <cfRule type="cellIs" dxfId="26833" priority="12033" stopIfTrue="1" operator="equal">
      <formula>"Towel"</formula>
    </cfRule>
    <cfRule type="cellIs" dxfId="26832" priority="12034" stopIfTrue="1" operator="equal">
      <formula>"Napkin Hs"</formula>
    </cfRule>
  </conditionalFormatting>
  <conditionalFormatting sqref="B66">
    <cfRule type="cellIs" dxfId="26831" priority="12031" stopIfTrue="1" operator="equal">
      <formula>"Towel"</formula>
    </cfRule>
    <cfRule type="cellIs" dxfId="26830" priority="12032" stopIfTrue="1" operator="equal">
      <formula>"Napkin Hs"</formula>
    </cfRule>
  </conditionalFormatting>
  <conditionalFormatting sqref="B66">
    <cfRule type="cellIs" dxfId="26829" priority="12029" stopIfTrue="1" operator="equal">
      <formula>"Towel"</formula>
    </cfRule>
    <cfRule type="cellIs" dxfId="26828" priority="12030" stopIfTrue="1" operator="equal">
      <formula>"Napkin Hs"</formula>
    </cfRule>
  </conditionalFormatting>
  <conditionalFormatting sqref="B66">
    <cfRule type="cellIs" dxfId="26827" priority="12021" stopIfTrue="1" operator="equal">
      <formula>"Towel"</formula>
    </cfRule>
  </conditionalFormatting>
  <conditionalFormatting sqref="B66">
    <cfRule type="cellIs" dxfId="26826" priority="12022" stopIfTrue="1" operator="equal">
      <formula>"Napkin Hs"</formula>
    </cfRule>
    <cfRule type="cellIs" dxfId="26825" priority="12023" stopIfTrue="1" operator="equal">
      <formula>"Towel"</formula>
    </cfRule>
    <cfRule type="cellIs" dxfId="26824" priority="12024" stopIfTrue="1" operator="equal">
      <formula>"Napkin Hs"</formula>
    </cfRule>
    <cfRule type="cellIs" dxfId="26823" priority="12025" stopIfTrue="1" operator="equal">
      <formula>"Towel"</formula>
    </cfRule>
    <cfRule type="cellIs" dxfId="26822" priority="12026" stopIfTrue="1" operator="equal">
      <formula>"Napkin Hs"</formula>
    </cfRule>
    <cfRule type="cellIs" dxfId="26821" priority="12027" stopIfTrue="1" operator="equal">
      <formula>"Towel"</formula>
    </cfRule>
    <cfRule type="cellIs" dxfId="26820" priority="12028" stopIfTrue="1" operator="equal">
      <formula>"Napkin Hs"</formula>
    </cfRule>
  </conditionalFormatting>
  <conditionalFormatting sqref="B66">
    <cfRule type="cellIs" dxfId="26819" priority="12019" stopIfTrue="1" operator="equal">
      <formula>"Towel"</formula>
    </cfRule>
    <cfRule type="cellIs" dxfId="26818" priority="12020" stopIfTrue="1" operator="equal">
      <formula>"Napkin Hs"</formula>
    </cfRule>
  </conditionalFormatting>
  <conditionalFormatting sqref="B66">
    <cfRule type="cellIs" dxfId="26817" priority="11988" stopIfTrue="1" operator="equal">
      <formula>"Napkin Hs"</formula>
    </cfRule>
  </conditionalFormatting>
  <conditionalFormatting sqref="B66">
    <cfRule type="cellIs" dxfId="26816" priority="11987" stopIfTrue="1" operator="equal">
      <formula>"Towel"</formula>
    </cfRule>
  </conditionalFormatting>
  <conditionalFormatting sqref="B66">
    <cfRule type="cellIs" dxfId="26815" priority="11989" stopIfTrue="1" operator="equal">
      <formula>"Towel"</formula>
    </cfRule>
    <cfRule type="cellIs" dxfId="26814" priority="11990" stopIfTrue="1" operator="equal">
      <formula>"Napkin Hs"</formula>
    </cfRule>
    <cfRule type="cellIs" dxfId="26813" priority="11991" stopIfTrue="1" operator="equal">
      <formula>"Towel"</formula>
    </cfRule>
    <cfRule type="cellIs" dxfId="26812" priority="11992" stopIfTrue="1" operator="equal">
      <formula>"Napkin Hs"</formula>
    </cfRule>
    <cfRule type="cellIs" dxfId="26811" priority="11993" stopIfTrue="1" operator="equal">
      <formula>"Towel"</formula>
    </cfRule>
    <cfRule type="cellIs" dxfId="26810" priority="11994" stopIfTrue="1" operator="equal">
      <formula>"Napkin Hs"</formula>
    </cfRule>
    <cfRule type="cellIs" dxfId="26809" priority="11995" stopIfTrue="1" operator="equal">
      <formula>"Towel"</formula>
    </cfRule>
    <cfRule type="cellIs" dxfId="26808" priority="11996" stopIfTrue="1" operator="equal">
      <formula>"Napkin Hs"</formula>
    </cfRule>
    <cfRule type="cellIs" dxfId="26807" priority="11997" stopIfTrue="1" operator="equal">
      <formula>"Towel"</formula>
    </cfRule>
    <cfRule type="cellIs" dxfId="26806" priority="11998" stopIfTrue="1" operator="equal">
      <formula>"Napkin Hs"</formula>
    </cfRule>
    <cfRule type="cellIs" dxfId="26805" priority="11999" stopIfTrue="1" operator="equal">
      <formula>"Towel"</formula>
    </cfRule>
    <cfRule type="cellIs" dxfId="26804" priority="12000" stopIfTrue="1" operator="equal">
      <formula>"Napkin Hs"</formula>
    </cfRule>
    <cfRule type="cellIs" dxfId="26803" priority="12001" stopIfTrue="1" operator="equal">
      <formula>"Towel"</formula>
    </cfRule>
    <cfRule type="cellIs" dxfId="26802" priority="12002" stopIfTrue="1" operator="equal">
      <formula>"Napkin Hs"</formula>
    </cfRule>
    <cfRule type="cellIs" dxfId="26801" priority="12003" stopIfTrue="1" operator="equal">
      <formula>"Towel"</formula>
    </cfRule>
    <cfRule type="cellIs" dxfId="26800" priority="12004" stopIfTrue="1" operator="equal">
      <formula>"Napkin Hs"</formula>
    </cfRule>
    <cfRule type="cellIs" dxfId="26799" priority="12005" stopIfTrue="1" operator="equal">
      <formula>"Towel"</formula>
    </cfRule>
    <cfRule type="cellIs" dxfId="26798" priority="12006" stopIfTrue="1" operator="equal">
      <formula>"Napkin Hs"</formula>
    </cfRule>
    <cfRule type="cellIs" dxfId="26797" priority="12007" stopIfTrue="1" operator="equal">
      <formula>"Towel"</formula>
    </cfRule>
    <cfRule type="cellIs" dxfId="26796" priority="12008" stopIfTrue="1" operator="equal">
      <formula>"Napkin Hs"</formula>
    </cfRule>
    <cfRule type="cellIs" dxfId="26795" priority="12009" stopIfTrue="1" operator="equal">
      <formula>"Towel"</formula>
    </cfRule>
    <cfRule type="cellIs" dxfId="26794" priority="12010" stopIfTrue="1" operator="equal">
      <formula>"Napkin Hs"</formula>
    </cfRule>
    <cfRule type="cellIs" dxfId="26793" priority="12011" stopIfTrue="1" operator="equal">
      <formula>"Towel"</formula>
    </cfRule>
    <cfRule type="cellIs" dxfId="26792" priority="12012" stopIfTrue="1" operator="equal">
      <formula>"Napkin Hs"</formula>
    </cfRule>
    <cfRule type="cellIs" dxfId="26791" priority="12013" stopIfTrue="1" operator="equal">
      <formula>"Towel"</formula>
    </cfRule>
    <cfRule type="cellIs" dxfId="26790" priority="12014" stopIfTrue="1" operator="equal">
      <formula>"Napkin Hs"</formula>
    </cfRule>
    <cfRule type="cellIs" dxfId="26789" priority="12015" stopIfTrue="1" operator="equal">
      <formula>"Towel"</formula>
    </cfRule>
    <cfRule type="cellIs" dxfId="26788" priority="12016" stopIfTrue="1" operator="equal">
      <formula>"Napkin Hs"</formula>
    </cfRule>
    <cfRule type="cellIs" dxfId="26787" priority="12018" stopIfTrue="1" operator="equal">
      <formula>"Napkin Hs"</formula>
    </cfRule>
  </conditionalFormatting>
  <conditionalFormatting sqref="B66">
    <cfRule type="cellIs" dxfId="26786" priority="12017" stopIfTrue="1" operator="equal">
      <formula>"Towel"</formula>
    </cfRule>
  </conditionalFormatting>
  <conditionalFormatting sqref="B66">
    <cfRule type="cellIs" dxfId="26785" priority="11986" stopIfTrue="1" operator="equal">
      <formula>"Napkin Hs"</formula>
    </cfRule>
  </conditionalFormatting>
  <conditionalFormatting sqref="B66">
    <cfRule type="cellIs" dxfId="26784" priority="11985" stopIfTrue="1" operator="equal">
      <formula>"Napkin Hs"</formula>
    </cfRule>
  </conditionalFormatting>
  <conditionalFormatting sqref="B66">
    <cfRule type="cellIs" dxfId="26783" priority="11984" stopIfTrue="1" operator="equal">
      <formula>"Napkin Hs"</formula>
    </cfRule>
  </conditionalFormatting>
  <conditionalFormatting sqref="C65">
    <cfRule type="cellIs" dxfId="26782" priority="11980" stopIfTrue="1" operator="equal">
      <formula>"Towel"</formula>
    </cfRule>
    <cfRule type="cellIs" dxfId="26781" priority="11981" stopIfTrue="1" operator="equal">
      <formula>"Napkin Hs"</formula>
    </cfRule>
  </conditionalFormatting>
  <conditionalFormatting sqref="C65">
    <cfRule type="cellIs" dxfId="26780" priority="11982" stopIfTrue="1" operator="equal">
      <formula>"Towel"</formula>
    </cfRule>
    <cfRule type="cellIs" dxfId="26779" priority="11983" stopIfTrue="1" operator="equal">
      <formula>"Napkin Hs"</formula>
    </cfRule>
  </conditionalFormatting>
  <conditionalFormatting sqref="C65">
    <cfRule type="cellIs" dxfId="26778" priority="11978" stopIfTrue="1" operator="equal">
      <formula>"Towel"</formula>
    </cfRule>
    <cfRule type="cellIs" dxfId="26777" priority="11979" stopIfTrue="1" operator="equal">
      <formula>"Napkin Hs"</formula>
    </cfRule>
  </conditionalFormatting>
  <conditionalFormatting sqref="C65">
    <cfRule type="cellIs" dxfId="26776" priority="11972" stopIfTrue="1" operator="equal">
      <formula>"Towel"</formula>
    </cfRule>
    <cfRule type="cellIs" dxfId="26775" priority="11973" stopIfTrue="1" operator="equal">
      <formula>"Napkin Hs"</formula>
    </cfRule>
  </conditionalFormatting>
  <conditionalFormatting sqref="C65">
    <cfRule type="cellIs" dxfId="26774" priority="11976" stopIfTrue="1" operator="equal">
      <formula>"Towel"</formula>
    </cfRule>
    <cfRule type="cellIs" dxfId="26773" priority="11977" stopIfTrue="1" operator="equal">
      <formula>"Napkin Hs"</formula>
    </cfRule>
  </conditionalFormatting>
  <conditionalFormatting sqref="C65">
    <cfRule type="cellIs" dxfId="26772" priority="11974" stopIfTrue="1" operator="equal">
      <formula>"Towel"</formula>
    </cfRule>
    <cfRule type="cellIs" dxfId="26771" priority="11975" stopIfTrue="1" operator="equal">
      <formula>"Napkin Hs"</formula>
    </cfRule>
  </conditionalFormatting>
  <conditionalFormatting sqref="C65">
    <cfRule type="cellIs" dxfId="26770" priority="11966" stopIfTrue="1" operator="equal">
      <formula>"Towel"</formula>
    </cfRule>
    <cfRule type="cellIs" dxfId="26769" priority="11967" stopIfTrue="1" operator="equal">
      <formula>"Napkin Hs"</formula>
    </cfRule>
  </conditionalFormatting>
  <conditionalFormatting sqref="C65">
    <cfRule type="cellIs" dxfId="26768" priority="11968" stopIfTrue="1" operator="equal">
      <formula>"Towel"</formula>
    </cfRule>
    <cfRule type="cellIs" dxfId="26767" priority="11969" stopIfTrue="1" operator="equal">
      <formula>"Napkin Hs"</formula>
    </cfRule>
  </conditionalFormatting>
  <conditionalFormatting sqref="C65">
    <cfRule type="cellIs" dxfId="26766" priority="11970" stopIfTrue="1" operator="equal">
      <formula>"Towel"</formula>
    </cfRule>
    <cfRule type="cellIs" dxfId="26765" priority="11971" stopIfTrue="1" operator="equal">
      <formula>"Napkin Hs"</formula>
    </cfRule>
  </conditionalFormatting>
  <conditionalFormatting sqref="C65">
    <cfRule type="cellIs" dxfId="26764" priority="11964" stopIfTrue="1" operator="equal">
      <formula>"Towel"</formula>
    </cfRule>
    <cfRule type="cellIs" dxfId="26763" priority="11965" stopIfTrue="1" operator="equal">
      <formula>"Napkin Hs"</formula>
    </cfRule>
  </conditionalFormatting>
  <conditionalFormatting sqref="C65">
    <cfRule type="cellIs" dxfId="26762" priority="11962" stopIfTrue="1" operator="equal">
      <formula>"Towel"</formula>
    </cfRule>
    <cfRule type="cellIs" dxfId="26761" priority="11963" stopIfTrue="1" operator="equal">
      <formula>"Napkin Hs"</formula>
    </cfRule>
  </conditionalFormatting>
  <conditionalFormatting sqref="C65">
    <cfRule type="cellIs" dxfId="26760" priority="11938" stopIfTrue="1" operator="equal">
      <formula>"Towel"</formula>
    </cfRule>
  </conditionalFormatting>
  <conditionalFormatting sqref="C65">
    <cfRule type="cellIs" dxfId="26759" priority="11939" stopIfTrue="1" operator="equal">
      <formula>"Napkin Hs"</formula>
    </cfRule>
    <cfRule type="cellIs" dxfId="26758" priority="11944" stopIfTrue="1" operator="equal">
      <formula>"Towel"</formula>
    </cfRule>
    <cfRule type="cellIs" dxfId="26757" priority="11945" stopIfTrue="1" operator="equal">
      <formula>"Napkin Hs"</formula>
    </cfRule>
    <cfRule type="cellIs" dxfId="26756" priority="11954" stopIfTrue="1" operator="equal">
      <formula>"Towel"</formula>
    </cfRule>
    <cfRule type="cellIs" dxfId="26755" priority="11955" stopIfTrue="1" operator="equal">
      <formula>"Napkin Hs"</formula>
    </cfRule>
    <cfRule type="cellIs" dxfId="26754" priority="11960" stopIfTrue="1" operator="equal">
      <formula>"Towel"</formula>
    </cfRule>
    <cfRule type="cellIs" dxfId="26753" priority="11961" stopIfTrue="1" operator="equal">
      <formula>"Napkin Hs"</formula>
    </cfRule>
  </conditionalFormatting>
  <conditionalFormatting sqref="C65">
    <cfRule type="cellIs" dxfId="26752" priority="11940" stopIfTrue="1" operator="equal">
      <formula>"Towel"</formula>
    </cfRule>
    <cfRule type="cellIs" dxfId="26751" priority="11941" stopIfTrue="1" operator="equal">
      <formula>"Napkin Hs"</formula>
    </cfRule>
    <cfRule type="cellIs" dxfId="26750" priority="11942" stopIfTrue="1" operator="equal">
      <formula>"Towel"</formula>
    </cfRule>
    <cfRule type="cellIs" dxfId="26749" priority="11943" stopIfTrue="1" operator="equal">
      <formula>"Napkin Hs"</formula>
    </cfRule>
    <cfRule type="cellIs" dxfId="26748" priority="11946" stopIfTrue="1" operator="equal">
      <formula>"Towel"</formula>
    </cfRule>
    <cfRule type="cellIs" dxfId="26747" priority="11947" stopIfTrue="1" operator="equal">
      <formula>"Napkin Hs"</formula>
    </cfRule>
    <cfRule type="cellIs" dxfId="26746" priority="11948" stopIfTrue="1" operator="equal">
      <formula>"Towel"</formula>
    </cfRule>
    <cfRule type="cellIs" dxfId="26745" priority="11949" stopIfTrue="1" operator="equal">
      <formula>"Napkin Hs"</formula>
    </cfRule>
    <cfRule type="cellIs" dxfId="26744" priority="11950" stopIfTrue="1" operator="equal">
      <formula>"Towel"</formula>
    </cfRule>
    <cfRule type="cellIs" dxfId="26743" priority="11951" stopIfTrue="1" operator="equal">
      <formula>"Napkin Hs"</formula>
    </cfRule>
    <cfRule type="cellIs" dxfId="26742" priority="11952" stopIfTrue="1" operator="equal">
      <formula>"Towel"</formula>
    </cfRule>
    <cfRule type="cellIs" dxfId="26741" priority="11953" stopIfTrue="1" operator="equal">
      <formula>"Napkin Hs"</formula>
    </cfRule>
    <cfRule type="cellIs" dxfId="26740" priority="11956" stopIfTrue="1" operator="equal">
      <formula>"Towel"</formula>
    </cfRule>
    <cfRule type="cellIs" dxfId="26739" priority="11957" stopIfTrue="1" operator="equal">
      <formula>"Napkin Hs"</formula>
    </cfRule>
    <cfRule type="cellIs" dxfId="26738" priority="11959" stopIfTrue="1" operator="equal">
      <formula>"Napkin Hs"</formula>
    </cfRule>
  </conditionalFormatting>
  <conditionalFormatting sqref="C65">
    <cfRule type="cellIs" dxfId="26737" priority="11958" stopIfTrue="1" operator="equal">
      <formula>"Towel"</formula>
    </cfRule>
  </conditionalFormatting>
  <conditionalFormatting sqref="C65">
    <cfRule type="cellIs" dxfId="26736" priority="11936" stopIfTrue="1" operator="equal">
      <formula>"Towel"</formula>
    </cfRule>
    <cfRule type="cellIs" dxfId="26735" priority="11937" stopIfTrue="1" operator="equal">
      <formula>"Napkin Hs"</formula>
    </cfRule>
  </conditionalFormatting>
  <conditionalFormatting sqref="C65">
    <cfRule type="cellIs" dxfId="26734" priority="11935" stopIfTrue="1" operator="equal">
      <formula>"Napkin Hs"</formula>
    </cfRule>
  </conditionalFormatting>
  <conditionalFormatting sqref="C65">
    <cfRule type="cellIs" dxfId="26733" priority="11934" stopIfTrue="1" operator="equal">
      <formula>"Towel"</formula>
    </cfRule>
  </conditionalFormatting>
  <conditionalFormatting sqref="C65">
    <cfRule type="cellIs" dxfId="26732" priority="11932" stopIfTrue="1" operator="equal">
      <formula>"Towel"</formula>
    </cfRule>
  </conditionalFormatting>
  <conditionalFormatting sqref="C65">
    <cfRule type="cellIs" dxfId="26731" priority="11933" stopIfTrue="1" operator="equal">
      <formula>"Napkin Hs"</formula>
    </cfRule>
  </conditionalFormatting>
  <conditionalFormatting sqref="C65">
    <cfRule type="cellIs" dxfId="26730" priority="11836" stopIfTrue="1" operator="equal">
      <formula>"Towel"</formula>
    </cfRule>
  </conditionalFormatting>
  <conditionalFormatting sqref="C65">
    <cfRule type="cellIs" dxfId="26729" priority="11846" stopIfTrue="1" operator="equal">
      <formula>"Towel"</formula>
    </cfRule>
    <cfRule type="cellIs" dxfId="26728" priority="11847" stopIfTrue="1" operator="equal">
      <formula>"Napkin Hs"</formula>
    </cfRule>
    <cfRule type="cellIs" dxfId="26727" priority="11852" stopIfTrue="1" operator="equal">
      <formula>"Towel"</formula>
    </cfRule>
    <cfRule type="cellIs" dxfId="26726" priority="11853" stopIfTrue="1" operator="equal">
      <formula>"Napkin Hs"</formula>
    </cfRule>
    <cfRule type="cellIs" dxfId="26725" priority="11858" stopIfTrue="1" operator="equal">
      <formula>"Towel"</formula>
    </cfRule>
    <cfRule type="cellIs" dxfId="26724" priority="11859" stopIfTrue="1" operator="equal">
      <formula>"Napkin Hs"</formula>
    </cfRule>
    <cfRule type="cellIs" dxfId="26723" priority="11860" stopIfTrue="1" operator="equal">
      <formula>"Towel"</formula>
    </cfRule>
    <cfRule type="cellIs" dxfId="26722" priority="11861" stopIfTrue="1" operator="equal">
      <formula>"Napkin Hs"</formula>
    </cfRule>
    <cfRule type="cellIs" dxfId="26721" priority="11866" stopIfTrue="1" operator="equal">
      <formula>"Towel"</formula>
    </cfRule>
    <cfRule type="cellIs" dxfId="26720" priority="11867" stopIfTrue="1" operator="equal">
      <formula>"Napkin Hs"</formula>
    </cfRule>
    <cfRule type="cellIs" dxfId="26719" priority="11876" stopIfTrue="1" operator="equal">
      <formula>"Towel"</formula>
    </cfRule>
    <cfRule type="cellIs" dxfId="26718" priority="11877" stopIfTrue="1" operator="equal">
      <formula>"Napkin Hs"</formula>
    </cfRule>
    <cfRule type="cellIs" dxfId="26717" priority="11882" stopIfTrue="1" operator="equal">
      <formula>"Towel"</formula>
    </cfRule>
    <cfRule type="cellIs" dxfId="26716" priority="11883" stopIfTrue="1" operator="equal">
      <formula>"Napkin Hs"</formula>
    </cfRule>
    <cfRule type="cellIs" dxfId="26715" priority="11884" stopIfTrue="1" operator="equal">
      <formula>"Towel"</formula>
    </cfRule>
    <cfRule type="cellIs" dxfId="26714" priority="11885" stopIfTrue="1" operator="equal">
      <formula>"Napkin Hs"</formula>
    </cfRule>
    <cfRule type="cellIs" dxfId="26713" priority="11890" stopIfTrue="1" operator="equal">
      <formula>"Towel"</formula>
    </cfRule>
    <cfRule type="cellIs" dxfId="26712" priority="11891" stopIfTrue="1" operator="equal">
      <formula>"Napkin Hs"</formula>
    </cfRule>
    <cfRule type="cellIs" dxfId="26711" priority="11900" stopIfTrue="1" operator="equal">
      <formula>"Towel"</formula>
    </cfRule>
    <cfRule type="cellIs" dxfId="26710" priority="11901" stopIfTrue="1" operator="equal">
      <formula>"Napkin Hs"</formula>
    </cfRule>
    <cfRule type="cellIs" dxfId="26709" priority="11902" stopIfTrue="1" operator="equal">
      <formula>"Towel"</formula>
    </cfRule>
    <cfRule type="cellIs" dxfId="26708" priority="11903" stopIfTrue="1" operator="equal">
      <formula>"Napkin Hs"</formula>
    </cfRule>
    <cfRule type="cellIs" dxfId="26707" priority="11908" stopIfTrue="1" operator="equal">
      <formula>"Towel"</formula>
    </cfRule>
    <cfRule type="cellIs" dxfId="26706" priority="11909" stopIfTrue="1" operator="equal">
      <formula>"Napkin Hs"</formula>
    </cfRule>
    <cfRule type="cellIs" dxfId="26705" priority="11918" stopIfTrue="1" operator="equal">
      <formula>"Towel"</formula>
    </cfRule>
    <cfRule type="cellIs" dxfId="26704" priority="11919" stopIfTrue="1" operator="equal">
      <formula>"Napkin Hs"</formula>
    </cfRule>
    <cfRule type="cellIs" dxfId="26703" priority="11920" stopIfTrue="1" operator="equal">
      <formula>"Towel"</formula>
    </cfRule>
    <cfRule type="cellIs" dxfId="26702" priority="11921" stopIfTrue="1" operator="equal">
      <formula>"Napkin Hs"</formula>
    </cfRule>
    <cfRule type="cellIs" dxfId="26701" priority="11927" stopIfTrue="1" operator="equal">
      <formula>"Napkin Hs"</formula>
    </cfRule>
  </conditionalFormatting>
  <conditionalFormatting sqref="C65">
    <cfRule type="cellIs" dxfId="26700" priority="11926" stopIfTrue="1" operator="equal">
      <formula>"Towel"</formula>
    </cfRule>
  </conditionalFormatting>
  <conditionalFormatting sqref="C65">
    <cfRule type="cellIs" dxfId="26699" priority="11837" stopIfTrue="1" operator="equal">
      <formula>"Napkin Hs"</formula>
    </cfRule>
    <cfRule type="cellIs" dxfId="26698" priority="11838" stopIfTrue="1" operator="equal">
      <formula>"Towel"</formula>
    </cfRule>
    <cfRule type="cellIs" dxfId="26697" priority="11839" stopIfTrue="1" operator="equal">
      <formula>"Napkin Hs"</formula>
    </cfRule>
    <cfRule type="cellIs" dxfId="26696" priority="11840" stopIfTrue="1" operator="equal">
      <formula>"Towel"</formula>
    </cfRule>
    <cfRule type="cellIs" dxfId="26695" priority="11841" stopIfTrue="1" operator="equal">
      <formula>"Napkin Hs"</formula>
    </cfRule>
    <cfRule type="cellIs" dxfId="26694" priority="11842" stopIfTrue="1" operator="equal">
      <formula>"Towel"</formula>
    </cfRule>
    <cfRule type="cellIs" dxfId="26693" priority="11843" stopIfTrue="1" operator="equal">
      <formula>"Napkin Hs"</formula>
    </cfRule>
    <cfRule type="cellIs" dxfId="26692" priority="11844" stopIfTrue="1" operator="equal">
      <formula>"Towel"</formula>
    </cfRule>
    <cfRule type="cellIs" dxfId="26691" priority="11845" stopIfTrue="1" operator="equal">
      <formula>"Napkin Hs"</formula>
    </cfRule>
    <cfRule type="cellIs" dxfId="26690" priority="11848" stopIfTrue="1" operator="equal">
      <formula>"Towel"</formula>
    </cfRule>
    <cfRule type="cellIs" dxfId="26689" priority="11849" stopIfTrue="1" operator="equal">
      <formula>"Napkin Hs"</formula>
    </cfRule>
    <cfRule type="cellIs" dxfId="26688" priority="11850" stopIfTrue="1" operator="equal">
      <formula>"Towel"</formula>
    </cfRule>
    <cfRule type="cellIs" dxfId="26687" priority="11851" stopIfTrue="1" operator="equal">
      <formula>"Napkin Hs"</formula>
    </cfRule>
    <cfRule type="cellIs" dxfId="26686" priority="11854" stopIfTrue="1" operator="equal">
      <formula>"Towel"</formula>
    </cfRule>
    <cfRule type="cellIs" dxfId="26685" priority="11855" stopIfTrue="1" operator="equal">
      <formula>"Napkin Hs"</formula>
    </cfRule>
    <cfRule type="cellIs" dxfId="26684" priority="11856" stopIfTrue="1" operator="equal">
      <formula>"Towel"</formula>
    </cfRule>
    <cfRule type="cellIs" dxfId="26683" priority="11857" stopIfTrue="1" operator="equal">
      <formula>"Napkin Hs"</formula>
    </cfRule>
    <cfRule type="cellIs" dxfId="26682" priority="11862" stopIfTrue="1" operator="equal">
      <formula>"Towel"</formula>
    </cfRule>
    <cfRule type="cellIs" dxfId="26681" priority="11863" stopIfTrue="1" operator="equal">
      <formula>"Napkin Hs"</formula>
    </cfRule>
    <cfRule type="cellIs" dxfId="26680" priority="11864" stopIfTrue="1" operator="equal">
      <formula>"Towel"</formula>
    </cfRule>
    <cfRule type="cellIs" dxfId="26679" priority="11865" stopIfTrue="1" operator="equal">
      <formula>"Napkin Hs"</formula>
    </cfRule>
    <cfRule type="cellIs" dxfId="26678" priority="11868" stopIfTrue="1" operator="equal">
      <formula>"Towel"</formula>
    </cfRule>
    <cfRule type="cellIs" dxfId="26677" priority="11869" stopIfTrue="1" operator="equal">
      <formula>"Napkin Hs"</formula>
    </cfRule>
    <cfRule type="cellIs" dxfId="26676" priority="11870" stopIfTrue="1" operator="equal">
      <formula>"Towel"</formula>
    </cfRule>
    <cfRule type="cellIs" dxfId="26675" priority="11871" stopIfTrue="1" operator="equal">
      <formula>"Napkin Hs"</formula>
    </cfRule>
    <cfRule type="cellIs" dxfId="26674" priority="11872" stopIfTrue="1" operator="equal">
      <formula>"Towel"</formula>
    </cfRule>
    <cfRule type="cellIs" dxfId="26673" priority="11873" stopIfTrue="1" operator="equal">
      <formula>"Napkin Hs"</formula>
    </cfRule>
    <cfRule type="cellIs" dxfId="26672" priority="11874" stopIfTrue="1" operator="equal">
      <formula>"Towel"</formula>
    </cfRule>
    <cfRule type="cellIs" dxfId="26671" priority="11875" stopIfTrue="1" operator="equal">
      <formula>"Napkin Hs"</formula>
    </cfRule>
    <cfRule type="cellIs" dxfId="26670" priority="11878" stopIfTrue="1" operator="equal">
      <formula>"Towel"</formula>
    </cfRule>
    <cfRule type="cellIs" dxfId="26669" priority="11879" stopIfTrue="1" operator="equal">
      <formula>"Napkin Hs"</formula>
    </cfRule>
    <cfRule type="cellIs" dxfId="26668" priority="11880" stopIfTrue="1" operator="equal">
      <formula>"Towel"</formula>
    </cfRule>
    <cfRule type="cellIs" dxfId="26667" priority="11881" stopIfTrue="1" operator="equal">
      <formula>"Napkin Hs"</formula>
    </cfRule>
    <cfRule type="cellIs" dxfId="26666" priority="11886" stopIfTrue="1" operator="equal">
      <formula>"Towel"</formula>
    </cfRule>
    <cfRule type="cellIs" dxfId="26665" priority="11887" stopIfTrue="1" operator="equal">
      <formula>"Napkin Hs"</formula>
    </cfRule>
    <cfRule type="cellIs" dxfId="26664" priority="11888" stopIfTrue="1" operator="equal">
      <formula>"Towel"</formula>
    </cfRule>
    <cfRule type="cellIs" dxfId="26663" priority="11889" stopIfTrue="1" operator="equal">
      <formula>"Napkin Hs"</formula>
    </cfRule>
    <cfRule type="cellIs" dxfId="26662" priority="11892" stopIfTrue="1" operator="equal">
      <formula>"Towel"</formula>
    </cfRule>
    <cfRule type="cellIs" dxfId="26661" priority="11893" stopIfTrue="1" operator="equal">
      <formula>"Napkin Hs"</formula>
    </cfRule>
    <cfRule type="cellIs" dxfId="26660" priority="11894" stopIfTrue="1" operator="equal">
      <formula>"Towel"</formula>
    </cfRule>
    <cfRule type="cellIs" dxfId="26659" priority="11895" stopIfTrue="1" operator="equal">
      <formula>"Napkin Hs"</formula>
    </cfRule>
    <cfRule type="cellIs" dxfId="26658" priority="11896" stopIfTrue="1" operator="equal">
      <formula>"Towel"</formula>
    </cfRule>
    <cfRule type="cellIs" dxfId="26657" priority="11897" stopIfTrue="1" operator="equal">
      <formula>"Napkin Hs"</formula>
    </cfRule>
    <cfRule type="cellIs" dxfId="26656" priority="11898" stopIfTrue="1" operator="equal">
      <formula>"Towel"</formula>
    </cfRule>
    <cfRule type="cellIs" dxfId="26655" priority="11899" stopIfTrue="1" operator="equal">
      <formula>"Napkin Hs"</formula>
    </cfRule>
    <cfRule type="cellIs" dxfId="26654" priority="11904" stopIfTrue="1" operator="equal">
      <formula>"Towel"</formula>
    </cfRule>
    <cfRule type="cellIs" dxfId="26653" priority="11905" stopIfTrue="1" operator="equal">
      <formula>"Napkin Hs"</formula>
    </cfRule>
    <cfRule type="cellIs" dxfId="26652" priority="11906" stopIfTrue="1" operator="equal">
      <formula>"Towel"</formula>
    </cfRule>
    <cfRule type="cellIs" dxfId="26651" priority="11907" stopIfTrue="1" operator="equal">
      <formula>"Napkin Hs"</formula>
    </cfRule>
    <cfRule type="cellIs" dxfId="26650" priority="11910" stopIfTrue="1" operator="equal">
      <formula>"Towel"</formula>
    </cfRule>
    <cfRule type="cellIs" dxfId="26649" priority="11911" stopIfTrue="1" operator="equal">
      <formula>"Napkin Hs"</formula>
    </cfRule>
    <cfRule type="cellIs" dxfId="26648" priority="11912" stopIfTrue="1" operator="equal">
      <formula>"Towel"</formula>
    </cfRule>
    <cfRule type="cellIs" dxfId="26647" priority="11913" stopIfTrue="1" operator="equal">
      <formula>"Napkin Hs"</formula>
    </cfRule>
    <cfRule type="cellIs" dxfId="26646" priority="11914" stopIfTrue="1" operator="equal">
      <formula>"Towel"</formula>
    </cfRule>
    <cfRule type="cellIs" dxfId="26645" priority="11915" stopIfTrue="1" operator="equal">
      <formula>"Napkin Hs"</formula>
    </cfRule>
    <cfRule type="cellIs" dxfId="26644" priority="11916" stopIfTrue="1" operator="equal">
      <formula>"Towel"</formula>
    </cfRule>
    <cfRule type="cellIs" dxfId="26643" priority="11917" stopIfTrue="1" operator="equal">
      <formula>"Napkin Hs"</formula>
    </cfRule>
    <cfRule type="cellIs" dxfId="26642" priority="11922" stopIfTrue="1" operator="equal">
      <formula>"Towel"</formula>
    </cfRule>
    <cfRule type="cellIs" dxfId="26641" priority="11923" stopIfTrue="1" operator="equal">
      <formula>"Napkin Hs"</formula>
    </cfRule>
    <cfRule type="cellIs" dxfId="26640" priority="11924" stopIfTrue="1" operator="equal">
      <formula>"Towel"</formula>
    </cfRule>
    <cfRule type="cellIs" dxfId="26639" priority="11925" stopIfTrue="1" operator="equal">
      <formula>"Napkin Hs"</formula>
    </cfRule>
    <cfRule type="cellIs" dxfId="26638" priority="11928" stopIfTrue="1" operator="equal">
      <formula>"Towel"</formula>
    </cfRule>
    <cfRule type="cellIs" dxfId="26637" priority="11929" stopIfTrue="1" operator="equal">
      <formula>"Napkin Hs"</formula>
    </cfRule>
    <cfRule type="cellIs" dxfId="26636" priority="11930" stopIfTrue="1" operator="equal">
      <formula>"Towel"</formula>
    </cfRule>
    <cfRule type="cellIs" dxfId="26635" priority="11931" stopIfTrue="1" operator="equal">
      <formula>"Napkin Hs"</formula>
    </cfRule>
  </conditionalFormatting>
  <conditionalFormatting sqref="C65">
    <cfRule type="cellIs" dxfId="26634" priority="11835" stopIfTrue="1" operator="equal">
      <formula>"Napkin Hs"</formula>
    </cfRule>
  </conditionalFormatting>
  <conditionalFormatting sqref="C65">
    <cfRule type="cellIs" dxfId="26633" priority="11834" stopIfTrue="1" operator="equal">
      <formula>"Napkin Hs"</formula>
    </cfRule>
  </conditionalFormatting>
  <conditionalFormatting sqref="C65">
    <cfRule type="cellIs" dxfId="26632" priority="11833" stopIfTrue="1" operator="equal">
      <formula>"Napkin Hs"</formula>
    </cfRule>
  </conditionalFormatting>
  <conditionalFormatting sqref="C65">
    <cfRule type="cellIs" dxfId="26631" priority="11832" stopIfTrue="1" operator="equal">
      <formula>"Napkin Hs"</formula>
    </cfRule>
  </conditionalFormatting>
  <conditionalFormatting sqref="C65">
    <cfRule type="cellIs" dxfId="26630" priority="11831" stopIfTrue="1" operator="equal">
      <formula>"Napkin Hs"</formula>
    </cfRule>
  </conditionalFormatting>
  <conditionalFormatting sqref="C65">
    <cfRule type="cellIs" dxfId="26629" priority="11830" stopIfTrue="1" operator="equal">
      <formula>"Napkin Hs"</formula>
    </cfRule>
  </conditionalFormatting>
  <conditionalFormatting sqref="C65">
    <cfRule type="cellIs" dxfId="26628" priority="11826" stopIfTrue="1" operator="equal">
      <formula>"Towel"</formula>
    </cfRule>
    <cfRule type="cellIs" dxfId="26627" priority="11827" stopIfTrue="1" operator="equal">
      <formula>"Napkin Hs"</formula>
    </cfRule>
  </conditionalFormatting>
  <conditionalFormatting sqref="C65">
    <cfRule type="cellIs" dxfId="26626" priority="11828" stopIfTrue="1" operator="equal">
      <formula>"Towel"</formula>
    </cfRule>
    <cfRule type="cellIs" dxfId="26625" priority="11829" stopIfTrue="1" operator="equal">
      <formula>"Napkin Hs"</formula>
    </cfRule>
  </conditionalFormatting>
  <conditionalFormatting sqref="C65">
    <cfRule type="cellIs" dxfId="26624" priority="11822" stopIfTrue="1" operator="equal">
      <formula>"Towel"</formula>
    </cfRule>
    <cfRule type="cellIs" dxfId="26623" priority="11823" stopIfTrue="1" operator="equal">
      <formula>"Napkin Hs"</formula>
    </cfRule>
  </conditionalFormatting>
  <conditionalFormatting sqref="C65">
    <cfRule type="cellIs" dxfId="26622" priority="11824" stopIfTrue="1" operator="equal">
      <formula>"Towel"</formula>
    </cfRule>
    <cfRule type="cellIs" dxfId="26621" priority="11825" stopIfTrue="1" operator="equal">
      <formula>"Napkin Hs"</formula>
    </cfRule>
  </conditionalFormatting>
  <conditionalFormatting sqref="B65">
    <cfRule type="cellIs" dxfId="26620" priority="11820" stopIfTrue="1" operator="equal">
      <formula>"Towel"</formula>
    </cfRule>
    <cfRule type="cellIs" dxfId="26619" priority="11821" stopIfTrue="1" operator="equal">
      <formula>"Napkin Hs"</formula>
    </cfRule>
  </conditionalFormatting>
  <conditionalFormatting sqref="B65">
    <cfRule type="cellIs" dxfId="26618" priority="11818" stopIfTrue="1" operator="equal">
      <formula>"Towel"</formula>
    </cfRule>
    <cfRule type="cellIs" dxfId="26617" priority="11819" stopIfTrue="1" operator="equal">
      <formula>"Napkin Hs"</formula>
    </cfRule>
  </conditionalFormatting>
  <conditionalFormatting sqref="B65">
    <cfRule type="cellIs" dxfId="26616" priority="11816" stopIfTrue="1" operator="equal">
      <formula>"Towel"</formula>
    </cfRule>
    <cfRule type="cellIs" dxfId="26615" priority="11817" stopIfTrue="1" operator="equal">
      <formula>"Napkin Hs"</formula>
    </cfRule>
  </conditionalFormatting>
  <conditionalFormatting sqref="B65">
    <cfRule type="cellIs" dxfId="26614" priority="11808" stopIfTrue="1" operator="equal">
      <formula>"Towel"</formula>
    </cfRule>
  </conditionalFormatting>
  <conditionalFormatting sqref="B65">
    <cfRule type="cellIs" dxfId="26613" priority="11809" stopIfTrue="1" operator="equal">
      <formula>"Napkin Hs"</formula>
    </cfRule>
    <cfRule type="cellIs" dxfId="26612" priority="11810" stopIfTrue="1" operator="equal">
      <formula>"Towel"</formula>
    </cfRule>
    <cfRule type="cellIs" dxfId="26611" priority="11811" stopIfTrue="1" operator="equal">
      <formula>"Napkin Hs"</formula>
    </cfRule>
    <cfRule type="cellIs" dxfId="26610" priority="11812" stopIfTrue="1" operator="equal">
      <formula>"Towel"</formula>
    </cfRule>
    <cfRule type="cellIs" dxfId="26609" priority="11813" stopIfTrue="1" operator="equal">
      <formula>"Napkin Hs"</formula>
    </cfRule>
    <cfRule type="cellIs" dxfId="26608" priority="11814" stopIfTrue="1" operator="equal">
      <formula>"Towel"</formula>
    </cfRule>
    <cfRule type="cellIs" dxfId="26607" priority="11815" stopIfTrue="1" operator="equal">
      <formula>"Napkin Hs"</formula>
    </cfRule>
  </conditionalFormatting>
  <conditionalFormatting sqref="B65">
    <cfRule type="cellIs" dxfId="26606" priority="11806" stopIfTrue="1" operator="equal">
      <formula>"Towel"</formula>
    </cfRule>
    <cfRule type="cellIs" dxfId="26605" priority="11807" stopIfTrue="1" operator="equal">
      <formula>"Napkin Hs"</formula>
    </cfRule>
  </conditionalFormatting>
  <conditionalFormatting sqref="B65">
    <cfRule type="cellIs" dxfId="26604" priority="11775" stopIfTrue="1" operator="equal">
      <formula>"Napkin Hs"</formula>
    </cfRule>
  </conditionalFormatting>
  <conditionalFormatting sqref="B65">
    <cfRule type="cellIs" dxfId="26603" priority="11774" stopIfTrue="1" operator="equal">
      <formula>"Towel"</formula>
    </cfRule>
  </conditionalFormatting>
  <conditionalFormatting sqref="B65">
    <cfRule type="cellIs" dxfId="26602" priority="11776" stopIfTrue="1" operator="equal">
      <formula>"Towel"</formula>
    </cfRule>
    <cfRule type="cellIs" dxfId="26601" priority="11777" stopIfTrue="1" operator="equal">
      <formula>"Napkin Hs"</formula>
    </cfRule>
    <cfRule type="cellIs" dxfId="26600" priority="11778" stopIfTrue="1" operator="equal">
      <formula>"Towel"</formula>
    </cfRule>
    <cfRule type="cellIs" dxfId="26599" priority="11779" stopIfTrue="1" operator="equal">
      <formula>"Napkin Hs"</formula>
    </cfRule>
    <cfRule type="cellIs" dxfId="26598" priority="11780" stopIfTrue="1" operator="equal">
      <formula>"Towel"</formula>
    </cfRule>
    <cfRule type="cellIs" dxfId="26597" priority="11781" stopIfTrue="1" operator="equal">
      <formula>"Napkin Hs"</formula>
    </cfRule>
    <cfRule type="cellIs" dxfId="26596" priority="11782" stopIfTrue="1" operator="equal">
      <formula>"Towel"</formula>
    </cfRule>
    <cfRule type="cellIs" dxfId="26595" priority="11783" stopIfTrue="1" operator="equal">
      <formula>"Napkin Hs"</formula>
    </cfRule>
    <cfRule type="cellIs" dxfId="26594" priority="11784" stopIfTrue="1" operator="equal">
      <formula>"Towel"</formula>
    </cfRule>
    <cfRule type="cellIs" dxfId="26593" priority="11785" stopIfTrue="1" operator="equal">
      <formula>"Napkin Hs"</formula>
    </cfRule>
    <cfRule type="cellIs" dxfId="26592" priority="11786" stopIfTrue="1" operator="equal">
      <formula>"Towel"</formula>
    </cfRule>
    <cfRule type="cellIs" dxfId="26591" priority="11787" stopIfTrue="1" operator="equal">
      <formula>"Napkin Hs"</formula>
    </cfRule>
    <cfRule type="cellIs" dxfId="26590" priority="11788" stopIfTrue="1" operator="equal">
      <formula>"Towel"</formula>
    </cfRule>
    <cfRule type="cellIs" dxfId="26589" priority="11789" stopIfTrue="1" operator="equal">
      <formula>"Napkin Hs"</formula>
    </cfRule>
    <cfRule type="cellIs" dxfId="26588" priority="11790" stopIfTrue="1" operator="equal">
      <formula>"Towel"</formula>
    </cfRule>
    <cfRule type="cellIs" dxfId="26587" priority="11791" stopIfTrue="1" operator="equal">
      <formula>"Napkin Hs"</formula>
    </cfRule>
    <cfRule type="cellIs" dxfId="26586" priority="11792" stopIfTrue="1" operator="equal">
      <formula>"Towel"</formula>
    </cfRule>
    <cfRule type="cellIs" dxfId="26585" priority="11793" stopIfTrue="1" operator="equal">
      <formula>"Napkin Hs"</formula>
    </cfRule>
    <cfRule type="cellIs" dxfId="26584" priority="11794" stopIfTrue="1" operator="equal">
      <formula>"Towel"</formula>
    </cfRule>
    <cfRule type="cellIs" dxfId="26583" priority="11795" stopIfTrue="1" operator="equal">
      <formula>"Napkin Hs"</formula>
    </cfRule>
    <cfRule type="cellIs" dxfId="26582" priority="11796" stopIfTrue="1" operator="equal">
      <formula>"Towel"</formula>
    </cfRule>
    <cfRule type="cellIs" dxfId="26581" priority="11797" stopIfTrue="1" operator="equal">
      <formula>"Napkin Hs"</formula>
    </cfRule>
    <cfRule type="cellIs" dxfId="26580" priority="11798" stopIfTrue="1" operator="equal">
      <formula>"Towel"</formula>
    </cfRule>
    <cfRule type="cellIs" dxfId="26579" priority="11799" stopIfTrue="1" operator="equal">
      <formula>"Napkin Hs"</formula>
    </cfRule>
    <cfRule type="cellIs" dxfId="26578" priority="11800" stopIfTrue="1" operator="equal">
      <formula>"Towel"</formula>
    </cfRule>
    <cfRule type="cellIs" dxfId="26577" priority="11801" stopIfTrue="1" operator="equal">
      <formula>"Napkin Hs"</formula>
    </cfRule>
    <cfRule type="cellIs" dxfId="26576" priority="11802" stopIfTrue="1" operator="equal">
      <formula>"Towel"</formula>
    </cfRule>
    <cfRule type="cellIs" dxfId="26575" priority="11803" stopIfTrue="1" operator="equal">
      <formula>"Napkin Hs"</formula>
    </cfRule>
    <cfRule type="cellIs" dxfId="26574" priority="11805" stopIfTrue="1" operator="equal">
      <formula>"Napkin Hs"</formula>
    </cfRule>
  </conditionalFormatting>
  <conditionalFormatting sqref="B65">
    <cfRule type="cellIs" dxfId="26573" priority="11804" stopIfTrue="1" operator="equal">
      <formula>"Towel"</formula>
    </cfRule>
  </conditionalFormatting>
  <conditionalFormatting sqref="B65">
    <cfRule type="cellIs" dxfId="26572" priority="11773" stopIfTrue="1" operator="equal">
      <formula>"Napkin Hs"</formula>
    </cfRule>
  </conditionalFormatting>
  <conditionalFormatting sqref="B65">
    <cfRule type="cellIs" dxfId="26571" priority="11772" stopIfTrue="1" operator="equal">
      <formula>"Napkin Hs"</formula>
    </cfRule>
  </conditionalFormatting>
  <conditionalFormatting sqref="B65">
    <cfRule type="cellIs" dxfId="26570" priority="11771" stopIfTrue="1" operator="equal">
      <formula>"Napkin Hs"</formula>
    </cfRule>
  </conditionalFormatting>
  <conditionalFormatting sqref="C72:C73">
    <cfRule type="cellIs" dxfId="26569" priority="11767" stopIfTrue="1" operator="equal">
      <formula>"Towel"</formula>
    </cfRule>
    <cfRule type="cellIs" dxfId="26568" priority="11768" stopIfTrue="1" operator="equal">
      <formula>"Napkin Hs"</formula>
    </cfRule>
  </conditionalFormatting>
  <conditionalFormatting sqref="C72:C73">
    <cfRule type="cellIs" dxfId="26567" priority="11769" stopIfTrue="1" operator="equal">
      <formula>"Towel"</formula>
    </cfRule>
    <cfRule type="cellIs" dxfId="26566" priority="11770" stopIfTrue="1" operator="equal">
      <formula>"Napkin Hs"</formula>
    </cfRule>
  </conditionalFormatting>
  <conditionalFormatting sqref="C72:C73">
    <cfRule type="cellIs" dxfId="26565" priority="11765" stopIfTrue="1" operator="equal">
      <formula>"Towel"</formula>
    </cfRule>
    <cfRule type="cellIs" dxfId="26564" priority="11766" stopIfTrue="1" operator="equal">
      <formula>"Napkin Hs"</formula>
    </cfRule>
  </conditionalFormatting>
  <conditionalFormatting sqref="B72:B73">
    <cfRule type="cellIs" dxfId="26563" priority="11763" stopIfTrue="1" operator="equal">
      <formula>"Towel"</formula>
    </cfRule>
    <cfRule type="cellIs" dxfId="26562" priority="11764" stopIfTrue="1" operator="equal">
      <formula>"Napkin Hs"</formula>
    </cfRule>
  </conditionalFormatting>
  <conditionalFormatting sqref="C72:C73">
    <cfRule type="cellIs" dxfId="26561" priority="11757" stopIfTrue="1" operator="equal">
      <formula>"Towel"</formula>
    </cfRule>
    <cfRule type="cellIs" dxfId="26560" priority="11758" stopIfTrue="1" operator="equal">
      <formula>"Napkin Hs"</formula>
    </cfRule>
  </conditionalFormatting>
  <conditionalFormatting sqref="C72:C73">
    <cfRule type="cellIs" dxfId="26559" priority="11761" stopIfTrue="1" operator="equal">
      <formula>"Towel"</formula>
    </cfRule>
    <cfRule type="cellIs" dxfId="26558" priority="11762" stopIfTrue="1" operator="equal">
      <formula>"Napkin Hs"</formula>
    </cfRule>
  </conditionalFormatting>
  <conditionalFormatting sqref="C72:C73">
    <cfRule type="cellIs" dxfId="26557" priority="11759" stopIfTrue="1" operator="equal">
      <formula>"Towel"</formula>
    </cfRule>
    <cfRule type="cellIs" dxfId="26556" priority="11760" stopIfTrue="1" operator="equal">
      <formula>"Napkin Hs"</formula>
    </cfRule>
  </conditionalFormatting>
  <conditionalFormatting sqref="C72:C73">
    <cfRule type="cellIs" dxfId="26555" priority="11751" stopIfTrue="1" operator="equal">
      <formula>"Towel"</formula>
    </cfRule>
    <cfRule type="cellIs" dxfId="26554" priority="11752" stopIfTrue="1" operator="equal">
      <formula>"Napkin Hs"</formula>
    </cfRule>
  </conditionalFormatting>
  <conditionalFormatting sqref="C72:C73">
    <cfRule type="cellIs" dxfId="26553" priority="11753" stopIfTrue="1" operator="equal">
      <formula>"Towel"</formula>
    </cfRule>
    <cfRule type="cellIs" dxfId="26552" priority="11754" stopIfTrue="1" operator="equal">
      <formula>"Napkin Hs"</formula>
    </cfRule>
  </conditionalFormatting>
  <conditionalFormatting sqref="C72:C73">
    <cfRule type="cellIs" dxfId="26551" priority="11755" stopIfTrue="1" operator="equal">
      <formula>"Towel"</formula>
    </cfRule>
    <cfRule type="cellIs" dxfId="26550" priority="11756" stopIfTrue="1" operator="equal">
      <formula>"Napkin Hs"</formula>
    </cfRule>
  </conditionalFormatting>
  <conditionalFormatting sqref="B72:C73">
    <cfRule type="cellIs" dxfId="26549" priority="11749" stopIfTrue="1" operator="equal">
      <formula>"Towel"</formula>
    </cfRule>
    <cfRule type="cellIs" dxfId="26548" priority="11750" stopIfTrue="1" operator="equal">
      <formula>"Napkin Hs"</formula>
    </cfRule>
  </conditionalFormatting>
  <conditionalFormatting sqref="B72:C73">
    <cfRule type="cellIs" dxfId="26547" priority="11747" stopIfTrue="1" operator="equal">
      <formula>"Towel"</formula>
    </cfRule>
    <cfRule type="cellIs" dxfId="26546" priority="11748" stopIfTrue="1" operator="equal">
      <formula>"Napkin Hs"</formula>
    </cfRule>
  </conditionalFormatting>
  <conditionalFormatting sqref="B72:C73">
    <cfRule type="cellIs" dxfId="26545" priority="11723" stopIfTrue="1" operator="equal">
      <formula>"Towel"</formula>
    </cfRule>
  </conditionalFormatting>
  <conditionalFormatting sqref="B72:C73">
    <cfRule type="cellIs" dxfId="26544" priority="11724" stopIfTrue="1" operator="equal">
      <formula>"Napkin Hs"</formula>
    </cfRule>
    <cfRule type="cellIs" dxfId="26543" priority="11729" stopIfTrue="1" operator="equal">
      <formula>"Towel"</formula>
    </cfRule>
    <cfRule type="cellIs" dxfId="26542" priority="11730" stopIfTrue="1" operator="equal">
      <formula>"Napkin Hs"</formula>
    </cfRule>
    <cfRule type="cellIs" dxfId="26541" priority="11739" stopIfTrue="1" operator="equal">
      <formula>"Towel"</formula>
    </cfRule>
    <cfRule type="cellIs" dxfId="26540" priority="11740" stopIfTrue="1" operator="equal">
      <formula>"Napkin Hs"</formula>
    </cfRule>
    <cfRule type="cellIs" dxfId="26539" priority="11745" stopIfTrue="1" operator="equal">
      <formula>"Towel"</formula>
    </cfRule>
    <cfRule type="cellIs" dxfId="26538" priority="11746" stopIfTrue="1" operator="equal">
      <formula>"Napkin Hs"</formula>
    </cfRule>
  </conditionalFormatting>
  <conditionalFormatting sqref="C72:C73">
    <cfRule type="cellIs" dxfId="26537" priority="11725" stopIfTrue="1" operator="equal">
      <formula>"Towel"</formula>
    </cfRule>
    <cfRule type="cellIs" dxfId="26536" priority="11726" stopIfTrue="1" operator="equal">
      <formula>"Napkin Hs"</formula>
    </cfRule>
    <cfRule type="cellIs" dxfId="26535" priority="11727" stopIfTrue="1" operator="equal">
      <formula>"Towel"</formula>
    </cfRule>
    <cfRule type="cellIs" dxfId="26534" priority="11728" stopIfTrue="1" operator="equal">
      <formula>"Napkin Hs"</formula>
    </cfRule>
    <cfRule type="cellIs" dxfId="26533" priority="11731" stopIfTrue="1" operator="equal">
      <formula>"Towel"</formula>
    </cfRule>
    <cfRule type="cellIs" dxfId="26532" priority="11732" stopIfTrue="1" operator="equal">
      <formula>"Napkin Hs"</formula>
    </cfRule>
    <cfRule type="cellIs" dxfId="26531" priority="11733" stopIfTrue="1" operator="equal">
      <formula>"Towel"</formula>
    </cfRule>
    <cfRule type="cellIs" dxfId="26530" priority="11734" stopIfTrue="1" operator="equal">
      <formula>"Napkin Hs"</formula>
    </cfRule>
    <cfRule type="cellIs" dxfId="26529" priority="11735" stopIfTrue="1" operator="equal">
      <formula>"Towel"</formula>
    </cfRule>
    <cfRule type="cellIs" dxfId="26528" priority="11736" stopIfTrue="1" operator="equal">
      <formula>"Napkin Hs"</formula>
    </cfRule>
    <cfRule type="cellIs" dxfId="26527" priority="11737" stopIfTrue="1" operator="equal">
      <formula>"Towel"</formula>
    </cfRule>
    <cfRule type="cellIs" dxfId="26526" priority="11738" stopIfTrue="1" operator="equal">
      <formula>"Napkin Hs"</formula>
    </cfRule>
    <cfRule type="cellIs" dxfId="26525" priority="11741" stopIfTrue="1" operator="equal">
      <formula>"Towel"</formula>
    </cfRule>
    <cfRule type="cellIs" dxfId="26524" priority="11742" stopIfTrue="1" operator="equal">
      <formula>"Napkin Hs"</formula>
    </cfRule>
    <cfRule type="cellIs" dxfId="26523" priority="11744" stopIfTrue="1" operator="equal">
      <formula>"Napkin Hs"</formula>
    </cfRule>
  </conditionalFormatting>
  <conditionalFormatting sqref="C72:C73">
    <cfRule type="cellIs" dxfId="26522" priority="11743" stopIfTrue="1" operator="equal">
      <formula>"Towel"</formula>
    </cfRule>
  </conditionalFormatting>
  <conditionalFormatting sqref="B72:C73">
    <cfRule type="cellIs" dxfId="26521" priority="11721" stopIfTrue="1" operator="equal">
      <formula>"Towel"</formula>
    </cfRule>
    <cfRule type="cellIs" dxfId="26520" priority="11722" stopIfTrue="1" operator="equal">
      <formula>"Napkin Hs"</formula>
    </cfRule>
  </conditionalFormatting>
  <conditionalFormatting sqref="C72:C73">
    <cfRule type="cellIs" dxfId="26519" priority="11720" stopIfTrue="1" operator="equal">
      <formula>"Napkin Hs"</formula>
    </cfRule>
  </conditionalFormatting>
  <conditionalFormatting sqref="C72:C73">
    <cfRule type="cellIs" dxfId="26518" priority="11719" stopIfTrue="1" operator="equal">
      <formula>"Towel"</formula>
    </cfRule>
  </conditionalFormatting>
  <conditionalFormatting sqref="C72:C73">
    <cfRule type="cellIs" dxfId="26517" priority="11717" stopIfTrue="1" operator="equal">
      <formula>"Towel"</formula>
    </cfRule>
  </conditionalFormatting>
  <conditionalFormatting sqref="C72:C73">
    <cfRule type="cellIs" dxfId="26516" priority="11718" stopIfTrue="1" operator="equal">
      <formula>"Napkin Hs"</formula>
    </cfRule>
  </conditionalFormatting>
  <conditionalFormatting sqref="B72:B73">
    <cfRule type="cellIs" dxfId="26515" priority="11621" stopIfTrue="1" operator="equal">
      <formula>"Napkin Hs"</formula>
    </cfRule>
  </conditionalFormatting>
  <conditionalFormatting sqref="B72:C73">
    <cfRule type="cellIs" dxfId="26514" priority="11620" stopIfTrue="1" operator="equal">
      <formula>"Towel"</formula>
    </cfRule>
  </conditionalFormatting>
  <conditionalFormatting sqref="B72:C73">
    <cfRule type="cellIs" dxfId="26513" priority="11631" stopIfTrue="1" operator="equal">
      <formula>"Towel"</formula>
    </cfRule>
    <cfRule type="cellIs" dxfId="26512" priority="11632" stopIfTrue="1" operator="equal">
      <formula>"Napkin Hs"</formula>
    </cfRule>
    <cfRule type="cellIs" dxfId="26511" priority="11637" stopIfTrue="1" operator="equal">
      <formula>"Towel"</formula>
    </cfRule>
    <cfRule type="cellIs" dxfId="26510" priority="11638" stopIfTrue="1" operator="equal">
      <formula>"Napkin Hs"</formula>
    </cfRule>
    <cfRule type="cellIs" dxfId="26509" priority="11643" stopIfTrue="1" operator="equal">
      <formula>"Towel"</formula>
    </cfRule>
    <cfRule type="cellIs" dxfId="26508" priority="11644" stopIfTrue="1" operator="equal">
      <formula>"Napkin Hs"</formula>
    </cfRule>
    <cfRule type="cellIs" dxfId="26507" priority="11645" stopIfTrue="1" operator="equal">
      <formula>"Towel"</formula>
    </cfRule>
    <cfRule type="cellIs" dxfId="26506" priority="11646" stopIfTrue="1" operator="equal">
      <formula>"Napkin Hs"</formula>
    </cfRule>
    <cfRule type="cellIs" dxfId="26505" priority="11651" stopIfTrue="1" operator="equal">
      <formula>"Towel"</formula>
    </cfRule>
    <cfRule type="cellIs" dxfId="26504" priority="11652" stopIfTrue="1" operator="equal">
      <formula>"Napkin Hs"</formula>
    </cfRule>
    <cfRule type="cellIs" dxfId="26503" priority="11661" stopIfTrue="1" operator="equal">
      <formula>"Towel"</formula>
    </cfRule>
    <cfRule type="cellIs" dxfId="26502" priority="11662" stopIfTrue="1" operator="equal">
      <formula>"Napkin Hs"</formula>
    </cfRule>
    <cfRule type="cellIs" dxfId="26501" priority="11667" stopIfTrue="1" operator="equal">
      <formula>"Towel"</formula>
    </cfRule>
    <cfRule type="cellIs" dxfId="26500" priority="11668" stopIfTrue="1" operator="equal">
      <formula>"Napkin Hs"</formula>
    </cfRule>
    <cfRule type="cellIs" dxfId="26499" priority="11669" stopIfTrue="1" operator="equal">
      <formula>"Towel"</formula>
    </cfRule>
    <cfRule type="cellIs" dxfId="26498" priority="11670" stopIfTrue="1" operator="equal">
      <formula>"Napkin Hs"</formula>
    </cfRule>
    <cfRule type="cellIs" dxfId="26497" priority="11675" stopIfTrue="1" operator="equal">
      <formula>"Towel"</formula>
    </cfRule>
    <cfRule type="cellIs" dxfId="26496" priority="11676" stopIfTrue="1" operator="equal">
      <formula>"Napkin Hs"</formula>
    </cfRule>
    <cfRule type="cellIs" dxfId="26495" priority="11685" stopIfTrue="1" operator="equal">
      <formula>"Towel"</formula>
    </cfRule>
    <cfRule type="cellIs" dxfId="26494" priority="11686" stopIfTrue="1" operator="equal">
      <formula>"Napkin Hs"</formula>
    </cfRule>
    <cfRule type="cellIs" dxfId="26493" priority="11687" stopIfTrue="1" operator="equal">
      <formula>"Towel"</formula>
    </cfRule>
    <cfRule type="cellIs" dxfId="26492" priority="11688" stopIfTrue="1" operator="equal">
      <formula>"Napkin Hs"</formula>
    </cfRule>
    <cfRule type="cellIs" dxfId="26491" priority="11693" stopIfTrue="1" operator="equal">
      <formula>"Towel"</formula>
    </cfRule>
    <cfRule type="cellIs" dxfId="26490" priority="11694" stopIfTrue="1" operator="equal">
      <formula>"Napkin Hs"</formula>
    </cfRule>
    <cfRule type="cellIs" dxfId="26489" priority="11703" stopIfTrue="1" operator="equal">
      <formula>"Towel"</formula>
    </cfRule>
    <cfRule type="cellIs" dxfId="26488" priority="11704" stopIfTrue="1" operator="equal">
      <formula>"Napkin Hs"</formula>
    </cfRule>
    <cfRule type="cellIs" dxfId="26487" priority="11705" stopIfTrue="1" operator="equal">
      <formula>"Towel"</formula>
    </cfRule>
    <cfRule type="cellIs" dxfId="26486" priority="11706" stopIfTrue="1" operator="equal">
      <formula>"Napkin Hs"</formula>
    </cfRule>
    <cfRule type="cellIs" dxfId="26485" priority="11712" stopIfTrue="1" operator="equal">
      <formula>"Napkin Hs"</formula>
    </cfRule>
  </conditionalFormatting>
  <conditionalFormatting sqref="B72:C73">
    <cfRule type="cellIs" dxfId="26484" priority="11711" stopIfTrue="1" operator="equal">
      <formula>"Towel"</formula>
    </cfRule>
  </conditionalFormatting>
  <conditionalFormatting sqref="C72:C73">
    <cfRule type="cellIs" dxfId="26483" priority="11622" stopIfTrue="1" operator="equal">
      <formula>"Napkin Hs"</formula>
    </cfRule>
    <cfRule type="cellIs" dxfId="26482" priority="11623" stopIfTrue="1" operator="equal">
      <formula>"Towel"</formula>
    </cfRule>
    <cfRule type="cellIs" dxfId="26481" priority="11624" stopIfTrue="1" operator="equal">
      <formula>"Napkin Hs"</formula>
    </cfRule>
    <cfRule type="cellIs" dxfId="26480" priority="11625" stopIfTrue="1" operator="equal">
      <formula>"Towel"</formula>
    </cfRule>
    <cfRule type="cellIs" dxfId="26479" priority="11626" stopIfTrue="1" operator="equal">
      <formula>"Napkin Hs"</formula>
    </cfRule>
    <cfRule type="cellIs" dxfId="26478" priority="11627" stopIfTrue="1" operator="equal">
      <formula>"Towel"</formula>
    </cfRule>
    <cfRule type="cellIs" dxfId="26477" priority="11628" stopIfTrue="1" operator="equal">
      <formula>"Napkin Hs"</formula>
    </cfRule>
    <cfRule type="cellIs" dxfId="26476" priority="11629" stopIfTrue="1" operator="equal">
      <formula>"Towel"</formula>
    </cfRule>
    <cfRule type="cellIs" dxfId="26475" priority="11630" stopIfTrue="1" operator="equal">
      <formula>"Napkin Hs"</formula>
    </cfRule>
    <cfRule type="cellIs" dxfId="26474" priority="11633" stopIfTrue="1" operator="equal">
      <formula>"Towel"</formula>
    </cfRule>
    <cfRule type="cellIs" dxfId="26473" priority="11634" stopIfTrue="1" operator="equal">
      <formula>"Napkin Hs"</formula>
    </cfRule>
    <cfRule type="cellIs" dxfId="26472" priority="11635" stopIfTrue="1" operator="equal">
      <formula>"Towel"</formula>
    </cfRule>
    <cfRule type="cellIs" dxfId="26471" priority="11636" stopIfTrue="1" operator="equal">
      <formula>"Napkin Hs"</formula>
    </cfRule>
    <cfRule type="cellIs" dxfId="26470" priority="11639" stopIfTrue="1" operator="equal">
      <formula>"Towel"</formula>
    </cfRule>
    <cfRule type="cellIs" dxfId="26469" priority="11640" stopIfTrue="1" operator="equal">
      <formula>"Napkin Hs"</formula>
    </cfRule>
    <cfRule type="cellIs" dxfId="26468" priority="11641" stopIfTrue="1" operator="equal">
      <formula>"Towel"</formula>
    </cfRule>
    <cfRule type="cellIs" dxfId="26467" priority="11642" stopIfTrue="1" operator="equal">
      <formula>"Napkin Hs"</formula>
    </cfRule>
    <cfRule type="cellIs" dxfId="26466" priority="11647" stopIfTrue="1" operator="equal">
      <formula>"Towel"</formula>
    </cfRule>
    <cfRule type="cellIs" dxfId="26465" priority="11648" stopIfTrue="1" operator="equal">
      <formula>"Napkin Hs"</formula>
    </cfRule>
    <cfRule type="cellIs" dxfId="26464" priority="11649" stopIfTrue="1" operator="equal">
      <formula>"Towel"</formula>
    </cfRule>
    <cfRule type="cellIs" dxfId="26463" priority="11650" stopIfTrue="1" operator="equal">
      <formula>"Napkin Hs"</formula>
    </cfRule>
    <cfRule type="cellIs" dxfId="26462" priority="11653" stopIfTrue="1" operator="equal">
      <formula>"Towel"</formula>
    </cfRule>
    <cfRule type="cellIs" dxfId="26461" priority="11654" stopIfTrue="1" operator="equal">
      <formula>"Napkin Hs"</formula>
    </cfRule>
    <cfRule type="cellIs" dxfId="26460" priority="11655" stopIfTrue="1" operator="equal">
      <formula>"Towel"</formula>
    </cfRule>
    <cfRule type="cellIs" dxfId="26459" priority="11656" stopIfTrue="1" operator="equal">
      <formula>"Napkin Hs"</formula>
    </cfRule>
    <cfRule type="cellIs" dxfId="26458" priority="11657" stopIfTrue="1" operator="equal">
      <formula>"Towel"</formula>
    </cfRule>
    <cfRule type="cellIs" dxfId="26457" priority="11658" stopIfTrue="1" operator="equal">
      <formula>"Napkin Hs"</formula>
    </cfRule>
    <cfRule type="cellIs" dxfId="26456" priority="11659" stopIfTrue="1" operator="equal">
      <formula>"Towel"</formula>
    </cfRule>
    <cfRule type="cellIs" dxfId="26455" priority="11660" stopIfTrue="1" operator="equal">
      <formula>"Napkin Hs"</formula>
    </cfRule>
    <cfRule type="cellIs" dxfId="26454" priority="11663" stopIfTrue="1" operator="equal">
      <formula>"Towel"</formula>
    </cfRule>
    <cfRule type="cellIs" dxfId="26453" priority="11664" stopIfTrue="1" operator="equal">
      <formula>"Napkin Hs"</formula>
    </cfRule>
    <cfRule type="cellIs" dxfId="26452" priority="11665" stopIfTrue="1" operator="equal">
      <formula>"Towel"</formula>
    </cfRule>
    <cfRule type="cellIs" dxfId="26451" priority="11666" stopIfTrue="1" operator="equal">
      <formula>"Napkin Hs"</formula>
    </cfRule>
    <cfRule type="cellIs" dxfId="26450" priority="11671" stopIfTrue="1" operator="equal">
      <formula>"Towel"</formula>
    </cfRule>
    <cfRule type="cellIs" dxfId="26449" priority="11672" stopIfTrue="1" operator="equal">
      <formula>"Napkin Hs"</formula>
    </cfRule>
    <cfRule type="cellIs" dxfId="26448" priority="11673" stopIfTrue="1" operator="equal">
      <formula>"Towel"</formula>
    </cfRule>
    <cfRule type="cellIs" dxfId="26447" priority="11674" stopIfTrue="1" operator="equal">
      <formula>"Napkin Hs"</formula>
    </cfRule>
    <cfRule type="cellIs" dxfId="26446" priority="11677" stopIfTrue="1" operator="equal">
      <formula>"Towel"</formula>
    </cfRule>
    <cfRule type="cellIs" dxfId="26445" priority="11678" stopIfTrue="1" operator="equal">
      <formula>"Napkin Hs"</formula>
    </cfRule>
    <cfRule type="cellIs" dxfId="26444" priority="11679" stopIfTrue="1" operator="equal">
      <formula>"Towel"</formula>
    </cfRule>
    <cfRule type="cellIs" dxfId="26443" priority="11680" stopIfTrue="1" operator="equal">
      <formula>"Napkin Hs"</formula>
    </cfRule>
    <cfRule type="cellIs" dxfId="26442" priority="11681" stopIfTrue="1" operator="equal">
      <formula>"Towel"</formula>
    </cfRule>
    <cfRule type="cellIs" dxfId="26441" priority="11682" stopIfTrue="1" operator="equal">
      <formula>"Napkin Hs"</formula>
    </cfRule>
    <cfRule type="cellIs" dxfId="26440" priority="11683" stopIfTrue="1" operator="equal">
      <formula>"Towel"</formula>
    </cfRule>
    <cfRule type="cellIs" dxfId="26439" priority="11684" stopIfTrue="1" operator="equal">
      <formula>"Napkin Hs"</formula>
    </cfRule>
    <cfRule type="cellIs" dxfId="26438" priority="11689" stopIfTrue="1" operator="equal">
      <formula>"Towel"</formula>
    </cfRule>
    <cfRule type="cellIs" dxfId="26437" priority="11690" stopIfTrue="1" operator="equal">
      <formula>"Napkin Hs"</formula>
    </cfRule>
    <cfRule type="cellIs" dxfId="26436" priority="11691" stopIfTrue="1" operator="equal">
      <formula>"Towel"</formula>
    </cfRule>
    <cfRule type="cellIs" dxfId="26435" priority="11692" stopIfTrue="1" operator="equal">
      <formula>"Napkin Hs"</formula>
    </cfRule>
    <cfRule type="cellIs" dxfId="26434" priority="11695" stopIfTrue="1" operator="equal">
      <formula>"Towel"</formula>
    </cfRule>
    <cfRule type="cellIs" dxfId="26433" priority="11696" stopIfTrue="1" operator="equal">
      <formula>"Napkin Hs"</formula>
    </cfRule>
    <cfRule type="cellIs" dxfId="26432" priority="11697" stopIfTrue="1" operator="equal">
      <formula>"Towel"</formula>
    </cfRule>
    <cfRule type="cellIs" dxfId="26431" priority="11698" stopIfTrue="1" operator="equal">
      <formula>"Napkin Hs"</formula>
    </cfRule>
    <cfRule type="cellIs" dxfId="26430" priority="11699" stopIfTrue="1" operator="equal">
      <formula>"Towel"</formula>
    </cfRule>
    <cfRule type="cellIs" dxfId="26429" priority="11700" stopIfTrue="1" operator="equal">
      <formula>"Napkin Hs"</formula>
    </cfRule>
    <cfRule type="cellIs" dxfId="26428" priority="11701" stopIfTrue="1" operator="equal">
      <formula>"Towel"</formula>
    </cfRule>
    <cfRule type="cellIs" dxfId="26427" priority="11702" stopIfTrue="1" operator="equal">
      <formula>"Napkin Hs"</formula>
    </cfRule>
    <cfRule type="cellIs" dxfId="26426" priority="11707" stopIfTrue="1" operator="equal">
      <formula>"Towel"</formula>
    </cfRule>
    <cfRule type="cellIs" dxfId="26425" priority="11708" stopIfTrue="1" operator="equal">
      <formula>"Napkin Hs"</formula>
    </cfRule>
    <cfRule type="cellIs" dxfId="26424" priority="11709" stopIfTrue="1" operator="equal">
      <formula>"Towel"</formula>
    </cfRule>
    <cfRule type="cellIs" dxfId="26423" priority="11710" stopIfTrue="1" operator="equal">
      <formula>"Napkin Hs"</formula>
    </cfRule>
    <cfRule type="cellIs" dxfId="26422" priority="11713" stopIfTrue="1" operator="equal">
      <formula>"Towel"</formula>
    </cfRule>
    <cfRule type="cellIs" dxfId="26421" priority="11714" stopIfTrue="1" operator="equal">
      <formula>"Napkin Hs"</formula>
    </cfRule>
    <cfRule type="cellIs" dxfId="26420" priority="11715" stopIfTrue="1" operator="equal">
      <formula>"Towel"</formula>
    </cfRule>
    <cfRule type="cellIs" dxfId="26419" priority="11716" stopIfTrue="1" operator="equal">
      <formula>"Napkin Hs"</formula>
    </cfRule>
  </conditionalFormatting>
  <conditionalFormatting sqref="C72:C73">
    <cfRule type="cellIs" dxfId="26418" priority="11619" stopIfTrue="1" operator="equal">
      <formula>"Napkin Hs"</formula>
    </cfRule>
  </conditionalFormatting>
  <conditionalFormatting sqref="C72:C73">
    <cfRule type="cellIs" dxfId="26417" priority="11618" stopIfTrue="1" operator="equal">
      <formula>"Napkin Hs"</formula>
    </cfRule>
  </conditionalFormatting>
  <conditionalFormatting sqref="B72:B73">
    <cfRule type="cellIs" dxfId="26416" priority="11617" stopIfTrue="1" operator="equal">
      <formula>"Napkin Hs"</formula>
    </cfRule>
  </conditionalFormatting>
  <conditionalFormatting sqref="C72:C73">
    <cfRule type="cellIs" dxfId="26415" priority="11616" stopIfTrue="1" operator="equal">
      <formula>"Napkin Hs"</formula>
    </cfRule>
  </conditionalFormatting>
  <conditionalFormatting sqref="C72:C73">
    <cfRule type="cellIs" dxfId="26414" priority="11615" stopIfTrue="1" operator="equal">
      <formula>"Napkin Hs"</formula>
    </cfRule>
  </conditionalFormatting>
  <conditionalFormatting sqref="C72:C73">
    <cfRule type="cellIs" dxfId="26413" priority="11614" stopIfTrue="1" operator="equal">
      <formula>"Napkin Hs"</formula>
    </cfRule>
  </conditionalFormatting>
  <conditionalFormatting sqref="C72:C73">
    <cfRule type="cellIs" dxfId="26412" priority="11613" stopIfTrue="1" operator="equal">
      <formula>"Napkin Hs"</formula>
    </cfRule>
  </conditionalFormatting>
  <conditionalFormatting sqref="B72:B73">
    <cfRule type="cellIs" dxfId="26411" priority="11612" stopIfTrue="1" operator="equal">
      <formula>"Napkin Hs"</formula>
    </cfRule>
  </conditionalFormatting>
  <conditionalFormatting sqref="B72:B73">
    <cfRule type="cellIs" dxfId="26410" priority="11611" stopIfTrue="1" operator="equal">
      <formula>"Napkin Hs"</formula>
    </cfRule>
  </conditionalFormatting>
  <conditionalFormatting sqref="C72:C73">
    <cfRule type="cellIs" dxfId="26409" priority="11607" stopIfTrue="1" operator="equal">
      <formula>"Towel"</formula>
    </cfRule>
    <cfRule type="cellIs" dxfId="26408" priority="11608" stopIfTrue="1" operator="equal">
      <formula>"Napkin Hs"</formula>
    </cfRule>
  </conditionalFormatting>
  <conditionalFormatting sqref="C72:C73">
    <cfRule type="cellIs" dxfId="26407" priority="11609" stopIfTrue="1" operator="equal">
      <formula>"Towel"</formula>
    </cfRule>
    <cfRule type="cellIs" dxfId="26406" priority="11610" stopIfTrue="1" operator="equal">
      <formula>"Napkin Hs"</formula>
    </cfRule>
  </conditionalFormatting>
  <conditionalFormatting sqref="C72:C73">
    <cfRule type="cellIs" dxfId="26405" priority="11603" stopIfTrue="1" operator="equal">
      <formula>"Towel"</formula>
    </cfRule>
    <cfRule type="cellIs" dxfId="26404" priority="11604" stopIfTrue="1" operator="equal">
      <formula>"Napkin Hs"</formula>
    </cfRule>
  </conditionalFormatting>
  <conditionalFormatting sqref="C72:C73">
    <cfRule type="cellIs" dxfId="26403" priority="11605" stopIfTrue="1" operator="equal">
      <formula>"Towel"</formula>
    </cfRule>
    <cfRule type="cellIs" dxfId="26402" priority="11606" stopIfTrue="1" operator="equal">
      <formula>"Napkin Hs"</formula>
    </cfRule>
  </conditionalFormatting>
  <conditionalFormatting sqref="C71">
    <cfRule type="cellIs" dxfId="26401" priority="11599" stopIfTrue="1" operator="equal">
      <formula>"Towel"</formula>
    </cfRule>
    <cfRule type="cellIs" dxfId="26400" priority="11600" stopIfTrue="1" operator="equal">
      <formula>"Napkin Hs"</formula>
    </cfRule>
  </conditionalFormatting>
  <conditionalFormatting sqref="C71">
    <cfRule type="cellIs" dxfId="26399" priority="11601" stopIfTrue="1" operator="equal">
      <formula>"Towel"</formula>
    </cfRule>
    <cfRule type="cellIs" dxfId="26398" priority="11602" stopIfTrue="1" operator="equal">
      <formula>"Napkin Hs"</formula>
    </cfRule>
  </conditionalFormatting>
  <conditionalFormatting sqref="C71">
    <cfRule type="cellIs" dxfId="26397" priority="11597" stopIfTrue="1" operator="equal">
      <formula>"Towel"</formula>
    </cfRule>
    <cfRule type="cellIs" dxfId="26396" priority="11598" stopIfTrue="1" operator="equal">
      <formula>"Napkin Hs"</formula>
    </cfRule>
  </conditionalFormatting>
  <conditionalFormatting sqref="C71">
    <cfRule type="cellIs" dxfId="26395" priority="11591" stopIfTrue="1" operator="equal">
      <formula>"Towel"</formula>
    </cfRule>
    <cfRule type="cellIs" dxfId="26394" priority="11592" stopIfTrue="1" operator="equal">
      <formula>"Napkin Hs"</formula>
    </cfRule>
  </conditionalFormatting>
  <conditionalFormatting sqref="C71">
    <cfRule type="cellIs" dxfId="26393" priority="11595" stopIfTrue="1" operator="equal">
      <formula>"Towel"</formula>
    </cfRule>
    <cfRule type="cellIs" dxfId="26392" priority="11596" stopIfTrue="1" operator="equal">
      <formula>"Napkin Hs"</formula>
    </cfRule>
  </conditionalFormatting>
  <conditionalFormatting sqref="C71">
    <cfRule type="cellIs" dxfId="26391" priority="11593" stopIfTrue="1" operator="equal">
      <formula>"Towel"</formula>
    </cfRule>
    <cfRule type="cellIs" dxfId="26390" priority="11594" stopIfTrue="1" operator="equal">
      <formula>"Napkin Hs"</formula>
    </cfRule>
  </conditionalFormatting>
  <conditionalFormatting sqref="C71">
    <cfRule type="cellIs" dxfId="26389" priority="11585" stopIfTrue="1" operator="equal">
      <formula>"Towel"</formula>
    </cfRule>
    <cfRule type="cellIs" dxfId="26388" priority="11586" stopIfTrue="1" operator="equal">
      <formula>"Napkin Hs"</formula>
    </cfRule>
  </conditionalFormatting>
  <conditionalFormatting sqref="C71">
    <cfRule type="cellIs" dxfId="26387" priority="11587" stopIfTrue="1" operator="equal">
      <formula>"Towel"</formula>
    </cfRule>
    <cfRule type="cellIs" dxfId="26386" priority="11588" stopIfTrue="1" operator="equal">
      <formula>"Napkin Hs"</formula>
    </cfRule>
  </conditionalFormatting>
  <conditionalFormatting sqref="C71">
    <cfRule type="cellIs" dxfId="26385" priority="11589" stopIfTrue="1" operator="equal">
      <formula>"Towel"</formula>
    </cfRule>
    <cfRule type="cellIs" dxfId="26384" priority="11590" stopIfTrue="1" operator="equal">
      <formula>"Napkin Hs"</formula>
    </cfRule>
  </conditionalFormatting>
  <conditionalFormatting sqref="C71">
    <cfRule type="cellIs" dxfId="26383" priority="11583" stopIfTrue="1" operator="equal">
      <formula>"Towel"</formula>
    </cfRule>
    <cfRule type="cellIs" dxfId="26382" priority="11584" stopIfTrue="1" operator="equal">
      <formula>"Napkin Hs"</formula>
    </cfRule>
  </conditionalFormatting>
  <conditionalFormatting sqref="C71">
    <cfRule type="cellIs" dxfId="26381" priority="11581" stopIfTrue="1" operator="equal">
      <formula>"Towel"</formula>
    </cfRule>
    <cfRule type="cellIs" dxfId="26380" priority="11582" stopIfTrue="1" operator="equal">
      <formula>"Napkin Hs"</formula>
    </cfRule>
  </conditionalFormatting>
  <conditionalFormatting sqref="C71">
    <cfRule type="cellIs" dxfId="26379" priority="11557" stopIfTrue="1" operator="equal">
      <formula>"Towel"</formula>
    </cfRule>
  </conditionalFormatting>
  <conditionalFormatting sqref="C71">
    <cfRule type="cellIs" dxfId="26378" priority="11558" stopIfTrue="1" operator="equal">
      <formula>"Napkin Hs"</formula>
    </cfRule>
    <cfRule type="cellIs" dxfId="26377" priority="11563" stopIfTrue="1" operator="equal">
      <formula>"Towel"</formula>
    </cfRule>
    <cfRule type="cellIs" dxfId="26376" priority="11564" stopIfTrue="1" operator="equal">
      <formula>"Napkin Hs"</formula>
    </cfRule>
    <cfRule type="cellIs" dxfId="26375" priority="11573" stopIfTrue="1" operator="equal">
      <formula>"Towel"</formula>
    </cfRule>
    <cfRule type="cellIs" dxfId="26374" priority="11574" stopIfTrue="1" operator="equal">
      <formula>"Napkin Hs"</formula>
    </cfRule>
    <cfRule type="cellIs" dxfId="26373" priority="11579" stopIfTrue="1" operator="equal">
      <formula>"Towel"</formula>
    </cfRule>
    <cfRule type="cellIs" dxfId="26372" priority="11580" stopIfTrue="1" operator="equal">
      <formula>"Napkin Hs"</formula>
    </cfRule>
  </conditionalFormatting>
  <conditionalFormatting sqref="C71">
    <cfRule type="cellIs" dxfId="26371" priority="11559" stopIfTrue="1" operator="equal">
      <formula>"Towel"</formula>
    </cfRule>
    <cfRule type="cellIs" dxfId="26370" priority="11560" stopIfTrue="1" operator="equal">
      <formula>"Napkin Hs"</formula>
    </cfRule>
    <cfRule type="cellIs" dxfId="26369" priority="11561" stopIfTrue="1" operator="equal">
      <formula>"Towel"</formula>
    </cfRule>
    <cfRule type="cellIs" dxfId="26368" priority="11562" stopIfTrue="1" operator="equal">
      <formula>"Napkin Hs"</formula>
    </cfRule>
    <cfRule type="cellIs" dxfId="26367" priority="11565" stopIfTrue="1" operator="equal">
      <formula>"Towel"</formula>
    </cfRule>
    <cfRule type="cellIs" dxfId="26366" priority="11566" stopIfTrue="1" operator="equal">
      <formula>"Napkin Hs"</formula>
    </cfRule>
    <cfRule type="cellIs" dxfId="26365" priority="11567" stopIfTrue="1" operator="equal">
      <formula>"Towel"</formula>
    </cfRule>
    <cfRule type="cellIs" dxfId="26364" priority="11568" stopIfTrue="1" operator="equal">
      <formula>"Napkin Hs"</formula>
    </cfRule>
    <cfRule type="cellIs" dxfId="26363" priority="11569" stopIfTrue="1" operator="equal">
      <formula>"Towel"</formula>
    </cfRule>
    <cfRule type="cellIs" dxfId="26362" priority="11570" stopIfTrue="1" operator="equal">
      <formula>"Napkin Hs"</formula>
    </cfRule>
    <cfRule type="cellIs" dxfId="26361" priority="11571" stopIfTrue="1" operator="equal">
      <formula>"Towel"</formula>
    </cfRule>
    <cfRule type="cellIs" dxfId="26360" priority="11572" stopIfTrue="1" operator="equal">
      <formula>"Napkin Hs"</formula>
    </cfRule>
    <cfRule type="cellIs" dxfId="26359" priority="11575" stopIfTrue="1" operator="equal">
      <formula>"Towel"</formula>
    </cfRule>
    <cfRule type="cellIs" dxfId="26358" priority="11576" stopIfTrue="1" operator="equal">
      <formula>"Napkin Hs"</formula>
    </cfRule>
    <cfRule type="cellIs" dxfId="26357" priority="11578" stopIfTrue="1" operator="equal">
      <formula>"Napkin Hs"</formula>
    </cfRule>
  </conditionalFormatting>
  <conditionalFormatting sqref="C71">
    <cfRule type="cellIs" dxfId="26356" priority="11577" stopIfTrue="1" operator="equal">
      <formula>"Towel"</formula>
    </cfRule>
  </conditionalFormatting>
  <conditionalFormatting sqref="C71">
    <cfRule type="cellIs" dxfId="26355" priority="11555" stopIfTrue="1" operator="equal">
      <formula>"Towel"</formula>
    </cfRule>
    <cfRule type="cellIs" dxfId="26354" priority="11556" stopIfTrue="1" operator="equal">
      <formula>"Napkin Hs"</formula>
    </cfRule>
  </conditionalFormatting>
  <conditionalFormatting sqref="C71">
    <cfRule type="cellIs" dxfId="26353" priority="11554" stopIfTrue="1" operator="equal">
      <formula>"Napkin Hs"</formula>
    </cfRule>
  </conditionalFormatting>
  <conditionalFormatting sqref="C71">
    <cfRule type="cellIs" dxfId="26352" priority="11553" stopIfTrue="1" operator="equal">
      <formula>"Towel"</formula>
    </cfRule>
  </conditionalFormatting>
  <conditionalFormatting sqref="C71">
    <cfRule type="cellIs" dxfId="26351" priority="11551" stopIfTrue="1" operator="equal">
      <formula>"Towel"</formula>
    </cfRule>
  </conditionalFormatting>
  <conditionalFormatting sqref="C71">
    <cfRule type="cellIs" dxfId="26350" priority="11552" stopIfTrue="1" operator="equal">
      <formula>"Napkin Hs"</formula>
    </cfRule>
  </conditionalFormatting>
  <conditionalFormatting sqref="C71">
    <cfRule type="cellIs" dxfId="26349" priority="11455" stopIfTrue="1" operator="equal">
      <formula>"Towel"</formula>
    </cfRule>
  </conditionalFormatting>
  <conditionalFormatting sqref="C71">
    <cfRule type="cellIs" dxfId="26348" priority="11465" stopIfTrue="1" operator="equal">
      <formula>"Towel"</formula>
    </cfRule>
    <cfRule type="cellIs" dxfId="26347" priority="11466" stopIfTrue="1" operator="equal">
      <formula>"Napkin Hs"</formula>
    </cfRule>
    <cfRule type="cellIs" dxfId="26346" priority="11471" stopIfTrue="1" operator="equal">
      <formula>"Towel"</formula>
    </cfRule>
    <cfRule type="cellIs" dxfId="26345" priority="11472" stopIfTrue="1" operator="equal">
      <formula>"Napkin Hs"</formula>
    </cfRule>
    <cfRule type="cellIs" dxfId="26344" priority="11477" stopIfTrue="1" operator="equal">
      <formula>"Towel"</formula>
    </cfRule>
    <cfRule type="cellIs" dxfId="26343" priority="11478" stopIfTrue="1" operator="equal">
      <formula>"Napkin Hs"</formula>
    </cfRule>
    <cfRule type="cellIs" dxfId="26342" priority="11479" stopIfTrue="1" operator="equal">
      <formula>"Towel"</formula>
    </cfRule>
    <cfRule type="cellIs" dxfId="26341" priority="11480" stopIfTrue="1" operator="equal">
      <formula>"Napkin Hs"</formula>
    </cfRule>
    <cfRule type="cellIs" dxfId="26340" priority="11485" stopIfTrue="1" operator="equal">
      <formula>"Towel"</formula>
    </cfRule>
    <cfRule type="cellIs" dxfId="26339" priority="11486" stopIfTrue="1" operator="equal">
      <formula>"Napkin Hs"</formula>
    </cfRule>
    <cfRule type="cellIs" dxfId="26338" priority="11495" stopIfTrue="1" operator="equal">
      <formula>"Towel"</formula>
    </cfRule>
    <cfRule type="cellIs" dxfId="26337" priority="11496" stopIfTrue="1" operator="equal">
      <formula>"Napkin Hs"</formula>
    </cfRule>
    <cfRule type="cellIs" dxfId="26336" priority="11501" stopIfTrue="1" operator="equal">
      <formula>"Towel"</formula>
    </cfRule>
    <cfRule type="cellIs" dxfId="26335" priority="11502" stopIfTrue="1" operator="equal">
      <formula>"Napkin Hs"</formula>
    </cfRule>
    <cfRule type="cellIs" dxfId="26334" priority="11503" stopIfTrue="1" operator="equal">
      <formula>"Towel"</formula>
    </cfRule>
    <cfRule type="cellIs" dxfId="26333" priority="11504" stopIfTrue="1" operator="equal">
      <formula>"Napkin Hs"</formula>
    </cfRule>
    <cfRule type="cellIs" dxfId="26332" priority="11509" stopIfTrue="1" operator="equal">
      <formula>"Towel"</formula>
    </cfRule>
    <cfRule type="cellIs" dxfId="26331" priority="11510" stopIfTrue="1" operator="equal">
      <formula>"Napkin Hs"</formula>
    </cfRule>
    <cfRule type="cellIs" dxfId="26330" priority="11519" stopIfTrue="1" operator="equal">
      <formula>"Towel"</formula>
    </cfRule>
    <cfRule type="cellIs" dxfId="26329" priority="11520" stopIfTrue="1" operator="equal">
      <formula>"Napkin Hs"</formula>
    </cfRule>
    <cfRule type="cellIs" dxfId="26328" priority="11521" stopIfTrue="1" operator="equal">
      <formula>"Towel"</formula>
    </cfRule>
    <cfRule type="cellIs" dxfId="26327" priority="11522" stopIfTrue="1" operator="equal">
      <formula>"Napkin Hs"</formula>
    </cfRule>
    <cfRule type="cellIs" dxfId="26326" priority="11527" stopIfTrue="1" operator="equal">
      <formula>"Towel"</formula>
    </cfRule>
    <cfRule type="cellIs" dxfId="26325" priority="11528" stopIfTrue="1" operator="equal">
      <formula>"Napkin Hs"</formula>
    </cfRule>
    <cfRule type="cellIs" dxfId="26324" priority="11537" stopIfTrue="1" operator="equal">
      <formula>"Towel"</formula>
    </cfRule>
    <cfRule type="cellIs" dxfId="26323" priority="11538" stopIfTrue="1" operator="equal">
      <formula>"Napkin Hs"</formula>
    </cfRule>
    <cfRule type="cellIs" dxfId="26322" priority="11539" stopIfTrue="1" operator="equal">
      <formula>"Towel"</formula>
    </cfRule>
    <cfRule type="cellIs" dxfId="26321" priority="11540" stopIfTrue="1" operator="equal">
      <formula>"Napkin Hs"</formula>
    </cfRule>
    <cfRule type="cellIs" dxfId="26320" priority="11546" stopIfTrue="1" operator="equal">
      <formula>"Napkin Hs"</formula>
    </cfRule>
  </conditionalFormatting>
  <conditionalFormatting sqref="C71">
    <cfRule type="cellIs" dxfId="26319" priority="11545" stopIfTrue="1" operator="equal">
      <formula>"Towel"</formula>
    </cfRule>
  </conditionalFormatting>
  <conditionalFormatting sqref="C71">
    <cfRule type="cellIs" dxfId="26318" priority="11456" stopIfTrue="1" operator="equal">
      <formula>"Napkin Hs"</formula>
    </cfRule>
    <cfRule type="cellIs" dxfId="26317" priority="11457" stopIfTrue="1" operator="equal">
      <formula>"Towel"</formula>
    </cfRule>
    <cfRule type="cellIs" dxfId="26316" priority="11458" stopIfTrue="1" operator="equal">
      <formula>"Napkin Hs"</formula>
    </cfRule>
    <cfRule type="cellIs" dxfId="26315" priority="11459" stopIfTrue="1" operator="equal">
      <formula>"Towel"</formula>
    </cfRule>
    <cfRule type="cellIs" dxfId="26314" priority="11460" stopIfTrue="1" operator="equal">
      <formula>"Napkin Hs"</formula>
    </cfRule>
    <cfRule type="cellIs" dxfId="26313" priority="11461" stopIfTrue="1" operator="equal">
      <formula>"Towel"</formula>
    </cfRule>
    <cfRule type="cellIs" dxfId="26312" priority="11462" stopIfTrue="1" operator="equal">
      <formula>"Napkin Hs"</formula>
    </cfRule>
    <cfRule type="cellIs" dxfId="26311" priority="11463" stopIfTrue="1" operator="equal">
      <formula>"Towel"</formula>
    </cfRule>
    <cfRule type="cellIs" dxfId="26310" priority="11464" stopIfTrue="1" operator="equal">
      <formula>"Napkin Hs"</formula>
    </cfRule>
    <cfRule type="cellIs" dxfId="26309" priority="11467" stopIfTrue="1" operator="equal">
      <formula>"Towel"</formula>
    </cfRule>
    <cfRule type="cellIs" dxfId="26308" priority="11468" stopIfTrue="1" operator="equal">
      <formula>"Napkin Hs"</formula>
    </cfRule>
    <cfRule type="cellIs" dxfId="26307" priority="11469" stopIfTrue="1" operator="equal">
      <formula>"Towel"</formula>
    </cfRule>
    <cfRule type="cellIs" dxfId="26306" priority="11470" stopIfTrue="1" operator="equal">
      <formula>"Napkin Hs"</formula>
    </cfRule>
    <cfRule type="cellIs" dxfId="26305" priority="11473" stopIfTrue="1" operator="equal">
      <formula>"Towel"</formula>
    </cfRule>
    <cfRule type="cellIs" dxfId="26304" priority="11474" stopIfTrue="1" operator="equal">
      <formula>"Napkin Hs"</formula>
    </cfRule>
    <cfRule type="cellIs" dxfId="26303" priority="11475" stopIfTrue="1" operator="equal">
      <formula>"Towel"</formula>
    </cfRule>
    <cfRule type="cellIs" dxfId="26302" priority="11476" stopIfTrue="1" operator="equal">
      <formula>"Napkin Hs"</formula>
    </cfRule>
    <cfRule type="cellIs" dxfId="26301" priority="11481" stopIfTrue="1" operator="equal">
      <formula>"Towel"</formula>
    </cfRule>
    <cfRule type="cellIs" dxfId="26300" priority="11482" stopIfTrue="1" operator="equal">
      <formula>"Napkin Hs"</formula>
    </cfRule>
    <cfRule type="cellIs" dxfId="26299" priority="11483" stopIfTrue="1" operator="equal">
      <formula>"Towel"</formula>
    </cfRule>
    <cfRule type="cellIs" dxfId="26298" priority="11484" stopIfTrue="1" operator="equal">
      <formula>"Napkin Hs"</formula>
    </cfRule>
    <cfRule type="cellIs" dxfId="26297" priority="11487" stopIfTrue="1" operator="equal">
      <formula>"Towel"</formula>
    </cfRule>
    <cfRule type="cellIs" dxfId="26296" priority="11488" stopIfTrue="1" operator="equal">
      <formula>"Napkin Hs"</formula>
    </cfRule>
    <cfRule type="cellIs" dxfId="26295" priority="11489" stopIfTrue="1" operator="equal">
      <formula>"Towel"</formula>
    </cfRule>
    <cfRule type="cellIs" dxfId="26294" priority="11490" stopIfTrue="1" operator="equal">
      <formula>"Napkin Hs"</formula>
    </cfRule>
    <cfRule type="cellIs" dxfId="26293" priority="11491" stopIfTrue="1" operator="equal">
      <formula>"Towel"</formula>
    </cfRule>
    <cfRule type="cellIs" dxfId="26292" priority="11492" stopIfTrue="1" operator="equal">
      <formula>"Napkin Hs"</formula>
    </cfRule>
    <cfRule type="cellIs" dxfId="26291" priority="11493" stopIfTrue="1" operator="equal">
      <formula>"Towel"</formula>
    </cfRule>
    <cfRule type="cellIs" dxfId="26290" priority="11494" stopIfTrue="1" operator="equal">
      <formula>"Napkin Hs"</formula>
    </cfRule>
    <cfRule type="cellIs" dxfId="26289" priority="11497" stopIfTrue="1" operator="equal">
      <formula>"Towel"</formula>
    </cfRule>
    <cfRule type="cellIs" dxfId="26288" priority="11498" stopIfTrue="1" operator="equal">
      <formula>"Napkin Hs"</formula>
    </cfRule>
    <cfRule type="cellIs" dxfId="26287" priority="11499" stopIfTrue="1" operator="equal">
      <formula>"Towel"</formula>
    </cfRule>
    <cfRule type="cellIs" dxfId="26286" priority="11500" stopIfTrue="1" operator="equal">
      <formula>"Napkin Hs"</formula>
    </cfRule>
    <cfRule type="cellIs" dxfId="26285" priority="11505" stopIfTrue="1" operator="equal">
      <formula>"Towel"</formula>
    </cfRule>
    <cfRule type="cellIs" dxfId="26284" priority="11506" stopIfTrue="1" operator="equal">
      <formula>"Napkin Hs"</formula>
    </cfRule>
    <cfRule type="cellIs" dxfId="26283" priority="11507" stopIfTrue="1" operator="equal">
      <formula>"Towel"</formula>
    </cfRule>
    <cfRule type="cellIs" dxfId="26282" priority="11508" stopIfTrue="1" operator="equal">
      <formula>"Napkin Hs"</formula>
    </cfRule>
    <cfRule type="cellIs" dxfId="26281" priority="11511" stopIfTrue="1" operator="equal">
      <formula>"Towel"</formula>
    </cfRule>
    <cfRule type="cellIs" dxfId="26280" priority="11512" stopIfTrue="1" operator="equal">
      <formula>"Napkin Hs"</formula>
    </cfRule>
    <cfRule type="cellIs" dxfId="26279" priority="11513" stopIfTrue="1" operator="equal">
      <formula>"Towel"</formula>
    </cfRule>
    <cfRule type="cellIs" dxfId="26278" priority="11514" stopIfTrue="1" operator="equal">
      <formula>"Napkin Hs"</formula>
    </cfRule>
    <cfRule type="cellIs" dxfId="26277" priority="11515" stopIfTrue="1" operator="equal">
      <formula>"Towel"</formula>
    </cfRule>
    <cfRule type="cellIs" dxfId="26276" priority="11516" stopIfTrue="1" operator="equal">
      <formula>"Napkin Hs"</formula>
    </cfRule>
    <cfRule type="cellIs" dxfId="26275" priority="11517" stopIfTrue="1" operator="equal">
      <formula>"Towel"</formula>
    </cfRule>
    <cfRule type="cellIs" dxfId="26274" priority="11518" stopIfTrue="1" operator="equal">
      <formula>"Napkin Hs"</formula>
    </cfRule>
    <cfRule type="cellIs" dxfId="26273" priority="11523" stopIfTrue="1" operator="equal">
      <formula>"Towel"</formula>
    </cfRule>
    <cfRule type="cellIs" dxfId="26272" priority="11524" stopIfTrue="1" operator="equal">
      <formula>"Napkin Hs"</formula>
    </cfRule>
    <cfRule type="cellIs" dxfId="26271" priority="11525" stopIfTrue="1" operator="equal">
      <formula>"Towel"</formula>
    </cfRule>
    <cfRule type="cellIs" dxfId="26270" priority="11526" stopIfTrue="1" operator="equal">
      <formula>"Napkin Hs"</formula>
    </cfRule>
    <cfRule type="cellIs" dxfId="26269" priority="11529" stopIfTrue="1" operator="equal">
      <formula>"Towel"</formula>
    </cfRule>
    <cfRule type="cellIs" dxfId="26268" priority="11530" stopIfTrue="1" operator="equal">
      <formula>"Napkin Hs"</formula>
    </cfRule>
    <cfRule type="cellIs" dxfId="26267" priority="11531" stopIfTrue="1" operator="equal">
      <formula>"Towel"</formula>
    </cfRule>
    <cfRule type="cellIs" dxfId="26266" priority="11532" stopIfTrue="1" operator="equal">
      <formula>"Napkin Hs"</formula>
    </cfRule>
    <cfRule type="cellIs" dxfId="26265" priority="11533" stopIfTrue="1" operator="equal">
      <formula>"Towel"</formula>
    </cfRule>
    <cfRule type="cellIs" dxfId="26264" priority="11534" stopIfTrue="1" operator="equal">
      <formula>"Napkin Hs"</formula>
    </cfRule>
    <cfRule type="cellIs" dxfId="26263" priority="11535" stopIfTrue="1" operator="equal">
      <formula>"Towel"</formula>
    </cfRule>
    <cfRule type="cellIs" dxfId="26262" priority="11536" stopIfTrue="1" operator="equal">
      <formula>"Napkin Hs"</formula>
    </cfRule>
    <cfRule type="cellIs" dxfId="26261" priority="11541" stopIfTrue="1" operator="equal">
      <formula>"Towel"</formula>
    </cfRule>
    <cfRule type="cellIs" dxfId="26260" priority="11542" stopIfTrue="1" operator="equal">
      <formula>"Napkin Hs"</formula>
    </cfRule>
    <cfRule type="cellIs" dxfId="26259" priority="11543" stopIfTrue="1" operator="equal">
      <formula>"Towel"</formula>
    </cfRule>
    <cfRule type="cellIs" dxfId="26258" priority="11544" stopIfTrue="1" operator="equal">
      <formula>"Napkin Hs"</formula>
    </cfRule>
    <cfRule type="cellIs" dxfId="26257" priority="11547" stopIfTrue="1" operator="equal">
      <formula>"Towel"</formula>
    </cfRule>
    <cfRule type="cellIs" dxfId="26256" priority="11548" stopIfTrue="1" operator="equal">
      <formula>"Napkin Hs"</formula>
    </cfRule>
    <cfRule type="cellIs" dxfId="26255" priority="11549" stopIfTrue="1" operator="equal">
      <formula>"Towel"</formula>
    </cfRule>
    <cfRule type="cellIs" dxfId="26254" priority="11550" stopIfTrue="1" operator="equal">
      <formula>"Napkin Hs"</formula>
    </cfRule>
  </conditionalFormatting>
  <conditionalFormatting sqref="C71">
    <cfRule type="cellIs" dxfId="26253" priority="11454" stopIfTrue="1" operator="equal">
      <formula>"Napkin Hs"</formula>
    </cfRule>
  </conditionalFormatting>
  <conditionalFormatting sqref="C71">
    <cfRule type="cellIs" dxfId="26252" priority="11453" stopIfTrue="1" operator="equal">
      <formula>"Napkin Hs"</formula>
    </cfRule>
  </conditionalFormatting>
  <conditionalFormatting sqref="C71">
    <cfRule type="cellIs" dxfId="26251" priority="11452" stopIfTrue="1" operator="equal">
      <formula>"Napkin Hs"</formula>
    </cfRule>
  </conditionalFormatting>
  <conditionalFormatting sqref="C71">
    <cfRule type="cellIs" dxfId="26250" priority="11451" stopIfTrue="1" operator="equal">
      <formula>"Napkin Hs"</formula>
    </cfRule>
  </conditionalFormatting>
  <conditionalFormatting sqref="C71">
    <cfRule type="cellIs" dxfId="26249" priority="11450" stopIfTrue="1" operator="equal">
      <formula>"Napkin Hs"</formula>
    </cfRule>
  </conditionalFormatting>
  <conditionalFormatting sqref="C71">
    <cfRule type="cellIs" dxfId="26248" priority="11449" stopIfTrue="1" operator="equal">
      <formula>"Napkin Hs"</formula>
    </cfRule>
  </conditionalFormatting>
  <conditionalFormatting sqref="C71">
    <cfRule type="cellIs" dxfId="26247" priority="11445" stopIfTrue="1" operator="equal">
      <formula>"Towel"</formula>
    </cfRule>
    <cfRule type="cellIs" dxfId="26246" priority="11446" stopIfTrue="1" operator="equal">
      <formula>"Napkin Hs"</formula>
    </cfRule>
  </conditionalFormatting>
  <conditionalFormatting sqref="C71">
    <cfRule type="cellIs" dxfId="26245" priority="11447" stopIfTrue="1" operator="equal">
      <formula>"Towel"</formula>
    </cfRule>
    <cfRule type="cellIs" dxfId="26244" priority="11448" stopIfTrue="1" operator="equal">
      <formula>"Napkin Hs"</formula>
    </cfRule>
  </conditionalFormatting>
  <conditionalFormatting sqref="C71">
    <cfRule type="cellIs" dxfId="26243" priority="11441" stopIfTrue="1" operator="equal">
      <formula>"Towel"</formula>
    </cfRule>
    <cfRule type="cellIs" dxfId="26242" priority="11442" stopIfTrue="1" operator="equal">
      <formula>"Napkin Hs"</formula>
    </cfRule>
  </conditionalFormatting>
  <conditionalFormatting sqref="C71">
    <cfRule type="cellIs" dxfId="26241" priority="11443" stopIfTrue="1" operator="equal">
      <formula>"Towel"</formula>
    </cfRule>
    <cfRule type="cellIs" dxfId="26240" priority="11444" stopIfTrue="1" operator="equal">
      <formula>"Napkin Hs"</formula>
    </cfRule>
  </conditionalFormatting>
  <conditionalFormatting sqref="B71">
    <cfRule type="cellIs" dxfId="26239" priority="11439" stopIfTrue="1" operator="equal">
      <formula>"Towel"</formula>
    </cfRule>
    <cfRule type="cellIs" dxfId="26238" priority="11440" stopIfTrue="1" operator="equal">
      <formula>"Napkin Hs"</formula>
    </cfRule>
  </conditionalFormatting>
  <conditionalFormatting sqref="B71">
    <cfRule type="cellIs" dxfId="26237" priority="11437" stopIfTrue="1" operator="equal">
      <formula>"Towel"</formula>
    </cfRule>
    <cfRule type="cellIs" dxfId="26236" priority="11438" stopIfTrue="1" operator="equal">
      <formula>"Napkin Hs"</formula>
    </cfRule>
  </conditionalFormatting>
  <conditionalFormatting sqref="B71">
    <cfRule type="cellIs" dxfId="26235" priority="11435" stopIfTrue="1" operator="equal">
      <formula>"Towel"</formula>
    </cfRule>
    <cfRule type="cellIs" dxfId="26234" priority="11436" stopIfTrue="1" operator="equal">
      <formula>"Napkin Hs"</formula>
    </cfRule>
  </conditionalFormatting>
  <conditionalFormatting sqref="B71">
    <cfRule type="cellIs" dxfId="26233" priority="11427" stopIfTrue="1" operator="equal">
      <formula>"Towel"</formula>
    </cfRule>
  </conditionalFormatting>
  <conditionalFormatting sqref="B71">
    <cfRule type="cellIs" dxfId="26232" priority="11428" stopIfTrue="1" operator="equal">
      <formula>"Napkin Hs"</formula>
    </cfRule>
    <cfRule type="cellIs" dxfId="26231" priority="11429" stopIfTrue="1" operator="equal">
      <formula>"Towel"</formula>
    </cfRule>
    <cfRule type="cellIs" dxfId="26230" priority="11430" stopIfTrue="1" operator="equal">
      <formula>"Napkin Hs"</formula>
    </cfRule>
    <cfRule type="cellIs" dxfId="26229" priority="11431" stopIfTrue="1" operator="equal">
      <formula>"Towel"</formula>
    </cfRule>
    <cfRule type="cellIs" dxfId="26228" priority="11432" stopIfTrue="1" operator="equal">
      <formula>"Napkin Hs"</formula>
    </cfRule>
    <cfRule type="cellIs" dxfId="26227" priority="11433" stopIfTrue="1" operator="equal">
      <formula>"Towel"</formula>
    </cfRule>
    <cfRule type="cellIs" dxfId="26226" priority="11434" stopIfTrue="1" operator="equal">
      <formula>"Napkin Hs"</formula>
    </cfRule>
  </conditionalFormatting>
  <conditionalFormatting sqref="B71">
    <cfRule type="cellIs" dxfId="26225" priority="11425" stopIfTrue="1" operator="equal">
      <formula>"Towel"</formula>
    </cfRule>
    <cfRule type="cellIs" dxfId="26224" priority="11426" stopIfTrue="1" operator="equal">
      <formula>"Napkin Hs"</formula>
    </cfRule>
  </conditionalFormatting>
  <conditionalFormatting sqref="B71">
    <cfRule type="cellIs" dxfId="26223" priority="11394" stopIfTrue="1" operator="equal">
      <formula>"Napkin Hs"</formula>
    </cfRule>
  </conditionalFormatting>
  <conditionalFormatting sqref="B71">
    <cfRule type="cellIs" dxfId="26222" priority="11393" stopIfTrue="1" operator="equal">
      <formula>"Towel"</formula>
    </cfRule>
  </conditionalFormatting>
  <conditionalFormatting sqref="B71">
    <cfRule type="cellIs" dxfId="26221" priority="11395" stopIfTrue="1" operator="equal">
      <formula>"Towel"</formula>
    </cfRule>
    <cfRule type="cellIs" dxfId="26220" priority="11396" stopIfTrue="1" operator="equal">
      <formula>"Napkin Hs"</formula>
    </cfRule>
    <cfRule type="cellIs" dxfId="26219" priority="11397" stopIfTrue="1" operator="equal">
      <formula>"Towel"</formula>
    </cfRule>
    <cfRule type="cellIs" dxfId="26218" priority="11398" stopIfTrue="1" operator="equal">
      <formula>"Napkin Hs"</formula>
    </cfRule>
    <cfRule type="cellIs" dxfId="26217" priority="11399" stopIfTrue="1" operator="equal">
      <formula>"Towel"</formula>
    </cfRule>
    <cfRule type="cellIs" dxfId="26216" priority="11400" stopIfTrue="1" operator="equal">
      <formula>"Napkin Hs"</formula>
    </cfRule>
    <cfRule type="cellIs" dxfId="26215" priority="11401" stopIfTrue="1" operator="equal">
      <formula>"Towel"</formula>
    </cfRule>
    <cfRule type="cellIs" dxfId="26214" priority="11402" stopIfTrue="1" operator="equal">
      <formula>"Napkin Hs"</formula>
    </cfRule>
    <cfRule type="cellIs" dxfId="26213" priority="11403" stopIfTrue="1" operator="equal">
      <formula>"Towel"</formula>
    </cfRule>
    <cfRule type="cellIs" dxfId="26212" priority="11404" stopIfTrue="1" operator="equal">
      <formula>"Napkin Hs"</formula>
    </cfRule>
    <cfRule type="cellIs" dxfId="26211" priority="11405" stopIfTrue="1" operator="equal">
      <formula>"Towel"</formula>
    </cfRule>
    <cfRule type="cellIs" dxfId="26210" priority="11406" stopIfTrue="1" operator="equal">
      <formula>"Napkin Hs"</formula>
    </cfRule>
    <cfRule type="cellIs" dxfId="26209" priority="11407" stopIfTrue="1" operator="equal">
      <formula>"Towel"</formula>
    </cfRule>
    <cfRule type="cellIs" dxfId="26208" priority="11408" stopIfTrue="1" operator="equal">
      <formula>"Napkin Hs"</formula>
    </cfRule>
    <cfRule type="cellIs" dxfId="26207" priority="11409" stopIfTrue="1" operator="equal">
      <formula>"Towel"</formula>
    </cfRule>
    <cfRule type="cellIs" dxfId="26206" priority="11410" stopIfTrue="1" operator="equal">
      <formula>"Napkin Hs"</formula>
    </cfRule>
    <cfRule type="cellIs" dxfId="26205" priority="11411" stopIfTrue="1" operator="equal">
      <formula>"Towel"</formula>
    </cfRule>
    <cfRule type="cellIs" dxfId="26204" priority="11412" stopIfTrue="1" operator="equal">
      <formula>"Napkin Hs"</formula>
    </cfRule>
    <cfRule type="cellIs" dxfId="26203" priority="11413" stopIfTrue="1" operator="equal">
      <formula>"Towel"</formula>
    </cfRule>
    <cfRule type="cellIs" dxfId="26202" priority="11414" stopIfTrue="1" operator="equal">
      <formula>"Napkin Hs"</formula>
    </cfRule>
    <cfRule type="cellIs" dxfId="26201" priority="11415" stopIfTrue="1" operator="equal">
      <formula>"Towel"</formula>
    </cfRule>
    <cfRule type="cellIs" dxfId="26200" priority="11416" stopIfTrue="1" operator="equal">
      <formula>"Napkin Hs"</formula>
    </cfRule>
    <cfRule type="cellIs" dxfId="26199" priority="11417" stopIfTrue="1" operator="equal">
      <formula>"Towel"</formula>
    </cfRule>
    <cfRule type="cellIs" dxfId="26198" priority="11418" stopIfTrue="1" operator="equal">
      <formula>"Napkin Hs"</formula>
    </cfRule>
    <cfRule type="cellIs" dxfId="26197" priority="11419" stopIfTrue="1" operator="equal">
      <formula>"Towel"</formula>
    </cfRule>
    <cfRule type="cellIs" dxfId="26196" priority="11420" stopIfTrue="1" operator="equal">
      <formula>"Napkin Hs"</formula>
    </cfRule>
    <cfRule type="cellIs" dxfId="26195" priority="11421" stopIfTrue="1" operator="equal">
      <formula>"Towel"</formula>
    </cfRule>
    <cfRule type="cellIs" dxfId="26194" priority="11422" stopIfTrue="1" operator="equal">
      <formula>"Napkin Hs"</formula>
    </cfRule>
    <cfRule type="cellIs" dxfId="26193" priority="11424" stopIfTrue="1" operator="equal">
      <formula>"Napkin Hs"</formula>
    </cfRule>
  </conditionalFormatting>
  <conditionalFormatting sqref="B71">
    <cfRule type="cellIs" dxfId="26192" priority="11423" stopIfTrue="1" operator="equal">
      <formula>"Towel"</formula>
    </cfRule>
  </conditionalFormatting>
  <conditionalFormatting sqref="B71">
    <cfRule type="cellIs" dxfId="26191" priority="11392" stopIfTrue="1" operator="equal">
      <formula>"Napkin Hs"</formula>
    </cfRule>
  </conditionalFormatting>
  <conditionalFormatting sqref="B71">
    <cfRule type="cellIs" dxfId="26190" priority="11391" stopIfTrue="1" operator="equal">
      <formula>"Napkin Hs"</formula>
    </cfRule>
  </conditionalFormatting>
  <conditionalFormatting sqref="B71">
    <cfRule type="cellIs" dxfId="26189" priority="11390" stopIfTrue="1" operator="equal">
      <formula>"Napkin Hs"</formula>
    </cfRule>
  </conditionalFormatting>
  <conditionalFormatting sqref="C70">
    <cfRule type="cellIs" dxfId="26188" priority="11173" stopIfTrue="1" operator="equal">
      <formula>"Towel"</formula>
    </cfRule>
    <cfRule type="cellIs" dxfId="26187" priority="11174" stopIfTrue="1" operator="equal">
      <formula>"Napkin Hs"</formula>
    </cfRule>
  </conditionalFormatting>
  <conditionalFormatting sqref="C70">
    <cfRule type="cellIs" dxfId="26186" priority="11175" stopIfTrue="1" operator="equal">
      <formula>"Towel"</formula>
    </cfRule>
    <cfRule type="cellIs" dxfId="26185" priority="11176" stopIfTrue="1" operator="equal">
      <formula>"Napkin Hs"</formula>
    </cfRule>
  </conditionalFormatting>
  <conditionalFormatting sqref="C70">
    <cfRule type="cellIs" dxfId="26184" priority="11171" stopIfTrue="1" operator="equal">
      <formula>"Towel"</formula>
    </cfRule>
    <cfRule type="cellIs" dxfId="26183" priority="11172" stopIfTrue="1" operator="equal">
      <formula>"Napkin Hs"</formula>
    </cfRule>
  </conditionalFormatting>
  <conditionalFormatting sqref="C70">
    <cfRule type="cellIs" dxfId="26182" priority="11165" stopIfTrue="1" operator="equal">
      <formula>"Towel"</formula>
    </cfRule>
    <cfRule type="cellIs" dxfId="26181" priority="11166" stopIfTrue="1" operator="equal">
      <formula>"Napkin Hs"</formula>
    </cfRule>
  </conditionalFormatting>
  <conditionalFormatting sqref="C70">
    <cfRule type="cellIs" dxfId="26180" priority="11169" stopIfTrue="1" operator="equal">
      <formula>"Towel"</formula>
    </cfRule>
    <cfRule type="cellIs" dxfId="26179" priority="11170" stopIfTrue="1" operator="equal">
      <formula>"Napkin Hs"</formula>
    </cfRule>
  </conditionalFormatting>
  <conditionalFormatting sqref="C70">
    <cfRule type="cellIs" dxfId="26178" priority="11167" stopIfTrue="1" operator="equal">
      <formula>"Towel"</formula>
    </cfRule>
    <cfRule type="cellIs" dxfId="26177" priority="11168" stopIfTrue="1" operator="equal">
      <formula>"Napkin Hs"</formula>
    </cfRule>
  </conditionalFormatting>
  <conditionalFormatting sqref="C70">
    <cfRule type="cellIs" dxfId="26176" priority="11159" stopIfTrue="1" operator="equal">
      <formula>"Towel"</formula>
    </cfRule>
    <cfRule type="cellIs" dxfId="26175" priority="11160" stopIfTrue="1" operator="equal">
      <formula>"Napkin Hs"</formula>
    </cfRule>
  </conditionalFormatting>
  <conditionalFormatting sqref="C70">
    <cfRule type="cellIs" dxfId="26174" priority="11161" stopIfTrue="1" operator="equal">
      <formula>"Towel"</formula>
    </cfRule>
    <cfRule type="cellIs" dxfId="26173" priority="11162" stopIfTrue="1" operator="equal">
      <formula>"Napkin Hs"</formula>
    </cfRule>
  </conditionalFormatting>
  <conditionalFormatting sqref="C70">
    <cfRule type="cellIs" dxfId="26172" priority="11163" stopIfTrue="1" operator="equal">
      <formula>"Towel"</formula>
    </cfRule>
    <cfRule type="cellIs" dxfId="26171" priority="11164" stopIfTrue="1" operator="equal">
      <formula>"Napkin Hs"</formula>
    </cfRule>
  </conditionalFormatting>
  <conditionalFormatting sqref="C70">
    <cfRule type="cellIs" dxfId="26170" priority="11157" stopIfTrue="1" operator="equal">
      <formula>"Towel"</formula>
    </cfRule>
    <cfRule type="cellIs" dxfId="26169" priority="11158" stopIfTrue="1" operator="equal">
      <formula>"Napkin Hs"</formula>
    </cfRule>
  </conditionalFormatting>
  <conditionalFormatting sqref="C70">
    <cfRule type="cellIs" dxfId="26168" priority="11155" stopIfTrue="1" operator="equal">
      <formula>"Towel"</formula>
    </cfRule>
    <cfRule type="cellIs" dxfId="26167" priority="11156" stopIfTrue="1" operator="equal">
      <formula>"Napkin Hs"</formula>
    </cfRule>
  </conditionalFormatting>
  <conditionalFormatting sqref="C70">
    <cfRule type="cellIs" dxfId="26166" priority="11131" stopIfTrue="1" operator="equal">
      <formula>"Towel"</formula>
    </cfRule>
  </conditionalFormatting>
  <conditionalFormatting sqref="C70">
    <cfRule type="cellIs" dxfId="26165" priority="11132" stopIfTrue="1" operator="equal">
      <formula>"Napkin Hs"</formula>
    </cfRule>
    <cfRule type="cellIs" dxfId="26164" priority="11137" stopIfTrue="1" operator="equal">
      <formula>"Towel"</formula>
    </cfRule>
    <cfRule type="cellIs" dxfId="26163" priority="11138" stopIfTrue="1" operator="equal">
      <formula>"Napkin Hs"</formula>
    </cfRule>
    <cfRule type="cellIs" dxfId="26162" priority="11147" stopIfTrue="1" operator="equal">
      <formula>"Towel"</formula>
    </cfRule>
    <cfRule type="cellIs" dxfId="26161" priority="11148" stopIfTrue="1" operator="equal">
      <formula>"Napkin Hs"</formula>
    </cfRule>
    <cfRule type="cellIs" dxfId="26160" priority="11153" stopIfTrue="1" operator="equal">
      <formula>"Towel"</formula>
    </cfRule>
    <cfRule type="cellIs" dxfId="26159" priority="11154" stopIfTrue="1" operator="equal">
      <formula>"Napkin Hs"</formula>
    </cfRule>
  </conditionalFormatting>
  <conditionalFormatting sqref="C70">
    <cfRule type="cellIs" dxfId="26158" priority="11133" stopIfTrue="1" operator="equal">
      <formula>"Towel"</formula>
    </cfRule>
    <cfRule type="cellIs" dxfId="26157" priority="11134" stopIfTrue="1" operator="equal">
      <formula>"Napkin Hs"</formula>
    </cfRule>
    <cfRule type="cellIs" dxfId="26156" priority="11135" stopIfTrue="1" operator="equal">
      <formula>"Towel"</formula>
    </cfRule>
    <cfRule type="cellIs" dxfId="26155" priority="11136" stopIfTrue="1" operator="equal">
      <formula>"Napkin Hs"</formula>
    </cfRule>
    <cfRule type="cellIs" dxfId="26154" priority="11139" stopIfTrue="1" operator="equal">
      <formula>"Towel"</formula>
    </cfRule>
    <cfRule type="cellIs" dxfId="26153" priority="11140" stopIfTrue="1" operator="equal">
      <formula>"Napkin Hs"</formula>
    </cfRule>
    <cfRule type="cellIs" dxfId="26152" priority="11141" stopIfTrue="1" operator="equal">
      <formula>"Towel"</formula>
    </cfRule>
    <cfRule type="cellIs" dxfId="26151" priority="11142" stopIfTrue="1" operator="equal">
      <formula>"Napkin Hs"</formula>
    </cfRule>
    <cfRule type="cellIs" dxfId="26150" priority="11143" stopIfTrue="1" operator="equal">
      <formula>"Towel"</formula>
    </cfRule>
    <cfRule type="cellIs" dxfId="26149" priority="11144" stopIfTrue="1" operator="equal">
      <formula>"Napkin Hs"</formula>
    </cfRule>
    <cfRule type="cellIs" dxfId="26148" priority="11145" stopIfTrue="1" operator="equal">
      <formula>"Towel"</formula>
    </cfRule>
    <cfRule type="cellIs" dxfId="26147" priority="11146" stopIfTrue="1" operator="equal">
      <formula>"Napkin Hs"</formula>
    </cfRule>
    <cfRule type="cellIs" dxfId="26146" priority="11149" stopIfTrue="1" operator="equal">
      <formula>"Towel"</formula>
    </cfRule>
    <cfRule type="cellIs" dxfId="26145" priority="11150" stopIfTrue="1" operator="equal">
      <formula>"Napkin Hs"</formula>
    </cfRule>
    <cfRule type="cellIs" dxfId="26144" priority="11152" stopIfTrue="1" operator="equal">
      <formula>"Napkin Hs"</formula>
    </cfRule>
  </conditionalFormatting>
  <conditionalFormatting sqref="C70">
    <cfRule type="cellIs" dxfId="26143" priority="11151" stopIfTrue="1" operator="equal">
      <formula>"Towel"</formula>
    </cfRule>
  </conditionalFormatting>
  <conditionalFormatting sqref="C70">
    <cfRule type="cellIs" dxfId="26142" priority="11129" stopIfTrue="1" operator="equal">
      <formula>"Towel"</formula>
    </cfRule>
    <cfRule type="cellIs" dxfId="26141" priority="11130" stopIfTrue="1" operator="equal">
      <formula>"Napkin Hs"</formula>
    </cfRule>
  </conditionalFormatting>
  <conditionalFormatting sqref="C70">
    <cfRule type="cellIs" dxfId="26140" priority="11128" stopIfTrue="1" operator="equal">
      <formula>"Napkin Hs"</formula>
    </cfRule>
  </conditionalFormatting>
  <conditionalFormatting sqref="C70">
    <cfRule type="cellIs" dxfId="26139" priority="11127" stopIfTrue="1" operator="equal">
      <formula>"Towel"</formula>
    </cfRule>
  </conditionalFormatting>
  <conditionalFormatting sqref="C70">
    <cfRule type="cellIs" dxfId="26138" priority="11125" stopIfTrue="1" operator="equal">
      <formula>"Towel"</formula>
    </cfRule>
  </conditionalFormatting>
  <conditionalFormatting sqref="C70">
    <cfRule type="cellIs" dxfId="26137" priority="11126" stopIfTrue="1" operator="equal">
      <formula>"Napkin Hs"</formula>
    </cfRule>
  </conditionalFormatting>
  <conditionalFormatting sqref="C70">
    <cfRule type="cellIs" dxfId="26136" priority="11029" stopIfTrue="1" operator="equal">
      <formula>"Towel"</formula>
    </cfRule>
  </conditionalFormatting>
  <conditionalFormatting sqref="C70">
    <cfRule type="cellIs" dxfId="26135" priority="11039" stopIfTrue="1" operator="equal">
      <formula>"Towel"</formula>
    </cfRule>
    <cfRule type="cellIs" dxfId="26134" priority="11040" stopIfTrue="1" operator="equal">
      <formula>"Napkin Hs"</formula>
    </cfRule>
    <cfRule type="cellIs" dxfId="26133" priority="11045" stopIfTrue="1" operator="equal">
      <formula>"Towel"</formula>
    </cfRule>
    <cfRule type="cellIs" dxfId="26132" priority="11046" stopIfTrue="1" operator="equal">
      <formula>"Napkin Hs"</formula>
    </cfRule>
    <cfRule type="cellIs" dxfId="26131" priority="11051" stopIfTrue="1" operator="equal">
      <formula>"Towel"</formula>
    </cfRule>
    <cfRule type="cellIs" dxfId="26130" priority="11052" stopIfTrue="1" operator="equal">
      <formula>"Napkin Hs"</formula>
    </cfRule>
    <cfRule type="cellIs" dxfId="26129" priority="11053" stopIfTrue="1" operator="equal">
      <formula>"Towel"</formula>
    </cfRule>
    <cfRule type="cellIs" dxfId="26128" priority="11054" stopIfTrue="1" operator="equal">
      <formula>"Napkin Hs"</formula>
    </cfRule>
    <cfRule type="cellIs" dxfId="26127" priority="11059" stopIfTrue="1" operator="equal">
      <formula>"Towel"</formula>
    </cfRule>
    <cfRule type="cellIs" dxfId="26126" priority="11060" stopIfTrue="1" operator="equal">
      <formula>"Napkin Hs"</formula>
    </cfRule>
    <cfRule type="cellIs" dxfId="26125" priority="11069" stopIfTrue="1" operator="equal">
      <formula>"Towel"</formula>
    </cfRule>
    <cfRule type="cellIs" dxfId="26124" priority="11070" stopIfTrue="1" operator="equal">
      <formula>"Napkin Hs"</formula>
    </cfRule>
    <cfRule type="cellIs" dxfId="26123" priority="11075" stopIfTrue="1" operator="equal">
      <formula>"Towel"</formula>
    </cfRule>
    <cfRule type="cellIs" dxfId="26122" priority="11076" stopIfTrue="1" operator="equal">
      <formula>"Napkin Hs"</formula>
    </cfRule>
    <cfRule type="cellIs" dxfId="26121" priority="11077" stopIfTrue="1" operator="equal">
      <formula>"Towel"</formula>
    </cfRule>
    <cfRule type="cellIs" dxfId="26120" priority="11078" stopIfTrue="1" operator="equal">
      <formula>"Napkin Hs"</formula>
    </cfRule>
    <cfRule type="cellIs" dxfId="26119" priority="11083" stopIfTrue="1" operator="equal">
      <formula>"Towel"</formula>
    </cfRule>
    <cfRule type="cellIs" dxfId="26118" priority="11084" stopIfTrue="1" operator="equal">
      <formula>"Napkin Hs"</formula>
    </cfRule>
    <cfRule type="cellIs" dxfId="26117" priority="11093" stopIfTrue="1" operator="equal">
      <formula>"Towel"</formula>
    </cfRule>
    <cfRule type="cellIs" dxfId="26116" priority="11094" stopIfTrue="1" operator="equal">
      <formula>"Napkin Hs"</formula>
    </cfRule>
    <cfRule type="cellIs" dxfId="26115" priority="11095" stopIfTrue="1" operator="equal">
      <formula>"Towel"</formula>
    </cfRule>
    <cfRule type="cellIs" dxfId="26114" priority="11096" stopIfTrue="1" operator="equal">
      <formula>"Napkin Hs"</formula>
    </cfRule>
    <cfRule type="cellIs" dxfId="26113" priority="11101" stopIfTrue="1" operator="equal">
      <formula>"Towel"</formula>
    </cfRule>
    <cfRule type="cellIs" dxfId="26112" priority="11102" stopIfTrue="1" operator="equal">
      <formula>"Napkin Hs"</formula>
    </cfRule>
    <cfRule type="cellIs" dxfId="26111" priority="11111" stopIfTrue="1" operator="equal">
      <formula>"Towel"</formula>
    </cfRule>
    <cfRule type="cellIs" dxfId="26110" priority="11112" stopIfTrue="1" operator="equal">
      <formula>"Napkin Hs"</formula>
    </cfRule>
    <cfRule type="cellIs" dxfId="26109" priority="11113" stopIfTrue="1" operator="equal">
      <formula>"Towel"</formula>
    </cfRule>
    <cfRule type="cellIs" dxfId="26108" priority="11114" stopIfTrue="1" operator="equal">
      <formula>"Napkin Hs"</formula>
    </cfRule>
    <cfRule type="cellIs" dxfId="26107" priority="11120" stopIfTrue="1" operator="equal">
      <formula>"Napkin Hs"</formula>
    </cfRule>
  </conditionalFormatting>
  <conditionalFormatting sqref="C70">
    <cfRule type="cellIs" dxfId="26106" priority="11119" stopIfTrue="1" operator="equal">
      <formula>"Towel"</formula>
    </cfRule>
  </conditionalFormatting>
  <conditionalFormatting sqref="C70">
    <cfRule type="cellIs" dxfId="26105" priority="11030" stopIfTrue="1" operator="equal">
      <formula>"Napkin Hs"</formula>
    </cfRule>
    <cfRule type="cellIs" dxfId="26104" priority="11031" stopIfTrue="1" operator="equal">
      <formula>"Towel"</formula>
    </cfRule>
    <cfRule type="cellIs" dxfId="26103" priority="11032" stopIfTrue="1" operator="equal">
      <formula>"Napkin Hs"</formula>
    </cfRule>
    <cfRule type="cellIs" dxfId="26102" priority="11033" stopIfTrue="1" operator="equal">
      <formula>"Towel"</formula>
    </cfRule>
    <cfRule type="cellIs" dxfId="26101" priority="11034" stopIfTrue="1" operator="equal">
      <formula>"Napkin Hs"</formula>
    </cfRule>
    <cfRule type="cellIs" dxfId="26100" priority="11035" stopIfTrue="1" operator="equal">
      <formula>"Towel"</formula>
    </cfRule>
    <cfRule type="cellIs" dxfId="26099" priority="11036" stopIfTrue="1" operator="equal">
      <formula>"Napkin Hs"</formula>
    </cfRule>
    <cfRule type="cellIs" dxfId="26098" priority="11037" stopIfTrue="1" operator="equal">
      <formula>"Towel"</formula>
    </cfRule>
    <cfRule type="cellIs" dxfId="26097" priority="11038" stopIfTrue="1" operator="equal">
      <formula>"Napkin Hs"</formula>
    </cfRule>
    <cfRule type="cellIs" dxfId="26096" priority="11041" stopIfTrue="1" operator="equal">
      <formula>"Towel"</formula>
    </cfRule>
    <cfRule type="cellIs" dxfId="26095" priority="11042" stopIfTrue="1" operator="equal">
      <formula>"Napkin Hs"</formula>
    </cfRule>
    <cfRule type="cellIs" dxfId="26094" priority="11043" stopIfTrue="1" operator="equal">
      <formula>"Towel"</formula>
    </cfRule>
    <cfRule type="cellIs" dxfId="26093" priority="11044" stopIfTrue="1" operator="equal">
      <formula>"Napkin Hs"</formula>
    </cfRule>
    <cfRule type="cellIs" dxfId="26092" priority="11047" stopIfTrue="1" operator="equal">
      <formula>"Towel"</formula>
    </cfRule>
    <cfRule type="cellIs" dxfId="26091" priority="11048" stopIfTrue="1" operator="equal">
      <formula>"Napkin Hs"</formula>
    </cfRule>
    <cfRule type="cellIs" dxfId="26090" priority="11049" stopIfTrue="1" operator="equal">
      <formula>"Towel"</formula>
    </cfRule>
    <cfRule type="cellIs" dxfId="26089" priority="11050" stopIfTrue="1" operator="equal">
      <formula>"Napkin Hs"</formula>
    </cfRule>
    <cfRule type="cellIs" dxfId="26088" priority="11055" stopIfTrue="1" operator="equal">
      <formula>"Towel"</formula>
    </cfRule>
    <cfRule type="cellIs" dxfId="26087" priority="11056" stopIfTrue="1" operator="equal">
      <formula>"Napkin Hs"</formula>
    </cfRule>
    <cfRule type="cellIs" dxfId="26086" priority="11057" stopIfTrue="1" operator="equal">
      <formula>"Towel"</formula>
    </cfRule>
    <cfRule type="cellIs" dxfId="26085" priority="11058" stopIfTrue="1" operator="equal">
      <formula>"Napkin Hs"</formula>
    </cfRule>
    <cfRule type="cellIs" dxfId="26084" priority="11061" stopIfTrue="1" operator="equal">
      <formula>"Towel"</formula>
    </cfRule>
    <cfRule type="cellIs" dxfId="26083" priority="11062" stopIfTrue="1" operator="equal">
      <formula>"Napkin Hs"</formula>
    </cfRule>
    <cfRule type="cellIs" dxfId="26082" priority="11063" stopIfTrue="1" operator="equal">
      <formula>"Towel"</formula>
    </cfRule>
    <cfRule type="cellIs" dxfId="26081" priority="11064" stopIfTrue="1" operator="equal">
      <formula>"Napkin Hs"</formula>
    </cfRule>
    <cfRule type="cellIs" dxfId="26080" priority="11065" stopIfTrue="1" operator="equal">
      <formula>"Towel"</formula>
    </cfRule>
    <cfRule type="cellIs" dxfId="26079" priority="11066" stopIfTrue="1" operator="equal">
      <formula>"Napkin Hs"</formula>
    </cfRule>
    <cfRule type="cellIs" dxfId="26078" priority="11067" stopIfTrue="1" operator="equal">
      <formula>"Towel"</formula>
    </cfRule>
    <cfRule type="cellIs" dxfId="26077" priority="11068" stopIfTrue="1" operator="equal">
      <formula>"Napkin Hs"</formula>
    </cfRule>
    <cfRule type="cellIs" dxfId="26076" priority="11071" stopIfTrue="1" operator="equal">
      <formula>"Towel"</formula>
    </cfRule>
    <cfRule type="cellIs" dxfId="26075" priority="11072" stopIfTrue="1" operator="equal">
      <formula>"Napkin Hs"</formula>
    </cfRule>
    <cfRule type="cellIs" dxfId="26074" priority="11073" stopIfTrue="1" operator="equal">
      <formula>"Towel"</formula>
    </cfRule>
    <cfRule type="cellIs" dxfId="26073" priority="11074" stopIfTrue="1" operator="equal">
      <formula>"Napkin Hs"</formula>
    </cfRule>
    <cfRule type="cellIs" dxfId="26072" priority="11079" stopIfTrue="1" operator="equal">
      <formula>"Towel"</formula>
    </cfRule>
    <cfRule type="cellIs" dxfId="26071" priority="11080" stopIfTrue="1" operator="equal">
      <formula>"Napkin Hs"</formula>
    </cfRule>
    <cfRule type="cellIs" dxfId="26070" priority="11081" stopIfTrue="1" operator="equal">
      <formula>"Towel"</formula>
    </cfRule>
    <cfRule type="cellIs" dxfId="26069" priority="11082" stopIfTrue="1" operator="equal">
      <formula>"Napkin Hs"</formula>
    </cfRule>
    <cfRule type="cellIs" dxfId="26068" priority="11085" stopIfTrue="1" operator="equal">
      <formula>"Towel"</formula>
    </cfRule>
    <cfRule type="cellIs" dxfId="26067" priority="11086" stopIfTrue="1" operator="equal">
      <formula>"Napkin Hs"</formula>
    </cfRule>
    <cfRule type="cellIs" dxfId="26066" priority="11087" stopIfTrue="1" operator="equal">
      <formula>"Towel"</formula>
    </cfRule>
    <cfRule type="cellIs" dxfId="26065" priority="11088" stopIfTrue="1" operator="equal">
      <formula>"Napkin Hs"</formula>
    </cfRule>
    <cfRule type="cellIs" dxfId="26064" priority="11089" stopIfTrue="1" operator="equal">
      <formula>"Towel"</formula>
    </cfRule>
    <cfRule type="cellIs" dxfId="26063" priority="11090" stopIfTrue="1" operator="equal">
      <formula>"Napkin Hs"</formula>
    </cfRule>
    <cfRule type="cellIs" dxfId="26062" priority="11091" stopIfTrue="1" operator="equal">
      <formula>"Towel"</formula>
    </cfRule>
    <cfRule type="cellIs" dxfId="26061" priority="11092" stopIfTrue="1" operator="equal">
      <formula>"Napkin Hs"</formula>
    </cfRule>
    <cfRule type="cellIs" dxfId="26060" priority="11097" stopIfTrue="1" operator="equal">
      <formula>"Towel"</formula>
    </cfRule>
    <cfRule type="cellIs" dxfId="26059" priority="11098" stopIfTrue="1" operator="equal">
      <formula>"Napkin Hs"</formula>
    </cfRule>
    <cfRule type="cellIs" dxfId="26058" priority="11099" stopIfTrue="1" operator="equal">
      <formula>"Towel"</formula>
    </cfRule>
    <cfRule type="cellIs" dxfId="26057" priority="11100" stopIfTrue="1" operator="equal">
      <formula>"Napkin Hs"</formula>
    </cfRule>
    <cfRule type="cellIs" dxfId="26056" priority="11103" stopIfTrue="1" operator="equal">
      <formula>"Towel"</formula>
    </cfRule>
    <cfRule type="cellIs" dxfId="26055" priority="11104" stopIfTrue="1" operator="equal">
      <formula>"Napkin Hs"</formula>
    </cfRule>
    <cfRule type="cellIs" dxfId="26054" priority="11105" stopIfTrue="1" operator="equal">
      <formula>"Towel"</formula>
    </cfRule>
    <cfRule type="cellIs" dxfId="26053" priority="11106" stopIfTrue="1" operator="equal">
      <formula>"Napkin Hs"</formula>
    </cfRule>
    <cfRule type="cellIs" dxfId="26052" priority="11107" stopIfTrue="1" operator="equal">
      <formula>"Towel"</formula>
    </cfRule>
    <cfRule type="cellIs" dxfId="26051" priority="11108" stopIfTrue="1" operator="equal">
      <formula>"Napkin Hs"</formula>
    </cfRule>
    <cfRule type="cellIs" dxfId="26050" priority="11109" stopIfTrue="1" operator="equal">
      <formula>"Towel"</formula>
    </cfRule>
    <cfRule type="cellIs" dxfId="26049" priority="11110" stopIfTrue="1" operator="equal">
      <formula>"Napkin Hs"</formula>
    </cfRule>
    <cfRule type="cellIs" dxfId="26048" priority="11115" stopIfTrue="1" operator="equal">
      <formula>"Towel"</formula>
    </cfRule>
    <cfRule type="cellIs" dxfId="26047" priority="11116" stopIfTrue="1" operator="equal">
      <formula>"Napkin Hs"</formula>
    </cfRule>
    <cfRule type="cellIs" dxfId="26046" priority="11117" stopIfTrue="1" operator="equal">
      <formula>"Towel"</formula>
    </cfRule>
    <cfRule type="cellIs" dxfId="26045" priority="11118" stopIfTrue="1" operator="equal">
      <formula>"Napkin Hs"</formula>
    </cfRule>
    <cfRule type="cellIs" dxfId="26044" priority="11121" stopIfTrue="1" operator="equal">
      <formula>"Towel"</formula>
    </cfRule>
    <cfRule type="cellIs" dxfId="26043" priority="11122" stopIfTrue="1" operator="equal">
      <formula>"Napkin Hs"</formula>
    </cfRule>
    <cfRule type="cellIs" dxfId="26042" priority="11123" stopIfTrue="1" operator="equal">
      <formula>"Towel"</formula>
    </cfRule>
    <cfRule type="cellIs" dxfId="26041" priority="11124" stopIfTrue="1" operator="equal">
      <formula>"Napkin Hs"</formula>
    </cfRule>
  </conditionalFormatting>
  <conditionalFormatting sqref="C70">
    <cfRule type="cellIs" dxfId="26040" priority="11028" stopIfTrue="1" operator="equal">
      <formula>"Napkin Hs"</formula>
    </cfRule>
  </conditionalFormatting>
  <conditionalFormatting sqref="C70">
    <cfRule type="cellIs" dxfId="26039" priority="11027" stopIfTrue="1" operator="equal">
      <formula>"Napkin Hs"</formula>
    </cfRule>
  </conditionalFormatting>
  <conditionalFormatting sqref="C70">
    <cfRule type="cellIs" dxfId="26038" priority="11026" stopIfTrue="1" operator="equal">
      <formula>"Napkin Hs"</formula>
    </cfRule>
  </conditionalFormatting>
  <conditionalFormatting sqref="C70">
    <cfRule type="cellIs" dxfId="26037" priority="11025" stopIfTrue="1" operator="equal">
      <formula>"Napkin Hs"</formula>
    </cfRule>
  </conditionalFormatting>
  <conditionalFormatting sqref="C70">
    <cfRule type="cellIs" dxfId="26036" priority="11024" stopIfTrue="1" operator="equal">
      <formula>"Napkin Hs"</formula>
    </cfRule>
  </conditionalFormatting>
  <conditionalFormatting sqref="C70">
    <cfRule type="cellIs" dxfId="26035" priority="11023" stopIfTrue="1" operator="equal">
      <formula>"Napkin Hs"</formula>
    </cfRule>
  </conditionalFormatting>
  <conditionalFormatting sqref="C70">
    <cfRule type="cellIs" dxfId="26034" priority="11019" stopIfTrue="1" operator="equal">
      <formula>"Towel"</formula>
    </cfRule>
    <cfRule type="cellIs" dxfId="26033" priority="11020" stopIfTrue="1" operator="equal">
      <formula>"Napkin Hs"</formula>
    </cfRule>
  </conditionalFormatting>
  <conditionalFormatting sqref="C70">
    <cfRule type="cellIs" dxfId="26032" priority="11021" stopIfTrue="1" operator="equal">
      <formula>"Towel"</formula>
    </cfRule>
    <cfRule type="cellIs" dxfId="26031" priority="11022" stopIfTrue="1" operator="equal">
      <formula>"Napkin Hs"</formula>
    </cfRule>
  </conditionalFormatting>
  <conditionalFormatting sqref="C70">
    <cfRule type="cellIs" dxfId="26030" priority="11015" stopIfTrue="1" operator="equal">
      <formula>"Towel"</formula>
    </cfRule>
    <cfRule type="cellIs" dxfId="26029" priority="11016" stopIfTrue="1" operator="equal">
      <formula>"Napkin Hs"</formula>
    </cfRule>
  </conditionalFormatting>
  <conditionalFormatting sqref="C70">
    <cfRule type="cellIs" dxfId="26028" priority="11017" stopIfTrue="1" operator="equal">
      <formula>"Towel"</formula>
    </cfRule>
    <cfRule type="cellIs" dxfId="26027" priority="11018" stopIfTrue="1" operator="equal">
      <formula>"Napkin Hs"</formula>
    </cfRule>
  </conditionalFormatting>
  <conditionalFormatting sqref="B70">
    <cfRule type="cellIs" dxfId="26026" priority="11013" stopIfTrue="1" operator="equal">
      <formula>"Towel"</formula>
    </cfRule>
    <cfRule type="cellIs" dxfId="26025" priority="11014" stopIfTrue="1" operator="equal">
      <formula>"Napkin Hs"</formula>
    </cfRule>
  </conditionalFormatting>
  <conditionalFormatting sqref="B70">
    <cfRule type="cellIs" dxfId="26024" priority="11011" stopIfTrue="1" operator="equal">
      <formula>"Towel"</formula>
    </cfRule>
    <cfRule type="cellIs" dxfId="26023" priority="11012" stopIfTrue="1" operator="equal">
      <formula>"Napkin Hs"</formula>
    </cfRule>
  </conditionalFormatting>
  <conditionalFormatting sqref="B70">
    <cfRule type="cellIs" dxfId="26022" priority="11009" stopIfTrue="1" operator="equal">
      <formula>"Towel"</formula>
    </cfRule>
    <cfRule type="cellIs" dxfId="26021" priority="11010" stopIfTrue="1" operator="equal">
      <formula>"Napkin Hs"</formula>
    </cfRule>
  </conditionalFormatting>
  <conditionalFormatting sqref="B70">
    <cfRule type="cellIs" dxfId="26020" priority="11001" stopIfTrue="1" operator="equal">
      <formula>"Towel"</formula>
    </cfRule>
  </conditionalFormatting>
  <conditionalFormatting sqref="B70">
    <cfRule type="cellIs" dxfId="26019" priority="11002" stopIfTrue="1" operator="equal">
      <formula>"Napkin Hs"</formula>
    </cfRule>
    <cfRule type="cellIs" dxfId="26018" priority="11003" stopIfTrue="1" operator="equal">
      <formula>"Towel"</formula>
    </cfRule>
    <cfRule type="cellIs" dxfId="26017" priority="11004" stopIfTrue="1" operator="equal">
      <formula>"Napkin Hs"</formula>
    </cfRule>
    <cfRule type="cellIs" dxfId="26016" priority="11005" stopIfTrue="1" operator="equal">
      <formula>"Towel"</formula>
    </cfRule>
    <cfRule type="cellIs" dxfId="26015" priority="11006" stopIfTrue="1" operator="equal">
      <formula>"Napkin Hs"</formula>
    </cfRule>
    <cfRule type="cellIs" dxfId="26014" priority="11007" stopIfTrue="1" operator="equal">
      <formula>"Towel"</formula>
    </cfRule>
    <cfRule type="cellIs" dxfId="26013" priority="11008" stopIfTrue="1" operator="equal">
      <formula>"Napkin Hs"</formula>
    </cfRule>
  </conditionalFormatting>
  <conditionalFormatting sqref="B70">
    <cfRule type="cellIs" dxfId="26012" priority="10999" stopIfTrue="1" operator="equal">
      <formula>"Towel"</formula>
    </cfRule>
    <cfRule type="cellIs" dxfId="26011" priority="11000" stopIfTrue="1" operator="equal">
      <formula>"Napkin Hs"</formula>
    </cfRule>
  </conditionalFormatting>
  <conditionalFormatting sqref="B70">
    <cfRule type="cellIs" dxfId="26010" priority="10968" stopIfTrue="1" operator="equal">
      <formula>"Napkin Hs"</formula>
    </cfRule>
  </conditionalFormatting>
  <conditionalFormatting sqref="B70">
    <cfRule type="cellIs" dxfId="26009" priority="10967" stopIfTrue="1" operator="equal">
      <formula>"Towel"</formula>
    </cfRule>
  </conditionalFormatting>
  <conditionalFormatting sqref="B70">
    <cfRule type="cellIs" dxfId="26008" priority="10969" stopIfTrue="1" operator="equal">
      <formula>"Towel"</formula>
    </cfRule>
    <cfRule type="cellIs" dxfId="26007" priority="10970" stopIfTrue="1" operator="equal">
      <formula>"Napkin Hs"</formula>
    </cfRule>
    <cfRule type="cellIs" dxfId="26006" priority="10971" stopIfTrue="1" operator="equal">
      <formula>"Towel"</formula>
    </cfRule>
    <cfRule type="cellIs" dxfId="26005" priority="10972" stopIfTrue="1" operator="equal">
      <formula>"Napkin Hs"</formula>
    </cfRule>
    <cfRule type="cellIs" dxfId="26004" priority="10973" stopIfTrue="1" operator="equal">
      <formula>"Towel"</formula>
    </cfRule>
    <cfRule type="cellIs" dxfId="26003" priority="10974" stopIfTrue="1" operator="equal">
      <formula>"Napkin Hs"</formula>
    </cfRule>
    <cfRule type="cellIs" dxfId="26002" priority="10975" stopIfTrue="1" operator="equal">
      <formula>"Towel"</formula>
    </cfRule>
    <cfRule type="cellIs" dxfId="26001" priority="10976" stopIfTrue="1" operator="equal">
      <formula>"Napkin Hs"</formula>
    </cfRule>
    <cfRule type="cellIs" dxfId="26000" priority="10977" stopIfTrue="1" operator="equal">
      <formula>"Towel"</formula>
    </cfRule>
    <cfRule type="cellIs" dxfId="25999" priority="10978" stopIfTrue="1" operator="equal">
      <formula>"Napkin Hs"</formula>
    </cfRule>
    <cfRule type="cellIs" dxfId="25998" priority="10979" stopIfTrue="1" operator="equal">
      <formula>"Towel"</formula>
    </cfRule>
    <cfRule type="cellIs" dxfId="25997" priority="10980" stopIfTrue="1" operator="equal">
      <formula>"Napkin Hs"</formula>
    </cfRule>
    <cfRule type="cellIs" dxfId="25996" priority="10981" stopIfTrue="1" operator="equal">
      <formula>"Towel"</formula>
    </cfRule>
    <cfRule type="cellIs" dxfId="25995" priority="10982" stopIfTrue="1" operator="equal">
      <formula>"Napkin Hs"</formula>
    </cfRule>
    <cfRule type="cellIs" dxfId="25994" priority="10983" stopIfTrue="1" operator="equal">
      <formula>"Towel"</formula>
    </cfRule>
    <cfRule type="cellIs" dxfId="25993" priority="10984" stopIfTrue="1" operator="equal">
      <formula>"Napkin Hs"</formula>
    </cfRule>
    <cfRule type="cellIs" dxfId="25992" priority="10985" stopIfTrue="1" operator="equal">
      <formula>"Towel"</formula>
    </cfRule>
    <cfRule type="cellIs" dxfId="25991" priority="10986" stopIfTrue="1" operator="equal">
      <formula>"Napkin Hs"</formula>
    </cfRule>
    <cfRule type="cellIs" dxfId="25990" priority="10987" stopIfTrue="1" operator="equal">
      <formula>"Towel"</formula>
    </cfRule>
    <cfRule type="cellIs" dxfId="25989" priority="10988" stopIfTrue="1" operator="equal">
      <formula>"Napkin Hs"</formula>
    </cfRule>
    <cfRule type="cellIs" dxfId="25988" priority="10989" stopIfTrue="1" operator="equal">
      <formula>"Towel"</formula>
    </cfRule>
    <cfRule type="cellIs" dxfId="25987" priority="10990" stopIfTrue="1" operator="equal">
      <formula>"Napkin Hs"</formula>
    </cfRule>
    <cfRule type="cellIs" dxfId="25986" priority="10991" stopIfTrue="1" operator="equal">
      <formula>"Towel"</formula>
    </cfRule>
    <cfRule type="cellIs" dxfId="25985" priority="10992" stopIfTrue="1" operator="equal">
      <formula>"Napkin Hs"</formula>
    </cfRule>
    <cfRule type="cellIs" dxfId="25984" priority="10993" stopIfTrue="1" operator="equal">
      <formula>"Towel"</formula>
    </cfRule>
    <cfRule type="cellIs" dxfId="25983" priority="10994" stopIfTrue="1" operator="equal">
      <formula>"Napkin Hs"</formula>
    </cfRule>
    <cfRule type="cellIs" dxfId="25982" priority="10995" stopIfTrue="1" operator="equal">
      <formula>"Towel"</formula>
    </cfRule>
    <cfRule type="cellIs" dxfId="25981" priority="10996" stopIfTrue="1" operator="equal">
      <formula>"Napkin Hs"</formula>
    </cfRule>
    <cfRule type="cellIs" dxfId="25980" priority="10998" stopIfTrue="1" operator="equal">
      <formula>"Napkin Hs"</formula>
    </cfRule>
  </conditionalFormatting>
  <conditionalFormatting sqref="B70">
    <cfRule type="cellIs" dxfId="25979" priority="10997" stopIfTrue="1" operator="equal">
      <formula>"Towel"</formula>
    </cfRule>
  </conditionalFormatting>
  <conditionalFormatting sqref="B70">
    <cfRule type="cellIs" dxfId="25978" priority="10966" stopIfTrue="1" operator="equal">
      <formula>"Napkin Hs"</formula>
    </cfRule>
  </conditionalFormatting>
  <conditionalFormatting sqref="B70">
    <cfRule type="cellIs" dxfId="25977" priority="10965" stopIfTrue="1" operator="equal">
      <formula>"Napkin Hs"</formula>
    </cfRule>
  </conditionalFormatting>
  <conditionalFormatting sqref="B70">
    <cfRule type="cellIs" dxfId="25976" priority="10964" stopIfTrue="1" operator="equal">
      <formula>"Napkin Hs"</formula>
    </cfRule>
  </conditionalFormatting>
  <conditionalFormatting sqref="C76:C77">
    <cfRule type="cellIs" dxfId="25975" priority="10960" stopIfTrue="1" operator="equal">
      <formula>"Towel"</formula>
    </cfRule>
    <cfRule type="cellIs" dxfId="25974" priority="10961" stopIfTrue="1" operator="equal">
      <formula>"Napkin Hs"</formula>
    </cfRule>
  </conditionalFormatting>
  <conditionalFormatting sqref="C76:C77">
    <cfRule type="cellIs" dxfId="25973" priority="10962" stopIfTrue="1" operator="equal">
      <formula>"Towel"</formula>
    </cfRule>
    <cfRule type="cellIs" dxfId="25972" priority="10963" stopIfTrue="1" operator="equal">
      <formula>"Napkin Hs"</formula>
    </cfRule>
  </conditionalFormatting>
  <conditionalFormatting sqref="C76:C77">
    <cfRule type="cellIs" dxfId="25971" priority="10958" stopIfTrue="1" operator="equal">
      <formula>"Towel"</formula>
    </cfRule>
    <cfRule type="cellIs" dxfId="25970" priority="10959" stopIfTrue="1" operator="equal">
      <formula>"Napkin Hs"</formula>
    </cfRule>
  </conditionalFormatting>
  <conditionalFormatting sqref="B76:B77">
    <cfRule type="cellIs" dxfId="25969" priority="10956" stopIfTrue="1" operator="equal">
      <formula>"Towel"</formula>
    </cfRule>
    <cfRule type="cellIs" dxfId="25968" priority="10957" stopIfTrue="1" operator="equal">
      <formula>"Napkin Hs"</formula>
    </cfRule>
  </conditionalFormatting>
  <conditionalFormatting sqref="C76:C77">
    <cfRule type="cellIs" dxfId="25967" priority="10950" stopIfTrue="1" operator="equal">
      <formula>"Towel"</formula>
    </cfRule>
    <cfRule type="cellIs" dxfId="25966" priority="10951" stopIfTrue="1" operator="equal">
      <formula>"Napkin Hs"</formula>
    </cfRule>
  </conditionalFormatting>
  <conditionalFormatting sqref="C76:C77">
    <cfRule type="cellIs" dxfId="25965" priority="10954" stopIfTrue="1" operator="equal">
      <formula>"Towel"</formula>
    </cfRule>
    <cfRule type="cellIs" dxfId="25964" priority="10955" stopIfTrue="1" operator="equal">
      <formula>"Napkin Hs"</formula>
    </cfRule>
  </conditionalFormatting>
  <conditionalFormatting sqref="C76:C77">
    <cfRule type="cellIs" dxfId="25963" priority="10952" stopIfTrue="1" operator="equal">
      <formula>"Towel"</formula>
    </cfRule>
    <cfRule type="cellIs" dxfId="25962" priority="10953" stopIfTrue="1" operator="equal">
      <formula>"Napkin Hs"</formula>
    </cfRule>
  </conditionalFormatting>
  <conditionalFormatting sqref="C76:C77">
    <cfRule type="cellIs" dxfId="25961" priority="10944" stopIfTrue="1" operator="equal">
      <formula>"Towel"</formula>
    </cfRule>
    <cfRule type="cellIs" dxfId="25960" priority="10945" stopIfTrue="1" operator="equal">
      <formula>"Napkin Hs"</formula>
    </cfRule>
  </conditionalFormatting>
  <conditionalFormatting sqref="C76:C77">
    <cfRule type="cellIs" dxfId="25959" priority="10946" stopIfTrue="1" operator="equal">
      <formula>"Towel"</formula>
    </cfRule>
    <cfRule type="cellIs" dxfId="25958" priority="10947" stopIfTrue="1" operator="equal">
      <formula>"Napkin Hs"</formula>
    </cfRule>
  </conditionalFormatting>
  <conditionalFormatting sqref="C76:C77">
    <cfRule type="cellIs" dxfId="25957" priority="10948" stopIfTrue="1" operator="equal">
      <formula>"Towel"</formula>
    </cfRule>
    <cfRule type="cellIs" dxfId="25956" priority="10949" stopIfTrue="1" operator="equal">
      <formula>"Napkin Hs"</formula>
    </cfRule>
  </conditionalFormatting>
  <conditionalFormatting sqref="B76:C77">
    <cfRule type="cellIs" dxfId="25955" priority="10942" stopIfTrue="1" operator="equal">
      <formula>"Towel"</formula>
    </cfRule>
    <cfRule type="cellIs" dxfId="25954" priority="10943" stopIfTrue="1" operator="equal">
      <formula>"Napkin Hs"</formula>
    </cfRule>
  </conditionalFormatting>
  <conditionalFormatting sqref="B76:C77">
    <cfRule type="cellIs" dxfId="25953" priority="10940" stopIfTrue="1" operator="equal">
      <formula>"Towel"</formula>
    </cfRule>
    <cfRule type="cellIs" dxfId="25952" priority="10941" stopIfTrue="1" operator="equal">
      <formula>"Napkin Hs"</formula>
    </cfRule>
  </conditionalFormatting>
  <conditionalFormatting sqref="B76:C77">
    <cfRule type="cellIs" dxfId="25951" priority="10916" stopIfTrue="1" operator="equal">
      <formula>"Towel"</formula>
    </cfRule>
  </conditionalFormatting>
  <conditionalFormatting sqref="B76:C77">
    <cfRule type="cellIs" dxfId="25950" priority="10917" stopIfTrue="1" operator="equal">
      <formula>"Napkin Hs"</formula>
    </cfRule>
    <cfRule type="cellIs" dxfId="25949" priority="10922" stopIfTrue="1" operator="equal">
      <formula>"Towel"</formula>
    </cfRule>
    <cfRule type="cellIs" dxfId="25948" priority="10923" stopIfTrue="1" operator="equal">
      <formula>"Napkin Hs"</formula>
    </cfRule>
    <cfRule type="cellIs" dxfId="25947" priority="10932" stopIfTrue="1" operator="equal">
      <formula>"Towel"</formula>
    </cfRule>
    <cfRule type="cellIs" dxfId="25946" priority="10933" stopIfTrue="1" operator="equal">
      <formula>"Napkin Hs"</formula>
    </cfRule>
    <cfRule type="cellIs" dxfId="25945" priority="10938" stopIfTrue="1" operator="equal">
      <formula>"Towel"</formula>
    </cfRule>
    <cfRule type="cellIs" dxfId="25944" priority="10939" stopIfTrue="1" operator="equal">
      <formula>"Napkin Hs"</formula>
    </cfRule>
  </conditionalFormatting>
  <conditionalFormatting sqref="C76:C77">
    <cfRule type="cellIs" dxfId="25943" priority="10918" stopIfTrue="1" operator="equal">
      <formula>"Towel"</formula>
    </cfRule>
    <cfRule type="cellIs" dxfId="25942" priority="10919" stopIfTrue="1" operator="equal">
      <formula>"Napkin Hs"</formula>
    </cfRule>
    <cfRule type="cellIs" dxfId="25941" priority="10920" stopIfTrue="1" operator="equal">
      <formula>"Towel"</formula>
    </cfRule>
    <cfRule type="cellIs" dxfId="25940" priority="10921" stopIfTrue="1" operator="equal">
      <formula>"Napkin Hs"</formula>
    </cfRule>
    <cfRule type="cellIs" dxfId="25939" priority="10924" stopIfTrue="1" operator="equal">
      <formula>"Towel"</formula>
    </cfRule>
    <cfRule type="cellIs" dxfId="25938" priority="10925" stopIfTrue="1" operator="equal">
      <formula>"Napkin Hs"</formula>
    </cfRule>
    <cfRule type="cellIs" dxfId="25937" priority="10926" stopIfTrue="1" operator="equal">
      <formula>"Towel"</formula>
    </cfRule>
    <cfRule type="cellIs" dxfId="25936" priority="10927" stopIfTrue="1" operator="equal">
      <formula>"Napkin Hs"</formula>
    </cfRule>
    <cfRule type="cellIs" dxfId="25935" priority="10928" stopIfTrue="1" operator="equal">
      <formula>"Towel"</formula>
    </cfRule>
    <cfRule type="cellIs" dxfId="25934" priority="10929" stopIfTrue="1" operator="equal">
      <formula>"Napkin Hs"</formula>
    </cfRule>
    <cfRule type="cellIs" dxfId="25933" priority="10930" stopIfTrue="1" operator="equal">
      <formula>"Towel"</formula>
    </cfRule>
    <cfRule type="cellIs" dxfId="25932" priority="10931" stopIfTrue="1" operator="equal">
      <formula>"Napkin Hs"</formula>
    </cfRule>
    <cfRule type="cellIs" dxfId="25931" priority="10934" stopIfTrue="1" operator="equal">
      <formula>"Towel"</formula>
    </cfRule>
    <cfRule type="cellIs" dxfId="25930" priority="10935" stopIfTrue="1" operator="equal">
      <formula>"Napkin Hs"</formula>
    </cfRule>
    <cfRule type="cellIs" dxfId="25929" priority="10937" stopIfTrue="1" operator="equal">
      <formula>"Napkin Hs"</formula>
    </cfRule>
  </conditionalFormatting>
  <conditionalFormatting sqref="C76:C77">
    <cfRule type="cellIs" dxfId="25928" priority="10936" stopIfTrue="1" operator="equal">
      <formula>"Towel"</formula>
    </cfRule>
  </conditionalFormatting>
  <conditionalFormatting sqref="B76:C77">
    <cfRule type="cellIs" dxfId="25927" priority="10914" stopIfTrue="1" operator="equal">
      <formula>"Towel"</formula>
    </cfRule>
    <cfRule type="cellIs" dxfId="25926" priority="10915" stopIfTrue="1" operator="equal">
      <formula>"Napkin Hs"</formula>
    </cfRule>
  </conditionalFormatting>
  <conditionalFormatting sqref="C76:C77">
    <cfRule type="cellIs" dxfId="25925" priority="10913" stopIfTrue="1" operator="equal">
      <formula>"Napkin Hs"</formula>
    </cfRule>
  </conditionalFormatting>
  <conditionalFormatting sqref="C76:C77">
    <cfRule type="cellIs" dxfId="25924" priority="10912" stopIfTrue="1" operator="equal">
      <formula>"Towel"</formula>
    </cfRule>
  </conditionalFormatting>
  <conditionalFormatting sqref="C76:C77">
    <cfRule type="cellIs" dxfId="25923" priority="10910" stopIfTrue="1" operator="equal">
      <formula>"Towel"</formula>
    </cfRule>
  </conditionalFormatting>
  <conditionalFormatting sqref="C76:C77">
    <cfRule type="cellIs" dxfId="25922" priority="10911" stopIfTrue="1" operator="equal">
      <formula>"Napkin Hs"</formula>
    </cfRule>
  </conditionalFormatting>
  <conditionalFormatting sqref="B76:B77">
    <cfRule type="cellIs" dxfId="25921" priority="10814" stopIfTrue="1" operator="equal">
      <formula>"Napkin Hs"</formula>
    </cfRule>
  </conditionalFormatting>
  <conditionalFormatting sqref="B76:C77">
    <cfRule type="cellIs" dxfId="25920" priority="10813" stopIfTrue="1" operator="equal">
      <formula>"Towel"</formula>
    </cfRule>
  </conditionalFormatting>
  <conditionalFormatting sqref="B76:C77">
    <cfRule type="cellIs" dxfId="25919" priority="10824" stopIfTrue="1" operator="equal">
      <formula>"Towel"</formula>
    </cfRule>
    <cfRule type="cellIs" dxfId="25918" priority="10825" stopIfTrue="1" operator="equal">
      <formula>"Napkin Hs"</formula>
    </cfRule>
    <cfRule type="cellIs" dxfId="25917" priority="10830" stopIfTrue="1" operator="equal">
      <formula>"Towel"</formula>
    </cfRule>
    <cfRule type="cellIs" dxfId="25916" priority="10831" stopIfTrue="1" operator="equal">
      <formula>"Napkin Hs"</formula>
    </cfRule>
    <cfRule type="cellIs" dxfId="25915" priority="10836" stopIfTrue="1" operator="equal">
      <formula>"Towel"</formula>
    </cfRule>
    <cfRule type="cellIs" dxfId="25914" priority="10837" stopIfTrue="1" operator="equal">
      <formula>"Napkin Hs"</formula>
    </cfRule>
    <cfRule type="cellIs" dxfId="25913" priority="10838" stopIfTrue="1" operator="equal">
      <formula>"Towel"</formula>
    </cfRule>
    <cfRule type="cellIs" dxfId="25912" priority="10839" stopIfTrue="1" operator="equal">
      <formula>"Napkin Hs"</formula>
    </cfRule>
    <cfRule type="cellIs" dxfId="25911" priority="10844" stopIfTrue="1" operator="equal">
      <formula>"Towel"</formula>
    </cfRule>
    <cfRule type="cellIs" dxfId="25910" priority="10845" stopIfTrue="1" operator="equal">
      <formula>"Napkin Hs"</formula>
    </cfRule>
    <cfRule type="cellIs" dxfId="25909" priority="10854" stopIfTrue="1" operator="equal">
      <formula>"Towel"</formula>
    </cfRule>
    <cfRule type="cellIs" dxfId="25908" priority="10855" stopIfTrue="1" operator="equal">
      <formula>"Napkin Hs"</formula>
    </cfRule>
    <cfRule type="cellIs" dxfId="25907" priority="10860" stopIfTrue="1" operator="equal">
      <formula>"Towel"</formula>
    </cfRule>
    <cfRule type="cellIs" dxfId="25906" priority="10861" stopIfTrue="1" operator="equal">
      <formula>"Napkin Hs"</formula>
    </cfRule>
    <cfRule type="cellIs" dxfId="25905" priority="10862" stopIfTrue="1" operator="equal">
      <formula>"Towel"</formula>
    </cfRule>
    <cfRule type="cellIs" dxfId="25904" priority="10863" stopIfTrue="1" operator="equal">
      <formula>"Napkin Hs"</formula>
    </cfRule>
    <cfRule type="cellIs" dxfId="25903" priority="10868" stopIfTrue="1" operator="equal">
      <formula>"Towel"</formula>
    </cfRule>
    <cfRule type="cellIs" dxfId="25902" priority="10869" stopIfTrue="1" operator="equal">
      <formula>"Napkin Hs"</formula>
    </cfRule>
    <cfRule type="cellIs" dxfId="25901" priority="10878" stopIfTrue="1" operator="equal">
      <formula>"Towel"</formula>
    </cfRule>
    <cfRule type="cellIs" dxfId="25900" priority="10879" stopIfTrue="1" operator="equal">
      <formula>"Napkin Hs"</formula>
    </cfRule>
    <cfRule type="cellIs" dxfId="25899" priority="10880" stopIfTrue="1" operator="equal">
      <formula>"Towel"</formula>
    </cfRule>
    <cfRule type="cellIs" dxfId="25898" priority="10881" stopIfTrue="1" operator="equal">
      <formula>"Napkin Hs"</formula>
    </cfRule>
    <cfRule type="cellIs" dxfId="25897" priority="10886" stopIfTrue="1" operator="equal">
      <formula>"Towel"</formula>
    </cfRule>
    <cfRule type="cellIs" dxfId="25896" priority="10887" stopIfTrue="1" operator="equal">
      <formula>"Napkin Hs"</formula>
    </cfRule>
    <cfRule type="cellIs" dxfId="25895" priority="10896" stopIfTrue="1" operator="equal">
      <formula>"Towel"</formula>
    </cfRule>
    <cfRule type="cellIs" dxfId="25894" priority="10897" stopIfTrue="1" operator="equal">
      <formula>"Napkin Hs"</formula>
    </cfRule>
    <cfRule type="cellIs" dxfId="25893" priority="10898" stopIfTrue="1" operator="equal">
      <formula>"Towel"</formula>
    </cfRule>
    <cfRule type="cellIs" dxfId="25892" priority="10899" stopIfTrue="1" operator="equal">
      <formula>"Napkin Hs"</formula>
    </cfRule>
    <cfRule type="cellIs" dxfId="25891" priority="10905" stopIfTrue="1" operator="equal">
      <formula>"Napkin Hs"</formula>
    </cfRule>
  </conditionalFormatting>
  <conditionalFormatting sqref="B76:C77">
    <cfRule type="cellIs" dxfId="25890" priority="10904" stopIfTrue="1" operator="equal">
      <formula>"Towel"</formula>
    </cfRule>
  </conditionalFormatting>
  <conditionalFormatting sqref="C76:C77">
    <cfRule type="cellIs" dxfId="25889" priority="10815" stopIfTrue="1" operator="equal">
      <formula>"Napkin Hs"</formula>
    </cfRule>
    <cfRule type="cellIs" dxfId="25888" priority="10816" stopIfTrue="1" operator="equal">
      <formula>"Towel"</formula>
    </cfRule>
    <cfRule type="cellIs" dxfId="25887" priority="10817" stopIfTrue="1" operator="equal">
      <formula>"Napkin Hs"</formula>
    </cfRule>
    <cfRule type="cellIs" dxfId="25886" priority="10818" stopIfTrue="1" operator="equal">
      <formula>"Towel"</formula>
    </cfRule>
    <cfRule type="cellIs" dxfId="25885" priority="10819" stopIfTrue="1" operator="equal">
      <formula>"Napkin Hs"</formula>
    </cfRule>
    <cfRule type="cellIs" dxfId="25884" priority="10820" stopIfTrue="1" operator="equal">
      <formula>"Towel"</formula>
    </cfRule>
    <cfRule type="cellIs" dxfId="25883" priority="10821" stopIfTrue="1" operator="equal">
      <formula>"Napkin Hs"</formula>
    </cfRule>
    <cfRule type="cellIs" dxfId="25882" priority="10822" stopIfTrue="1" operator="equal">
      <formula>"Towel"</formula>
    </cfRule>
    <cfRule type="cellIs" dxfId="25881" priority="10823" stopIfTrue="1" operator="equal">
      <formula>"Napkin Hs"</formula>
    </cfRule>
    <cfRule type="cellIs" dxfId="25880" priority="10826" stopIfTrue="1" operator="equal">
      <formula>"Towel"</formula>
    </cfRule>
    <cfRule type="cellIs" dxfId="25879" priority="10827" stopIfTrue="1" operator="equal">
      <formula>"Napkin Hs"</formula>
    </cfRule>
    <cfRule type="cellIs" dxfId="25878" priority="10828" stopIfTrue="1" operator="equal">
      <formula>"Towel"</formula>
    </cfRule>
    <cfRule type="cellIs" dxfId="25877" priority="10829" stopIfTrue="1" operator="equal">
      <formula>"Napkin Hs"</formula>
    </cfRule>
    <cfRule type="cellIs" dxfId="25876" priority="10832" stopIfTrue="1" operator="equal">
      <formula>"Towel"</formula>
    </cfRule>
    <cfRule type="cellIs" dxfId="25875" priority="10833" stopIfTrue="1" operator="equal">
      <formula>"Napkin Hs"</formula>
    </cfRule>
    <cfRule type="cellIs" dxfId="25874" priority="10834" stopIfTrue="1" operator="equal">
      <formula>"Towel"</formula>
    </cfRule>
    <cfRule type="cellIs" dxfId="25873" priority="10835" stopIfTrue="1" operator="equal">
      <formula>"Napkin Hs"</formula>
    </cfRule>
    <cfRule type="cellIs" dxfId="25872" priority="10840" stopIfTrue="1" operator="equal">
      <formula>"Towel"</formula>
    </cfRule>
    <cfRule type="cellIs" dxfId="25871" priority="10841" stopIfTrue="1" operator="equal">
      <formula>"Napkin Hs"</formula>
    </cfRule>
    <cfRule type="cellIs" dxfId="25870" priority="10842" stopIfTrue="1" operator="equal">
      <formula>"Towel"</formula>
    </cfRule>
    <cfRule type="cellIs" dxfId="25869" priority="10843" stopIfTrue="1" operator="equal">
      <formula>"Napkin Hs"</formula>
    </cfRule>
    <cfRule type="cellIs" dxfId="25868" priority="10846" stopIfTrue="1" operator="equal">
      <formula>"Towel"</formula>
    </cfRule>
    <cfRule type="cellIs" dxfId="25867" priority="10847" stopIfTrue="1" operator="equal">
      <formula>"Napkin Hs"</formula>
    </cfRule>
    <cfRule type="cellIs" dxfId="25866" priority="10848" stopIfTrue="1" operator="equal">
      <formula>"Towel"</formula>
    </cfRule>
    <cfRule type="cellIs" dxfId="25865" priority="10849" stopIfTrue="1" operator="equal">
      <formula>"Napkin Hs"</formula>
    </cfRule>
    <cfRule type="cellIs" dxfId="25864" priority="10850" stopIfTrue="1" operator="equal">
      <formula>"Towel"</formula>
    </cfRule>
    <cfRule type="cellIs" dxfId="25863" priority="10851" stopIfTrue="1" operator="equal">
      <formula>"Napkin Hs"</formula>
    </cfRule>
    <cfRule type="cellIs" dxfId="25862" priority="10852" stopIfTrue="1" operator="equal">
      <formula>"Towel"</formula>
    </cfRule>
    <cfRule type="cellIs" dxfId="25861" priority="10853" stopIfTrue="1" operator="equal">
      <formula>"Napkin Hs"</formula>
    </cfRule>
    <cfRule type="cellIs" dxfId="25860" priority="10856" stopIfTrue="1" operator="equal">
      <formula>"Towel"</formula>
    </cfRule>
    <cfRule type="cellIs" dxfId="25859" priority="10857" stopIfTrue="1" operator="equal">
      <formula>"Napkin Hs"</formula>
    </cfRule>
    <cfRule type="cellIs" dxfId="25858" priority="10858" stopIfTrue="1" operator="equal">
      <formula>"Towel"</formula>
    </cfRule>
    <cfRule type="cellIs" dxfId="25857" priority="10859" stopIfTrue="1" operator="equal">
      <formula>"Napkin Hs"</formula>
    </cfRule>
    <cfRule type="cellIs" dxfId="25856" priority="10864" stopIfTrue="1" operator="equal">
      <formula>"Towel"</formula>
    </cfRule>
    <cfRule type="cellIs" dxfId="25855" priority="10865" stopIfTrue="1" operator="equal">
      <formula>"Napkin Hs"</formula>
    </cfRule>
    <cfRule type="cellIs" dxfId="25854" priority="10866" stopIfTrue="1" operator="equal">
      <formula>"Towel"</formula>
    </cfRule>
    <cfRule type="cellIs" dxfId="25853" priority="10867" stopIfTrue="1" operator="equal">
      <formula>"Napkin Hs"</formula>
    </cfRule>
    <cfRule type="cellIs" dxfId="25852" priority="10870" stopIfTrue="1" operator="equal">
      <formula>"Towel"</formula>
    </cfRule>
    <cfRule type="cellIs" dxfId="25851" priority="10871" stopIfTrue="1" operator="equal">
      <formula>"Napkin Hs"</formula>
    </cfRule>
    <cfRule type="cellIs" dxfId="25850" priority="10872" stopIfTrue="1" operator="equal">
      <formula>"Towel"</formula>
    </cfRule>
    <cfRule type="cellIs" dxfId="25849" priority="10873" stopIfTrue="1" operator="equal">
      <formula>"Napkin Hs"</formula>
    </cfRule>
    <cfRule type="cellIs" dxfId="25848" priority="10874" stopIfTrue="1" operator="equal">
      <formula>"Towel"</formula>
    </cfRule>
    <cfRule type="cellIs" dxfId="25847" priority="10875" stopIfTrue="1" operator="equal">
      <formula>"Napkin Hs"</formula>
    </cfRule>
    <cfRule type="cellIs" dxfId="25846" priority="10876" stopIfTrue="1" operator="equal">
      <formula>"Towel"</formula>
    </cfRule>
    <cfRule type="cellIs" dxfId="25845" priority="10877" stopIfTrue="1" operator="equal">
      <formula>"Napkin Hs"</formula>
    </cfRule>
    <cfRule type="cellIs" dxfId="25844" priority="10882" stopIfTrue="1" operator="equal">
      <formula>"Towel"</formula>
    </cfRule>
    <cfRule type="cellIs" dxfId="25843" priority="10883" stopIfTrue="1" operator="equal">
      <formula>"Napkin Hs"</formula>
    </cfRule>
    <cfRule type="cellIs" dxfId="25842" priority="10884" stopIfTrue="1" operator="equal">
      <formula>"Towel"</formula>
    </cfRule>
    <cfRule type="cellIs" dxfId="25841" priority="10885" stopIfTrue="1" operator="equal">
      <formula>"Napkin Hs"</formula>
    </cfRule>
    <cfRule type="cellIs" dxfId="25840" priority="10888" stopIfTrue="1" operator="equal">
      <formula>"Towel"</formula>
    </cfRule>
    <cfRule type="cellIs" dxfId="25839" priority="10889" stopIfTrue="1" operator="equal">
      <formula>"Napkin Hs"</formula>
    </cfRule>
    <cfRule type="cellIs" dxfId="25838" priority="10890" stopIfTrue="1" operator="equal">
      <formula>"Towel"</formula>
    </cfRule>
    <cfRule type="cellIs" dxfId="25837" priority="10891" stopIfTrue="1" operator="equal">
      <formula>"Napkin Hs"</formula>
    </cfRule>
    <cfRule type="cellIs" dxfId="25836" priority="10892" stopIfTrue="1" operator="equal">
      <formula>"Towel"</formula>
    </cfRule>
    <cfRule type="cellIs" dxfId="25835" priority="10893" stopIfTrue="1" operator="equal">
      <formula>"Napkin Hs"</formula>
    </cfRule>
    <cfRule type="cellIs" dxfId="25834" priority="10894" stopIfTrue="1" operator="equal">
      <formula>"Towel"</formula>
    </cfRule>
    <cfRule type="cellIs" dxfId="25833" priority="10895" stopIfTrue="1" operator="equal">
      <formula>"Napkin Hs"</formula>
    </cfRule>
    <cfRule type="cellIs" dxfId="25832" priority="10900" stopIfTrue="1" operator="equal">
      <formula>"Towel"</formula>
    </cfRule>
    <cfRule type="cellIs" dxfId="25831" priority="10901" stopIfTrue="1" operator="equal">
      <formula>"Napkin Hs"</formula>
    </cfRule>
    <cfRule type="cellIs" dxfId="25830" priority="10902" stopIfTrue="1" operator="equal">
      <formula>"Towel"</formula>
    </cfRule>
    <cfRule type="cellIs" dxfId="25829" priority="10903" stopIfTrue="1" operator="equal">
      <formula>"Napkin Hs"</formula>
    </cfRule>
    <cfRule type="cellIs" dxfId="25828" priority="10906" stopIfTrue="1" operator="equal">
      <formula>"Towel"</formula>
    </cfRule>
    <cfRule type="cellIs" dxfId="25827" priority="10907" stopIfTrue="1" operator="equal">
      <formula>"Napkin Hs"</formula>
    </cfRule>
    <cfRule type="cellIs" dxfId="25826" priority="10908" stopIfTrue="1" operator="equal">
      <formula>"Towel"</formula>
    </cfRule>
    <cfRule type="cellIs" dxfId="25825" priority="10909" stopIfTrue="1" operator="equal">
      <formula>"Napkin Hs"</formula>
    </cfRule>
  </conditionalFormatting>
  <conditionalFormatting sqref="C76:C77">
    <cfRule type="cellIs" dxfId="25824" priority="10812" stopIfTrue="1" operator="equal">
      <formula>"Napkin Hs"</formula>
    </cfRule>
  </conditionalFormatting>
  <conditionalFormatting sqref="C76:C77">
    <cfRule type="cellIs" dxfId="25823" priority="10811" stopIfTrue="1" operator="equal">
      <formula>"Napkin Hs"</formula>
    </cfRule>
  </conditionalFormatting>
  <conditionalFormatting sqref="B76:B77">
    <cfRule type="cellIs" dxfId="25822" priority="10810" stopIfTrue="1" operator="equal">
      <formula>"Napkin Hs"</formula>
    </cfRule>
  </conditionalFormatting>
  <conditionalFormatting sqref="C76:C77">
    <cfRule type="cellIs" dxfId="25821" priority="10809" stopIfTrue="1" operator="equal">
      <formula>"Napkin Hs"</formula>
    </cfRule>
  </conditionalFormatting>
  <conditionalFormatting sqref="C76:C77">
    <cfRule type="cellIs" dxfId="25820" priority="10808" stopIfTrue="1" operator="equal">
      <formula>"Napkin Hs"</formula>
    </cfRule>
  </conditionalFormatting>
  <conditionalFormatting sqref="C76:C77">
    <cfRule type="cellIs" dxfId="25819" priority="10807" stopIfTrue="1" operator="equal">
      <formula>"Napkin Hs"</formula>
    </cfRule>
  </conditionalFormatting>
  <conditionalFormatting sqref="C76:C77">
    <cfRule type="cellIs" dxfId="25818" priority="10806" stopIfTrue="1" operator="equal">
      <formula>"Napkin Hs"</formula>
    </cfRule>
  </conditionalFormatting>
  <conditionalFormatting sqref="B76:B77">
    <cfRule type="cellIs" dxfId="25817" priority="10805" stopIfTrue="1" operator="equal">
      <formula>"Napkin Hs"</formula>
    </cfRule>
  </conditionalFormatting>
  <conditionalFormatting sqref="B76:B77">
    <cfRule type="cellIs" dxfId="25816" priority="10804" stopIfTrue="1" operator="equal">
      <formula>"Napkin Hs"</formula>
    </cfRule>
  </conditionalFormatting>
  <conditionalFormatting sqref="C76:C77">
    <cfRule type="cellIs" dxfId="25815" priority="10800" stopIfTrue="1" operator="equal">
      <formula>"Towel"</formula>
    </cfRule>
    <cfRule type="cellIs" dxfId="25814" priority="10801" stopIfTrue="1" operator="equal">
      <formula>"Napkin Hs"</formula>
    </cfRule>
  </conditionalFormatting>
  <conditionalFormatting sqref="C76:C77">
    <cfRule type="cellIs" dxfId="25813" priority="10802" stopIfTrue="1" operator="equal">
      <formula>"Towel"</formula>
    </cfRule>
    <cfRule type="cellIs" dxfId="25812" priority="10803" stopIfTrue="1" operator="equal">
      <formula>"Napkin Hs"</formula>
    </cfRule>
  </conditionalFormatting>
  <conditionalFormatting sqref="C76:C77">
    <cfRule type="cellIs" dxfId="25811" priority="10796" stopIfTrue="1" operator="equal">
      <formula>"Towel"</formula>
    </cfRule>
    <cfRule type="cellIs" dxfId="25810" priority="10797" stopIfTrue="1" operator="equal">
      <formula>"Napkin Hs"</formula>
    </cfRule>
  </conditionalFormatting>
  <conditionalFormatting sqref="C76:C77">
    <cfRule type="cellIs" dxfId="25809" priority="10798" stopIfTrue="1" operator="equal">
      <formula>"Towel"</formula>
    </cfRule>
    <cfRule type="cellIs" dxfId="25808" priority="10799" stopIfTrue="1" operator="equal">
      <formula>"Napkin Hs"</formula>
    </cfRule>
  </conditionalFormatting>
  <conditionalFormatting sqref="C75">
    <cfRule type="cellIs" dxfId="25807" priority="10792" stopIfTrue="1" operator="equal">
      <formula>"Towel"</formula>
    </cfRule>
    <cfRule type="cellIs" dxfId="25806" priority="10793" stopIfTrue="1" operator="equal">
      <formula>"Napkin Hs"</formula>
    </cfRule>
  </conditionalFormatting>
  <conditionalFormatting sqref="C75">
    <cfRule type="cellIs" dxfId="25805" priority="10794" stopIfTrue="1" operator="equal">
      <formula>"Towel"</formula>
    </cfRule>
    <cfRule type="cellIs" dxfId="25804" priority="10795" stopIfTrue="1" operator="equal">
      <formula>"Napkin Hs"</formula>
    </cfRule>
  </conditionalFormatting>
  <conditionalFormatting sqref="C75">
    <cfRule type="cellIs" dxfId="25803" priority="10790" stopIfTrue="1" operator="equal">
      <formula>"Towel"</formula>
    </cfRule>
    <cfRule type="cellIs" dxfId="25802" priority="10791" stopIfTrue="1" operator="equal">
      <formula>"Napkin Hs"</formula>
    </cfRule>
  </conditionalFormatting>
  <conditionalFormatting sqref="C75">
    <cfRule type="cellIs" dxfId="25801" priority="10784" stopIfTrue="1" operator="equal">
      <formula>"Towel"</formula>
    </cfRule>
    <cfRule type="cellIs" dxfId="25800" priority="10785" stopIfTrue="1" operator="equal">
      <formula>"Napkin Hs"</formula>
    </cfRule>
  </conditionalFormatting>
  <conditionalFormatting sqref="C75">
    <cfRule type="cellIs" dxfId="25799" priority="10788" stopIfTrue="1" operator="equal">
      <formula>"Towel"</formula>
    </cfRule>
    <cfRule type="cellIs" dxfId="25798" priority="10789" stopIfTrue="1" operator="equal">
      <formula>"Napkin Hs"</formula>
    </cfRule>
  </conditionalFormatting>
  <conditionalFormatting sqref="C75">
    <cfRule type="cellIs" dxfId="25797" priority="10786" stopIfTrue="1" operator="equal">
      <formula>"Towel"</formula>
    </cfRule>
    <cfRule type="cellIs" dxfId="25796" priority="10787" stopIfTrue="1" operator="equal">
      <formula>"Napkin Hs"</formula>
    </cfRule>
  </conditionalFormatting>
  <conditionalFormatting sqref="C75">
    <cfRule type="cellIs" dxfId="25795" priority="10778" stopIfTrue="1" operator="equal">
      <formula>"Towel"</formula>
    </cfRule>
    <cfRule type="cellIs" dxfId="25794" priority="10779" stopIfTrue="1" operator="equal">
      <formula>"Napkin Hs"</formula>
    </cfRule>
  </conditionalFormatting>
  <conditionalFormatting sqref="C75">
    <cfRule type="cellIs" dxfId="25793" priority="10780" stopIfTrue="1" operator="equal">
      <formula>"Towel"</formula>
    </cfRule>
    <cfRule type="cellIs" dxfId="25792" priority="10781" stopIfTrue="1" operator="equal">
      <formula>"Napkin Hs"</formula>
    </cfRule>
  </conditionalFormatting>
  <conditionalFormatting sqref="C75">
    <cfRule type="cellIs" dxfId="25791" priority="10782" stopIfTrue="1" operator="equal">
      <formula>"Towel"</formula>
    </cfRule>
    <cfRule type="cellIs" dxfId="25790" priority="10783" stopIfTrue="1" operator="equal">
      <formula>"Napkin Hs"</formula>
    </cfRule>
  </conditionalFormatting>
  <conditionalFormatting sqref="C75">
    <cfRule type="cellIs" dxfId="25789" priority="10776" stopIfTrue="1" operator="equal">
      <formula>"Towel"</formula>
    </cfRule>
    <cfRule type="cellIs" dxfId="25788" priority="10777" stopIfTrue="1" operator="equal">
      <formula>"Napkin Hs"</formula>
    </cfRule>
  </conditionalFormatting>
  <conditionalFormatting sqref="C75">
    <cfRule type="cellIs" dxfId="25787" priority="10774" stopIfTrue="1" operator="equal">
      <formula>"Towel"</formula>
    </cfRule>
    <cfRule type="cellIs" dxfId="25786" priority="10775" stopIfTrue="1" operator="equal">
      <formula>"Napkin Hs"</formula>
    </cfRule>
  </conditionalFormatting>
  <conditionalFormatting sqref="C75">
    <cfRule type="cellIs" dxfId="25785" priority="10750" stopIfTrue="1" operator="equal">
      <formula>"Towel"</formula>
    </cfRule>
  </conditionalFormatting>
  <conditionalFormatting sqref="C75">
    <cfRule type="cellIs" dxfId="25784" priority="10751" stopIfTrue="1" operator="equal">
      <formula>"Napkin Hs"</formula>
    </cfRule>
    <cfRule type="cellIs" dxfId="25783" priority="10756" stopIfTrue="1" operator="equal">
      <formula>"Towel"</formula>
    </cfRule>
    <cfRule type="cellIs" dxfId="25782" priority="10757" stopIfTrue="1" operator="equal">
      <formula>"Napkin Hs"</formula>
    </cfRule>
    <cfRule type="cellIs" dxfId="25781" priority="10766" stopIfTrue="1" operator="equal">
      <formula>"Towel"</formula>
    </cfRule>
    <cfRule type="cellIs" dxfId="25780" priority="10767" stopIfTrue="1" operator="equal">
      <formula>"Napkin Hs"</formula>
    </cfRule>
    <cfRule type="cellIs" dxfId="25779" priority="10772" stopIfTrue="1" operator="equal">
      <formula>"Towel"</formula>
    </cfRule>
    <cfRule type="cellIs" dxfId="25778" priority="10773" stopIfTrue="1" operator="equal">
      <formula>"Napkin Hs"</formula>
    </cfRule>
  </conditionalFormatting>
  <conditionalFormatting sqref="C75">
    <cfRule type="cellIs" dxfId="25777" priority="10752" stopIfTrue="1" operator="equal">
      <formula>"Towel"</formula>
    </cfRule>
    <cfRule type="cellIs" dxfId="25776" priority="10753" stopIfTrue="1" operator="equal">
      <formula>"Napkin Hs"</formula>
    </cfRule>
    <cfRule type="cellIs" dxfId="25775" priority="10754" stopIfTrue="1" operator="equal">
      <formula>"Towel"</formula>
    </cfRule>
    <cfRule type="cellIs" dxfId="25774" priority="10755" stopIfTrue="1" operator="equal">
      <formula>"Napkin Hs"</formula>
    </cfRule>
    <cfRule type="cellIs" dxfId="25773" priority="10758" stopIfTrue="1" operator="equal">
      <formula>"Towel"</formula>
    </cfRule>
    <cfRule type="cellIs" dxfId="25772" priority="10759" stopIfTrue="1" operator="equal">
      <formula>"Napkin Hs"</formula>
    </cfRule>
    <cfRule type="cellIs" dxfId="25771" priority="10760" stopIfTrue="1" operator="equal">
      <formula>"Towel"</formula>
    </cfRule>
    <cfRule type="cellIs" dxfId="25770" priority="10761" stopIfTrue="1" operator="equal">
      <formula>"Napkin Hs"</formula>
    </cfRule>
    <cfRule type="cellIs" dxfId="25769" priority="10762" stopIfTrue="1" operator="equal">
      <formula>"Towel"</formula>
    </cfRule>
    <cfRule type="cellIs" dxfId="25768" priority="10763" stopIfTrue="1" operator="equal">
      <formula>"Napkin Hs"</formula>
    </cfRule>
    <cfRule type="cellIs" dxfId="25767" priority="10764" stopIfTrue="1" operator="equal">
      <formula>"Towel"</formula>
    </cfRule>
    <cfRule type="cellIs" dxfId="25766" priority="10765" stopIfTrue="1" operator="equal">
      <formula>"Napkin Hs"</formula>
    </cfRule>
    <cfRule type="cellIs" dxfId="25765" priority="10768" stopIfTrue="1" operator="equal">
      <formula>"Towel"</formula>
    </cfRule>
    <cfRule type="cellIs" dxfId="25764" priority="10769" stopIfTrue="1" operator="equal">
      <formula>"Napkin Hs"</formula>
    </cfRule>
    <cfRule type="cellIs" dxfId="25763" priority="10771" stopIfTrue="1" operator="equal">
      <formula>"Napkin Hs"</formula>
    </cfRule>
  </conditionalFormatting>
  <conditionalFormatting sqref="C75">
    <cfRule type="cellIs" dxfId="25762" priority="10770" stopIfTrue="1" operator="equal">
      <formula>"Towel"</formula>
    </cfRule>
  </conditionalFormatting>
  <conditionalFormatting sqref="C75">
    <cfRule type="cellIs" dxfId="25761" priority="10748" stopIfTrue="1" operator="equal">
      <formula>"Towel"</formula>
    </cfRule>
    <cfRule type="cellIs" dxfId="25760" priority="10749" stopIfTrue="1" operator="equal">
      <formula>"Napkin Hs"</formula>
    </cfRule>
  </conditionalFormatting>
  <conditionalFormatting sqref="C75">
    <cfRule type="cellIs" dxfId="25759" priority="10747" stopIfTrue="1" operator="equal">
      <formula>"Napkin Hs"</formula>
    </cfRule>
  </conditionalFormatting>
  <conditionalFormatting sqref="C75">
    <cfRule type="cellIs" dxfId="25758" priority="10746" stopIfTrue="1" operator="equal">
      <formula>"Towel"</formula>
    </cfRule>
  </conditionalFormatting>
  <conditionalFormatting sqref="C75">
    <cfRule type="cellIs" dxfId="25757" priority="10744" stopIfTrue="1" operator="equal">
      <formula>"Towel"</formula>
    </cfRule>
  </conditionalFormatting>
  <conditionalFormatting sqref="C75">
    <cfRule type="cellIs" dxfId="25756" priority="10745" stopIfTrue="1" operator="equal">
      <formula>"Napkin Hs"</formula>
    </cfRule>
  </conditionalFormatting>
  <conditionalFormatting sqref="C75">
    <cfRule type="cellIs" dxfId="25755" priority="10648" stopIfTrue="1" operator="equal">
      <formula>"Towel"</formula>
    </cfRule>
  </conditionalFormatting>
  <conditionalFormatting sqref="C75">
    <cfRule type="cellIs" dxfId="25754" priority="10658" stopIfTrue="1" operator="equal">
      <formula>"Towel"</formula>
    </cfRule>
    <cfRule type="cellIs" dxfId="25753" priority="10659" stopIfTrue="1" operator="equal">
      <formula>"Napkin Hs"</formula>
    </cfRule>
    <cfRule type="cellIs" dxfId="25752" priority="10664" stopIfTrue="1" operator="equal">
      <formula>"Towel"</formula>
    </cfRule>
    <cfRule type="cellIs" dxfId="25751" priority="10665" stopIfTrue="1" operator="equal">
      <formula>"Napkin Hs"</formula>
    </cfRule>
    <cfRule type="cellIs" dxfId="25750" priority="10670" stopIfTrue="1" operator="equal">
      <formula>"Towel"</formula>
    </cfRule>
    <cfRule type="cellIs" dxfId="25749" priority="10671" stopIfTrue="1" operator="equal">
      <formula>"Napkin Hs"</formula>
    </cfRule>
    <cfRule type="cellIs" dxfId="25748" priority="10672" stopIfTrue="1" operator="equal">
      <formula>"Towel"</formula>
    </cfRule>
    <cfRule type="cellIs" dxfId="25747" priority="10673" stopIfTrue="1" operator="equal">
      <formula>"Napkin Hs"</formula>
    </cfRule>
    <cfRule type="cellIs" dxfId="25746" priority="10678" stopIfTrue="1" operator="equal">
      <formula>"Towel"</formula>
    </cfRule>
    <cfRule type="cellIs" dxfId="25745" priority="10679" stopIfTrue="1" operator="equal">
      <formula>"Napkin Hs"</formula>
    </cfRule>
    <cfRule type="cellIs" dxfId="25744" priority="10688" stopIfTrue="1" operator="equal">
      <formula>"Towel"</formula>
    </cfRule>
    <cfRule type="cellIs" dxfId="25743" priority="10689" stopIfTrue="1" operator="equal">
      <formula>"Napkin Hs"</formula>
    </cfRule>
    <cfRule type="cellIs" dxfId="25742" priority="10694" stopIfTrue="1" operator="equal">
      <formula>"Towel"</formula>
    </cfRule>
    <cfRule type="cellIs" dxfId="25741" priority="10695" stopIfTrue="1" operator="equal">
      <formula>"Napkin Hs"</formula>
    </cfRule>
    <cfRule type="cellIs" dxfId="25740" priority="10696" stopIfTrue="1" operator="equal">
      <formula>"Towel"</formula>
    </cfRule>
    <cfRule type="cellIs" dxfId="25739" priority="10697" stopIfTrue="1" operator="equal">
      <formula>"Napkin Hs"</formula>
    </cfRule>
    <cfRule type="cellIs" dxfId="25738" priority="10702" stopIfTrue="1" operator="equal">
      <formula>"Towel"</formula>
    </cfRule>
    <cfRule type="cellIs" dxfId="25737" priority="10703" stopIfTrue="1" operator="equal">
      <formula>"Napkin Hs"</formula>
    </cfRule>
    <cfRule type="cellIs" dxfId="25736" priority="10712" stopIfTrue="1" operator="equal">
      <formula>"Towel"</formula>
    </cfRule>
    <cfRule type="cellIs" dxfId="25735" priority="10713" stopIfTrue="1" operator="equal">
      <formula>"Napkin Hs"</formula>
    </cfRule>
    <cfRule type="cellIs" dxfId="25734" priority="10714" stopIfTrue="1" operator="equal">
      <formula>"Towel"</formula>
    </cfRule>
    <cfRule type="cellIs" dxfId="25733" priority="10715" stopIfTrue="1" operator="equal">
      <formula>"Napkin Hs"</formula>
    </cfRule>
    <cfRule type="cellIs" dxfId="25732" priority="10720" stopIfTrue="1" operator="equal">
      <formula>"Towel"</formula>
    </cfRule>
    <cfRule type="cellIs" dxfId="25731" priority="10721" stopIfTrue="1" operator="equal">
      <formula>"Napkin Hs"</formula>
    </cfRule>
    <cfRule type="cellIs" dxfId="25730" priority="10730" stopIfTrue="1" operator="equal">
      <formula>"Towel"</formula>
    </cfRule>
    <cfRule type="cellIs" dxfId="25729" priority="10731" stopIfTrue="1" operator="equal">
      <formula>"Napkin Hs"</formula>
    </cfRule>
    <cfRule type="cellIs" dxfId="25728" priority="10732" stopIfTrue="1" operator="equal">
      <formula>"Towel"</formula>
    </cfRule>
    <cfRule type="cellIs" dxfId="25727" priority="10733" stopIfTrue="1" operator="equal">
      <formula>"Napkin Hs"</formula>
    </cfRule>
    <cfRule type="cellIs" dxfId="25726" priority="10739" stopIfTrue="1" operator="equal">
      <formula>"Napkin Hs"</formula>
    </cfRule>
  </conditionalFormatting>
  <conditionalFormatting sqref="C75">
    <cfRule type="cellIs" dxfId="25725" priority="10738" stopIfTrue="1" operator="equal">
      <formula>"Towel"</formula>
    </cfRule>
  </conditionalFormatting>
  <conditionalFormatting sqref="C75">
    <cfRule type="cellIs" dxfId="25724" priority="10649" stopIfTrue="1" operator="equal">
      <formula>"Napkin Hs"</formula>
    </cfRule>
    <cfRule type="cellIs" dxfId="25723" priority="10650" stopIfTrue="1" operator="equal">
      <formula>"Towel"</formula>
    </cfRule>
    <cfRule type="cellIs" dxfId="25722" priority="10651" stopIfTrue="1" operator="equal">
      <formula>"Napkin Hs"</formula>
    </cfRule>
    <cfRule type="cellIs" dxfId="25721" priority="10652" stopIfTrue="1" operator="equal">
      <formula>"Towel"</formula>
    </cfRule>
    <cfRule type="cellIs" dxfId="25720" priority="10653" stopIfTrue="1" operator="equal">
      <formula>"Napkin Hs"</formula>
    </cfRule>
    <cfRule type="cellIs" dxfId="25719" priority="10654" stopIfTrue="1" operator="equal">
      <formula>"Towel"</formula>
    </cfRule>
    <cfRule type="cellIs" dxfId="25718" priority="10655" stopIfTrue="1" operator="equal">
      <formula>"Napkin Hs"</formula>
    </cfRule>
    <cfRule type="cellIs" dxfId="25717" priority="10656" stopIfTrue="1" operator="equal">
      <formula>"Towel"</formula>
    </cfRule>
    <cfRule type="cellIs" dxfId="25716" priority="10657" stopIfTrue="1" operator="equal">
      <formula>"Napkin Hs"</formula>
    </cfRule>
    <cfRule type="cellIs" dxfId="25715" priority="10660" stopIfTrue="1" operator="equal">
      <formula>"Towel"</formula>
    </cfRule>
    <cfRule type="cellIs" dxfId="25714" priority="10661" stopIfTrue="1" operator="equal">
      <formula>"Napkin Hs"</formula>
    </cfRule>
    <cfRule type="cellIs" dxfId="25713" priority="10662" stopIfTrue="1" operator="equal">
      <formula>"Towel"</formula>
    </cfRule>
    <cfRule type="cellIs" dxfId="25712" priority="10663" stopIfTrue="1" operator="equal">
      <formula>"Napkin Hs"</formula>
    </cfRule>
    <cfRule type="cellIs" dxfId="25711" priority="10666" stopIfTrue="1" operator="equal">
      <formula>"Towel"</formula>
    </cfRule>
    <cfRule type="cellIs" dxfId="25710" priority="10667" stopIfTrue="1" operator="equal">
      <formula>"Napkin Hs"</formula>
    </cfRule>
    <cfRule type="cellIs" dxfId="25709" priority="10668" stopIfTrue="1" operator="equal">
      <formula>"Towel"</formula>
    </cfRule>
    <cfRule type="cellIs" dxfId="25708" priority="10669" stopIfTrue="1" operator="equal">
      <formula>"Napkin Hs"</formula>
    </cfRule>
    <cfRule type="cellIs" dxfId="25707" priority="10674" stopIfTrue="1" operator="equal">
      <formula>"Towel"</formula>
    </cfRule>
    <cfRule type="cellIs" dxfId="25706" priority="10675" stopIfTrue="1" operator="equal">
      <formula>"Napkin Hs"</formula>
    </cfRule>
    <cfRule type="cellIs" dxfId="25705" priority="10676" stopIfTrue="1" operator="equal">
      <formula>"Towel"</formula>
    </cfRule>
    <cfRule type="cellIs" dxfId="25704" priority="10677" stopIfTrue="1" operator="equal">
      <formula>"Napkin Hs"</formula>
    </cfRule>
    <cfRule type="cellIs" dxfId="25703" priority="10680" stopIfTrue="1" operator="equal">
      <formula>"Towel"</formula>
    </cfRule>
    <cfRule type="cellIs" dxfId="25702" priority="10681" stopIfTrue="1" operator="equal">
      <formula>"Napkin Hs"</formula>
    </cfRule>
    <cfRule type="cellIs" dxfId="25701" priority="10682" stopIfTrue="1" operator="equal">
      <formula>"Towel"</formula>
    </cfRule>
    <cfRule type="cellIs" dxfId="25700" priority="10683" stopIfTrue="1" operator="equal">
      <formula>"Napkin Hs"</formula>
    </cfRule>
    <cfRule type="cellIs" dxfId="25699" priority="10684" stopIfTrue="1" operator="equal">
      <formula>"Towel"</formula>
    </cfRule>
    <cfRule type="cellIs" dxfId="25698" priority="10685" stopIfTrue="1" operator="equal">
      <formula>"Napkin Hs"</formula>
    </cfRule>
    <cfRule type="cellIs" dxfId="25697" priority="10686" stopIfTrue="1" operator="equal">
      <formula>"Towel"</formula>
    </cfRule>
    <cfRule type="cellIs" dxfId="25696" priority="10687" stopIfTrue="1" operator="equal">
      <formula>"Napkin Hs"</formula>
    </cfRule>
    <cfRule type="cellIs" dxfId="25695" priority="10690" stopIfTrue="1" operator="equal">
      <formula>"Towel"</formula>
    </cfRule>
    <cfRule type="cellIs" dxfId="25694" priority="10691" stopIfTrue="1" operator="equal">
      <formula>"Napkin Hs"</formula>
    </cfRule>
    <cfRule type="cellIs" dxfId="25693" priority="10692" stopIfTrue="1" operator="equal">
      <formula>"Towel"</formula>
    </cfRule>
    <cfRule type="cellIs" dxfId="25692" priority="10693" stopIfTrue="1" operator="equal">
      <formula>"Napkin Hs"</formula>
    </cfRule>
    <cfRule type="cellIs" dxfId="25691" priority="10698" stopIfTrue="1" operator="equal">
      <formula>"Towel"</formula>
    </cfRule>
    <cfRule type="cellIs" dxfId="25690" priority="10699" stopIfTrue="1" operator="equal">
      <formula>"Napkin Hs"</formula>
    </cfRule>
    <cfRule type="cellIs" dxfId="25689" priority="10700" stopIfTrue="1" operator="equal">
      <formula>"Towel"</formula>
    </cfRule>
    <cfRule type="cellIs" dxfId="25688" priority="10701" stopIfTrue="1" operator="equal">
      <formula>"Napkin Hs"</formula>
    </cfRule>
    <cfRule type="cellIs" dxfId="25687" priority="10704" stopIfTrue="1" operator="equal">
      <formula>"Towel"</formula>
    </cfRule>
    <cfRule type="cellIs" dxfId="25686" priority="10705" stopIfTrue="1" operator="equal">
      <formula>"Napkin Hs"</formula>
    </cfRule>
    <cfRule type="cellIs" dxfId="25685" priority="10706" stopIfTrue="1" operator="equal">
      <formula>"Towel"</formula>
    </cfRule>
    <cfRule type="cellIs" dxfId="25684" priority="10707" stopIfTrue="1" operator="equal">
      <formula>"Napkin Hs"</formula>
    </cfRule>
    <cfRule type="cellIs" dxfId="25683" priority="10708" stopIfTrue="1" operator="equal">
      <formula>"Towel"</formula>
    </cfRule>
    <cfRule type="cellIs" dxfId="25682" priority="10709" stopIfTrue="1" operator="equal">
      <formula>"Napkin Hs"</formula>
    </cfRule>
    <cfRule type="cellIs" dxfId="25681" priority="10710" stopIfTrue="1" operator="equal">
      <formula>"Towel"</formula>
    </cfRule>
    <cfRule type="cellIs" dxfId="25680" priority="10711" stopIfTrue="1" operator="equal">
      <formula>"Napkin Hs"</formula>
    </cfRule>
    <cfRule type="cellIs" dxfId="25679" priority="10716" stopIfTrue="1" operator="equal">
      <formula>"Towel"</formula>
    </cfRule>
    <cfRule type="cellIs" dxfId="25678" priority="10717" stopIfTrue="1" operator="equal">
      <formula>"Napkin Hs"</formula>
    </cfRule>
    <cfRule type="cellIs" dxfId="25677" priority="10718" stopIfTrue="1" operator="equal">
      <formula>"Towel"</formula>
    </cfRule>
    <cfRule type="cellIs" dxfId="25676" priority="10719" stopIfTrue="1" operator="equal">
      <formula>"Napkin Hs"</formula>
    </cfRule>
    <cfRule type="cellIs" dxfId="25675" priority="10722" stopIfTrue="1" operator="equal">
      <formula>"Towel"</formula>
    </cfRule>
    <cfRule type="cellIs" dxfId="25674" priority="10723" stopIfTrue="1" operator="equal">
      <formula>"Napkin Hs"</formula>
    </cfRule>
    <cfRule type="cellIs" dxfId="25673" priority="10724" stopIfTrue="1" operator="equal">
      <formula>"Towel"</formula>
    </cfRule>
    <cfRule type="cellIs" dxfId="25672" priority="10725" stopIfTrue="1" operator="equal">
      <formula>"Napkin Hs"</formula>
    </cfRule>
    <cfRule type="cellIs" dxfId="25671" priority="10726" stopIfTrue="1" operator="equal">
      <formula>"Towel"</formula>
    </cfRule>
    <cfRule type="cellIs" dxfId="25670" priority="10727" stopIfTrue="1" operator="equal">
      <formula>"Napkin Hs"</formula>
    </cfRule>
    <cfRule type="cellIs" dxfId="25669" priority="10728" stopIfTrue="1" operator="equal">
      <formula>"Towel"</formula>
    </cfRule>
    <cfRule type="cellIs" dxfId="25668" priority="10729" stopIfTrue="1" operator="equal">
      <formula>"Napkin Hs"</formula>
    </cfRule>
    <cfRule type="cellIs" dxfId="25667" priority="10734" stopIfTrue="1" operator="equal">
      <formula>"Towel"</formula>
    </cfRule>
    <cfRule type="cellIs" dxfId="25666" priority="10735" stopIfTrue="1" operator="equal">
      <formula>"Napkin Hs"</formula>
    </cfRule>
    <cfRule type="cellIs" dxfId="25665" priority="10736" stopIfTrue="1" operator="equal">
      <formula>"Towel"</formula>
    </cfRule>
    <cfRule type="cellIs" dxfId="25664" priority="10737" stopIfTrue="1" operator="equal">
      <formula>"Napkin Hs"</formula>
    </cfRule>
    <cfRule type="cellIs" dxfId="25663" priority="10740" stopIfTrue="1" operator="equal">
      <formula>"Towel"</formula>
    </cfRule>
    <cfRule type="cellIs" dxfId="25662" priority="10741" stopIfTrue="1" operator="equal">
      <formula>"Napkin Hs"</formula>
    </cfRule>
    <cfRule type="cellIs" dxfId="25661" priority="10742" stopIfTrue="1" operator="equal">
      <formula>"Towel"</formula>
    </cfRule>
    <cfRule type="cellIs" dxfId="25660" priority="10743" stopIfTrue="1" operator="equal">
      <formula>"Napkin Hs"</formula>
    </cfRule>
  </conditionalFormatting>
  <conditionalFormatting sqref="C75">
    <cfRule type="cellIs" dxfId="25659" priority="10647" stopIfTrue="1" operator="equal">
      <formula>"Napkin Hs"</formula>
    </cfRule>
  </conditionalFormatting>
  <conditionalFormatting sqref="C75">
    <cfRule type="cellIs" dxfId="25658" priority="10646" stopIfTrue="1" operator="equal">
      <formula>"Napkin Hs"</formula>
    </cfRule>
  </conditionalFormatting>
  <conditionalFormatting sqref="C75">
    <cfRule type="cellIs" dxfId="25657" priority="10645" stopIfTrue="1" operator="equal">
      <formula>"Napkin Hs"</formula>
    </cfRule>
  </conditionalFormatting>
  <conditionalFormatting sqref="C75">
    <cfRule type="cellIs" dxfId="25656" priority="10644" stopIfTrue="1" operator="equal">
      <formula>"Napkin Hs"</formula>
    </cfRule>
  </conditionalFormatting>
  <conditionalFormatting sqref="C75">
    <cfRule type="cellIs" dxfId="25655" priority="10643" stopIfTrue="1" operator="equal">
      <formula>"Napkin Hs"</formula>
    </cfRule>
  </conditionalFormatting>
  <conditionalFormatting sqref="C75">
    <cfRule type="cellIs" dxfId="25654" priority="10642" stopIfTrue="1" operator="equal">
      <formula>"Napkin Hs"</formula>
    </cfRule>
  </conditionalFormatting>
  <conditionalFormatting sqref="C75">
    <cfRule type="cellIs" dxfId="25653" priority="10638" stopIfTrue="1" operator="equal">
      <formula>"Towel"</formula>
    </cfRule>
    <cfRule type="cellIs" dxfId="25652" priority="10639" stopIfTrue="1" operator="equal">
      <formula>"Napkin Hs"</formula>
    </cfRule>
  </conditionalFormatting>
  <conditionalFormatting sqref="C75">
    <cfRule type="cellIs" dxfId="25651" priority="10640" stopIfTrue="1" operator="equal">
      <formula>"Towel"</formula>
    </cfRule>
    <cfRule type="cellIs" dxfId="25650" priority="10641" stopIfTrue="1" operator="equal">
      <formula>"Napkin Hs"</formula>
    </cfRule>
  </conditionalFormatting>
  <conditionalFormatting sqref="C75">
    <cfRule type="cellIs" dxfId="25649" priority="10634" stopIfTrue="1" operator="equal">
      <formula>"Towel"</formula>
    </cfRule>
    <cfRule type="cellIs" dxfId="25648" priority="10635" stopIfTrue="1" operator="equal">
      <formula>"Napkin Hs"</formula>
    </cfRule>
  </conditionalFormatting>
  <conditionalFormatting sqref="C75">
    <cfRule type="cellIs" dxfId="25647" priority="10636" stopIfTrue="1" operator="equal">
      <formula>"Towel"</formula>
    </cfRule>
    <cfRule type="cellIs" dxfId="25646" priority="10637" stopIfTrue="1" operator="equal">
      <formula>"Napkin Hs"</formula>
    </cfRule>
  </conditionalFormatting>
  <conditionalFormatting sqref="B75">
    <cfRule type="cellIs" dxfId="25645" priority="10632" stopIfTrue="1" operator="equal">
      <formula>"Towel"</formula>
    </cfRule>
    <cfRule type="cellIs" dxfId="25644" priority="10633" stopIfTrue="1" operator="equal">
      <formula>"Napkin Hs"</formula>
    </cfRule>
  </conditionalFormatting>
  <conditionalFormatting sqref="B75">
    <cfRule type="cellIs" dxfId="25643" priority="10630" stopIfTrue="1" operator="equal">
      <formula>"Towel"</formula>
    </cfRule>
    <cfRule type="cellIs" dxfId="25642" priority="10631" stopIfTrue="1" operator="equal">
      <formula>"Napkin Hs"</formula>
    </cfRule>
  </conditionalFormatting>
  <conditionalFormatting sqref="B75">
    <cfRule type="cellIs" dxfId="25641" priority="10628" stopIfTrue="1" operator="equal">
      <formula>"Towel"</formula>
    </cfRule>
    <cfRule type="cellIs" dxfId="25640" priority="10629" stopIfTrue="1" operator="equal">
      <formula>"Napkin Hs"</formula>
    </cfRule>
  </conditionalFormatting>
  <conditionalFormatting sqref="B75">
    <cfRule type="cellIs" dxfId="25639" priority="10620" stopIfTrue="1" operator="equal">
      <formula>"Towel"</formula>
    </cfRule>
  </conditionalFormatting>
  <conditionalFormatting sqref="B75">
    <cfRule type="cellIs" dxfId="25638" priority="10621" stopIfTrue="1" operator="equal">
      <formula>"Napkin Hs"</formula>
    </cfRule>
    <cfRule type="cellIs" dxfId="25637" priority="10622" stopIfTrue="1" operator="equal">
      <formula>"Towel"</formula>
    </cfRule>
    <cfRule type="cellIs" dxfId="25636" priority="10623" stopIfTrue="1" operator="equal">
      <formula>"Napkin Hs"</formula>
    </cfRule>
    <cfRule type="cellIs" dxfId="25635" priority="10624" stopIfTrue="1" operator="equal">
      <formula>"Towel"</formula>
    </cfRule>
    <cfRule type="cellIs" dxfId="25634" priority="10625" stopIfTrue="1" operator="equal">
      <formula>"Napkin Hs"</formula>
    </cfRule>
    <cfRule type="cellIs" dxfId="25633" priority="10626" stopIfTrue="1" operator="equal">
      <formula>"Towel"</formula>
    </cfRule>
    <cfRule type="cellIs" dxfId="25632" priority="10627" stopIfTrue="1" operator="equal">
      <formula>"Napkin Hs"</formula>
    </cfRule>
  </conditionalFormatting>
  <conditionalFormatting sqref="B75">
    <cfRule type="cellIs" dxfId="25631" priority="10618" stopIfTrue="1" operator="equal">
      <formula>"Towel"</formula>
    </cfRule>
    <cfRule type="cellIs" dxfId="25630" priority="10619" stopIfTrue="1" operator="equal">
      <formula>"Napkin Hs"</formula>
    </cfRule>
  </conditionalFormatting>
  <conditionalFormatting sqref="B75">
    <cfRule type="cellIs" dxfId="25629" priority="10587" stopIfTrue="1" operator="equal">
      <formula>"Napkin Hs"</formula>
    </cfRule>
  </conditionalFormatting>
  <conditionalFormatting sqref="B75">
    <cfRule type="cellIs" dxfId="25628" priority="10586" stopIfTrue="1" operator="equal">
      <formula>"Towel"</formula>
    </cfRule>
  </conditionalFormatting>
  <conditionalFormatting sqref="B75">
    <cfRule type="cellIs" dxfId="25627" priority="10588" stopIfTrue="1" operator="equal">
      <formula>"Towel"</formula>
    </cfRule>
    <cfRule type="cellIs" dxfId="25626" priority="10589" stopIfTrue="1" operator="equal">
      <formula>"Napkin Hs"</formula>
    </cfRule>
    <cfRule type="cellIs" dxfId="25625" priority="10590" stopIfTrue="1" operator="equal">
      <formula>"Towel"</formula>
    </cfRule>
    <cfRule type="cellIs" dxfId="25624" priority="10591" stopIfTrue="1" operator="equal">
      <formula>"Napkin Hs"</formula>
    </cfRule>
    <cfRule type="cellIs" dxfId="25623" priority="10592" stopIfTrue="1" operator="equal">
      <formula>"Towel"</formula>
    </cfRule>
    <cfRule type="cellIs" dxfId="25622" priority="10593" stopIfTrue="1" operator="equal">
      <formula>"Napkin Hs"</formula>
    </cfRule>
    <cfRule type="cellIs" dxfId="25621" priority="10594" stopIfTrue="1" operator="equal">
      <formula>"Towel"</formula>
    </cfRule>
    <cfRule type="cellIs" dxfId="25620" priority="10595" stopIfTrue="1" operator="equal">
      <formula>"Napkin Hs"</formula>
    </cfRule>
    <cfRule type="cellIs" dxfId="25619" priority="10596" stopIfTrue="1" operator="equal">
      <formula>"Towel"</formula>
    </cfRule>
    <cfRule type="cellIs" dxfId="25618" priority="10597" stopIfTrue="1" operator="equal">
      <formula>"Napkin Hs"</formula>
    </cfRule>
    <cfRule type="cellIs" dxfId="25617" priority="10598" stopIfTrue="1" operator="equal">
      <formula>"Towel"</formula>
    </cfRule>
    <cfRule type="cellIs" dxfId="25616" priority="10599" stopIfTrue="1" operator="equal">
      <formula>"Napkin Hs"</formula>
    </cfRule>
    <cfRule type="cellIs" dxfId="25615" priority="10600" stopIfTrue="1" operator="equal">
      <formula>"Towel"</formula>
    </cfRule>
    <cfRule type="cellIs" dxfId="25614" priority="10601" stopIfTrue="1" operator="equal">
      <formula>"Napkin Hs"</formula>
    </cfRule>
    <cfRule type="cellIs" dxfId="25613" priority="10602" stopIfTrue="1" operator="equal">
      <formula>"Towel"</formula>
    </cfRule>
    <cfRule type="cellIs" dxfId="25612" priority="10603" stopIfTrue="1" operator="equal">
      <formula>"Napkin Hs"</formula>
    </cfRule>
    <cfRule type="cellIs" dxfId="25611" priority="10604" stopIfTrue="1" operator="equal">
      <formula>"Towel"</formula>
    </cfRule>
    <cfRule type="cellIs" dxfId="25610" priority="10605" stopIfTrue="1" operator="equal">
      <formula>"Napkin Hs"</formula>
    </cfRule>
    <cfRule type="cellIs" dxfId="25609" priority="10606" stopIfTrue="1" operator="equal">
      <formula>"Towel"</formula>
    </cfRule>
    <cfRule type="cellIs" dxfId="25608" priority="10607" stopIfTrue="1" operator="equal">
      <formula>"Napkin Hs"</formula>
    </cfRule>
    <cfRule type="cellIs" dxfId="25607" priority="10608" stopIfTrue="1" operator="equal">
      <formula>"Towel"</formula>
    </cfRule>
    <cfRule type="cellIs" dxfId="25606" priority="10609" stopIfTrue="1" operator="equal">
      <formula>"Napkin Hs"</formula>
    </cfRule>
    <cfRule type="cellIs" dxfId="25605" priority="10610" stopIfTrue="1" operator="equal">
      <formula>"Towel"</formula>
    </cfRule>
    <cfRule type="cellIs" dxfId="25604" priority="10611" stopIfTrue="1" operator="equal">
      <formula>"Napkin Hs"</formula>
    </cfRule>
    <cfRule type="cellIs" dxfId="25603" priority="10612" stopIfTrue="1" operator="equal">
      <formula>"Towel"</formula>
    </cfRule>
    <cfRule type="cellIs" dxfId="25602" priority="10613" stopIfTrue="1" operator="equal">
      <formula>"Napkin Hs"</formula>
    </cfRule>
    <cfRule type="cellIs" dxfId="25601" priority="10614" stopIfTrue="1" operator="equal">
      <formula>"Towel"</formula>
    </cfRule>
    <cfRule type="cellIs" dxfId="25600" priority="10615" stopIfTrue="1" operator="equal">
      <formula>"Napkin Hs"</formula>
    </cfRule>
    <cfRule type="cellIs" dxfId="25599" priority="10617" stopIfTrue="1" operator="equal">
      <formula>"Napkin Hs"</formula>
    </cfRule>
  </conditionalFormatting>
  <conditionalFormatting sqref="B75">
    <cfRule type="cellIs" dxfId="25598" priority="10616" stopIfTrue="1" operator="equal">
      <formula>"Towel"</formula>
    </cfRule>
  </conditionalFormatting>
  <conditionalFormatting sqref="B75">
    <cfRule type="cellIs" dxfId="25597" priority="10585" stopIfTrue="1" operator="equal">
      <formula>"Napkin Hs"</formula>
    </cfRule>
  </conditionalFormatting>
  <conditionalFormatting sqref="B75">
    <cfRule type="cellIs" dxfId="25596" priority="10584" stopIfTrue="1" operator="equal">
      <formula>"Napkin Hs"</formula>
    </cfRule>
  </conditionalFormatting>
  <conditionalFormatting sqref="B75">
    <cfRule type="cellIs" dxfId="25595" priority="10583" stopIfTrue="1" operator="equal">
      <formula>"Napkin Hs"</formula>
    </cfRule>
  </conditionalFormatting>
  <conditionalFormatting sqref="C74">
    <cfRule type="cellIs" dxfId="25594" priority="10579" stopIfTrue="1" operator="equal">
      <formula>"Towel"</formula>
    </cfRule>
    <cfRule type="cellIs" dxfId="25593" priority="10580" stopIfTrue="1" operator="equal">
      <formula>"Napkin Hs"</formula>
    </cfRule>
  </conditionalFormatting>
  <conditionalFormatting sqref="C74">
    <cfRule type="cellIs" dxfId="25592" priority="10581" stopIfTrue="1" operator="equal">
      <formula>"Towel"</formula>
    </cfRule>
    <cfRule type="cellIs" dxfId="25591" priority="10582" stopIfTrue="1" operator="equal">
      <formula>"Napkin Hs"</formula>
    </cfRule>
  </conditionalFormatting>
  <conditionalFormatting sqref="C74">
    <cfRule type="cellIs" dxfId="25590" priority="10577" stopIfTrue="1" operator="equal">
      <formula>"Towel"</formula>
    </cfRule>
    <cfRule type="cellIs" dxfId="25589" priority="10578" stopIfTrue="1" operator="equal">
      <formula>"Napkin Hs"</formula>
    </cfRule>
  </conditionalFormatting>
  <conditionalFormatting sqref="C74">
    <cfRule type="cellIs" dxfId="25588" priority="10571" stopIfTrue="1" operator="equal">
      <formula>"Towel"</formula>
    </cfRule>
    <cfRule type="cellIs" dxfId="25587" priority="10572" stopIfTrue="1" operator="equal">
      <formula>"Napkin Hs"</formula>
    </cfRule>
  </conditionalFormatting>
  <conditionalFormatting sqref="C74">
    <cfRule type="cellIs" dxfId="25586" priority="10575" stopIfTrue="1" operator="equal">
      <formula>"Towel"</formula>
    </cfRule>
    <cfRule type="cellIs" dxfId="25585" priority="10576" stopIfTrue="1" operator="equal">
      <formula>"Napkin Hs"</formula>
    </cfRule>
  </conditionalFormatting>
  <conditionalFormatting sqref="C74">
    <cfRule type="cellIs" dxfId="25584" priority="10573" stopIfTrue="1" operator="equal">
      <formula>"Towel"</formula>
    </cfRule>
    <cfRule type="cellIs" dxfId="25583" priority="10574" stopIfTrue="1" operator="equal">
      <formula>"Napkin Hs"</formula>
    </cfRule>
  </conditionalFormatting>
  <conditionalFormatting sqref="C74">
    <cfRule type="cellIs" dxfId="25582" priority="10565" stopIfTrue="1" operator="equal">
      <formula>"Towel"</formula>
    </cfRule>
    <cfRule type="cellIs" dxfId="25581" priority="10566" stopIfTrue="1" operator="equal">
      <formula>"Napkin Hs"</formula>
    </cfRule>
  </conditionalFormatting>
  <conditionalFormatting sqref="C74">
    <cfRule type="cellIs" dxfId="25580" priority="10567" stopIfTrue="1" operator="equal">
      <formula>"Towel"</formula>
    </cfRule>
    <cfRule type="cellIs" dxfId="25579" priority="10568" stopIfTrue="1" operator="equal">
      <formula>"Napkin Hs"</formula>
    </cfRule>
  </conditionalFormatting>
  <conditionalFormatting sqref="C74">
    <cfRule type="cellIs" dxfId="25578" priority="10569" stopIfTrue="1" operator="equal">
      <formula>"Towel"</formula>
    </cfRule>
    <cfRule type="cellIs" dxfId="25577" priority="10570" stopIfTrue="1" operator="equal">
      <formula>"Napkin Hs"</formula>
    </cfRule>
  </conditionalFormatting>
  <conditionalFormatting sqref="C74">
    <cfRule type="cellIs" dxfId="25576" priority="10563" stopIfTrue="1" operator="equal">
      <formula>"Towel"</formula>
    </cfRule>
    <cfRule type="cellIs" dxfId="25575" priority="10564" stopIfTrue="1" operator="equal">
      <formula>"Napkin Hs"</formula>
    </cfRule>
  </conditionalFormatting>
  <conditionalFormatting sqref="C74">
    <cfRule type="cellIs" dxfId="25574" priority="10561" stopIfTrue="1" operator="equal">
      <formula>"Towel"</formula>
    </cfRule>
    <cfRule type="cellIs" dxfId="25573" priority="10562" stopIfTrue="1" operator="equal">
      <formula>"Napkin Hs"</formula>
    </cfRule>
  </conditionalFormatting>
  <conditionalFormatting sqref="C74">
    <cfRule type="cellIs" dxfId="25572" priority="10537" stopIfTrue="1" operator="equal">
      <formula>"Towel"</formula>
    </cfRule>
  </conditionalFormatting>
  <conditionalFormatting sqref="C74">
    <cfRule type="cellIs" dxfId="25571" priority="10538" stopIfTrue="1" operator="equal">
      <formula>"Napkin Hs"</formula>
    </cfRule>
    <cfRule type="cellIs" dxfId="25570" priority="10543" stopIfTrue="1" operator="equal">
      <formula>"Towel"</formula>
    </cfRule>
    <cfRule type="cellIs" dxfId="25569" priority="10544" stopIfTrue="1" operator="equal">
      <formula>"Napkin Hs"</formula>
    </cfRule>
    <cfRule type="cellIs" dxfId="25568" priority="10553" stopIfTrue="1" operator="equal">
      <formula>"Towel"</formula>
    </cfRule>
    <cfRule type="cellIs" dxfId="25567" priority="10554" stopIfTrue="1" operator="equal">
      <formula>"Napkin Hs"</formula>
    </cfRule>
    <cfRule type="cellIs" dxfId="25566" priority="10559" stopIfTrue="1" operator="equal">
      <formula>"Towel"</formula>
    </cfRule>
    <cfRule type="cellIs" dxfId="25565" priority="10560" stopIfTrue="1" operator="equal">
      <formula>"Napkin Hs"</formula>
    </cfRule>
  </conditionalFormatting>
  <conditionalFormatting sqref="C74">
    <cfRule type="cellIs" dxfId="25564" priority="10539" stopIfTrue="1" operator="equal">
      <formula>"Towel"</formula>
    </cfRule>
    <cfRule type="cellIs" dxfId="25563" priority="10540" stopIfTrue="1" operator="equal">
      <formula>"Napkin Hs"</formula>
    </cfRule>
    <cfRule type="cellIs" dxfId="25562" priority="10541" stopIfTrue="1" operator="equal">
      <formula>"Towel"</formula>
    </cfRule>
    <cfRule type="cellIs" dxfId="25561" priority="10542" stopIfTrue="1" operator="equal">
      <formula>"Napkin Hs"</formula>
    </cfRule>
    <cfRule type="cellIs" dxfId="25560" priority="10545" stopIfTrue="1" operator="equal">
      <formula>"Towel"</formula>
    </cfRule>
    <cfRule type="cellIs" dxfId="25559" priority="10546" stopIfTrue="1" operator="equal">
      <formula>"Napkin Hs"</formula>
    </cfRule>
    <cfRule type="cellIs" dxfId="25558" priority="10547" stopIfTrue="1" operator="equal">
      <formula>"Towel"</formula>
    </cfRule>
    <cfRule type="cellIs" dxfId="25557" priority="10548" stopIfTrue="1" operator="equal">
      <formula>"Napkin Hs"</formula>
    </cfRule>
    <cfRule type="cellIs" dxfId="25556" priority="10549" stopIfTrue="1" operator="equal">
      <formula>"Towel"</formula>
    </cfRule>
    <cfRule type="cellIs" dxfId="25555" priority="10550" stopIfTrue="1" operator="equal">
      <formula>"Napkin Hs"</formula>
    </cfRule>
    <cfRule type="cellIs" dxfId="25554" priority="10551" stopIfTrue="1" operator="equal">
      <formula>"Towel"</formula>
    </cfRule>
    <cfRule type="cellIs" dxfId="25553" priority="10552" stopIfTrue="1" operator="equal">
      <formula>"Napkin Hs"</formula>
    </cfRule>
    <cfRule type="cellIs" dxfId="25552" priority="10555" stopIfTrue="1" operator="equal">
      <formula>"Towel"</formula>
    </cfRule>
    <cfRule type="cellIs" dxfId="25551" priority="10556" stopIfTrue="1" operator="equal">
      <formula>"Napkin Hs"</formula>
    </cfRule>
    <cfRule type="cellIs" dxfId="25550" priority="10558" stopIfTrue="1" operator="equal">
      <formula>"Napkin Hs"</formula>
    </cfRule>
  </conditionalFormatting>
  <conditionalFormatting sqref="C74">
    <cfRule type="cellIs" dxfId="25549" priority="10557" stopIfTrue="1" operator="equal">
      <formula>"Towel"</formula>
    </cfRule>
  </conditionalFormatting>
  <conditionalFormatting sqref="C74">
    <cfRule type="cellIs" dxfId="25548" priority="10535" stopIfTrue="1" operator="equal">
      <formula>"Towel"</formula>
    </cfRule>
    <cfRule type="cellIs" dxfId="25547" priority="10536" stopIfTrue="1" operator="equal">
      <formula>"Napkin Hs"</formula>
    </cfRule>
  </conditionalFormatting>
  <conditionalFormatting sqref="C74">
    <cfRule type="cellIs" dxfId="25546" priority="10534" stopIfTrue="1" operator="equal">
      <formula>"Napkin Hs"</formula>
    </cfRule>
  </conditionalFormatting>
  <conditionalFormatting sqref="C74">
    <cfRule type="cellIs" dxfId="25545" priority="10533" stopIfTrue="1" operator="equal">
      <formula>"Towel"</formula>
    </cfRule>
  </conditionalFormatting>
  <conditionalFormatting sqref="C74">
    <cfRule type="cellIs" dxfId="25544" priority="10531" stopIfTrue="1" operator="equal">
      <formula>"Towel"</formula>
    </cfRule>
  </conditionalFormatting>
  <conditionalFormatting sqref="C74">
    <cfRule type="cellIs" dxfId="25543" priority="10532" stopIfTrue="1" operator="equal">
      <formula>"Napkin Hs"</formula>
    </cfRule>
  </conditionalFormatting>
  <conditionalFormatting sqref="C74">
    <cfRule type="cellIs" dxfId="25542" priority="10435" stopIfTrue="1" operator="equal">
      <formula>"Towel"</formula>
    </cfRule>
  </conditionalFormatting>
  <conditionalFormatting sqref="C74">
    <cfRule type="cellIs" dxfId="25541" priority="10445" stopIfTrue="1" operator="equal">
      <formula>"Towel"</formula>
    </cfRule>
    <cfRule type="cellIs" dxfId="25540" priority="10446" stopIfTrue="1" operator="equal">
      <formula>"Napkin Hs"</formula>
    </cfRule>
    <cfRule type="cellIs" dxfId="25539" priority="10451" stopIfTrue="1" operator="equal">
      <formula>"Towel"</formula>
    </cfRule>
    <cfRule type="cellIs" dxfId="25538" priority="10452" stopIfTrue="1" operator="equal">
      <formula>"Napkin Hs"</formula>
    </cfRule>
    <cfRule type="cellIs" dxfId="25537" priority="10457" stopIfTrue="1" operator="equal">
      <formula>"Towel"</formula>
    </cfRule>
    <cfRule type="cellIs" dxfId="25536" priority="10458" stopIfTrue="1" operator="equal">
      <formula>"Napkin Hs"</formula>
    </cfRule>
    <cfRule type="cellIs" dxfId="25535" priority="10459" stopIfTrue="1" operator="equal">
      <formula>"Towel"</formula>
    </cfRule>
    <cfRule type="cellIs" dxfId="25534" priority="10460" stopIfTrue="1" operator="equal">
      <formula>"Napkin Hs"</formula>
    </cfRule>
    <cfRule type="cellIs" dxfId="25533" priority="10465" stopIfTrue="1" operator="equal">
      <formula>"Towel"</formula>
    </cfRule>
    <cfRule type="cellIs" dxfId="25532" priority="10466" stopIfTrue="1" operator="equal">
      <formula>"Napkin Hs"</formula>
    </cfRule>
    <cfRule type="cellIs" dxfId="25531" priority="10475" stopIfTrue="1" operator="equal">
      <formula>"Towel"</formula>
    </cfRule>
    <cfRule type="cellIs" dxfId="25530" priority="10476" stopIfTrue="1" operator="equal">
      <formula>"Napkin Hs"</formula>
    </cfRule>
    <cfRule type="cellIs" dxfId="25529" priority="10481" stopIfTrue="1" operator="equal">
      <formula>"Towel"</formula>
    </cfRule>
    <cfRule type="cellIs" dxfId="25528" priority="10482" stopIfTrue="1" operator="equal">
      <formula>"Napkin Hs"</formula>
    </cfRule>
    <cfRule type="cellIs" dxfId="25527" priority="10483" stopIfTrue="1" operator="equal">
      <formula>"Towel"</formula>
    </cfRule>
    <cfRule type="cellIs" dxfId="25526" priority="10484" stopIfTrue="1" operator="equal">
      <formula>"Napkin Hs"</formula>
    </cfRule>
    <cfRule type="cellIs" dxfId="25525" priority="10489" stopIfTrue="1" operator="equal">
      <formula>"Towel"</formula>
    </cfRule>
    <cfRule type="cellIs" dxfId="25524" priority="10490" stopIfTrue="1" operator="equal">
      <formula>"Napkin Hs"</formula>
    </cfRule>
    <cfRule type="cellIs" dxfId="25523" priority="10499" stopIfTrue="1" operator="equal">
      <formula>"Towel"</formula>
    </cfRule>
    <cfRule type="cellIs" dxfId="25522" priority="10500" stopIfTrue="1" operator="equal">
      <formula>"Napkin Hs"</formula>
    </cfRule>
    <cfRule type="cellIs" dxfId="25521" priority="10501" stopIfTrue="1" operator="equal">
      <formula>"Towel"</formula>
    </cfRule>
    <cfRule type="cellIs" dxfId="25520" priority="10502" stopIfTrue="1" operator="equal">
      <formula>"Napkin Hs"</formula>
    </cfRule>
    <cfRule type="cellIs" dxfId="25519" priority="10507" stopIfTrue="1" operator="equal">
      <formula>"Towel"</formula>
    </cfRule>
    <cfRule type="cellIs" dxfId="25518" priority="10508" stopIfTrue="1" operator="equal">
      <formula>"Napkin Hs"</formula>
    </cfRule>
    <cfRule type="cellIs" dxfId="25517" priority="10517" stopIfTrue="1" operator="equal">
      <formula>"Towel"</formula>
    </cfRule>
    <cfRule type="cellIs" dxfId="25516" priority="10518" stopIfTrue="1" operator="equal">
      <formula>"Napkin Hs"</formula>
    </cfRule>
    <cfRule type="cellIs" dxfId="25515" priority="10519" stopIfTrue="1" operator="equal">
      <formula>"Towel"</formula>
    </cfRule>
    <cfRule type="cellIs" dxfId="25514" priority="10520" stopIfTrue="1" operator="equal">
      <formula>"Napkin Hs"</formula>
    </cfRule>
    <cfRule type="cellIs" dxfId="25513" priority="10526" stopIfTrue="1" operator="equal">
      <formula>"Napkin Hs"</formula>
    </cfRule>
  </conditionalFormatting>
  <conditionalFormatting sqref="C74">
    <cfRule type="cellIs" dxfId="25512" priority="10525" stopIfTrue="1" operator="equal">
      <formula>"Towel"</formula>
    </cfRule>
  </conditionalFormatting>
  <conditionalFormatting sqref="C74">
    <cfRule type="cellIs" dxfId="25511" priority="10436" stopIfTrue="1" operator="equal">
      <formula>"Napkin Hs"</formula>
    </cfRule>
    <cfRule type="cellIs" dxfId="25510" priority="10437" stopIfTrue="1" operator="equal">
      <formula>"Towel"</formula>
    </cfRule>
    <cfRule type="cellIs" dxfId="25509" priority="10438" stopIfTrue="1" operator="equal">
      <formula>"Napkin Hs"</formula>
    </cfRule>
    <cfRule type="cellIs" dxfId="25508" priority="10439" stopIfTrue="1" operator="equal">
      <formula>"Towel"</formula>
    </cfRule>
    <cfRule type="cellIs" dxfId="25507" priority="10440" stopIfTrue="1" operator="equal">
      <formula>"Napkin Hs"</formula>
    </cfRule>
    <cfRule type="cellIs" dxfId="25506" priority="10441" stopIfTrue="1" operator="equal">
      <formula>"Towel"</formula>
    </cfRule>
    <cfRule type="cellIs" dxfId="25505" priority="10442" stopIfTrue="1" operator="equal">
      <formula>"Napkin Hs"</formula>
    </cfRule>
    <cfRule type="cellIs" dxfId="25504" priority="10443" stopIfTrue="1" operator="equal">
      <formula>"Towel"</formula>
    </cfRule>
    <cfRule type="cellIs" dxfId="25503" priority="10444" stopIfTrue="1" operator="equal">
      <formula>"Napkin Hs"</formula>
    </cfRule>
    <cfRule type="cellIs" dxfId="25502" priority="10447" stopIfTrue="1" operator="equal">
      <formula>"Towel"</formula>
    </cfRule>
    <cfRule type="cellIs" dxfId="25501" priority="10448" stopIfTrue="1" operator="equal">
      <formula>"Napkin Hs"</formula>
    </cfRule>
    <cfRule type="cellIs" dxfId="25500" priority="10449" stopIfTrue="1" operator="equal">
      <formula>"Towel"</formula>
    </cfRule>
    <cfRule type="cellIs" dxfId="25499" priority="10450" stopIfTrue="1" operator="equal">
      <formula>"Napkin Hs"</formula>
    </cfRule>
    <cfRule type="cellIs" dxfId="25498" priority="10453" stopIfTrue="1" operator="equal">
      <formula>"Towel"</formula>
    </cfRule>
    <cfRule type="cellIs" dxfId="25497" priority="10454" stopIfTrue="1" operator="equal">
      <formula>"Napkin Hs"</formula>
    </cfRule>
    <cfRule type="cellIs" dxfId="25496" priority="10455" stopIfTrue="1" operator="equal">
      <formula>"Towel"</formula>
    </cfRule>
    <cfRule type="cellIs" dxfId="25495" priority="10456" stopIfTrue="1" operator="equal">
      <formula>"Napkin Hs"</formula>
    </cfRule>
    <cfRule type="cellIs" dxfId="25494" priority="10461" stopIfTrue="1" operator="equal">
      <formula>"Towel"</formula>
    </cfRule>
    <cfRule type="cellIs" dxfId="25493" priority="10462" stopIfTrue="1" operator="equal">
      <formula>"Napkin Hs"</formula>
    </cfRule>
    <cfRule type="cellIs" dxfId="25492" priority="10463" stopIfTrue="1" operator="equal">
      <formula>"Towel"</formula>
    </cfRule>
    <cfRule type="cellIs" dxfId="25491" priority="10464" stopIfTrue="1" operator="equal">
      <formula>"Napkin Hs"</formula>
    </cfRule>
    <cfRule type="cellIs" dxfId="25490" priority="10467" stopIfTrue="1" operator="equal">
      <formula>"Towel"</formula>
    </cfRule>
    <cfRule type="cellIs" dxfId="25489" priority="10468" stopIfTrue="1" operator="equal">
      <formula>"Napkin Hs"</formula>
    </cfRule>
    <cfRule type="cellIs" dxfId="25488" priority="10469" stopIfTrue="1" operator="equal">
      <formula>"Towel"</formula>
    </cfRule>
    <cfRule type="cellIs" dxfId="25487" priority="10470" stopIfTrue="1" operator="equal">
      <formula>"Napkin Hs"</formula>
    </cfRule>
    <cfRule type="cellIs" dxfId="25486" priority="10471" stopIfTrue="1" operator="equal">
      <formula>"Towel"</formula>
    </cfRule>
    <cfRule type="cellIs" dxfId="25485" priority="10472" stopIfTrue="1" operator="equal">
      <formula>"Napkin Hs"</formula>
    </cfRule>
    <cfRule type="cellIs" dxfId="25484" priority="10473" stopIfTrue="1" operator="equal">
      <formula>"Towel"</formula>
    </cfRule>
    <cfRule type="cellIs" dxfId="25483" priority="10474" stopIfTrue="1" operator="equal">
      <formula>"Napkin Hs"</formula>
    </cfRule>
    <cfRule type="cellIs" dxfId="25482" priority="10477" stopIfTrue="1" operator="equal">
      <formula>"Towel"</formula>
    </cfRule>
    <cfRule type="cellIs" dxfId="25481" priority="10478" stopIfTrue="1" operator="equal">
      <formula>"Napkin Hs"</formula>
    </cfRule>
    <cfRule type="cellIs" dxfId="25480" priority="10479" stopIfTrue="1" operator="equal">
      <formula>"Towel"</formula>
    </cfRule>
    <cfRule type="cellIs" dxfId="25479" priority="10480" stopIfTrue="1" operator="equal">
      <formula>"Napkin Hs"</formula>
    </cfRule>
    <cfRule type="cellIs" dxfId="25478" priority="10485" stopIfTrue="1" operator="equal">
      <formula>"Towel"</formula>
    </cfRule>
    <cfRule type="cellIs" dxfId="25477" priority="10486" stopIfTrue="1" operator="equal">
      <formula>"Napkin Hs"</formula>
    </cfRule>
    <cfRule type="cellIs" dxfId="25476" priority="10487" stopIfTrue="1" operator="equal">
      <formula>"Towel"</formula>
    </cfRule>
    <cfRule type="cellIs" dxfId="25475" priority="10488" stopIfTrue="1" operator="equal">
      <formula>"Napkin Hs"</formula>
    </cfRule>
    <cfRule type="cellIs" dxfId="25474" priority="10491" stopIfTrue="1" operator="equal">
      <formula>"Towel"</formula>
    </cfRule>
    <cfRule type="cellIs" dxfId="25473" priority="10492" stopIfTrue="1" operator="equal">
      <formula>"Napkin Hs"</formula>
    </cfRule>
    <cfRule type="cellIs" dxfId="25472" priority="10493" stopIfTrue="1" operator="equal">
      <formula>"Towel"</formula>
    </cfRule>
    <cfRule type="cellIs" dxfId="25471" priority="10494" stopIfTrue="1" operator="equal">
      <formula>"Napkin Hs"</formula>
    </cfRule>
    <cfRule type="cellIs" dxfId="25470" priority="10495" stopIfTrue="1" operator="equal">
      <formula>"Towel"</formula>
    </cfRule>
    <cfRule type="cellIs" dxfId="25469" priority="10496" stopIfTrue="1" operator="equal">
      <formula>"Napkin Hs"</formula>
    </cfRule>
    <cfRule type="cellIs" dxfId="25468" priority="10497" stopIfTrue="1" operator="equal">
      <formula>"Towel"</formula>
    </cfRule>
    <cfRule type="cellIs" dxfId="25467" priority="10498" stopIfTrue="1" operator="equal">
      <formula>"Napkin Hs"</formula>
    </cfRule>
    <cfRule type="cellIs" dxfId="25466" priority="10503" stopIfTrue="1" operator="equal">
      <formula>"Towel"</formula>
    </cfRule>
    <cfRule type="cellIs" dxfId="25465" priority="10504" stopIfTrue="1" operator="equal">
      <formula>"Napkin Hs"</formula>
    </cfRule>
    <cfRule type="cellIs" dxfId="25464" priority="10505" stopIfTrue="1" operator="equal">
      <formula>"Towel"</formula>
    </cfRule>
    <cfRule type="cellIs" dxfId="25463" priority="10506" stopIfTrue="1" operator="equal">
      <formula>"Napkin Hs"</formula>
    </cfRule>
    <cfRule type="cellIs" dxfId="25462" priority="10509" stopIfTrue="1" operator="equal">
      <formula>"Towel"</formula>
    </cfRule>
    <cfRule type="cellIs" dxfId="25461" priority="10510" stopIfTrue="1" operator="equal">
      <formula>"Napkin Hs"</formula>
    </cfRule>
    <cfRule type="cellIs" dxfId="25460" priority="10511" stopIfTrue="1" operator="equal">
      <formula>"Towel"</formula>
    </cfRule>
    <cfRule type="cellIs" dxfId="25459" priority="10512" stopIfTrue="1" operator="equal">
      <formula>"Napkin Hs"</formula>
    </cfRule>
    <cfRule type="cellIs" dxfId="25458" priority="10513" stopIfTrue="1" operator="equal">
      <formula>"Towel"</formula>
    </cfRule>
    <cfRule type="cellIs" dxfId="25457" priority="10514" stopIfTrue="1" operator="equal">
      <formula>"Napkin Hs"</formula>
    </cfRule>
    <cfRule type="cellIs" dxfId="25456" priority="10515" stopIfTrue="1" operator="equal">
      <formula>"Towel"</formula>
    </cfRule>
    <cfRule type="cellIs" dxfId="25455" priority="10516" stopIfTrue="1" operator="equal">
      <formula>"Napkin Hs"</formula>
    </cfRule>
    <cfRule type="cellIs" dxfId="25454" priority="10521" stopIfTrue="1" operator="equal">
      <formula>"Towel"</formula>
    </cfRule>
    <cfRule type="cellIs" dxfId="25453" priority="10522" stopIfTrue="1" operator="equal">
      <formula>"Napkin Hs"</formula>
    </cfRule>
    <cfRule type="cellIs" dxfId="25452" priority="10523" stopIfTrue="1" operator="equal">
      <formula>"Towel"</formula>
    </cfRule>
    <cfRule type="cellIs" dxfId="25451" priority="10524" stopIfTrue="1" operator="equal">
      <formula>"Napkin Hs"</formula>
    </cfRule>
    <cfRule type="cellIs" dxfId="25450" priority="10527" stopIfTrue="1" operator="equal">
      <formula>"Towel"</formula>
    </cfRule>
    <cfRule type="cellIs" dxfId="25449" priority="10528" stopIfTrue="1" operator="equal">
      <formula>"Napkin Hs"</formula>
    </cfRule>
    <cfRule type="cellIs" dxfId="25448" priority="10529" stopIfTrue="1" operator="equal">
      <formula>"Towel"</formula>
    </cfRule>
    <cfRule type="cellIs" dxfId="25447" priority="10530" stopIfTrue="1" operator="equal">
      <formula>"Napkin Hs"</formula>
    </cfRule>
  </conditionalFormatting>
  <conditionalFormatting sqref="C74">
    <cfRule type="cellIs" dxfId="25446" priority="10434" stopIfTrue="1" operator="equal">
      <formula>"Napkin Hs"</formula>
    </cfRule>
  </conditionalFormatting>
  <conditionalFormatting sqref="C74">
    <cfRule type="cellIs" dxfId="25445" priority="10433" stopIfTrue="1" operator="equal">
      <formula>"Napkin Hs"</formula>
    </cfRule>
  </conditionalFormatting>
  <conditionalFormatting sqref="C74">
    <cfRule type="cellIs" dxfId="25444" priority="10432" stopIfTrue="1" operator="equal">
      <formula>"Napkin Hs"</formula>
    </cfRule>
  </conditionalFormatting>
  <conditionalFormatting sqref="C74">
    <cfRule type="cellIs" dxfId="25443" priority="10431" stopIfTrue="1" operator="equal">
      <formula>"Napkin Hs"</formula>
    </cfRule>
  </conditionalFormatting>
  <conditionalFormatting sqref="C74">
    <cfRule type="cellIs" dxfId="25442" priority="10430" stopIfTrue="1" operator="equal">
      <formula>"Napkin Hs"</formula>
    </cfRule>
  </conditionalFormatting>
  <conditionalFormatting sqref="C74">
    <cfRule type="cellIs" dxfId="25441" priority="10429" stopIfTrue="1" operator="equal">
      <formula>"Napkin Hs"</formula>
    </cfRule>
  </conditionalFormatting>
  <conditionalFormatting sqref="C74">
    <cfRule type="cellIs" dxfId="25440" priority="10425" stopIfTrue="1" operator="equal">
      <formula>"Towel"</formula>
    </cfRule>
    <cfRule type="cellIs" dxfId="25439" priority="10426" stopIfTrue="1" operator="equal">
      <formula>"Napkin Hs"</formula>
    </cfRule>
  </conditionalFormatting>
  <conditionalFormatting sqref="C74">
    <cfRule type="cellIs" dxfId="25438" priority="10427" stopIfTrue="1" operator="equal">
      <formula>"Towel"</formula>
    </cfRule>
    <cfRule type="cellIs" dxfId="25437" priority="10428" stopIfTrue="1" operator="equal">
      <formula>"Napkin Hs"</formula>
    </cfRule>
  </conditionalFormatting>
  <conditionalFormatting sqref="C74">
    <cfRule type="cellIs" dxfId="25436" priority="10421" stopIfTrue="1" operator="equal">
      <formula>"Towel"</formula>
    </cfRule>
    <cfRule type="cellIs" dxfId="25435" priority="10422" stopIfTrue="1" operator="equal">
      <formula>"Napkin Hs"</formula>
    </cfRule>
  </conditionalFormatting>
  <conditionalFormatting sqref="C74">
    <cfRule type="cellIs" dxfId="25434" priority="10423" stopIfTrue="1" operator="equal">
      <formula>"Towel"</formula>
    </cfRule>
    <cfRule type="cellIs" dxfId="25433" priority="10424" stopIfTrue="1" operator="equal">
      <formula>"Napkin Hs"</formula>
    </cfRule>
  </conditionalFormatting>
  <conditionalFormatting sqref="B74">
    <cfRule type="cellIs" dxfId="25432" priority="10419" stopIfTrue="1" operator="equal">
      <formula>"Towel"</formula>
    </cfRule>
    <cfRule type="cellIs" dxfId="25431" priority="10420" stopIfTrue="1" operator="equal">
      <formula>"Napkin Hs"</formula>
    </cfRule>
  </conditionalFormatting>
  <conditionalFormatting sqref="B74">
    <cfRule type="cellIs" dxfId="25430" priority="10417" stopIfTrue="1" operator="equal">
      <formula>"Towel"</formula>
    </cfRule>
    <cfRule type="cellIs" dxfId="25429" priority="10418" stopIfTrue="1" operator="equal">
      <formula>"Napkin Hs"</formula>
    </cfRule>
  </conditionalFormatting>
  <conditionalFormatting sqref="B74">
    <cfRule type="cellIs" dxfId="25428" priority="10415" stopIfTrue="1" operator="equal">
      <formula>"Towel"</formula>
    </cfRule>
    <cfRule type="cellIs" dxfId="25427" priority="10416" stopIfTrue="1" operator="equal">
      <formula>"Napkin Hs"</formula>
    </cfRule>
  </conditionalFormatting>
  <conditionalFormatting sqref="B74">
    <cfRule type="cellIs" dxfId="25426" priority="10407" stopIfTrue="1" operator="equal">
      <formula>"Towel"</formula>
    </cfRule>
  </conditionalFormatting>
  <conditionalFormatting sqref="B74">
    <cfRule type="cellIs" dxfId="25425" priority="10408" stopIfTrue="1" operator="equal">
      <formula>"Napkin Hs"</formula>
    </cfRule>
    <cfRule type="cellIs" dxfId="25424" priority="10409" stopIfTrue="1" operator="equal">
      <formula>"Towel"</formula>
    </cfRule>
    <cfRule type="cellIs" dxfId="25423" priority="10410" stopIfTrue="1" operator="equal">
      <formula>"Napkin Hs"</formula>
    </cfRule>
    <cfRule type="cellIs" dxfId="25422" priority="10411" stopIfTrue="1" operator="equal">
      <formula>"Towel"</formula>
    </cfRule>
    <cfRule type="cellIs" dxfId="25421" priority="10412" stopIfTrue="1" operator="equal">
      <formula>"Napkin Hs"</formula>
    </cfRule>
    <cfRule type="cellIs" dxfId="25420" priority="10413" stopIfTrue="1" operator="equal">
      <formula>"Towel"</formula>
    </cfRule>
    <cfRule type="cellIs" dxfId="25419" priority="10414" stopIfTrue="1" operator="equal">
      <formula>"Napkin Hs"</formula>
    </cfRule>
  </conditionalFormatting>
  <conditionalFormatting sqref="B74">
    <cfRule type="cellIs" dxfId="25418" priority="10405" stopIfTrue="1" operator="equal">
      <formula>"Towel"</formula>
    </cfRule>
    <cfRule type="cellIs" dxfId="25417" priority="10406" stopIfTrue="1" operator="equal">
      <formula>"Napkin Hs"</formula>
    </cfRule>
  </conditionalFormatting>
  <conditionalFormatting sqref="B74">
    <cfRule type="cellIs" dxfId="25416" priority="10374" stopIfTrue="1" operator="equal">
      <formula>"Napkin Hs"</formula>
    </cfRule>
  </conditionalFormatting>
  <conditionalFormatting sqref="B74">
    <cfRule type="cellIs" dxfId="25415" priority="10373" stopIfTrue="1" operator="equal">
      <formula>"Towel"</formula>
    </cfRule>
  </conditionalFormatting>
  <conditionalFormatting sqref="B74">
    <cfRule type="cellIs" dxfId="25414" priority="10375" stopIfTrue="1" operator="equal">
      <formula>"Towel"</formula>
    </cfRule>
    <cfRule type="cellIs" dxfId="25413" priority="10376" stopIfTrue="1" operator="equal">
      <formula>"Napkin Hs"</formula>
    </cfRule>
    <cfRule type="cellIs" dxfId="25412" priority="10377" stopIfTrue="1" operator="equal">
      <formula>"Towel"</formula>
    </cfRule>
    <cfRule type="cellIs" dxfId="25411" priority="10378" stopIfTrue="1" operator="equal">
      <formula>"Napkin Hs"</formula>
    </cfRule>
    <cfRule type="cellIs" dxfId="25410" priority="10379" stopIfTrue="1" operator="equal">
      <formula>"Towel"</formula>
    </cfRule>
    <cfRule type="cellIs" dxfId="25409" priority="10380" stopIfTrue="1" operator="equal">
      <formula>"Napkin Hs"</formula>
    </cfRule>
    <cfRule type="cellIs" dxfId="25408" priority="10381" stopIfTrue="1" operator="equal">
      <formula>"Towel"</formula>
    </cfRule>
    <cfRule type="cellIs" dxfId="25407" priority="10382" stopIfTrue="1" operator="equal">
      <formula>"Napkin Hs"</formula>
    </cfRule>
    <cfRule type="cellIs" dxfId="25406" priority="10383" stopIfTrue="1" operator="equal">
      <formula>"Towel"</formula>
    </cfRule>
    <cfRule type="cellIs" dxfId="25405" priority="10384" stopIfTrue="1" operator="equal">
      <formula>"Napkin Hs"</formula>
    </cfRule>
    <cfRule type="cellIs" dxfId="25404" priority="10385" stopIfTrue="1" operator="equal">
      <formula>"Towel"</formula>
    </cfRule>
    <cfRule type="cellIs" dxfId="25403" priority="10386" stopIfTrue="1" operator="equal">
      <formula>"Napkin Hs"</formula>
    </cfRule>
    <cfRule type="cellIs" dxfId="25402" priority="10387" stopIfTrue="1" operator="equal">
      <formula>"Towel"</formula>
    </cfRule>
    <cfRule type="cellIs" dxfId="25401" priority="10388" stopIfTrue="1" operator="equal">
      <formula>"Napkin Hs"</formula>
    </cfRule>
    <cfRule type="cellIs" dxfId="25400" priority="10389" stopIfTrue="1" operator="equal">
      <formula>"Towel"</formula>
    </cfRule>
    <cfRule type="cellIs" dxfId="25399" priority="10390" stopIfTrue="1" operator="equal">
      <formula>"Napkin Hs"</formula>
    </cfRule>
    <cfRule type="cellIs" dxfId="25398" priority="10391" stopIfTrue="1" operator="equal">
      <formula>"Towel"</formula>
    </cfRule>
    <cfRule type="cellIs" dxfId="25397" priority="10392" stopIfTrue="1" operator="equal">
      <formula>"Napkin Hs"</formula>
    </cfRule>
    <cfRule type="cellIs" dxfId="25396" priority="10393" stopIfTrue="1" operator="equal">
      <formula>"Towel"</formula>
    </cfRule>
    <cfRule type="cellIs" dxfId="25395" priority="10394" stopIfTrue="1" operator="equal">
      <formula>"Napkin Hs"</formula>
    </cfRule>
    <cfRule type="cellIs" dxfId="25394" priority="10395" stopIfTrue="1" operator="equal">
      <formula>"Towel"</formula>
    </cfRule>
    <cfRule type="cellIs" dxfId="25393" priority="10396" stopIfTrue="1" operator="equal">
      <formula>"Napkin Hs"</formula>
    </cfRule>
    <cfRule type="cellIs" dxfId="25392" priority="10397" stopIfTrue="1" operator="equal">
      <formula>"Towel"</formula>
    </cfRule>
    <cfRule type="cellIs" dxfId="25391" priority="10398" stopIfTrue="1" operator="equal">
      <formula>"Napkin Hs"</formula>
    </cfRule>
    <cfRule type="cellIs" dxfId="25390" priority="10399" stopIfTrue="1" operator="equal">
      <formula>"Towel"</formula>
    </cfRule>
    <cfRule type="cellIs" dxfId="25389" priority="10400" stopIfTrue="1" operator="equal">
      <formula>"Napkin Hs"</formula>
    </cfRule>
    <cfRule type="cellIs" dxfId="25388" priority="10401" stopIfTrue="1" operator="equal">
      <formula>"Towel"</formula>
    </cfRule>
    <cfRule type="cellIs" dxfId="25387" priority="10402" stopIfTrue="1" operator="equal">
      <formula>"Napkin Hs"</formula>
    </cfRule>
    <cfRule type="cellIs" dxfId="25386" priority="10404" stopIfTrue="1" operator="equal">
      <formula>"Napkin Hs"</formula>
    </cfRule>
  </conditionalFormatting>
  <conditionalFormatting sqref="B74">
    <cfRule type="cellIs" dxfId="25385" priority="10403" stopIfTrue="1" operator="equal">
      <formula>"Towel"</formula>
    </cfRule>
  </conditionalFormatting>
  <conditionalFormatting sqref="B74">
    <cfRule type="cellIs" dxfId="25384" priority="10372" stopIfTrue="1" operator="equal">
      <formula>"Napkin Hs"</formula>
    </cfRule>
  </conditionalFormatting>
  <conditionalFormatting sqref="B74">
    <cfRule type="cellIs" dxfId="25383" priority="10371" stopIfTrue="1" operator="equal">
      <formula>"Napkin Hs"</formula>
    </cfRule>
  </conditionalFormatting>
  <conditionalFormatting sqref="B74">
    <cfRule type="cellIs" dxfId="25382" priority="10370" stopIfTrue="1" operator="equal">
      <formula>"Napkin Hs"</formula>
    </cfRule>
  </conditionalFormatting>
  <conditionalFormatting sqref="B86:C86">
    <cfRule type="cellIs" dxfId="25381" priority="10368" stopIfTrue="1" operator="equal">
      <formula>"Towel"</formula>
    </cfRule>
    <cfRule type="cellIs" dxfId="25380" priority="10369" stopIfTrue="1" operator="equal">
      <formula>"Napkin Hs"</formula>
    </cfRule>
  </conditionalFormatting>
  <conditionalFormatting sqref="C86">
    <cfRule type="cellIs" dxfId="25379" priority="10366" stopIfTrue="1" operator="equal">
      <formula>"Towel"</formula>
    </cfRule>
    <cfRule type="cellIs" dxfId="25378" priority="10367" stopIfTrue="1" operator="equal">
      <formula>"Napkin Hs"</formula>
    </cfRule>
  </conditionalFormatting>
  <conditionalFormatting sqref="C86">
    <cfRule type="cellIs" dxfId="25377" priority="10364" stopIfTrue="1" operator="equal">
      <formula>"Towel"</formula>
    </cfRule>
    <cfRule type="cellIs" dxfId="25376" priority="10365" stopIfTrue="1" operator="equal">
      <formula>"Napkin Hs"</formula>
    </cfRule>
  </conditionalFormatting>
  <conditionalFormatting sqref="C80:C81">
    <cfRule type="cellIs" dxfId="25375" priority="10360" stopIfTrue="1" operator="equal">
      <formula>"Towel"</formula>
    </cfRule>
    <cfRule type="cellIs" dxfId="25374" priority="10361" stopIfTrue="1" operator="equal">
      <formula>"Napkin Hs"</formula>
    </cfRule>
  </conditionalFormatting>
  <conditionalFormatting sqref="C80:C81">
    <cfRule type="cellIs" dxfId="25373" priority="10362" stopIfTrue="1" operator="equal">
      <formula>"Towel"</formula>
    </cfRule>
    <cfRule type="cellIs" dxfId="25372" priority="10363" stopIfTrue="1" operator="equal">
      <formula>"Napkin Hs"</formula>
    </cfRule>
  </conditionalFormatting>
  <conditionalFormatting sqref="C80:C81">
    <cfRule type="cellIs" dxfId="25371" priority="10358" stopIfTrue="1" operator="equal">
      <formula>"Towel"</formula>
    </cfRule>
    <cfRule type="cellIs" dxfId="25370" priority="10359" stopIfTrue="1" operator="equal">
      <formula>"Napkin Hs"</formula>
    </cfRule>
  </conditionalFormatting>
  <conditionalFormatting sqref="B80:B81">
    <cfRule type="cellIs" dxfId="25369" priority="10356" stopIfTrue="1" operator="equal">
      <formula>"Towel"</formula>
    </cfRule>
    <cfRule type="cellIs" dxfId="25368" priority="10357" stopIfTrue="1" operator="equal">
      <formula>"Napkin Hs"</formula>
    </cfRule>
  </conditionalFormatting>
  <conditionalFormatting sqref="C80:C81">
    <cfRule type="cellIs" dxfId="25367" priority="10350" stopIfTrue="1" operator="equal">
      <formula>"Towel"</formula>
    </cfRule>
    <cfRule type="cellIs" dxfId="25366" priority="10351" stopIfTrue="1" operator="equal">
      <formula>"Napkin Hs"</formula>
    </cfRule>
  </conditionalFormatting>
  <conditionalFormatting sqref="C80:C81">
    <cfRule type="cellIs" dxfId="25365" priority="10354" stopIfTrue="1" operator="equal">
      <formula>"Towel"</formula>
    </cfRule>
    <cfRule type="cellIs" dxfId="25364" priority="10355" stopIfTrue="1" operator="equal">
      <formula>"Napkin Hs"</formula>
    </cfRule>
  </conditionalFormatting>
  <conditionalFormatting sqref="C80:C81">
    <cfRule type="cellIs" dxfId="25363" priority="10352" stopIfTrue="1" operator="equal">
      <formula>"Towel"</formula>
    </cfRule>
    <cfRule type="cellIs" dxfId="25362" priority="10353" stopIfTrue="1" operator="equal">
      <formula>"Napkin Hs"</formula>
    </cfRule>
  </conditionalFormatting>
  <conditionalFormatting sqref="C80:C81">
    <cfRule type="cellIs" dxfId="25361" priority="10344" stopIfTrue="1" operator="equal">
      <formula>"Towel"</formula>
    </cfRule>
    <cfRule type="cellIs" dxfId="25360" priority="10345" stopIfTrue="1" operator="equal">
      <formula>"Napkin Hs"</formula>
    </cfRule>
  </conditionalFormatting>
  <conditionalFormatting sqref="C80:C81">
    <cfRule type="cellIs" dxfId="25359" priority="10346" stopIfTrue="1" operator="equal">
      <formula>"Towel"</formula>
    </cfRule>
    <cfRule type="cellIs" dxfId="25358" priority="10347" stopIfTrue="1" operator="equal">
      <formula>"Napkin Hs"</formula>
    </cfRule>
  </conditionalFormatting>
  <conditionalFormatting sqref="C80:C81">
    <cfRule type="cellIs" dxfId="25357" priority="10348" stopIfTrue="1" operator="equal">
      <formula>"Towel"</formula>
    </cfRule>
    <cfRule type="cellIs" dxfId="25356" priority="10349" stopIfTrue="1" operator="equal">
      <formula>"Napkin Hs"</formula>
    </cfRule>
  </conditionalFormatting>
  <conditionalFormatting sqref="B80:C81">
    <cfRule type="cellIs" dxfId="25355" priority="10342" stopIfTrue="1" operator="equal">
      <formula>"Towel"</formula>
    </cfRule>
    <cfRule type="cellIs" dxfId="25354" priority="10343" stopIfTrue="1" operator="equal">
      <formula>"Napkin Hs"</formula>
    </cfRule>
  </conditionalFormatting>
  <conditionalFormatting sqref="B80:C81">
    <cfRule type="cellIs" dxfId="25353" priority="10340" stopIfTrue="1" operator="equal">
      <formula>"Towel"</formula>
    </cfRule>
    <cfRule type="cellIs" dxfId="25352" priority="10341" stopIfTrue="1" operator="equal">
      <formula>"Napkin Hs"</formula>
    </cfRule>
  </conditionalFormatting>
  <conditionalFormatting sqref="B80:C81">
    <cfRule type="cellIs" dxfId="25351" priority="10316" stopIfTrue="1" operator="equal">
      <formula>"Towel"</formula>
    </cfRule>
  </conditionalFormatting>
  <conditionalFormatting sqref="B80:C81">
    <cfRule type="cellIs" dxfId="25350" priority="10317" stopIfTrue="1" operator="equal">
      <formula>"Napkin Hs"</formula>
    </cfRule>
    <cfRule type="cellIs" dxfId="25349" priority="10322" stopIfTrue="1" operator="equal">
      <formula>"Towel"</formula>
    </cfRule>
    <cfRule type="cellIs" dxfId="25348" priority="10323" stopIfTrue="1" operator="equal">
      <formula>"Napkin Hs"</formula>
    </cfRule>
    <cfRule type="cellIs" dxfId="25347" priority="10332" stopIfTrue="1" operator="equal">
      <formula>"Towel"</formula>
    </cfRule>
    <cfRule type="cellIs" dxfId="25346" priority="10333" stopIfTrue="1" operator="equal">
      <formula>"Napkin Hs"</formula>
    </cfRule>
    <cfRule type="cellIs" dxfId="25345" priority="10338" stopIfTrue="1" operator="equal">
      <formula>"Towel"</formula>
    </cfRule>
    <cfRule type="cellIs" dxfId="25344" priority="10339" stopIfTrue="1" operator="equal">
      <formula>"Napkin Hs"</formula>
    </cfRule>
  </conditionalFormatting>
  <conditionalFormatting sqref="C80:C81">
    <cfRule type="cellIs" dxfId="25343" priority="10318" stopIfTrue="1" operator="equal">
      <formula>"Towel"</formula>
    </cfRule>
    <cfRule type="cellIs" dxfId="25342" priority="10319" stopIfTrue="1" operator="equal">
      <formula>"Napkin Hs"</formula>
    </cfRule>
    <cfRule type="cellIs" dxfId="25341" priority="10320" stopIfTrue="1" operator="equal">
      <formula>"Towel"</formula>
    </cfRule>
    <cfRule type="cellIs" dxfId="25340" priority="10321" stopIfTrue="1" operator="equal">
      <formula>"Napkin Hs"</formula>
    </cfRule>
    <cfRule type="cellIs" dxfId="25339" priority="10324" stopIfTrue="1" operator="equal">
      <formula>"Towel"</formula>
    </cfRule>
    <cfRule type="cellIs" dxfId="25338" priority="10325" stopIfTrue="1" operator="equal">
      <formula>"Napkin Hs"</formula>
    </cfRule>
    <cfRule type="cellIs" dxfId="25337" priority="10326" stopIfTrue="1" operator="equal">
      <formula>"Towel"</formula>
    </cfRule>
    <cfRule type="cellIs" dxfId="25336" priority="10327" stopIfTrue="1" operator="equal">
      <formula>"Napkin Hs"</formula>
    </cfRule>
    <cfRule type="cellIs" dxfId="25335" priority="10328" stopIfTrue="1" operator="equal">
      <formula>"Towel"</formula>
    </cfRule>
    <cfRule type="cellIs" dxfId="25334" priority="10329" stopIfTrue="1" operator="equal">
      <formula>"Napkin Hs"</formula>
    </cfRule>
    <cfRule type="cellIs" dxfId="25333" priority="10330" stopIfTrue="1" operator="equal">
      <formula>"Towel"</formula>
    </cfRule>
    <cfRule type="cellIs" dxfId="25332" priority="10331" stopIfTrue="1" operator="equal">
      <formula>"Napkin Hs"</formula>
    </cfRule>
    <cfRule type="cellIs" dxfId="25331" priority="10334" stopIfTrue="1" operator="equal">
      <formula>"Towel"</formula>
    </cfRule>
    <cfRule type="cellIs" dxfId="25330" priority="10335" stopIfTrue="1" operator="equal">
      <formula>"Napkin Hs"</formula>
    </cfRule>
    <cfRule type="cellIs" dxfId="25329" priority="10337" stopIfTrue="1" operator="equal">
      <formula>"Napkin Hs"</formula>
    </cfRule>
  </conditionalFormatting>
  <conditionalFormatting sqref="C80:C81">
    <cfRule type="cellIs" dxfId="25328" priority="10336" stopIfTrue="1" operator="equal">
      <formula>"Towel"</formula>
    </cfRule>
  </conditionalFormatting>
  <conditionalFormatting sqref="B80:C81">
    <cfRule type="cellIs" dxfId="25327" priority="10314" stopIfTrue="1" operator="equal">
      <formula>"Towel"</formula>
    </cfRule>
    <cfRule type="cellIs" dxfId="25326" priority="10315" stopIfTrue="1" operator="equal">
      <formula>"Napkin Hs"</formula>
    </cfRule>
  </conditionalFormatting>
  <conditionalFormatting sqref="C80:C81">
    <cfRule type="cellIs" dxfId="25325" priority="10313" stopIfTrue="1" operator="equal">
      <formula>"Napkin Hs"</formula>
    </cfRule>
  </conditionalFormatting>
  <conditionalFormatting sqref="C80:C81">
    <cfRule type="cellIs" dxfId="25324" priority="10312" stopIfTrue="1" operator="equal">
      <formula>"Towel"</formula>
    </cfRule>
  </conditionalFormatting>
  <conditionalFormatting sqref="C80:C81">
    <cfRule type="cellIs" dxfId="25323" priority="10310" stopIfTrue="1" operator="equal">
      <formula>"Towel"</formula>
    </cfRule>
  </conditionalFormatting>
  <conditionalFormatting sqref="C80:C81">
    <cfRule type="cellIs" dxfId="25322" priority="10311" stopIfTrue="1" operator="equal">
      <formula>"Napkin Hs"</formula>
    </cfRule>
  </conditionalFormatting>
  <conditionalFormatting sqref="B80:B81">
    <cfRule type="cellIs" dxfId="25321" priority="10214" stopIfTrue="1" operator="equal">
      <formula>"Napkin Hs"</formula>
    </cfRule>
  </conditionalFormatting>
  <conditionalFormatting sqref="B80:C81">
    <cfRule type="cellIs" dxfId="25320" priority="10213" stopIfTrue="1" operator="equal">
      <formula>"Towel"</formula>
    </cfRule>
  </conditionalFormatting>
  <conditionalFormatting sqref="B80:C81">
    <cfRule type="cellIs" dxfId="25319" priority="10224" stopIfTrue="1" operator="equal">
      <formula>"Towel"</formula>
    </cfRule>
    <cfRule type="cellIs" dxfId="25318" priority="10225" stopIfTrue="1" operator="equal">
      <formula>"Napkin Hs"</formula>
    </cfRule>
    <cfRule type="cellIs" dxfId="25317" priority="10230" stopIfTrue="1" operator="equal">
      <formula>"Towel"</formula>
    </cfRule>
    <cfRule type="cellIs" dxfId="25316" priority="10231" stopIfTrue="1" operator="equal">
      <formula>"Napkin Hs"</formula>
    </cfRule>
    <cfRule type="cellIs" dxfId="25315" priority="10236" stopIfTrue="1" operator="equal">
      <formula>"Towel"</formula>
    </cfRule>
    <cfRule type="cellIs" dxfId="25314" priority="10237" stopIfTrue="1" operator="equal">
      <formula>"Napkin Hs"</formula>
    </cfRule>
    <cfRule type="cellIs" dxfId="25313" priority="10238" stopIfTrue="1" operator="equal">
      <formula>"Towel"</formula>
    </cfRule>
    <cfRule type="cellIs" dxfId="25312" priority="10239" stopIfTrue="1" operator="equal">
      <formula>"Napkin Hs"</formula>
    </cfRule>
    <cfRule type="cellIs" dxfId="25311" priority="10244" stopIfTrue="1" operator="equal">
      <formula>"Towel"</formula>
    </cfRule>
    <cfRule type="cellIs" dxfId="25310" priority="10245" stopIfTrue="1" operator="equal">
      <formula>"Napkin Hs"</formula>
    </cfRule>
    <cfRule type="cellIs" dxfId="25309" priority="10254" stopIfTrue="1" operator="equal">
      <formula>"Towel"</formula>
    </cfRule>
    <cfRule type="cellIs" dxfId="25308" priority="10255" stopIfTrue="1" operator="equal">
      <formula>"Napkin Hs"</formula>
    </cfRule>
    <cfRule type="cellIs" dxfId="25307" priority="10260" stopIfTrue="1" operator="equal">
      <formula>"Towel"</formula>
    </cfRule>
    <cfRule type="cellIs" dxfId="25306" priority="10261" stopIfTrue="1" operator="equal">
      <formula>"Napkin Hs"</formula>
    </cfRule>
    <cfRule type="cellIs" dxfId="25305" priority="10262" stopIfTrue="1" operator="equal">
      <formula>"Towel"</formula>
    </cfRule>
    <cfRule type="cellIs" dxfId="25304" priority="10263" stopIfTrue="1" operator="equal">
      <formula>"Napkin Hs"</formula>
    </cfRule>
    <cfRule type="cellIs" dxfId="25303" priority="10268" stopIfTrue="1" operator="equal">
      <formula>"Towel"</formula>
    </cfRule>
    <cfRule type="cellIs" dxfId="25302" priority="10269" stopIfTrue="1" operator="equal">
      <formula>"Napkin Hs"</formula>
    </cfRule>
    <cfRule type="cellIs" dxfId="25301" priority="10278" stopIfTrue="1" operator="equal">
      <formula>"Towel"</formula>
    </cfRule>
    <cfRule type="cellIs" dxfId="25300" priority="10279" stopIfTrue="1" operator="equal">
      <formula>"Napkin Hs"</formula>
    </cfRule>
    <cfRule type="cellIs" dxfId="25299" priority="10280" stopIfTrue="1" operator="equal">
      <formula>"Towel"</formula>
    </cfRule>
    <cfRule type="cellIs" dxfId="25298" priority="10281" stopIfTrue="1" operator="equal">
      <formula>"Napkin Hs"</formula>
    </cfRule>
    <cfRule type="cellIs" dxfId="25297" priority="10286" stopIfTrue="1" operator="equal">
      <formula>"Towel"</formula>
    </cfRule>
    <cfRule type="cellIs" dxfId="25296" priority="10287" stopIfTrue="1" operator="equal">
      <formula>"Napkin Hs"</formula>
    </cfRule>
    <cfRule type="cellIs" dxfId="25295" priority="10296" stopIfTrue="1" operator="equal">
      <formula>"Towel"</formula>
    </cfRule>
    <cfRule type="cellIs" dxfId="25294" priority="10297" stopIfTrue="1" operator="equal">
      <formula>"Napkin Hs"</formula>
    </cfRule>
    <cfRule type="cellIs" dxfId="25293" priority="10298" stopIfTrue="1" operator="equal">
      <formula>"Towel"</formula>
    </cfRule>
    <cfRule type="cellIs" dxfId="25292" priority="10299" stopIfTrue="1" operator="equal">
      <formula>"Napkin Hs"</formula>
    </cfRule>
    <cfRule type="cellIs" dxfId="25291" priority="10305" stopIfTrue="1" operator="equal">
      <formula>"Napkin Hs"</formula>
    </cfRule>
  </conditionalFormatting>
  <conditionalFormatting sqref="B80:C81">
    <cfRule type="cellIs" dxfId="25290" priority="10304" stopIfTrue="1" operator="equal">
      <formula>"Towel"</formula>
    </cfRule>
  </conditionalFormatting>
  <conditionalFormatting sqref="C80:C81">
    <cfRule type="cellIs" dxfId="25289" priority="10215" stopIfTrue="1" operator="equal">
      <formula>"Napkin Hs"</formula>
    </cfRule>
    <cfRule type="cellIs" dxfId="25288" priority="10216" stopIfTrue="1" operator="equal">
      <formula>"Towel"</formula>
    </cfRule>
    <cfRule type="cellIs" dxfId="25287" priority="10217" stopIfTrue="1" operator="equal">
      <formula>"Napkin Hs"</formula>
    </cfRule>
    <cfRule type="cellIs" dxfId="25286" priority="10218" stopIfTrue="1" operator="equal">
      <formula>"Towel"</formula>
    </cfRule>
    <cfRule type="cellIs" dxfId="25285" priority="10219" stopIfTrue="1" operator="equal">
      <formula>"Napkin Hs"</formula>
    </cfRule>
    <cfRule type="cellIs" dxfId="25284" priority="10220" stopIfTrue="1" operator="equal">
      <formula>"Towel"</formula>
    </cfRule>
    <cfRule type="cellIs" dxfId="25283" priority="10221" stopIfTrue="1" operator="equal">
      <formula>"Napkin Hs"</formula>
    </cfRule>
    <cfRule type="cellIs" dxfId="25282" priority="10222" stopIfTrue="1" operator="equal">
      <formula>"Towel"</formula>
    </cfRule>
    <cfRule type="cellIs" dxfId="25281" priority="10223" stopIfTrue="1" operator="equal">
      <formula>"Napkin Hs"</formula>
    </cfRule>
    <cfRule type="cellIs" dxfId="25280" priority="10226" stopIfTrue="1" operator="equal">
      <formula>"Towel"</formula>
    </cfRule>
    <cfRule type="cellIs" dxfId="25279" priority="10227" stopIfTrue="1" operator="equal">
      <formula>"Napkin Hs"</formula>
    </cfRule>
    <cfRule type="cellIs" dxfId="25278" priority="10228" stopIfTrue="1" operator="equal">
      <formula>"Towel"</formula>
    </cfRule>
    <cfRule type="cellIs" dxfId="25277" priority="10229" stopIfTrue="1" operator="equal">
      <formula>"Napkin Hs"</formula>
    </cfRule>
    <cfRule type="cellIs" dxfId="25276" priority="10232" stopIfTrue="1" operator="equal">
      <formula>"Towel"</formula>
    </cfRule>
    <cfRule type="cellIs" dxfId="25275" priority="10233" stopIfTrue="1" operator="equal">
      <formula>"Napkin Hs"</formula>
    </cfRule>
    <cfRule type="cellIs" dxfId="25274" priority="10234" stopIfTrue="1" operator="equal">
      <formula>"Towel"</formula>
    </cfRule>
    <cfRule type="cellIs" dxfId="25273" priority="10235" stopIfTrue="1" operator="equal">
      <formula>"Napkin Hs"</formula>
    </cfRule>
    <cfRule type="cellIs" dxfId="25272" priority="10240" stopIfTrue="1" operator="equal">
      <formula>"Towel"</formula>
    </cfRule>
    <cfRule type="cellIs" dxfId="25271" priority="10241" stopIfTrue="1" operator="equal">
      <formula>"Napkin Hs"</formula>
    </cfRule>
    <cfRule type="cellIs" dxfId="25270" priority="10242" stopIfTrue="1" operator="equal">
      <formula>"Towel"</formula>
    </cfRule>
    <cfRule type="cellIs" dxfId="25269" priority="10243" stopIfTrue="1" operator="equal">
      <formula>"Napkin Hs"</formula>
    </cfRule>
    <cfRule type="cellIs" dxfId="25268" priority="10246" stopIfTrue="1" operator="equal">
      <formula>"Towel"</formula>
    </cfRule>
    <cfRule type="cellIs" dxfId="25267" priority="10247" stopIfTrue="1" operator="equal">
      <formula>"Napkin Hs"</formula>
    </cfRule>
    <cfRule type="cellIs" dxfId="25266" priority="10248" stopIfTrue="1" operator="equal">
      <formula>"Towel"</formula>
    </cfRule>
    <cfRule type="cellIs" dxfId="25265" priority="10249" stopIfTrue="1" operator="equal">
      <formula>"Napkin Hs"</formula>
    </cfRule>
    <cfRule type="cellIs" dxfId="25264" priority="10250" stopIfTrue="1" operator="equal">
      <formula>"Towel"</formula>
    </cfRule>
    <cfRule type="cellIs" dxfId="25263" priority="10251" stopIfTrue="1" operator="equal">
      <formula>"Napkin Hs"</formula>
    </cfRule>
    <cfRule type="cellIs" dxfId="25262" priority="10252" stopIfTrue="1" operator="equal">
      <formula>"Towel"</formula>
    </cfRule>
    <cfRule type="cellIs" dxfId="25261" priority="10253" stopIfTrue="1" operator="equal">
      <formula>"Napkin Hs"</formula>
    </cfRule>
    <cfRule type="cellIs" dxfId="25260" priority="10256" stopIfTrue="1" operator="equal">
      <formula>"Towel"</formula>
    </cfRule>
    <cfRule type="cellIs" dxfId="25259" priority="10257" stopIfTrue="1" operator="equal">
      <formula>"Napkin Hs"</formula>
    </cfRule>
    <cfRule type="cellIs" dxfId="25258" priority="10258" stopIfTrue="1" operator="equal">
      <formula>"Towel"</formula>
    </cfRule>
    <cfRule type="cellIs" dxfId="25257" priority="10259" stopIfTrue="1" operator="equal">
      <formula>"Napkin Hs"</formula>
    </cfRule>
    <cfRule type="cellIs" dxfId="25256" priority="10264" stopIfTrue="1" operator="equal">
      <formula>"Towel"</formula>
    </cfRule>
    <cfRule type="cellIs" dxfId="25255" priority="10265" stopIfTrue="1" operator="equal">
      <formula>"Napkin Hs"</formula>
    </cfRule>
    <cfRule type="cellIs" dxfId="25254" priority="10266" stopIfTrue="1" operator="equal">
      <formula>"Towel"</formula>
    </cfRule>
    <cfRule type="cellIs" dxfId="25253" priority="10267" stopIfTrue="1" operator="equal">
      <formula>"Napkin Hs"</formula>
    </cfRule>
    <cfRule type="cellIs" dxfId="25252" priority="10270" stopIfTrue="1" operator="equal">
      <formula>"Towel"</formula>
    </cfRule>
    <cfRule type="cellIs" dxfId="25251" priority="10271" stopIfTrue="1" operator="equal">
      <formula>"Napkin Hs"</formula>
    </cfRule>
    <cfRule type="cellIs" dxfId="25250" priority="10272" stopIfTrue="1" operator="equal">
      <formula>"Towel"</formula>
    </cfRule>
    <cfRule type="cellIs" dxfId="25249" priority="10273" stopIfTrue="1" operator="equal">
      <formula>"Napkin Hs"</formula>
    </cfRule>
    <cfRule type="cellIs" dxfId="25248" priority="10274" stopIfTrue="1" operator="equal">
      <formula>"Towel"</formula>
    </cfRule>
    <cfRule type="cellIs" dxfId="25247" priority="10275" stopIfTrue="1" operator="equal">
      <formula>"Napkin Hs"</formula>
    </cfRule>
    <cfRule type="cellIs" dxfId="25246" priority="10276" stopIfTrue="1" operator="equal">
      <formula>"Towel"</formula>
    </cfRule>
    <cfRule type="cellIs" dxfId="25245" priority="10277" stopIfTrue="1" operator="equal">
      <formula>"Napkin Hs"</formula>
    </cfRule>
    <cfRule type="cellIs" dxfId="25244" priority="10282" stopIfTrue="1" operator="equal">
      <formula>"Towel"</formula>
    </cfRule>
    <cfRule type="cellIs" dxfId="25243" priority="10283" stopIfTrue="1" operator="equal">
      <formula>"Napkin Hs"</formula>
    </cfRule>
    <cfRule type="cellIs" dxfId="25242" priority="10284" stopIfTrue="1" operator="equal">
      <formula>"Towel"</formula>
    </cfRule>
    <cfRule type="cellIs" dxfId="25241" priority="10285" stopIfTrue="1" operator="equal">
      <formula>"Napkin Hs"</formula>
    </cfRule>
    <cfRule type="cellIs" dxfId="25240" priority="10288" stopIfTrue="1" operator="equal">
      <formula>"Towel"</formula>
    </cfRule>
    <cfRule type="cellIs" dxfId="25239" priority="10289" stopIfTrue="1" operator="equal">
      <formula>"Napkin Hs"</formula>
    </cfRule>
    <cfRule type="cellIs" dxfId="25238" priority="10290" stopIfTrue="1" operator="equal">
      <formula>"Towel"</formula>
    </cfRule>
    <cfRule type="cellIs" dxfId="25237" priority="10291" stopIfTrue="1" operator="equal">
      <formula>"Napkin Hs"</formula>
    </cfRule>
    <cfRule type="cellIs" dxfId="25236" priority="10292" stopIfTrue="1" operator="equal">
      <formula>"Towel"</formula>
    </cfRule>
    <cfRule type="cellIs" dxfId="25235" priority="10293" stopIfTrue="1" operator="equal">
      <formula>"Napkin Hs"</formula>
    </cfRule>
    <cfRule type="cellIs" dxfId="25234" priority="10294" stopIfTrue="1" operator="equal">
      <formula>"Towel"</formula>
    </cfRule>
    <cfRule type="cellIs" dxfId="25233" priority="10295" stopIfTrue="1" operator="equal">
      <formula>"Napkin Hs"</formula>
    </cfRule>
    <cfRule type="cellIs" dxfId="25232" priority="10300" stopIfTrue="1" operator="equal">
      <formula>"Towel"</formula>
    </cfRule>
    <cfRule type="cellIs" dxfId="25231" priority="10301" stopIfTrue="1" operator="equal">
      <formula>"Napkin Hs"</formula>
    </cfRule>
    <cfRule type="cellIs" dxfId="25230" priority="10302" stopIfTrue="1" operator="equal">
      <formula>"Towel"</formula>
    </cfRule>
    <cfRule type="cellIs" dxfId="25229" priority="10303" stopIfTrue="1" operator="equal">
      <formula>"Napkin Hs"</formula>
    </cfRule>
    <cfRule type="cellIs" dxfId="25228" priority="10306" stopIfTrue="1" operator="equal">
      <formula>"Towel"</formula>
    </cfRule>
    <cfRule type="cellIs" dxfId="25227" priority="10307" stopIfTrue="1" operator="equal">
      <formula>"Napkin Hs"</formula>
    </cfRule>
    <cfRule type="cellIs" dxfId="25226" priority="10308" stopIfTrue="1" operator="equal">
      <formula>"Towel"</formula>
    </cfRule>
    <cfRule type="cellIs" dxfId="25225" priority="10309" stopIfTrue="1" operator="equal">
      <formula>"Napkin Hs"</formula>
    </cfRule>
  </conditionalFormatting>
  <conditionalFormatting sqref="C80:C81">
    <cfRule type="cellIs" dxfId="25224" priority="10212" stopIfTrue="1" operator="equal">
      <formula>"Napkin Hs"</formula>
    </cfRule>
  </conditionalFormatting>
  <conditionalFormatting sqref="C80:C81">
    <cfRule type="cellIs" dxfId="25223" priority="10211" stopIfTrue="1" operator="equal">
      <formula>"Napkin Hs"</formula>
    </cfRule>
  </conditionalFormatting>
  <conditionalFormatting sqref="B80:B81">
    <cfRule type="cellIs" dxfId="25222" priority="10210" stopIfTrue="1" operator="equal">
      <formula>"Napkin Hs"</formula>
    </cfRule>
  </conditionalFormatting>
  <conditionalFormatting sqref="C80:C81">
    <cfRule type="cellIs" dxfId="25221" priority="10209" stopIfTrue="1" operator="equal">
      <formula>"Napkin Hs"</formula>
    </cfRule>
  </conditionalFormatting>
  <conditionalFormatting sqref="C80:C81">
    <cfRule type="cellIs" dxfId="25220" priority="10208" stopIfTrue="1" operator="equal">
      <formula>"Napkin Hs"</formula>
    </cfRule>
  </conditionalFormatting>
  <conditionalFormatting sqref="C80:C81">
    <cfRule type="cellIs" dxfId="25219" priority="10207" stopIfTrue="1" operator="equal">
      <formula>"Napkin Hs"</formula>
    </cfRule>
  </conditionalFormatting>
  <conditionalFormatting sqref="C80:C81">
    <cfRule type="cellIs" dxfId="25218" priority="10206" stopIfTrue="1" operator="equal">
      <formula>"Napkin Hs"</formula>
    </cfRule>
  </conditionalFormatting>
  <conditionalFormatting sqref="B80:B81">
    <cfRule type="cellIs" dxfId="25217" priority="10205" stopIfTrue="1" operator="equal">
      <formula>"Napkin Hs"</formula>
    </cfRule>
  </conditionalFormatting>
  <conditionalFormatting sqref="B80:B81">
    <cfRule type="cellIs" dxfId="25216" priority="10204" stopIfTrue="1" operator="equal">
      <formula>"Napkin Hs"</formula>
    </cfRule>
  </conditionalFormatting>
  <conditionalFormatting sqref="C80:C81">
    <cfRule type="cellIs" dxfId="25215" priority="10200" stopIfTrue="1" operator="equal">
      <formula>"Towel"</formula>
    </cfRule>
    <cfRule type="cellIs" dxfId="25214" priority="10201" stopIfTrue="1" operator="equal">
      <formula>"Napkin Hs"</formula>
    </cfRule>
  </conditionalFormatting>
  <conditionalFormatting sqref="C80:C81">
    <cfRule type="cellIs" dxfId="25213" priority="10202" stopIfTrue="1" operator="equal">
      <formula>"Towel"</formula>
    </cfRule>
    <cfRule type="cellIs" dxfId="25212" priority="10203" stopIfTrue="1" operator="equal">
      <formula>"Napkin Hs"</formula>
    </cfRule>
  </conditionalFormatting>
  <conditionalFormatting sqref="C80:C81">
    <cfRule type="cellIs" dxfId="25211" priority="10196" stopIfTrue="1" operator="equal">
      <formula>"Towel"</formula>
    </cfRule>
    <cfRule type="cellIs" dxfId="25210" priority="10197" stopIfTrue="1" operator="equal">
      <formula>"Napkin Hs"</formula>
    </cfRule>
  </conditionalFormatting>
  <conditionalFormatting sqref="C80:C81">
    <cfRule type="cellIs" dxfId="25209" priority="10198" stopIfTrue="1" operator="equal">
      <formula>"Towel"</formula>
    </cfRule>
    <cfRule type="cellIs" dxfId="25208" priority="10199" stopIfTrue="1" operator="equal">
      <formula>"Napkin Hs"</formula>
    </cfRule>
  </conditionalFormatting>
  <conditionalFormatting sqref="C79">
    <cfRule type="cellIs" dxfId="25207" priority="10192" stopIfTrue="1" operator="equal">
      <formula>"Towel"</formula>
    </cfRule>
    <cfRule type="cellIs" dxfId="25206" priority="10193" stopIfTrue="1" operator="equal">
      <formula>"Napkin Hs"</formula>
    </cfRule>
  </conditionalFormatting>
  <conditionalFormatting sqref="C79">
    <cfRule type="cellIs" dxfId="25205" priority="10194" stopIfTrue="1" operator="equal">
      <formula>"Towel"</formula>
    </cfRule>
    <cfRule type="cellIs" dxfId="25204" priority="10195" stopIfTrue="1" operator="equal">
      <formula>"Napkin Hs"</formula>
    </cfRule>
  </conditionalFormatting>
  <conditionalFormatting sqref="C79">
    <cfRule type="cellIs" dxfId="25203" priority="10190" stopIfTrue="1" operator="equal">
      <formula>"Towel"</formula>
    </cfRule>
    <cfRule type="cellIs" dxfId="25202" priority="10191" stopIfTrue="1" operator="equal">
      <formula>"Napkin Hs"</formula>
    </cfRule>
  </conditionalFormatting>
  <conditionalFormatting sqref="C79">
    <cfRule type="cellIs" dxfId="25201" priority="10184" stopIfTrue="1" operator="equal">
      <formula>"Towel"</formula>
    </cfRule>
    <cfRule type="cellIs" dxfId="25200" priority="10185" stopIfTrue="1" operator="equal">
      <formula>"Napkin Hs"</formula>
    </cfRule>
  </conditionalFormatting>
  <conditionalFormatting sqref="C79">
    <cfRule type="cellIs" dxfId="25199" priority="10188" stopIfTrue="1" operator="equal">
      <formula>"Towel"</formula>
    </cfRule>
    <cfRule type="cellIs" dxfId="25198" priority="10189" stopIfTrue="1" operator="equal">
      <formula>"Napkin Hs"</formula>
    </cfRule>
  </conditionalFormatting>
  <conditionalFormatting sqref="C79">
    <cfRule type="cellIs" dxfId="25197" priority="10186" stopIfTrue="1" operator="equal">
      <formula>"Towel"</formula>
    </cfRule>
    <cfRule type="cellIs" dxfId="25196" priority="10187" stopIfTrue="1" operator="equal">
      <formula>"Napkin Hs"</formula>
    </cfRule>
  </conditionalFormatting>
  <conditionalFormatting sqref="C79">
    <cfRule type="cellIs" dxfId="25195" priority="10178" stopIfTrue="1" operator="equal">
      <formula>"Towel"</formula>
    </cfRule>
    <cfRule type="cellIs" dxfId="25194" priority="10179" stopIfTrue="1" operator="equal">
      <formula>"Napkin Hs"</formula>
    </cfRule>
  </conditionalFormatting>
  <conditionalFormatting sqref="C79">
    <cfRule type="cellIs" dxfId="25193" priority="10180" stopIfTrue="1" operator="equal">
      <formula>"Towel"</formula>
    </cfRule>
    <cfRule type="cellIs" dxfId="25192" priority="10181" stopIfTrue="1" operator="equal">
      <formula>"Napkin Hs"</formula>
    </cfRule>
  </conditionalFormatting>
  <conditionalFormatting sqref="C79">
    <cfRule type="cellIs" dxfId="25191" priority="10182" stopIfTrue="1" operator="equal">
      <formula>"Towel"</formula>
    </cfRule>
    <cfRule type="cellIs" dxfId="25190" priority="10183" stopIfTrue="1" operator="equal">
      <formula>"Napkin Hs"</formula>
    </cfRule>
  </conditionalFormatting>
  <conditionalFormatting sqref="C79">
    <cfRule type="cellIs" dxfId="25189" priority="10176" stopIfTrue="1" operator="equal">
      <formula>"Towel"</formula>
    </cfRule>
    <cfRule type="cellIs" dxfId="25188" priority="10177" stopIfTrue="1" operator="equal">
      <formula>"Napkin Hs"</formula>
    </cfRule>
  </conditionalFormatting>
  <conditionalFormatting sqref="C79">
    <cfRule type="cellIs" dxfId="25187" priority="10174" stopIfTrue="1" operator="equal">
      <formula>"Towel"</formula>
    </cfRule>
    <cfRule type="cellIs" dxfId="25186" priority="10175" stopIfTrue="1" operator="equal">
      <formula>"Napkin Hs"</formula>
    </cfRule>
  </conditionalFormatting>
  <conditionalFormatting sqref="C79">
    <cfRule type="cellIs" dxfId="25185" priority="10150" stopIfTrue="1" operator="equal">
      <formula>"Towel"</formula>
    </cfRule>
  </conditionalFormatting>
  <conditionalFormatting sqref="C79">
    <cfRule type="cellIs" dxfId="25184" priority="10151" stopIfTrue="1" operator="equal">
      <formula>"Napkin Hs"</formula>
    </cfRule>
    <cfRule type="cellIs" dxfId="25183" priority="10156" stopIfTrue="1" operator="equal">
      <formula>"Towel"</formula>
    </cfRule>
    <cfRule type="cellIs" dxfId="25182" priority="10157" stopIfTrue="1" operator="equal">
      <formula>"Napkin Hs"</formula>
    </cfRule>
    <cfRule type="cellIs" dxfId="25181" priority="10166" stopIfTrue="1" operator="equal">
      <formula>"Towel"</formula>
    </cfRule>
    <cfRule type="cellIs" dxfId="25180" priority="10167" stopIfTrue="1" operator="equal">
      <formula>"Napkin Hs"</formula>
    </cfRule>
    <cfRule type="cellIs" dxfId="25179" priority="10172" stopIfTrue="1" operator="equal">
      <formula>"Towel"</formula>
    </cfRule>
    <cfRule type="cellIs" dxfId="25178" priority="10173" stopIfTrue="1" operator="equal">
      <formula>"Napkin Hs"</formula>
    </cfRule>
  </conditionalFormatting>
  <conditionalFormatting sqref="C79">
    <cfRule type="cellIs" dxfId="25177" priority="10152" stopIfTrue="1" operator="equal">
      <formula>"Towel"</formula>
    </cfRule>
    <cfRule type="cellIs" dxfId="25176" priority="10153" stopIfTrue="1" operator="equal">
      <formula>"Napkin Hs"</formula>
    </cfRule>
    <cfRule type="cellIs" dxfId="25175" priority="10154" stopIfTrue="1" operator="equal">
      <formula>"Towel"</formula>
    </cfRule>
    <cfRule type="cellIs" dxfId="25174" priority="10155" stopIfTrue="1" operator="equal">
      <formula>"Napkin Hs"</formula>
    </cfRule>
    <cfRule type="cellIs" dxfId="25173" priority="10158" stopIfTrue="1" operator="equal">
      <formula>"Towel"</formula>
    </cfRule>
    <cfRule type="cellIs" dxfId="25172" priority="10159" stopIfTrue="1" operator="equal">
      <formula>"Napkin Hs"</formula>
    </cfRule>
    <cfRule type="cellIs" dxfId="25171" priority="10160" stopIfTrue="1" operator="equal">
      <formula>"Towel"</formula>
    </cfRule>
    <cfRule type="cellIs" dxfId="25170" priority="10161" stopIfTrue="1" operator="equal">
      <formula>"Napkin Hs"</formula>
    </cfRule>
    <cfRule type="cellIs" dxfId="25169" priority="10162" stopIfTrue="1" operator="equal">
      <formula>"Towel"</formula>
    </cfRule>
    <cfRule type="cellIs" dxfId="25168" priority="10163" stopIfTrue="1" operator="equal">
      <formula>"Napkin Hs"</formula>
    </cfRule>
    <cfRule type="cellIs" dxfId="25167" priority="10164" stopIfTrue="1" operator="equal">
      <formula>"Towel"</formula>
    </cfRule>
    <cfRule type="cellIs" dxfId="25166" priority="10165" stopIfTrue="1" operator="equal">
      <formula>"Napkin Hs"</formula>
    </cfRule>
    <cfRule type="cellIs" dxfId="25165" priority="10168" stopIfTrue="1" operator="equal">
      <formula>"Towel"</formula>
    </cfRule>
    <cfRule type="cellIs" dxfId="25164" priority="10169" stopIfTrue="1" operator="equal">
      <formula>"Napkin Hs"</formula>
    </cfRule>
    <cfRule type="cellIs" dxfId="25163" priority="10171" stopIfTrue="1" operator="equal">
      <formula>"Napkin Hs"</formula>
    </cfRule>
  </conditionalFormatting>
  <conditionalFormatting sqref="C79">
    <cfRule type="cellIs" dxfId="25162" priority="10170" stopIfTrue="1" operator="equal">
      <formula>"Towel"</formula>
    </cfRule>
  </conditionalFormatting>
  <conditionalFormatting sqref="C79">
    <cfRule type="cellIs" dxfId="25161" priority="10148" stopIfTrue="1" operator="equal">
      <formula>"Towel"</formula>
    </cfRule>
    <cfRule type="cellIs" dxfId="25160" priority="10149" stopIfTrue="1" operator="equal">
      <formula>"Napkin Hs"</formula>
    </cfRule>
  </conditionalFormatting>
  <conditionalFormatting sqref="C79">
    <cfRule type="cellIs" dxfId="25159" priority="10147" stopIfTrue="1" operator="equal">
      <formula>"Napkin Hs"</formula>
    </cfRule>
  </conditionalFormatting>
  <conditionalFormatting sqref="C79">
    <cfRule type="cellIs" dxfId="25158" priority="10146" stopIfTrue="1" operator="equal">
      <formula>"Towel"</formula>
    </cfRule>
  </conditionalFormatting>
  <conditionalFormatting sqref="C79">
    <cfRule type="cellIs" dxfId="25157" priority="10144" stopIfTrue="1" operator="equal">
      <formula>"Towel"</formula>
    </cfRule>
  </conditionalFormatting>
  <conditionalFormatting sqref="C79">
    <cfRule type="cellIs" dxfId="25156" priority="10145" stopIfTrue="1" operator="equal">
      <formula>"Napkin Hs"</formula>
    </cfRule>
  </conditionalFormatting>
  <conditionalFormatting sqref="C79">
    <cfRule type="cellIs" dxfId="25155" priority="10048" stopIfTrue="1" operator="equal">
      <formula>"Towel"</formula>
    </cfRule>
  </conditionalFormatting>
  <conditionalFormatting sqref="C79">
    <cfRule type="cellIs" dxfId="25154" priority="10058" stopIfTrue="1" operator="equal">
      <formula>"Towel"</formula>
    </cfRule>
    <cfRule type="cellIs" dxfId="25153" priority="10059" stopIfTrue="1" operator="equal">
      <formula>"Napkin Hs"</formula>
    </cfRule>
    <cfRule type="cellIs" dxfId="25152" priority="10064" stopIfTrue="1" operator="equal">
      <formula>"Towel"</formula>
    </cfRule>
    <cfRule type="cellIs" dxfId="25151" priority="10065" stopIfTrue="1" operator="equal">
      <formula>"Napkin Hs"</formula>
    </cfRule>
    <cfRule type="cellIs" dxfId="25150" priority="10070" stopIfTrue="1" operator="equal">
      <formula>"Towel"</formula>
    </cfRule>
    <cfRule type="cellIs" dxfId="25149" priority="10071" stopIfTrue="1" operator="equal">
      <formula>"Napkin Hs"</formula>
    </cfRule>
    <cfRule type="cellIs" dxfId="25148" priority="10072" stopIfTrue="1" operator="equal">
      <formula>"Towel"</formula>
    </cfRule>
    <cfRule type="cellIs" dxfId="25147" priority="10073" stopIfTrue="1" operator="equal">
      <formula>"Napkin Hs"</formula>
    </cfRule>
    <cfRule type="cellIs" dxfId="25146" priority="10078" stopIfTrue="1" operator="equal">
      <formula>"Towel"</formula>
    </cfRule>
    <cfRule type="cellIs" dxfId="25145" priority="10079" stopIfTrue="1" operator="equal">
      <formula>"Napkin Hs"</formula>
    </cfRule>
    <cfRule type="cellIs" dxfId="25144" priority="10088" stopIfTrue="1" operator="equal">
      <formula>"Towel"</formula>
    </cfRule>
    <cfRule type="cellIs" dxfId="25143" priority="10089" stopIfTrue="1" operator="equal">
      <formula>"Napkin Hs"</formula>
    </cfRule>
    <cfRule type="cellIs" dxfId="25142" priority="10094" stopIfTrue="1" operator="equal">
      <formula>"Towel"</formula>
    </cfRule>
    <cfRule type="cellIs" dxfId="25141" priority="10095" stopIfTrue="1" operator="equal">
      <formula>"Napkin Hs"</formula>
    </cfRule>
    <cfRule type="cellIs" dxfId="25140" priority="10096" stopIfTrue="1" operator="equal">
      <formula>"Towel"</formula>
    </cfRule>
    <cfRule type="cellIs" dxfId="25139" priority="10097" stopIfTrue="1" operator="equal">
      <formula>"Napkin Hs"</formula>
    </cfRule>
    <cfRule type="cellIs" dxfId="25138" priority="10102" stopIfTrue="1" operator="equal">
      <formula>"Towel"</formula>
    </cfRule>
    <cfRule type="cellIs" dxfId="25137" priority="10103" stopIfTrue="1" operator="equal">
      <formula>"Napkin Hs"</formula>
    </cfRule>
    <cfRule type="cellIs" dxfId="25136" priority="10112" stopIfTrue="1" operator="equal">
      <formula>"Towel"</formula>
    </cfRule>
    <cfRule type="cellIs" dxfId="25135" priority="10113" stopIfTrue="1" operator="equal">
      <formula>"Napkin Hs"</formula>
    </cfRule>
    <cfRule type="cellIs" dxfId="25134" priority="10114" stopIfTrue="1" operator="equal">
      <formula>"Towel"</formula>
    </cfRule>
    <cfRule type="cellIs" dxfId="25133" priority="10115" stopIfTrue="1" operator="equal">
      <formula>"Napkin Hs"</formula>
    </cfRule>
    <cfRule type="cellIs" dxfId="25132" priority="10120" stopIfTrue="1" operator="equal">
      <formula>"Towel"</formula>
    </cfRule>
    <cfRule type="cellIs" dxfId="25131" priority="10121" stopIfTrue="1" operator="equal">
      <formula>"Napkin Hs"</formula>
    </cfRule>
    <cfRule type="cellIs" dxfId="25130" priority="10130" stopIfTrue="1" operator="equal">
      <formula>"Towel"</formula>
    </cfRule>
    <cfRule type="cellIs" dxfId="25129" priority="10131" stopIfTrue="1" operator="equal">
      <formula>"Napkin Hs"</formula>
    </cfRule>
    <cfRule type="cellIs" dxfId="25128" priority="10132" stopIfTrue="1" operator="equal">
      <formula>"Towel"</formula>
    </cfRule>
    <cfRule type="cellIs" dxfId="25127" priority="10133" stopIfTrue="1" operator="equal">
      <formula>"Napkin Hs"</formula>
    </cfRule>
    <cfRule type="cellIs" dxfId="25126" priority="10139" stopIfTrue="1" operator="equal">
      <formula>"Napkin Hs"</formula>
    </cfRule>
  </conditionalFormatting>
  <conditionalFormatting sqref="C79">
    <cfRule type="cellIs" dxfId="25125" priority="10138" stopIfTrue="1" operator="equal">
      <formula>"Towel"</formula>
    </cfRule>
  </conditionalFormatting>
  <conditionalFormatting sqref="C79">
    <cfRule type="cellIs" dxfId="25124" priority="10049" stopIfTrue="1" operator="equal">
      <formula>"Napkin Hs"</formula>
    </cfRule>
    <cfRule type="cellIs" dxfId="25123" priority="10050" stopIfTrue="1" operator="equal">
      <formula>"Towel"</formula>
    </cfRule>
    <cfRule type="cellIs" dxfId="25122" priority="10051" stopIfTrue="1" operator="equal">
      <formula>"Napkin Hs"</formula>
    </cfRule>
    <cfRule type="cellIs" dxfId="25121" priority="10052" stopIfTrue="1" operator="equal">
      <formula>"Towel"</formula>
    </cfRule>
    <cfRule type="cellIs" dxfId="25120" priority="10053" stopIfTrue="1" operator="equal">
      <formula>"Napkin Hs"</formula>
    </cfRule>
    <cfRule type="cellIs" dxfId="25119" priority="10054" stopIfTrue="1" operator="equal">
      <formula>"Towel"</formula>
    </cfRule>
    <cfRule type="cellIs" dxfId="25118" priority="10055" stopIfTrue="1" operator="equal">
      <formula>"Napkin Hs"</formula>
    </cfRule>
    <cfRule type="cellIs" dxfId="25117" priority="10056" stopIfTrue="1" operator="equal">
      <formula>"Towel"</formula>
    </cfRule>
    <cfRule type="cellIs" dxfId="25116" priority="10057" stopIfTrue="1" operator="equal">
      <formula>"Napkin Hs"</formula>
    </cfRule>
    <cfRule type="cellIs" dxfId="25115" priority="10060" stopIfTrue="1" operator="equal">
      <formula>"Towel"</formula>
    </cfRule>
    <cfRule type="cellIs" dxfId="25114" priority="10061" stopIfTrue="1" operator="equal">
      <formula>"Napkin Hs"</formula>
    </cfRule>
    <cfRule type="cellIs" dxfId="25113" priority="10062" stopIfTrue="1" operator="equal">
      <formula>"Towel"</formula>
    </cfRule>
    <cfRule type="cellIs" dxfId="25112" priority="10063" stopIfTrue="1" operator="equal">
      <formula>"Napkin Hs"</formula>
    </cfRule>
    <cfRule type="cellIs" dxfId="25111" priority="10066" stopIfTrue="1" operator="equal">
      <formula>"Towel"</formula>
    </cfRule>
    <cfRule type="cellIs" dxfId="25110" priority="10067" stopIfTrue="1" operator="equal">
      <formula>"Napkin Hs"</formula>
    </cfRule>
    <cfRule type="cellIs" dxfId="25109" priority="10068" stopIfTrue="1" operator="equal">
      <formula>"Towel"</formula>
    </cfRule>
    <cfRule type="cellIs" dxfId="25108" priority="10069" stopIfTrue="1" operator="equal">
      <formula>"Napkin Hs"</formula>
    </cfRule>
    <cfRule type="cellIs" dxfId="25107" priority="10074" stopIfTrue="1" operator="equal">
      <formula>"Towel"</formula>
    </cfRule>
    <cfRule type="cellIs" dxfId="25106" priority="10075" stopIfTrue="1" operator="equal">
      <formula>"Napkin Hs"</formula>
    </cfRule>
    <cfRule type="cellIs" dxfId="25105" priority="10076" stopIfTrue="1" operator="equal">
      <formula>"Towel"</formula>
    </cfRule>
    <cfRule type="cellIs" dxfId="25104" priority="10077" stopIfTrue="1" operator="equal">
      <formula>"Napkin Hs"</formula>
    </cfRule>
    <cfRule type="cellIs" dxfId="25103" priority="10080" stopIfTrue="1" operator="equal">
      <formula>"Towel"</formula>
    </cfRule>
    <cfRule type="cellIs" dxfId="25102" priority="10081" stopIfTrue="1" operator="equal">
      <formula>"Napkin Hs"</formula>
    </cfRule>
    <cfRule type="cellIs" dxfId="25101" priority="10082" stopIfTrue="1" operator="equal">
      <formula>"Towel"</formula>
    </cfRule>
    <cfRule type="cellIs" dxfId="25100" priority="10083" stopIfTrue="1" operator="equal">
      <formula>"Napkin Hs"</formula>
    </cfRule>
    <cfRule type="cellIs" dxfId="25099" priority="10084" stopIfTrue="1" operator="equal">
      <formula>"Towel"</formula>
    </cfRule>
    <cfRule type="cellIs" dxfId="25098" priority="10085" stopIfTrue="1" operator="equal">
      <formula>"Napkin Hs"</formula>
    </cfRule>
    <cfRule type="cellIs" dxfId="25097" priority="10086" stopIfTrue="1" operator="equal">
      <formula>"Towel"</formula>
    </cfRule>
    <cfRule type="cellIs" dxfId="25096" priority="10087" stopIfTrue="1" operator="equal">
      <formula>"Napkin Hs"</formula>
    </cfRule>
    <cfRule type="cellIs" dxfId="25095" priority="10090" stopIfTrue="1" operator="equal">
      <formula>"Towel"</formula>
    </cfRule>
    <cfRule type="cellIs" dxfId="25094" priority="10091" stopIfTrue="1" operator="equal">
      <formula>"Napkin Hs"</formula>
    </cfRule>
    <cfRule type="cellIs" dxfId="25093" priority="10092" stopIfTrue="1" operator="equal">
      <formula>"Towel"</formula>
    </cfRule>
    <cfRule type="cellIs" dxfId="25092" priority="10093" stopIfTrue="1" operator="equal">
      <formula>"Napkin Hs"</formula>
    </cfRule>
    <cfRule type="cellIs" dxfId="25091" priority="10098" stopIfTrue="1" operator="equal">
      <formula>"Towel"</formula>
    </cfRule>
    <cfRule type="cellIs" dxfId="25090" priority="10099" stopIfTrue="1" operator="equal">
      <formula>"Napkin Hs"</formula>
    </cfRule>
    <cfRule type="cellIs" dxfId="25089" priority="10100" stopIfTrue="1" operator="equal">
      <formula>"Towel"</formula>
    </cfRule>
    <cfRule type="cellIs" dxfId="25088" priority="10101" stopIfTrue="1" operator="equal">
      <formula>"Napkin Hs"</formula>
    </cfRule>
    <cfRule type="cellIs" dxfId="25087" priority="10104" stopIfTrue="1" operator="equal">
      <formula>"Towel"</formula>
    </cfRule>
    <cfRule type="cellIs" dxfId="25086" priority="10105" stopIfTrue="1" operator="equal">
      <formula>"Napkin Hs"</formula>
    </cfRule>
    <cfRule type="cellIs" dxfId="25085" priority="10106" stopIfTrue="1" operator="equal">
      <formula>"Towel"</formula>
    </cfRule>
    <cfRule type="cellIs" dxfId="25084" priority="10107" stopIfTrue="1" operator="equal">
      <formula>"Napkin Hs"</formula>
    </cfRule>
    <cfRule type="cellIs" dxfId="25083" priority="10108" stopIfTrue="1" operator="equal">
      <formula>"Towel"</formula>
    </cfRule>
    <cfRule type="cellIs" dxfId="25082" priority="10109" stopIfTrue="1" operator="equal">
      <formula>"Napkin Hs"</formula>
    </cfRule>
    <cfRule type="cellIs" dxfId="25081" priority="10110" stopIfTrue="1" operator="equal">
      <formula>"Towel"</formula>
    </cfRule>
    <cfRule type="cellIs" dxfId="25080" priority="10111" stopIfTrue="1" operator="equal">
      <formula>"Napkin Hs"</formula>
    </cfRule>
    <cfRule type="cellIs" dxfId="25079" priority="10116" stopIfTrue="1" operator="equal">
      <formula>"Towel"</formula>
    </cfRule>
    <cfRule type="cellIs" dxfId="25078" priority="10117" stopIfTrue="1" operator="equal">
      <formula>"Napkin Hs"</formula>
    </cfRule>
    <cfRule type="cellIs" dxfId="25077" priority="10118" stopIfTrue="1" operator="equal">
      <formula>"Towel"</formula>
    </cfRule>
    <cfRule type="cellIs" dxfId="25076" priority="10119" stopIfTrue="1" operator="equal">
      <formula>"Napkin Hs"</formula>
    </cfRule>
    <cfRule type="cellIs" dxfId="25075" priority="10122" stopIfTrue="1" operator="equal">
      <formula>"Towel"</formula>
    </cfRule>
    <cfRule type="cellIs" dxfId="25074" priority="10123" stopIfTrue="1" operator="equal">
      <formula>"Napkin Hs"</formula>
    </cfRule>
    <cfRule type="cellIs" dxfId="25073" priority="10124" stopIfTrue="1" operator="equal">
      <formula>"Towel"</formula>
    </cfRule>
    <cfRule type="cellIs" dxfId="25072" priority="10125" stopIfTrue="1" operator="equal">
      <formula>"Napkin Hs"</formula>
    </cfRule>
    <cfRule type="cellIs" dxfId="25071" priority="10126" stopIfTrue="1" operator="equal">
      <formula>"Towel"</formula>
    </cfRule>
    <cfRule type="cellIs" dxfId="25070" priority="10127" stopIfTrue="1" operator="equal">
      <formula>"Napkin Hs"</formula>
    </cfRule>
    <cfRule type="cellIs" dxfId="25069" priority="10128" stopIfTrue="1" operator="equal">
      <formula>"Towel"</formula>
    </cfRule>
    <cfRule type="cellIs" dxfId="25068" priority="10129" stopIfTrue="1" operator="equal">
      <formula>"Napkin Hs"</formula>
    </cfRule>
    <cfRule type="cellIs" dxfId="25067" priority="10134" stopIfTrue="1" operator="equal">
      <formula>"Towel"</formula>
    </cfRule>
    <cfRule type="cellIs" dxfId="25066" priority="10135" stopIfTrue="1" operator="equal">
      <formula>"Napkin Hs"</formula>
    </cfRule>
    <cfRule type="cellIs" dxfId="25065" priority="10136" stopIfTrue="1" operator="equal">
      <formula>"Towel"</formula>
    </cfRule>
    <cfRule type="cellIs" dxfId="25064" priority="10137" stopIfTrue="1" operator="equal">
      <formula>"Napkin Hs"</formula>
    </cfRule>
    <cfRule type="cellIs" dxfId="25063" priority="10140" stopIfTrue="1" operator="equal">
      <formula>"Towel"</formula>
    </cfRule>
    <cfRule type="cellIs" dxfId="25062" priority="10141" stopIfTrue="1" operator="equal">
      <formula>"Napkin Hs"</formula>
    </cfRule>
    <cfRule type="cellIs" dxfId="25061" priority="10142" stopIfTrue="1" operator="equal">
      <formula>"Towel"</formula>
    </cfRule>
    <cfRule type="cellIs" dxfId="25060" priority="10143" stopIfTrue="1" operator="equal">
      <formula>"Napkin Hs"</formula>
    </cfRule>
  </conditionalFormatting>
  <conditionalFormatting sqref="C79">
    <cfRule type="cellIs" dxfId="25059" priority="10047" stopIfTrue="1" operator="equal">
      <formula>"Napkin Hs"</formula>
    </cfRule>
  </conditionalFormatting>
  <conditionalFormatting sqref="C79">
    <cfRule type="cellIs" dxfId="25058" priority="10046" stopIfTrue="1" operator="equal">
      <formula>"Napkin Hs"</formula>
    </cfRule>
  </conditionalFormatting>
  <conditionalFormatting sqref="C79">
    <cfRule type="cellIs" dxfId="25057" priority="10045" stopIfTrue="1" operator="equal">
      <formula>"Napkin Hs"</formula>
    </cfRule>
  </conditionalFormatting>
  <conditionalFormatting sqref="C79">
    <cfRule type="cellIs" dxfId="25056" priority="10044" stopIfTrue="1" operator="equal">
      <formula>"Napkin Hs"</formula>
    </cfRule>
  </conditionalFormatting>
  <conditionalFormatting sqref="C79">
    <cfRule type="cellIs" dxfId="25055" priority="10043" stopIfTrue="1" operator="equal">
      <formula>"Napkin Hs"</formula>
    </cfRule>
  </conditionalFormatting>
  <conditionalFormatting sqref="C79">
    <cfRule type="cellIs" dxfId="25054" priority="10042" stopIfTrue="1" operator="equal">
      <formula>"Napkin Hs"</formula>
    </cfRule>
  </conditionalFormatting>
  <conditionalFormatting sqref="C79">
    <cfRule type="cellIs" dxfId="25053" priority="10038" stopIfTrue="1" operator="equal">
      <formula>"Towel"</formula>
    </cfRule>
    <cfRule type="cellIs" dxfId="25052" priority="10039" stopIfTrue="1" operator="equal">
      <formula>"Napkin Hs"</formula>
    </cfRule>
  </conditionalFormatting>
  <conditionalFormatting sqref="C79">
    <cfRule type="cellIs" dxfId="25051" priority="10040" stopIfTrue="1" operator="equal">
      <formula>"Towel"</formula>
    </cfRule>
    <cfRule type="cellIs" dxfId="25050" priority="10041" stopIfTrue="1" operator="equal">
      <formula>"Napkin Hs"</formula>
    </cfRule>
  </conditionalFormatting>
  <conditionalFormatting sqref="C79">
    <cfRule type="cellIs" dxfId="25049" priority="10034" stopIfTrue="1" operator="equal">
      <formula>"Towel"</formula>
    </cfRule>
    <cfRule type="cellIs" dxfId="25048" priority="10035" stopIfTrue="1" operator="equal">
      <formula>"Napkin Hs"</formula>
    </cfRule>
  </conditionalFormatting>
  <conditionalFormatting sqref="C79">
    <cfRule type="cellIs" dxfId="25047" priority="10036" stopIfTrue="1" operator="equal">
      <formula>"Towel"</formula>
    </cfRule>
    <cfRule type="cellIs" dxfId="25046" priority="10037" stopIfTrue="1" operator="equal">
      <formula>"Napkin Hs"</formula>
    </cfRule>
  </conditionalFormatting>
  <conditionalFormatting sqref="B79">
    <cfRule type="cellIs" dxfId="25045" priority="10032" stopIfTrue="1" operator="equal">
      <formula>"Towel"</formula>
    </cfRule>
    <cfRule type="cellIs" dxfId="25044" priority="10033" stopIfTrue="1" operator="equal">
      <formula>"Napkin Hs"</formula>
    </cfRule>
  </conditionalFormatting>
  <conditionalFormatting sqref="B79">
    <cfRule type="cellIs" dxfId="25043" priority="10030" stopIfTrue="1" operator="equal">
      <formula>"Towel"</formula>
    </cfRule>
    <cfRule type="cellIs" dxfId="25042" priority="10031" stopIfTrue="1" operator="equal">
      <formula>"Napkin Hs"</formula>
    </cfRule>
  </conditionalFormatting>
  <conditionalFormatting sqref="B79">
    <cfRule type="cellIs" dxfId="25041" priority="10028" stopIfTrue="1" operator="equal">
      <formula>"Towel"</formula>
    </cfRule>
    <cfRule type="cellIs" dxfId="25040" priority="10029" stopIfTrue="1" operator="equal">
      <formula>"Napkin Hs"</formula>
    </cfRule>
  </conditionalFormatting>
  <conditionalFormatting sqref="B79">
    <cfRule type="cellIs" dxfId="25039" priority="10020" stopIfTrue="1" operator="equal">
      <formula>"Towel"</formula>
    </cfRule>
  </conditionalFormatting>
  <conditionalFormatting sqref="B79">
    <cfRule type="cellIs" dxfId="25038" priority="10021" stopIfTrue="1" operator="equal">
      <formula>"Napkin Hs"</formula>
    </cfRule>
    <cfRule type="cellIs" dxfId="25037" priority="10022" stopIfTrue="1" operator="equal">
      <formula>"Towel"</formula>
    </cfRule>
    <cfRule type="cellIs" dxfId="25036" priority="10023" stopIfTrue="1" operator="equal">
      <formula>"Napkin Hs"</formula>
    </cfRule>
    <cfRule type="cellIs" dxfId="25035" priority="10024" stopIfTrue="1" operator="equal">
      <formula>"Towel"</formula>
    </cfRule>
    <cfRule type="cellIs" dxfId="25034" priority="10025" stopIfTrue="1" operator="equal">
      <formula>"Napkin Hs"</formula>
    </cfRule>
    <cfRule type="cellIs" dxfId="25033" priority="10026" stopIfTrue="1" operator="equal">
      <formula>"Towel"</formula>
    </cfRule>
    <cfRule type="cellIs" dxfId="25032" priority="10027" stopIfTrue="1" operator="equal">
      <formula>"Napkin Hs"</formula>
    </cfRule>
  </conditionalFormatting>
  <conditionalFormatting sqref="B79">
    <cfRule type="cellIs" dxfId="25031" priority="10018" stopIfTrue="1" operator="equal">
      <formula>"Towel"</formula>
    </cfRule>
    <cfRule type="cellIs" dxfId="25030" priority="10019" stopIfTrue="1" operator="equal">
      <formula>"Napkin Hs"</formula>
    </cfRule>
  </conditionalFormatting>
  <conditionalFormatting sqref="B79">
    <cfRule type="cellIs" dxfId="25029" priority="9987" stopIfTrue="1" operator="equal">
      <formula>"Napkin Hs"</formula>
    </cfRule>
  </conditionalFormatting>
  <conditionalFormatting sqref="B79">
    <cfRule type="cellIs" dxfId="25028" priority="9986" stopIfTrue="1" operator="equal">
      <formula>"Towel"</formula>
    </cfRule>
  </conditionalFormatting>
  <conditionalFormatting sqref="B79">
    <cfRule type="cellIs" dxfId="25027" priority="9988" stopIfTrue="1" operator="equal">
      <formula>"Towel"</formula>
    </cfRule>
    <cfRule type="cellIs" dxfId="25026" priority="9989" stopIfTrue="1" operator="equal">
      <formula>"Napkin Hs"</formula>
    </cfRule>
    <cfRule type="cellIs" dxfId="25025" priority="9990" stopIfTrue="1" operator="equal">
      <formula>"Towel"</formula>
    </cfRule>
    <cfRule type="cellIs" dxfId="25024" priority="9991" stopIfTrue="1" operator="equal">
      <formula>"Napkin Hs"</formula>
    </cfRule>
    <cfRule type="cellIs" dxfId="25023" priority="9992" stopIfTrue="1" operator="equal">
      <formula>"Towel"</formula>
    </cfRule>
    <cfRule type="cellIs" dxfId="25022" priority="9993" stopIfTrue="1" operator="equal">
      <formula>"Napkin Hs"</formula>
    </cfRule>
    <cfRule type="cellIs" dxfId="25021" priority="9994" stopIfTrue="1" operator="equal">
      <formula>"Towel"</formula>
    </cfRule>
    <cfRule type="cellIs" dxfId="25020" priority="9995" stopIfTrue="1" operator="equal">
      <formula>"Napkin Hs"</formula>
    </cfRule>
    <cfRule type="cellIs" dxfId="25019" priority="9996" stopIfTrue="1" operator="equal">
      <formula>"Towel"</formula>
    </cfRule>
    <cfRule type="cellIs" dxfId="25018" priority="9997" stopIfTrue="1" operator="equal">
      <formula>"Napkin Hs"</formula>
    </cfRule>
    <cfRule type="cellIs" dxfId="25017" priority="9998" stopIfTrue="1" operator="equal">
      <formula>"Towel"</formula>
    </cfRule>
    <cfRule type="cellIs" dxfId="25016" priority="9999" stopIfTrue="1" operator="equal">
      <formula>"Napkin Hs"</formula>
    </cfRule>
    <cfRule type="cellIs" dxfId="25015" priority="10000" stopIfTrue="1" operator="equal">
      <formula>"Towel"</formula>
    </cfRule>
    <cfRule type="cellIs" dxfId="25014" priority="10001" stopIfTrue="1" operator="equal">
      <formula>"Napkin Hs"</formula>
    </cfRule>
    <cfRule type="cellIs" dxfId="25013" priority="10002" stopIfTrue="1" operator="equal">
      <formula>"Towel"</formula>
    </cfRule>
    <cfRule type="cellIs" dxfId="25012" priority="10003" stopIfTrue="1" operator="equal">
      <formula>"Napkin Hs"</formula>
    </cfRule>
    <cfRule type="cellIs" dxfId="25011" priority="10004" stopIfTrue="1" operator="equal">
      <formula>"Towel"</formula>
    </cfRule>
    <cfRule type="cellIs" dxfId="25010" priority="10005" stopIfTrue="1" operator="equal">
      <formula>"Napkin Hs"</formula>
    </cfRule>
    <cfRule type="cellIs" dxfId="25009" priority="10006" stopIfTrue="1" operator="equal">
      <formula>"Towel"</formula>
    </cfRule>
    <cfRule type="cellIs" dxfId="25008" priority="10007" stopIfTrue="1" operator="equal">
      <formula>"Napkin Hs"</formula>
    </cfRule>
    <cfRule type="cellIs" dxfId="25007" priority="10008" stopIfTrue="1" operator="equal">
      <formula>"Towel"</formula>
    </cfRule>
    <cfRule type="cellIs" dxfId="25006" priority="10009" stopIfTrue="1" operator="equal">
      <formula>"Napkin Hs"</formula>
    </cfRule>
    <cfRule type="cellIs" dxfId="25005" priority="10010" stopIfTrue="1" operator="equal">
      <formula>"Towel"</formula>
    </cfRule>
    <cfRule type="cellIs" dxfId="25004" priority="10011" stopIfTrue="1" operator="equal">
      <formula>"Napkin Hs"</formula>
    </cfRule>
    <cfRule type="cellIs" dxfId="25003" priority="10012" stopIfTrue="1" operator="equal">
      <formula>"Towel"</formula>
    </cfRule>
    <cfRule type="cellIs" dxfId="25002" priority="10013" stopIfTrue="1" operator="equal">
      <formula>"Napkin Hs"</formula>
    </cfRule>
    <cfRule type="cellIs" dxfId="25001" priority="10014" stopIfTrue="1" operator="equal">
      <formula>"Towel"</formula>
    </cfRule>
    <cfRule type="cellIs" dxfId="25000" priority="10015" stopIfTrue="1" operator="equal">
      <formula>"Napkin Hs"</formula>
    </cfRule>
    <cfRule type="cellIs" dxfId="24999" priority="10017" stopIfTrue="1" operator="equal">
      <formula>"Napkin Hs"</formula>
    </cfRule>
  </conditionalFormatting>
  <conditionalFormatting sqref="B79">
    <cfRule type="cellIs" dxfId="24998" priority="10016" stopIfTrue="1" operator="equal">
      <formula>"Towel"</formula>
    </cfRule>
  </conditionalFormatting>
  <conditionalFormatting sqref="B79">
    <cfRule type="cellIs" dxfId="24997" priority="9985" stopIfTrue="1" operator="equal">
      <formula>"Napkin Hs"</formula>
    </cfRule>
  </conditionalFormatting>
  <conditionalFormatting sqref="B79">
    <cfRule type="cellIs" dxfId="24996" priority="9984" stopIfTrue="1" operator="equal">
      <formula>"Napkin Hs"</formula>
    </cfRule>
  </conditionalFormatting>
  <conditionalFormatting sqref="B79">
    <cfRule type="cellIs" dxfId="24995" priority="9983" stopIfTrue="1" operator="equal">
      <formula>"Napkin Hs"</formula>
    </cfRule>
  </conditionalFormatting>
  <conditionalFormatting sqref="C78">
    <cfRule type="cellIs" dxfId="24994" priority="9979" stopIfTrue="1" operator="equal">
      <formula>"Towel"</formula>
    </cfRule>
    <cfRule type="cellIs" dxfId="24993" priority="9980" stopIfTrue="1" operator="equal">
      <formula>"Napkin Hs"</formula>
    </cfRule>
  </conditionalFormatting>
  <conditionalFormatting sqref="C78">
    <cfRule type="cellIs" dxfId="24992" priority="9981" stopIfTrue="1" operator="equal">
      <formula>"Towel"</formula>
    </cfRule>
    <cfRule type="cellIs" dxfId="24991" priority="9982" stopIfTrue="1" operator="equal">
      <formula>"Napkin Hs"</formula>
    </cfRule>
  </conditionalFormatting>
  <conditionalFormatting sqref="C78">
    <cfRule type="cellIs" dxfId="24990" priority="9977" stopIfTrue="1" operator="equal">
      <formula>"Towel"</formula>
    </cfRule>
    <cfRule type="cellIs" dxfId="24989" priority="9978" stopIfTrue="1" operator="equal">
      <formula>"Napkin Hs"</formula>
    </cfRule>
  </conditionalFormatting>
  <conditionalFormatting sqref="C78">
    <cfRule type="cellIs" dxfId="24988" priority="9971" stopIfTrue="1" operator="equal">
      <formula>"Towel"</formula>
    </cfRule>
    <cfRule type="cellIs" dxfId="24987" priority="9972" stopIfTrue="1" operator="equal">
      <formula>"Napkin Hs"</formula>
    </cfRule>
  </conditionalFormatting>
  <conditionalFormatting sqref="C78">
    <cfRule type="cellIs" dxfId="24986" priority="9975" stopIfTrue="1" operator="equal">
      <formula>"Towel"</formula>
    </cfRule>
    <cfRule type="cellIs" dxfId="24985" priority="9976" stopIfTrue="1" operator="equal">
      <formula>"Napkin Hs"</formula>
    </cfRule>
  </conditionalFormatting>
  <conditionalFormatting sqref="C78">
    <cfRule type="cellIs" dxfId="24984" priority="9973" stopIfTrue="1" operator="equal">
      <formula>"Towel"</formula>
    </cfRule>
    <cfRule type="cellIs" dxfId="24983" priority="9974" stopIfTrue="1" operator="equal">
      <formula>"Napkin Hs"</formula>
    </cfRule>
  </conditionalFormatting>
  <conditionalFormatting sqref="C78">
    <cfRule type="cellIs" dxfId="24982" priority="9965" stopIfTrue="1" operator="equal">
      <formula>"Towel"</formula>
    </cfRule>
    <cfRule type="cellIs" dxfId="24981" priority="9966" stopIfTrue="1" operator="equal">
      <formula>"Napkin Hs"</formula>
    </cfRule>
  </conditionalFormatting>
  <conditionalFormatting sqref="C78">
    <cfRule type="cellIs" dxfId="24980" priority="9967" stopIfTrue="1" operator="equal">
      <formula>"Towel"</formula>
    </cfRule>
    <cfRule type="cellIs" dxfId="24979" priority="9968" stopIfTrue="1" operator="equal">
      <formula>"Napkin Hs"</formula>
    </cfRule>
  </conditionalFormatting>
  <conditionalFormatting sqref="C78">
    <cfRule type="cellIs" dxfId="24978" priority="9969" stopIfTrue="1" operator="equal">
      <formula>"Towel"</formula>
    </cfRule>
    <cfRule type="cellIs" dxfId="24977" priority="9970" stopIfTrue="1" operator="equal">
      <formula>"Napkin Hs"</formula>
    </cfRule>
  </conditionalFormatting>
  <conditionalFormatting sqref="C78">
    <cfRule type="cellIs" dxfId="24976" priority="9963" stopIfTrue="1" operator="equal">
      <formula>"Towel"</formula>
    </cfRule>
    <cfRule type="cellIs" dxfId="24975" priority="9964" stopIfTrue="1" operator="equal">
      <formula>"Napkin Hs"</formula>
    </cfRule>
  </conditionalFormatting>
  <conditionalFormatting sqref="C78">
    <cfRule type="cellIs" dxfId="24974" priority="9961" stopIfTrue="1" operator="equal">
      <formula>"Towel"</formula>
    </cfRule>
    <cfRule type="cellIs" dxfId="24973" priority="9962" stopIfTrue="1" operator="equal">
      <formula>"Napkin Hs"</formula>
    </cfRule>
  </conditionalFormatting>
  <conditionalFormatting sqref="C78">
    <cfRule type="cellIs" dxfId="24972" priority="9937" stopIfTrue="1" operator="equal">
      <formula>"Towel"</formula>
    </cfRule>
  </conditionalFormatting>
  <conditionalFormatting sqref="C78">
    <cfRule type="cellIs" dxfId="24971" priority="9938" stopIfTrue="1" operator="equal">
      <formula>"Napkin Hs"</formula>
    </cfRule>
    <cfRule type="cellIs" dxfId="24970" priority="9943" stopIfTrue="1" operator="equal">
      <formula>"Towel"</formula>
    </cfRule>
    <cfRule type="cellIs" dxfId="24969" priority="9944" stopIfTrue="1" operator="equal">
      <formula>"Napkin Hs"</formula>
    </cfRule>
    <cfRule type="cellIs" dxfId="24968" priority="9953" stopIfTrue="1" operator="equal">
      <formula>"Towel"</formula>
    </cfRule>
    <cfRule type="cellIs" dxfId="24967" priority="9954" stopIfTrue="1" operator="equal">
      <formula>"Napkin Hs"</formula>
    </cfRule>
    <cfRule type="cellIs" dxfId="24966" priority="9959" stopIfTrue="1" operator="equal">
      <formula>"Towel"</formula>
    </cfRule>
    <cfRule type="cellIs" dxfId="24965" priority="9960" stopIfTrue="1" operator="equal">
      <formula>"Napkin Hs"</formula>
    </cfRule>
  </conditionalFormatting>
  <conditionalFormatting sqref="C78">
    <cfRule type="cellIs" dxfId="24964" priority="9939" stopIfTrue="1" operator="equal">
      <formula>"Towel"</formula>
    </cfRule>
    <cfRule type="cellIs" dxfId="24963" priority="9940" stopIfTrue="1" operator="equal">
      <formula>"Napkin Hs"</formula>
    </cfRule>
    <cfRule type="cellIs" dxfId="24962" priority="9941" stopIfTrue="1" operator="equal">
      <formula>"Towel"</formula>
    </cfRule>
    <cfRule type="cellIs" dxfId="24961" priority="9942" stopIfTrue="1" operator="equal">
      <formula>"Napkin Hs"</formula>
    </cfRule>
    <cfRule type="cellIs" dxfId="24960" priority="9945" stopIfTrue="1" operator="equal">
      <formula>"Towel"</formula>
    </cfRule>
    <cfRule type="cellIs" dxfId="24959" priority="9946" stopIfTrue="1" operator="equal">
      <formula>"Napkin Hs"</formula>
    </cfRule>
    <cfRule type="cellIs" dxfId="24958" priority="9947" stopIfTrue="1" operator="equal">
      <formula>"Towel"</formula>
    </cfRule>
    <cfRule type="cellIs" dxfId="24957" priority="9948" stopIfTrue="1" operator="equal">
      <formula>"Napkin Hs"</formula>
    </cfRule>
    <cfRule type="cellIs" dxfId="24956" priority="9949" stopIfTrue="1" operator="equal">
      <formula>"Towel"</formula>
    </cfRule>
    <cfRule type="cellIs" dxfId="24955" priority="9950" stopIfTrue="1" operator="equal">
      <formula>"Napkin Hs"</formula>
    </cfRule>
    <cfRule type="cellIs" dxfId="24954" priority="9951" stopIfTrue="1" operator="equal">
      <formula>"Towel"</formula>
    </cfRule>
    <cfRule type="cellIs" dxfId="24953" priority="9952" stopIfTrue="1" operator="equal">
      <formula>"Napkin Hs"</formula>
    </cfRule>
    <cfRule type="cellIs" dxfId="24952" priority="9955" stopIfTrue="1" operator="equal">
      <formula>"Towel"</formula>
    </cfRule>
    <cfRule type="cellIs" dxfId="24951" priority="9956" stopIfTrue="1" operator="equal">
      <formula>"Napkin Hs"</formula>
    </cfRule>
    <cfRule type="cellIs" dxfId="24950" priority="9958" stopIfTrue="1" operator="equal">
      <formula>"Napkin Hs"</formula>
    </cfRule>
  </conditionalFormatting>
  <conditionalFormatting sqref="C78">
    <cfRule type="cellIs" dxfId="24949" priority="9957" stopIfTrue="1" operator="equal">
      <formula>"Towel"</formula>
    </cfRule>
  </conditionalFormatting>
  <conditionalFormatting sqref="C78">
    <cfRule type="cellIs" dxfId="24948" priority="9935" stopIfTrue="1" operator="equal">
      <formula>"Towel"</formula>
    </cfRule>
    <cfRule type="cellIs" dxfId="24947" priority="9936" stopIfTrue="1" operator="equal">
      <formula>"Napkin Hs"</formula>
    </cfRule>
  </conditionalFormatting>
  <conditionalFormatting sqref="C78">
    <cfRule type="cellIs" dxfId="24946" priority="9934" stopIfTrue="1" operator="equal">
      <formula>"Napkin Hs"</formula>
    </cfRule>
  </conditionalFormatting>
  <conditionalFormatting sqref="C78">
    <cfRule type="cellIs" dxfId="24945" priority="9933" stopIfTrue="1" operator="equal">
      <formula>"Towel"</formula>
    </cfRule>
  </conditionalFormatting>
  <conditionalFormatting sqref="C78">
    <cfRule type="cellIs" dxfId="24944" priority="9931" stopIfTrue="1" operator="equal">
      <formula>"Towel"</formula>
    </cfRule>
  </conditionalFormatting>
  <conditionalFormatting sqref="C78">
    <cfRule type="cellIs" dxfId="24943" priority="9932" stopIfTrue="1" operator="equal">
      <formula>"Napkin Hs"</formula>
    </cfRule>
  </conditionalFormatting>
  <conditionalFormatting sqref="C78">
    <cfRule type="cellIs" dxfId="24942" priority="9835" stopIfTrue="1" operator="equal">
      <formula>"Towel"</formula>
    </cfRule>
  </conditionalFormatting>
  <conditionalFormatting sqref="C78">
    <cfRule type="cellIs" dxfId="24941" priority="9845" stopIfTrue="1" operator="equal">
      <formula>"Towel"</formula>
    </cfRule>
    <cfRule type="cellIs" dxfId="24940" priority="9846" stopIfTrue="1" operator="equal">
      <formula>"Napkin Hs"</formula>
    </cfRule>
    <cfRule type="cellIs" dxfId="24939" priority="9851" stopIfTrue="1" operator="equal">
      <formula>"Towel"</formula>
    </cfRule>
    <cfRule type="cellIs" dxfId="24938" priority="9852" stopIfTrue="1" operator="equal">
      <formula>"Napkin Hs"</formula>
    </cfRule>
    <cfRule type="cellIs" dxfId="24937" priority="9857" stopIfTrue="1" operator="equal">
      <formula>"Towel"</formula>
    </cfRule>
    <cfRule type="cellIs" dxfId="24936" priority="9858" stopIfTrue="1" operator="equal">
      <formula>"Napkin Hs"</formula>
    </cfRule>
    <cfRule type="cellIs" dxfId="24935" priority="9859" stopIfTrue="1" operator="equal">
      <formula>"Towel"</formula>
    </cfRule>
    <cfRule type="cellIs" dxfId="24934" priority="9860" stopIfTrue="1" operator="equal">
      <formula>"Napkin Hs"</formula>
    </cfRule>
    <cfRule type="cellIs" dxfId="24933" priority="9865" stopIfTrue="1" operator="equal">
      <formula>"Towel"</formula>
    </cfRule>
    <cfRule type="cellIs" dxfId="24932" priority="9866" stopIfTrue="1" operator="equal">
      <formula>"Napkin Hs"</formula>
    </cfRule>
    <cfRule type="cellIs" dxfId="24931" priority="9875" stopIfTrue="1" operator="equal">
      <formula>"Towel"</formula>
    </cfRule>
    <cfRule type="cellIs" dxfId="24930" priority="9876" stopIfTrue="1" operator="equal">
      <formula>"Napkin Hs"</formula>
    </cfRule>
    <cfRule type="cellIs" dxfId="24929" priority="9881" stopIfTrue="1" operator="equal">
      <formula>"Towel"</formula>
    </cfRule>
    <cfRule type="cellIs" dxfId="24928" priority="9882" stopIfTrue="1" operator="equal">
      <formula>"Napkin Hs"</formula>
    </cfRule>
    <cfRule type="cellIs" dxfId="24927" priority="9883" stopIfTrue="1" operator="equal">
      <formula>"Towel"</formula>
    </cfRule>
    <cfRule type="cellIs" dxfId="24926" priority="9884" stopIfTrue="1" operator="equal">
      <formula>"Napkin Hs"</formula>
    </cfRule>
    <cfRule type="cellIs" dxfId="24925" priority="9889" stopIfTrue="1" operator="equal">
      <formula>"Towel"</formula>
    </cfRule>
    <cfRule type="cellIs" dxfId="24924" priority="9890" stopIfTrue="1" operator="equal">
      <formula>"Napkin Hs"</formula>
    </cfRule>
    <cfRule type="cellIs" dxfId="24923" priority="9899" stopIfTrue="1" operator="equal">
      <formula>"Towel"</formula>
    </cfRule>
    <cfRule type="cellIs" dxfId="24922" priority="9900" stopIfTrue="1" operator="equal">
      <formula>"Napkin Hs"</formula>
    </cfRule>
    <cfRule type="cellIs" dxfId="24921" priority="9901" stopIfTrue="1" operator="equal">
      <formula>"Towel"</formula>
    </cfRule>
    <cfRule type="cellIs" dxfId="24920" priority="9902" stopIfTrue="1" operator="equal">
      <formula>"Napkin Hs"</formula>
    </cfRule>
    <cfRule type="cellIs" dxfId="24919" priority="9907" stopIfTrue="1" operator="equal">
      <formula>"Towel"</formula>
    </cfRule>
    <cfRule type="cellIs" dxfId="24918" priority="9908" stopIfTrue="1" operator="equal">
      <formula>"Napkin Hs"</formula>
    </cfRule>
    <cfRule type="cellIs" dxfId="24917" priority="9917" stopIfTrue="1" operator="equal">
      <formula>"Towel"</formula>
    </cfRule>
    <cfRule type="cellIs" dxfId="24916" priority="9918" stopIfTrue="1" operator="equal">
      <formula>"Napkin Hs"</formula>
    </cfRule>
    <cfRule type="cellIs" dxfId="24915" priority="9919" stopIfTrue="1" operator="equal">
      <formula>"Towel"</formula>
    </cfRule>
    <cfRule type="cellIs" dxfId="24914" priority="9920" stopIfTrue="1" operator="equal">
      <formula>"Napkin Hs"</formula>
    </cfRule>
    <cfRule type="cellIs" dxfId="24913" priority="9926" stopIfTrue="1" operator="equal">
      <formula>"Napkin Hs"</formula>
    </cfRule>
  </conditionalFormatting>
  <conditionalFormatting sqref="C78">
    <cfRule type="cellIs" dxfId="24912" priority="9925" stopIfTrue="1" operator="equal">
      <formula>"Towel"</formula>
    </cfRule>
  </conditionalFormatting>
  <conditionalFormatting sqref="C78">
    <cfRule type="cellIs" dxfId="24911" priority="9836" stopIfTrue="1" operator="equal">
      <formula>"Napkin Hs"</formula>
    </cfRule>
    <cfRule type="cellIs" dxfId="24910" priority="9837" stopIfTrue="1" operator="equal">
      <formula>"Towel"</formula>
    </cfRule>
    <cfRule type="cellIs" dxfId="24909" priority="9838" stopIfTrue="1" operator="equal">
      <formula>"Napkin Hs"</formula>
    </cfRule>
    <cfRule type="cellIs" dxfId="24908" priority="9839" stopIfTrue="1" operator="equal">
      <formula>"Towel"</formula>
    </cfRule>
    <cfRule type="cellIs" dxfId="24907" priority="9840" stopIfTrue="1" operator="equal">
      <formula>"Napkin Hs"</formula>
    </cfRule>
    <cfRule type="cellIs" dxfId="24906" priority="9841" stopIfTrue="1" operator="equal">
      <formula>"Towel"</formula>
    </cfRule>
    <cfRule type="cellIs" dxfId="24905" priority="9842" stopIfTrue="1" operator="equal">
      <formula>"Napkin Hs"</formula>
    </cfRule>
    <cfRule type="cellIs" dxfId="24904" priority="9843" stopIfTrue="1" operator="equal">
      <formula>"Towel"</formula>
    </cfRule>
    <cfRule type="cellIs" dxfId="24903" priority="9844" stopIfTrue="1" operator="equal">
      <formula>"Napkin Hs"</formula>
    </cfRule>
    <cfRule type="cellIs" dxfId="24902" priority="9847" stopIfTrue="1" operator="equal">
      <formula>"Towel"</formula>
    </cfRule>
    <cfRule type="cellIs" dxfId="24901" priority="9848" stopIfTrue="1" operator="equal">
      <formula>"Napkin Hs"</formula>
    </cfRule>
    <cfRule type="cellIs" dxfId="24900" priority="9849" stopIfTrue="1" operator="equal">
      <formula>"Towel"</formula>
    </cfRule>
    <cfRule type="cellIs" dxfId="24899" priority="9850" stopIfTrue="1" operator="equal">
      <formula>"Napkin Hs"</formula>
    </cfRule>
    <cfRule type="cellIs" dxfId="24898" priority="9853" stopIfTrue="1" operator="equal">
      <formula>"Towel"</formula>
    </cfRule>
    <cfRule type="cellIs" dxfId="24897" priority="9854" stopIfTrue="1" operator="equal">
      <formula>"Napkin Hs"</formula>
    </cfRule>
    <cfRule type="cellIs" dxfId="24896" priority="9855" stopIfTrue="1" operator="equal">
      <formula>"Towel"</formula>
    </cfRule>
    <cfRule type="cellIs" dxfId="24895" priority="9856" stopIfTrue="1" operator="equal">
      <formula>"Napkin Hs"</formula>
    </cfRule>
    <cfRule type="cellIs" dxfId="24894" priority="9861" stopIfTrue="1" operator="equal">
      <formula>"Towel"</formula>
    </cfRule>
    <cfRule type="cellIs" dxfId="24893" priority="9862" stopIfTrue="1" operator="equal">
      <formula>"Napkin Hs"</formula>
    </cfRule>
    <cfRule type="cellIs" dxfId="24892" priority="9863" stopIfTrue="1" operator="equal">
      <formula>"Towel"</formula>
    </cfRule>
    <cfRule type="cellIs" dxfId="24891" priority="9864" stopIfTrue="1" operator="equal">
      <formula>"Napkin Hs"</formula>
    </cfRule>
    <cfRule type="cellIs" dxfId="24890" priority="9867" stopIfTrue="1" operator="equal">
      <formula>"Towel"</formula>
    </cfRule>
    <cfRule type="cellIs" dxfId="24889" priority="9868" stopIfTrue="1" operator="equal">
      <formula>"Napkin Hs"</formula>
    </cfRule>
    <cfRule type="cellIs" dxfId="24888" priority="9869" stopIfTrue="1" operator="equal">
      <formula>"Towel"</formula>
    </cfRule>
    <cfRule type="cellIs" dxfId="24887" priority="9870" stopIfTrue="1" operator="equal">
      <formula>"Napkin Hs"</formula>
    </cfRule>
    <cfRule type="cellIs" dxfId="24886" priority="9871" stopIfTrue="1" operator="equal">
      <formula>"Towel"</formula>
    </cfRule>
    <cfRule type="cellIs" dxfId="24885" priority="9872" stopIfTrue="1" operator="equal">
      <formula>"Napkin Hs"</formula>
    </cfRule>
    <cfRule type="cellIs" dxfId="24884" priority="9873" stopIfTrue="1" operator="equal">
      <formula>"Towel"</formula>
    </cfRule>
    <cfRule type="cellIs" dxfId="24883" priority="9874" stopIfTrue="1" operator="equal">
      <formula>"Napkin Hs"</formula>
    </cfRule>
    <cfRule type="cellIs" dxfId="24882" priority="9877" stopIfTrue="1" operator="equal">
      <formula>"Towel"</formula>
    </cfRule>
    <cfRule type="cellIs" dxfId="24881" priority="9878" stopIfTrue="1" operator="equal">
      <formula>"Napkin Hs"</formula>
    </cfRule>
    <cfRule type="cellIs" dxfId="24880" priority="9879" stopIfTrue="1" operator="equal">
      <formula>"Towel"</formula>
    </cfRule>
    <cfRule type="cellIs" dxfId="24879" priority="9880" stopIfTrue="1" operator="equal">
      <formula>"Napkin Hs"</formula>
    </cfRule>
    <cfRule type="cellIs" dxfId="24878" priority="9885" stopIfTrue="1" operator="equal">
      <formula>"Towel"</formula>
    </cfRule>
    <cfRule type="cellIs" dxfId="24877" priority="9886" stopIfTrue="1" operator="equal">
      <formula>"Napkin Hs"</formula>
    </cfRule>
    <cfRule type="cellIs" dxfId="24876" priority="9887" stopIfTrue="1" operator="equal">
      <formula>"Towel"</formula>
    </cfRule>
    <cfRule type="cellIs" dxfId="24875" priority="9888" stopIfTrue="1" operator="equal">
      <formula>"Napkin Hs"</formula>
    </cfRule>
    <cfRule type="cellIs" dxfId="24874" priority="9891" stopIfTrue="1" operator="equal">
      <formula>"Towel"</formula>
    </cfRule>
    <cfRule type="cellIs" dxfId="24873" priority="9892" stopIfTrue="1" operator="equal">
      <formula>"Napkin Hs"</formula>
    </cfRule>
    <cfRule type="cellIs" dxfId="24872" priority="9893" stopIfTrue="1" operator="equal">
      <formula>"Towel"</formula>
    </cfRule>
    <cfRule type="cellIs" dxfId="24871" priority="9894" stopIfTrue="1" operator="equal">
      <formula>"Napkin Hs"</formula>
    </cfRule>
    <cfRule type="cellIs" dxfId="24870" priority="9895" stopIfTrue="1" operator="equal">
      <formula>"Towel"</formula>
    </cfRule>
    <cfRule type="cellIs" dxfId="24869" priority="9896" stopIfTrue="1" operator="equal">
      <formula>"Napkin Hs"</formula>
    </cfRule>
    <cfRule type="cellIs" dxfId="24868" priority="9897" stopIfTrue="1" operator="equal">
      <formula>"Towel"</formula>
    </cfRule>
    <cfRule type="cellIs" dxfId="24867" priority="9898" stopIfTrue="1" operator="equal">
      <formula>"Napkin Hs"</formula>
    </cfRule>
    <cfRule type="cellIs" dxfId="24866" priority="9903" stopIfTrue="1" operator="equal">
      <formula>"Towel"</formula>
    </cfRule>
    <cfRule type="cellIs" dxfId="24865" priority="9904" stopIfTrue="1" operator="equal">
      <formula>"Napkin Hs"</formula>
    </cfRule>
    <cfRule type="cellIs" dxfId="24864" priority="9905" stopIfTrue="1" operator="equal">
      <formula>"Towel"</formula>
    </cfRule>
    <cfRule type="cellIs" dxfId="24863" priority="9906" stopIfTrue="1" operator="equal">
      <formula>"Napkin Hs"</formula>
    </cfRule>
    <cfRule type="cellIs" dxfId="24862" priority="9909" stopIfTrue="1" operator="equal">
      <formula>"Towel"</formula>
    </cfRule>
    <cfRule type="cellIs" dxfId="24861" priority="9910" stopIfTrue="1" operator="equal">
      <formula>"Napkin Hs"</formula>
    </cfRule>
    <cfRule type="cellIs" dxfId="24860" priority="9911" stopIfTrue="1" operator="equal">
      <formula>"Towel"</formula>
    </cfRule>
    <cfRule type="cellIs" dxfId="24859" priority="9912" stopIfTrue="1" operator="equal">
      <formula>"Napkin Hs"</formula>
    </cfRule>
    <cfRule type="cellIs" dxfId="24858" priority="9913" stopIfTrue="1" operator="equal">
      <formula>"Towel"</formula>
    </cfRule>
    <cfRule type="cellIs" dxfId="24857" priority="9914" stopIfTrue="1" operator="equal">
      <formula>"Napkin Hs"</formula>
    </cfRule>
    <cfRule type="cellIs" dxfId="24856" priority="9915" stopIfTrue="1" operator="equal">
      <formula>"Towel"</formula>
    </cfRule>
    <cfRule type="cellIs" dxfId="24855" priority="9916" stopIfTrue="1" operator="equal">
      <formula>"Napkin Hs"</formula>
    </cfRule>
    <cfRule type="cellIs" dxfId="24854" priority="9921" stopIfTrue="1" operator="equal">
      <formula>"Towel"</formula>
    </cfRule>
    <cfRule type="cellIs" dxfId="24853" priority="9922" stopIfTrue="1" operator="equal">
      <formula>"Napkin Hs"</formula>
    </cfRule>
    <cfRule type="cellIs" dxfId="24852" priority="9923" stopIfTrue="1" operator="equal">
      <formula>"Towel"</formula>
    </cfRule>
    <cfRule type="cellIs" dxfId="24851" priority="9924" stopIfTrue="1" operator="equal">
      <formula>"Napkin Hs"</formula>
    </cfRule>
    <cfRule type="cellIs" dxfId="24850" priority="9927" stopIfTrue="1" operator="equal">
      <formula>"Towel"</formula>
    </cfRule>
    <cfRule type="cellIs" dxfId="24849" priority="9928" stopIfTrue="1" operator="equal">
      <formula>"Napkin Hs"</formula>
    </cfRule>
    <cfRule type="cellIs" dxfId="24848" priority="9929" stopIfTrue="1" operator="equal">
      <formula>"Towel"</formula>
    </cfRule>
    <cfRule type="cellIs" dxfId="24847" priority="9930" stopIfTrue="1" operator="equal">
      <formula>"Napkin Hs"</formula>
    </cfRule>
  </conditionalFormatting>
  <conditionalFormatting sqref="C78">
    <cfRule type="cellIs" dxfId="24846" priority="9834" stopIfTrue="1" operator="equal">
      <formula>"Napkin Hs"</formula>
    </cfRule>
  </conditionalFormatting>
  <conditionalFormatting sqref="C78">
    <cfRule type="cellIs" dxfId="24845" priority="9833" stopIfTrue="1" operator="equal">
      <formula>"Napkin Hs"</formula>
    </cfRule>
  </conditionalFormatting>
  <conditionalFormatting sqref="C78">
    <cfRule type="cellIs" dxfId="24844" priority="9832" stopIfTrue="1" operator="equal">
      <formula>"Napkin Hs"</formula>
    </cfRule>
  </conditionalFormatting>
  <conditionalFormatting sqref="C78">
    <cfRule type="cellIs" dxfId="24843" priority="9831" stopIfTrue="1" operator="equal">
      <formula>"Napkin Hs"</formula>
    </cfRule>
  </conditionalFormatting>
  <conditionalFormatting sqref="C78">
    <cfRule type="cellIs" dxfId="24842" priority="9830" stopIfTrue="1" operator="equal">
      <formula>"Napkin Hs"</formula>
    </cfRule>
  </conditionalFormatting>
  <conditionalFormatting sqref="C78">
    <cfRule type="cellIs" dxfId="24841" priority="9829" stopIfTrue="1" operator="equal">
      <formula>"Napkin Hs"</formula>
    </cfRule>
  </conditionalFormatting>
  <conditionalFormatting sqref="C78">
    <cfRule type="cellIs" dxfId="24840" priority="9825" stopIfTrue="1" operator="equal">
      <formula>"Towel"</formula>
    </cfRule>
    <cfRule type="cellIs" dxfId="24839" priority="9826" stopIfTrue="1" operator="equal">
      <formula>"Napkin Hs"</formula>
    </cfRule>
  </conditionalFormatting>
  <conditionalFormatting sqref="C78">
    <cfRule type="cellIs" dxfId="24838" priority="9827" stopIfTrue="1" operator="equal">
      <formula>"Towel"</formula>
    </cfRule>
    <cfRule type="cellIs" dxfId="24837" priority="9828" stopIfTrue="1" operator="equal">
      <formula>"Napkin Hs"</formula>
    </cfRule>
  </conditionalFormatting>
  <conditionalFormatting sqref="C78">
    <cfRule type="cellIs" dxfId="24836" priority="9821" stopIfTrue="1" operator="equal">
      <formula>"Towel"</formula>
    </cfRule>
    <cfRule type="cellIs" dxfId="24835" priority="9822" stopIfTrue="1" operator="equal">
      <formula>"Napkin Hs"</formula>
    </cfRule>
  </conditionalFormatting>
  <conditionalFormatting sqref="C78">
    <cfRule type="cellIs" dxfId="24834" priority="9823" stopIfTrue="1" operator="equal">
      <formula>"Towel"</formula>
    </cfRule>
    <cfRule type="cellIs" dxfId="24833" priority="9824" stopIfTrue="1" operator="equal">
      <formula>"Napkin Hs"</formula>
    </cfRule>
  </conditionalFormatting>
  <conditionalFormatting sqref="B78">
    <cfRule type="cellIs" dxfId="24832" priority="9819" stopIfTrue="1" operator="equal">
      <formula>"Towel"</formula>
    </cfRule>
    <cfRule type="cellIs" dxfId="24831" priority="9820" stopIfTrue="1" operator="equal">
      <formula>"Napkin Hs"</formula>
    </cfRule>
  </conditionalFormatting>
  <conditionalFormatting sqref="B78">
    <cfRule type="cellIs" dxfId="24830" priority="9817" stopIfTrue="1" operator="equal">
      <formula>"Towel"</formula>
    </cfRule>
    <cfRule type="cellIs" dxfId="24829" priority="9818" stopIfTrue="1" operator="equal">
      <formula>"Napkin Hs"</formula>
    </cfRule>
  </conditionalFormatting>
  <conditionalFormatting sqref="B78">
    <cfRule type="cellIs" dxfId="24828" priority="9815" stopIfTrue="1" operator="equal">
      <formula>"Towel"</formula>
    </cfRule>
    <cfRule type="cellIs" dxfId="24827" priority="9816" stopIfTrue="1" operator="equal">
      <formula>"Napkin Hs"</formula>
    </cfRule>
  </conditionalFormatting>
  <conditionalFormatting sqref="B78">
    <cfRule type="cellIs" dxfId="24826" priority="9807" stopIfTrue="1" operator="equal">
      <formula>"Towel"</formula>
    </cfRule>
  </conditionalFormatting>
  <conditionalFormatting sqref="B78">
    <cfRule type="cellIs" dxfId="24825" priority="9808" stopIfTrue="1" operator="equal">
      <formula>"Napkin Hs"</formula>
    </cfRule>
    <cfRule type="cellIs" dxfId="24824" priority="9809" stopIfTrue="1" operator="equal">
      <formula>"Towel"</formula>
    </cfRule>
    <cfRule type="cellIs" dxfId="24823" priority="9810" stopIfTrue="1" operator="equal">
      <formula>"Napkin Hs"</formula>
    </cfRule>
    <cfRule type="cellIs" dxfId="24822" priority="9811" stopIfTrue="1" operator="equal">
      <formula>"Towel"</formula>
    </cfRule>
    <cfRule type="cellIs" dxfId="24821" priority="9812" stopIfTrue="1" operator="equal">
      <formula>"Napkin Hs"</formula>
    </cfRule>
    <cfRule type="cellIs" dxfId="24820" priority="9813" stopIfTrue="1" operator="equal">
      <formula>"Towel"</formula>
    </cfRule>
    <cfRule type="cellIs" dxfId="24819" priority="9814" stopIfTrue="1" operator="equal">
      <formula>"Napkin Hs"</formula>
    </cfRule>
  </conditionalFormatting>
  <conditionalFormatting sqref="B78">
    <cfRule type="cellIs" dxfId="24818" priority="9805" stopIfTrue="1" operator="equal">
      <formula>"Towel"</formula>
    </cfRule>
    <cfRule type="cellIs" dxfId="24817" priority="9806" stopIfTrue="1" operator="equal">
      <formula>"Napkin Hs"</formula>
    </cfRule>
  </conditionalFormatting>
  <conditionalFormatting sqref="B78">
    <cfRule type="cellIs" dxfId="24816" priority="9774" stopIfTrue="1" operator="equal">
      <formula>"Napkin Hs"</formula>
    </cfRule>
  </conditionalFormatting>
  <conditionalFormatting sqref="B78">
    <cfRule type="cellIs" dxfId="24815" priority="9773" stopIfTrue="1" operator="equal">
      <formula>"Towel"</formula>
    </cfRule>
  </conditionalFormatting>
  <conditionalFormatting sqref="B78">
    <cfRule type="cellIs" dxfId="24814" priority="9775" stopIfTrue="1" operator="equal">
      <formula>"Towel"</formula>
    </cfRule>
    <cfRule type="cellIs" dxfId="24813" priority="9776" stopIfTrue="1" operator="equal">
      <formula>"Napkin Hs"</formula>
    </cfRule>
    <cfRule type="cellIs" dxfId="24812" priority="9777" stopIfTrue="1" operator="equal">
      <formula>"Towel"</formula>
    </cfRule>
    <cfRule type="cellIs" dxfId="24811" priority="9778" stopIfTrue="1" operator="equal">
      <formula>"Napkin Hs"</formula>
    </cfRule>
    <cfRule type="cellIs" dxfId="24810" priority="9779" stopIfTrue="1" operator="equal">
      <formula>"Towel"</formula>
    </cfRule>
    <cfRule type="cellIs" dxfId="24809" priority="9780" stopIfTrue="1" operator="equal">
      <formula>"Napkin Hs"</formula>
    </cfRule>
    <cfRule type="cellIs" dxfId="24808" priority="9781" stopIfTrue="1" operator="equal">
      <formula>"Towel"</formula>
    </cfRule>
    <cfRule type="cellIs" dxfId="24807" priority="9782" stopIfTrue="1" operator="equal">
      <formula>"Napkin Hs"</formula>
    </cfRule>
    <cfRule type="cellIs" dxfId="24806" priority="9783" stopIfTrue="1" operator="equal">
      <formula>"Towel"</formula>
    </cfRule>
    <cfRule type="cellIs" dxfId="24805" priority="9784" stopIfTrue="1" operator="equal">
      <formula>"Napkin Hs"</formula>
    </cfRule>
    <cfRule type="cellIs" dxfId="24804" priority="9785" stopIfTrue="1" operator="equal">
      <formula>"Towel"</formula>
    </cfRule>
    <cfRule type="cellIs" dxfId="24803" priority="9786" stopIfTrue="1" operator="equal">
      <formula>"Napkin Hs"</formula>
    </cfRule>
    <cfRule type="cellIs" dxfId="24802" priority="9787" stopIfTrue="1" operator="equal">
      <formula>"Towel"</formula>
    </cfRule>
    <cfRule type="cellIs" dxfId="24801" priority="9788" stopIfTrue="1" operator="equal">
      <formula>"Napkin Hs"</formula>
    </cfRule>
    <cfRule type="cellIs" dxfId="24800" priority="9789" stopIfTrue="1" operator="equal">
      <formula>"Towel"</formula>
    </cfRule>
    <cfRule type="cellIs" dxfId="24799" priority="9790" stopIfTrue="1" operator="equal">
      <formula>"Napkin Hs"</formula>
    </cfRule>
    <cfRule type="cellIs" dxfId="24798" priority="9791" stopIfTrue="1" operator="equal">
      <formula>"Towel"</formula>
    </cfRule>
    <cfRule type="cellIs" dxfId="24797" priority="9792" stopIfTrue="1" operator="equal">
      <formula>"Napkin Hs"</formula>
    </cfRule>
    <cfRule type="cellIs" dxfId="24796" priority="9793" stopIfTrue="1" operator="equal">
      <formula>"Towel"</formula>
    </cfRule>
    <cfRule type="cellIs" dxfId="24795" priority="9794" stopIfTrue="1" operator="equal">
      <formula>"Napkin Hs"</formula>
    </cfRule>
    <cfRule type="cellIs" dxfId="24794" priority="9795" stopIfTrue="1" operator="equal">
      <formula>"Towel"</formula>
    </cfRule>
    <cfRule type="cellIs" dxfId="24793" priority="9796" stopIfTrue="1" operator="equal">
      <formula>"Napkin Hs"</formula>
    </cfRule>
    <cfRule type="cellIs" dxfId="24792" priority="9797" stopIfTrue="1" operator="equal">
      <formula>"Towel"</formula>
    </cfRule>
    <cfRule type="cellIs" dxfId="24791" priority="9798" stopIfTrue="1" operator="equal">
      <formula>"Napkin Hs"</formula>
    </cfRule>
    <cfRule type="cellIs" dxfId="24790" priority="9799" stopIfTrue="1" operator="equal">
      <formula>"Towel"</formula>
    </cfRule>
    <cfRule type="cellIs" dxfId="24789" priority="9800" stopIfTrue="1" operator="equal">
      <formula>"Napkin Hs"</formula>
    </cfRule>
    <cfRule type="cellIs" dxfId="24788" priority="9801" stopIfTrue="1" operator="equal">
      <formula>"Towel"</formula>
    </cfRule>
    <cfRule type="cellIs" dxfId="24787" priority="9802" stopIfTrue="1" operator="equal">
      <formula>"Napkin Hs"</formula>
    </cfRule>
    <cfRule type="cellIs" dxfId="24786" priority="9804" stopIfTrue="1" operator="equal">
      <formula>"Napkin Hs"</formula>
    </cfRule>
  </conditionalFormatting>
  <conditionalFormatting sqref="B78">
    <cfRule type="cellIs" dxfId="24785" priority="9803" stopIfTrue="1" operator="equal">
      <formula>"Towel"</formula>
    </cfRule>
  </conditionalFormatting>
  <conditionalFormatting sqref="B78">
    <cfRule type="cellIs" dxfId="24784" priority="9772" stopIfTrue="1" operator="equal">
      <formula>"Napkin Hs"</formula>
    </cfRule>
  </conditionalFormatting>
  <conditionalFormatting sqref="B78">
    <cfRule type="cellIs" dxfId="24783" priority="9771" stopIfTrue="1" operator="equal">
      <formula>"Napkin Hs"</formula>
    </cfRule>
  </conditionalFormatting>
  <conditionalFormatting sqref="B78">
    <cfRule type="cellIs" dxfId="24782" priority="9770" stopIfTrue="1" operator="equal">
      <formula>"Napkin Hs"</formula>
    </cfRule>
  </conditionalFormatting>
  <conditionalFormatting sqref="C84:C85">
    <cfRule type="cellIs" dxfId="24781" priority="9766" stopIfTrue="1" operator="equal">
      <formula>"Towel"</formula>
    </cfRule>
    <cfRule type="cellIs" dxfId="24780" priority="9767" stopIfTrue="1" operator="equal">
      <formula>"Napkin Hs"</formula>
    </cfRule>
  </conditionalFormatting>
  <conditionalFormatting sqref="C84:C85">
    <cfRule type="cellIs" dxfId="24779" priority="9768" stopIfTrue="1" operator="equal">
      <formula>"Towel"</formula>
    </cfRule>
    <cfRule type="cellIs" dxfId="24778" priority="9769" stopIfTrue="1" operator="equal">
      <formula>"Napkin Hs"</formula>
    </cfRule>
  </conditionalFormatting>
  <conditionalFormatting sqref="C84:C85">
    <cfRule type="cellIs" dxfId="24777" priority="9764" stopIfTrue="1" operator="equal">
      <formula>"Towel"</formula>
    </cfRule>
    <cfRule type="cellIs" dxfId="24776" priority="9765" stopIfTrue="1" operator="equal">
      <formula>"Napkin Hs"</formula>
    </cfRule>
  </conditionalFormatting>
  <conditionalFormatting sqref="B84:B85">
    <cfRule type="cellIs" dxfId="24775" priority="9762" stopIfTrue="1" operator="equal">
      <formula>"Towel"</formula>
    </cfRule>
    <cfRule type="cellIs" dxfId="24774" priority="9763" stopIfTrue="1" operator="equal">
      <formula>"Napkin Hs"</formula>
    </cfRule>
  </conditionalFormatting>
  <conditionalFormatting sqref="C84:C85">
    <cfRule type="cellIs" dxfId="24773" priority="9756" stopIfTrue="1" operator="equal">
      <formula>"Towel"</formula>
    </cfRule>
    <cfRule type="cellIs" dxfId="24772" priority="9757" stopIfTrue="1" operator="equal">
      <formula>"Napkin Hs"</formula>
    </cfRule>
  </conditionalFormatting>
  <conditionalFormatting sqref="C84:C85">
    <cfRule type="cellIs" dxfId="24771" priority="9760" stopIfTrue="1" operator="equal">
      <formula>"Towel"</formula>
    </cfRule>
    <cfRule type="cellIs" dxfId="24770" priority="9761" stopIfTrue="1" operator="equal">
      <formula>"Napkin Hs"</formula>
    </cfRule>
  </conditionalFormatting>
  <conditionalFormatting sqref="C84:C85">
    <cfRule type="cellIs" dxfId="24769" priority="9758" stopIfTrue="1" operator="equal">
      <formula>"Towel"</formula>
    </cfRule>
    <cfRule type="cellIs" dxfId="24768" priority="9759" stopIfTrue="1" operator="equal">
      <formula>"Napkin Hs"</formula>
    </cfRule>
  </conditionalFormatting>
  <conditionalFormatting sqref="C84:C85">
    <cfRule type="cellIs" dxfId="24767" priority="9750" stopIfTrue="1" operator="equal">
      <formula>"Towel"</formula>
    </cfRule>
    <cfRule type="cellIs" dxfId="24766" priority="9751" stopIfTrue="1" operator="equal">
      <formula>"Napkin Hs"</formula>
    </cfRule>
  </conditionalFormatting>
  <conditionalFormatting sqref="C84:C85">
    <cfRule type="cellIs" dxfId="24765" priority="9752" stopIfTrue="1" operator="equal">
      <formula>"Towel"</formula>
    </cfRule>
    <cfRule type="cellIs" dxfId="24764" priority="9753" stopIfTrue="1" operator="equal">
      <formula>"Napkin Hs"</formula>
    </cfRule>
  </conditionalFormatting>
  <conditionalFormatting sqref="C84:C85">
    <cfRule type="cellIs" dxfId="24763" priority="9754" stopIfTrue="1" operator="equal">
      <formula>"Towel"</formula>
    </cfRule>
    <cfRule type="cellIs" dxfId="24762" priority="9755" stopIfTrue="1" operator="equal">
      <formula>"Napkin Hs"</formula>
    </cfRule>
  </conditionalFormatting>
  <conditionalFormatting sqref="B84:C85">
    <cfRule type="cellIs" dxfId="24761" priority="9748" stopIfTrue="1" operator="equal">
      <formula>"Towel"</formula>
    </cfRule>
    <cfRule type="cellIs" dxfId="24760" priority="9749" stopIfTrue="1" operator="equal">
      <formula>"Napkin Hs"</formula>
    </cfRule>
  </conditionalFormatting>
  <conditionalFormatting sqref="B84:C85">
    <cfRule type="cellIs" dxfId="24759" priority="9746" stopIfTrue="1" operator="equal">
      <formula>"Towel"</formula>
    </cfRule>
    <cfRule type="cellIs" dxfId="24758" priority="9747" stopIfTrue="1" operator="equal">
      <formula>"Napkin Hs"</formula>
    </cfRule>
  </conditionalFormatting>
  <conditionalFormatting sqref="B84:C85">
    <cfRule type="cellIs" dxfId="24757" priority="9722" stopIfTrue="1" operator="equal">
      <formula>"Towel"</formula>
    </cfRule>
  </conditionalFormatting>
  <conditionalFormatting sqref="B84:C85">
    <cfRule type="cellIs" dxfId="24756" priority="9723" stopIfTrue="1" operator="equal">
      <formula>"Napkin Hs"</formula>
    </cfRule>
    <cfRule type="cellIs" dxfId="24755" priority="9728" stopIfTrue="1" operator="equal">
      <formula>"Towel"</formula>
    </cfRule>
    <cfRule type="cellIs" dxfId="24754" priority="9729" stopIfTrue="1" operator="equal">
      <formula>"Napkin Hs"</formula>
    </cfRule>
    <cfRule type="cellIs" dxfId="24753" priority="9738" stopIfTrue="1" operator="equal">
      <formula>"Towel"</formula>
    </cfRule>
    <cfRule type="cellIs" dxfId="24752" priority="9739" stopIfTrue="1" operator="equal">
      <formula>"Napkin Hs"</formula>
    </cfRule>
    <cfRule type="cellIs" dxfId="24751" priority="9744" stopIfTrue="1" operator="equal">
      <formula>"Towel"</formula>
    </cfRule>
    <cfRule type="cellIs" dxfId="24750" priority="9745" stopIfTrue="1" operator="equal">
      <formula>"Napkin Hs"</formula>
    </cfRule>
  </conditionalFormatting>
  <conditionalFormatting sqref="C84:C85">
    <cfRule type="cellIs" dxfId="24749" priority="9724" stopIfTrue="1" operator="equal">
      <formula>"Towel"</formula>
    </cfRule>
    <cfRule type="cellIs" dxfId="24748" priority="9725" stopIfTrue="1" operator="equal">
      <formula>"Napkin Hs"</formula>
    </cfRule>
    <cfRule type="cellIs" dxfId="24747" priority="9726" stopIfTrue="1" operator="equal">
      <formula>"Towel"</formula>
    </cfRule>
    <cfRule type="cellIs" dxfId="24746" priority="9727" stopIfTrue="1" operator="equal">
      <formula>"Napkin Hs"</formula>
    </cfRule>
    <cfRule type="cellIs" dxfId="24745" priority="9730" stopIfTrue="1" operator="equal">
      <formula>"Towel"</formula>
    </cfRule>
    <cfRule type="cellIs" dxfId="24744" priority="9731" stopIfTrue="1" operator="equal">
      <formula>"Napkin Hs"</formula>
    </cfRule>
    <cfRule type="cellIs" dxfId="24743" priority="9732" stopIfTrue="1" operator="equal">
      <formula>"Towel"</formula>
    </cfRule>
    <cfRule type="cellIs" dxfId="24742" priority="9733" stopIfTrue="1" operator="equal">
      <formula>"Napkin Hs"</formula>
    </cfRule>
    <cfRule type="cellIs" dxfId="24741" priority="9734" stopIfTrue="1" operator="equal">
      <formula>"Towel"</formula>
    </cfRule>
    <cfRule type="cellIs" dxfId="24740" priority="9735" stopIfTrue="1" operator="equal">
      <formula>"Napkin Hs"</formula>
    </cfRule>
    <cfRule type="cellIs" dxfId="24739" priority="9736" stopIfTrue="1" operator="equal">
      <formula>"Towel"</formula>
    </cfRule>
    <cfRule type="cellIs" dxfId="24738" priority="9737" stopIfTrue="1" operator="equal">
      <formula>"Napkin Hs"</formula>
    </cfRule>
    <cfRule type="cellIs" dxfId="24737" priority="9740" stopIfTrue="1" operator="equal">
      <formula>"Towel"</formula>
    </cfRule>
    <cfRule type="cellIs" dxfId="24736" priority="9741" stopIfTrue="1" operator="equal">
      <formula>"Napkin Hs"</formula>
    </cfRule>
    <cfRule type="cellIs" dxfId="24735" priority="9743" stopIfTrue="1" operator="equal">
      <formula>"Napkin Hs"</formula>
    </cfRule>
  </conditionalFormatting>
  <conditionalFormatting sqref="C84:C85">
    <cfRule type="cellIs" dxfId="24734" priority="9742" stopIfTrue="1" operator="equal">
      <formula>"Towel"</formula>
    </cfRule>
  </conditionalFormatting>
  <conditionalFormatting sqref="B84:C85">
    <cfRule type="cellIs" dxfId="24733" priority="9720" stopIfTrue="1" operator="equal">
      <formula>"Towel"</formula>
    </cfRule>
    <cfRule type="cellIs" dxfId="24732" priority="9721" stopIfTrue="1" operator="equal">
      <formula>"Napkin Hs"</formula>
    </cfRule>
  </conditionalFormatting>
  <conditionalFormatting sqref="C84:C85">
    <cfRule type="cellIs" dxfId="24731" priority="9719" stopIfTrue="1" operator="equal">
      <formula>"Napkin Hs"</formula>
    </cfRule>
  </conditionalFormatting>
  <conditionalFormatting sqref="C84:C85">
    <cfRule type="cellIs" dxfId="24730" priority="9718" stopIfTrue="1" operator="equal">
      <formula>"Towel"</formula>
    </cfRule>
  </conditionalFormatting>
  <conditionalFormatting sqref="C84:C85">
    <cfRule type="cellIs" dxfId="24729" priority="9716" stopIfTrue="1" operator="equal">
      <formula>"Towel"</formula>
    </cfRule>
  </conditionalFormatting>
  <conditionalFormatting sqref="C84:C85">
    <cfRule type="cellIs" dxfId="24728" priority="9717" stopIfTrue="1" operator="equal">
      <formula>"Napkin Hs"</formula>
    </cfRule>
  </conditionalFormatting>
  <conditionalFormatting sqref="B84:B85">
    <cfRule type="cellIs" dxfId="24727" priority="9620" stopIfTrue="1" operator="equal">
      <formula>"Napkin Hs"</formula>
    </cfRule>
  </conditionalFormatting>
  <conditionalFormatting sqref="B84:C85">
    <cfRule type="cellIs" dxfId="24726" priority="9619" stopIfTrue="1" operator="equal">
      <formula>"Towel"</formula>
    </cfRule>
  </conditionalFormatting>
  <conditionalFormatting sqref="B84:C85">
    <cfRule type="cellIs" dxfId="24725" priority="9630" stopIfTrue="1" operator="equal">
      <formula>"Towel"</formula>
    </cfRule>
    <cfRule type="cellIs" dxfId="24724" priority="9631" stopIfTrue="1" operator="equal">
      <formula>"Napkin Hs"</formula>
    </cfRule>
    <cfRule type="cellIs" dxfId="24723" priority="9636" stopIfTrue="1" operator="equal">
      <formula>"Towel"</formula>
    </cfRule>
    <cfRule type="cellIs" dxfId="24722" priority="9637" stopIfTrue="1" operator="equal">
      <formula>"Napkin Hs"</formula>
    </cfRule>
    <cfRule type="cellIs" dxfId="24721" priority="9642" stopIfTrue="1" operator="equal">
      <formula>"Towel"</formula>
    </cfRule>
    <cfRule type="cellIs" dxfId="24720" priority="9643" stopIfTrue="1" operator="equal">
      <formula>"Napkin Hs"</formula>
    </cfRule>
    <cfRule type="cellIs" dxfId="24719" priority="9644" stopIfTrue="1" operator="equal">
      <formula>"Towel"</formula>
    </cfRule>
    <cfRule type="cellIs" dxfId="24718" priority="9645" stopIfTrue="1" operator="equal">
      <formula>"Napkin Hs"</formula>
    </cfRule>
    <cfRule type="cellIs" dxfId="24717" priority="9650" stopIfTrue="1" operator="equal">
      <formula>"Towel"</formula>
    </cfRule>
    <cfRule type="cellIs" dxfId="24716" priority="9651" stopIfTrue="1" operator="equal">
      <formula>"Napkin Hs"</formula>
    </cfRule>
    <cfRule type="cellIs" dxfId="24715" priority="9660" stopIfTrue="1" operator="equal">
      <formula>"Towel"</formula>
    </cfRule>
    <cfRule type="cellIs" dxfId="24714" priority="9661" stopIfTrue="1" operator="equal">
      <formula>"Napkin Hs"</formula>
    </cfRule>
    <cfRule type="cellIs" dxfId="24713" priority="9666" stopIfTrue="1" operator="equal">
      <formula>"Towel"</formula>
    </cfRule>
    <cfRule type="cellIs" dxfId="24712" priority="9667" stopIfTrue="1" operator="equal">
      <formula>"Napkin Hs"</formula>
    </cfRule>
    <cfRule type="cellIs" dxfId="24711" priority="9668" stopIfTrue="1" operator="equal">
      <formula>"Towel"</formula>
    </cfRule>
    <cfRule type="cellIs" dxfId="24710" priority="9669" stopIfTrue="1" operator="equal">
      <formula>"Napkin Hs"</formula>
    </cfRule>
    <cfRule type="cellIs" dxfId="24709" priority="9674" stopIfTrue="1" operator="equal">
      <formula>"Towel"</formula>
    </cfRule>
    <cfRule type="cellIs" dxfId="24708" priority="9675" stopIfTrue="1" operator="equal">
      <formula>"Napkin Hs"</formula>
    </cfRule>
    <cfRule type="cellIs" dxfId="24707" priority="9684" stopIfTrue="1" operator="equal">
      <formula>"Towel"</formula>
    </cfRule>
    <cfRule type="cellIs" dxfId="24706" priority="9685" stopIfTrue="1" operator="equal">
      <formula>"Napkin Hs"</formula>
    </cfRule>
    <cfRule type="cellIs" dxfId="24705" priority="9686" stopIfTrue="1" operator="equal">
      <formula>"Towel"</formula>
    </cfRule>
    <cfRule type="cellIs" dxfId="24704" priority="9687" stopIfTrue="1" operator="equal">
      <formula>"Napkin Hs"</formula>
    </cfRule>
    <cfRule type="cellIs" dxfId="24703" priority="9692" stopIfTrue="1" operator="equal">
      <formula>"Towel"</formula>
    </cfRule>
    <cfRule type="cellIs" dxfId="24702" priority="9693" stopIfTrue="1" operator="equal">
      <formula>"Napkin Hs"</formula>
    </cfRule>
    <cfRule type="cellIs" dxfId="24701" priority="9702" stopIfTrue="1" operator="equal">
      <formula>"Towel"</formula>
    </cfRule>
    <cfRule type="cellIs" dxfId="24700" priority="9703" stopIfTrue="1" operator="equal">
      <formula>"Napkin Hs"</formula>
    </cfRule>
    <cfRule type="cellIs" dxfId="24699" priority="9704" stopIfTrue="1" operator="equal">
      <formula>"Towel"</formula>
    </cfRule>
    <cfRule type="cellIs" dxfId="24698" priority="9705" stopIfTrue="1" operator="equal">
      <formula>"Napkin Hs"</formula>
    </cfRule>
    <cfRule type="cellIs" dxfId="24697" priority="9711" stopIfTrue="1" operator="equal">
      <formula>"Napkin Hs"</formula>
    </cfRule>
  </conditionalFormatting>
  <conditionalFormatting sqref="B84:C85">
    <cfRule type="cellIs" dxfId="24696" priority="9710" stopIfTrue="1" operator="equal">
      <formula>"Towel"</formula>
    </cfRule>
  </conditionalFormatting>
  <conditionalFormatting sqref="C84:C85">
    <cfRule type="cellIs" dxfId="24695" priority="9621" stopIfTrue="1" operator="equal">
      <formula>"Napkin Hs"</formula>
    </cfRule>
    <cfRule type="cellIs" dxfId="24694" priority="9622" stopIfTrue="1" operator="equal">
      <formula>"Towel"</formula>
    </cfRule>
    <cfRule type="cellIs" dxfId="24693" priority="9623" stopIfTrue="1" operator="equal">
      <formula>"Napkin Hs"</formula>
    </cfRule>
    <cfRule type="cellIs" dxfId="24692" priority="9624" stopIfTrue="1" operator="equal">
      <formula>"Towel"</formula>
    </cfRule>
    <cfRule type="cellIs" dxfId="24691" priority="9625" stopIfTrue="1" operator="equal">
      <formula>"Napkin Hs"</formula>
    </cfRule>
    <cfRule type="cellIs" dxfId="24690" priority="9626" stopIfTrue="1" operator="equal">
      <formula>"Towel"</formula>
    </cfRule>
    <cfRule type="cellIs" dxfId="24689" priority="9627" stopIfTrue="1" operator="equal">
      <formula>"Napkin Hs"</formula>
    </cfRule>
    <cfRule type="cellIs" dxfId="24688" priority="9628" stopIfTrue="1" operator="equal">
      <formula>"Towel"</formula>
    </cfRule>
    <cfRule type="cellIs" dxfId="24687" priority="9629" stopIfTrue="1" operator="equal">
      <formula>"Napkin Hs"</formula>
    </cfRule>
    <cfRule type="cellIs" dxfId="24686" priority="9632" stopIfTrue="1" operator="equal">
      <formula>"Towel"</formula>
    </cfRule>
    <cfRule type="cellIs" dxfId="24685" priority="9633" stopIfTrue="1" operator="equal">
      <formula>"Napkin Hs"</formula>
    </cfRule>
    <cfRule type="cellIs" dxfId="24684" priority="9634" stopIfTrue="1" operator="equal">
      <formula>"Towel"</formula>
    </cfRule>
    <cfRule type="cellIs" dxfId="24683" priority="9635" stopIfTrue="1" operator="equal">
      <formula>"Napkin Hs"</formula>
    </cfRule>
    <cfRule type="cellIs" dxfId="24682" priority="9638" stopIfTrue="1" operator="equal">
      <formula>"Towel"</formula>
    </cfRule>
    <cfRule type="cellIs" dxfId="24681" priority="9639" stopIfTrue="1" operator="equal">
      <formula>"Napkin Hs"</formula>
    </cfRule>
    <cfRule type="cellIs" dxfId="24680" priority="9640" stopIfTrue="1" operator="equal">
      <formula>"Towel"</formula>
    </cfRule>
    <cfRule type="cellIs" dxfId="24679" priority="9641" stopIfTrue="1" operator="equal">
      <formula>"Napkin Hs"</formula>
    </cfRule>
    <cfRule type="cellIs" dxfId="24678" priority="9646" stopIfTrue="1" operator="equal">
      <formula>"Towel"</formula>
    </cfRule>
    <cfRule type="cellIs" dxfId="24677" priority="9647" stopIfTrue="1" operator="equal">
      <formula>"Napkin Hs"</formula>
    </cfRule>
    <cfRule type="cellIs" dxfId="24676" priority="9648" stopIfTrue="1" operator="equal">
      <formula>"Towel"</formula>
    </cfRule>
    <cfRule type="cellIs" dxfId="24675" priority="9649" stopIfTrue="1" operator="equal">
      <formula>"Napkin Hs"</formula>
    </cfRule>
    <cfRule type="cellIs" dxfId="24674" priority="9652" stopIfTrue="1" operator="equal">
      <formula>"Towel"</formula>
    </cfRule>
    <cfRule type="cellIs" dxfId="24673" priority="9653" stopIfTrue="1" operator="equal">
      <formula>"Napkin Hs"</formula>
    </cfRule>
    <cfRule type="cellIs" dxfId="24672" priority="9654" stopIfTrue="1" operator="equal">
      <formula>"Towel"</formula>
    </cfRule>
    <cfRule type="cellIs" dxfId="24671" priority="9655" stopIfTrue="1" operator="equal">
      <formula>"Napkin Hs"</formula>
    </cfRule>
    <cfRule type="cellIs" dxfId="24670" priority="9656" stopIfTrue="1" operator="equal">
      <formula>"Towel"</formula>
    </cfRule>
    <cfRule type="cellIs" dxfId="24669" priority="9657" stopIfTrue="1" operator="equal">
      <formula>"Napkin Hs"</formula>
    </cfRule>
    <cfRule type="cellIs" dxfId="24668" priority="9658" stopIfTrue="1" operator="equal">
      <formula>"Towel"</formula>
    </cfRule>
    <cfRule type="cellIs" dxfId="24667" priority="9659" stopIfTrue="1" operator="equal">
      <formula>"Napkin Hs"</formula>
    </cfRule>
    <cfRule type="cellIs" dxfId="24666" priority="9662" stopIfTrue="1" operator="equal">
      <formula>"Towel"</formula>
    </cfRule>
    <cfRule type="cellIs" dxfId="24665" priority="9663" stopIfTrue="1" operator="equal">
      <formula>"Napkin Hs"</formula>
    </cfRule>
    <cfRule type="cellIs" dxfId="24664" priority="9664" stopIfTrue="1" operator="equal">
      <formula>"Towel"</formula>
    </cfRule>
    <cfRule type="cellIs" dxfId="24663" priority="9665" stopIfTrue="1" operator="equal">
      <formula>"Napkin Hs"</formula>
    </cfRule>
    <cfRule type="cellIs" dxfId="24662" priority="9670" stopIfTrue="1" operator="equal">
      <formula>"Towel"</formula>
    </cfRule>
    <cfRule type="cellIs" dxfId="24661" priority="9671" stopIfTrue="1" operator="equal">
      <formula>"Napkin Hs"</formula>
    </cfRule>
    <cfRule type="cellIs" dxfId="24660" priority="9672" stopIfTrue="1" operator="equal">
      <formula>"Towel"</formula>
    </cfRule>
    <cfRule type="cellIs" dxfId="24659" priority="9673" stopIfTrue="1" operator="equal">
      <formula>"Napkin Hs"</formula>
    </cfRule>
    <cfRule type="cellIs" dxfId="24658" priority="9676" stopIfTrue="1" operator="equal">
      <formula>"Towel"</formula>
    </cfRule>
    <cfRule type="cellIs" dxfId="24657" priority="9677" stopIfTrue="1" operator="equal">
      <formula>"Napkin Hs"</formula>
    </cfRule>
    <cfRule type="cellIs" dxfId="24656" priority="9678" stopIfTrue="1" operator="equal">
      <formula>"Towel"</formula>
    </cfRule>
    <cfRule type="cellIs" dxfId="24655" priority="9679" stopIfTrue="1" operator="equal">
      <formula>"Napkin Hs"</formula>
    </cfRule>
    <cfRule type="cellIs" dxfId="24654" priority="9680" stopIfTrue="1" operator="equal">
      <formula>"Towel"</formula>
    </cfRule>
    <cfRule type="cellIs" dxfId="24653" priority="9681" stopIfTrue="1" operator="equal">
      <formula>"Napkin Hs"</formula>
    </cfRule>
    <cfRule type="cellIs" dxfId="24652" priority="9682" stopIfTrue="1" operator="equal">
      <formula>"Towel"</formula>
    </cfRule>
    <cfRule type="cellIs" dxfId="24651" priority="9683" stopIfTrue="1" operator="equal">
      <formula>"Napkin Hs"</formula>
    </cfRule>
    <cfRule type="cellIs" dxfId="24650" priority="9688" stopIfTrue="1" operator="equal">
      <formula>"Towel"</formula>
    </cfRule>
    <cfRule type="cellIs" dxfId="24649" priority="9689" stopIfTrue="1" operator="equal">
      <formula>"Napkin Hs"</formula>
    </cfRule>
    <cfRule type="cellIs" dxfId="24648" priority="9690" stopIfTrue="1" operator="equal">
      <formula>"Towel"</formula>
    </cfRule>
    <cfRule type="cellIs" dxfId="24647" priority="9691" stopIfTrue="1" operator="equal">
      <formula>"Napkin Hs"</formula>
    </cfRule>
    <cfRule type="cellIs" dxfId="24646" priority="9694" stopIfTrue="1" operator="equal">
      <formula>"Towel"</formula>
    </cfRule>
    <cfRule type="cellIs" dxfId="24645" priority="9695" stopIfTrue="1" operator="equal">
      <formula>"Napkin Hs"</formula>
    </cfRule>
    <cfRule type="cellIs" dxfId="24644" priority="9696" stopIfTrue="1" operator="equal">
      <formula>"Towel"</formula>
    </cfRule>
    <cfRule type="cellIs" dxfId="24643" priority="9697" stopIfTrue="1" operator="equal">
      <formula>"Napkin Hs"</formula>
    </cfRule>
    <cfRule type="cellIs" dxfId="24642" priority="9698" stopIfTrue="1" operator="equal">
      <formula>"Towel"</formula>
    </cfRule>
    <cfRule type="cellIs" dxfId="24641" priority="9699" stopIfTrue="1" operator="equal">
      <formula>"Napkin Hs"</formula>
    </cfRule>
    <cfRule type="cellIs" dxfId="24640" priority="9700" stopIfTrue="1" operator="equal">
      <formula>"Towel"</formula>
    </cfRule>
    <cfRule type="cellIs" dxfId="24639" priority="9701" stopIfTrue="1" operator="equal">
      <formula>"Napkin Hs"</formula>
    </cfRule>
    <cfRule type="cellIs" dxfId="24638" priority="9706" stopIfTrue="1" operator="equal">
      <formula>"Towel"</formula>
    </cfRule>
    <cfRule type="cellIs" dxfId="24637" priority="9707" stopIfTrue="1" operator="equal">
      <formula>"Napkin Hs"</formula>
    </cfRule>
    <cfRule type="cellIs" dxfId="24636" priority="9708" stopIfTrue="1" operator="equal">
      <formula>"Towel"</formula>
    </cfRule>
    <cfRule type="cellIs" dxfId="24635" priority="9709" stopIfTrue="1" operator="equal">
      <formula>"Napkin Hs"</formula>
    </cfRule>
    <cfRule type="cellIs" dxfId="24634" priority="9712" stopIfTrue="1" operator="equal">
      <formula>"Towel"</formula>
    </cfRule>
    <cfRule type="cellIs" dxfId="24633" priority="9713" stopIfTrue="1" operator="equal">
      <formula>"Napkin Hs"</formula>
    </cfRule>
    <cfRule type="cellIs" dxfId="24632" priority="9714" stopIfTrue="1" operator="equal">
      <formula>"Towel"</formula>
    </cfRule>
    <cfRule type="cellIs" dxfId="24631" priority="9715" stopIfTrue="1" operator="equal">
      <formula>"Napkin Hs"</formula>
    </cfRule>
  </conditionalFormatting>
  <conditionalFormatting sqref="C84:C85">
    <cfRule type="cellIs" dxfId="24630" priority="9618" stopIfTrue="1" operator="equal">
      <formula>"Napkin Hs"</formula>
    </cfRule>
  </conditionalFormatting>
  <conditionalFormatting sqref="C84:C85">
    <cfRule type="cellIs" dxfId="24629" priority="9617" stopIfTrue="1" operator="equal">
      <formula>"Napkin Hs"</formula>
    </cfRule>
  </conditionalFormatting>
  <conditionalFormatting sqref="B84:B85">
    <cfRule type="cellIs" dxfId="24628" priority="9616" stopIfTrue="1" operator="equal">
      <formula>"Napkin Hs"</formula>
    </cfRule>
  </conditionalFormatting>
  <conditionalFormatting sqref="C84:C85">
    <cfRule type="cellIs" dxfId="24627" priority="9615" stopIfTrue="1" operator="equal">
      <formula>"Napkin Hs"</formula>
    </cfRule>
  </conditionalFormatting>
  <conditionalFormatting sqref="C84:C85">
    <cfRule type="cellIs" dxfId="24626" priority="9614" stopIfTrue="1" operator="equal">
      <formula>"Napkin Hs"</formula>
    </cfRule>
  </conditionalFormatting>
  <conditionalFormatting sqref="C84:C85">
    <cfRule type="cellIs" dxfId="24625" priority="9613" stopIfTrue="1" operator="equal">
      <formula>"Napkin Hs"</formula>
    </cfRule>
  </conditionalFormatting>
  <conditionalFormatting sqref="C84:C85">
    <cfRule type="cellIs" dxfId="24624" priority="9612" stopIfTrue="1" operator="equal">
      <formula>"Napkin Hs"</formula>
    </cfRule>
  </conditionalFormatting>
  <conditionalFormatting sqref="B84:B85">
    <cfRule type="cellIs" dxfId="24623" priority="9611" stopIfTrue="1" operator="equal">
      <formula>"Napkin Hs"</formula>
    </cfRule>
  </conditionalFormatting>
  <conditionalFormatting sqref="B84:B85">
    <cfRule type="cellIs" dxfId="24622" priority="9610" stopIfTrue="1" operator="equal">
      <formula>"Napkin Hs"</formula>
    </cfRule>
  </conditionalFormatting>
  <conditionalFormatting sqref="C84:C85">
    <cfRule type="cellIs" dxfId="24621" priority="9606" stopIfTrue="1" operator="equal">
      <formula>"Towel"</formula>
    </cfRule>
    <cfRule type="cellIs" dxfId="24620" priority="9607" stopIfTrue="1" operator="equal">
      <formula>"Napkin Hs"</formula>
    </cfRule>
  </conditionalFormatting>
  <conditionalFormatting sqref="C84:C85">
    <cfRule type="cellIs" dxfId="24619" priority="9608" stopIfTrue="1" operator="equal">
      <formula>"Towel"</formula>
    </cfRule>
    <cfRule type="cellIs" dxfId="24618" priority="9609" stopIfTrue="1" operator="equal">
      <formula>"Napkin Hs"</formula>
    </cfRule>
  </conditionalFormatting>
  <conditionalFormatting sqref="C84:C85">
    <cfRule type="cellIs" dxfId="24617" priority="9602" stopIfTrue="1" operator="equal">
      <formula>"Towel"</formula>
    </cfRule>
    <cfRule type="cellIs" dxfId="24616" priority="9603" stopIfTrue="1" operator="equal">
      <formula>"Napkin Hs"</formula>
    </cfRule>
  </conditionalFormatting>
  <conditionalFormatting sqref="C84:C85">
    <cfRule type="cellIs" dxfId="24615" priority="9604" stopIfTrue="1" operator="equal">
      <formula>"Towel"</formula>
    </cfRule>
    <cfRule type="cellIs" dxfId="24614" priority="9605" stopIfTrue="1" operator="equal">
      <formula>"Napkin Hs"</formula>
    </cfRule>
  </conditionalFormatting>
  <conditionalFormatting sqref="C83">
    <cfRule type="cellIs" dxfId="24613" priority="9598" stopIfTrue="1" operator="equal">
      <formula>"Towel"</formula>
    </cfRule>
    <cfRule type="cellIs" dxfId="24612" priority="9599" stopIfTrue="1" operator="equal">
      <formula>"Napkin Hs"</formula>
    </cfRule>
  </conditionalFormatting>
  <conditionalFormatting sqref="C83">
    <cfRule type="cellIs" dxfId="24611" priority="9600" stopIfTrue="1" operator="equal">
      <formula>"Towel"</formula>
    </cfRule>
    <cfRule type="cellIs" dxfId="24610" priority="9601" stopIfTrue="1" operator="equal">
      <formula>"Napkin Hs"</formula>
    </cfRule>
  </conditionalFormatting>
  <conditionalFormatting sqref="C83">
    <cfRule type="cellIs" dxfId="24609" priority="9596" stopIfTrue="1" operator="equal">
      <formula>"Towel"</formula>
    </cfRule>
    <cfRule type="cellIs" dxfId="24608" priority="9597" stopIfTrue="1" operator="equal">
      <formula>"Napkin Hs"</formula>
    </cfRule>
  </conditionalFormatting>
  <conditionalFormatting sqref="C83">
    <cfRule type="cellIs" dxfId="24607" priority="9590" stopIfTrue="1" operator="equal">
      <formula>"Towel"</formula>
    </cfRule>
    <cfRule type="cellIs" dxfId="24606" priority="9591" stopIfTrue="1" operator="equal">
      <formula>"Napkin Hs"</formula>
    </cfRule>
  </conditionalFormatting>
  <conditionalFormatting sqref="C83">
    <cfRule type="cellIs" dxfId="24605" priority="9594" stopIfTrue="1" operator="equal">
      <formula>"Towel"</formula>
    </cfRule>
    <cfRule type="cellIs" dxfId="24604" priority="9595" stopIfTrue="1" operator="equal">
      <formula>"Napkin Hs"</formula>
    </cfRule>
  </conditionalFormatting>
  <conditionalFormatting sqref="C83">
    <cfRule type="cellIs" dxfId="24603" priority="9592" stopIfTrue="1" operator="equal">
      <formula>"Towel"</formula>
    </cfRule>
    <cfRule type="cellIs" dxfId="24602" priority="9593" stopIfTrue="1" operator="equal">
      <formula>"Napkin Hs"</formula>
    </cfRule>
  </conditionalFormatting>
  <conditionalFormatting sqref="C83">
    <cfRule type="cellIs" dxfId="24601" priority="9584" stopIfTrue="1" operator="equal">
      <formula>"Towel"</formula>
    </cfRule>
    <cfRule type="cellIs" dxfId="24600" priority="9585" stopIfTrue="1" operator="equal">
      <formula>"Napkin Hs"</formula>
    </cfRule>
  </conditionalFormatting>
  <conditionalFormatting sqref="C83">
    <cfRule type="cellIs" dxfId="24599" priority="9586" stopIfTrue="1" operator="equal">
      <formula>"Towel"</formula>
    </cfRule>
    <cfRule type="cellIs" dxfId="24598" priority="9587" stopIfTrue="1" operator="equal">
      <formula>"Napkin Hs"</formula>
    </cfRule>
  </conditionalFormatting>
  <conditionalFormatting sqref="C83">
    <cfRule type="cellIs" dxfId="24597" priority="9588" stopIfTrue="1" operator="equal">
      <formula>"Towel"</formula>
    </cfRule>
    <cfRule type="cellIs" dxfId="24596" priority="9589" stopIfTrue="1" operator="equal">
      <formula>"Napkin Hs"</formula>
    </cfRule>
  </conditionalFormatting>
  <conditionalFormatting sqref="C83">
    <cfRule type="cellIs" dxfId="24595" priority="9582" stopIfTrue="1" operator="equal">
      <formula>"Towel"</formula>
    </cfRule>
    <cfRule type="cellIs" dxfId="24594" priority="9583" stopIfTrue="1" operator="equal">
      <formula>"Napkin Hs"</formula>
    </cfRule>
  </conditionalFormatting>
  <conditionalFormatting sqref="C83">
    <cfRule type="cellIs" dxfId="24593" priority="9580" stopIfTrue="1" operator="equal">
      <formula>"Towel"</formula>
    </cfRule>
    <cfRule type="cellIs" dxfId="24592" priority="9581" stopIfTrue="1" operator="equal">
      <formula>"Napkin Hs"</formula>
    </cfRule>
  </conditionalFormatting>
  <conditionalFormatting sqref="C83">
    <cfRule type="cellIs" dxfId="24591" priority="9556" stopIfTrue="1" operator="equal">
      <formula>"Towel"</formula>
    </cfRule>
  </conditionalFormatting>
  <conditionalFormatting sqref="C83">
    <cfRule type="cellIs" dxfId="24590" priority="9557" stopIfTrue="1" operator="equal">
      <formula>"Napkin Hs"</formula>
    </cfRule>
    <cfRule type="cellIs" dxfId="24589" priority="9562" stopIfTrue="1" operator="equal">
      <formula>"Towel"</formula>
    </cfRule>
    <cfRule type="cellIs" dxfId="24588" priority="9563" stopIfTrue="1" operator="equal">
      <formula>"Napkin Hs"</formula>
    </cfRule>
    <cfRule type="cellIs" dxfId="24587" priority="9572" stopIfTrue="1" operator="equal">
      <formula>"Towel"</formula>
    </cfRule>
    <cfRule type="cellIs" dxfId="24586" priority="9573" stopIfTrue="1" operator="equal">
      <formula>"Napkin Hs"</formula>
    </cfRule>
    <cfRule type="cellIs" dxfId="24585" priority="9578" stopIfTrue="1" operator="equal">
      <formula>"Towel"</formula>
    </cfRule>
    <cfRule type="cellIs" dxfId="24584" priority="9579" stopIfTrue="1" operator="equal">
      <formula>"Napkin Hs"</formula>
    </cfRule>
  </conditionalFormatting>
  <conditionalFormatting sqref="C83">
    <cfRule type="cellIs" dxfId="24583" priority="9558" stopIfTrue="1" operator="equal">
      <formula>"Towel"</formula>
    </cfRule>
    <cfRule type="cellIs" dxfId="24582" priority="9559" stopIfTrue="1" operator="equal">
      <formula>"Napkin Hs"</formula>
    </cfRule>
    <cfRule type="cellIs" dxfId="24581" priority="9560" stopIfTrue="1" operator="equal">
      <formula>"Towel"</formula>
    </cfRule>
    <cfRule type="cellIs" dxfId="24580" priority="9561" stopIfTrue="1" operator="equal">
      <formula>"Napkin Hs"</formula>
    </cfRule>
    <cfRule type="cellIs" dxfId="24579" priority="9564" stopIfTrue="1" operator="equal">
      <formula>"Towel"</formula>
    </cfRule>
    <cfRule type="cellIs" dxfId="24578" priority="9565" stopIfTrue="1" operator="equal">
      <formula>"Napkin Hs"</formula>
    </cfRule>
    <cfRule type="cellIs" dxfId="24577" priority="9566" stopIfTrue="1" operator="equal">
      <formula>"Towel"</formula>
    </cfRule>
    <cfRule type="cellIs" dxfId="24576" priority="9567" stopIfTrue="1" operator="equal">
      <formula>"Napkin Hs"</formula>
    </cfRule>
    <cfRule type="cellIs" dxfId="24575" priority="9568" stopIfTrue="1" operator="equal">
      <formula>"Towel"</formula>
    </cfRule>
    <cfRule type="cellIs" dxfId="24574" priority="9569" stopIfTrue="1" operator="equal">
      <formula>"Napkin Hs"</formula>
    </cfRule>
    <cfRule type="cellIs" dxfId="24573" priority="9570" stopIfTrue="1" operator="equal">
      <formula>"Towel"</formula>
    </cfRule>
    <cfRule type="cellIs" dxfId="24572" priority="9571" stopIfTrue="1" operator="equal">
      <formula>"Napkin Hs"</formula>
    </cfRule>
    <cfRule type="cellIs" dxfId="24571" priority="9574" stopIfTrue="1" operator="equal">
      <formula>"Towel"</formula>
    </cfRule>
    <cfRule type="cellIs" dxfId="24570" priority="9575" stopIfTrue="1" operator="equal">
      <formula>"Napkin Hs"</formula>
    </cfRule>
    <cfRule type="cellIs" dxfId="24569" priority="9577" stopIfTrue="1" operator="equal">
      <formula>"Napkin Hs"</formula>
    </cfRule>
  </conditionalFormatting>
  <conditionalFormatting sqref="C83">
    <cfRule type="cellIs" dxfId="24568" priority="9576" stopIfTrue="1" operator="equal">
      <formula>"Towel"</formula>
    </cfRule>
  </conditionalFormatting>
  <conditionalFormatting sqref="C83">
    <cfRule type="cellIs" dxfId="24567" priority="9554" stopIfTrue="1" operator="equal">
      <formula>"Towel"</formula>
    </cfRule>
    <cfRule type="cellIs" dxfId="24566" priority="9555" stopIfTrue="1" operator="equal">
      <formula>"Napkin Hs"</formula>
    </cfRule>
  </conditionalFormatting>
  <conditionalFormatting sqref="C83">
    <cfRule type="cellIs" dxfId="24565" priority="9553" stopIfTrue="1" operator="equal">
      <formula>"Napkin Hs"</formula>
    </cfRule>
  </conditionalFormatting>
  <conditionalFormatting sqref="C83">
    <cfRule type="cellIs" dxfId="24564" priority="9552" stopIfTrue="1" operator="equal">
      <formula>"Towel"</formula>
    </cfRule>
  </conditionalFormatting>
  <conditionalFormatting sqref="C83">
    <cfRule type="cellIs" dxfId="24563" priority="9550" stopIfTrue="1" operator="equal">
      <formula>"Towel"</formula>
    </cfRule>
  </conditionalFormatting>
  <conditionalFormatting sqref="C83">
    <cfRule type="cellIs" dxfId="24562" priority="9551" stopIfTrue="1" operator="equal">
      <formula>"Napkin Hs"</formula>
    </cfRule>
  </conditionalFormatting>
  <conditionalFormatting sqref="C83">
    <cfRule type="cellIs" dxfId="24561" priority="9454" stopIfTrue="1" operator="equal">
      <formula>"Towel"</formula>
    </cfRule>
  </conditionalFormatting>
  <conditionalFormatting sqref="C83">
    <cfRule type="cellIs" dxfId="24560" priority="9464" stopIfTrue="1" operator="equal">
      <formula>"Towel"</formula>
    </cfRule>
    <cfRule type="cellIs" dxfId="24559" priority="9465" stopIfTrue="1" operator="equal">
      <formula>"Napkin Hs"</formula>
    </cfRule>
    <cfRule type="cellIs" dxfId="24558" priority="9470" stopIfTrue="1" operator="equal">
      <formula>"Towel"</formula>
    </cfRule>
    <cfRule type="cellIs" dxfId="24557" priority="9471" stopIfTrue="1" operator="equal">
      <formula>"Napkin Hs"</formula>
    </cfRule>
    <cfRule type="cellIs" dxfId="24556" priority="9476" stopIfTrue="1" operator="equal">
      <formula>"Towel"</formula>
    </cfRule>
    <cfRule type="cellIs" dxfId="24555" priority="9477" stopIfTrue="1" operator="equal">
      <formula>"Napkin Hs"</formula>
    </cfRule>
    <cfRule type="cellIs" dxfId="24554" priority="9478" stopIfTrue="1" operator="equal">
      <formula>"Towel"</formula>
    </cfRule>
    <cfRule type="cellIs" dxfId="24553" priority="9479" stopIfTrue="1" operator="equal">
      <formula>"Napkin Hs"</formula>
    </cfRule>
    <cfRule type="cellIs" dxfId="24552" priority="9484" stopIfTrue="1" operator="equal">
      <formula>"Towel"</formula>
    </cfRule>
    <cfRule type="cellIs" dxfId="24551" priority="9485" stopIfTrue="1" operator="equal">
      <formula>"Napkin Hs"</formula>
    </cfRule>
    <cfRule type="cellIs" dxfId="24550" priority="9494" stopIfTrue="1" operator="equal">
      <formula>"Towel"</formula>
    </cfRule>
    <cfRule type="cellIs" dxfId="24549" priority="9495" stopIfTrue="1" operator="equal">
      <formula>"Napkin Hs"</formula>
    </cfRule>
    <cfRule type="cellIs" dxfId="24548" priority="9500" stopIfTrue="1" operator="equal">
      <formula>"Towel"</formula>
    </cfRule>
    <cfRule type="cellIs" dxfId="24547" priority="9501" stopIfTrue="1" operator="equal">
      <formula>"Napkin Hs"</formula>
    </cfRule>
    <cfRule type="cellIs" dxfId="24546" priority="9502" stopIfTrue="1" operator="equal">
      <formula>"Towel"</formula>
    </cfRule>
    <cfRule type="cellIs" dxfId="24545" priority="9503" stopIfTrue="1" operator="equal">
      <formula>"Napkin Hs"</formula>
    </cfRule>
    <cfRule type="cellIs" dxfId="24544" priority="9508" stopIfTrue="1" operator="equal">
      <formula>"Towel"</formula>
    </cfRule>
    <cfRule type="cellIs" dxfId="24543" priority="9509" stopIfTrue="1" operator="equal">
      <formula>"Napkin Hs"</formula>
    </cfRule>
    <cfRule type="cellIs" dxfId="24542" priority="9518" stopIfTrue="1" operator="equal">
      <formula>"Towel"</formula>
    </cfRule>
    <cfRule type="cellIs" dxfId="24541" priority="9519" stopIfTrue="1" operator="equal">
      <formula>"Napkin Hs"</formula>
    </cfRule>
    <cfRule type="cellIs" dxfId="24540" priority="9520" stopIfTrue="1" operator="equal">
      <formula>"Towel"</formula>
    </cfRule>
    <cfRule type="cellIs" dxfId="24539" priority="9521" stopIfTrue="1" operator="equal">
      <formula>"Napkin Hs"</formula>
    </cfRule>
    <cfRule type="cellIs" dxfId="24538" priority="9526" stopIfTrue="1" operator="equal">
      <formula>"Towel"</formula>
    </cfRule>
    <cfRule type="cellIs" dxfId="24537" priority="9527" stopIfTrue="1" operator="equal">
      <formula>"Napkin Hs"</formula>
    </cfRule>
    <cfRule type="cellIs" dxfId="24536" priority="9536" stopIfTrue="1" operator="equal">
      <formula>"Towel"</formula>
    </cfRule>
    <cfRule type="cellIs" dxfId="24535" priority="9537" stopIfTrue="1" operator="equal">
      <formula>"Napkin Hs"</formula>
    </cfRule>
    <cfRule type="cellIs" dxfId="24534" priority="9538" stopIfTrue="1" operator="equal">
      <formula>"Towel"</formula>
    </cfRule>
    <cfRule type="cellIs" dxfId="24533" priority="9539" stopIfTrue="1" operator="equal">
      <formula>"Napkin Hs"</formula>
    </cfRule>
    <cfRule type="cellIs" dxfId="24532" priority="9545" stopIfTrue="1" operator="equal">
      <formula>"Napkin Hs"</formula>
    </cfRule>
  </conditionalFormatting>
  <conditionalFormatting sqref="C83">
    <cfRule type="cellIs" dxfId="24531" priority="9544" stopIfTrue="1" operator="equal">
      <formula>"Towel"</formula>
    </cfRule>
  </conditionalFormatting>
  <conditionalFormatting sqref="C83">
    <cfRule type="cellIs" dxfId="24530" priority="9455" stopIfTrue="1" operator="equal">
      <formula>"Napkin Hs"</formula>
    </cfRule>
    <cfRule type="cellIs" dxfId="24529" priority="9456" stopIfTrue="1" operator="equal">
      <formula>"Towel"</formula>
    </cfRule>
    <cfRule type="cellIs" dxfId="24528" priority="9457" stopIfTrue="1" operator="equal">
      <formula>"Napkin Hs"</formula>
    </cfRule>
    <cfRule type="cellIs" dxfId="24527" priority="9458" stopIfTrue="1" operator="equal">
      <formula>"Towel"</formula>
    </cfRule>
    <cfRule type="cellIs" dxfId="24526" priority="9459" stopIfTrue="1" operator="equal">
      <formula>"Napkin Hs"</formula>
    </cfRule>
    <cfRule type="cellIs" dxfId="24525" priority="9460" stopIfTrue="1" operator="equal">
      <formula>"Towel"</formula>
    </cfRule>
    <cfRule type="cellIs" dxfId="24524" priority="9461" stopIfTrue="1" operator="equal">
      <formula>"Napkin Hs"</formula>
    </cfRule>
    <cfRule type="cellIs" dxfId="24523" priority="9462" stopIfTrue="1" operator="equal">
      <formula>"Towel"</formula>
    </cfRule>
    <cfRule type="cellIs" dxfId="24522" priority="9463" stopIfTrue="1" operator="equal">
      <formula>"Napkin Hs"</formula>
    </cfRule>
    <cfRule type="cellIs" dxfId="24521" priority="9466" stopIfTrue="1" operator="equal">
      <formula>"Towel"</formula>
    </cfRule>
    <cfRule type="cellIs" dxfId="24520" priority="9467" stopIfTrue="1" operator="equal">
      <formula>"Napkin Hs"</formula>
    </cfRule>
    <cfRule type="cellIs" dxfId="24519" priority="9468" stopIfTrue="1" operator="equal">
      <formula>"Towel"</formula>
    </cfRule>
    <cfRule type="cellIs" dxfId="24518" priority="9469" stopIfTrue="1" operator="equal">
      <formula>"Napkin Hs"</formula>
    </cfRule>
    <cfRule type="cellIs" dxfId="24517" priority="9472" stopIfTrue="1" operator="equal">
      <formula>"Towel"</formula>
    </cfRule>
    <cfRule type="cellIs" dxfId="24516" priority="9473" stopIfTrue="1" operator="equal">
      <formula>"Napkin Hs"</formula>
    </cfRule>
    <cfRule type="cellIs" dxfId="24515" priority="9474" stopIfTrue="1" operator="equal">
      <formula>"Towel"</formula>
    </cfRule>
    <cfRule type="cellIs" dxfId="24514" priority="9475" stopIfTrue="1" operator="equal">
      <formula>"Napkin Hs"</formula>
    </cfRule>
    <cfRule type="cellIs" dxfId="24513" priority="9480" stopIfTrue="1" operator="equal">
      <formula>"Towel"</formula>
    </cfRule>
    <cfRule type="cellIs" dxfId="24512" priority="9481" stopIfTrue="1" operator="equal">
      <formula>"Napkin Hs"</formula>
    </cfRule>
    <cfRule type="cellIs" dxfId="24511" priority="9482" stopIfTrue="1" operator="equal">
      <formula>"Towel"</formula>
    </cfRule>
    <cfRule type="cellIs" dxfId="24510" priority="9483" stopIfTrue="1" operator="equal">
      <formula>"Napkin Hs"</formula>
    </cfRule>
    <cfRule type="cellIs" dxfId="24509" priority="9486" stopIfTrue="1" operator="equal">
      <formula>"Towel"</formula>
    </cfRule>
    <cfRule type="cellIs" dxfId="24508" priority="9487" stopIfTrue="1" operator="equal">
      <formula>"Napkin Hs"</formula>
    </cfRule>
    <cfRule type="cellIs" dxfId="24507" priority="9488" stopIfTrue="1" operator="equal">
      <formula>"Towel"</formula>
    </cfRule>
    <cfRule type="cellIs" dxfId="24506" priority="9489" stopIfTrue="1" operator="equal">
      <formula>"Napkin Hs"</formula>
    </cfRule>
    <cfRule type="cellIs" dxfId="24505" priority="9490" stopIfTrue="1" operator="equal">
      <formula>"Towel"</formula>
    </cfRule>
    <cfRule type="cellIs" dxfId="24504" priority="9491" stopIfTrue="1" operator="equal">
      <formula>"Napkin Hs"</formula>
    </cfRule>
    <cfRule type="cellIs" dxfId="24503" priority="9492" stopIfTrue="1" operator="equal">
      <formula>"Towel"</formula>
    </cfRule>
    <cfRule type="cellIs" dxfId="24502" priority="9493" stopIfTrue="1" operator="equal">
      <formula>"Napkin Hs"</formula>
    </cfRule>
    <cfRule type="cellIs" dxfId="24501" priority="9496" stopIfTrue="1" operator="equal">
      <formula>"Towel"</formula>
    </cfRule>
    <cfRule type="cellIs" dxfId="24500" priority="9497" stopIfTrue="1" operator="equal">
      <formula>"Napkin Hs"</formula>
    </cfRule>
    <cfRule type="cellIs" dxfId="24499" priority="9498" stopIfTrue="1" operator="equal">
      <formula>"Towel"</formula>
    </cfRule>
    <cfRule type="cellIs" dxfId="24498" priority="9499" stopIfTrue="1" operator="equal">
      <formula>"Napkin Hs"</formula>
    </cfRule>
    <cfRule type="cellIs" dxfId="24497" priority="9504" stopIfTrue="1" operator="equal">
      <formula>"Towel"</formula>
    </cfRule>
    <cfRule type="cellIs" dxfId="24496" priority="9505" stopIfTrue="1" operator="equal">
      <formula>"Napkin Hs"</formula>
    </cfRule>
    <cfRule type="cellIs" dxfId="24495" priority="9506" stopIfTrue="1" operator="equal">
      <formula>"Towel"</formula>
    </cfRule>
    <cfRule type="cellIs" dxfId="24494" priority="9507" stopIfTrue="1" operator="equal">
      <formula>"Napkin Hs"</formula>
    </cfRule>
    <cfRule type="cellIs" dxfId="24493" priority="9510" stopIfTrue="1" operator="equal">
      <formula>"Towel"</formula>
    </cfRule>
    <cfRule type="cellIs" dxfId="24492" priority="9511" stopIfTrue="1" operator="equal">
      <formula>"Napkin Hs"</formula>
    </cfRule>
    <cfRule type="cellIs" dxfId="24491" priority="9512" stopIfTrue="1" operator="equal">
      <formula>"Towel"</formula>
    </cfRule>
    <cfRule type="cellIs" dxfId="24490" priority="9513" stopIfTrue="1" operator="equal">
      <formula>"Napkin Hs"</formula>
    </cfRule>
    <cfRule type="cellIs" dxfId="24489" priority="9514" stopIfTrue="1" operator="equal">
      <formula>"Towel"</formula>
    </cfRule>
    <cfRule type="cellIs" dxfId="24488" priority="9515" stopIfTrue="1" operator="equal">
      <formula>"Napkin Hs"</formula>
    </cfRule>
    <cfRule type="cellIs" dxfId="24487" priority="9516" stopIfTrue="1" operator="equal">
      <formula>"Towel"</formula>
    </cfRule>
    <cfRule type="cellIs" dxfId="24486" priority="9517" stopIfTrue="1" operator="equal">
      <formula>"Napkin Hs"</formula>
    </cfRule>
    <cfRule type="cellIs" dxfId="24485" priority="9522" stopIfTrue="1" operator="equal">
      <formula>"Towel"</formula>
    </cfRule>
    <cfRule type="cellIs" dxfId="24484" priority="9523" stopIfTrue="1" operator="equal">
      <formula>"Napkin Hs"</formula>
    </cfRule>
    <cfRule type="cellIs" dxfId="24483" priority="9524" stopIfTrue="1" operator="equal">
      <formula>"Towel"</formula>
    </cfRule>
    <cfRule type="cellIs" dxfId="24482" priority="9525" stopIfTrue="1" operator="equal">
      <formula>"Napkin Hs"</formula>
    </cfRule>
    <cfRule type="cellIs" dxfId="24481" priority="9528" stopIfTrue="1" operator="equal">
      <formula>"Towel"</formula>
    </cfRule>
    <cfRule type="cellIs" dxfId="24480" priority="9529" stopIfTrue="1" operator="equal">
      <formula>"Napkin Hs"</formula>
    </cfRule>
    <cfRule type="cellIs" dxfId="24479" priority="9530" stopIfTrue="1" operator="equal">
      <formula>"Towel"</formula>
    </cfRule>
    <cfRule type="cellIs" dxfId="24478" priority="9531" stopIfTrue="1" operator="equal">
      <formula>"Napkin Hs"</formula>
    </cfRule>
    <cfRule type="cellIs" dxfId="24477" priority="9532" stopIfTrue="1" operator="equal">
      <formula>"Towel"</formula>
    </cfRule>
    <cfRule type="cellIs" dxfId="24476" priority="9533" stopIfTrue="1" operator="equal">
      <formula>"Napkin Hs"</formula>
    </cfRule>
    <cfRule type="cellIs" dxfId="24475" priority="9534" stopIfTrue="1" operator="equal">
      <formula>"Towel"</formula>
    </cfRule>
    <cfRule type="cellIs" dxfId="24474" priority="9535" stopIfTrue="1" operator="equal">
      <formula>"Napkin Hs"</formula>
    </cfRule>
    <cfRule type="cellIs" dxfId="24473" priority="9540" stopIfTrue="1" operator="equal">
      <formula>"Towel"</formula>
    </cfRule>
    <cfRule type="cellIs" dxfId="24472" priority="9541" stopIfTrue="1" operator="equal">
      <formula>"Napkin Hs"</formula>
    </cfRule>
    <cfRule type="cellIs" dxfId="24471" priority="9542" stopIfTrue="1" operator="equal">
      <formula>"Towel"</formula>
    </cfRule>
    <cfRule type="cellIs" dxfId="24470" priority="9543" stopIfTrue="1" operator="equal">
      <formula>"Napkin Hs"</formula>
    </cfRule>
    <cfRule type="cellIs" dxfId="24469" priority="9546" stopIfTrue="1" operator="equal">
      <formula>"Towel"</formula>
    </cfRule>
    <cfRule type="cellIs" dxfId="24468" priority="9547" stopIfTrue="1" operator="equal">
      <formula>"Napkin Hs"</formula>
    </cfRule>
    <cfRule type="cellIs" dxfId="24467" priority="9548" stopIfTrue="1" operator="equal">
      <formula>"Towel"</formula>
    </cfRule>
    <cfRule type="cellIs" dxfId="24466" priority="9549" stopIfTrue="1" operator="equal">
      <formula>"Napkin Hs"</formula>
    </cfRule>
  </conditionalFormatting>
  <conditionalFormatting sqref="C83">
    <cfRule type="cellIs" dxfId="24465" priority="9453" stopIfTrue="1" operator="equal">
      <formula>"Napkin Hs"</formula>
    </cfRule>
  </conditionalFormatting>
  <conditionalFormatting sqref="C83">
    <cfRule type="cellIs" dxfId="24464" priority="9452" stopIfTrue="1" operator="equal">
      <formula>"Napkin Hs"</formula>
    </cfRule>
  </conditionalFormatting>
  <conditionalFormatting sqref="C83">
    <cfRule type="cellIs" dxfId="24463" priority="9451" stopIfTrue="1" operator="equal">
      <formula>"Napkin Hs"</formula>
    </cfRule>
  </conditionalFormatting>
  <conditionalFormatting sqref="C83">
    <cfRule type="cellIs" dxfId="24462" priority="9450" stopIfTrue="1" operator="equal">
      <formula>"Napkin Hs"</formula>
    </cfRule>
  </conditionalFormatting>
  <conditionalFormatting sqref="C83">
    <cfRule type="cellIs" dxfId="24461" priority="9449" stopIfTrue="1" operator="equal">
      <formula>"Napkin Hs"</formula>
    </cfRule>
  </conditionalFormatting>
  <conditionalFormatting sqref="C83">
    <cfRule type="cellIs" dxfId="24460" priority="9448" stopIfTrue="1" operator="equal">
      <formula>"Napkin Hs"</formula>
    </cfRule>
  </conditionalFormatting>
  <conditionalFormatting sqref="C83">
    <cfRule type="cellIs" dxfId="24459" priority="9444" stopIfTrue="1" operator="equal">
      <formula>"Towel"</formula>
    </cfRule>
    <cfRule type="cellIs" dxfId="24458" priority="9445" stopIfTrue="1" operator="equal">
      <formula>"Napkin Hs"</formula>
    </cfRule>
  </conditionalFormatting>
  <conditionalFormatting sqref="C83">
    <cfRule type="cellIs" dxfId="24457" priority="9446" stopIfTrue="1" operator="equal">
      <formula>"Towel"</formula>
    </cfRule>
    <cfRule type="cellIs" dxfId="24456" priority="9447" stopIfTrue="1" operator="equal">
      <formula>"Napkin Hs"</formula>
    </cfRule>
  </conditionalFormatting>
  <conditionalFormatting sqref="C83">
    <cfRule type="cellIs" dxfId="24455" priority="9440" stopIfTrue="1" operator="equal">
      <formula>"Towel"</formula>
    </cfRule>
    <cfRule type="cellIs" dxfId="24454" priority="9441" stopIfTrue="1" operator="equal">
      <formula>"Napkin Hs"</formula>
    </cfRule>
  </conditionalFormatting>
  <conditionalFormatting sqref="C83">
    <cfRule type="cellIs" dxfId="24453" priority="9442" stopIfTrue="1" operator="equal">
      <formula>"Towel"</formula>
    </cfRule>
    <cfRule type="cellIs" dxfId="24452" priority="9443" stopIfTrue="1" operator="equal">
      <formula>"Napkin Hs"</formula>
    </cfRule>
  </conditionalFormatting>
  <conditionalFormatting sqref="B83">
    <cfRule type="cellIs" dxfId="24451" priority="9438" stopIfTrue="1" operator="equal">
      <formula>"Towel"</formula>
    </cfRule>
    <cfRule type="cellIs" dxfId="24450" priority="9439" stopIfTrue="1" operator="equal">
      <formula>"Napkin Hs"</formula>
    </cfRule>
  </conditionalFormatting>
  <conditionalFormatting sqref="B83">
    <cfRule type="cellIs" dxfId="24449" priority="9436" stopIfTrue="1" operator="equal">
      <formula>"Towel"</formula>
    </cfRule>
    <cfRule type="cellIs" dxfId="24448" priority="9437" stopIfTrue="1" operator="equal">
      <formula>"Napkin Hs"</formula>
    </cfRule>
  </conditionalFormatting>
  <conditionalFormatting sqref="B83">
    <cfRule type="cellIs" dxfId="24447" priority="9434" stopIfTrue="1" operator="equal">
      <formula>"Towel"</formula>
    </cfRule>
    <cfRule type="cellIs" dxfId="24446" priority="9435" stopIfTrue="1" operator="equal">
      <formula>"Napkin Hs"</formula>
    </cfRule>
  </conditionalFormatting>
  <conditionalFormatting sqref="B83">
    <cfRule type="cellIs" dxfId="24445" priority="9426" stopIfTrue="1" operator="equal">
      <formula>"Towel"</formula>
    </cfRule>
  </conditionalFormatting>
  <conditionalFormatting sqref="B83">
    <cfRule type="cellIs" dxfId="24444" priority="9427" stopIfTrue="1" operator="equal">
      <formula>"Napkin Hs"</formula>
    </cfRule>
    <cfRule type="cellIs" dxfId="24443" priority="9428" stopIfTrue="1" operator="equal">
      <formula>"Towel"</formula>
    </cfRule>
    <cfRule type="cellIs" dxfId="24442" priority="9429" stopIfTrue="1" operator="equal">
      <formula>"Napkin Hs"</formula>
    </cfRule>
    <cfRule type="cellIs" dxfId="24441" priority="9430" stopIfTrue="1" operator="equal">
      <formula>"Towel"</formula>
    </cfRule>
    <cfRule type="cellIs" dxfId="24440" priority="9431" stopIfTrue="1" operator="equal">
      <formula>"Napkin Hs"</formula>
    </cfRule>
    <cfRule type="cellIs" dxfId="24439" priority="9432" stopIfTrue="1" operator="equal">
      <formula>"Towel"</formula>
    </cfRule>
    <cfRule type="cellIs" dxfId="24438" priority="9433" stopIfTrue="1" operator="equal">
      <formula>"Napkin Hs"</formula>
    </cfRule>
  </conditionalFormatting>
  <conditionalFormatting sqref="B83">
    <cfRule type="cellIs" dxfId="24437" priority="9424" stopIfTrue="1" operator="equal">
      <formula>"Towel"</formula>
    </cfRule>
    <cfRule type="cellIs" dxfId="24436" priority="9425" stopIfTrue="1" operator="equal">
      <formula>"Napkin Hs"</formula>
    </cfRule>
  </conditionalFormatting>
  <conditionalFormatting sqref="B83">
    <cfRule type="cellIs" dxfId="24435" priority="9393" stopIfTrue="1" operator="equal">
      <formula>"Napkin Hs"</formula>
    </cfRule>
  </conditionalFormatting>
  <conditionalFormatting sqref="B83">
    <cfRule type="cellIs" dxfId="24434" priority="9392" stopIfTrue="1" operator="equal">
      <formula>"Towel"</formula>
    </cfRule>
  </conditionalFormatting>
  <conditionalFormatting sqref="B83">
    <cfRule type="cellIs" dxfId="24433" priority="9394" stopIfTrue="1" operator="equal">
      <formula>"Towel"</formula>
    </cfRule>
    <cfRule type="cellIs" dxfId="24432" priority="9395" stopIfTrue="1" operator="equal">
      <formula>"Napkin Hs"</formula>
    </cfRule>
    <cfRule type="cellIs" dxfId="24431" priority="9396" stopIfTrue="1" operator="equal">
      <formula>"Towel"</formula>
    </cfRule>
    <cfRule type="cellIs" dxfId="24430" priority="9397" stopIfTrue="1" operator="equal">
      <formula>"Napkin Hs"</formula>
    </cfRule>
    <cfRule type="cellIs" dxfId="24429" priority="9398" stopIfTrue="1" operator="equal">
      <formula>"Towel"</formula>
    </cfRule>
    <cfRule type="cellIs" dxfId="24428" priority="9399" stopIfTrue="1" operator="equal">
      <formula>"Napkin Hs"</formula>
    </cfRule>
    <cfRule type="cellIs" dxfId="24427" priority="9400" stopIfTrue="1" operator="equal">
      <formula>"Towel"</formula>
    </cfRule>
    <cfRule type="cellIs" dxfId="24426" priority="9401" stopIfTrue="1" operator="equal">
      <formula>"Napkin Hs"</formula>
    </cfRule>
    <cfRule type="cellIs" dxfId="24425" priority="9402" stopIfTrue="1" operator="equal">
      <formula>"Towel"</formula>
    </cfRule>
    <cfRule type="cellIs" dxfId="24424" priority="9403" stopIfTrue="1" operator="equal">
      <formula>"Napkin Hs"</formula>
    </cfRule>
    <cfRule type="cellIs" dxfId="24423" priority="9404" stopIfTrue="1" operator="equal">
      <formula>"Towel"</formula>
    </cfRule>
    <cfRule type="cellIs" dxfId="24422" priority="9405" stopIfTrue="1" operator="equal">
      <formula>"Napkin Hs"</formula>
    </cfRule>
    <cfRule type="cellIs" dxfId="24421" priority="9406" stopIfTrue="1" operator="equal">
      <formula>"Towel"</formula>
    </cfRule>
    <cfRule type="cellIs" dxfId="24420" priority="9407" stopIfTrue="1" operator="equal">
      <formula>"Napkin Hs"</formula>
    </cfRule>
    <cfRule type="cellIs" dxfId="24419" priority="9408" stopIfTrue="1" operator="equal">
      <formula>"Towel"</formula>
    </cfRule>
    <cfRule type="cellIs" dxfId="24418" priority="9409" stopIfTrue="1" operator="equal">
      <formula>"Napkin Hs"</formula>
    </cfRule>
    <cfRule type="cellIs" dxfId="24417" priority="9410" stopIfTrue="1" operator="equal">
      <formula>"Towel"</formula>
    </cfRule>
    <cfRule type="cellIs" dxfId="24416" priority="9411" stopIfTrue="1" operator="equal">
      <formula>"Napkin Hs"</formula>
    </cfRule>
    <cfRule type="cellIs" dxfId="24415" priority="9412" stopIfTrue="1" operator="equal">
      <formula>"Towel"</formula>
    </cfRule>
    <cfRule type="cellIs" dxfId="24414" priority="9413" stopIfTrue="1" operator="equal">
      <formula>"Napkin Hs"</formula>
    </cfRule>
    <cfRule type="cellIs" dxfId="24413" priority="9414" stopIfTrue="1" operator="equal">
      <formula>"Towel"</formula>
    </cfRule>
    <cfRule type="cellIs" dxfId="24412" priority="9415" stopIfTrue="1" operator="equal">
      <formula>"Napkin Hs"</formula>
    </cfRule>
    <cfRule type="cellIs" dxfId="24411" priority="9416" stopIfTrue="1" operator="equal">
      <formula>"Towel"</formula>
    </cfRule>
    <cfRule type="cellIs" dxfId="24410" priority="9417" stopIfTrue="1" operator="equal">
      <formula>"Napkin Hs"</formula>
    </cfRule>
    <cfRule type="cellIs" dxfId="24409" priority="9418" stopIfTrue="1" operator="equal">
      <formula>"Towel"</formula>
    </cfRule>
    <cfRule type="cellIs" dxfId="24408" priority="9419" stopIfTrue="1" operator="equal">
      <formula>"Napkin Hs"</formula>
    </cfRule>
    <cfRule type="cellIs" dxfId="24407" priority="9420" stopIfTrue="1" operator="equal">
      <formula>"Towel"</formula>
    </cfRule>
    <cfRule type="cellIs" dxfId="24406" priority="9421" stopIfTrue="1" operator="equal">
      <formula>"Napkin Hs"</formula>
    </cfRule>
    <cfRule type="cellIs" dxfId="24405" priority="9423" stopIfTrue="1" operator="equal">
      <formula>"Napkin Hs"</formula>
    </cfRule>
  </conditionalFormatting>
  <conditionalFormatting sqref="B83">
    <cfRule type="cellIs" dxfId="24404" priority="9422" stopIfTrue="1" operator="equal">
      <formula>"Towel"</formula>
    </cfRule>
  </conditionalFormatting>
  <conditionalFormatting sqref="B83">
    <cfRule type="cellIs" dxfId="24403" priority="9391" stopIfTrue="1" operator="equal">
      <formula>"Napkin Hs"</formula>
    </cfRule>
  </conditionalFormatting>
  <conditionalFormatting sqref="B83">
    <cfRule type="cellIs" dxfId="24402" priority="9390" stopIfTrue="1" operator="equal">
      <formula>"Napkin Hs"</formula>
    </cfRule>
  </conditionalFormatting>
  <conditionalFormatting sqref="B83">
    <cfRule type="cellIs" dxfId="24401" priority="9389" stopIfTrue="1" operator="equal">
      <formula>"Napkin Hs"</formula>
    </cfRule>
  </conditionalFormatting>
  <conditionalFormatting sqref="C82">
    <cfRule type="cellIs" dxfId="24400" priority="9385" stopIfTrue="1" operator="equal">
      <formula>"Towel"</formula>
    </cfRule>
    <cfRule type="cellIs" dxfId="24399" priority="9386" stopIfTrue="1" operator="equal">
      <formula>"Napkin Hs"</formula>
    </cfRule>
  </conditionalFormatting>
  <conditionalFormatting sqref="C82">
    <cfRule type="cellIs" dxfId="24398" priority="9387" stopIfTrue="1" operator="equal">
      <formula>"Towel"</formula>
    </cfRule>
    <cfRule type="cellIs" dxfId="24397" priority="9388" stopIfTrue="1" operator="equal">
      <formula>"Napkin Hs"</formula>
    </cfRule>
  </conditionalFormatting>
  <conditionalFormatting sqref="C82">
    <cfRule type="cellIs" dxfId="24396" priority="9383" stopIfTrue="1" operator="equal">
      <formula>"Towel"</formula>
    </cfRule>
    <cfRule type="cellIs" dxfId="24395" priority="9384" stopIfTrue="1" operator="equal">
      <formula>"Napkin Hs"</formula>
    </cfRule>
  </conditionalFormatting>
  <conditionalFormatting sqref="C82">
    <cfRule type="cellIs" dxfId="24394" priority="9377" stopIfTrue="1" operator="equal">
      <formula>"Towel"</formula>
    </cfRule>
    <cfRule type="cellIs" dxfId="24393" priority="9378" stopIfTrue="1" operator="equal">
      <formula>"Napkin Hs"</formula>
    </cfRule>
  </conditionalFormatting>
  <conditionalFormatting sqref="C82">
    <cfRule type="cellIs" dxfId="24392" priority="9381" stopIfTrue="1" operator="equal">
      <formula>"Towel"</formula>
    </cfRule>
    <cfRule type="cellIs" dxfId="24391" priority="9382" stopIfTrue="1" operator="equal">
      <formula>"Napkin Hs"</formula>
    </cfRule>
  </conditionalFormatting>
  <conditionalFormatting sqref="C82">
    <cfRule type="cellIs" dxfId="24390" priority="9379" stopIfTrue="1" operator="equal">
      <formula>"Towel"</formula>
    </cfRule>
    <cfRule type="cellIs" dxfId="24389" priority="9380" stopIfTrue="1" operator="equal">
      <formula>"Napkin Hs"</formula>
    </cfRule>
  </conditionalFormatting>
  <conditionalFormatting sqref="C82">
    <cfRule type="cellIs" dxfId="24388" priority="9371" stopIfTrue="1" operator="equal">
      <formula>"Towel"</formula>
    </cfRule>
    <cfRule type="cellIs" dxfId="24387" priority="9372" stopIfTrue="1" operator="equal">
      <formula>"Napkin Hs"</formula>
    </cfRule>
  </conditionalFormatting>
  <conditionalFormatting sqref="C82">
    <cfRule type="cellIs" dxfId="24386" priority="9373" stopIfTrue="1" operator="equal">
      <formula>"Towel"</formula>
    </cfRule>
    <cfRule type="cellIs" dxfId="24385" priority="9374" stopIfTrue="1" operator="equal">
      <formula>"Napkin Hs"</formula>
    </cfRule>
  </conditionalFormatting>
  <conditionalFormatting sqref="C82">
    <cfRule type="cellIs" dxfId="24384" priority="9375" stopIfTrue="1" operator="equal">
      <formula>"Towel"</formula>
    </cfRule>
    <cfRule type="cellIs" dxfId="24383" priority="9376" stopIfTrue="1" operator="equal">
      <formula>"Napkin Hs"</formula>
    </cfRule>
  </conditionalFormatting>
  <conditionalFormatting sqref="C82">
    <cfRule type="cellIs" dxfId="24382" priority="9369" stopIfTrue="1" operator="equal">
      <formula>"Towel"</formula>
    </cfRule>
    <cfRule type="cellIs" dxfId="24381" priority="9370" stopIfTrue="1" operator="equal">
      <formula>"Napkin Hs"</formula>
    </cfRule>
  </conditionalFormatting>
  <conditionalFormatting sqref="C82">
    <cfRule type="cellIs" dxfId="24380" priority="9367" stopIfTrue="1" operator="equal">
      <formula>"Towel"</formula>
    </cfRule>
    <cfRule type="cellIs" dxfId="24379" priority="9368" stopIfTrue="1" operator="equal">
      <formula>"Napkin Hs"</formula>
    </cfRule>
  </conditionalFormatting>
  <conditionalFormatting sqref="C82">
    <cfRule type="cellIs" dxfId="24378" priority="9343" stopIfTrue="1" operator="equal">
      <formula>"Towel"</formula>
    </cfRule>
  </conditionalFormatting>
  <conditionalFormatting sqref="C82">
    <cfRule type="cellIs" dxfId="24377" priority="9344" stopIfTrue="1" operator="equal">
      <formula>"Napkin Hs"</formula>
    </cfRule>
    <cfRule type="cellIs" dxfId="24376" priority="9349" stopIfTrue="1" operator="equal">
      <formula>"Towel"</formula>
    </cfRule>
    <cfRule type="cellIs" dxfId="24375" priority="9350" stopIfTrue="1" operator="equal">
      <formula>"Napkin Hs"</formula>
    </cfRule>
    <cfRule type="cellIs" dxfId="24374" priority="9359" stopIfTrue="1" operator="equal">
      <formula>"Towel"</formula>
    </cfRule>
    <cfRule type="cellIs" dxfId="24373" priority="9360" stopIfTrue="1" operator="equal">
      <formula>"Napkin Hs"</formula>
    </cfRule>
    <cfRule type="cellIs" dxfId="24372" priority="9365" stopIfTrue="1" operator="equal">
      <formula>"Towel"</formula>
    </cfRule>
    <cfRule type="cellIs" dxfId="24371" priority="9366" stopIfTrue="1" operator="equal">
      <formula>"Napkin Hs"</formula>
    </cfRule>
  </conditionalFormatting>
  <conditionalFormatting sqref="C82">
    <cfRule type="cellIs" dxfId="24370" priority="9345" stopIfTrue="1" operator="equal">
      <formula>"Towel"</formula>
    </cfRule>
    <cfRule type="cellIs" dxfId="24369" priority="9346" stopIfTrue="1" operator="equal">
      <formula>"Napkin Hs"</formula>
    </cfRule>
    <cfRule type="cellIs" dxfId="24368" priority="9347" stopIfTrue="1" operator="equal">
      <formula>"Towel"</formula>
    </cfRule>
    <cfRule type="cellIs" dxfId="24367" priority="9348" stopIfTrue="1" operator="equal">
      <formula>"Napkin Hs"</formula>
    </cfRule>
    <cfRule type="cellIs" dxfId="24366" priority="9351" stopIfTrue="1" operator="equal">
      <formula>"Towel"</formula>
    </cfRule>
    <cfRule type="cellIs" dxfId="24365" priority="9352" stopIfTrue="1" operator="equal">
      <formula>"Napkin Hs"</formula>
    </cfRule>
    <cfRule type="cellIs" dxfId="24364" priority="9353" stopIfTrue="1" operator="equal">
      <formula>"Towel"</formula>
    </cfRule>
    <cfRule type="cellIs" dxfId="24363" priority="9354" stopIfTrue="1" operator="equal">
      <formula>"Napkin Hs"</formula>
    </cfRule>
    <cfRule type="cellIs" dxfId="24362" priority="9355" stopIfTrue="1" operator="equal">
      <formula>"Towel"</formula>
    </cfRule>
    <cfRule type="cellIs" dxfId="24361" priority="9356" stopIfTrue="1" operator="equal">
      <formula>"Napkin Hs"</formula>
    </cfRule>
    <cfRule type="cellIs" dxfId="24360" priority="9357" stopIfTrue="1" operator="equal">
      <formula>"Towel"</formula>
    </cfRule>
    <cfRule type="cellIs" dxfId="24359" priority="9358" stopIfTrue="1" operator="equal">
      <formula>"Napkin Hs"</formula>
    </cfRule>
    <cfRule type="cellIs" dxfId="24358" priority="9361" stopIfTrue="1" operator="equal">
      <formula>"Towel"</formula>
    </cfRule>
    <cfRule type="cellIs" dxfId="24357" priority="9362" stopIfTrue="1" operator="equal">
      <formula>"Napkin Hs"</formula>
    </cfRule>
    <cfRule type="cellIs" dxfId="24356" priority="9364" stopIfTrue="1" operator="equal">
      <formula>"Napkin Hs"</formula>
    </cfRule>
  </conditionalFormatting>
  <conditionalFormatting sqref="C82">
    <cfRule type="cellIs" dxfId="24355" priority="9363" stopIfTrue="1" operator="equal">
      <formula>"Towel"</formula>
    </cfRule>
  </conditionalFormatting>
  <conditionalFormatting sqref="C82">
    <cfRule type="cellIs" dxfId="24354" priority="9341" stopIfTrue="1" operator="equal">
      <formula>"Towel"</formula>
    </cfRule>
    <cfRule type="cellIs" dxfId="24353" priority="9342" stopIfTrue="1" operator="equal">
      <formula>"Napkin Hs"</formula>
    </cfRule>
  </conditionalFormatting>
  <conditionalFormatting sqref="C82">
    <cfRule type="cellIs" dxfId="24352" priority="9340" stopIfTrue="1" operator="equal">
      <formula>"Napkin Hs"</formula>
    </cfRule>
  </conditionalFormatting>
  <conditionalFormatting sqref="C82">
    <cfRule type="cellIs" dxfId="24351" priority="9339" stopIfTrue="1" operator="equal">
      <formula>"Towel"</formula>
    </cfRule>
  </conditionalFormatting>
  <conditionalFormatting sqref="C82">
    <cfRule type="cellIs" dxfId="24350" priority="9337" stopIfTrue="1" operator="equal">
      <formula>"Towel"</formula>
    </cfRule>
  </conditionalFormatting>
  <conditionalFormatting sqref="C82">
    <cfRule type="cellIs" dxfId="24349" priority="9338" stopIfTrue="1" operator="equal">
      <formula>"Napkin Hs"</formula>
    </cfRule>
  </conditionalFormatting>
  <conditionalFormatting sqref="C82">
    <cfRule type="cellIs" dxfId="24348" priority="9241" stopIfTrue="1" operator="equal">
      <formula>"Towel"</formula>
    </cfRule>
  </conditionalFormatting>
  <conditionalFormatting sqref="C82">
    <cfRule type="cellIs" dxfId="24347" priority="9251" stopIfTrue="1" operator="equal">
      <formula>"Towel"</formula>
    </cfRule>
    <cfRule type="cellIs" dxfId="24346" priority="9252" stopIfTrue="1" operator="equal">
      <formula>"Napkin Hs"</formula>
    </cfRule>
    <cfRule type="cellIs" dxfId="24345" priority="9257" stopIfTrue="1" operator="equal">
      <formula>"Towel"</formula>
    </cfRule>
    <cfRule type="cellIs" dxfId="24344" priority="9258" stopIfTrue="1" operator="equal">
      <formula>"Napkin Hs"</formula>
    </cfRule>
    <cfRule type="cellIs" dxfId="24343" priority="9263" stopIfTrue="1" operator="equal">
      <formula>"Towel"</formula>
    </cfRule>
    <cfRule type="cellIs" dxfId="24342" priority="9264" stopIfTrue="1" operator="equal">
      <formula>"Napkin Hs"</formula>
    </cfRule>
    <cfRule type="cellIs" dxfId="24341" priority="9265" stopIfTrue="1" operator="equal">
      <formula>"Towel"</formula>
    </cfRule>
    <cfRule type="cellIs" dxfId="24340" priority="9266" stopIfTrue="1" operator="equal">
      <formula>"Napkin Hs"</formula>
    </cfRule>
    <cfRule type="cellIs" dxfId="24339" priority="9271" stopIfTrue="1" operator="equal">
      <formula>"Towel"</formula>
    </cfRule>
    <cfRule type="cellIs" dxfId="24338" priority="9272" stopIfTrue="1" operator="equal">
      <formula>"Napkin Hs"</formula>
    </cfRule>
    <cfRule type="cellIs" dxfId="24337" priority="9281" stopIfTrue="1" operator="equal">
      <formula>"Towel"</formula>
    </cfRule>
    <cfRule type="cellIs" dxfId="24336" priority="9282" stopIfTrue="1" operator="equal">
      <formula>"Napkin Hs"</formula>
    </cfRule>
    <cfRule type="cellIs" dxfId="24335" priority="9287" stopIfTrue="1" operator="equal">
      <formula>"Towel"</formula>
    </cfRule>
    <cfRule type="cellIs" dxfId="24334" priority="9288" stopIfTrue="1" operator="equal">
      <formula>"Napkin Hs"</formula>
    </cfRule>
    <cfRule type="cellIs" dxfId="24333" priority="9289" stopIfTrue="1" operator="equal">
      <formula>"Towel"</formula>
    </cfRule>
    <cfRule type="cellIs" dxfId="24332" priority="9290" stopIfTrue="1" operator="equal">
      <formula>"Napkin Hs"</formula>
    </cfRule>
    <cfRule type="cellIs" dxfId="24331" priority="9295" stopIfTrue="1" operator="equal">
      <formula>"Towel"</formula>
    </cfRule>
    <cfRule type="cellIs" dxfId="24330" priority="9296" stopIfTrue="1" operator="equal">
      <formula>"Napkin Hs"</formula>
    </cfRule>
    <cfRule type="cellIs" dxfId="24329" priority="9305" stopIfTrue="1" operator="equal">
      <formula>"Towel"</formula>
    </cfRule>
    <cfRule type="cellIs" dxfId="24328" priority="9306" stopIfTrue="1" operator="equal">
      <formula>"Napkin Hs"</formula>
    </cfRule>
    <cfRule type="cellIs" dxfId="24327" priority="9307" stopIfTrue="1" operator="equal">
      <formula>"Towel"</formula>
    </cfRule>
    <cfRule type="cellIs" dxfId="24326" priority="9308" stopIfTrue="1" operator="equal">
      <formula>"Napkin Hs"</formula>
    </cfRule>
    <cfRule type="cellIs" dxfId="24325" priority="9313" stopIfTrue="1" operator="equal">
      <formula>"Towel"</formula>
    </cfRule>
    <cfRule type="cellIs" dxfId="24324" priority="9314" stopIfTrue="1" operator="equal">
      <formula>"Napkin Hs"</formula>
    </cfRule>
    <cfRule type="cellIs" dxfId="24323" priority="9323" stopIfTrue="1" operator="equal">
      <formula>"Towel"</formula>
    </cfRule>
    <cfRule type="cellIs" dxfId="24322" priority="9324" stopIfTrue="1" operator="equal">
      <formula>"Napkin Hs"</formula>
    </cfRule>
    <cfRule type="cellIs" dxfId="24321" priority="9325" stopIfTrue="1" operator="equal">
      <formula>"Towel"</formula>
    </cfRule>
    <cfRule type="cellIs" dxfId="24320" priority="9326" stopIfTrue="1" operator="equal">
      <formula>"Napkin Hs"</formula>
    </cfRule>
    <cfRule type="cellIs" dxfId="24319" priority="9332" stopIfTrue="1" operator="equal">
      <formula>"Napkin Hs"</formula>
    </cfRule>
  </conditionalFormatting>
  <conditionalFormatting sqref="C82">
    <cfRule type="cellIs" dxfId="24318" priority="9331" stopIfTrue="1" operator="equal">
      <formula>"Towel"</formula>
    </cfRule>
  </conditionalFormatting>
  <conditionalFormatting sqref="C82">
    <cfRule type="cellIs" dxfId="24317" priority="9242" stopIfTrue="1" operator="equal">
      <formula>"Napkin Hs"</formula>
    </cfRule>
    <cfRule type="cellIs" dxfId="24316" priority="9243" stopIfTrue="1" operator="equal">
      <formula>"Towel"</formula>
    </cfRule>
    <cfRule type="cellIs" dxfId="24315" priority="9244" stopIfTrue="1" operator="equal">
      <formula>"Napkin Hs"</formula>
    </cfRule>
    <cfRule type="cellIs" dxfId="24314" priority="9245" stopIfTrue="1" operator="equal">
      <formula>"Towel"</formula>
    </cfRule>
    <cfRule type="cellIs" dxfId="24313" priority="9246" stopIfTrue="1" operator="equal">
      <formula>"Napkin Hs"</formula>
    </cfRule>
    <cfRule type="cellIs" dxfId="24312" priority="9247" stopIfTrue="1" operator="equal">
      <formula>"Towel"</formula>
    </cfRule>
    <cfRule type="cellIs" dxfId="24311" priority="9248" stopIfTrue="1" operator="equal">
      <formula>"Napkin Hs"</formula>
    </cfRule>
    <cfRule type="cellIs" dxfId="24310" priority="9249" stopIfTrue="1" operator="equal">
      <formula>"Towel"</formula>
    </cfRule>
    <cfRule type="cellIs" dxfId="24309" priority="9250" stopIfTrue="1" operator="equal">
      <formula>"Napkin Hs"</formula>
    </cfRule>
    <cfRule type="cellIs" dxfId="24308" priority="9253" stopIfTrue="1" operator="equal">
      <formula>"Towel"</formula>
    </cfRule>
    <cfRule type="cellIs" dxfId="24307" priority="9254" stopIfTrue="1" operator="equal">
      <formula>"Napkin Hs"</formula>
    </cfRule>
    <cfRule type="cellIs" dxfId="24306" priority="9255" stopIfTrue="1" operator="equal">
      <formula>"Towel"</formula>
    </cfRule>
    <cfRule type="cellIs" dxfId="24305" priority="9256" stopIfTrue="1" operator="equal">
      <formula>"Napkin Hs"</formula>
    </cfRule>
    <cfRule type="cellIs" dxfId="24304" priority="9259" stopIfTrue="1" operator="equal">
      <formula>"Towel"</formula>
    </cfRule>
    <cfRule type="cellIs" dxfId="24303" priority="9260" stopIfTrue="1" operator="equal">
      <formula>"Napkin Hs"</formula>
    </cfRule>
    <cfRule type="cellIs" dxfId="24302" priority="9261" stopIfTrue="1" operator="equal">
      <formula>"Towel"</formula>
    </cfRule>
    <cfRule type="cellIs" dxfId="24301" priority="9262" stopIfTrue="1" operator="equal">
      <formula>"Napkin Hs"</formula>
    </cfRule>
    <cfRule type="cellIs" dxfId="24300" priority="9267" stopIfTrue="1" operator="equal">
      <formula>"Towel"</formula>
    </cfRule>
    <cfRule type="cellIs" dxfId="24299" priority="9268" stopIfTrue="1" operator="equal">
      <formula>"Napkin Hs"</formula>
    </cfRule>
    <cfRule type="cellIs" dxfId="24298" priority="9269" stopIfTrue="1" operator="equal">
      <formula>"Towel"</formula>
    </cfRule>
    <cfRule type="cellIs" dxfId="24297" priority="9270" stopIfTrue="1" operator="equal">
      <formula>"Napkin Hs"</formula>
    </cfRule>
    <cfRule type="cellIs" dxfId="24296" priority="9273" stopIfTrue="1" operator="equal">
      <formula>"Towel"</formula>
    </cfRule>
    <cfRule type="cellIs" dxfId="24295" priority="9274" stopIfTrue="1" operator="equal">
      <formula>"Napkin Hs"</formula>
    </cfRule>
    <cfRule type="cellIs" dxfId="24294" priority="9275" stopIfTrue="1" operator="equal">
      <formula>"Towel"</formula>
    </cfRule>
    <cfRule type="cellIs" dxfId="24293" priority="9276" stopIfTrue="1" operator="equal">
      <formula>"Napkin Hs"</formula>
    </cfRule>
    <cfRule type="cellIs" dxfId="24292" priority="9277" stopIfTrue="1" operator="equal">
      <formula>"Towel"</formula>
    </cfRule>
    <cfRule type="cellIs" dxfId="24291" priority="9278" stopIfTrue="1" operator="equal">
      <formula>"Napkin Hs"</formula>
    </cfRule>
    <cfRule type="cellIs" dxfId="24290" priority="9279" stopIfTrue="1" operator="equal">
      <formula>"Towel"</formula>
    </cfRule>
    <cfRule type="cellIs" dxfId="24289" priority="9280" stopIfTrue="1" operator="equal">
      <formula>"Napkin Hs"</formula>
    </cfRule>
    <cfRule type="cellIs" dxfId="24288" priority="9283" stopIfTrue="1" operator="equal">
      <formula>"Towel"</formula>
    </cfRule>
    <cfRule type="cellIs" dxfId="24287" priority="9284" stopIfTrue="1" operator="equal">
      <formula>"Napkin Hs"</formula>
    </cfRule>
    <cfRule type="cellIs" dxfId="24286" priority="9285" stopIfTrue="1" operator="equal">
      <formula>"Towel"</formula>
    </cfRule>
    <cfRule type="cellIs" dxfId="24285" priority="9286" stopIfTrue="1" operator="equal">
      <formula>"Napkin Hs"</formula>
    </cfRule>
    <cfRule type="cellIs" dxfId="24284" priority="9291" stopIfTrue="1" operator="equal">
      <formula>"Towel"</formula>
    </cfRule>
    <cfRule type="cellIs" dxfId="24283" priority="9292" stopIfTrue="1" operator="equal">
      <formula>"Napkin Hs"</formula>
    </cfRule>
    <cfRule type="cellIs" dxfId="24282" priority="9293" stopIfTrue="1" operator="equal">
      <formula>"Towel"</formula>
    </cfRule>
    <cfRule type="cellIs" dxfId="24281" priority="9294" stopIfTrue="1" operator="equal">
      <formula>"Napkin Hs"</formula>
    </cfRule>
    <cfRule type="cellIs" dxfId="24280" priority="9297" stopIfTrue="1" operator="equal">
      <formula>"Towel"</formula>
    </cfRule>
    <cfRule type="cellIs" dxfId="24279" priority="9298" stopIfTrue="1" operator="equal">
      <formula>"Napkin Hs"</formula>
    </cfRule>
    <cfRule type="cellIs" dxfId="24278" priority="9299" stopIfTrue="1" operator="equal">
      <formula>"Towel"</formula>
    </cfRule>
    <cfRule type="cellIs" dxfId="24277" priority="9300" stopIfTrue="1" operator="equal">
      <formula>"Napkin Hs"</formula>
    </cfRule>
    <cfRule type="cellIs" dxfId="24276" priority="9301" stopIfTrue="1" operator="equal">
      <formula>"Towel"</formula>
    </cfRule>
    <cfRule type="cellIs" dxfId="24275" priority="9302" stopIfTrue="1" operator="equal">
      <formula>"Napkin Hs"</formula>
    </cfRule>
    <cfRule type="cellIs" dxfId="24274" priority="9303" stopIfTrue="1" operator="equal">
      <formula>"Towel"</formula>
    </cfRule>
    <cfRule type="cellIs" dxfId="24273" priority="9304" stopIfTrue="1" operator="equal">
      <formula>"Napkin Hs"</formula>
    </cfRule>
    <cfRule type="cellIs" dxfId="24272" priority="9309" stopIfTrue="1" operator="equal">
      <formula>"Towel"</formula>
    </cfRule>
    <cfRule type="cellIs" dxfId="24271" priority="9310" stopIfTrue="1" operator="equal">
      <formula>"Napkin Hs"</formula>
    </cfRule>
    <cfRule type="cellIs" dxfId="24270" priority="9311" stopIfTrue="1" operator="equal">
      <formula>"Towel"</formula>
    </cfRule>
    <cfRule type="cellIs" dxfId="24269" priority="9312" stopIfTrue="1" operator="equal">
      <formula>"Napkin Hs"</formula>
    </cfRule>
    <cfRule type="cellIs" dxfId="24268" priority="9315" stopIfTrue="1" operator="equal">
      <formula>"Towel"</formula>
    </cfRule>
    <cfRule type="cellIs" dxfId="24267" priority="9316" stopIfTrue="1" operator="equal">
      <formula>"Napkin Hs"</formula>
    </cfRule>
    <cfRule type="cellIs" dxfId="24266" priority="9317" stopIfTrue="1" operator="equal">
      <formula>"Towel"</formula>
    </cfRule>
    <cfRule type="cellIs" dxfId="24265" priority="9318" stopIfTrue="1" operator="equal">
      <formula>"Napkin Hs"</formula>
    </cfRule>
    <cfRule type="cellIs" dxfId="24264" priority="9319" stopIfTrue="1" operator="equal">
      <formula>"Towel"</formula>
    </cfRule>
    <cfRule type="cellIs" dxfId="24263" priority="9320" stopIfTrue="1" operator="equal">
      <formula>"Napkin Hs"</formula>
    </cfRule>
    <cfRule type="cellIs" dxfId="24262" priority="9321" stopIfTrue="1" operator="equal">
      <formula>"Towel"</formula>
    </cfRule>
    <cfRule type="cellIs" dxfId="24261" priority="9322" stopIfTrue="1" operator="equal">
      <formula>"Napkin Hs"</formula>
    </cfRule>
    <cfRule type="cellIs" dxfId="24260" priority="9327" stopIfTrue="1" operator="equal">
      <formula>"Towel"</formula>
    </cfRule>
    <cfRule type="cellIs" dxfId="24259" priority="9328" stopIfTrue="1" operator="equal">
      <formula>"Napkin Hs"</formula>
    </cfRule>
    <cfRule type="cellIs" dxfId="24258" priority="9329" stopIfTrue="1" operator="equal">
      <formula>"Towel"</formula>
    </cfRule>
    <cfRule type="cellIs" dxfId="24257" priority="9330" stopIfTrue="1" operator="equal">
      <formula>"Napkin Hs"</formula>
    </cfRule>
    <cfRule type="cellIs" dxfId="24256" priority="9333" stopIfTrue="1" operator="equal">
      <formula>"Towel"</formula>
    </cfRule>
    <cfRule type="cellIs" dxfId="24255" priority="9334" stopIfTrue="1" operator="equal">
      <formula>"Napkin Hs"</formula>
    </cfRule>
    <cfRule type="cellIs" dxfId="24254" priority="9335" stopIfTrue="1" operator="equal">
      <formula>"Towel"</formula>
    </cfRule>
    <cfRule type="cellIs" dxfId="24253" priority="9336" stopIfTrue="1" operator="equal">
      <formula>"Napkin Hs"</formula>
    </cfRule>
  </conditionalFormatting>
  <conditionalFormatting sqref="C82">
    <cfRule type="cellIs" dxfId="24252" priority="9240" stopIfTrue="1" operator="equal">
      <formula>"Napkin Hs"</formula>
    </cfRule>
  </conditionalFormatting>
  <conditionalFormatting sqref="C82">
    <cfRule type="cellIs" dxfId="24251" priority="9239" stopIfTrue="1" operator="equal">
      <formula>"Napkin Hs"</formula>
    </cfRule>
  </conditionalFormatting>
  <conditionalFormatting sqref="C82">
    <cfRule type="cellIs" dxfId="24250" priority="9238" stopIfTrue="1" operator="equal">
      <formula>"Napkin Hs"</formula>
    </cfRule>
  </conditionalFormatting>
  <conditionalFormatting sqref="C82">
    <cfRule type="cellIs" dxfId="24249" priority="9237" stopIfTrue="1" operator="equal">
      <formula>"Napkin Hs"</formula>
    </cfRule>
  </conditionalFormatting>
  <conditionalFormatting sqref="C82">
    <cfRule type="cellIs" dxfId="24248" priority="9236" stopIfTrue="1" operator="equal">
      <formula>"Napkin Hs"</formula>
    </cfRule>
  </conditionalFormatting>
  <conditionalFormatting sqref="C82">
    <cfRule type="cellIs" dxfId="24247" priority="9235" stopIfTrue="1" operator="equal">
      <formula>"Napkin Hs"</formula>
    </cfRule>
  </conditionalFormatting>
  <conditionalFormatting sqref="C82">
    <cfRule type="cellIs" dxfId="24246" priority="9231" stopIfTrue="1" operator="equal">
      <formula>"Towel"</formula>
    </cfRule>
    <cfRule type="cellIs" dxfId="24245" priority="9232" stopIfTrue="1" operator="equal">
      <formula>"Napkin Hs"</formula>
    </cfRule>
  </conditionalFormatting>
  <conditionalFormatting sqref="C82">
    <cfRule type="cellIs" dxfId="24244" priority="9233" stopIfTrue="1" operator="equal">
      <formula>"Towel"</formula>
    </cfRule>
    <cfRule type="cellIs" dxfId="24243" priority="9234" stopIfTrue="1" operator="equal">
      <formula>"Napkin Hs"</formula>
    </cfRule>
  </conditionalFormatting>
  <conditionalFormatting sqref="C82">
    <cfRule type="cellIs" dxfId="24242" priority="9227" stopIfTrue="1" operator="equal">
      <formula>"Towel"</formula>
    </cfRule>
    <cfRule type="cellIs" dxfId="24241" priority="9228" stopIfTrue="1" operator="equal">
      <formula>"Napkin Hs"</formula>
    </cfRule>
  </conditionalFormatting>
  <conditionalFormatting sqref="C82">
    <cfRule type="cellIs" dxfId="24240" priority="9229" stopIfTrue="1" operator="equal">
      <formula>"Towel"</formula>
    </cfRule>
    <cfRule type="cellIs" dxfId="24239" priority="9230" stopIfTrue="1" operator="equal">
      <formula>"Napkin Hs"</formula>
    </cfRule>
  </conditionalFormatting>
  <conditionalFormatting sqref="B82">
    <cfRule type="cellIs" dxfId="24238" priority="9225" stopIfTrue="1" operator="equal">
      <formula>"Towel"</formula>
    </cfRule>
    <cfRule type="cellIs" dxfId="24237" priority="9226" stopIfTrue="1" operator="equal">
      <formula>"Napkin Hs"</formula>
    </cfRule>
  </conditionalFormatting>
  <conditionalFormatting sqref="B82">
    <cfRule type="cellIs" dxfId="24236" priority="9223" stopIfTrue="1" operator="equal">
      <formula>"Towel"</formula>
    </cfRule>
    <cfRule type="cellIs" dxfId="24235" priority="9224" stopIfTrue="1" operator="equal">
      <formula>"Napkin Hs"</formula>
    </cfRule>
  </conditionalFormatting>
  <conditionalFormatting sqref="B82">
    <cfRule type="cellIs" dxfId="24234" priority="9221" stopIfTrue="1" operator="equal">
      <formula>"Towel"</formula>
    </cfRule>
    <cfRule type="cellIs" dxfId="24233" priority="9222" stopIfTrue="1" operator="equal">
      <formula>"Napkin Hs"</formula>
    </cfRule>
  </conditionalFormatting>
  <conditionalFormatting sqref="B82">
    <cfRule type="cellIs" dxfId="24232" priority="9213" stopIfTrue="1" operator="equal">
      <formula>"Towel"</formula>
    </cfRule>
  </conditionalFormatting>
  <conditionalFormatting sqref="B82">
    <cfRule type="cellIs" dxfId="24231" priority="9214" stopIfTrue="1" operator="equal">
      <formula>"Napkin Hs"</formula>
    </cfRule>
    <cfRule type="cellIs" dxfId="24230" priority="9215" stopIfTrue="1" operator="equal">
      <formula>"Towel"</formula>
    </cfRule>
    <cfRule type="cellIs" dxfId="24229" priority="9216" stopIfTrue="1" operator="equal">
      <formula>"Napkin Hs"</formula>
    </cfRule>
    <cfRule type="cellIs" dxfId="24228" priority="9217" stopIfTrue="1" operator="equal">
      <formula>"Towel"</formula>
    </cfRule>
    <cfRule type="cellIs" dxfId="24227" priority="9218" stopIfTrue="1" operator="equal">
      <formula>"Napkin Hs"</formula>
    </cfRule>
    <cfRule type="cellIs" dxfId="24226" priority="9219" stopIfTrue="1" operator="equal">
      <formula>"Towel"</formula>
    </cfRule>
    <cfRule type="cellIs" dxfId="24225" priority="9220" stopIfTrue="1" operator="equal">
      <formula>"Napkin Hs"</formula>
    </cfRule>
  </conditionalFormatting>
  <conditionalFormatting sqref="B82">
    <cfRule type="cellIs" dxfId="24224" priority="9211" stopIfTrue="1" operator="equal">
      <formula>"Towel"</formula>
    </cfRule>
    <cfRule type="cellIs" dxfId="24223" priority="9212" stopIfTrue="1" operator="equal">
      <formula>"Napkin Hs"</formula>
    </cfRule>
  </conditionalFormatting>
  <conditionalFormatting sqref="B82">
    <cfRule type="cellIs" dxfId="24222" priority="9180" stopIfTrue="1" operator="equal">
      <formula>"Napkin Hs"</formula>
    </cfRule>
  </conditionalFormatting>
  <conditionalFormatting sqref="B82">
    <cfRule type="cellIs" dxfId="24221" priority="9179" stopIfTrue="1" operator="equal">
      <formula>"Towel"</formula>
    </cfRule>
  </conditionalFormatting>
  <conditionalFormatting sqref="B82">
    <cfRule type="cellIs" dxfId="24220" priority="9181" stopIfTrue="1" operator="equal">
      <formula>"Towel"</formula>
    </cfRule>
    <cfRule type="cellIs" dxfId="24219" priority="9182" stopIfTrue="1" operator="equal">
      <formula>"Napkin Hs"</formula>
    </cfRule>
    <cfRule type="cellIs" dxfId="24218" priority="9183" stopIfTrue="1" operator="equal">
      <formula>"Towel"</formula>
    </cfRule>
    <cfRule type="cellIs" dxfId="24217" priority="9184" stopIfTrue="1" operator="equal">
      <formula>"Napkin Hs"</formula>
    </cfRule>
    <cfRule type="cellIs" dxfId="24216" priority="9185" stopIfTrue="1" operator="equal">
      <formula>"Towel"</formula>
    </cfRule>
    <cfRule type="cellIs" dxfId="24215" priority="9186" stopIfTrue="1" operator="equal">
      <formula>"Napkin Hs"</formula>
    </cfRule>
    <cfRule type="cellIs" dxfId="24214" priority="9187" stopIfTrue="1" operator="equal">
      <formula>"Towel"</formula>
    </cfRule>
    <cfRule type="cellIs" dxfId="24213" priority="9188" stopIfTrue="1" operator="equal">
      <formula>"Napkin Hs"</formula>
    </cfRule>
    <cfRule type="cellIs" dxfId="24212" priority="9189" stopIfTrue="1" operator="equal">
      <formula>"Towel"</formula>
    </cfRule>
    <cfRule type="cellIs" dxfId="24211" priority="9190" stopIfTrue="1" operator="equal">
      <formula>"Napkin Hs"</formula>
    </cfRule>
    <cfRule type="cellIs" dxfId="24210" priority="9191" stopIfTrue="1" operator="equal">
      <formula>"Towel"</formula>
    </cfRule>
    <cfRule type="cellIs" dxfId="24209" priority="9192" stopIfTrue="1" operator="equal">
      <formula>"Napkin Hs"</formula>
    </cfRule>
    <cfRule type="cellIs" dxfId="24208" priority="9193" stopIfTrue="1" operator="equal">
      <formula>"Towel"</formula>
    </cfRule>
    <cfRule type="cellIs" dxfId="24207" priority="9194" stopIfTrue="1" operator="equal">
      <formula>"Napkin Hs"</formula>
    </cfRule>
    <cfRule type="cellIs" dxfId="24206" priority="9195" stopIfTrue="1" operator="equal">
      <formula>"Towel"</formula>
    </cfRule>
    <cfRule type="cellIs" dxfId="24205" priority="9196" stopIfTrue="1" operator="equal">
      <formula>"Napkin Hs"</formula>
    </cfRule>
    <cfRule type="cellIs" dxfId="24204" priority="9197" stopIfTrue="1" operator="equal">
      <formula>"Towel"</formula>
    </cfRule>
    <cfRule type="cellIs" dxfId="24203" priority="9198" stopIfTrue="1" operator="equal">
      <formula>"Napkin Hs"</formula>
    </cfRule>
    <cfRule type="cellIs" dxfId="24202" priority="9199" stopIfTrue="1" operator="equal">
      <formula>"Towel"</formula>
    </cfRule>
    <cfRule type="cellIs" dxfId="24201" priority="9200" stopIfTrue="1" operator="equal">
      <formula>"Napkin Hs"</formula>
    </cfRule>
    <cfRule type="cellIs" dxfId="24200" priority="9201" stopIfTrue="1" operator="equal">
      <formula>"Towel"</formula>
    </cfRule>
    <cfRule type="cellIs" dxfId="24199" priority="9202" stopIfTrue="1" operator="equal">
      <formula>"Napkin Hs"</formula>
    </cfRule>
    <cfRule type="cellIs" dxfId="24198" priority="9203" stopIfTrue="1" operator="equal">
      <formula>"Towel"</formula>
    </cfRule>
    <cfRule type="cellIs" dxfId="24197" priority="9204" stopIfTrue="1" operator="equal">
      <formula>"Napkin Hs"</formula>
    </cfRule>
    <cfRule type="cellIs" dxfId="24196" priority="9205" stopIfTrue="1" operator="equal">
      <formula>"Towel"</formula>
    </cfRule>
    <cfRule type="cellIs" dxfId="24195" priority="9206" stopIfTrue="1" operator="equal">
      <formula>"Napkin Hs"</formula>
    </cfRule>
    <cfRule type="cellIs" dxfId="24194" priority="9207" stopIfTrue="1" operator="equal">
      <formula>"Towel"</formula>
    </cfRule>
    <cfRule type="cellIs" dxfId="24193" priority="9208" stopIfTrue="1" operator="equal">
      <formula>"Napkin Hs"</formula>
    </cfRule>
    <cfRule type="cellIs" dxfId="24192" priority="9210" stopIfTrue="1" operator="equal">
      <formula>"Napkin Hs"</formula>
    </cfRule>
  </conditionalFormatting>
  <conditionalFormatting sqref="B82">
    <cfRule type="cellIs" dxfId="24191" priority="9209" stopIfTrue="1" operator="equal">
      <formula>"Towel"</formula>
    </cfRule>
  </conditionalFormatting>
  <conditionalFormatting sqref="B82">
    <cfRule type="cellIs" dxfId="24190" priority="9178" stopIfTrue="1" operator="equal">
      <formula>"Napkin Hs"</formula>
    </cfRule>
  </conditionalFormatting>
  <conditionalFormatting sqref="B82">
    <cfRule type="cellIs" dxfId="24189" priority="9177" stopIfTrue="1" operator="equal">
      <formula>"Napkin Hs"</formula>
    </cfRule>
  </conditionalFormatting>
  <conditionalFormatting sqref="B82">
    <cfRule type="cellIs" dxfId="24188" priority="9176" stopIfTrue="1" operator="equal">
      <formula>"Napkin Hs"</formula>
    </cfRule>
  </conditionalFormatting>
  <conditionalFormatting sqref="B87:C87">
    <cfRule type="cellIs" dxfId="24187" priority="9170" stopIfTrue="1" operator="equal">
      <formula>"Towel"</formula>
    </cfRule>
    <cfRule type="cellIs" dxfId="24186" priority="9171" stopIfTrue="1" operator="equal">
      <formula>"Napkin Hs"</formula>
    </cfRule>
  </conditionalFormatting>
  <conditionalFormatting sqref="C87">
    <cfRule type="cellIs" dxfId="24185" priority="9166" stopIfTrue="1" operator="equal">
      <formula>"Towel"</formula>
    </cfRule>
    <cfRule type="cellIs" dxfId="24184" priority="9167" stopIfTrue="1" operator="equal">
      <formula>"Napkin Hs"</formula>
    </cfRule>
  </conditionalFormatting>
  <conditionalFormatting sqref="C87">
    <cfRule type="cellIs" dxfId="24183" priority="9168" stopIfTrue="1" operator="equal">
      <formula>"Towel"</formula>
    </cfRule>
    <cfRule type="cellIs" dxfId="24182" priority="9169" stopIfTrue="1" operator="equal">
      <formula>"Napkin Hs"</formula>
    </cfRule>
  </conditionalFormatting>
  <conditionalFormatting sqref="C90">
    <cfRule type="cellIs" dxfId="24181" priority="9162" stopIfTrue="1" operator="equal">
      <formula>"Towel"</formula>
    </cfRule>
    <cfRule type="cellIs" dxfId="24180" priority="9163" stopIfTrue="1" operator="equal">
      <formula>"Napkin Hs"</formula>
    </cfRule>
  </conditionalFormatting>
  <conditionalFormatting sqref="C90">
    <cfRule type="cellIs" dxfId="24179" priority="9164" stopIfTrue="1" operator="equal">
      <formula>"Towel"</formula>
    </cfRule>
    <cfRule type="cellIs" dxfId="24178" priority="9165" stopIfTrue="1" operator="equal">
      <formula>"Napkin Hs"</formula>
    </cfRule>
  </conditionalFormatting>
  <conditionalFormatting sqref="C90">
    <cfRule type="cellIs" dxfId="24177" priority="9160" stopIfTrue="1" operator="equal">
      <formula>"Towel"</formula>
    </cfRule>
    <cfRule type="cellIs" dxfId="24176" priority="9161" stopIfTrue="1" operator="equal">
      <formula>"Napkin Hs"</formula>
    </cfRule>
  </conditionalFormatting>
  <conditionalFormatting sqref="C90">
    <cfRule type="cellIs" dxfId="24175" priority="9154" stopIfTrue="1" operator="equal">
      <formula>"Towel"</formula>
    </cfRule>
    <cfRule type="cellIs" dxfId="24174" priority="9155" stopIfTrue="1" operator="equal">
      <formula>"Napkin Hs"</formula>
    </cfRule>
  </conditionalFormatting>
  <conditionalFormatting sqref="C90">
    <cfRule type="cellIs" dxfId="24173" priority="9156" stopIfTrue="1" operator="equal">
      <formula>"Towel"</formula>
    </cfRule>
    <cfRule type="cellIs" dxfId="24172" priority="9157" stopIfTrue="1" operator="equal">
      <formula>"Napkin Hs"</formula>
    </cfRule>
  </conditionalFormatting>
  <conditionalFormatting sqref="C90">
    <cfRule type="cellIs" dxfId="24171" priority="9158" stopIfTrue="1" operator="equal">
      <formula>"Towel"</formula>
    </cfRule>
    <cfRule type="cellIs" dxfId="24170" priority="9159" stopIfTrue="1" operator="equal">
      <formula>"Napkin Hs"</formula>
    </cfRule>
  </conditionalFormatting>
  <conditionalFormatting sqref="B90">
    <cfRule type="cellIs" dxfId="24169" priority="9152" stopIfTrue="1" operator="equal">
      <formula>"Towel"</formula>
    </cfRule>
    <cfRule type="cellIs" dxfId="24168" priority="9153" stopIfTrue="1" operator="equal">
      <formula>"Napkin Hs"</formula>
    </cfRule>
  </conditionalFormatting>
  <conditionalFormatting sqref="B90">
    <cfRule type="cellIs" dxfId="24167" priority="9150" stopIfTrue="1" operator="equal">
      <formula>"Towel"</formula>
    </cfRule>
    <cfRule type="cellIs" dxfId="24166" priority="9151" stopIfTrue="1" operator="equal">
      <formula>"Napkin Hs"</formula>
    </cfRule>
  </conditionalFormatting>
  <conditionalFormatting sqref="C89">
    <cfRule type="cellIs" dxfId="24165" priority="9142" stopIfTrue="1" operator="equal">
      <formula>"Towel"</formula>
    </cfRule>
    <cfRule type="cellIs" dxfId="24164" priority="9143" stopIfTrue="1" operator="equal">
      <formula>"Napkin Hs"</formula>
    </cfRule>
  </conditionalFormatting>
  <conditionalFormatting sqref="B89:C89">
    <cfRule type="cellIs" dxfId="24163" priority="9144" stopIfTrue="1" operator="equal">
      <formula>"Towel"</formula>
    </cfRule>
    <cfRule type="cellIs" dxfId="24162" priority="9145" stopIfTrue="1" operator="equal">
      <formula>"Napkin Hs"</formula>
    </cfRule>
  </conditionalFormatting>
  <conditionalFormatting sqref="C89">
    <cfRule type="cellIs" dxfId="24161" priority="9140" stopIfTrue="1" operator="equal">
      <formula>"Towel"</formula>
    </cfRule>
    <cfRule type="cellIs" dxfId="24160" priority="9141" stopIfTrue="1" operator="equal">
      <formula>"Napkin Hs"</formula>
    </cfRule>
  </conditionalFormatting>
  <conditionalFormatting sqref="B89:C89">
    <cfRule type="cellIs" dxfId="24159" priority="9138" stopIfTrue="1" operator="equal">
      <formula>"Towel"</formula>
    </cfRule>
    <cfRule type="cellIs" dxfId="24158" priority="9139" stopIfTrue="1" operator="equal">
      <formula>"Napkin Hs"</formula>
    </cfRule>
  </conditionalFormatting>
  <conditionalFormatting sqref="C89">
    <cfRule type="cellIs" dxfId="24157" priority="9146" stopIfTrue="1" operator="equal">
      <formula>"Towel"</formula>
    </cfRule>
    <cfRule type="cellIs" dxfId="24156" priority="9147" stopIfTrue="1" operator="equal">
      <formula>"Napkin Hs"</formula>
    </cfRule>
  </conditionalFormatting>
  <conditionalFormatting sqref="C89">
    <cfRule type="cellIs" dxfId="24155" priority="9148" stopIfTrue="1" operator="equal">
      <formula>"Towel"</formula>
    </cfRule>
    <cfRule type="cellIs" dxfId="24154" priority="9149" stopIfTrue="1" operator="equal">
      <formula>"Napkin Hs"</formula>
    </cfRule>
  </conditionalFormatting>
  <conditionalFormatting sqref="C89:C90">
    <cfRule type="cellIs" dxfId="24153" priority="9134" stopIfTrue="1" operator="equal">
      <formula>"Towel"</formula>
    </cfRule>
    <cfRule type="cellIs" dxfId="24152" priority="9135" stopIfTrue="1" operator="equal">
      <formula>"Napkin Hs"</formula>
    </cfRule>
  </conditionalFormatting>
  <conditionalFormatting sqref="C89:C90">
    <cfRule type="cellIs" dxfId="24151" priority="9136" stopIfTrue="1" operator="equal">
      <formula>"Towel"</formula>
    </cfRule>
    <cfRule type="cellIs" dxfId="24150" priority="9137" stopIfTrue="1" operator="equal">
      <formula>"Napkin Hs"</formula>
    </cfRule>
  </conditionalFormatting>
  <conditionalFormatting sqref="C89:C90">
    <cfRule type="cellIs" dxfId="24149" priority="9132" stopIfTrue="1" operator="equal">
      <formula>"Towel"</formula>
    </cfRule>
    <cfRule type="cellIs" dxfId="24148" priority="9133" stopIfTrue="1" operator="equal">
      <formula>"Napkin Hs"</formula>
    </cfRule>
  </conditionalFormatting>
  <conditionalFormatting sqref="B89:B90">
    <cfRule type="cellIs" dxfId="24147" priority="9130" stopIfTrue="1" operator="equal">
      <formula>"Towel"</formula>
    </cfRule>
    <cfRule type="cellIs" dxfId="24146" priority="9131" stopIfTrue="1" operator="equal">
      <formula>"Napkin Hs"</formula>
    </cfRule>
  </conditionalFormatting>
  <conditionalFormatting sqref="C89:C90">
    <cfRule type="cellIs" dxfId="24145" priority="9124" stopIfTrue="1" operator="equal">
      <formula>"Towel"</formula>
    </cfRule>
    <cfRule type="cellIs" dxfId="24144" priority="9125" stopIfTrue="1" operator="equal">
      <formula>"Napkin Hs"</formula>
    </cfRule>
  </conditionalFormatting>
  <conditionalFormatting sqref="C89:C90">
    <cfRule type="cellIs" dxfId="24143" priority="9128" stopIfTrue="1" operator="equal">
      <formula>"Towel"</formula>
    </cfRule>
    <cfRule type="cellIs" dxfId="24142" priority="9129" stopIfTrue="1" operator="equal">
      <formula>"Napkin Hs"</formula>
    </cfRule>
  </conditionalFormatting>
  <conditionalFormatting sqref="C89:C90">
    <cfRule type="cellIs" dxfId="24141" priority="9126" stopIfTrue="1" operator="equal">
      <formula>"Towel"</formula>
    </cfRule>
    <cfRule type="cellIs" dxfId="24140" priority="9127" stopIfTrue="1" operator="equal">
      <formula>"Napkin Hs"</formula>
    </cfRule>
  </conditionalFormatting>
  <conditionalFormatting sqref="C89:C90">
    <cfRule type="cellIs" dxfId="24139" priority="9118" stopIfTrue="1" operator="equal">
      <formula>"Towel"</formula>
    </cfRule>
    <cfRule type="cellIs" dxfId="24138" priority="9119" stopIfTrue="1" operator="equal">
      <formula>"Napkin Hs"</formula>
    </cfRule>
  </conditionalFormatting>
  <conditionalFormatting sqref="C89:C90">
    <cfRule type="cellIs" dxfId="24137" priority="9120" stopIfTrue="1" operator="equal">
      <formula>"Towel"</formula>
    </cfRule>
    <cfRule type="cellIs" dxfId="24136" priority="9121" stopIfTrue="1" operator="equal">
      <formula>"Napkin Hs"</formula>
    </cfRule>
  </conditionalFormatting>
  <conditionalFormatting sqref="C89:C90">
    <cfRule type="cellIs" dxfId="24135" priority="9122" stopIfTrue="1" operator="equal">
      <formula>"Towel"</formula>
    </cfRule>
    <cfRule type="cellIs" dxfId="24134" priority="9123" stopIfTrue="1" operator="equal">
      <formula>"Napkin Hs"</formula>
    </cfRule>
  </conditionalFormatting>
  <conditionalFormatting sqref="B89:C90">
    <cfRule type="cellIs" dxfId="24133" priority="9116" stopIfTrue="1" operator="equal">
      <formula>"Towel"</formula>
    </cfRule>
    <cfRule type="cellIs" dxfId="24132" priority="9117" stopIfTrue="1" operator="equal">
      <formula>"Napkin Hs"</formula>
    </cfRule>
  </conditionalFormatting>
  <conditionalFormatting sqref="B89:C90">
    <cfRule type="cellIs" dxfId="24131" priority="9114" stopIfTrue="1" operator="equal">
      <formula>"Towel"</formula>
    </cfRule>
    <cfRule type="cellIs" dxfId="24130" priority="9115" stopIfTrue="1" operator="equal">
      <formula>"Napkin Hs"</formula>
    </cfRule>
  </conditionalFormatting>
  <conditionalFormatting sqref="B89:C90">
    <cfRule type="cellIs" dxfId="24129" priority="9090" stopIfTrue="1" operator="equal">
      <formula>"Towel"</formula>
    </cfRule>
  </conditionalFormatting>
  <conditionalFormatting sqref="B89:C90">
    <cfRule type="cellIs" dxfId="24128" priority="9091" stopIfTrue="1" operator="equal">
      <formula>"Napkin Hs"</formula>
    </cfRule>
    <cfRule type="cellIs" dxfId="24127" priority="9096" stopIfTrue="1" operator="equal">
      <formula>"Towel"</formula>
    </cfRule>
    <cfRule type="cellIs" dxfId="24126" priority="9097" stopIfTrue="1" operator="equal">
      <formula>"Napkin Hs"</formula>
    </cfRule>
    <cfRule type="cellIs" dxfId="24125" priority="9106" stopIfTrue="1" operator="equal">
      <formula>"Towel"</formula>
    </cfRule>
    <cfRule type="cellIs" dxfId="24124" priority="9107" stopIfTrue="1" operator="equal">
      <formula>"Napkin Hs"</formula>
    </cfRule>
    <cfRule type="cellIs" dxfId="24123" priority="9112" stopIfTrue="1" operator="equal">
      <formula>"Towel"</formula>
    </cfRule>
    <cfRule type="cellIs" dxfId="24122" priority="9113" stopIfTrue="1" operator="equal">
      <formula>"Napkin Hs"</formula>
    </cfRule>
  </conditionalFormatting>
  <conditionalFormatting sqref="C89:C90">
    <cfRule type="cellIs" dxfId="24121" priority="9092" stopIfTrue="1" operator="equal">
      <formula>"Towel"</formula>
    </cfRule>
    <cfRule type="cellIs" dxfId="24120" priority="9093" stopIfTrue="1" operator="equal">
      <formula>"Napkin Hs"</formula>
    </cfRule>
    <cfRule type="cellIs" dxfId="24119" priority="9094" stopIfTrue="1" operator="equal">
      <formula>"Towel"</formula>
    </cfRule>
    <cfRule type="cellIs" dxfId="24118" priority="9095" stopIfTrue="1" operator="equal">
      <formula>"Napkin Hs"</formula>
    </cfRule>
    <cfRule type="cellIs" dxfId="24117" priority="9098" stopIfTrue="1" operator="equal">
      <formula>"Towel"</formula>
    </cfRule>
    <cfRule type="cellIs" dxfId="24116" priority="9099" stopIfTrue="1" operator="equal">
      <formula>"Napkin Hs"</formula>
    </cfRule>
    <cfRule type="cellIs" dxfId="24115" priority="9100" stopIfTrue="1" operator="equal">
      <formula>"Towel"</formula>
    </cfRule>
    <cfRule type="cellIs" dxfId="24114" priority="9101" stopIfTrue="1" operator="equal">
      <formula>"Napkin Hs"</formula>
    </cfRule>
    <cfRule type="cellIs" dxfId="24113" priority="9102" stopIfTrue="1" operator="equal">
      <formula>"Towel"</formula>
    </cfRule>
    <cfRule type="cellIs" dxfId="24112" priority="9103" stopIfTrue="1" operator="equal">
      <formula>"Napkin Hs"</formula>
    </cfRule>
    <cfRule type="cellIs" dxfId="24111" priority="9104" stopIfTrue="1" operator="equal">
      <formula>"Towel"</formula>
    </cfRule>
    <cfRule type="cellIs" dxfId="24110" priority="9105" stopIfTrue="1" operator="equal">
      <formula>"Napkin Hs"</formula>
    </cfRule>
    <cfRule type="cellIs" dxfId="24109" priority="9108" stopIfTrue="1" operator="equal">
      <formula>"Towel"</formula>
    </cfRule>
    <cfRule type="cellIs" dxfId="24108" priority="9109" stopIfTrue="1" operator="equal">
      <formula>"Napkin Hs"</formula>
    </cfRule>
    <cfRule type="cellIs" dxfId="24107" priority="9111" stopIfTrue="1" operator="equal">
      <formula>"Napkin Hs"</formula>
    </cfRule>
  </conditionalFormatting>
  <conditionalFormatting sqref="C89:C90">
    <cfRule type="cellIs" dxfId="24106" priority="9110" stopIfTrue="1" operator="equal">
      <formula>"Towel"</formula>
    </cfRule>
  </conditionalFormatting>
  <conditionalFormatting sqref="B89:C90">
    <cfRule type="cellIs" dxfId="24105" priority="9088" stopIfTrue="1" operator="equal">
      <formula>"Towel"</formula>
    </cfRule>
    <cfRule type="cellIs" dxfId="24104" priority="9089" stopIfTrue="1" operator="equal">
      <formula>"Napkin Hs"</formula>
    </cfRule>
  </conditionalFormatting>
  <conditionalFormatting sqref="C89:C90">
    <cfRule type="cellIs" dxfId="24103" priority="9087" stopIfTrue="1" operator="equal">
      <formula>"Napkin Hs"</formula>
    </cfRule>
  </conditionalFormatting>
  <conditionalFormatting sqref="C89:C90">
    <cfRule type="cellIs" dxfId="24102" priority="9086" stopIfTrue="1" operator="equal">
      <formula>"Towel"</formula>
    </cfRule>
  </conditionalFormatting>
  <conditionalFormatting sqref="C89:C90">
    <cfRule type="cellIs" dxfId="24101" priority="9084" stopIfTrue="1" operator="equal">
      <formula>"Towel"</formula>
    </cfRule>
  </conditionalFormatting>
  <conditionalFormatting sqref="C89:C90">
    <cfRule type="cellIs" dxfId="24100" priority="9085" stopIfTrue="1" operator="equal">
      <formula>"Napkin Hs"</formula>
    </cfRule>
  </conditionalFormatting>
  <conditionalFormatting sqref="B89:B90">
    <cfRule type="cellIs" dxfId="24099" priority="8988" stopIfTrue="1" operator="equal">
      <formula>"Napkin Hs"</formula>
    </cfRule>
  </conditionalFormatting>
  <conditionalFormatting sqref="B89:C90">
    <cfRule type="cellIs" dxfId="24098" priority="8987" stopIfTrue="1" operator="equal">
      <formula>"Towel"</formula>
    </cfRule>
  </conditionalFormatting>
  <conditionalFormatting sqref="B89:C90">
    <cfRule type="cellIs" dxfId="24097" priority="8998" stopIfTrue="1" operator="equal">
      <formula>"Towel"</formula>
    </cfRule>
    <cfRule type="cellIs" dxfId="24096" priority="8999" stopIfTrue="1" operator="equal">
      <formula>"Napkin Hs"</formula>
    </cfRule>
    <cfRule type="cellIs" dxfId="24095" priority="9004" stopIfTrue="1" operator="equal">
      <formula>"Towel"</formula>
    </cfRule>
    <cfRule type="cellIs" dxfId="24094" priority="9005" stopIfTrue="1" operator="equal">
      <formula>"Napkin Hs"</formula>
    </cfRule>
    <cfRule type="cellIs" dxfId="24093" priority="9010" stopIfTrue="1" operator="equal">
      <formula>"Towel"</formula>
    </cfRule>
    <cfRule type="cellIs" dxfId="24092" priority="9011" stopIfTrue="1" operator="equal">
      <formula>"Napkin Hs"</formula>
    </cfRule>
    <cfRule type="cellIs" dxfId="24091" priority="9012" stopIfTrue="1" operator="equal">
      <formula>"Towel"</formula>
    </cfRule>
    <cfRule type="cellIs" dxfId="24090" priority="9013" stopIfTrue="1" operator="equal">
      <formula>"Napkin Hs"</formula>
    </cfRule>
    <cfRule type="cellIs" dxfId="24089" priority="9018" stopIfTrue="1" operator="equal">
      <formula>"Towel"</formula>
    </cfRule>
    <cfRule type="cellIs" dxfId="24088" priority="9019" stopIfTrue="1" operator="equal">
      <formula>"Napkin Hs"</formula>
    </cfRule>
    <cfRule type="cellIs" dxfId="24087" priority="9028" stopIfTrue="1" operator="equal">
      <formula>"Towel"</formula>
    </cfRule>
    <cfRule type="cellIs" dxfId="24086" priority="9029" stopIfTrue="1" operator="equal">
      <formula>"Napkin Hs"</formula>
    </cfRule>
    <cfRule type="cellIs" dxfId="24085" priority="9034" stopIfTrue="1" operator="equal">
      <formula>"Towel"</formula>
    </cfRule>
    <cfRule type="cellIs" dxfId="24084" priority="9035" stopIfTrue="1" operator="equal">
      <formula>"Napkin Hs"</formula>
    </cfRule>
    <cfRule type="cellIs" dxfId="24083" priority="9036" stopIfTrue="1" operator="equal">
      <formula>"Towel"</formula>
    </cfRule>
    <cfRule type="cellIs" dxfId="24082" priority="9037" stopIfTrue="1" operator="equal">
      <formula>"Napkin Hs"</formula>
    </cfRule>
    <cfRule type="cellIs" dxfId="24081" priority="9042" stopIfTrue="1" operator="equal">
      <formula>"Towel"</formula>
    </cfRule>
    <cfRule type="cellIs" dxfId="24080" priority="9043" stopIfTrue="1" operator="equal">
      <formula>"Napkin Hs"</formula>
    </cfRule>
    <cfRule type="cellIs" dxfId="24079" priority="9052" stopIfTrue="1" operator="equal">
      <formula>"Towel"</formula>
    </cfRule>
    <cfRule type="cellIs" dxfId="24078" priority="9053" stopIfTrue="1" operator="equal">
      <formula>"Napkin Hs"</formula>
    </cfRule>
    <cfRule type="cellIs" dxfId="24077" priority="9054" stopIfTrue="1" operator="equal">
      <formula>"Towel"</formula>
    </cfRule>
    <cfRule type="cellIs" dxfId="24076" priority="9055" stopIfTrue="1" operator="equal">
      <formula>"Napkin Hs"</formula>
    </cfRule>
    <cfRule type="cellIs" dxfId="24075" priority="9060" stopIfTrue="1" operator="equal">
      <formula>"Towel"</formula>
    </cfRule>
    <cfRule type="cellIs" dxfId="24074" priority="9061" stopIfTrue="1" operator="equal">
      <formula>"Napkin Hs"</formula>
    </cfRule>
    <cfRule type="cellIs" dxfId="24073" priority="9070" stopIfTrue="1" operator="equal">
      <formula>"Towel"</formula>
    </cfRule>
    <cfRule type="cellIs" dxfId="24072" priority="9071" stopIfTrue="1" operator="equal">
      <formula>"Napkin Hs"</formula>
    </cfRule>
    <cfRule type="cellIs" dxfId="24071" priority="9072" stopIfTrue="1" operator="equal">
      <formula>"Towel"</formula>
    </cfRule>
    <cfRule type="cellIs" dxfId="24070" priority="9073" stopIfTrue="1" operator="equal">
      <formula>"Napkin Hs"</formula>
    </cfRule>
    <cfRule type="cellIs" dxfId="24069" priority="9079" stopIfTrue="1" operator="equal">
      <formula>"Napkin Hs"</formula>
    </cfRule>
  </conditionalFormatting>
  <conditionalFormatting sqref="B89:C90">
    <cfRule type="cellIs" dxfId="24068" priority="9078" stopIfTrue="1" operator="equal">
      <formula>"Towel"</formula>
    </cfRule>
  </conditionalFormatting>
  <conditionalFormatting sqref="C89:C90">
    <cfRule type="cellIs" dxfId="24067" priority="8989" stopIfTrue="1" operator="equal">
      <formula>"Napkin Hs"</formula>
    </cfRule>
    <cfRule type="cellIs" dxfId="24066" priority="8990" stopIfTrue="1" operator="equal">
      <formula>"Towel"</formula>
    </cfRule>
    <cfRule type="cellIs" dxfId="24065" priority="8991" stopIfTrue="1" operator="equal">
      <formula>"Napkin Hs"</formula>
    </cfRule>
    <cfRule type="cellIs" dxfId="24064" priority="8992" stopIfTrue="1" operator="equal">
      <formula>"Towel"</formula>
    </cfRule>
    <cfRule type="cellIs" dxfId="24063" priority="8993" stopIfTrue="1" operator="equal">
      <formula>"Napkin Hs"</formula>
    </cfRule>
    <cfRule type="cellIs" dxfId="24062" priority="8994" stopIfTrue="1" operator="equal">
      <formula>"Towel"</formula>
    </cfRule>
    <cfRule type="cellIs" dxfId="24061" priority="8995" stopIfTrue="1" operator="equal">
      <formula>"Napkin Hs"</formula>
    </cfRule>
    <cfRule type="cellIs" dxfId="24060" priority="8996" stopIfTrue="1" operator="equal">
      <formula>"Towel"</formula>
    </cfRule>
    <cfRule type="cellIs" dxfId="24059" priority="8997" stopIfTrue="1" operator="equal">
      <formula>"Napkin Hs"</formula>
    </cfRule>
    <cfRule type="cellIs" dxfId="24058" priority="9000" stopIfTrue="1" operator="equal">
      <formula>"Towel"</formula>
    </cfRule>
    <cfRule type="cellIs" dxfId="24057" priority="9001" stopIfTrue="1" operator="equal">
      <formula>"Napkin Hs"</formula>
    </cfRule>
    <cfRule type="cellIs" dxfId="24056" priority="9002" stopIfTrue="1" operator="equal">
      <formula>"Towel"</formula>
    </cfRule>
    <cfRule type="cellIs" dxfId="24055" priority="9003" stopIfTrue="1" operator="equal">
      <formula>"Napkin Hs"</formula>
    </cfRule>
    <cfRule type="cellIs" dxfId="24054" priority="9006" stopIfTrue="1" operator="equal">
      <formula>"Towel"</formula>
    </cfRule>
    <cfRule type="cellIs" dxfId="24053" priority="9007" stopIfTrue="1" operator="equal">
      <formula>"Napkin Hs"</formula>
    </cfRule>
    <cfRule type="cellIs" dxfId="24052" priority="9008" stopIfTrue="1" operator="equal">
      <formula>"Towel"</formula>
    </cfRule>
    <cfRule type="cellIs" dxfId="24051" priority="9009" stopIfTrue="1" operator="equal">
      <formula>"Napkin Hs"</formula>
    </cfRule>
    <cfRule type="cellIs" dxfId="24050" priority="9014" stopIfTrue="1" operator="equal">
      <formula>"Towel"</formula>
    </cfRule>
    <cfRule type="cellIs" dxfId="24049" priority="9015" stopIfTrue="1" operator="equal">
      <formula>"Napkin Hs"</formula>
    </cfRule>
    <cfRule type="cellIs" dxfId="24048" priority="9016" stopIfTrue="1" operator="equal">
      <formula>"Towel"</formula>
    </cfRule>
    <cfRule type="cellIs" dxfId="24047" priority="9017" stopIfTrue="1" operator="equal">
      <formula>"Napkin Hs"</formula>
    </cfRule>
    <cfRule type="cellIs" dxfId="24046" priority="9020" stopIfTrue="1" operator="equal">
      <formula>"Towel"</formula>
    </cfRule>
    <cfRule type="cellIs" dxfId="24045" priority="9021" stopIfTrue="1" operator="equal">
      <formula>"Napkin Hs"</formula>
    </cfRule>
    <cfRule type="cellIs" dxfId="24044" priority="9022" stopIfTrue="1" operator="equal">
      <formula>"Towel"</formula>
    </cfRule>
    <cfRule type="cellIs" dxfId="24043" priority="9023" stopIfTrue="1" operator="equal">
      <formula>"Napkin Hs"</formula>
    </cfRule>
    <cfRule type="cellIs" dxfId="24042" priority="9024" stopIfTrue="1" operator="equal">
      <formula>"Towel"</formula>
    </cfRule>
    <cfRule type="cellIs" dxfId="24041" priority="9025" stopIfTrue="1" operator="equal">
      <formula>"Napkin Hs"</formula>
    </cfRule>
    <cfRule type="cellIs" dxfId="24040" priority="9026" stopIfTrue="1" operator="equal">
      <formula>"Towel"</formula>
    </cfRule>
    <cfRule type="cellIs" dxfId="24039" priority="9027" stopIfTrue="1" operator="equal">
      <formula>"Napkin Hs"</formula>
    </cfRule>
    <cfRule type="cellIs" dxfId="24038" priority="9030" stopIfTrue="1" operator="equal">
      <formula>"Towel"</formula>
    </cfRule>
    <cfRule type="cellIs" dxfId="24037" priority="9031" stopIfTrue="1" operator="equal">
      <formula>"Napkin Hs"</formula>
    </cfRule>
    <cfRule type="cellIs" dxfId="24036" priority="9032" stopIfTrue="1" operator="equal">
      <formula>"Towel"</formula>
    </cfRule>
    <cfRule type="cellIs" dxfId="24035" priority="9033" stopIfTrue="1" operator="equal">
      <formula>"Napkin Hs"</formula>
    </cfRule>
    <cfRule type="cellIs" dxfId="24034" priority="9038" stopIfTrue="1" operator="equal">
      <formula>"Towel"</formula>
    </cfRule>
    <cfRule type="cellIs" dxfId="24033" priority="9039" stopIfTrue="1" operator="equal">
      <formula>"Napkin Hs"</formula>
    </cfRule>
    <cfRule type="cellIs" dxfId="24032" priority="9040" stopIfTrue="1" operator="equal">
      <formula>"Towel"</formula>
    </cfRule>
    <cfRule type="cellIs" dxfId="24031" priority="9041" stopIfTrue="1" operator="equal">
      <formula>"Napkin Hs"</formula>
    </cfRule>
    <cfRule type="cellIs" dxfId="24030" priority="9044" stopIfTrue="1" operator="equal">
      <formula>"Towel"</formula>
    </cfRule>
    <cfRule type="cellIs" dxfId="24029" priority="9045" stopIfTrue="1" operator="equal">
      <formula>"Napkin Hs"</formula>
    </cfRule>
    <cfRule type="cellIs" dxfId="24028" priority="9046" stopIfTrue="1" operator="equal">
      <formula>"Towel"</formula>
    </cfRule>
    <cfRule type="cellIs" dxfId="24027" priority="9047" stopIfTrue="1" operator="equal">
      <formula>"Napkin Hs"</formula>
    </cfRule>
    <cfRule type="cellIs" dxfId="24026" priority="9048" stopIfTrue="1" operator="equal">
      <formula>"Towel"</formula>
    </cfRule>
    <cfRule type="cellIs" dxfId="24025" priority="9049" stopIfTrue="1" operator="equal">
      <formula>"Napkin Hs"</formula>
    </cfRule>
    <cfRule type="cellIs" dxfId="24024" priority="9050" stopIfTrue="1" operator="equal">
      <formula>"Towel"</formula>
    </cfRule>
    <cfRule type="cellIs" dxfId="24023" priority="9051" stopIfTrue="1" operator="equal">
      <formula>"Napkin Hs"</formula>
    </cfRule>
    <cfRule type="cellIs" dxfId="24022" priority="9056" stopIfTrue="1" operator="equal">
      <formula>"Towel"</formula>
    </cfRule>
    <cfRule type="cellIs" dxfId="24021" priority="9057" stopIfTrue="1" operator="equal">
      <formula>"Napkin Hs"</formula>
    </cfRule>
    <cfRule type="cellIs" dxfId="24020" priority="9058" stopIfTrue="1" operator="equal">
      <formula>"Towel"</formula>
    </cfRule>
    <cfRule type="cellIs" dxfId="24019" priority="9059" stopIfTrue="1" operator="equal">
      <formula>"Napkin Hs"</formula>
    </cfRule>
    <cfRule type="cellIs" dxfId="24018" priority="9062" stopIfTrue="1" operator="equal">
      <formula>"Towel"</formula>
    </cfRule>
    <cfRule type="cellIs" dxfId="24017" priority="9063" stopIfTrue="1" operator="equal">
      <formula>"Napkin Hs"</formula>
    </cfRule>
    <cfRule type="cellIs" dxfId="24016" priority="9064" stopIfTrue="1" operator="equal">
      <formula>"Towel"</formula>
    </cfRule>
    <cfRule type="cellIs" dxfId="24015" priority="9065" stopIfTrue="1" operator="equal">
      <formula>"Napkin Hs"</formula>
    </cfRule>
    <cfRule type="cellIs" dxfId="24014" priority="9066" stopIfTrue="1" operator="equal">
      <formula>"Towel"</formula>
    </cfRule>
    <cfRule type="cellIs" dxfId="24013" priority="9067" stopIfTrue="1" operator="equal">
      <formula>"Napkin Hs"</formula>
    </cfRule>
    <cfRule type="cellIs" dxfId="24012" priority="9068" stopIfTrue="1" operator="equal">
      <formula>"Towel"</formula>
    </cfRule>
    <cfRule type="cellIs" dxfId="24011" priority="9069" stopIfTrue="1" operator="equal">
      <formula>"Napkin Hs"</formula>
    </cfRule>
    <cfRule type="cellIs" dxfId="24010" priority="9074" stopIfTrue="1" operator="equal">
      <formula>"Towel"</formula>
    </cfRule>
    <cfRule type="cellIs" dxfId="24009" priority="9075" stopIfTrue="1" operator="equal">
      <formula>"Napkin Hs"</formula>
    </cfRule>
    <cfRule type="cellIs" dxfId="24008" priority="9076" stopIfTrue="1" operator="equal">
      <formula>"Towel"</formula>
    </cfRule>
    <cfRule type="cellIs" dxfId="24007" priority="9077" stopIfTrue="1" operator="equal">
      <formula>"Napkin Hs"</formula>
    </cfRule>
    <cfRule type="cellIs" dxfId="24006" priority="9080" stopIfTrue="1" operator="equal">
      <formula>"Towel"</formula>
    </cfRule>
    <cfRule type="cellIs" dxfId="24005" priority="9081" stopIfTrue="1" operator="equal">
      <formula>"Napkin Hs"</formula>
    </cfRule>
    <cfRule type="cellIs" dxfId="24004" priority="9082" stopIfTrue="1" operator="equal">
      <formula>"Towel"</formula>
    </cfRule>
    <cfRule type="cellIs" dxfId="24003" priority="9083" stopIfTrue="1" operator="equal">
      <formula>"Napkin Hs"</formula>
    </cfRule>
  </conditionalFormatting>
  <conditionalFormatting sqref="C89:C90">
    <cfRule type="cellIs" dxfId="24002" priority="8986" stopIfTrue="1" operator="equal">
      <formula>"Napkin Hs"</formula>
    </cfRule>
  </conditionalFormatting>
  <conditionalFormatting sqref="C89:C90">
    <cfRule type="cellIs" dxfId="24001" priority="8985" stopIfTrue="1" operator="equal">
      <formula>"Napkin Hs"</formula>
    </cfRule>
  </conditionalFormatting>
  <conditionalFormatting sqref="B89:B90">
    <cfRule type="cellIs" dxfId="24000" priority="8984" stopIfTrue="1" operator="equal">
      <formula>"Napkin Hs"</formula>
    </cfRule>
  </conditionalFormatting>
  <conditionalFormatting sqref="C89:C90">
    <cfRule type="cellIs" dxfId="23999" priority="8983" stopIfTrue="1" operator="equal">
      <formula>"Napkin Hs"</formula>
    </cfRule>
  </conditionalFormatting>
  <conditionalFormatting sqref="C89:C90">
    <cfRule type="cellIs" dxfId="23998" priority="8982" stopIfTrue="1" operator="equal">
      <formula>"Napkin Hs"</formula>
    </cfRule>
  </conditionalFormatting>
  <conditionalFormatting sqref="C89:C90">
    <cfRule type="cellIs" dxfId="23997" priority="8981" stopIfTrue="1" operator="equal">
      <formula>"Napkin Hs"</formula>
    </cfRule>
  </conditionalFormatting>
  <conditionalFormatting sqref="C89:C90">
    <cfRule type="cellIs" dxfId="23996" priority="8980" stopIfTrue="1" operator="equal">
      <formula>"Napkin Hs"</formula>
    </cfRule>
  </conditionalFormatting>
  <conditionalFormatting sqref="B89:B90">
    <cfRule type="cellIs" dxfId="23995" priority="8979" stopIfTrue="1" operator="equal">
      <formula>"Napkin Hs"</formula>
    </cfRule>
  </conditionalFormatting>
  <conditionalFormatting sqref="B89:B90">
    <cfRule type="cellIs" dxfId="23994" priority="8978" stopIfTrue="1" operator="equal">
      <formula>"Napkin Hs"</formula>
    </cfRule>
  </conditionalFormatting>
  <conditionalFormatting sqref="C89:C90">
    <cfRule type="cellIs" dxfId="23993" priority="8974" stopIfTrue="1" operator="equal">
      <formula>"Towel"</formula>
    </cfRule>
    <cfRule type="cellIs" dxfId="23992" priority="8975" stopIfTrue="1" operator="equal">
      <formula>"Napkin Hs"</formula>
    </cfRule>
  </conditionalFormatting>
  <conditionalFormatting sqref="C89:C90">
    <cfRule type="cellIs" dxfId="23991" priority="8976" stopIfTrue="1" operator="equal">
      <formula>"Towel"</formula>
    </cfRule>
    <cfRule type="cellIs" dxfId="23990" priority="8977" stopIfTrue="1" operator="equal">
      <formula>"Napkin Hs"</formula>
    </cfRule>
  </conditionalFormatting>
  <conditionalFormatting sqref="C89:C90">
    <cfRule type="cellIs" dxfId="23989" priority="8970" stopIfTrue="1" operator="equal">
      <formula>"Towel"</formula>
    </cfRule>
    <cfRule type="cellIs" dxfId="23988" priority="8971" stopIfTrue="1" operator="equal">
      <formula>"Napkin Hs"</formula>
    </cfRule>
  </conditionalFormatting>
  <conditionalFormatting sqref="C89:C90">
    <cfRule type="cellIs" dxfId="23987" priority="8972" stopIfTrue="1" operator="equal">
      <formula>"Towel"</formula>
    </cfRule>
    <cfRule type="cellIs" dxfId="23986" priority="8973" stopIfTrue="1" operator="equal">
      <formula>"Napkin Hs"</formula>
    </cfRule>
  </conditionalFormatting>
  <conditionalFormatting sqref="C87">
    <cfRule type="cellIs" dxfId="23985" priority="8753" stopIfTrue="1" operator="equal">
      <formula>"Towel"</formula>
    </cfRule>
    <cfRule type="cellIs" dxfId="23984" priority="8754" stopIfTrue="1" operator="equal">
      <formula>"Napkin Hs"</formula>
    </cfRule>
  </conditionalFormatting>
  <conditionalFormatting sqref="C87">
    <cfRule type="cellIs" dxfId="23983" priority="8755" stopIfTrue="1" operator="equal">
      <formula>"Towel"</formula>
    </cfRule>
    <cfRule type="cellIs" dxfId="23982" priority="8756" stopIfTrue="1" operator="equal">
      <formula>"Napkin Hs"</formula>
    </cfRule>
  </conditionalFormatting>
  <conditionalFormatting sqref="C87">
    <cfRule type="cellIs" dxfId="23981" priority="8751" stopIfTrue="1" operator="equal">
      <formula>"Towel"</formula>
    </cfRule>
    <cfRule type="cellIs" dxfId="23980" priority="8752" stopIfTrue="1" operator="equal">
      <formula>"Napkin Hs"</formula>
    </cfRule>
  </conditionalFormatting>
  <conditionalFormatting sqref="C87">
    <cfRule type="cellIs" dxfId="23979" priority="8745" stopIfTrue="1" operator="equal">
      <formula>"Towel"</formula>
    </cfRule>
    <cfRule type="cellIs" dxfId="23978" priority="8746" stopIfTrue="1" operator="equal">
      <formula>"Napkin Hs"</formula>
    </cfRule>
  </conditionalFormatting>
  <conditionalFormatting sqref="C87">
    <cfRule type="cellIs" dxfId="23977" priority="8749" stopIfTrue="1" operator="equal">
      <formula>"Towel"</formula>
    </cfRule>
    <cfRule type="cellIs" dxfId="23976" priority="8750" stopIfTrue="1" operator="equal">
      <formula>"Napkin Hs"</formula>
    </cfRule>
  </conditionalFormatting>
  <conditionalFormatting sqref="C87">
    <cfRule type="cellIs" dxfId="23975" priority="8747" stopIfTrue="1" operator="equal">
      <formula>"Towel"</formula>
    </cfRule>
    <cfRule type="cellIs" dxfId="23974" priority="8748" stopIfTrue="1" operator="equal">
      <formula>"Napkin Hs"</formula>
    </cfRule>
  </conditionalFormatting>
  <conditionalFormatting sqref="C87">
    <cfRule type="cellIs" dxfId="23973" priority="8739" stopIfTrue="1" operator="equal">
      <formula>"Towel"</formula>
    </cfRule>
    <cfRule type="cellIs" dxfId="23972" priority="8740" stopIfTrue="1" operator="equal">
      <formula>"Napkin Hs"</formula>
    </cfRule>
  </conditionalFormatting>
  <conditionalFormatting sqref="C87">
    <cfRule type="cellIs" dxfId="23971" priority="8741" stopIfTrue="1" operator="equal">
      <formula>"Towel"</formula>
    </cfRule>
    <cfRule type="cellIs" dxfId="23970" priority="8742" stopIfTrue="1" operator="equal">
      <formula>"Napkin Hs"</formula>
    </cfRule>
  </conditionalFormatting>
  <conditionalFormatting sqref="C87">
    <cfRule type="cellIs" dxfId="23969" priority="8743" stopIfTrue="1" operator="equal">
      <formula>"Towel"</formula>
    </cfRule>
    <cfRule type="cellIs" dxfId="23968" priority="8744" stopIfTrue="1" operator="equal">
      <formula>"Napkin Hs"</formula>
    </cfRule>
  </conditionalFormatting>
  <conditionalFormatting sqref="C87">
    <cfRule type="cellIs" dxfId="23967" priority="8737" stopIfTrue="1" operator="equal">
      <formula>"Towel"</formula>
    </cfRule>
    <cfRule type="cellIs" dxfId="23966" priority="8738" stopIfTrue="1" operator="equal">
      <formula>"Napkin Hs"</formula>
    </cfRule>
  </conditionalFormatting>
  <conditionalFormatting sqref="C87">
    <cfRule type="cellIs" dxfId="23965" priority="8735" stopIfTrue="1" operator="equal">
      <formula>"Towel"</formula>
    </cfRule>
    <cfRule type="cellIs" dxfId="23964" priority="8736" stopIfTrue="1" operator="equal">
      <formula>"Napkin Hs"</formula>
    </cfRule>
  </conditionalFormatting>
  <conditionalFormatting sqref="C87">
    <cfRule type="cellIs" dxfId="23963" priority="8711" stopIfTrue="1" operator="equal">
      <formula>"Towel"</formula>
    </cfRule>
  </conditionalFormatting>
  <conditionalFormatting sqref="C87">
    <cfRule type="cellIs" dxfId="23962" priority="8712" stopIfTrue="1" operator="equal">
      <formula>"Napkin Hs"</formula>
    </cfRule>
    <cfRule type="cellIs" dxfId="23961" priority="8717" stopIfTrue="1" operator="equal">
      <formula>"Towel"</formula>
    </cfRule>
    <cfRule type="cellIs" dxfId="23960" priority="8718" stopIfTrue="1" operator="equal">
      <formula>"Napkin Hs"</formula>
    </cfRule>
    <cfRule type="cellIs" dxfId="23959" priority="8727" stopIfTrue="1" operator="equal">
      <formula>"Towel"</formula>
    </cfRule>
    <cfRule type="cellIs" dxfId="23958" priority="8728" stopIfTrue="1" operator="equal">
      <formula>"Napkin Hs"</formula>
    </cfRule>
    <cfRule type="cellIs" dxfId="23957" priority="8733" stopIfTrue="1" operator="equal">
      <formula>"Towel"</formula>
    </cfRule>
    <cfRule type="cellIs" dxfId="23956" priority="8734" stopIfTrue="1" operator="equal">
      <formula>"Napkin Hs"</formula>
    </cfRule>
  </conditionalFormatting>
  <conditionalFormatting sqref="C87">
    <cfRule type="cellIs" dxfId="23955" priority="8713" stopIfTrue="1" operator="equal">
      <formula>"Towel"</formula>
    </cfRule>
    <cfRule type="cellIs" dxfId="23954" priority="8714" stopIfTrue="1" operator="equal">
      <formula>"Napkin Hs"</formula>
    </cfRule>
    <cfRule type="cellIs" dxfId="23953" priority="8715" stopIfTrue="1" operator="equal">
      <formula>"Towel"</formula>
    </cfRule>
    <cfRule type="cellIs" dxfId="23952" priority="8716" stopIfTrue="1" operator="equal">
      <formula>"Napkin Hs"</formula>
    </cfRule>
    <cfRule type="cellIs" dxfId="23951" priority="8719" stopIfTrue="1" operator="equal">
      <formula>"Towel"</formula>
    </cfRule>
    <cfRule type="cellIs" dxfId="23950" priority="8720" stopIfTrue="1" operator="equal">
      <formula>"Napkin Hs"</formula>
    </cfRule>
    <cfRule type="cellIs" dxfId="23949" priority="8721" stopIfTrue="1" operator="equal">
      <formula>"Towel"</formula>
    </cfRule>
    <cfRule type="cellIs" dxfId="23948" priority="8722" stopIfTrue="1" operator="equal">
      <formula>"Napkin Hs"</formula>
    </cfRule>
    <cfRule type="cellIs" dxfId="23947" priority="8723" stopIfTrue="1" operator="equal">
      <formula>"Towel"</formula>
    </cfRule>
    <cfRule type="cellIs" dxfId="23946" priority="8724" stopIfTrue="1" operator="equal">
      <formula>"Napkin Hs"</formula>
    </cfRule>
    <cfRule type="cellIs" dxfId="23945" priority="8725" stopIfTrue="1" operator="equal">
      <formula>"Towel"</formula>
    </cfRule>
    <cfRule type="cellIs" dxfId="23944" priority="8726" stopIfTrue="1" operator="equal">
      <formula>"Napkin Hs"</formula>
    </cfRule>
    <cfRule type="cellIs" dxfId="23943" priority="8729" stopIfTrue="1" operator="equal">
      <formula>"Towel"</formula>
    </cfRule>
    <cfRule type="cellIs" dxfId="23942" priority="8730" stopIfTrue="1" operator="equal">
      <formula>"Napkin Hs"</formula>
    </cfRule>
    <cfRule type="cellIs" dxfId="23941" priority="8732" stopIfTrue="1" operator="equal">
      <formula>"Napkin Hs"</formula>
    </cfRule>
  </conditionalFormatting>
  <conditionalFormatting sqref="C87">
    <cfRule type="cellIs" dxfId="23940" priority="8731" stopIfTrue="1" operator="equal">
      <formula>"Towel"</formula>
    </cfRule>
  </conditionalFormatting>
  <conditionalFormatting sqref="C87">
    <cfRule type="cellIs" dxfId="23939" priority="8709" stopIfTrue="1" operator="equal">
      <formula>"Towel"</formula>
    </cfRule>
    <cfRule type="cellIs" dxfId="23938" priority="8710" stopIfTrue="1" operator="equal">
      <formula>"Napkin Hs"</formula>
    </cfRule>
  </conditionalFormatting>
  <conditionalFormatting sqref="C87">
    <cfRule type="cellIs" dxfId="23937" priority="8708" stopIfTrue="1" operator="equal">
      <formula>"Napkin Hs"</formula>
    </cfRule>
  </conditionalFormatting>
  <conditionalFormatting sqref="C87">
    <cfRule type="cellIs" dxfId="23936" priority="8707" stopIfTrue="1" operator="equal">
      <formula>"Towel"</formula>
    </cfRule>
  </conditionalFormatting>
  <conditionalFormatting sqref="C87">
    <cfRule type="cellIs" dxfId="23935" priority="8705" stopIfTrue="1" operator="equal">
      <formula>"Towel"</formula>
    </cfRule>
  </conditionalFormatting>
  <conditionalFormatting sqref="C87">
    <cfRule type="cellIs" dxfId="23934" priority="8706" stopIfTrue="1" operator="equal">
      <formula>"Napkin Hs"</formula>
    </cfRule>
  </conditionalFormatting>
  <conditionalFormatting sqref="C87">
    <cfRule type="cellIs" dxfId="23933" priority="8609" stopIfTrue="1" operator="equal">
      <formula>"Towel"</formula>
    </cfRule>
  </conditionalFormatting>
  <conditionalFormatting sqref="C87">
    <cfRule type="cellIs" dxfId="23932" priority="8619" stopIfTrue="1" operator="equal">
      <formula>"Towel"</formula>
    </cfRule>
    <cfRule type="cellIs" dxfId="23931" priority="8620" stopIfTrue="1" operator="equal">
      <formula>"Napkin Hs"</formula>
    </cfRule>
    <cfRule type="cellIs" dxfId="23930" priority="8625" stopIfTrue="1" operator="equal">
      <formula>"Towel"</formula>
    </cfRule>
    <cfRule type="cellIs" dxfId="23929" priority="8626" stopIfTrue="1" operator="equal">
      <formula>"Napkin Hs"</formula>
    </cfRule>
    <cfRule type="cellIs" dxfId="23928" priority="8631" stopIfTrue="1" operator="equal">
      <formula>"Towel"</formula>
    </cfRule>
    <cfRule type="cellIs" dxfId="23927" priority="8632" stopIfTrue="1" operator="equal">
      <formula>"Napkin Hs"</formula>
    </cfRule>
    <cfRule type="cellIs" dxfId="23926" priority="8633" stopIfTrue="1" operator="equal">
      <formula>"Towel"</formula>
    </cfRule>
    <cfRule type="cellIs" dxfId="23925" priority="8634" stopIfTrue="1" operator="equal">
      <formula>"Napkin Hs"</formula>
    </cfRule>
    <cfRule type="cellIs" dxfId="23924" priority="8639" stopIfTrue="1" operator="equal">
      <formula>"Towel"</formula>
    </cfRule>
    <cfRule type="cellIs" dxfId="23923" priority="8640" stopIfTrue="1" operator="equal">
      <formula>"Napkin Hs"</formula>
    </cfRule>
    <cfRule type="cellIs" dxfId="23922" priority="8649" stopIfTrue="1" operator="equal">
      <formula>"Towel"</formula>
    </cfRule>
    <cfRule type="cellIs" dxfId="23921" priority="8650" stopIfTrue="1" operator="equal">
      <formula>"Napkin Hs"</formula>
    </cfRule>
    <cfRule type="cellIs" dxfId="23920" priority="8655" stopIfTrue="1" operator="equal">
      <formula>"Towel"</formula>
    </cfRule>
    <cfRule type="cellIs" dxfId="23919" priority="8656" stopIfTrue="1" operator="equal">
      <formula>"Napkin Hs"</formula>
    </cfRule>
    <cfRule type="cellIs" dxfId="23918" priority="8657" stopIfTrue="1" operator="equal">
      <formula>"Towel"</formula>
    </cfRule>
    <cfRule type="cellIs" dxfId="23917" priority="8658" stopIfTrue="1" operator="equal">
      <formula>"Napkin Hs"</formula>
    </cfRule>
    <cfRule type="cellIs" dxfId="23916" priority="8663" stopIfTrue="1" operator="equal">
      <formula>"Towel"</formula>
    </cfRule>
    <cfRule type="cellIs" dxfId="23915" priority="8664" stopIfTrue="1" operator="equal">
      <formula>"Napkin Hs"</formula>
    </cfRule>
    <cfRule type="cellIs" dxfId="23914" priority="8673" stopIfTrue="1" operator="equal">
      <formula>"Towel"</formula>
    </cfRule>
    <cfRule type="cellIs" dxfId="23913" priority="8674" stopIfTrue="1" operator="equal">
      <formula>"Napkin Hs"</formula>
    </cfRule>
    <cfRule type="cellIs" dxfId="23912" priority="8675" stopIfTrue="1" operator="equal">
      <formula>"Towel"</formula>
    </cfRule>
    <cfRule type="cellIs" dxfId="23911" priority="8676" stopIfTrue="1" operator="equal">
      <formula>"Napkin Hs"</formula>
    </cfRule>
    <cfRule type="cellIs" dxfId="23910" priority="8681" stopIfTrue="1" operator="equal">
      <formula>"Towel"</formula>
    </cfRule>
    <cfRule type="cellIs" dxfId="23909" priority="8682" stopIfTrue="1" operator="equal">
      <formula>"Napkin Hs"</formula>
    </cfRule>
    <cfRule type="cellIs" dxfId="23908" priority="8691" stopIfTrue="1" operator="equal">
      <formula>"Towel"</formula>
    </cfRule>
    <cfRule type="cellIs" dxfId="23907" priority="8692" stopIfTrue="1" operator="equal">
      <formula>"Napkin Hs"</formula>
    </cfRule>
    <cfRule type="cellIs" dxfId="23906" priority="8693" stopIfTrue="1" operator="equal">
      <formula>"Towel"</formula>
    </cfRule>
    <cfRule type="cellIs" dxfId="23905" priority="8694" stopIfTrue="1" operator="equal">
      <formula>"Napkin Hs"</formula>
    </cfRule>
    <cfRule type="cellIs" dxfId="23904" priority="8700" stopIfTrue="1" operator="equal">
      <formula>"Napkin Hs"</formula>
    </cfRule>
  </conditionalFormatting>
  <conditionalFormatting sqref="C87">
    <cfRule type="cellIs" dxfId="23903" priority="8699" stopIfTrue="1" operator="equal">
      <formula>"Towel"</formula>
    </cfRule>
  </conditionalFormatting>
  <conditionalFormatting sqref="C87">
    <cfRule type="cellIs" dxfId="23902" priority="8610" stopIfTrue="1" operator="equal">
      <formula>"Napkin Hs"</formula>
    </cfRule>
    <cfRule type="cellIs" dxfId="23901" priority="8611" stopIfTrue="1" operator="equal">
      <formula>"Towel"</formula>
    </cfRule>
    <cfRule type="cellIs" dxfId="23900" priority="8612" stopIfTrue="1" operator="equal">
      <formula>"Napkin Hs"</formula>
    </cfRule>
    <cfRule type="cellIs" dxfId="23899" priority="8613" stopIfTrue="1" operator="equal">
      <formula>"Towel"</formula>
    </cfRule>
    <cfRule type="cellIs" dxfId="23898" priority="8614" stopIfTrue="1" operator="equal">
      <formula>"Napkin Hs"</formula>
    </cfRule>
    <cfRule type="cellIs" dxfId="23897" priority="8615" stopIfTrue="1" operator="equal">
      <formula>"Towel"</formula>
    </cfRule>
    <cfRule type="cellIs" dxfId="23896" priority="8616" stopIfTrue="1" operator="equal">
      <formula>"Napkin Hs"</formula>
    </cfRule>
    <cfRule type="cellIs" dxfId="23895" priority="8617" stopIfTrue="1" operator="equal">
      <formula>"Towel"</formula>
    </cfRule>
    <cfRule type="cellIs" dxfId="23894" priority="8618" stopIfTrue="1" operator="equal">
      <formula>"Napkin Hs"</formula>
    </cfRule>
    <cfRule type="cellIs" dxfId="23893" priority="8621" stopIfTrue="1" operator="equal">
      <formula>"Towel"</formula>
    </cfRule>
    <cfRule type="cellIs" dxfId="23892" priority="8622" stopIfTrue="1" operator="equal">
      <formula>"Napkin Hs"</formula>
    </cfRule>
    <cfRule type="cellIs" dxfId="23891" priority="8623" stopIfTrue="1" operator="equal">
      <formula>"Towel"</formula>
    </cfRule>
    <cfRule type="cellIs" dxfId="23890" priority="8624" stopIfTrue="1" operator="equal">
      <formula>"Napkin Hs"</formula>
    </cfRule>
    <cfRule type="cellIs" dxfId="23889" priority="8627" stopIfTrue="1" operator="equal">
      <formula>"Towel"</formula>
    </cfRule>
    <cfRule type="cellIs" dxfId="23888" priority="8628" stopIfTrue="1" operator="equal">
      <formula>"Napkin Hs"</formula>
    </cfRule>
    <cfRule type="cellIs" dxfId="23887" priority="8629" stopIfTrue="1" operator="equal">
      <formula>"Towel"</formula>
    </cfRule>
    <cfRule type="cellIs" dxfId="23886" priority="8630" stopIfTrue="1" operator="equal">
      <formula>"Napkin Hs"</formula>
    </cfRule>
    <cfRule type="cellIs" dxfId="23885" priority="8635" stopIfTrue="1" operator="equal">
      <formula>"Towel"</formula>
    </cfRule>
    <cfRule type="cellIs" dxfId="23884" priority="8636" stopIfTrue="1" operator="equal">
      <formula>"Napkin Hs"</formula>
    </cfRule>
    <cfRule type="cellIs" dxfId="23883" priority="8637" stopIfTrue="1" operator="equal">
      <formula>"Towel"</formula>
    </cfRule>
    <cfRule type="cellIs" dxfId="23882" priority="8638" stopIfTrue="1" operator="equal">
      <formula>"Napkin Hs"</formula>
    </cfRule>
    <cfRule type="cellIs" dxfId="23881" priority="8641" stopIfTrue="1" operator="equal">
      <formula>"Towel"</formula>
    </cfRule>
    <cfRule type="cellIs" dxfId="23880" priority="8642" stopIfTrue="1" operator="equal">
      <formula>"Napkin Hs"</formula>
    </cfRule>
    <cfRule type="cellIs" dxfId="23879" priority="8643" stopIfTrue="1" operator="equal">
      <formula>"Towel"</formula>
    </cfRule>
    <cfRule type="cellIs" dxfId="23878" priority="8644" stopIfTrue="1" operator="equal">
      <formula>"Napkin Hs"</formula>
    </cfRule>
    <cfRule type="cellIs" dxfId="23877" priority="8645" stopIfTrue="1" operator="equal">
      <formula>"Towel"</formula>
    </cfRule>
    <cfRule type="cellIs" dxfId="23876" priority="8646" stopIfTrue="1" operator="equal">
      <formula>"Napkin Hs"</formula>
    </cfRule>
    <cfRule type="cellIs" dxfId="23875" priority="8647" stopIfTrue="1" operator="equal">
      <formula>"Towel"</formula>
    </cfRule>
    <cfRule type="cellIs" dxfId="23874" priority="8648" stopIfTrue="1" operator="equal">
      <formula>"Napkin Hs"</formula>
    </cfRule>
    <cfRule type="cellIs" dxfId="23873" priority="8651" stopIfTrue="1" operator="equal">
      <formula>"Towel"</formula>
    </cfRule>
    <cfRule type="cellIs" dxfId="23872" priority="8652" stopIfTrue="1" operator="equal">
      <formula>"Napkin Hs"</formula>
    </cfRule>
    <cfRule type="cellIs" dxfId="23871" priority="8653" stopIfTrue="1" operator="equal">
      <formula>"Towel"</formula>
    </cfRule>
    <cfRule type="cellIs" dxfId="23870" priority="8654" stopIfTrue="1" operator="equal">
      <formula>"Napkin Hs"</formula>
    </cfRule>
    <cfRule type="cellIs" dxfId="23869" priority="8659" stopIfTrue="1" operator="equal">
      <formula>"Towel"</formula>
    </cfRule>
    <cfRule type="cellIs" dxfId="23868" priority="8660" stopIfTrue="1" operator="equal">
      <formula>"Napkin Hs"</formula>
    </cfRule>
    <cfRule type="cellIs" dxfId="23867" priority="8661" stopIfTrue="1" operator="equal">
      <formula>"Towel"</formula>
    </cfRule>
    <cfRule type="cellIs" dxfId="23866" priority="8662" stopIfTrue="1" operator="equal">
      <formula>"Napkin Hs"</formula>
    </cfRule>
    <cfRule type="cellIs" dxfId="23865" priority="8665" stopIfTrue="1" operator="equal">
      <formula>"Towel"</formula>
    </cfRule>
    <cfRule type="cellIs" dxfId="23864" priority="8666" stopIfTrue="1" operator="equal">
      <formula>"Napkin Hs"</formula>
    </cfRule>
    <cfRule type="cellIs" dxfId="23863" priority="8667" stopIfTrue="1" operator="equal">
      <formula>"Towel"</formula>
    </cfRule>
    <cfRule type="cellIs" dxfId="23862" priority="8668" stopIfTrue="1" operator="equal">
      <formula>"Napkin Hs"</formula>
    </cfRule>
    <cfRule type="cellIs" dxfId="23861" priority="8669" stopIfTrue="1" operator="equal">
      <formula>"Towel"</formula>
    </cfRule>
    <cfRule type="cellIs" dxfId="23860" priority="8670" stopIfTrue="1" operator="equal">
      <formula>"Napkin Hs"</formula>
    </cfRule>
    <cfRule type="cellIs" dxfId="23859" priority="8671" stopIfTrue="1" operator="equal">
      <formula>"Towel"</formula>
    </cfRule>
    <cfRule type="cellIs" dxfId="23858" priority="8672" stopIfTrue="1" operator="equal">
      <formula>"Napkin Hs"</formula>
    </cfRule>
    <cfRule type="cellIs" dxfId="23857" priority="8677" stopIfTrue="1" operator="equal">
      <formula>"Towel"</formula>
    </cfRule>
    <cfRule type="cellIs" dxfId="23856" priority="8678" stopIfTrue="1" operator="equal">
      <formula>"Napkin Hs"</formula>
    </cfRule>
    <cfRule type="cellIs" dxfId="23855" priority="8679" stopIfTrue="1" operator="equal">
      <formula>"Towel"</formula>
    </cfRule>
    <cfRule type="cellIs" dxfId="23854" priority="8680" stopIfTrue="1" operator="equal">
      <formula>"Napkin Hs"</formula>
    </cfRule>
    <cfRule type="cellIs" dxfId="23853" priority="8683" stopIfTrue="1" operator="equal">
      <formula>"Towel"</formula>
    </cfRule>
    <cfRule type="cellIs" dxfId="23852" priority="8684" stopIfTrue="1" operator="equal">
      <formula>"Napkin Hs"</formula>
    </cfRule>
    <cfRule type="cellIs" dxfId="23851" priority="8685" stopIfTrue="1" operator="equal">
      <formula>"Towel"</formula>
    </cfRule>
    <cfRule type="cellIs" dxfId="23850" priority="8686" stopIfTrue="1" operator="equal">
      <formula>"Napkin Hs"</formula>
    </cfRule>
    <cfRule type="cellIs" dxfId="23849" priority="8687" stopIfTrue="1" operator="equal">
      <formula>"Towel"</formula>
    </cfRule>
    <cfRule type="cellIs" dxfId="23848" priority="8688" stopIfTrue="1" operator="equal">
      <formula>"Napkin Hs"</formula>
    </cfRule>
    <cfRule type="cellIs" dxfId="23847" priority="8689" stopIfTrue="1" operator="equal">
      <formula>"Towel"</formula>
    </cfRule>
    <cfRule type="cellIs" dxfId="23846" priority="8690" stopIfTrue="1" operator="equal">
      <formula>"Napkin Hs"</formula>
    </cfRule>
    <cfRule type="cellIs" dxfId="23845" priority="8695" stopIfTrue="1" operator="equal">
      <formula>"Towel"</formula>
    </cfRule>
    <cfRule type="cellIs" dxfId="23844" priority="8696" stopIfTrue="1" operator="equal">
      <formula>"Napkin Hs"</formula>
    </cfRule>
    <cfRule type="cellIs" dxfId="23843" priority="8697" stopIfTrue="1" operator="equal">
      <formula>"Towel"</formula>
    </cfRule>
    <cfRule type="cellIs" dxfId="23842" priority="8698" stopIfTrue="1" operator="equal">
      <formula>"Napkin Hs"</formula>
    </cfRule>
    <cfRule type="cellIs" dxfId="23841" priority="8701" stopIfTrue="1" operator="equal">
      <formula>"Towel"</formula>
    </cfRule>
    <cfRule type="cellIs" dxfId="23840" priority="8702" stopIfTrue="1" operator="equal">
      <formula>"Napkin Hs"</formula>
    </cfRule>
    <cfRule type="cellIs" dxfId="23839" priority="8703" stopIfTrue="1" operator="equal">
      <formula>"Towel"</formula>
    </cfRule>
    <cfRule type="cellIs" dxfId="23838" priority="8704" stopIfTrue="1" operator="equal">
      <formula>"Napkin Hs"</formula>
    </cfRule>
  </conditionalFormatting>
  <conditionalFormatting sqref="C87">
    <cfRule type="cellIs" dxfId="23837" priority="8608" stopIfTrue="1" operator="equal">
      <formula>"Napkin Hs"</formula>
    </cfRule>
  </conditionalFormatting>
  <conditionalFormatting sqref="C87">
    <cfRule type="cellIs" dxfId="23836" priority="8607" stopIfTrue="1" operator="equal">
      <formula>"Napkin Hs"</formula>
    </cfRule>
  </conditionalFormatting>
  <conditionalFormatting sqref="C87">
    <cfRule type="cellIs" dxfId="23835" priority="8606" stopIfTrue="1" operator="equal">
      <formula>"Napkin Hs"</formula>
    </cfRule>
  </conditionalFormatting>
  <conditionalFormatting sqref="C87">
    <cfRule type="cellIs" dxfId="23834" priority="8605" stopIfTrue="1" operator="equal">
      <formula>"Napkin Hs"</formula>
    </cfRule>
  </conditionalFormatting>
  <conditionalFormatting sqref="C87">
    <cfRule type="cellIs" dxfId="23833" priority="8604" stopIfTrue="1" operator="equal">
      <formula>"Napkin Hs"</formula>
    </cfRule>
  </conditionalFormatting>
  <conditionalFormatting sqref="C87">
    <cfRule type="cellIs" dxfId="23832" priority="8603" stopIfTrue="1" operator="equal">
      <formula>"Napkin Hs"</formula>
    </cfRule>
  </conditionalFormatting>
  <conditionalFormatting sqref="C87">
    <cfRule type="cellIs" dxfId="23831" priority="8599" stopIfTrue="1" operator="equal">
      <formula>"Towel"</formula>
    </cfRule>
    <cfRule type="cellIs" dxfId="23830" priority="8600" stopIfTrue="1" operator="equal">
      <formula>"Napkin Hs"</formula>
    </cfRule>
  </conditionalFormatting>
  <conditionalFormatting sqref="C87">
    <cfRule type="cellIs" dxfId="23829" priority="8601" stopIfTrue="1" operator="equal">
      <formula>"Towel"</formula>
    </cfRule>
    <cfRule type="cellIs" dxfId="23828" priority="8602" stopIfTrue="1" operator="equal">
      <formula>"Napkin Hs"</formula>
    </cfRule>
  </conditionalFormatting>
  <conditionalFormatting sqref="C87">
    <cfRule type="cellIs" dxfId="23827" priority="8595" stopIfTrue="1" operator="equal">
      <formula>"Towel"</formula>
    </cfRule>
    <cfRule type="cellIs" dxfId="23826" priority="8596" stopIfTrue="1" operator="equal">
      <formula>"Napkin Hs"</formula>
    </cfRule>
  </conditionalFormatting>
  <conditionalFormatting sqref="C87">
    <cfRule type="cellIs" dxfId="23825" priority="8597" stopIfTrue="1" operator="equal">
      <formula>"Towel"</formula>
    </cfRule>
    <cfRule type="cellIs" dxfId="23824" priority="8598" stopIfTrue="1" operator="equal">
      <formula>"Napkin Hs"</formula>
    </cfRule>
  </conditionalFormatting>
  <conditionalFormatting sqref="B87">
    <cfRule type="cellIs" dxfId="23823" priority="8593" stopIfTrue="1" operator="equal">
      <formula>"Towel"</formula>
    </cfRule>
    <cfRule type="cellIs" dxfId="23822" priority="8594" stopIfTrue="1" operator="equal">
      <formula>"Napkin Hs"</formula>
    </cfRule>
  </conditionalFormatting>
  <conditionalFormatting sqref="B87">
    <cfRule type="cellIs" dxfId="23821" priority="8591" stopIfTrue="1" operator="equal">
      <formula>"Towel"</formula>
    </cfRule>
    <cfRule type="cellIs" dxfId="23820" priority="8592" stopIfTrue="1" operator="equal">
      <formula>"Napkin Hs"</formula>
    </cfRule>
  </conditionalFormatting>
  <conditionalFormatting sqref="B87">
    <cfRule type="cellIs" dxfId="23819" priority="8589" stopIfTrue="1" operator="equal">
      <formula>"Towel"</formula>
    </cfRule>
    <cfRule type="cellIs" dxfId="23818" priority="8590" stopIfTrue="1" operator="equal">
      <formula>"Napkin Hs"</formula>
    </cfRule>
  </conditionalFormatting>
  <conditionalFormatting sqref="B87">
    <cfRule type="cellIs" dxfId="23817" priority="8581" stopIfTrue="1" operator="equal">
      <formula>"Towel"</formula>
    </cfRule>
  </conditionalFormatting>
  <conditionalFormatting sqref="B87">
    <cfRule type="cellIs" dxfId="23816" priority="8582" stopIfTrue="1" operator="equal">
      <formula>"Napkin Hs"</formula>
    </cfRule>
    <cfRule type="cellIs" dxfId="23815" priority="8583" stopIfTrue="1" operator="equal">
      <formula>"Towel"</formula>
    </cfRule>
    <cfRule type="cellIs" dxfId="23814" priority="8584" stopIfTrue="1" operator="equal">
      <formula>"Napkin Hs"</formula>
    </cfRule>
    <cfRule type="cellIs" dxfId="23813" priority="8585" stopIfTrue="1" operator="equal">
      <formula>"Towel"</formula>
    </cfRule>
    <cfRule type="cellIs" dxfId="23812" priority="8586" stopIfTrue="1" operator="equal">
      <formula>"Napkin Hs"</formula>
    </cfRule>
    <cfRule type="cellIs" dxfId="23811" priority="8587" stopIfTrue="1" operator="equal">
      <formula>"Towel"</formula>
    </cfRule>
    <cfRule type="cellIs" dxfId="23810" priority="8588" stopIfTrue="1" operator="equal">
      <formula>"Napkin Hs"</formula>
    </cfRule>
  </conditionalFormatting>
  <conditionalFormatting sqref="B87">
    <cfRule type="cellIs" dxfId="23809" priority="8579" stopIfTrue="1" operator="equal">
      <formula>"Towel"</formula>
    </cfRule>
    <cfRule type="cellIs" dxfId="23808" priority="8580" stopIfTrue="1" operator="equal">
      <formula>"Napkin Hs"</formula>
    </cfRule>
  </conditionalFormatting>
  <conditionalFormatting sqref="B87">
    <cfRule type="cellIs" dxfId="23807" priority="8548" stopIfTrue="1" operator="equal">
      <formula>"Napkin Hs"</formula>
    </cfRule>
  </conditionalFormatting>
  <conditionalFormatting sqref="B87">
    <cfRule type="cellIs" dxfId="23806" priority="8547" stopIfTrue="1" operator="equal">
      <formula>"Towel"</formula>
    </cfRule>
  </conditionalFormatting>
  <conditionalFormatting sqref="B87">
    <cfRule type="cellIs" dxfId="23805" priority="8549" stopIfTrue="1" operator="equal">
      <formula>"Towel"</formula>
    </cfRule>
    <cfRule type="cellIs" dxfId="23804" priority="8550" stopIfTrue="1" operator="equal">
      <formula>"Napkin Hs"</formula>
    </cfRule>
    <cfRule type="cellIs" dxfId="23803" priority="8551" stopIfTrue="1" operator="equal">
      <formula>"Towel"</formula>
    </cfRule>
    <cfRule type="cellIs" dxfId="23802" priority="8552" stopIfTrue="1" operator="equal">
      <formula>"Napkin Hs"</formula>
    </cfRule>
    <cfRule type="cellIs" dxfId="23801" priority="8553" stopIfTrue="1" operator="equal">
      <formula>"Towel"</formula>
    </cfRule>
    <cfRule type="cellIs" dxfId="23800" priority="8554" stopIfTrue="1" operator="equal">
      <formula>"Napkin Hs"</formula>
    </cfRule>
    <cfRule type="cellIs" dxfId="23799" priority="8555" stopIfTrue="1" operator="equal">
      <formula>"Towel"</formula>
    </cfRule>
    <cfRule type="cellIs" dxfId="23798" priority="8556" stopIfTrue="1" operator="equal">
      <formula>"Napkin Hs"</formula>
    </cfRule>
    <cfRule type="cellIs" dxfId="23797" priority="8557" stopIfTrue="1" operator="equal">
      <formula>"Towel"</formula>
    </cfRule>
    <cfRule type="cellIs" dxfId="23796" priority="8558" stopIfTrue="1" operator="equal">
      <formula>"Napkin Hs"</formula>
    </cfRule>
    <cfRule type="cellIs" dxfId="23795" priority="8559" stopIfTrue="1" operator="equal">
      <formula>"Towel"</formula>
    </cfRule>
    <cfRule type="cellIs" dxfId="23794" priority="8560" stopIfTrue="1" operator="equal">
      <formula>"Napkin Hs"</formula>
    </cfRule>
    <cfRule type="cellIs" dxfId="23793" priority="8561" stopIfTrue="1" operator="equal">
      <formula>"Towel"</formula>
    </cfRule>
    <cfRule type="cellIs" dxfId="23792" priority="8562" stopIfTrue="1" operator="equal">
      <formula>"Napkin Hs"</formula>
    </cfRule>
    <cfRule type="cellIs" dxfId="23791" priority="8563" stopIfTrue="1" operator="equal">
      <formula>"Towel"</formula>
    </cfRule>
    <cfRule type="cellIs" dxfId="23790" priority="8564" stopIfTrue="1" operator="equal">
      <formula>"Napkin Hs"</formula>
    </cfRule>
    <cfRule type="cellIs" dxfId="23789" priority="8565" stopIfTrue="1" operator="equal">
      <formula>"Towel"</formula>
    </cfRule>
    <cfRule type="cellIs" dxfId="23788" priority="8566" stopIfTrue="1" operator="equal">
      <formula>"Napkin Hs"</formula>
    </cfRule>
    <cfRule type="cellIs" dxfId="23787" priority="8567" stopIfTrue="1" operator="equal">
      <formula>"Towel"</formula>
    </cfRule>
    <cfRule type="cellIs" dxfId="23786" priority="8568" stopIfTrue="1" operator="equal">
      <formula>"Napkin Hs"</formula>
    </cfRule>
    <cfRule type="cellIs" dxfId="23785" priority="8569" stopIfTrue="1" operator="equal">
      <formula>"Towel"</formula>
    </cfRule>
    <cfRule type="cellIs" dxfId="23784" priority="8570" stopIfTrue="1" operator="equal">
      <formula>"Napkin Hs"</formula>
    </cfRule>
    <cfRule type="cellIs" dxfId="23783" priority="8571" stopIfTrue="1" operator="equal">
      <formula>"Towel"</formula>
    </cfRule>
    <cfRule type="cellIs" dxfId="23782" priority="8572" stopIfTrue="1" operator="equal">
      <formula>"Napkin Hs"</formula>
    </cfRule>
    <cfRule type="cellIs" dxfId="23781" priority="8573" stopIfTrue="1" operator="equal">
      <formula>"Towel"</formula>
    </cfRule>
    <cfRule type="cellIs" dxfId="23780" priority="8574" stopIfTrue="1" operator="equal">
      <formula>"Napkin Hs"</formula>
    </cfRule>
    <cfRule type="cellIs" dxfId="23779" priority="8575" stopIfTrue="1" operator="equal">
      <formula>"Towel"</formula>
    </cfRule>
    <cfRule type="cellIs" dxfId="23778" priority="8576" stopIfTrue="1" operator="equal">
      <formula>"Napkin Hs"</formula>
    </cfRule>
    <cfRule type="cellIs" dxfId="23777" priority="8578" stopIfTrue="1" operator="equal">
      <formula>"Napkin Hs"</formula>
    </cfRule>
  </conditionalFormatting>
  <conditionalFormatting sqref="B87">
    <cfRule type="cellIs" dxfId="23776" priority="8577" stopIfTrue="1" operator="equal">
      <formula>"Towel"</formula>
    </cfRule>
  </conditionalFormatting>
  <conditionalFormatting sqref="B87">
    <cfRule type="cellIs" dxfId="23775" priority="8546" stopIfTrue="1" operator="equal">
      <formula>"Napkin Hs"</formula>
    </cfRule>
  </conditionalFormatting>
  <conditionalFormatting sqref="B87">
    <cfRule type="cellIs" dxfId="23774" priority="8545" stopIfTrue="1" operator="equal">
      <formula>"Napkin Hs"</formula>
    </cfRule>
  </conditionalFormatting>
  <conditionalFormatting sqref="B87">
    <cfRule type="cellIs" dxfId="23773" priority="8544" stopIfTrue="1" operator="equal">
      <formula>"Napkin Hs"</formula>
    </cfRule>
  </conditionalFormatting>
  <conditionalFormatting sqref="C88">
    <cfRule type="cellIs" dxfId="23772" priority="8543" stopIfTrue="1" operator="equal">
      <formula>"Napkin Hs"</formula>
    </cfRule>
  </conditionalFormatting>
  <conditionalFormatting sqref="C88">
    <cfRule type="cellIs" dxfId="23771" priority="8542" stopIfTrue="1" operator="equal">
      <formula>"Napkin Hs"</formula>
    </cfRule>
  </conditionalFormatting>
  <conditionalFormatting sqref="B88">
    <cfRule type="cellIs" dxfId="23770" priority="8541" stopIfTrue="1" operator="equal">
      <formula>"Napkin Hs"</formula>
    </cfRule>
  </conditionalFormatting>
  <conditionalFormatting sqref="C88">
    <cfRule type="cellIs" dxfId="23769" priority="8540" stopIfTrue="1" operator="equal">
      <formula>"Napkin Hs"</formula>
    </cfRule>
  </conditionalFormatting>
  <conditionalFormatting sqref="C88">
    <cfRule type="cellIs" dxfId="23768" priority="8539" stopIfTrue="1" operator="equal">
      <formula>"Napkin Hs"</formula>
    </cfRule>
  </conditionalFormatting>
  <conditionalFormatting sqref="C88">
    <cfRule type="cellIs" dxfId="23767" priority="8538" stopIfTrue="1" operator="equal">
      <formula>"Napkin Hs"</formula>
    </cfRule>
  </conditionalFormatting>
  <conditionalFormatting sqref="C88">
    <cfRule type="cellIs" dxfId="23766" priority="8537" stopIfTrue="1" operator="equal">
      <formula>"Napkin Hs"</formula>
    </cfRule>
  </conditionalFormatting>
  <conditionalFormatting sqref="B88">
    <cfRule type="cellIs" dxfId="23765" priority="8536" stopIfTrue="1" operator="equal">
      <formula>"Napkin Hs"</formula>
    </cfRule>
  </conditionalFormatting>
  <conditionalFormatting sqref="B88">
    <cfRule type="cellIs" dxfId="23764" priority="8535" stopIfTrue="1" operator="equal">
      <formula>"Napkin Hs"</formula>
    </cfRule>
  </conditionalFormatting>
  <conditionalFormatting sqref="C95">
    <cfRule type="cellIs" dxfId="23763" priority="8525" stopIfTrue="1" operator="equal">
      <formula>"Towel"</formula>
    </cfRule>
    <cfRule type="cellIs" dxfId="23762" priority="8526" stopIfTrue="1" operator="equal">
      <formula>"Napkin Hs"</formula>
    </cfRule>
  </conditionalFormatting>
  <conditionalFormatting sqref="C95">
    <cfRule type="cellIs" dxfId="23761" priority="8527" stopIfTrue="1" operator="equal">
      <formula>"Towel"</formula>
    </cfRule>
    <cfRule type="cellIs" dxfId="23760" priority="8528" stopIfTrue="1" operator="equal">
      <formula>"Napkin Hs"</formula>
    </cfRule>
  </conditionalFormatting>
  <conditionalFormatting sqref="C95">
    <cfRule type="cellIs" dxfId="23759" priority="8523" stopIfTrue="1" operator="equal">
      <formula>"Towel"</formula>
    </cfRule>
    <cfRule type="cellIs" dxfId="23758" priority="8524" stopIfTrue="1" operator="equal">
      <formula>"Napkin Hs"</formula>
    </cfRule>
  </conditionalFormatting>
  <conditionalFormatting sqref="C95">
    <cfRule type="cellIs" dxfId="23757" priority="8517" stopIfTrue="1" operator="equal">
      <formula>"Towel"</formula>
    </cfRule>
    <cfRule type="cellIs" dxfId="23756" priority="8518" stopIfTrue="1" operator="equal">
      <formula>"Napkin Hs"</formula>
    </cfRule>
  </conditionalFormatting>
  <conditionalFormatting sqref="C95">
    <cfRule type="cellIs" dxfId="23755" priority="8519" stopIfTrue="1" operator="equal">
      <formula>"Towel"</formula>
    </cfRule>
    <cfRule type="cellIs" dxfId="23754" priority="8520" stopIfTrue="1" operator="equal">
      <formula>"Napkin Hs"</formula>
    </cfRule>
  </conditionalFormatting>
  <conditionalFormatting sqref="C95">
    <cfRule type="cellIs" dxfId="23753" priority="8521" stopIfTrue="1" operator="equal">
      <formula>"Towel"</formula>
    </cfRule>
    <cfRule type="cellIs" dxfId="23752" priority="8522" stopIfTrue="1" operator="equal">
      <formula>"Napkin Hs"</formula>
    </cfRule>
  </conditionalFormatting>
  <conditionalFormatting sqref="B95">
    <cfRule type="cellIs" dxfId="23751" priority="8515" stopIfTrue="1" operator="equal">
      <formula>"Towel"</formula>
    </cfRule>
    <cfRule type="cellIs" dxfId="23750" priority="8516" stopIfTrue="1" operator="equal">
      <formula>"Napkin Hs"</formula>
    </cfRule>
  </conditionalFormatting>
  <conditionalFormatting sqref="B95">
    <cfRule type="cellIs" dxfId="23749" priority="8513" stopIfTrue="1" operator="equal">
      <formula>"Towel"</formula>
    </cfRule>
    <cfRule type="cellIs" dxfId="23748" priority="8514" stopIfTrue="1" operator="equal">
      <formula>"Napkin Hs"</formula>
    </cfRule>
  </conditionalFormatting>
  <conditionalFormatting sqref="C94">
    <cfRule type="cellIs" dxfId="23747" priority="8505" stopIfTrue="1" operator="equal">
      <formula>"Towel"</formula>
    </cfRule>
    <cfRule type="cellIs" dxfId="23746" priority="8506" stopIfTrue="1" operator="equal">
      <formula>"Napkin Hs"</formula>
    </cfRule>
  </conditionalFormatting>
  <conditionalFormatting sqref="B94:C94">
    <cfRule type="cellIs" dxfId="23745" priority="8507" stopIfTrue="1" operator="equal">
      <formula>"Towel"</formula>
    </cfRule>
    <cfRule type="cellIs" dxfId="23744" priority="8508" stopIfTrue="1" operator="equal">
      <formula>"Napkin Hs"</formula>
    </cfRule>
  </conditionalFormatting>
  <conditionalFormatting sqref="C94">
    <cfRule type="cellIs" dxfId="23743" priority="8503" stopIfTrue="1" operator="equal">
      <formula>"Towel"</formula>
    </cfRule>
    <cfRule type="cellIs" dxfId="23742" priority="8504" stopIfTrue="1" operator="equal">
      <formula>"Napkin Hs"</formula>
    </cfRule>
  </conditionalFormatting>
  <conditionalFormatting sqref="B94:C94">
    <cfRule type="cellIs" dxfId="23741" priority="8501" stopIfTrue="1" operator="equal">
      <formula>"Towel"</formula>
    </cfRule>
    <cfRule type="cellIs" dxfId="23740" priority="8502" stopIfTrue="1" operator="equal">
      <formula>"Napkin Hs"</formula>
    </cfRule>
  </conditionalFormatting>
  <conditionalFormatting sqref="C94">
    <cfRule type="cellIs" dxfId="23739" priority="8509" stopIfTrue="1" operator="equal">
      <formula>"Towel"</formula>
    </cfRule>
    <cfRule type="cellIs" dxfId="23738" priority="8510" stopIfTrue="1" operator="equal">
      <formula>"Napkin Hs"</formula>
    </cfRule>
  </conditionalFormatting>
  <conditionalFormatting sqref="C94">
    <cfRule type="cellIs" dxfId="23737" priority="8511" stopIfTrue="1" operator="equal">
      <formula>"Towel"</formula>
    </cfRule>
    <cfRule type="cellIs" dxfId="23736" priority="8512" stopIfTrue="1" operator="equal">
      <formula>"Napkin Hs"</formula>
    </cfRule>
  </conditionalFormatting>
  <conditionalFormatting sqref="C94:C95">
    <cfRule type="cellIs" dxfId="23735" priority="8497" stopIfTrue="1" operator="equal">
      <formula>"Towel"</formula>
    </cfRule>
    <cfRule type="cellIs" dxfId="23734" priority="8498" stopIfTrue="1" operator="equal">
      <formula>"Napkin Hs"</formula>
    </cfRule>
  </conditionalFormatting>
  <conditionalFormatting sqref="C94:C95">
    <cfRule type="cellIs" dxfId="23733" priority="8499" stopIfTrue="1" operator="equal">
      <formula>"Towel"</formula>
    </cfRule>
    <cfRule type="cellIs" dxfId="23732" priority="8500" stopIfTrue="1" operator="equal">
      <formula>"Napkin Hs"</formula>
    </cfRule>
  </conditionalFormatting>
  <conditionalFormatting sqref="C94:C95">
    <cfRule type="cellIs" dxfId="23731" priority="8495" stopIfTrue="1" operator="equal">
      <formula>"Towel"</formula>
    </cfRule>
    <cfRule type="cellIs" dxfId="23730" priority="8496" stopIfTrue="1" operator="equal">
      <formula>"Napkin Hs"</formula>
    </cfRule>
  </conditionalFormatting>
  <conditionalFormatting sqref="B94:B95">
    <cfRule type="cellIs" dxfId="23729" priority="8493" stopIfTrue="1" operator="equal">
      <formula>"Towel"</formula>
    </cfRule>
    <cfRule type="cellIs" dxfId="23728" priority="8494" stopIfTrue="1" operator="equal">
      <formula>"Napkin Hs"</formula>
    </cfRule>
  </conditionalFormatting>
  <conditionalFormatting sqref="C94:C95">
    <cfRule type="cellIs" dxfId="23727" priority="8487" stopIfTrue="1" operator="equal">
      <formula>"Towel"</formula>
    </cfRule>
    <cfRule type="cellIs" dxfId="23726" priority="8488" stopIfTrue="1" operator="equal">
      <formula>"Napkin Hs"</formula>
    </cfRule>
  </conditionalFormatting>
  <conditionalFormatting sqref="C94:C95">
    <cfRule type="cellIs" dxfId="23725" priority="8491" stopIfTrue="1" operator="equal">
      <formula>"Towel"</formula>
    </cfRule>
    <cfRule type="cellIs" dxfId="23724" priority="8492" stopIfTrue="1" operator="equal">
      <formula>"Napkin Hs"</formula>
    </cfRule>
  </conditionalFormatting>
  <conditionalFormatting sqref="C94:C95">
    <cfRule type="cellIs" dxfId="23723" priority="8489" stopIfTrue="1" operator="equal">
      <formula>"Towel"</formula>
    </cfRule>
    <cfRule type="cellIs" dxfId="23722" priority="8490" stopIfTrue="1" operator="equal">
      <formula>"Napkin Hs"</formula>
    </cfRule>
  </conditionalFormatting>
  <conditionalFormatting sqref="C94:C95">
    <cfRule type="cellIs" dxfId="23721" priority="8481" stopIfTrue="1" operator="equal">
      <formula>"Towel"</formula>
    </cfRule>
    <cfRule type="cellIs" dxfId="23720" priority="8482" stopIfTrue="1" operator="equal">
      <formula>"Napkin Hs"</formula>
    </cfRule>
  </conditionalFormatting>
  <conditionalFormatting sqref="C94:C95">
    <cfRule type="cellIs" dxfId="23719" priority="8483" stopIfTrue="1" operator="equal">
      <formula>"Towel"</formula>
    </cfRule>
    <cfRule type="cellIs" dxfId="23718" priority="8484" stopIfTrue="1" operator="equal">
      <formula>"Napkin Hs"</formula>
    </cfRule>
  </conditionalFormatting>
  <conditionalFormatting sqref="C94:C95">
    <cfRule type="cellIs" dxfId="23717" priority="8485" stopIfTrue="1" operator="equal">
      <formula>"Towel"</formula>
    </cfRule>
    <cfRule type="cellIs" dxfId="23716" priority="8486" stopIfTrue="1" operator="equal">
      <formula>"Napkin Hs"</formula>
    </cfRule>
  </conditionalFormatting>
  <conditionalFormatting sqref="B94:C95">
    <cfRule type="cellIs" dxfId="23715" priority="8479" stopIfTrue="1" operator="equal">
      <formula>"Towel"</formula>
    </cfRule>
    <cfRule type="cellIs" dxfId="23714" priority="8480" stopIfTrue="1" operator="equal">
      <formula>"Napkin Hs"</formula>
    </cfRule>
  </conditionalFormatting>
  <conditionalFormatting sqref="B94:C95">
    <cfRule type="cellIs" dxfId="23713" priority="8477" stopIfTrue="1" operator="equal">
      <formula>"Towel"</formula>
    </cfRule>
    <cfRule type="cellIs" dxfId="23712" priority="8478" stopIfTrue="1" operator="equal">
      <formula>"Napkin Hs"</formula>
    </cfRule>
  </conditionalFormatting>
  <conditionalFormatting sqref="B94:C95">
    <cfRule type="cellIs" dxfId="23711" priority="8453" stopIfTrue="1" operator="equal">
      <formula>"Towel"</formula>
    </cfRule>
  </conditionalFormatting>
  <conditionalFormatting sqref="B94:C95">
    <cfRule type="cellIs" dxfId="23710" priority="8454" stopIfTrue="1" operator="equal">
      <formula>"Napkin Hs"</formula>
    </cfRule>
    <cfRule type="cellIs" dxfId="23709" priority="8459" stopIfTrue="1" operator="equal">
      <formula>"Towel"</formula>
    </cfRule>
    <cfRule type="cellIs" dxfId="23708" priority="8460" stopIfTrue="1" operator="equal">
      <formula>"Napkin Hs"</formula>
    </cfRule>
    <cfRule type="cellIs" dxfId="23707" priority="8469" stopIfTrue="1" operator="equal">
      <formula>"Towel"</formula>
    </cfRule>
    <cfRule type="cellIs" dxfId="23706" priority="8470" stopIfTrue="1" operator="equal">
      <formula>"Napkin Hs"</formula>
    </cfRule>
    <cfRule type="cellIs" dxfId="23705" priority="8475" stopIfTrue="1" operator="equal">
      <formula>"Towel"</formula>
    </cfRule>
    <cfRule type="cellIs" dxfId="23704" priority="8476" stopIfTrue="1" operator="equal">
      <formula>"Napkin Hs"</formula>
    </cfRule>
  </conditionalFormatting>
  <conditionalFormatting sqref="C94:C95">
    <cfRule type="cellIs" dxfId="23703" priority="8455" stopIfTrue="1" operator="equal">
      <formula>"Towel"</formula>
    </cfRule>
    <cfRule type="cellIs" dxfId="23702" priority="8456" stopIfTrue="1" operator="equal">
      <formula>"Napkin Hs"</formula>
    </cfRule>
    <cfRule type="cellIs" dxfId="23701" priority="8457" stopIfTrue="1" operator="equal">
      <formula>"Towel"</formula>
    </cfRule>
    <cfRule type="cellIs" dxfId="23700" priority="8458" stopIfTrue="1" operator="equal">
      <formula>"Napkin Hs"</formula>
    </cfRule>
    <cfRule type="cellIs" dxfId="23699" priority="8461" stopIfTrue="1" operator="equal">
      <formula>"Towel"</formula>
    </cfRule>
    <cfRule type="cellIs" dxfId="23698" priority="8462" stopIfTrue="1" operator="equal">
      <formula>"Napkin Hs"</formula>
    </cfRule>
    <cfRule type="cellIs" dxfId="23697" priority="8463" stopIfTrue="1" operator="equal">
      <formula>"Towel"</formula>
    </cfRule>
    <cfRule type="cellIs" dxfId="23696" priority="8464" stopIfTrue="1" operator="equal">
      <formula>"Napkin Hs"</formula>
    </cfRule>
    <cfRule type="cellIs" dxfId="23695" priority="8465" stopIfTrue="1" operator="equal">
      <formula>"Towel"</formula>
    </cfRule>
    <cfRule type="cellIs" dxfId="23694" priority="8466" stopIfTrue="1" operator="equal">
      <formula>"Napkin Hs"</formula>
    </cfRule>
    <cfRule type="cellIs" dxfId="23693" priority="8467" stopIfTrue="1" operator="equal">
      <formula>"Towel"</formula>
    </cfRule>
    <cfRule type="cellIs" dxfId="23692" priority="8468" stopIfTrue="1" operator="equal">
      <formula>"Napkin Hs"</formula>
    </cfRule>
    <cfRule type="cellIs" dxfId="23691" priority="8471" stopIfTrue="1" operator="equal">
      <formula>"Towel"</formula>
    </cfRule>
    <cfRule type="cellIs" dxfId="23690" priority="8472" stopIfTrue="1" operator="equal">
      <formula>"Napkin Hs"</formula>
    </cfRule>
    <cfRule type="cellIs" dxfId="23689" priority="8474" stopIfTrue="1" operator="equal">
      <formula>"Napkin Hs"</formula>
    </cfRule>
  </conditionalFormatting>
  <conditionalFormatting sqref="C94:C95">
    <cfRule type="cellIs" dxfId="23688" priority="8473" stopIfTrue="1" operator="equal">
      <formula>"Towel"</formula>
    </cfRule>
  </conditionalFormatting>
  <conditionalFormatting sqref="B94:C95">
    <cfRule type="cellIs" dxfId="23687" priority="8451" stopIfTrue="1" operator="equal">
      <formula>"Towel"</formula>
    </cfRule>
    <cfRule type="cellIs" dxfId="23686" priority="8452" stopIfTrue="1" operator="equal">
      <formula>"Napkin Hs"</formula>
    </cfRule>
  </conditionalFormatting>
  <conditionalFormatting sqref="C94:C95">
    <cfRule type="cellIs" dxfId="23685" priority="8450" stopIfTrue="1" operator="equal">
      <formula>"Napkin Hs"</formula>
    </cfRule>
  </conditionalFormatting>
  <conditionalFormatting sqref="C94:C95">
    <cfRule type="cellIs" dxfId="23684" priority="8449" stopIfTrue="1" operator="equal">
      <formula>"Towel"</formula>
    </cfRule>
  </conditionalFormatting>
  <conditionalFormatting sqref="C94:C95">
    <cfRule type="cellIs" dxfId="23683" priority="8447" stopIfTrue="1" operator="equal">
      <formula>"Towel"</formula>
    </cfRule>
  </conditionalFormatting>
  <conditionalFormatting sqref="C94:C95">
    <cfRule type="cellIs" dxfId="23682" priority="8448" stopIfTrue="1" operator="equal">
      <formula>"Napkin Hs"</formula>
    </cfRule>
  </conditionalFormatting>
  <conditionalFormatting sqref="B94:B95">
    <cfRule type="cellIs" dxfId="23681" priority="8351" stopIfTrue="1" operator="equal">
      <formula>"Napkin Hs"</formula>
    </cfRule>
  </conditionalFormatting>
  <conditionalFormatting sqref="B94:C95">
    <cfRule type="cellIs" dxfId="23680" priority="8350" stopIfTrue="1" operator="equal">
      <formula>"Towel"</formula>
    </cfRule>
  </conditionalFormatting>
  <conditionalFormatting sqref="B94:C95">
    <cfRule type="cellIs" dxfId="23679" priority="8361" stopIfTrue="1" operator="equal">
      <formula>"Towel"</formula>
    </cfRule>
    <cfRule type="cellIs" dxfId="23678" priority="8362" stopIfTrue="1" operator="equal">
      <formula>"Napkin Hs"</formula>
    </cfRule>
    <cfRule type="cellIs" dxfId="23677" priority="8367" stopIfTrue="1" operator="equal">
      <formula>"Towel"</formula>
    </cfRule>
    <cfRule type="cellIs" dxfId="23676" priority="8368" stopIfTrue="1" operator="equal">
      <formula>"Napkin Hs"</formula>
    </cfRule>
    <cfRule type="cellIs" dxfId="23675" priority="8373" stopIfTrue="1" operator="equal">
      <formula>"Towel"</formula>
    </cfRule>
    <cfRule type="cellIs" dxfId="23674" priority="8374" stopIfTrue="1" operator="equal">
      <formula>"Napkin Hs"</formula>
    </cfRule>
    <cfRule type="cellIs" dxfId="23673" priority="8375" stopIfTrue="1" operator="equal">
      <formula>"Towel"</formula>
    </cfRule>
    <cfRule type="cellIs" dxfId="23672" priority="8376" stopIfTrue="1" operator="equal">
      <formula>"Napkin Hs"</formula>
    </cfRule>
    <cfRule type="cellIs" dxfId="23671" priority="8381" stopIfTrue="1" operator="equal">
      <formula>"Towel"</formula>
    </cfRule>
    <cfRule type="cellIs" dxfId="23670" priority="8382" stopIfTrue="1" operator="equal">
      <formula>"Napkin Hs"</formula>
    </cfRule>
    <cfRule type="cellIs" dxfId="23669" priority="8391" stopIfTrue="1" operator="equal">
      <formula>"Towel"</formula>
    </cfRule>
    <cfRule type="cellIs" dxfId="23668" priority="8392" stopIfTrue="1" operator="equal">
      <formula>"Napkin Hs"</formula>
    </cfRule>
    <cfRule type="cellIs" dxfId="23667" priority="8397" stopIfTrue="1" operator="equal">
      <formula>"Towel"</formula>
    </cfRule>
    <cfRule type="cellIs" dxfId="23666" priority="8398" stopIfTrue="1" operator="equal">
      <formula>"Napkin Hs"</formula>
    </cfRule>
    <cfRule type="cellIs" dxfId="23665" priority="8399" stopIfTrue="1" operator="equal">
      <formula>"Towel"</formula>
    </cfRule>
    <cfRule type="cellIs" dxfId="23664" priority="8400" stopIfTrue="1" operator="equal">
      <formula>"Napkin Hs"</formula>
    </cfRule>
    <cfRule type="cellIs" dxfId="23663" priority="8405" stopIfTrue="1" operator="equal">
      <formula>"Towel"</formula>
    </cfRule>
    <cfRule type="cellIs" dxfId="23662" priority="8406" stopIfTrue="1" operator="equal">
      <formula>"Napkin Hs"</formula>
    </cfRule>
    <cfRule type="cellIs" dxfId="23661" priority="8415" stopIfTrue="1" operator="equal">
      <formula>"Towel"</formula>
    </cfRule>
    <cfRule type="cellIs" dxfId="23660" priority="8416" stopIfTrue="1" operator="equal">
      <formula>"Napkin Hs"</formula>
    </cfRule>
    <cfRule type="cellIs" dxfId="23659" priority="8417" stopIfTrue="1" operator="equal">
      <formula>"Towel"</formula>
    </cfRule>
    <cfRule type="cellIs" dxfId="23658" priority="8418" stopIfTrue="1" operator="equal">
      <formula>"Napkin Hs"</formula>
    </cfRule>
    <cfRule type="cellIs" dxfId="23657" priority="8423" stopIfTrue="1" operator="equal">
      <formula>"Towel"</formula>
    </cfRule>
    <cfRule type="cellIs" dxfId="23656" priority="8424" stopIfTrue="1" operator="equal">
      <formula>"Napkin Hs"</formula>
    </cfRule>
    <cfRule type="cellIs" dxfId="23655" priority="8433" stopIfTrue="1" operator="equal">
      <formula>"Towel"</formula>
    </cfRule>
    <cfRule type="cellIs" dxfId="23654" priority="8434" stopIfTrue="1" operator="equal">
      <formula>"Napkin Hs"</formula>
    </cfRule>
    <cfRule type="cellIs" dxfId="23653" priority="8435" stopIfTrue="1" operator="equal">
      <formula>"Towel"</formula>
    </cfRule>
    <cfRule type="cellIs" dxfId="23652" priority="8436" stopIfTrue="1" operator="equal">
      <formula>"Napkin Hs"</formula>
    </cfRule>
    <cfRule type="cellIs" dxfId="23651" priority="8442" stopIfTrue="1" operator="equal">
      <formula>"Napkin Hs"</formula>
    </cfRule>
  </conditionalFormatting>
  <conditionalFormatting sqref="B94:C95">
    <cfRule type="cellIs" dxfId="23650" priority="8441" stopIfTrue="1" operator="equal">
      <formula>"Towel"</formula>
    </cfRule>
  </conditionalFormatting>
  <conditionalFormatting sqref="C94:C95">
    <cfRule type="cellIs" dxfId="23649" priority="8352" stopIfTrue="1" operator="equal">
      <formula>"Napkin Hs"</formula>
    </cfRule>
    <cfRule type="cellIs" dxfId="23648" priority="8353" stopIfTrue="1" operator="equal">
      <formula>"Towel"</formula>
    </cfRule>
    <cfRule type="cellIs" dxfId="23647" priority="8354" stopIfTrue="1" operator="equal">
      <formula>"Napkin Hs"</formula>
    </cfRule>
    <cfRule type="cellIs" dxfId="23646" priority="8355" stopIfTrue="1" operator="equal">
      <formula>"Towel"</formula>
    </cfRule>
    <cfRule type="cellIs" dxfId="23645" priority="8356" stopIfTrue="1" operator="equal">
      <formula>"Napkin Hs"</formula>
    </cfRule>
    <cfRule type="cellIs" dxfId="23644" priority="8357" stopIfTrue="1" operator="equal">
      <formula>"Towel"</formula>
    </cfRule>
    <cfRule type="cellIs" dxfId="23643" priority="8358" stopIfTrue="1" operator="equal">
      <formula>"Napkin Hs"</formula>
    </cfRule>
    <cfRule type="cellIs" dxfId="23642" priority="8359" stopIfTrue="1" operator="equal">
      <formula>"Towel"</formula>
    </cfRule>
    <cfRule type="cellIs" dxfId="23641" priority="8360" stopIfTrue="1" operator="equal">
      <formula>"Napkin Hs"</formula>
    </cfRule>
    <cfRule type="cellIs" dxfId="23640" priority="8363" stopIfTrue="1" operator="equal">
      <formula>"Towel"</formula>
    </cfRule>
    <cfRule type="cellIs" dxfId="23639" priority="8364" stopIfTrue="1" operator="equal">
      <formula>"Napkin Hs"</formula>
    </cfRule>
    <cfRule type="cellIs" dxfId="23638" priority="8365" stopIfTrue="1" operator="equal">
      <formula>"Towel"</formula>
    </cfRule>
    <cfRule type="cellIs" dxfId="23637" priority="8366" stopIfTrue="1" operator="equal">
      <formula>"Napkin Hs"</formula>
    </cfRule>
    <cfRule type="cellIs" dxfId="23636" priority="8369" stopIfTrue="1" operator="equal">
      <formula>"Towel"</formula>
    </cfRule>
    <cfRule type="cellIs" dxfId="23635" priority="8370" stopIfTrue="1" operator="equal">
      <formula>"Napkin Hs"</formula>
    </cfRule>
    <cfRule type="cellIs" dxfId="23634" priority="8371" stopIfTrue="1" operator="equal">
      <formula>"Towel"</formula>
    </cfRule>
    <cfRule type="cellIs" dxfId="23633" priority="8372" stopIfTrue="1" operator="equal">
      <formula>"Napkin Hs"</formula>
    </cfRule>
    <cfRule type="cellIs" dxfId="23632" priority="8377" stopIfTrue="1" operator="equal">
      <formula>"Towel"</formula>
    </cfRule>
    <cfRule type="cellIs" dxfId="23631" priority="8378" stopIfTrue="1" operator="equal">
      <formula>"Napkin Hs"</formula>
    </cfRule>
    <cfRule type="cellIs" dxfId="23630" priority="8379" stopIfTrue="1" operator="equal">
      <formula>"Towel"</formula>
    </cfRule>
    <cfRule type="cellIs" dxfId="23629" priority="8380" stopIfTrue="1" operator="equal">
      <formula>"Napkin Hs"</formula>
    </cfRule>
    <cfRule type="cellIs" dxfId="23628" priority="8383" stopIfTrue="1" operator="equal">
      <formula>"Towel"</formula>
    </cfRule>
    <cfRule type="cellIs" dxfId="23627" priority="8384" stopIfTrue="1" operator="equal">
      <formula>"Napkin Hs"</formula>
    </cfRule>
    <cfRule type="cellIs" dxfId="23626" priority="8385" stopIfTrue="1" operator="equal">
      <formula>"Towel"</formula>
    </cfRule>
    <cfRule type="cellIs" dxfId="23625" priority="8386" stopIfTrue="1" operator="equal">
      <formula>"Napkin Hs"</formula>
    </cfRule>
    <cfRule type="cellIs" dxfId="23624" priority="8387" stopIfTrue="1" operator="equal">
      <formula>"Towel"</formula>
    </cfRule>
    <cfRule type="cellIs" dxfId="23623" priority="8388" stopIfTrue="1" operator="equal">
      <formula>"Napkin Hs"</formula>
    </cfRule>
    <cfRule type="cellIs" dxfId="23622" priority="8389" stopIfTrue="1" operator="equal">
      <formula>"Towel"</formula>
    </cfRule>
    <cfRule type="cellIs" dxfId="23621" priority="8390" stopIfTrue="1" operator="equal">
      <formula>"Napkin Hs"</formula>
    </cfRule>
    <cfRule type="cellIs" dxfId="23620" priority="8393" stopIfTrue="1" operator="equal">
      <formula>"Towel"</formula>
    </cfRule>
    <cfRule type="cellIs" dxfId="23619" priority="8394" stopIfTrue="1" operator="equal">
      <formula>"Napkin Hs"</formula>
    </cfRule>
    <cfRule type="cellIs" dxfId="23618" priority="8395" stopIfTrue="1" operator="equal">
      <formula>"Towel"</formula>
    </cfRule>
    <cfRule type="cellIs" dxfId="23617" priority="8396" stopIfTrue="1" operator="equal">
      <formula>"Napkin Hs"</formula>
    </cfRule>
    <cfRule type="cellIs" dxfId="23616" priority="8401" stopIfTrue="1" operator="equal">
      <formula>"Towel"</formula>
    </cfRule>
    <cfRule type="cellIs" dxfId="23615" priority="8402" stopIfTrue="1" operator="equal">
      <formula>"Napkin Hs"</formula>
    </cfRule>
    <cfRule type="cellIs" dxfId="23614" priority="8403" stopIfTrue="1" operator="equal">
      <formula>"Towel"</formula>
    </cfRule>
    <cfRule type="cellIs" dxfId="23613" priority="8404" stopIfTrue="1" operator="equal">
      <formula>"Napkin Hs"</formula>
    </cfRule>
    <cfRule type="cellIs" dxfId="23612" priority="8407" stopIfTrue="1" operator="equal">
      <formula>"Towel"</formula>
    </cfRule>
    <cfRule type="cellIs" dxfId="23611" priority="8408" stopIfTrue="1" operator="equal">
      <formula>"Napkin Hs"</formula>
    </cfRule>
    <cfRule type="cellIs" dxfId="23610" priority="8409" stopIfTrue="1" operator="equal">
      <formula>"Towel"</formula>
    </cfRule>
    <cfRule type="cellIs" dxfId="23609" priority="8410" stopIfTrue="1" operator="equal">
      <formula>"Napkin Hs"</formula>
    </cfRule>
    <cfRule type="cellIs" dxfId="23608" priority="8411" stopIfTrue="1" operator="equal">
      <formula>"Towel"</formula>
    </cfRule>
    <cfRule type="cellIs" dxfId="23607" priority="8412" stopIfTrue="1" operator="equal">
      <formula>"Napkin Hs"</formula>
    </cfRule>
    <cfRule type="cellIs" dxfId="23606" priority="8413" stopIfTrue="1" operator="equal">
      <formula>"Towel"</formula>
    </cfRule>
    <cfRule type="cellIs" dxfId="23605" priority="8414" stopIfTrue="1" operator="equal">
      <formula>"Napkin Hs"</formula>
    </cfRule>
    <cfRule type="cellIs" dxfId="23604" priority="8419" stopIfTrue="1" operator="equal">
      <formula>"Towel"</formula>
    </cfRule>
    <cfRule type="cellIs" dxfId="23603" priority="8420" stopIfTrue="1" operator="equal">
      <formula>"Napkin Hs"</formula>
    </cfRule>
    <cfRule type="cellIs" dxfId="23602" priority="8421" stopIfTrue="1" operator="equal">
      <formula>"Towel"</formula>
    </cfRule>
    <cfRule type="cellIs" dxfId="23601" priority="8422" stopIfTrue="1" operator="equal">
      <formula>"Napkin Hs"</formula>
    </cfRule>
    <cfRule type="cellIs" dxfId="23600" priority="8425" stopIfTrue="1" operator="equal">
      <formula>"Towel"</formula>
    </cfRule>
    <cfRule type="cellIs" dxfId="23599" priority="8426" stopIfTrue="1" operator="equal">
      <formula>"Napkin Hs"</formula>
    </cfRule>
    <cfRule type="cellIs" dxfId="23598" priority="8427" stopIfTrue="1" operator="equal">
      <formula>"Towel"</formula>
    </cfRule>
    <cfRule type="cellIs" dxfId="23597" priority="8428" stopIfTrue="1" operator="equal">
      <formula>"Napkin Hs"</formula>
    </cfRule>
    <cfRule type="cellIs" dxfId="23596" priority="8429" stopIfTrue="1" operator="equal">
      <formula>"Towel"</formula>
    </cfRule>
    <cfRule type="cellIs" dxfId="23595" priority="8430" stopIfTrue="1" operator="equal">
      <formula>"Napkin Hs"</formula>
    </cfRule>
    <cfRule type="cellIs" dxfId="23594" priority="8431" stopIfTrue="1" operator="equal">
      <formula>"Towel"</formula>
    </cfRule>
    <cfRule type="cellIs" dxfId="23593" priority="8432" stopIfTrue="1" operator="equal">
      <formula>"Napkin Hs"</formula>
    </cfRule>
    <cfRule type="cellIs" dxfId="23592" priority="8437" stopIfTrue="1" operator="equal">
      <formula>"Towel"</formula>
    </cfRule>
    <cfRule type="cellIs" dxfId="23591" priority="8438" stopIfTrue="1" operator="equal">
      <formula>"Napkin Hs"</formula>
    </cfRule>
    <cfRule type="cellIs" dxfId="23590" priority="8439" stopIfTrue="1" operator="equal">
      <formula>"Towel"</formula>
    </cfRule>
    <cfRule type="cellIs" dxfId="23589" priority="8440" stopIfTrue="1" operator="equal">
      <formula>"Napkin Hs"</formula>
    </cfRule>
    <cfRule type="cellIs" dxfId="23588" priority="8443" stopIfTrue="1" operator="equal">
      <formula>"Towel"</formula>
    </cfRule>
    <cfRule type="cellIs" dxfId="23587" priority="8444" stopIfTrue="1" operator="equal">
      <formula>"Napkin Hs"</formula>
    </cfRule>
    <cfRule type="cellIs" dxfId="23586" priority="8445" stopIfTrue="1" operator="equal">
      <formula>"Towel"</formula>
    </cfRule>
    <cfRule type="cellIs" dxfId="23585" priority="8446" stopIfTrue="1" operator="equal">
      <formula>"Napkin Hs"</formula>
    </cfRule>
  </conditionalFormatting>
  <conditionalFormatting sqref="C94:C95">
    <cfRule type="cellIs" dxfId="23584" priority="8349" stopIfTrue="1" operator="equal">
      <formula>"Napkin Hs"</formula>
    </cfRule>
  </conditionalFormatting>
  <conditionalFormatting sqref="C94:C95">
    <cfRule type="cellIs" dxfId="23583" priority="8348" stopIfTrue="1" operator="equal">
      <formula>"Napkin Hs"</formula>
    </cfRule>
  </conditionalFormatting>
  <conditionalFormatting sqref="B94:B95">
    <cfRule type="cellIs" dxfId="23582" priority="8347" stopIfTrue="1" operator="equal">
      <formula>"Napkin Hs"</formula>
    </cfRule>
  </conditionalFormatting>
  <conditionalFormatting sqref="C94:C95">
    <cfRule type="cellIs" dxfId="23581" priority="8346" stopIfTrue="1" operator="equal">
      <formula>"Napkin Hs"</formula>
    </cfRule>
  </conditionalFormatting>
  <conditionalFormatting sqref="C94:C95">
    <cfRule type="cellIs" dxfId="23580" priority="8345" stopIfTrue="1" operator="equal">
      <formula>"Napkin Hs"</formula>
    </cfRule>
  </conditionalFormatting>
  <conditionalFormatting sqref="C94:C95">
    <cfRule type="cellIs" dxfId="23579" priority="8344" stopIfTrue="1" operator="equal">
      <formula>"Napkin Hs"</formula>
    </cfRule>
  </conditionalFormatting>
  <conditionalFormatting sqref="C94:C95">
    <cfRule type="cellIs" dxfId="23578" priority="8343" stopIfTrue="1" operator="equal">
      <formula>"Napkin Hs"</formula>
    </cfRule>
  </conditionalFormatting>
  <conditionalFormatting sqref="B94:B95">
    <cfRule type="cellIs" dxfId="23577" priority="8342" stopIfTrue="1" operator="equal">
      <formula>"Napkin Hs"</formula>
    </cfRule>
  </conditionalFormatting>
  <conditionalFormatting sqref="B94:B95">
    <cfRule type="cellIs" dxfId="23576" priority="8341" stopIfTrue="1" operator="equal">
      <formula>"Napkin Hs"</formula>
    </cfRule>
  </conditionalFormatting>
  <conditionalFormatting sqref="C94:C95">
    <cfRule type="cellIs" dxfId="23575" priority="8337" stopIfTrue="1" operator="equal">
      <formula>"Towel"</formula>
    </cfRule>
    <cfRule type="cellIs" dxfId="23574" priority="8338" stopIfTrue="1" operator="equal">
      <formula>"Napkin Hs"</formula>
    </cfRule>
  </conditionalFormatting>
  <conditionalFormatting sqref="C94:C95">
    <cfRule type="cellIs" dxfId="23573" priority="8339" stopIfTrue="1" operator="equal">
      <formula>"Towel"</formula>
    </cfRule>
    <cfRule type="cellIs" dxfId="23572" priority="8340" stopIfTrue="1" operator="equal">
      <formula>"Napkin Hs"</formula>
    </cfRule>
  </conditionalFormatting>
  <conditionalFormatting sqref="C94:C95">
    <cfRule type="cellIs" dxfId="23571" priority="8333" stopIfTrue="1" operator="equal">
      <formula>"Towel"</formula>
    </cfRule>
    <cfRule type="cellIs" dxfId="23570" priority="8334" stopIfTrue="1" operator="equal">
      <formula>"Napkin Hs"</formula>
    </cfRule>
  </conditionalFormatting>
  <conditionalFormatting sqref="C94:C95">
    <cfRule type="cellIs" dxfId="23569" priority="8335" stopIfTrue="1" operator="equal">
      <formula>"Towel"</formula>
    </cfRule>
    <cfRule type="cellIs" dxfId="23568" priority="8336" stopIfTrue="1" operator="equal">
      <formula>"Napkin Hs"</formula>
    </cfRule>
  </conditionalFormatting>
  <conditionalFormatting sqref="C92">
    <cfRule type="cellIs" dxfId="23567" priority="8110" stopIfTrue="1" operator="equal">
      <formula>"Napkin Hs"</formula>
    </cfRule>
  </conditionalFormatting>
  <conditionalFormatting sqref="C92">
    <cfRule type="cellIs" dxfId="23566" priority="8109" stopIfTrue="1" operator="equal">
      <formula>"Napkin Hs"</formula>
    </cfRule>
  </conditionalFormatting>
  <conditionalFormatting sqref="B92:B93">
    <cfRule type="cellIs" dxfId="23565" priority="8108" stopIfTrue="1" operator="equal">
      <formula>"Napkin Hs"</formula>
    </cfRule>
  </conditionalFormatting>
  <conditionalFormatting sqref="C92">
    <cfRule type="cellIs" dxfId="23564" priority="8107" stopIfTrue="1" operator="equal">
      <formula>"Napkin Hs"</formula>
    </cfRule>
  </conditionalFormatting>
  <conditionalFormatting sqref="C92">
    <cfRule type="cellIs" dxfId="23563" priority="8106" stopIfTrue="1" operator="equal">
      <formula>"Napkin Hs"</formula>
    </cfRule>
  </conditionalFormatting>
  <conditionalFormatting sqref="C92">
    <cfRule type="cellIs" dxfId="23562" priority="8105" stopIfTrue="1" operator="equal">
      <formula>"Napkin Hs"</formula>
    </cfRule>
  </conditionalFormatting>
  <conditionalFormatting sqref="C92">
    <cfRule type="cellIs" dxfId="23561" priority="8104" stopIfTrue="1" operator="equal">
      <formula>"Napkin Hs"</formula>
    </cfRule>
  </conditionalFormatting>
  <conditionalFormatting sqref="B92:B93">
    <cfRule type="cellIs" dxfId="23560" priority="8103" stopIfTrue="1" operator="equal">
      <formula>"Napkin Hs"</formula>
    </cfRule>
  </conditionalFormatting>
  <conditionalFormatting sqref="B92:B93">
    <cfRule type="cellIs" dxfId="23559" priority="8102" stopIfTrue="1" operator="equal">
      <formula>"Napkin Hs"</formula>
    </cfRule>
  </conditionalFormatting>
  <conditionalFormatting sqref="C93">
    <cfRule type="cellIs" dxfId="23558" priority="8100" stopIfTrue="1" operator="equal">
      <formula>"Towel"</formula>
    </cfRule>
    <cfRule type="cellIs" dxfId="23557" priority="8101" stopIfTrue="1" operator="equal">
      <formula>"Napkin Hs"</formula>
    </cfRule>
  </conditionalFormatting>
  <conditionalFormatting sqref="C93">
    <cfRule type="cellIs" dxfId="23556" priority="8096" stopIfTrue="1" operator="equal">
      <formula>"Towel"</formula>
    </cfRule>
    <cfRule type="cellIs" dxfId="23555" priority="8097" stopIfTrue="1" operator="equal">
      <formula>"Napkin Hs"</formula>
    </cfRule>
  </conditionalFormatting>
  <conditionalFormatting sqref="C93">
    <cfRule type="cellIs" dxfId="23554" priority="8098" stopIfTrue="1" operator="equal">
      <formula>"Towel"</formula>
    </cfRule>
    <cfRule type="cellIs" dxfId="23553" priority="8099" stopIfTrue="1" operator="equal">
      <formula>"Napkin Hs"</formula>
    </cfRule>
  </conditionalFormatting>
  <conditionalFormatting sqref="C93">
    <cfRule type="cellIs" dxfId="23552" priority="8092" stopIfTrue="1" operator="equal">
      <formula>"Towel"</formula>
    </cfRule>
    <cfRule type="cellIs" dxfId="23551" priority="8093" stopIfTrue="1" operator="equal">
      <formula>"Napkin Hs"</formula>
    </cfRule>
  </conditionalFormatting>
  <conditionalFormatting sqref="C93">
    <cfRule type="cellIs" dxfId="23550" priority="8094" stopIfTrue="1" operator="equal">
      <formula>"Towel"</formula>
    </cfRule>
    <cfRule type="cellIs" dxfId="23549" priority="8095" stopIfTrue="1" operator="equal">
      <formula>"Napkin Hs"</formula>
    </cfRule>
  </conditionalFormatting>
  <conditionalFormatting sqref="C93">
    <cfRule type="cellIs" dxfId="23548" priority="8090" stopIfTrue="1" operator="equal">
      <formula>"Towel"</formula>
    </cfRule>
    <cfRule type="cellIs" dxfId="23547" priority="8091" stopIfTrue="1" operator="equal">
      <formula>"Napkin Hs"</formula>
    </cfRule>
  </conditionalFormatting>
  <conditionalFormatting sqref="C93">
    <cfRule type="cellIs" dxfId="23546" priority="8084" stopIfTrue="1" operator="equal">
      <formula>"Towel"</formula>
    </cfRule>
    <cfRule type="cellIs" dxfId="23545" priority="8085" stopIfTrue="1" operator="equal">
      <formula>"Napkin Hs"</formula>
    </cfRule>
  </conditionalFormatting>
  <conditionalFormatting sqref="C93">
    <cfRule type="cellIs" dxfId="23544" priority="8088" stopIfTrue="1" operator="equal">
      <formula>"Towel"</formula>
    </cfRule>
    <cfRule type="cellIs" dxfId="23543" priority="8089" stopIfTrue="1" operator="equal">
      <formula>"Napkin Hs"</formula>
    </cfRule>
  </conditionalFormatting>
  <conditionalFormatting sqref="C93">
    <cfRule type="cellIs" dxfId="23542" priority="8086" stopIfTrue="1" operator="equal">
      <formula>"Towel"</formula>
    </cfRule>
    <cfRule type="cellIs" dxfId="23541" priority="8087" stopIfTrue="1" operator="equal">
      <formula>"Napkin Hs"</formula>
    </cfRule>
  </conditionalFormatting>
  <conditionalFormatting sqref="C93">
    <cfRule type="cellIs" dxfId="23540" priority="8078" stopIfTrue="1" operator="equal">
      <formula>"Towel"</formula>
    </cfRule>
    <cfRule type="cellIs" dxfId="23539" priority="8079" stopIfTrue="1" operator="equal">
      <formula>"Napkin Hs"</formula>
    </cfRule>
  </conditionalFormatting>
  <conditionalFormatting sqref="C93">
    <cfRule type="cellIs" dxfId="23538" priority="8080" stopIfTrue="1" operator="equal">
      <formula>"Towel"</formula>
    </cfRule>
    <cfRule type="cellIs" dxfId="23537" priority="8081" stopIfTrue="1" operator="equal">
      <formula>"Napkin Hs"</formula>
    </cfRule>
  </conditionalFormatting>
  <conditionalFormatting sqref="C93">
    <cfRule type="cellIs" dxfId="23536" priority="8082" stopIfTrue="1" operator="equal">
      <formula>"Towel"</formula>
    </cfRule>
    <cfRule type="cellIs" dxfId="23535" priority="8083" stopIfTrue="1" operator="equal">
      <formula>"Napkin Hs"</formula>
    </cfRule>
  </conditionalFormatting>
  <conditionalFormatting sqref="C93">
    <cfRule type="cellIs" dxfId="23534" priority="8076" stopIfTrue="1" operator="equal">
      <formula>"Towel"</formula>
    </cfRule>
    <cfRule type="cellIs" dxfId="23533" priority="8077" stopIfTrue="1" operator="equal">
      <formula>"Napkin Hs"</formula>
    </cfRule>
  </conditionalFormatting>
  <conditionalFormatting sqref="C93">
    <cfRule type="cellIs" dxfId="23532" priority="8074" stopIfTrue="1" operator="equal">
      <formula>"Towel"</formula>
    </cfRule>
    <cfRule type="cellIs" dxfId="23531" priority="8075" stopIfTrue="1" operator="equal">
      <formula>"Napkin Hs"</formula>
    </cfRule>
  </conditionalFormatting>
  <conditionalFormatting sqref="C93">
    <cfRule type="cellIs" dxfId="23530" priority="8050" stopIfTrue="1" operator="equal">
      <formula>"Towel"</formula>
    </cfRule>
  </conditionalFormatting>
  <conditionalFormatting sqref="C93">
    <cfRule type="cellIs" dxfId="23529" priority="8051" stopIfTrue="1" operator="equal">
      <formula>"Napkin Hs"</formula>
    </cfRule>
    <cfRule type="cellIs" dxfId="23528" priority="8056" stopIfTrue="1" operator="equal">
      <formula>"Towel"</formula>
    </cfRule>
    <cfRule type="cellIs" dxfId="23527" priority="8057" stopIfTrue="1" operator="equal">
      <formula>"Napkin Hs"</formula>
    </cfRule>
    <cfRule type="cellIs" dxfId="23526" priority="8066" stopIfTrue="1" operator="equal">
      <formula>"Towel"</formula>
    </cfRule>
    <cfRule type="cellIs" dxfId="23525" priority="8067" stopIfTrue="1" operator="equal">
      <formula>"Napkin Hs"</formula>
    </cfRule>
    <cfRule type="cellIs" dxfId="23524" priority="8072" stopIfTrue="1" operator="equal">
      <formula>"Towel"</formula>
    </cfRule>
    <cfRule type="cellIs" dxfId="23523" priority="8073" stopIfTrue="1" operator="equal">
      <formula>"Napkin Hs"</formula>
    </cfRule>
  </conditionalFormatting>
  <conditionalFormatting sqref="C93">
    <cfRule type="cellIs" dxfId="23522" priority="8052" stopIfTrue="1" operator="equal">
      <formula>"Towel"</formula>
    </cfRule>
    <cfRule type="cellIs" dxfId="23521" priority="8053" stopIfTrue="1" operator="equal">
      <formula>"Napkin Hs"</formula>
    </cfRule>
    <cfRule type="cellIs" dxfId="23520" priority="8054" stopIfTrue="1" operator="equal">
      <formula>"Towel"</formula>
    </cfRule>
    <cfRule type="cellIs" dxfId="23519" priority="8055" stopIfTrue="1" operator="equal">
      <formula>"Napkin Hs"</formula>
    </cfRule>
    <cfRule type="cellIs" dxfId="23518" priority="8058" stopIfTrue="1" operator="equal">
      <formula>"Towel"</formula>
    </cfRule>
    <cfRule type="cellIs" dxfId="23517" priority="8059" stopIfTrue="1" operator="equal">
      <formula>"Napkin Hs"</formula>
    </cfRule>
    <cfRule type="cellIs" dxfId="23516" priority="8060" stopIfTrue="1" operator="equal">
      <formula>"Towel"</formula>
    </cfRule>
    <cfRule type="cellIs" dxfId="23515" priority="8061" stopIfTrue="1" operator="equal">
      <formula>"Napkin Hs"</formula>
    </cfRule>
    <cfRule type="cellIs" dxfId="23514" priority="8062" stopIfTrue="1" operator="equal">
      <formula>"Towel"</formula>
    </cfRule>
    <cfRule type="cellIs" dxfId="23513" priority="8063" stopIfTrue="1" operator="equal">
      <formula>"Napkin Hs"</formula>
    </cfRule>
    <cfRule type="cellIs" dxfId="23512" priority="8064" stopIfTrue="1" operator="equal">
      <formula>"Towel"</formula>
    </cfRule>
    <cfRule type="cellIs" dxfId="23511" priority="8065" stopIfTrue="1" operator="equal">
      <formula>"Napkin Hs"</formula>
    </cfRule>
    <cfRule type="cellIs" dxfId="23510" priority="8068" stopIfTrue="1" operator="equal">
      <formula>"Towel"</formula>
    </cfRule>
    <cfRule type="cellIs" dxfId="23509" priority="8069" stopIfTrue="1" operator="equal">
      <formula>"Napkin Hs"</formula>
    </cfRule>
    <cfRule type="cellIs" dxfId="23508" priority="8071" stopIfTrue="1" operator="equal">
      <formula>"Napkin Hs"</formula>
    </cfRule>
  </conditionalFormatting>
  <conditionalFormatting sqref="C93">
    <cfRule type="cellIs" dxfId="23507" priority="8070" stopIfTrue="1" operator="equal">
      <formula>"Towel"</formula>
    </cfRule>
  </conditionalFormatting>
  <conditionalFormatting sqref="C93">
    <cfRule type="cellIs" dxfId="23506" priority="8048" stopIfTrue="1" operator="equal">
      <formula>"Towel"</formula>
    </cfRule>
    <cfRule type="cellIs" dxfId="23505" priority="8049" stopIfTrue="1" operator="equal">
      <formula>"Napkin Hs"</formula>
    </cfRule>
  </conditionalFormatting>
  <conditionalFormatting sqref="C93">
    <cfRule type="cellIs" dxfId="23504" priority="8047" stopIfTrue="1" operator="equal">
      <formula>"Napkin Hs"</formula>
    </cfRule>
  </conditionalFormatting>
  <conditionalFormatting sqref="C93">
    <cfRule type="cellIs" dxfId="23503" priority="8046" stopIfTrue="1" operator="equal">
      <formula>"Towel"</formula>
    </cfRule>
  </conditionalFormatting>
  <conditionalFormatting sqref="C93">
    <cfRule type="cellIs" dxfId="23502" priority="8044" stopIfTrue="1" operator="equal">
      <formula>"Towel"</formula>
    </cfRule>
  </conditionalFormatting>
  <conditionalFormatting sqref="C93">
    <cfRule type="cellIs" dxfId="23501" priority="8045" stopIfTrue="1" operator="equal">
      <formula>"Napkin Hs"</formula>
    </cfRule>
  </conditionalFormatting>
  <conditionalFormatting sqref="C93">
    <cfRule type="cellIs" dxfId="23500" priority="7948" stopIfTrue="1" operator="equal">
      <formula>"Towel"</formula>
    </cfRule>
  </conditionalFormatting>
  <conditionalFormatting sqref="C93">
    <cfRule type="cellIs" dxfId="23499" priority="7958" stopIfTrue="1" operator="equal">
      <formula>"Towel"</formula>
    </cfRule>
    <cfRule type="cellIs" dxfId="23498" priority="7959" stopIfTrue="1" operator="equal">
      <formula>"Napkin Hs"</formula>
    </cfRule>
    <cfRule type="cellIs" dxfId="23497" priority="7964" stopIfTrue="1" operator="equal">
      <formula>"Towel"</formula>
    </cfRule>
    <cfRule type="cellIs" dxfId="23496" priority="7965" stopIfTrue="1" operator="equal">
      <formula>"Napkin Hs"</formula>
    </cfRule>
    <cfRule type="cellIs" dxfId="23495" priority="7970" stopIfTrue="1" operator="equal">
      <formula>"Towel"</formula>
    </cfRule>
    <cfRule type="cellIs" dxfId="23494" priority="7971" stopIfTrue="1" operator="equal">
      <formula>"Napkin Hs"</formula>
    </cfRule>
    <cfRule type="cellIs" dxfId="23493" priority="7972" stopIfTrue="1" operator="equal">
      <formula>"Towel"</formula>
    </cfRule>
    <cfRule type="cellIs" dxfId="23492" priority="7973" stopIfTrue="1" operator="equal">
      <formula>"Napkin Hs"</formula>
    </cfRule>
    <cfRule type="cellIs" dxfId="23491" priority="7978" stopIfTrue="1" operator="equal">
      <formula>"Towel"</formula>
    </cfRule>
    <cfRule type="cellIs" dxfId="23490" priority="7979" stopIfTrue="1" operator="equal">
      <formula>"Napkin Hs"</formula>
    </cfRule>
    <cfRule type="cellIs" dxfId="23489" priority="7988" stopIfTrue="1" operator="equal">
      <formula>"Towel"</formula>
    </cfRule>
    <cfRule type="cellIs" dxfId="23488" priority="7989" stopIfTrue="1" operator="equal">
      <formula>"Napkin Hs"</formula>
    </cfRule>
    <cfRule type="cellIs" dxfId="23487" priority="7994" stopIfTrue="1" operator="equal">
      <formula>"Towel"</formula>
    </cfRule>
    <cfRule type="cellIs" dxfId="23486" priority="7995" stopIfTrue="1" operator="equal">
      <formula>"Napkin Hs"</formula>
    </cfRule>
    <cfRule type="cellIs" dxfId="23485" priority="7996" stopIfTrue="1" operator="equal">
      <formula>"Towel"</formula>
    </cfRule>
    <cfRule type="cellIs" dxfId="23484" priority="7997" stopIfTrue="1" operator="equal">
      <formula>"Napkin Hs"</formula>
    </cfRule>
    <cfRule type="cellIs" dxfId="23483" priority="8002" stopIfTrue="1" operator="equal">
      <formula>"Towel"</formula>
    </cfRule>
    <cfRule type="cellIs" dxfId="23482" priority="8003" stopIfTrue="1" operator="equal">
      <formula>"Napkin Hs"</formula>
    </cfRule>
    <cfRule type="cellIs" dxfId="23481" priority="8012" stopIfTrue="1" operator="equal">
      <formula>"Towel"</formula>
    </cfRule>
    <cfRule type="cellIs" dxfId="23480" priority="8013" stopIfTrue="1" operator="equal">
      <formula>"Napkin Hs"</formula>
    </cfRule>
    <cfRule type="cellIs" dxfId="23479" priority="8014" stopIfTrue="1" operator="equal">
      <formula>"Towel"</formula>
    </cfRule>
    <cfRule type="cellIs" dxfId="23478" priority="8015" stopIfTrue="1" operator="equal">
      <formula>"Napkin Hs"</formula>
    </cfRule>
    <cfRule type="cellIs" dxfId="23477" priority="8020" stopIfTrue="1" operator="equal">
      <formula>"Towel"</formula>
    </cfRule>
    <cfRule type="cellIs" dxfId="23476" priority="8021" stopIfTrue="1" operator="equal">
      <formula>"Napkin Hs"</formula>
    </cfRule>
    <cfRule type="cellIs" dxfId="23475" priority="8030" stopIfTrue="1" operator="equal">
      <formula>"Towel"</formula>
    </cfRule>
    <cfRule type="cellIs" dxfId="23474" priority="8031" stopIfTrue="1" operator="equal">
      <formula>"Napkin Hs"</formula>
    </cfRule>
    <cfRule type="cellIs" dxfId="23473" priority="8032" stopIfTrue="1" operator="equal">
      <formula>"Towel"</formula>
    </cfRule>
    <cfRule type="cellIs" dxfId="23472" priority="8033" stopIfTrue="1" operator="equal">
      <formula>"Napkin Hs"</formula>
    </cfRule>
    <cfRule type="cellIs" dxfId="23471" priority="8039" stopIfTrue="1" operator="equal">
      <formula>"Napkin Hs"</formula>
    </cfRule>
  </conditionalFormatting>
  <conditionalFormatting sqref="C93">
    <cfRule type="cellIs" dxfId="23470" priority="8038" stopIfTrue="1" operator="equal">
      <formula>"Towel"</formula>
    </cfRule>
  </conditionalFormatting>
  <conditionalFormatting sqref="C93">
    <cfRule type="cellIs" dxfId="23469" priority="7949" stopIfTrue="1" operator="equal">
      <formula>"Napkin Hs"</formula>
    </cfRule>
    <cfRule type="cellIs" dxfId="23468" priority="7950" stopIfTrue="1" operator="equal">
      <formula>"Towel"</formula>
    </cfRule>
    <cfRule type="cellIs" dxfId="23467" priority="7951" stopIfTrue="1" operator="equal">
      <formula>"Napkin Hs"</formula>
    </cfRule>
    <cfRule type="cellIs" dxfId="23466" priority="7952" stopIfTrue="1" operator="equal">
      <formula>"Towel"</formula>
    </cfRule>
    <cfRule type="cellIs" dxfId="23465" priority="7953" stopIfTrue="1" operator="equal">
      <formula>"Napkin Hs"</formula>
    </cfRule>
    <cfRule type="cellIs" dxfId="23464" priority="7954" stopIfTrue="1" operator="equal">
      <formula>"Towel"</formula>
    </cfRule>
    <cfRule type="cellIs" dxfId="23463" priority="7955" stopIfTrue="1" operator="equal">
      <formula>"Napkin Hs"</formula>
    </cfRule>
    <cfRule type="cellIs" dxfId="23462" priority="7956" stopIfTrue="1" operator="equal">
      <formula>"Towel"</formula>
    </cfRule>
    <cfRule type="cellIs" dxfId="23461" priority="7957" stopIfTrue="1" operator="equal">
      <formula>"Napkin Hs"</formula>
    </cfRule>
    <cfRule type="cellIs" dxfId="23460" priority="7960" stopIfTrue="1" operator="equal">
      <formula>"Towel"</formula>
    </cfRule>
    <cfRule type="cellIs" dxfId="23459" priority="7961" stopIfTrue="1" operator="equal">
      <formula>"Napkin Hs"</formula>
    </cfRule>
    <cfRule type="cellIs" dxfId="23458" priority="7962" stopIfTrue="1" operator="equal">
      <formula>"Towel"</formula>
    </cfRule>
    <cfRule type="cellIs" dxfId="23457" priority="7963" stopIfTrue="1" operator="equal">
      <formula>"Napkin Hs"</formula>
    </cfRule>
    <cfRule type="cellIs" dxfId="23456" priority="7966" stopIfTrue="1" operator="equal">
      <formula>"Towel"</formula>
    </cfRule>
    <cfRule type="cellIs" dxfId="23455" priority="7967" stopIfTrue="1" operator="equal">
      <formula>"Napkin Hs"</formula>
    </cfRule>
    <cfRule type="cellIs" dxfId="23454" priority="7968" stopIfTrue="1" operator="equal">
      <formula>"Towel"</formula>
    </cfRule>
    <cfRule type="cellIs" dxfId="23453" priority="7969" stopIfTrue="1" operator="equal">
      <formula>"Napkin Hs"</formula>
    </cfRule>
    <cfRule type="cellIs" dxfId="23452" priority="7974" stopIfTrue="1" operator="equal">
      <formula>"Towel"</formula>
    </cfRule>
    <cfRule type="cellIs" dxfId="23451" priority="7975" stopIfTrue="1" operator="equal">
      <formula>"Napkin Hs"</formula>
    </cfRule>
    <cfRule type="cellIs" dxfId="23450" priority="7976" stopIfTrue="1" operator="equal">
      <formula>"Towel"</formula>
    </cfRule>
    <cfRule type="cellIs" dxfId="23449" priority="7977" stopIfTrue="1" operator="equal">
      <formula>"Napkin Hs"</formula>
    </cfRule>
    <cfRule type="cellIs" dxfId="23448" priority="7980" stopIfTrue="1" operator="equal">
      <formula>"Towel"</formula>
    </cfRule>
    <cfRule type="cellIs" dxfId="23447" priority="7981" stopIfTrue="1" operator="equal">
      <formula>"Napkin Hs"</formula>
    </cfRule>
    <cfRule type="cellIs" dxfId="23446" priority="7982" stopIfTrue="1" operator="equal">
      <formula>"Towel"</formula>
    </cfRule>
    <cfRule type="cellIs" dxfId="23445" priority="7983" stopIfTrue="1" operator="equal">
      <formula>"Napkin Hs"</formula>
    </cfRule>
    <cfRule type="cellIs" dxfId="23444" priority="7984" stopIfTrue="1" operator="equal">
      <formula>"Towel"</formula>
    </cfRule>
    <cfRule type="cellIs" dxfId="23443" priority="7985" stopIfTrue="1" operator="equal">
      <formula>"Napkin Hs"</formula>
    </cfRule>
    <cfRule type="cellIs" dxfId="23442" priority="7986" stopIfTrue="1" operator="equal">
      <formula>"Towel"</formula>
    </cfRule>
    <cfRule type="cellIs" dxfId="23441" priority="7987" stopIfTrue="1" operator="equal">
      <formula>"Napkin Hs"</formula>
    </cfRule>
    <cfRule type="cellIs" dxfId="23440" priority="7990" stopIfTrue="1" operator="equal">
      <formula>"Towel"</formula>
    </cfRule>
    <cfRule type="cellIs" dxfId="23439" priority="7991" stopIfTrue="1" operator="equal">
      <formula>"Napkin Hs"</formula>
    </cfRule>
    <cfRule type="cellIs" dxfId="23438" priority="7992" stopIfTrue="1" operator="equal">
      <formula>"Towel"</formula>
    </cfRule>
    <cfRule type="cellIs" dxfId="23437" priority="7993" stopIfTrue="1" operator="equal">
      <formula>"Napkin Hs"</formula>
    </cfRule>
    <cfRule type="cellIs" dxfId="23436" priority="7998" stopIfTrue="1" operator="equal">
      <formula>"Towel"</formula>
    </cfRule>
    <cfRule type="cellIs" dxfId="23435" priority="7999" stopIfTrue="1" operator="equal">
      <formula>"Napkin Hs"</formula>
    </cfRule>
    <cfRule type="cellIs" dxfId="23434" priority="8000" stopIfTrue="1" operator="equal">
      <formula>"Towel"</formula>
    </cfRule>
    <cfRule type="cellIs" dxfId="23433" priority="8001" stopIfTrue="1" operator="equal">
      <formula>"Napkin Hs"</formula>
    </cfRule>
    <cfRule type="cellIs" dxfId="23432" priority="8004" stopIfTrue="1" operator="equal">
      <formula>"Towel"</formula>
    </cfRule>
    <cfRule type="cellIs" dxfId="23431" priority="8005" stopIfTrue="1" operator="equal">
      <formula>"Napkin Hs"</formula>
    </cfRule>
    <cfRule type="cellIs" dxfId="23430" priority="8006" stopIfTrue="1" operator="equal">
      <formula>"Towel"</formula>
    </cfRule>
    <cfRule type="cellIs" dxfId="23429" priority="8007" stopIfTrue="1" operator="equal">
      <formula>"Napkin Hs"</formula>
    </cfRule>
    <cfRule type="cellIs" dxfId="23428" priority="8008" stopIfTrue="1" operator="equal">
      <formula>"Towel"</formula>
    </cfRule>
    <cfRule type="cellIs" dxfId="23427" priority="8009" stopIfTrue="1" operator="equal">
      <formula>"Napkin Hs"</formula>
    </cfRule>
    <cfRule type="cellIs" dxfId="23426" priority="8010" stopIfTrue="1" operator="equal">
      <formula>"Towel"</formula>
    </cfRule>
    <cfRule type="cellIs" dxfId="23425" priority="8011" stopIfTrue="1" operator="equal">
      <formula>"Napkin Hs"</formula>
    </cfRule>
    <cfRule type="cellIs" dxfId="23424" priority="8016" stopIfTrue="1" operator="equal">
      <formula>"Towel"</formula>
    </cfRule>
    <cfRule type="cellIs" dxfId="23423" priority="8017" stopIfTrue="1" operator="equal">
      <formula>"Napkin Hs"</formula>
    </cfRule>
    <cfRule type="cellIs" dxfId="23422" priority="8018" stopIfTrue="1" operator="equal">
      <formula>"Towel"</formula>
    </cfRule>
    <cfRule type="cellIs" dxfId="23421" priority="8019" stopIfTrue="1" operator="equal">
      <formula>"Napkin Hs"</formula>
    </cfRule>
    <cfRule type="cellIs" dxfId="23420" priority="8022" stopIfTrue="1" operator="equal">
      <formula>"Towel"</formula>
    </cfRule>
    <cfRule type="cellIs" dxfId="23419" priority="8023" stopIfTrue="1" operator="equal">
      <formula>"Napkin Hs"</formula>
    </cfRule>
    <cfRule type="cellIs" dxfId="23418" priority="8024" stopIfTrue="1" operator="equal">
      <formula>"Towel"</formula>
    </cfRule>
    <cfRule type="cellIs" dxfId="23417" priority="8025" stopIfTrue="1" operator="equal">
      <formula>"Napkin Hs"</formula>
    </cfRule>
    <cfRule type="cellIs" dxfId="23416" priority="8026" stopIfTrue="1" operator="equal">
      <formula>"Towel"</formula>
    </cfRule>
    <cfRule type="cellIs" dxfId="23415" priority="8027" stopIfTrue="1" operator="equal">
      <formula>"Napkin Hs"</formula>
    </cfRule>
    <cfRule type="cellIs" dxfId="23414" priority="8028" stopIfTrue="1" operator="equal">
      <formula>"Towel"</formula>
    </cfRule>
    <cfRule type="cellIs" dxfId="23413" priority="8029" stopIfTrue="1" operator="equal">
      <formula>"Napkin Hs"</formula>
    </cfRule>
    <cfRule type="cellIs" dxfId="23412" priority="8034" stopIfTrue="1" operator="equal">
      <formula>"Towel"</formula>
    </cfRule>
    <cfRule type="cellIs" dxfId="23411" priority="8035" stopIfTrue="1" operator="equal">
      <formula>"Napkin Hs"</formula>
    </cfRule>
    <cfRule type="cellIs" dxfId="23410" priority="8036" stopIfTrue="1" operator="equal">
      <formula>"Towel"</formula>
    </cfRule>
    <cfRule type="cellIs" dxfId="23409" priority="8037" stopIfTrue="1" operator="equal">
      <formula>"Napkin Hs"</formula>
    </cfRule>
    <cfRule type="cellIs" dxfId="23408" priority="8040" stopIfTrue="1" operator="equal">
      <formula>"Towel"</formula>
    </cfRule>
    <cfRule type="cellIs" dxfId="23407" priority="8041" stopIfTrue="1" operator="equal">
      <formula>"Napkin Hs"</formula>
    </cfRule>
    <cfRule type="cellIs" dxfId="23406" priority="8042" stopIfTrue="1" operator="equal">
      <formula>"Towel"</formula>
    </cfRule>
    <cfRule type="cellIs" dxfId="23405" priority="8043" stopIfTrue="1" operator="equal">
      <formula>"Napkin Hs"</formula>
    </cfRule>
  </conditionalFormatting>
  <conditionalFormatting sqref="C93">
    <cfRule type="cellIs" dxfId="23404" priority="7947" stopIfTrue="1" operator="equal">
      <formula>"Napkin Hs"</formula>
    </cfRule>
  </conditionalFormatting>
  <conditionalFormatting sqref="C93">
    <cfRule type="cellIs" dxfId="23403" priority="7946" stopIfTrue="1" operator="equal">
      <formula>"Napkin Hs"</formula>
    </cfRule>
  </conditionalFormatting>
  <conditionalFormatting sqref="C93">
    <cfRule type="cellIs" dxfId="23402" priority="7945" stopIfTrue="1" operator="equal">
      <formula>"Napkin Hs"</formula>
    </cfRule>
  </conditionalFormatting>
  <conditionalFormatting sqref="C93">
    <cfRule type="cellIs" dxfId="23401" priority="7944" stopIfTrue="1" operator="equal">
      <formula>"Napkin Hs"</formula>
    </cfRule>
  </conditionalFormatting>
  <conditionalFormatting sqref="C93">
    <cfRule type="cellIs" dxfId="23400" priority="7943" stopIfTrue="1" operator="equal">
      <formula>"Napkin Hs"</formula>
    </cfRule>
  </conditionalFormatting>
  <conditionalFormatting sqref="C93">
    <cfRule type="cellIs" dxfId="23399" priority="7942" stopIfTrue="1" operator="equal">
      <formula>"Napkin Hs"</formula>
    </cfRule>
  </conditionalFormatting>
  <conditionalFormatting sqref="C93">
    <cfRule type="cellIs" dxfId="23398" priority="7938" stopIfTrue="1" operator="equal">
      <formula>"Towel"</formula>
    </cfRule>
    <cfRule type="cellIs" dxfId="23397" priority="7939" stopIfTrue="1" operator="equal">
      <formula>"Napkin Hs"</formula>
    </cfRule>
  </conditionalFormatting>
  <conditionalFormatting sqref="C93">
    <cfRule type="cellIs" dxfId="23396" priority="7940" stopIfTrue="1" operator="equal">
      <formula>"Towel"</formula>
    </cfRule>
    <cfRule type="cellIs" dxfId="23395" priority="7941" stopIfTrue="1" operator="equal">
      <formula>"Napkin Hs"</formula>
    </cfRule>
  </conditionalFormatting>
  <conditionalFormatting sqref="C93">
    <cfRule type="cellIs" dxfId="23394" priority="7934" stopIfTrue="1" operator="equal">
      <formula>"Towel"</formula>
    </cfRule>
    <cfRule type="cellIs" dxfId="23393" priority="7935" stopIfTrue="1" operator="equal">
      <formula>"Napkin Hs"</formula>
    </cfRule>
  </conditionalFormatting>
  <conditionalFormatting sqref="C93">
    <cfRule type="cellIs" dxfId="23392" priority="7936" stopIfTrue="1" operator="equal">
      <formula>"Towel"</formula>
    </cfRule>
    <cfRule type="cellIs" dxfId="23391" priority="7937" stopIfTrue="1" operator="equal">
      <formula>"Napkin Hs"</formula>
    </cfRule>
  </conditionalFormatting>
  <conditionalFormatting sqref="C100">
    <cfRule type="cellIs" dxfId="23390" priority="7879" stopIfTrue="1" operator="equal">
      <formula>"Towel"</formula>
    </cfRule>
    <cfRule type="cellIs" dxfId="23389" priority="7880" stopIfTrue="1" operator="equal">
      <formula>"Napkin Hs"</formula>
    </cfRule>
  </conditionalFormatting>
  <conditionalFormatting sqref="C100">
    <cfRule type="cellIs" dxfId="23388" priority="7881" stopIfTrue="1" operator="equal">
      <formula>"Towel"</formula>
    </cfRule>
    <cfRule type="cellIs" dxfId="23387" priority="7882" stopIfTrue="1" operator="equal">
      <formula>"Napkin Hs"</formula>
    </cfRule>
  </conditionalFormatting>
  <conditionalFormatting sqref="C100">
    <cfRule type="cellIs" dxfId="23386" priority="7877" stopIfTrue="1" operator="equal">
      <formula>"Towel"</formula>
    </cfRule>
    <cfRule type="cellIs" dxfId="23385" priority="7878" stopIfTrue="1" operator="equal">
      <formula>"Napkin Hs"</formula>
    </cfRule>
  </conditionalFormatting>
  <conditionalFormatting sqref="C100">
    <cfRule type="cellIs" dxfId="23384" priority="7871" stopIfTrue="1" operator="equal">
      <formula>"Towel"</formula>
    </cfRule>
    <cfRule type="cellIs" dxfId="23383" priority="7872" stopIfTrue="1" operator="equal">
      <formula>"Napkin Hs"</formula>
    </cfRule>
  </conditionalFormatting>
  <conditionalFormatting sqref="C100">
    <cfRule type="cellIs" dxfId="23382" priority="7873" stopIfTrue="1" operator="equal">
      <formula>"Towel"</formula>
    </cfRule>
    <cfRule type="cellIs" dxfId="23381" priority="7874" stopIfTrue="1" operator="equal">
      <formula>"Napkin Hs"</formula>
    </cfRule>
  </conditionalFormatting>
  <conditionalFormatting sqref="C100">
    <cfRule type="cellIs" dxfId="23380" priority="7875" stopIfTrue="1" operator="equal">
      <formula>"Towel"</formula>
    </cfRule>
    <cfRule type="cellIs" dxfId="23379" priority="7876" stopIfTrue="1" operator="equal">
      <formula>"Napkin Hs"</formula>
    </cfRule>
  </conditionalFormatting>
  <conditionalFormatting sqref="B100">
    <cfRule type="cellIs" dxfId="23378" priority="7869" stopIfTrue="1" operator="equal">
      <formula>"Towel"</formula>
    </cfRule>
    <cfRule type="cellIs" dxfId="23377" priority="7870" stopIfTrue="1" operator="equal">
      <formula>"Napkin Hs"</formula>
    </cfRule>
  </conditionalFormatting>
  <conditionalFormatting sqref="B100">
    <cfRule type="cellIs" dxfId="23376" priority="7867" stopIfTrue="1" operator="equal">
      <formula>"Towel"</formula>
    </cfRule>
    <cfRule type="cellIs" dxfId="23375" priority="7868" stopIfTrue="1" operator="equal">
      <formula>"Napkin Hs"</formula>
    </cfRule>
  </conditionalFormatting>
  <conditionalFormatting sqref="C99">
    <cfRule type="cellIs" dxfId="23374" priority="7859" stopIfTrue="1" operator="equal">
      <formula>"Towel"</formula>
    </cfRule>
    <cfRule type="cellIs" dxfId="23373" priority="7860" stopIfTrue="1" operator="equal">
      <formula>"Napkin Hs"</formula>
    </cfRule>
  </conditionalFormatting>
  <conditionalFormatting sqref="B99:C99">
    <cfRule type="cellIs" dxfId="23372" priority="7861" stopIfTrue="1" operator="equal">
      <formula>"Towel"</formula>
    </cfRule>
    <cfRule type="cellIs" dxfId="23371" priority="7862" stopIfTrue="1" operator="equal">
      <formula>"Napkin Hs"</formula>
    </cfRule>
  </conditionalFormatting>
  <conditionalFormatting sqref="C99">
    <cfRule type="cellIs" dxfId="23370" priority="7857" stopIfTrue="1" operator="equal">
      <formula>"Towel"</formula>
    </cfRule>
    <cfRule type="cellIs" dxfId="23369" priority="7858" stopIfTrue="1" operator="equal">
      <formula>"Napkin Hs"</formula>
    </cfRule>
  </conditionalFormatting>
  <conditionalFormatting sqref="B99:C99">
    <cfRule type="cellIs" dxfId="23368" priority="7855" stopIfTrue="1" operator="equal">
      <formula>"Towel"</formula>
    </cfRule>
    <cfRule type="cellIs" dxfId="23367" priority="7856" stopIfTrue="1" operator="equal">
      <formula>"Napkin Hs"</formula>
    </cfRule>
  </conditionalFormatting>
  <conditionalFormatting sqref="C99">
    <cfRule type="cellIs" dxfId="23366" priority="7863" stopIfTrue="1" operator="equal">
      <formula>"Towel"</formula>
    </cfRule>
    <cfRule type="cellIs" dxfId="23365" priority="7864" stopIfTrue="1" operator="equal">
      <formula>"Napkin Hs"</formula>
    </cfRule>
  </conditionalFormatting>
  <conditionalFormatting sqref="C99">
    <cfRule type="cellIs" dxfId="23364" priority="7865" stopIfTrue="1" operator="equal">
      <formula>"Towel"</formula>
    </cfRule>
    <cfRule type="cellIs" dxfId="23363" priority="7866" stopIfTrue="1" operator="equal">
      <formula>"Napkin Hs"</formula>
    </cfRule>
  </conditionalFormatting>
  <conditionalFormatting sqref="C99:C100">
    <cfRule type="cellIs" dxfId="23362" priority="7851" stopIfTrue="1" operator="equal">
      <formula>"Towel"</formula>
    </cfRule>
    <cfRule type="cellIs" dxfId="23361" priority="7852" stopIfTrue="1" operator="equal">
      <formula>"Napkin Hs"</formula>
    </cfRule>
  </conditionalFormatting>
  <conditionalFormatting sqref="C99:C100">
    <cfRule type="cellIs" dxfId="23360" priority="7853" stopIfTrue="1" operator="equal">
      <formula>"Towel"</formula>
    </cfRule>
    <cfRule type="cellIs" dxfId="23359" priority="7854" stopIfTrue="1" operator="equal">
      <formula>"Napkin Hs"</formula>
    </cfRule>
  </conditionalFormatting>
  <conditionalFormatting sqref="C99:C100">
    <cfRule type="cellIs" dxfId="23358" priority="7849" stopIfTrue="1" operator="equal">
      <formula>"Towel"</formula>
    </cfRule>
    <cfRule type="cellIs" dxfId="23357" priority="7850" stopIfTrue="1" operator="equal">
      <formula>"Napkin Hs"</formula>
    </cfRule>
  </conditionalFormatting>
  <conditionalFormatting sqref="B99:B100">
    <cfRule type="cellIs" dxfId="23356" priority="7847" stopIfTrue="1" operator="equal">
      <formula>"Towel"</formula>
    </cfRule>
    <cfRule type="cellIs" dxfId="23355" priority="7848" stopIfTrue="1" operator="equal">
      <formula>"Napkin Hs"</formula>
    </cfRule>
  </conditionalFormatting>
  <conditionalFormatting sqref="C99:C100">
    <cfRule type="cellIs" dxfId="23354" priority="7841" stopIfTrue="1" operator="equal">
      <formula>"Towel"</formula>
    </cfRule>
    <cfRule type="cellIs" dxfId="23353" priority="7842" stopIfTrue="1" operator="equal">
      <formula>"Napkin Hs"</formula>
    </cfRule>
  </conditionalFormatting>
  <conditionalFormatting sqref="C99:C100">
    <cfRule type="cellIs" dxfId="23352" priority="7845" stopIfTrue="1" operator="equal">
      <formula>"Towel"</formula>
    </cfRule>
    <cfRule type="cellIs" dxfId="23351" priority="7846" stopIfTrue="1" operator="equal">
      <formula>"Napkin Hs"</formula>
    </cfRule>
  </conditionalFormatting>
  <conditionalFormatting sqref="C99:C100">
    <cfRule type="cellIs" dxfId="23350" priority="7843" stopIfTrue="1" operator="equal">
      <formula>"Towel"</formula>
    </cfRule>
    <cfRule type="cellIs" dxfId="23349" priority="7844" stopIfTrue="1" operator="equal">
      <formula>"Napkin Hs"</formula>
    </cfRule>
  </conditionalFormatting>
  <conditionalFormatting sqref="C99:C100">
    <cfRule type="cellIs" dxfId="23348" priority="7835" stopIfTrue="1" operator="equal">
      <formula>"Towel"</formula>
    </cfRule>
    <cfRule type="cellIs" dxfId="23347" priority="7836" stopIfTrue="1" operator="equal">
      <formula>"Napkin Hs"</formula>
    </cfRule>
  </conditionalFormatting>
  <conditionalFormatting sqref="C99:C100">
    <cfRule type="cellIs" dxfId="23346" priority="7837" stopIfTrue="1" operator="equal">
      <formula>"Towel"</formula>
    </cfRule>
    <cfRule type="cellIs" dxfId="23345" priority="7838" stopIfTrue="1" operator="equal">
      <formula>"Napkin Hs"</formula>
    </cfRule>
  </conditionalFormatting>
  <conditionalFormatting sqref="C99:C100">
    <cfRule type="cellIs" dxfId="23344" priority="7839" stopIfTrue="1" operator="equal">
      <formula>"Towel"</formula>
    </cfRule>
    <cfRule type="cellIs" dxfId="23343" priority="7840" stopIfTrue="1" operator="equal">
      <formula>"Napkin Hs"</formula>
    </cfRule>
  </conditionalFormatting>
  <conditionalFormatting sqref="B99:C100">
    <cfRule type="cellIs" dxfId="23342" priority="7833" stopIfTrue="1" operator="equal">
      <formula>"Towel"</formula>
    </cfRule>
    <cfRule type="cellIs" dxfId="23341" priority="7834" stopIfTrue="1" operator="equal">
      <formula>"Napkin Hs"</formula>
    </cfRule>
  </conditionalFormatting>
  <conditionalFormatting sqref="B99:C100">
    <cfRule type="cellIs" dxfId="23340" priority="7831" stopIfTrue="1" operator="equal">
      <formula>"Towel"</formula>
    </cfRule>
    <cfRule type="cellIs" dxfId="23339" priority="7832" stopIfTrue="1" operator="equal">
      <formula>"Napkin Hs"</formula>
    </cfRule>
  </conditionalFormatting>
  <conditionalFormatting sqref="B99:C100">
    <cfRule type="cellIs" dxfId="23338" priority="7807" stopIfTrue="1" operator="equal">
      <formula>"Towel"</formula>
    </cfRule>
  </conditionalFormatting>
  <conditionalFormatting sqref="B99:C100">
    <cfRule type="cellIs" dxfId="23337" priority="7808" stopIfTrue="1" operator="equal">
      <formula>"Napkin Hs"</formula>
    </cfRule>
    <cfRule type="cellIs" dxfId="23336" priority="7813" stopIfTrue="1" operator="equal">
      <formula>"Towel"</formula>
    </cfRule>
    <cfRule type="cellIs" dxfId="23335" priority="7814" stopIfTrue="1" operator="equal">
      <formula>"Napkin Hs"</formula>
    </cfRule>
    <cfRule type="cellIs" dxfId="23334" priority="7823" stopIfTrue="1" operator="equal">
      <formula>"Towel"</formula>
    </cfRule>
    <cfRule type="cellIs" dxfId="23333" priority="7824" stopIfTrue="1" operator="equal">
      <formula>"Napkin Hs"</formula>
    </cfRule>
    <cfRule type="cellIs" dxfId="23332" priority="7829" stopIfTrue="1" operator="equal">
      <formula>"Towel"</formula>
    </cfRule>
    <cfRule type="cellIs" dxfId="23331" priority="7830" stopIfTrue="1" operator="equal">
      <formula>"Napkin Hs"</formula>
    </cfRule>
  </conditionalFormatting>
  <conditionalFormatting sqref="C99:C100">
    <cfRule type="cellIs" dxfId="23330" priority="7809" stopIfTrue="1" operator="equal">
      <formula>"Towel"</formula>
    </cfRule>
    <cfRule type="cellIs" dxfId="23329" priority="7810" stopIfTrue="1" operator="equal">
      <formula>"Napkin Hs"</formula>
    </cfRule>
    <cfRule type="cellIs" dxfId="23328" priority="7811" stopIfTrue="1" operator="equal">
      <formula>"Towel"</formula>
    </cfRule>
    <cfRule type="cellIs" dxfId="23327" priority="7812" stopIfTrue="1" operator="equal">
      <formula>"Napkin Hs"</formula>
    </cfRule>
    <cfRule type="cellIs" dxfId="23326" priority="7815" stopIfTrue="1" operator="equal">
      <formula>"Towel"</formula>
    </cfRule>
    <cfRule type="cellIs" dxfId="23325" priority="7816" stopIfTrue="1" operator="equal">
      <formula>"Napkin Hs"</formula>
    </cfRule>
    <cfRule type="cellIs" dxfId="23324" priority="7817" stopIfTrue="1" operator="equal">
      <formula>"Towel"</formula>
    </cfRule>
    <cfRule type="cellIs" dxfId="23323" priority="7818" stopIfTrue="1" operator="equal">
      <formula>"Napkin Hs"</formula>
    </cfRule>
    <cfRule type="cellIs" dxfId="23322" priority="7819" stopIfTrue="1" operator="equal">
      <formula>"Towel"</formula>
    </cfRule>
    <cfRule type="cellIs" dxfId="23321" priority="7820" stopIfTrue="1" operator="equal">
      <formula>"Napkin Hs"</formula>
    </cfRule>
    <cfRule type="cellIs" dxfId="23320" priority="7821" stopIfTrue="1" operator="equal">
      <formula>"Towel"</formula>
    </cfRule>
    <cfRule type="cellIs" dxfId="23319" priority="7822" stopIfTrue="1" operator="equal">
      <formula>"Napkin Hs"</formula>
    </cfRule>
    <cfRule type="cellIs" dxfId="23318" priority="7825" stopIfTrue="1" operator="equal">
      <formula>"Towel"</formula>
    </cfRule>
    <cfRule type="cellIs" dxfId="23317" priority="7826" stopIfTrue="1" operator="equal">
      <formula>"Napkin Hs"</formula>
    </cfRule>
    <cfRule type="cellIs" dxfId="23316" priority="7828" stopIfTrue="1" operator="equal">
      <formula>"Napkin Hs"</formula>
    </cfRule>
  </conditionalFormatting>
  <conditionalFormatting sqref="C99:C100">
    <cfRule type="cellIs" dxfId="23315" priority="7827" stopIfTrue="1" operator="equal">
      <formula>"Towel"</formula>
    </cfRule>
  </conditionalFormatting>
  <conditionalFormatting sqref="B99:C100">
    <cfRule type="cellIs" dxfId="23314" priority="7805" stopIfTrue="1" operator="equal">
      <formula>"Towel"</formula>
    </cfRule>
    <cfRule type="cellIs" dxfId="23313" priority="7806" stopIfTrue="1" operator="equal">
      <formula>"Napkin Hs"</formula>
    </cfRule>
  </conditionalFormatting>
  <conditionalFormatting sqref="C99:C100">
    <cfRule type="cellIs" dxfId="23312" priority="7804" stopIfTrue="1" operator="equal">
      <formula>"Napkin Hs"</formula>
    </cfRule>
  </conditionalFormatting>
  <conditionalFormatting sqref="C99:C100">
    <cfRule type="cellIs" dxfId="23311" priority="7803" stopIfTrue="1" operator="equal">
      <formula>"Towel"</formula>
    </cfRule>
  </conditionalFormatting>
  <conditionalFormatting sqref="C99:C100">
    <cfRule type="cellIs" dxfId="23310" priority="7801" stopIfTrue="1" operator="equal">
      <formula>"Towel"</formula>
    </cfRule>
  </conditionalFormatting>
  <conditionalFormatting sqref="C99:C100">
    <cfRule type="cellIs" dxfId="23309" priority="7802" stopIfTrue="1" operator="equal">
      <formula>"Napkin Hs"</formula>
    </cfRule>
  </conditionalFormatting>
  <conditionalFormatting sqref="B99:B100">
    <cfRule type="cellIs" dxfId="23308" priority="7705" stopIfTrue="1" operator="equal">
      <formula>"Napkin Hs"</formula>
    </cfRule>
  </conditionalFormatting>
  <conditionalFormatting sqref="B99:C100">
    <cfRule type="cellIs" dxfId="23307" priority="7704" stopIfTrue="1" operator="equal">
      <formula>"Towel"</formula>
    </cfRule>
  </conditionalFormatting>
  <conditionalFormatting sqref="B99:C100">
    <cfRule type="cellIs" dxfId="23306" priority="7715" stopIfTrue="1" operator="equal">
      <formula>"Towel"</formula>
    </cfRule>
    <cfRule type="cellIs" dxfId="23305" priority="7716" stopIfTrue="1" operator="equal">
      <formula>"Napkin Hs"</formula>
    </cfRule>
    <cfRule type="cellIs" dxfId="23304" priority="7721" stopIfTrue="1" operator="equal">
      <formula>"Towel"</formula>
    </cfRule>
    <cfRule type="cellIs" dxfId="23303" priority="7722" stopIfTrue="1" operator="equal">
      <formula>"Napkin Hs"</formula>
    </cfRule>
    <cfRule type="cellIs" dxfId="23302" priority="7727" stopIfTrue="1" operator="equal">
      <formula>"Towel"</formula>
    </cfRule>
    <cfRule type="cellIs" dxfId="23301" priority="7728" stopIfTrue="1" operator="equal">
      <formula>"Napkin Hs"</formula>
    </cfRule>
    <cfRule type="cellIs" dxfId="23300" priority="7729" stopIfTrue="1" operator="equal">
      <formula>"Towel"</formula>
    </cfRule>
    <cfRule type="cellIs" dxfId="23299" priority="7730" stopIfTrue="1" operator="equal">
      <formula>"Napkin Hs"</formula>
    </cfRule>
    <cfRule type="cellIs" dxfId="23298" priority="7735" stopIfTrue="1" operator="equal">
      <formula>"Towel"</formula>
    </cfRule>
    <cfRule type="cellIs" dxfId="23297" priority="7736" stopIfTrue="1" operator="equal">
      <formula>"Napkin Hs"</formula>
    </cfRule>
    <cfRule type="cellIs" dxfId="23296" priority="7745" stopIfTrue="1" operator="equal">
      <formula>"Towel"</formula>
    </cfRule>
    <cfRule type="cellIs" dxfId="23295" priority="7746" stopIfTrue="1" operator="equal">
      <formula>"Napkin Hs"</formula>
    </cfRule>
    <cfRule type="cellIs" dxfId="23294" priority="7751" stopIfTrue="1" operator="equal">
      <formula>"Towel"</formula>
    </cfRule>
    <cfRule type="cellIs" dxfId="23293" priority="7752" stopIfTrue="1" operator="equal">
      <formula>"Napkin Hs"</formula>
    </cfRule>
    <cfRule type="cellIs" dxfId="23292" priority="7753" stopIfTrue="1" operator="equal">
      <formula>"Towel"</formula>
    </cfRule>
    <cfRule type="cellIs" dxfId="23291" priority="7754" stopIfTrue="1" operator="equal">
      <formula>"Napkin Hs"</formula>
    </cfRule>
    <cfRule type="cellIs" dxfId="23290" priority="7759" stopIfTrue="1" operator="equal">
      <formula>"Towel"</formula>
    </cfRule>
    <cfRule type="cellIs" dxfId="23289" priority="7760" stopIfTrue="1" operator="equal">
      <formula>"Napkin Hs"</formula>
    </cfRule>
    <cfRule type="cellIs" dxfId="23288" priority="7769" stopIfTrue="1" operator="equal">
      <formula>"Towel"</formula>
    </cfRule>
    <cfRule type="cellIs" dxfId="23287" priority="7770" stopIfTrue="1" operator="equal">
      <formula>"Napkin Hs"</formula>
    </cfRule>
    <cfRule type="cellIs" dxfId="23286" priority="7771" stopIfTrue="1" operator="equal">
      <formula>"Towel"</formula>
    </cfRule>
    <cfRule type="cellIs" dxfId="23285" priority="7772" stopIfTrue="1" operator="equal">
      <formula>"Napkin Hs"</formula>
    </cfRule>
    <cfRule type="cellIs" dxfId="23284" priority="7777" stopIfTrue="1" operator="equal">
      <formula>"Towel"</formula>
    </cfRule>
    <cfRule type="cellIs" dxfId="23283" priority="7778" stopIfTrue="1" operator="equal">
      <formula>"Napkin Hs"</formula>
    </cfRule>
    <cfRule type="cellIs" dxfId="23282" priority="7787" stopIfTrue="1" operator="equal">
      <formula>"Towel"</formula>
    </cfRule>
    <cfRule type="cellIs" dxfId="23281" priority="7788" stopIfTrue="1" operator="equal">
      <formula>"Napkin Hs"</formula>
    </cfRule>
    <cfRule type="cellIs" dxfId="23280" priority="7789" stopIfTrue="1" operator="equal">
      <formula>"Towel"</formula>
    </cfRule>
    <cfRule type="cellIs" dxfId="23279" priority="7790" stopIfTrue="1" operator="equal">
      <formula>"Napkin Hs"</formula>
    </cfRule>
    <cfRule type="cellIs" dxfId="23278" priority="7796" stopIfTrue="1" operator="equal">
      <formula>"Napkin Hs"</formula>
    </cfRule>
  </conditionalFormatting>
  <conditionalFormatting sqref="B99:C100">
    <cfRule type="cellIs" dxfId="23277" priority="7795" stopIfTrue="1" operator="equal">
      <formula>"Towel"</formula>
    </cfRule>
  </conditionalFormatting>
  <conditionalFormatting sqref="C99:C100">
    <cfRule type="cellIs" dxfId="23276" priority="7706" stopIfTrue="1" operator="equal">
      <formula>"Napkin Hs"</formula>
    </cfRule>
    <cfRule type="cellIs" dxfId="23275" priority="7707" stopIfTrue="1" operator="equal">
      <formula>"Towel"</formula>
    </cfRule>
    <cfRule type="cellIs" dxfId="23274" priority="7708" stopIfTrue="1" operator="equal">
      <formula>"Napkin Hs"</formula>
    </cfRule>
    <cfRule type="cellIs" dxfId="23273" priority="7709" stopIfTrue="1" operator="equal">
      <formula>"Towel"</formula>
    </cfRule>
    <cfRule type="cellIs" dxfId="23272" priority="7710" stopIfTrue="1" operator="equal">
      <formula>"Napkin Hs"</formula>
    </cfRule>
    <cfRule type="cellIs" dxfId="23271" priority="7711" stopIfTrue="1" operator="equal">
      <formula>"Towel"</formula>
    </cfRule>
    <cfRule type="cellIs" dxfId="23270" priority="7712" stopIfTrue="1" operator="equal">
      <formula>"Napkin Hs"</formula>
    </cfRule>
    <cfRule type="cellIs" dxfId="23269" priority="7713" stopIfTrue="1" operator="equal">
      <formula>"Towel"</formula>
    </cfRule>
    <cfRule type="cellIs" dxfId="23268" priority="7714" stopIfTrue="1" operator="equal">
      <formula>"Napkin Hs"</formula>
    </cfRule>
    <cfRule type="cellIs" dxfId="23267" priority="7717" stopIfTrue="1" operator="equal">
      <formula>"Towel"</formula>
    </cfRule>
    <cfRule type="cellIs" dxfId="23266" priority="7718" stopIfTrue="1" operator="equal">
      <formula>"Napkin Hs"</formula>
    </cfRule>
    <cfRule type="cellIs" dxfId="23265" priority="7719" stopIfTrue="1" operator="equal">
      <formula>"Towel"</formula>
    </cfRule>
    <cfRule type="cellIs" dxfId="23264" priority="7720" stopIfTrue="1" operator="equal">
      <formula>"Napkin Hs"</formula>
    </cfRule>
    <cfRule type="cellIs" dxfId="23263" priority="7723" stopIfTrue="1" operator="equal">
      <formula>"Towel"</formula>
    </cfRule>
    <cfRule type="cellIs" dxfId="23262" priority="7724" stopIfTrue="1" operator="equal">
      <formula>"Napkin Hs"</formula>
    </cfRule>
    <cfRule type="cellIs" dxfId="23261" priority="7725" stopIfTrue="1" operator="equal">
      <formula>"Towel"</formula>
    </cfRule>
    <cfRule type="cellIs" dxfId="23260" priority="7726" stopIfTrue="1" operator="equal">
      <formula>"Napkin Hs"</formula>
    </cfRule>
    <cfRule type="cellIs" dxfId="23259" priority="7731" stopIfTrue="1" operator="equal">
      <formula>"Towel"</formula>
    </cfRule>
    <cfRule type="cellIs" dxfId="23258" priority="7732" stopIfTrue="1" operator="equal">
      <formula>"Napkin Hs"</formula>
    </cfRule>
    <cfRule type="cellIs" dxfId="23257" priority="7733" stopIfTrue="1" operator="equal">
      <formula>"Towel"</formula>
    </cfRule>
    <cfRule type="cellIs" dxfId="23256" priority="7734" stopIfTrue="1" operator="equal">
      <formula>"Napkin Hs"</formula>
    </cfRule>
    <cfRule type="cellIs" dxfId="23255" priority="7737" stopIfTrue="1" operator="equal">
      <formula>"Towel"</formula>
    </cfRule>
    <cfRule type="cellIs" dxfId="23254" priority="7738" stopIfTrue="1" operator="equal">
      <formula>"Napkin Hs"</formula>
    </cfRule>
    <cfRule type="cellIs" dxfId="23253" priority="7739" stopIfTrue="1" operator="equal">
      <formula>"Towel"</formula>
    </cfRule>
    <cfRule type="cellIs" dxfId="23252" priority="7740" stopIfTrue="1" operator="equal">
      <formula>"Napkin Hs"</formula>
    </cfRule>
    <cfRule type="cellIs" dxfId="23251" priority="7741" stopIfTrue="1" operator="equal">
      <formula>"Towel"</formula>
    </cfRule>
    <cfRule type="cellIs" dxfId="23250" priority="7742" stopIfTrue="1" operator="equal">
      <formula>"Napkin Hs"</formula>
    </cfRule>
    <cfRule type="cellIs" dxfId="23249" priority="7743" stopIfTrue="1" operator="equal">
      <formula>"Towel"</formula>
    </cfRule>
    <cfRule type="cellIs" dxfId="23248" priority="7744" stopIfTrue="1" operator="equal">
      <formula>"Napkin Hs"</formula>
    </cfRule>
    <cfRule type="cellIs" dxfId="23247" priority="7747" stopIfTrue="1" operator="equal">
      <formula>"Towel"</formula>
    </cfRule>
    <cfRule type="cellIs" dxfId="23246" priority="7748" stopIfTrue="1" operator="equal">
      <formula>"Napkin Hs"</formula>
    </cfRule>
    <cfRule type="cellIs" dxfId="23245" priority="7749" stopIfTrue="1" operator="equal">
      <formula>"Towel"</formula>
    </cfRule>
    <cfRule type="cellIs" dxfId="23244" priority="7750" stopIfTrue="1" operator="equal">
      <formula>"Napkin Hs"</formula>
    </cfRule>
    <cfRule type="cellIs" dxfId="23243" priority="7755" stopIfTrue="1" operator="equal">
      <formula>"Towel"</formula>
    </cfRule>
    <cfRule type="cellIs" dxfId="23242" priority="7756" stopIfTrue="1" operator="equal">
      <formula>"Napkin Hs"</formula>
    </cfRule>
    <cfRule type="cellIs" dxfId="23241" priority="7757" stopIfTrue="1" operator="equal">
      <formula>"Towel"</formula>
    </cfRule>
    <cfRule type="cellIs" dxfId="23240" priority="7758" stopIfTrue="1" operator="equal">
      <formula>"Napkin Hs"</formula>
    </cfRule>
    <cfRule type="cellIs" dxfId="23239" priority="7761" stopIfTrue="1" operator="equal">
      <formula>"Towel"</formula>
    </cfRule>
    <cfRule type="cellIs" dxfId="23238" priority="7762" stopIfTrue="1" operator="equal">
      <formula>"Napkin Hs"</formula>
    </cfRule>
    <cfRule type="cellIs" dxfId="23237" priority="7763" stopIfTrue="1" operator="equal">
      <formula>"Towel"</formula>
    </cfRule>
    <cfRule type="cellIs" dxfId="23236" priority="7764" stopIfTrue="1" operator="equal">
      <formula>"Napkin Hs"</formula>
    </cfRule>
    <cfRule type="cellIs" dxfId="23235" priority="7765" stopIfTrue="1" operator="equal">
      <formula>"Towel"</formula>
    </cfRule>
    <cfRule type="cellIs" dxfId="23234" priority="7766" stopIfTrue="1" operator="equal">
      <formula>"Napkin Hs"</formula>
    </cfRule>
    <cfRule type="cellIs" dxfId="23233" priority="7767" stopIfTrue="1" operator="equal">
      <formula>"Towel"</formula>
    </cfRule>
    <cfRule type="cellIs" dxfId="23232" priority="7768" stopIfTrue="1" operator="equal">
      <formula>"Napkin Hs"</formula>
    </cfRule>
    <cfRule type="cellIs" dxfId="23231" priority="7773" stopIfTrue="1" operator="equal">
      <formula>"Towel"</formula>
    </cfRule>
    <cfRule type="cellIs" dxfId="23230" priority="7774" stopIfTrue="1" operator="equal">
      <formula>"Napkin Hs"</formula>
    </cfRule>
    <cfRule type="cellIs" dxfId="23229" priority="7775" stopIfTrue="1" operator="equal">
      <formula>"Towel"</formula>
    </cfRule>
    <cfRule type="cellIs" dxfId="23228" priority="7776" stopIfTrue="1" operator="equal">
      <formula>"Napkin Hs"</formula>
    </cfRule>
    <cfRule type="cellIs" dxfId="23227" priority="7779" stopIfTrue="1" operator="equal">
      <formula>"Towel"</formula>
    </cfRule>
    <cfRule type="cellIs" dxfId="23226" priority="7780" stopIfTrue="1" operator="equal">
      <formula>"Napkin Hs"</formula>
    </cfRule>
    <cfRule type="cellIs" dxfId="23225" priority="7781" stopIfTrue="1" operator="equal">
      <formula>"Towel"</formula>
    </cfRule>
    <cfRule type="cellIs" dxfId="23224" priority="7782" stopIfTrue="1" operator="equal">
      <formula>"Napkin Hs"</formula>
    </cfRule>
    <cfRule type="cellIs" dxfId="23223" priority="7783" stopIfTrue="1" operator="equal">
      <formula>"Towel"</formula>
    </cfRule>
    <cfRule type="cellIs" dxfId="23222" priority="7784" stopIfTrue="1" operator="equal">
      <formula>"Napkin Hs"</formula>
    </cfRule>
    <cfRule type="cellIs" dxfId="23221" priority="7785" stopIfTrue="1" operator="equal">
      <formula>"Towel"</formula>
    </cfRule>
    <cfRule type="cellIs" dxfId="23220" priority="7786" stopIfTrue="1" operator="equal">
      <formula>"Napkin Hs"</formula>
    </cfRule>
    <cfRule type="cellIs" dxfId="23219" priority="7791" stopIfTrue="1" operator="equal">
      <formula>"Towel"</formula>
    </cfRule>
    <cfRule type="cellIs" dxfId="23218" priority="7792" stopIfTrue="1" operator="equal">
      <formula>"Napkin Hs"</formula>
    </cfRule>
    <cfRule type="cellIs" dxfId="23217" priority="7793" stopIfTrue="1" operator="equal">
      <formula>"Towel"</formula>
    </cfRule>
    <cfRule type="cellIs" dxfId="23216" priority="7794" stopIfTrue="1" operator="equal">
      <formula>"Napkin Hs"</formula>
    </cfRule>
    <cfRule type="cellIs" dxfId="23215" priority="7797" stopIfTrue="1" operator="equal">
      <formula>"Towel"</formula>
    </cfRule>
    <cfRule type="cellIs" dxfId="23214" priority="7798" stopIfTrue="1" operator="equal">
      <formula>"Napkin Hs"</formula>
    </cfRule>
    <cfRule type="cellIs" dxfId="23213" priority="7799" stopIfTrue="1" operator="equal">
      <formula>"Towel"</formula>
    </cfRule>
    <cfRule type="cellIs" dxfId="23212" priority="7800" stopIfTrue="1" operator="equal">
      <formula>"Napkin Hs"</formula>
    </cfRule>
  </conditionalFormatting>
  <conditionalFormatting sqref="C99:C100">
    <cfRule type="cellIs" dxfId="23211" priority="7703" stopIfTrue="1" operator="equal">
      <formula>"Napkin Hs"</formula>
    </cfRule>
  </conditionalFormatting>
  <conditionalFormatting sqref="C99:C100">
    <cfRule type="cellIs" dxfId="23210" priority="7702" stopIfTrue="1" operator="equal">
      <formula>"Napkin Hs"</formula>
    </cfRule>
  </conditionalFormatting>
  <conditionalFormatting sqref="B99:B100">
    <cfRule type="cellIs" dxfId="23209" priority="7701" stopIfTrue="1" operator="equal">
      <formula>"Napkin Hs"</formula>
    </cfRule>
  </conditionalFormatting>
  <conditionalFormatting sqref="C99:C100">
    <cfRule type="cellIs" dxfId="23208" priority="7700" stopIfTrue="1" operator="equal">
      <formula>"Napkin Hs"</formula>
    </cfRule>
  </conditionalFormatting>
  <conditionalFormatting sqref="C99:C100">
    <cfRule type="cellIs" dxfId="23207" priority="7699" stopIfTrue="1" operator="equal">
      <formula>"Napkin Hs"</formula>
    </cfRule>
  </conditionalFormatting>
  <conditionalFormatting sqref="C99:C100">
    <cfRule type="cellIs" dxfId="23206" priority="7698" stopIfTrue="1" operator="equal">
      <formula>"Napkin Hs"</formula>
    </cfRule>
  </conditionalFormatting>
  <conditionalFormatting sqref="C99:C100">
    <cfRule type="cellIs" dxfId="23205" priority="7697" stopIfTrue="1" operator="equal">
      <formula>"Napkin Hs"</formula>
    </cfRule>
  </conditionalFormatting>
  <conditionalFormatting sqref="B99:B100">
    <cfRule type="cellIs" dxfId="23204" priority="7696" stopIfTrue="1" operator="equal">
      <formula>"Napkin Hs"</formula>
    </cfRule>
  </conditionalFormatting>
  <conditionalFormatting sqref="B99:B100">
    <cfRule type="cellIs" dxfId="23203" priority="7695" stopIfTrue="1" operator="equal">
      <formula>"Napkin Hs"</formula>
    </cfRule>
  </conditionalFormatting>
  <conditionalFormatting sqref="C99:C100">
    <cfRule type="cellIs" dxfId="23202" priority="7691" stopIfTrue="1" operator="equal">
      <formula>"Towel"</formula>
    </cfRule>
    <cfRule type="cellIs" dxfId="23201" priority="7692" stopIfTrue="1" operator="equal">
      <formula>"Napkin Hs"</formula>
    </cfRule>
  </conditionalFormatting>
  <conditionalFormatting sqref="C99:C100">
    <cfRule type="cellIs" dxfId="23200" priority="7693" stopIfTrue="1" operator="equal">
      <formula>"Towel"</formula>
    </cfRule>
    <cfRule type="cellIs" dxfId="23199" priority="7694" stopIfTrue="1" operator="equal">
      <formula>"Napkin Hs"</formula>
    </cfRule>
  </conditionalFormatting>
  <conditionalFormatting sqref="C99:C100">
    <cfRule type="cellIs" dxfId="23198" priority="7687" stopIfTrue="1" operator="equal">
      <formula>"Towel"</formula>
    </cfRule>
    <cfRule type="cellIs" dxfId="23197" priority="7688" stopIfTrue="1" operator="equal">
      <formula>"Napkin Hs"</formula>
    </cfRule>
  </conditionalFormatting>
  <conditionalFormatting sqref="C99:C100">
    <cfRule type="cellIs" dxfId="23196" priority="7689" stopIfTrue="1" operator="equal">
      <formula>"Towel"</formula>
    </cfRule>
    <cfRule type="cellIs" dxfId="23195" priority="7690" stopIfTrue="1" operator="equal">
      <formula>"Napkin Hs"</formula>
    </cfRule>
  </conditionalFormatting>
  <conditionalFormatting sqref="B98">
    <cfRule type="cellIs" dxfId="23194" priority="7684" stopIfTrue="1" operator="equal">
      <formula>"Napkin Hs"</formula>
    </cfRule>
  </conditionalFormatting>
  <conditionalFormatting sqref="B98">
    <cfRule type="cellIs" dxfId="23193" priority="7679" stopIfTrue="1" operator="equal">
      <formula>"Napkin Hs"</formula>
    </cfRule>
  </conditionalFormatting>
  <conditionalFormatting sqref="B98">
    <cfRule type="cellIs" dxfId="23192" priority="7678" stopIfTrue="1" operator="equal">
      <formula>"Napkin Hs"</formula>
    </cfRule>
  </conditionalFormatting>
  <conditionalFormatting sqref="C98">
    <cfRule type="cellIs" dxfId="23191" priority="7676" stopIfTrue="1" operator="equal">
      <formula>"Towel"</formula>
    </cfRule>
    <cfRule type="cellIs" dxfId="23190" priority="7677" stopIfTrue="1" operator="equal">
      <formula>"Napkin Hs"</formula>
    </cfRule>
  </conditionalFormatting>
  <conditionalFormatting sqref="C98">
    <cfRule type="cellIs" dxfId="23189" priority="7672" stopIfTrue="1" operator="equal">
      <formula>"Towel"</formula>
    </cfRule>
    <cfRule type="cellIs" dxfId="23188" priority="7673" stopIfTrue="1" operator="equal">
      <formula>"Napkin Hs"</formula>
    </cfRule>
  </conditionalFormatting>
  <conditionalFormatting sqref="C98">
    <cfRule type="cellIs" dxfId="23187" priority="7674" stopIfTrue="1" operator="equal">
      <formula>"Towel"</formula>
    </cfRule>
    <cfRule type="cellIs" dxfId="23186" priority="7675" stopIfTrue="1" operator="equal">
      <formula>"Napkin Hs"</formula>
    </cfRule>
  </conditionalFormatting>
  <conditionalFormatting sqref="C98">
    <cfRule type="cellIs" dxfId="23185" priority="7668" stopIfTrue="1" operator="equal">
      <formula>"Towel"</formula>
    </cfRule>
    <cfRule type="cellIs" dxfId="23184" priority="7669" stopIfTrue="1" operator="equal">
      <formula>"Napkin Hs"</formula>
    </cfRule>
  </conditionalFormatting>
  <conditionalFormatting sqref="C98">
    <cfRule type="cellIs" dxfId="23183" priority="7670" stopIfTrue="1" operator="equal">
      <formula>"Towel"</formula>
    </cfRule>
    <cfRule type="cellIs" dxfId="23182" priority="7671" stopIfTrue="1" operator="equal">
      <formula>"Napkin Hs"</formula>
    </cfRule>
  </conditionalFormatting>
  <conditionalFormatting sqref="C98">
    <cfRule type="cellIs" dxfId="23181" priority="7666" stopIfTrue="1" operator="equal">
      <formula>"Towel"</formula>
    </cfRule>
    <cfRule type="cellIs" dxfId="23180" priority="7667" stopIfTrue="1" operator="equal">
      <formula>"Napkin Hs"</formula>
    </cfRule>
  </conditionalFormatting>
  <conditionalFormatting sqref="C98">
    <cfRule type="cellIs" dxfId="23179" priority="7660" stopIfTrue="1" operator="equal">
      <formula>"Towel"</formula>
    </cfRule>
    <cfRule type="cellIs" dxfId="23178" priority="7661" stopIfTrue="1" operator="equal">
      <formula>"Napkin Hs"</formula>
    </cfRule>
  </conditionalFormatting>
  <conditionalFormatting sqref="C98">
    <cfRule type="cellIs" dxfId="23177" priority="7664" stopIfTrue="1" operator="equal">
      <formula>"Towel"</formula>
    </cfRule>
    <cfRule type="cellIs" dxfId="23176" priority="7665" stopIfTrue="1" operator="equal">
      <formula>"Napkin Hs"</formula>
    </cfRule>
  </conditionalFormatting>
  <conditionalFormatting sqref="C98">
    <cfRule type="cellIs" dxfId="23175" priority="7662" stopIfTrue="1" operator="equal">
      <formula>"Towel"</formula>
    </cfRule>
    <cfRule type="cellIs" dxfId="23174" priority="7663" stopIfTrue="1" operator="equal">
      <formula>"Napkin Hs"</formula>
    </cfRule>
  </conditionalFormatting>
  <conditionalFormatting sqref="C98">
    <cfRule type="cellIs" dxfId="23173" priority="7654" stopIfTrue="1" operator="equal">
      <formula>"Towel"</formula>
    </cfRule>
    <cfRule type="cellIs" dxfId="23172" priority="7655" stopIfTrue="1" operator="equal">
      <formula>"Napkin Hs"</formula>
    </cfRule>
  </conditionalFormatting>
  <conditionalFormatting sqref="C98">
    <cfRule type="cellIs" dxfId="23171" priority="7656" stopIfTrue="1" operator="equal">
      <formula>"Towel"</formula>
    </cfRule>
    <cfRule type="cellIs" dxfId="23170" priority="7657" stopIfTrue="1" operator="equal">
      <formula>"Napkin Hs"</formula>
    </cfRule>
  </conditionalFormatting>
  <conditionalFormatting sqref="C98">
    <cfRule type="cellIs" dxfId="23169" priority="7658" stopIfTrue="1" operator="equal">
      <formula>"Towel"</formula>
    </cfRule>
    <cfRule type="cellIs" dxfId="23168" priority="7659" stopIfTrue="1" operator="equal">
      <formula>"Napkin Hs"</formula>
    </cfRule>
  </conditionalFormatting>
  <conditionalFormatting sqref="C98">
    <cfRule type="cellIs" dxfId="23167" priority="7652" stopIfTrue="1" operator="equal">
      <formula>"Towel"</formula>
    </cfRule>
    <cfRule type="cellIs" dxfId="23166" priority="7653" stopIfTrue="1" operator="equal">
      <formula>"Napkin Hs"</formula>
    </cfRule>
  </conditionalFormatting>
  <conditionalFormatting sqref="C98">
    <cfRule type="cellIs" dxfId="23165" priority="7650" stopIfTrue="1" operator="equal">
      <formula>"Towel"</formula>
    </cfRule>
    <cfRule type="cellIs" dxfId="23164" priority="7651" stopIfTrue="1" operator="equal">
      <formula>"Napkin Hs"</formula>
    </cfRule>
  </conditionalFormatting>
  <conditionalFormatting sqref="C98">
    <cfRule type="cellIs" dxfId="23163" priority="7626" stopIfTrue="1" operator="equal">
      <formula>"Towel"</formula>
    </cfRule>
  </conditionalFormatting>
  <conditionalFormatting sqref="C98">
    <cfRule type="cellIs" dxfId="23162" priority="7627" stopIfTrue="1" operator="equal">
      <formula>"Napkin Hs"</formula>
    </cfRule>
    <cfRule type="cellIs" dxfId="23161" priority="7632" stopIfTrue="1" operator="equal">
      <formula>"Towel"</formula>
    </cfRule>
    <cfRule type="cellIs" dxfId="23160" priority="7633" stopIfTrue="1" operator="equal">
      <formula>"Napkin Hs"</formula>
    </cfRule>
    <cfRule type="cellIs" dxfId="23159" priority="7642" stopIfTrue="1" operator="equal">
      <formula>"Towel"</formula>
    </cfRule>
    <cfRule type="cellIs" dxfId="23158" priority="7643" stopIfTrue="1" operator="equal">
      <formula>"Napkin Hs"</formula>
    </cfRule>
    <cfRule type="cellIs" dxfId="23157" priority="7648" stopIfTrue="1" operator="equal">
      <formula>"Towel"</formula>
    </cfRule>
    <cfRule type="cellIs" dxfId="23156" priority="7649" stopIfTrue="1" operator="equal">
      <formula>"Napkin Hs"</formula>
    </cfRule>
  </conditionalFormatting>
  <conditionalFormatting sqref="C98">
    <cfRule type="cellIs" dxfId="23155" priority="7628" stopIfTrue="1" operator="equal">
      <formula>"Towel"</formula>
    </cfRule>
    <cfRule type="cellIs" dxfId="23154" priority="7629" stopIfTrue="1" operator="equal">
      <formula>"Napkin Hs"</formula>
    </cfRule>
    <cfRule type="cellIs" dxfId="23153" priority="7630" stopIfTrue="1" operator="equal">
      <formula>"Towel"</formula>
    </cfRule>
    <cfRule type="cellIs" dxfId="23152" priority="7631" stopIfTrue="1" operator="equal">
      <formula>"Napkin Hs"</formula>
    </cfRule>
    <cfRule type="cellIs" dxfId="23151" priority="7634" stopIfTrue="1" operator="equal">
      <formula>"Towel"</formula>
    </cfRule>
    <cfRule type="cellIs" dxfId="23150" priority="7635" stopIfTrue="1" operator="equal">
      <formula>"Napkin Hs"</formula>
    </cfRule>
    <cfRule type="cellIs" dxfId="23149" priority="7636" stopIfTrue="1" operator="equal">
      <formula>"Towel"</formula>
    </cfRule>
    <cfRule type="cellIs" dxfId="23148" priority="7637" stopIfTrue="1" operator="equal">
      <formula>"Napkin Hs"</formula>
    </cfRule>
    <cfRule type="cellIs" dxfId="23147" priority="7638" stopIfTrue="1" operator="equal">
      <formula>"Towel"</formula>
    </cfRule>
    <cfRule type="cellIs" dxfId="23146" priority="7639" stopIfTrue="1" operator="equal">
      <formula>"Napkin Hs"</formula>
    </cfRule>
    <cfRule type="cellIs" dxfId="23145" priority="7640" stopIfTrue="1" operator="equal">
      <formula>"Towel"</formula>
    </cfRule>
    <cfRule type="cellIs" dxfId="23144" priority="7641" stopIfTrue="1" operator="equal">
      <formula>"Napkin Hs"</formula>
    </cfRule>
    <cfRule type="cellIs" dxfId="23143" priority="7644" stopIfTrue="1" operator="equal">
      <formula>"Towel"</formula>
    </cfRule>
    <cfRule type="cellIs" dxfId="23142" priority="7645" stopIfTrue="1" operator="equal">
      <formula>"Napkin Hs"</formula>
    </cfRule>
    <cfRule type="cellIs" dxfId="23141" priority="7647" stopIfTrue="1" operator="equal">
      <formula>"Napkin Hs"</formula>
    </cfRule>
  </conditionalFormatting>
  <conditionalFormatting sqref="C98">
    <cfRule type="cellIs" dxfId="23140" priority="7646" stopIfTrue="1" operator="equal">
      <formula>"Towel"</formula>
    </cfRule>
  </conditionalFormatting>
  <conditionalFormatting sqref="C98">
    <cfRule type="cellIs" dxfId="23139" priority="7624" stopIfTrue="1" operator="equal">
      <formula>"Towel"</formula>
    </cfRule>
    <cfRule type="cellIs" dxfId="23138" priority="7625" stopIfTrue="1" operator="equal">
      <formula>"Napkin Hs"</formula>
    </cfRule>
  </conditionalFormatting>
  <conditionalFormatting sqref="C98">
    <cfRule type="cellIs" dxfId="23137" priority="7623" stopIfTrue="1" operator="equal">
      <formula>"Napkin Hs"</formula>
    </cfRule>
  </conditionalFormatting>
  <conditionalFormatting sqref="C98">
    <cfRule type="cellIs" dxfId="23136" priority="7622" stopIfTrue="1" operator="equal">
      <formula>"Towel"</formula>
    </cfRule>
  </conditionalFormatting>
  <conditionalFormatting sqref="C98">
    <cfRule type="cellIs" dxfId="23135" priority="7620" stopIfTrue="1" operator="equal">
      <formula>"Towel"</formula>
    </cfRule>
  </conditionalFormatting>
  <conditionalFormatting sqref="C98">
    <cfRule type="cellIs" dxfId="23134" priority="7621" stopIfTrue="1" operator="equal">
      <formula>"Napkin Hs"</formula>
    </cfRule>
  </conditionalFormatting>
  <conditionalFormatting sqref="C98">
    <cfRule type="cellIs" dxfId="23133" priority="7524" stopIfTrue="1" operator="equal">
      <formula>"Towel"</formula>
    </cfRule>
  </conditionalFormatting>
  <conditionalFormatting sqref="C98">
    <cfRule type="cellIs" dxfId="23132" priority="7534" stopIfTrue="1" operator="equal">
      <formula>"Towel"</formula>
    </cfRule>
    <cfRule type="cellIs" dxfId="23131" priority="7535" stopIfTrue="1" operator="equal">
      <formula>"Napkin Hs"</formula>
    </cfRule>
    <cfRule type="cellIs" dxfId="23130" priority="7540" stopIfTrue="1" operator="equal">
      <formula>"Towel"</formula>
    </cfRule>
    <cfRule type="cellIs" dxfId="23129" priority="7541" stopIfTrue="1" operator="equal">
      <formula>"Napkin Hs"</formula>
    </cfRule>
    <cfRule type="cellIs" dxfId="23128" priority="7546" stopIfTrue="1" operator="equal">
      <formula>"Towel"</formula>
    </cfRule>
    <cfRule type="cellIs" dxfId="23127" priority="7547" stopIfTrue="1" operator="equal">
      <formula>"Napkin Hs"</formula>
    </cfRule>
    <cfRule type="cellIs" dxfId="23126" priority="7548" stopIfTrue="1" operator="equal">
      <formula>"Towel"</formula>
    </cfRule>
    <cfRule type="cellIs" dxfId="23125" priority="7549" stopIfTrue="1" operator="equal">
      <formula>"Napkin Hs"</formula>
    </cfRule>
    <cfRule type="cellIs" dxfId="23124" priority="7554" stopIfTrue="1" operator="equal">
      <formula>"Towel"</formula>
    </cfRule>
    <cfRule type="cellIs" dxfId="23123" priority="7555" stopIfTrue="1" operator="equal">
      <formula>"Napkin Hs"</formula>
    </cfRule>
    <cfRule type="cellIs" dxfId="23122" priority="7564" stopIfTrue="1" operator="equal">
      <formula>"Towel"</formula>
    </cfRule>
    <cfRule type="cellIs" dxfId="23121" priority="7565" stopIfTrue="1" operator="equal">
      <formula>"Napkin Hs"</formula>
    </cfRule>
    <cfRule type="cellIs" dxfId="23120" priority="7570" stopIfTrue="1" operator="equal">
      <formula>"Towel"</formula>
    </cfRule>
    <cfRule type="cellIs" dxfId="23119" priority="7571" stopIfTrue="1" operator="equal">
      <formula>"Napkin Hs"</formula>
    </cfRule>
    <cfRule type="cellIs" dxfId="23118" priority="7572" stopIfTrue="1" operator="equal">
      <formula>"Towel"</formula>
    </cfRule>
    <cfRule type="cellIs" dxfId="23117" priority="7573" stopIfTrue="1" operator="equal">
      <formula>"Napkin Hs"</formula>
    </cfRule>
    <cfRule type="cellIs" dxfId="23116" priority="7578" stopIfTrue="1" operator="equal">
      <formula>"Towel"</formula>
    </cfRule>
    <cfRule type="cellIs" dxfId="23115" priority="7579" stopIfTrue="1" operator="equal">
      <formula>"Napkin Hs"</formula>
    </cfRule>
    <cfRule type="cellIs" dxfId="23114" priority="7588" stopIfTrue="1" operator="equal">
      <formula>"Towel"</formula>
    </cfRule>
    <cfRule type="cellIs" dxfId="23113" priority="7589" stopIfTrue="1" operator="equal">
      <formula>"Napkin Hs"</formula>
    </cfRule>
    <cfRule type="cellIs" dxfId="23112" priority="7590" stopIfTrue="1" operator="equal">
      <formula>"Towel"</formula>
    </cfRule>
    <cfRule type="cellIs" dxfId="23111" priority="7591" stopIfTrue="1" operator="equal">
      <formula>"Napkin Hs"</formula>
    </cfRule>
    <cfRule type="cellIs" dxfId="23110" priority="7596" stopIfTrue="1" operator="equal">
      <formula>"Towel"</formula>
    </cfRule>
    <cfRule type="cellIs" dxfId="23109" priority="7597" stopIfTrue="1" operator="equal">
      <formula>"Napkin Hs"</formula>
    </cfRule>
    <cfRule type="cellIs" dxfId="23108" priority="7606" stopIfTrue="1" operator="equal">
      <formula>"Towel"</formula>
    </cfRule>
    <cfRule type="cellIs" dxfId="23107" priority="7607" stopIfTrue="1" operator="equal">
      <formula>"Napkin Hs"</formula>
    </cfRule>
    <cfRule type="cellIs" dxfId="23106" priority="7608" stopIfTrue="1" operator="equal">
      <formula>"Towel"</formula>
    </cfRule>
    <cfRule type="cellIs" dxfId="23105" priority="7609" stopIfTrue="1" operator="equal">
      <formula>"Napkin Hs"</formula>
    </cfRule>
    <cfRule type="cellIs" dxfId="23104" priority="7615" stopIfTrue="1" operator="equal">
      <formula>"Napkin Hs"</formula>
    </cfRule>
  </conditionalFormatting>
  <conditionalFormatting sqref="C98">
    <cfRule type="cellIs" dxfId="23103" priority="7614" stopIfTrue="1" operator="equal">
      <formula>"Towel"</formula>
    </cfRule>
  </conditionalFormatting>
  <conditionalFormatting sqref="C98">
    <cfRule type="cellIs" dxfId="23102" priority="7525" stopIfTrue="1" operator="equal">
      <formula>"Napkin Hs"</formula>
    </cfRule>
    <cfRule type="cellIs" dxfId="23101" priority="7526" stopIfTrue="1" operator="equal">
      <formula>"Towel"</formula>
    </cfRule>
    <cfRule type="cellIs" dxfId="23100" priority="7527" stopIfTrue="1" operator="equal">
      <formula>"Napkin Hs"</formula>
    </cfRule>
    <cfRule type="cellIs" dxfId="23099" priority="7528" stopIfTrue="1" operator="equal">
      <formula>"Towel"</formula>
    </cfRule>
    <cfRule type="cellIs" dxfId="23098" priority="7529" stopIfTrue="1" operator="equal">
      <formula>"Napkin Hs"</formula>
    </cfRule>
    <cfRule type="cellIs" dxfId="23097" priority="7530" stopIfTrue="1" operator="equal">
      <formula>"Towel"</formula>
    </cfRule>
    <cfRule type="cellIs" dxfId="23096" priority="7531" stopIfTrue="1" operator="equal">
      <formula>"Napkin Hs"</formula>
    </cfRule>
    <cfRule type="cellIs" dxfId="23095" priority="7532" stopIfTrue="1" operator="equal">
      <formula>"Towel"</formula>
    </cfRule>
    <cfRule type="cellIs" dxfId="23094" priority="7533" stopIfTrue="1" operator="equal">
      <formula>"Napkin Hs"</formula>
    </cfRule>
    <cfRule type="cellIs" dxfId="23093" priority="7536" stopIfTrue="1" operator="equal">
      <formula>"Towel"</formula>
    </cfRule>
    <cfRule type="cellIs" dxfId="23092" priority="7537" stopIfTrue="1" operator="equal">
      <formula>"Napkin Hs"</formula>
    </cfRule>
    <cfRule type="cellIs" dxfId="23091" priority="7538" stopIfTrue="1" operator="equal">
      <formula>"Towel"</formula>
    </cfRule>
    <cfRule type="cellIs" dxfId="23090" priority="7539" stopIfTrue="1" operator="equal">
      <formula>"Napkin Hs"</formula>
    </cfRule>
    <cfRule type="cellIs" dxfId="23089" priority="7542" stopIfTrue="1" operator="equal">
      <formula>"Towel"</formula>
    </cfRule>
    <cfRule type="cellIs" dxfId="23088" priority="7543" stopIfTrue="1" operator="equal">
      <formula>"Napkin Hs"</formula>
    </cfRule>
    <cfRule type="cellIs" dxfId="23087" priority="7544" stopIfTrue="1" operator="equal">
      <formula>"Towel"</formula>
    </cfRule>
    <cfRule type="cellIs" dxfId="23086" priority="7545" stopIfTrue="1" operator="equal">
      <formula>"Napkin Hs"</formula>
    </cfRule>
    <cfRule type="cellIs" dxfId="23085" priority="7550" stopIfTrue="1" operator="equal">
      <formula>"Towel"</formula>
    </cfRule>
    <cfRule type="cellIs" dxfId="23084" priority="7551" stopIfTrue="1" operator="equal">
      <formula>"Napkin Hs"</formula>
    </cfRule>
    <cfRule type="cellIs" dxfId="23083" priority="7552" stopIfTrue="1" operator="equal">
      <formula>"Towel"</formula>
    </cfRule>
    <cfRule type="cellIs" dxfId="23082" priority="7553" stopIfTrue="1" operator="equal">
      <formula>"Napkin Hs"</formula>
    </cfRule>
    <cfRule type="cellIs" dxfId="23081" priority="7556" stopIfTrue="1" operator="equal">
      <formula>"Towel"</formula>
    </cfRule>
    <cfRule type="cellIs" dxfId="23080" priority="7557" stopIfTrue="1" operator="equal">
      <formula>"Napkin Hs"</formula>
    </cfRule>
    <cfRule type="cellIs" dxfId="23079" priority="7558" stopIfTrue="1" operator="equal">
      <formula>"Towel"</formula>
    </cfRule>
    <cfRule type="cellIs" dxfId="23078" priority="7559" stopIfTrue="1" operator="equal">
      <formula>"Napkin Hs"</formula>
    </cfRule>
    <cfRule type="cellIs" dxfId="23077" priority="7560" stopIfTrue="1" operator="equal">
      <formula>"Towel"</formula>
    </cfRule>
    <cfRule type="cellIs" dxfId="23076" priority="7561" stopIfTrue="1" operator="equal">
      <formula>"Napkin Hs"</formula>
    </cfRule>
    <cfRule type="cellIs" dxfId="23075" priority="7562" stopIfTrue="1" operator="equal">
      <formula>"Towel"</formula>
    </cfRule>
    <cfRule type="cellIs" dxfId="23074" priority="7563" stopIfTrue="1" operator="equal">
      <formula>"Napkin Hs"</formula>
    </cfRule>
    <cfRule type="cellIs" dxfId="23073" priority="7566" stopIfTrue="1" operator="equal">
      <formula>"Towel"</formula>
    </cfRule>
    <cfRule type="cellIs" dxfId="23072" priority="7567" stopIfTrue="1" operator="equal">
      <formula>"Napkin Hs"</formula>
    </cfRule>
    <cfRule type="cellIs" dxfId="23071" priority="7568" stopIfTrue="1" operator="equal">
      <formula>"Towel"</formula>
    </cfRule>
    <cfRule type="cellIs" dxfId="23070" priority="7569" stopIfTrue="1" operator="equal">
      <formula>"Napkin Hs"</formula>
    </cfRule>
    <cfRule type="cellIs" dxfId="23069" priority="7574" stopIfTrue="1" operator="equal">
      <formula>"Towel"</formula>
    </cfRule>
    <cfRule type="cellIs" dxfId="23068" priority="7575" stopIfTrue="1" operator="equal">
      <formula>"Napkin Hs"</formula>
    </cfRule>
    <cfRule type="cellIs" dxfId="23067" priority="7576" stopIfTrue="1" operator="equal">
      <formula>"Towel"</formula>
    </cfRule>
    <cfRule type="cellIs" dxfId="23066" priority="7577" stopIfTrue="1" operator="equal">
      <formula>"Napkin Hs"</formula>
    </cfRule>
    <cfRule type="cellIs" dxfId="23065" priority="7580" stopIfTrue="1" operator="equal">
      <formula>"Towel"</formula>
    </cfRule>
    <cfRule type="cellIs" dxfId="23064" priority="7581" stopIfTrue="1" operator="equal">
      <formula>"Napkin Hs"</formula>
    </cfRule>
    <cfRule type="cellIs" dxfId="23063" priority="7582" stopIfTrue="1" operator="equal">
      <formula>"Towel"</formula>
    </cfRule>
    <cfRule type="cellIs" dxfId="23062" priority="7583" stopIfTrue="1" operator="equal">
      <formula>"Napkin Hs"</formula>
    </cfRule>
    <cfRule type="cellIs" dxfId="23061" priority="7584" stopIfTrue="1" operator="equal">
      <formula>"Towel"</formula>
    </cfRule>
    <cfRule type="cellIs" dxfId="23060" priority="7585" stopIfTrue="1" operator="equal">
      <formula>"Napkin Hs"</formula>
    </cfRule>
    <cfRule type="cellIs" dxfId="23059" priority="7586" stopIfTrue="1" operator="equal">
      <formula>"Towel"</formula>
    </cfRule>
    <cfRule type="cellIs" dxfId="23058" priority="7587" stopIfTrue="1" operator="equal">
      <formula>"Napkin Hs"</formula>
    </cfRule>
    <cfRule type="cellIs" dxfId="23057" priority="7592" stopIfTrue="1" operator="equal">
      <formula>"Towel"</formula>
    </cfRule>
    <cfRule type="cellIs" dxfId="23056" priority="7593" stopIfTrue="1" operator="equal">
      <formula>"Napkin Hs"</formula>
    </cfRule>
    <cfRule type="cellIs" dxfId="23055" priority="7594" stopIfTrue="1" operator="equal">
      <formula>"Towel"</formula>
    </cfRule>
    <cfRule type="cellIs" dxfId="23054" priority="7595" stopIfTrue="1" operator="equal">
      <formula>"Napkin Hs"</formula>
    </cfRule>
    <cfRule type="cellIs" dxfId="23053" priority="7598" stopIfTrue="1" operator="equal">
      <formula>"Towel"</formula>
    </cfRule>
    <cfRule type="cellIs" dxfId="23052" priority="7599" stopIfTrue="1" operator="equal">
      <formula>"Napkin Hs"</formula>
    </cfRule>
    <cfRule type="cellIs" dxfId="23051" priority="7600" stopIfTrue="1" operator="equal">
      <formula>"Towel"</formula>
    </cfRule>
    <cfRule type="cellIs" dxfId="23050" priority="7601" stopIfTrue="1" operator="equal">
      <formula>"Napkin Hs"</formula>
    </cfRule>
    <cfRule type="cellIs" dxfId="23049" priority="7602" stopIfTrue="1" operator="equal">
      <formula>"Towel"</formula>
    </cfRule>
    <cfRule type="cellIs" dxfId="23048" priority="7603" stopIfTrue="1" operator="equal">
      <formula>"Napkin Hs"</formula>
    </cfRule>
    <cfRule type="cellIs" dxfId="23047" priority="7604" stopIfTrue="1" operator="equal">
      <formula>"Towel"</formula>
    </cfRule>
    <cfRule type="cellIs" dxfId="23046" priority="7605" stopIfTrue="1" operator="equal">
      <formula>"Napkin Hs"</formula>
    </cfRule>
    <cfRule type="cellIs" dxfId="23045" priority="7610" stopIfTrue="1" operator="equal">
      <formula>"Towel"</formula>
    </cfRule>
    <cfRule type="cellIs" dxfId="23044" priority="7611" stopIfTrue="1" operator="equal">
      <formula>"Napkin Hs"</formula>
    </cfRule>
    <cfRule type="cellIs" dxfId="23043" priority="7612" stopIfTrue="1" operator="equal">
      <formula>"Towel"</formula>
    </cfRule>
    <cfRule type="cellIs" dxfId="23042" priority="7613" stopIfTrue="1" operator="equal">
      <formula>"Napkin Hs"</formula>
    </cfRule>
    <cfRule type="cellIs" dxfId="23041" priority="7616" stopIfTrue="1" operator="equal">
      <formula>"Towel"</formula>
    </cfRule>
    <cfRule type="cellIs" dxfId="23040" priority="7617" stopIfTrue="1" operator="equal">
      <formula>"Napkin Hs"</formula>
    </cfRule>
    <cfRule type="cellIs" dxfId="23039" priority="7618" stopIfTrue="1" operator="equal">
      <formula>"Towel"</formula>
    </cfRule>
    <cfRule type="cellIs" dxfId="23038" priority="7619" stopIfTrue="1" operator="equal">
      <formula>"Napkin Hs"</formula>
    </cfRule>
  </conditionalFormatting>
  <conditionalFormatting sqref="C98">
    <cfRule type="cellIs" dxfId="23037" priority="7523" stopIfTrue="1" operator="equal">
      <formula>"Napkin Hs"</formula>
    </cfRule>
  </conditionalFormatting>
  <conditionalFormatting sqref="C98">
    <cfRule type="cellIs" dxfId="23036" priority="7522" stopIfTrue="1" operator="equal">
      <formula>"Napkin Hs"</formula>
    </cfRule>
  </conditionalFormatting>
  <conditionalFormatting sqref="C98">
    <cfRule type="cellIs" dxfId="23035" priority="7521" stopIfTrue="1" operator="equal">
      <formula>"Napkin Hs"</formula>
    </cfRule>
  </conditionalFormatting>
  <conditionalFormatting sqref="C98">
    <cfRule type="cellIs" dxfId="23034" priority="7520" stopIfTrue="1" operator="equal">
      <formula>"Napkin Hs"</formula>
    </cfRule>
  </conditionalFormatting>
  <conditionalFormatting sqref="C98">
    <cfRule type="cellIs" dxfId="23033" priority="7519" stopIfTrue="1" operator="equal">
      <formula>"Napkin Hs"</formula>
    </cfRule>
  </conditionalFormatting>
  <conditionalFormatting sqref="C98">
    <cfRule type="cellIs" dxfId="23032" priority="7518" stopIfTrue="1" operator="equal">
      <formula>"Napkin Hs"</formula>
    </cfRule>
  </conditionalFormatting>
  <conditionalFormatting sqref="C98">
    <cfRule type="cellIs" dxfId="23031" priority="7514" stopIfTrue="1" operator="equal">
      <formula>"Towel"</formula>
    </cfRule>
    <cfRule type="cellIs" dxfId="23030" priority="7515" stopIfTrue="1" operator="equal">
      <formula>"Napkin Hs"</formula>
    </cfRule>
  </conditionalFormatting>
  <conditionalFormatting sqref="C98">
    <cfRule type="cellIs" dxfId="23029" priority="7516" stopIfTrue="1" operator="equal">
      <formula>"Towel"</formula>
    </cfRule>
    <cfRule type="cellIs" dxfId="23028" priority="7517" stopIfTrue="1" operator="equal">
      <formula>"Napkin Hs"</formula>
    </cfRule>
  </conditionalFormatting>
  <conditionalFormatting sqref="C98">
    <cfRule type="cellIs" dxfId="23027" priority="7510" stopIfTrue="1" operator="equal">
      <formula>"Towel"</formula>
    </cfRule>
    <cfRule type="cellIs" dxfId="23026" priority="7511" stopIfTrue="1" operator="equal">
      <formula>"Napkin Hs"</formula>
    </cfRule>
  </conditionalFormatting>
  <conditionalFormatting sqref="C98">
    <cfRule type="cellIs" dxfId="23025" priority="7512" stopIfTrue="1" operator="equal">
      <formula>"Towel"</formula>
    </cfRule>
    <cfRule type="cellIs" dxfId="23024" priority="7513" stopIfTrue="1" operator="equal">
      <formula>"Napkin Hs"</formula>
    </cfRule>
  </conditionalFormatting>
  <conditionalFormatting sqref="B97">
    <cfRule type="cellIs" dxfId="23023" priority="7509" stopIfTrue="1" operator="equal">
      <formula>"Napkin Hs"</formula>
    </cfRule>
  </conditionalFormatting>
  <conditionalFormatting sqref="B97">
    <cfRule type="cellIs" dxfId="23022" priority="7508" stopIfTrue="1" operator="equal">
      <formula>"Napkin Hs"</formula>
    </cfRule>
  </conditionalFormatting>
  <conditionalFormatting sqref="B97">
    <cfRule type="cellIs" dxfId="23021" priority="7507" stopIfTrue="1" operator="equal">
      <formula>"Napkin Hs"</formula>
    </cfRule>
  </conditionalFormatting>
  <conditionalFormatting sqref="C97">
    <cfRule type="cellIs" dxfId="23020" priority="7505" stopIfTrue="1" operator="equal">
      <formula>"Towel"</formula>
    </cfRule>
    <cfRule type="cellIs" dxfId="23019" priority="7506" stopIfTrue="1" operator="equal">
      <formula>"Napkin Hs"</formula>
    </cfRule>
  </conditionalFormatting>
  <conditionalFormatting sqref="C97">
    <cfRule type="cellIs" dxfId="23018" priority="7501" stopIfTrue="1" operator="equal">
      <formula>"Towel"</formula>
    </cfRule>
    <cfRule type="cellIs" dxfId="23017" priority="7502" stopIfTrue="1" operator="equal">
      <formula>"Napkin Hs"</formula>
    </cfRule>
  </conditionalFormatting>
  <conditionalFormatting sqref="C97">
    <cfRule type="cellIs" dxfId="23016" priority="7503" stopIfTrue="1" operator="equal">
      <formula>"Towel"</formula>
    </cfRule>
    <cfRule type="cellIs" dxfId="23015" priority="7504" stopIfTrue="1" operator="equal">
      <formula>"Napkin Hs"</formula>
    </cfRule>
  </conditionalFormatting>
  <conditionalFormatting sqref="C97">
    <cfRule type="cellIs" dxfId="23014" priority="7497" stopIfTrue="1" operator="equal">
      <formula>"Towel"</formula>
    </cfRule>
    <cfRule type="cellIs" dxfId="23013" priority="7498" stopIfTrue="1" operator="equal">
      <formula>"Napkin Hs"</formula>
    </cfRule>
  </conditionalFormatting>
  <conditionalFormatting sqref="C97">
    <cfRule type="cellIs" dxfId="23012" priority="7499" stopIfTrue="1" operator="equal">
      <formula>"Towel"</formula>
    </cfRule>
    <cfRule type="cellIs" dxfId="23011" priority="7500" stopIfTrue="1" operator="equal">
      <formula>"Napkin Hs"</formula>
    </cfRule>
  </conditionalFormatting>
  <conditionalFormatting sqref="C97">
    <cfRule type="cellIs" dxfId="23010" priority="7495" stopIfTrue="1" operator="equal">
      <formula>"Towel"</formula>
    </cfRule>
    <cfRule type="cellIs" dxfId="23009" priority="7496" stopIfTrue="1" operator="equal">
      <formula>"Napkin Hs"</formula>
    </cfRule>
  </conditionalFormatting>
  <conditionalFormatting sqref="C97">
    <cfRule type="cellIs" dxfId="23008" priority="7489" stopIfTrue="1" operator="equal">
      <formula>"Towel"</formula>
    </cfRule>
    <cfRule type="cellIs" dxfId="23007" priority="7490" stopIfTrue="1" operator="equal">
      <formula>"Napkin Hs"</formula>
    </cfRule>
  </conditionalFormatting>
  <conditionalFormatting sqref="C97">
    <cfRule type="cellIs" dxfId="23006" priority="7493" stopIfTrue="1" operator="equal">
      <formula>"Towel"</formula>
    </cfRule>
    <cfRule type="cellIs" dxfId="23005" priority="7494" stopIfTrue="1" operator="equal">
      <formula>"Napkin Hs"</formula>
    </cfRule>
  </conditionalFormatting>
  <conditionalFormatting sqref="C97">
    <cfRule type="cellIs" dxfId="23004" priority="7491" stopIfTrue="1" operator="equal">
      <formula>"Towel"</formula>
    </cfRule>
    <cfRule type="cellIs" dxfId="23003" priority="7492" stopIfTrue="1" operator="equal">
      <formula>"Napkin Hs"</formula>
    </cfRule>
  </conditionalFormatting>
  <conditionalFormatting sqref="C97">
    <cfRule type="cellIs" dxfId="23002" priority="7483" stopIfTrue="1" operator="equal">
      <formula>"Towel"</formula>
    </cfRule>
    <cfRule type="cellIs" dxfId="23001" priority="7484" stopIfTrue="1" operator="equal">
      <formula>"Napkin Hs"</formula>
    </cfRule>
  </conditionalFormatting>
  <conditionalFormatting sqref="C97">
    <cfRule type="cellIs" dxfId="23000" priority="7485" stopIfTrue="1" operator="equal">
      <formula>"Towel"</formula>
    </cfRule>
    <cfRule type="cellIs" dxfId="22999" priority="7486" stopIfTrue="1" operator="equal">
      <formula>"Napkin Hs"</formula>
    </cfRule>
  </conditionalFormatting>
  <conditionalFormatting sqref="C97">
    <cfRule type="cellIs" dxfId="22998" priority="7487" stopIfTrue="1" operator="equal">
      <formula>"Towel"</formula>
    </cfRule>
    <cfRule type="cellIs" dxfId="22997" priority="7488" stopIfTrue="1" operator="equal">
      <formula>"Napkin Hs"</formula>
    </cfRule>
  </conditionalFormatting>
  <conditionalFormatting sqref="C97">
    <cfRule type="cellIs" dxfId="22996" priority="7481" stopIfTrue="1" operator="equal">
      <formula>"Towel"</formula>
    </cfRule>
    <cfRule type="cellIs" dxfId="22995" priority="7482" stopIfTrue="1" operator="equal">
      <formula>"Napkin Hs"</formula>
    </cfRule>
  </conditionalFormatting>
  <conditionalFormatting sqref="C97">
    <cfRule type="cellIs" dxfId="22994" priority="7479" stopIfTrue="1" operator="equal">
      <formula>"Towel"</formula>
    </cfRule>
    <cfRule type="cellIs" dxfId="22993" priority="7480" stopIfTrue="1" operator="equal">
      <formula>"Napkin Hs"</formula>
    </cfRule>
  </conditionalFormatting>
  <conditionalFormatting sqref="C97">
    <cfRule type="cellIs" dxfId="22992" priority="7455" stopIfTrue="1" operator="equal">
      <formula>"Towel"</formula>
    </cfRule>
  </conditionalFormatting>
  <conditionalFormatting sqref="C97">
    <cfRule type="cellIs" dxfId="22991" priority="7456" stopIfTrue="1" operator="equal">
      <formula>"Napkin Hs"</formula>
    </cfRule>
    <cfRule type="cellIs" dxfId="22990" priority="7461" stopIfTrue="1" operator="equal">
      <formula>"Towel"</formula>
    </cfRule>
    <cfRule type="cellIs" dxfId="22989" priority="7462" stopIfTrue="1" operator="equal">
      <formula>"Napkin Hs"</formula>
    </cfRule>
    <cfRule type="cellIs" dxfId="22988" priority="7471" stopIfTrue="1" operator="equal">
      <formula>"Towel"</formula>
    </cfRule>
    <cfRule type="cellIs" dxfId="22987" priority="7472" stopIfTrue="1" operator="equal">
      <formula>"Napkin Hs"</formula>
    </cfRule>
    <cfRule type="cellIs" dxfId="22986" priority="7477" stopIfTrue="1" operator="equal">
      <formula>"Towel"</formula>
    </cfRule>
    <cfRule type="cellIs" dxfId="22985" priority="7478" stopIfTrue="1" operator="equal">
      <formula>"Napkin Hs"</formula>
    </cfRule>
  </conditionalFormatting>
  <conditionalFormatting sqref="C97">
    <cfRule type="cellIs" dxfId="22984" priority="7457" stopIfTrue="1" operator="equal">
      <formula>"Towel"</formula>
    </cfRule>
    <cfRule type="cellIs" dxfId="22983" priority="7458" stopIfTrue="1" operator="equal">
      <formula>"Napkin Hs"</formula>
    </cfRule>
    <cfRule type="cellIs" dxfId="22982" priority="7459" stopIfTrue="1" operator="equal">
      <formula>"Towel"</formula>
    </cfRule>
    <cfRule type="cellIs" dxfId="22981" priority="7460" stopIfTrue="1" operator="equal">
      <formula>"Napkin Hs"</formula>
    </cfRule>
    <cfRule type="cellIs" dxfId="22980" priority="7463" stopIfTrue="1" operator="equal">
      <formula>"Towel"</formula>
    </cfRule>
    <cfRule type="cellIs" dxfId="22979" priority="7464" stopIfTrue="1" operator="equal">
      <formula>"Napkin Hs"</formula>
    </cfRule>
    <cfRule type="cellIs" dxfId="22978" priority="7465" stopIfTrue="1" operator="equal">
      <formula>"Towel"</formula>
    </cfRule>
    <cfRule type="cellIs" dxfId="22977" priority="7466" stopIfTrue="1" operator="equal">
      <formula>"Napkin Hs"</formula>
    </cfRule>
    <cfRule type="cellIs" dxfId="22976" priority="7467" stopIfTrue="1" operator="equal">
      <formula>"Towel"</formula>
    </cfRule>
    <cfRule type="cellIs" dxfId="22975" priority="7468" stopIfTrue="1" operator="equal">
      <formula>"Napkin Hs"</formula>
    </cfRule>
    <cfRule type="cellIs" dxfId="22974" priority="7469" stopIfTrue="1" operator="equal">
      <formula>"Towel"</formula>
    </cfRule>
    <cfRule type="cellIs" dxfId="22973" priority="7470" stopIfTrue="1" operator="equal">
      <formula>"Napkin Hs"</formula>
    </cfRule>
    <cfRule type="cellIs" dxfId="22972" priority="7473" stopIfTrue="1" operator="equal">
      <formula>"Towel"</formula>
    </cfRule>
    <cfRule type="cellIs" dxfId="22971" priority="7474" stopIfTrue="1" operator="equal">
      <formula>"Napkin Hs"</formula>
    </cfRule>
    <cfRule type="cellIs" dxfId="22970" priority="7476" stopIfTrue="1" operator="equal">
      <formula>"Napkin Hs"</formula>
    </cfRule>
  </conditionalFormatting>
  <conditionalFormatting sqref="C97">
    <cfRule type="cellIs" dxfId="22969" priority="7475" stopIfTrue="1" operator="equal">
      <formula>"Towel"</formula>
    </cfRule>
  </conditionalFormatting>
  <conditionalFormatting sqref="C97">
    <cfRule type="cellIs" dxfId="22968" priority="7453" stopIfTrue="1" operator="equal">
      <formula>"Towel"</formula>
    </cfRule>
    <cfRule type="cellIs" dxfId="22967" priority="7454" stopIfTrue="1" operator="equal">
      <formula>"Napkin Hs"</formula>
    </cfRule>
  </conditionalFormatting>
  <conditionalFormatting sqref="C97">
    <cfRule type="cellIs" dxfId="22966" priority="7452" stopIfTrue="1" operator="equal">
      <formula>"Napkin Hs"</formula>
    </cfRule>
  </conditionalFormatting>
  <conditionalFormatting sqref="C97">
    <cfRule type="cellIs" dxfId="22965" priority="7451" stopIfTrue="1" operator="equal">
      <formula>"Towel"</formula>
    </cfRule>
  </conditionalFormatting>
  <conditionalFormatting sqref="C97">
    <cfRule type="cellIs" dxfId="22964" priority="7449" stopIfTrue="1" operator="equal">
      <formula>"Towel"</formula>
    </cfRule>
  </conditionalFormatting>
  <conditionalFormatting sqref="C97">
    <cfRule type="cellIs" dxfId="22963" priority="7450" stopIfTrue="1" operator="equal">
      <formula>"Napkin Hs"</formula>
    </cfRule>
  </conditionalFormatting>
  <conditionalFormatting sqref="C97">
    <cfRule type="cellIs" dxfId="22962" priority="7353" stopIfTrue="1" operator="equal">
      <formula>"Towel"</formula>
    </cfRule>
  </conditionalFormatting>
  <conditionalFormatting sqref="C97">
    <cfRule type="cellIs" dxfId="22961" priority="7363" stopIfTrue="1" operator="equal">
      <formula>"Towel"</formula>
    </cfRule>
    <cfRule type="cellIs" dxfId="22960" priority="7364" stopIfTrue="1" operator="equal">
      <formula>"Napkin Hs"</formula>
    </cfRule>
    <cfRule type="cellIs" dxfId="22959" priority="7369" stopIfTrue="1" operator="equal">
      <formula>"Towel"</formula>
    </cfRule>
    <cfRule type="cellIs" dxfId="22958" priority="7370" stopIfTrue="1" operator="equal">
      <formula>"Napkin Hs"</formula>
    </cfRule>
    <cfRule type="cellIs" dxfId="22957" priority="7375" stopIfTrue="1" operator="equal">
      <formula>"Towel"</formula>
    </cfRule>
    <cfRule type="cellIs" dxfId="22956" priority="7376" stopIfTrue="1" operator="equal">
      <formula>"Napkin Hs"</formula>
    </cfRule>
    <cfRule type="cellIs" dxfId="22955" priority="7377" stopIfTrue="1" operator="equal">
      <formula>"Towel"</formula>
    </cfRule>
    <cfRule type="cellIs" dxfId="22954" priority="7378" stopIfTrue="1" operator="equal">
      <formula>"Napkin Hs"</formula>
    </cfRule>
    <cfRule type="cellIs" dxfId="22953" priority="7383" stopIfTrue="1" operator="equal">
      <formula>"Towel"</formula>
    </cfRule>
    <cfRule type="cellIs" dxfId="22952" priority="7384" stopIfTrue="1" operator="equal">
      <formula>"Napkin Hs"</formula>
    </cfRule>
    <cfRule type="cellIs" dxfId="22951" priority="7393" stopIfTrue="1" operator="equal">
      <formula>"Towel"</formula>
    </cfRule>
    <cfRule type="cellIs" dxfId="22950" priority="7394" stopIfTrue="1" operator="equal">
      <formula>"Napkin Hs"</formula>
    </cfRule>
    <cfRule type="cellIs" dxfId="22949" priority="7399" stopIfTrue="1" operator="equal">
      <formula>"Towel"</formula>
    </cfRule>
    <cfRule type="cellIs" dxfId="22948" priority="7400" stopIfTrue="1" operator="equal">
      <formula>"Napkin Hs"</formula>
    </cfRule>
    <cfRule type="cellIs" dxfId="22947" priority="7401" stopIfTrue="1" operator="equal">
      <formula>"Towel"</formula>
    </cfRule>
    <cfRule type="cellIs" dxfId="22946" priority="7402" stopIfTrue="1" operator="equal">
      <formula>"Napkin Hs"</formula>
    </cfRule>
    <cfRule type="cellIs" dxfId="22945" priority="7407" stopIfTrue="1" operator="equal">
      <formula>"Towel"</formula>
    </cfRule>
    <cfRule type="cellIs" dxfId="22944" priority="7408" stopIfTrue="1" operator="equal">
      <formula>"Napkin Hs"</formula>
    </cfRule>
    <cfRule type="cellIs" dxfId="22943" priority="7417" stopIfTrue="1" operator="equal">
      <formula>"Towel"</formula>
    </cfRule>
    <cfRule type="cellIs" dxfId="22942" priority="7418" stopIfTrue="1" operator="equal">
      <formula>"Napkin Hs"</formula>
    </cfRule>
    <cfRule type="cellIs" dxfId="22941" priority="7419" stopIfTrue="1" operator="equal">
      <formula>"Towel"</formula>
    </cfRule>
    <cfRule type="cellIs" dxfId="22940" priority="7420" stopIfTrue="1" operator="equal">
      <formula>"Napkin Hs"</formula>
    </cfRule>
    <cfRule type="cellIs" dxfId="22939" priority="7425" stopIfTrue="1" operator="equal">
      <formula>"Towel"</formula>
    </cfRule>
    <cfRule type="cellIs" dxfId="22938" priority="7426" stopIfTrue="1" operator="equal">
      <formula>"Napkin Hs"</formula>
    </cfRule>
    <cfRule type="cellIs" dxfId="22937" priority="7435" stopIfTrue="1" operator="equal">
      <formula>"Towel"</formula>
    </cfRule>
    <cfRule type="cellIs" dxfId="22936" priority="7436" stopIfTrue="1" operator="equal">
      <formula>"Napkin Hs"</formula>
    </cfRule>
    <cfRule type="cellIs" dxfId="22935" priority="7437" stopIfTrue="1" operator="equal">
      <formula>"Towel"</formula>
    </cfRule>
    <cfRule type="cellIs" dxfId="22934" priority="7438" stopIfTrue="1" operator="equal">
      <formula>"Napkin Hs"</formula>
    </cfRule>
    <cfRule type="cellIs" dxfId="22933" priority="7444" stopIfTrue="1" operator="equal">
      <formula>"Napkin Hs"</formula>
    </cfRule>
  </conditionalFormatting>
  <conditionalFormatting sqref="C97">
    <cfRule type="cellIs" dxfId="22932" priority="7443" stopIfTrue="1" operator="equal">
      <formula>"Towel"</formula>
    </cfRule>
  </conditionalFormatting>
  <conditionalFormatting sqref="C97">
    <cfRule type="cellIs" dxfId="22931" priority="7354" stopIfTrue="1" operator="equal">
      <formula>"Napkin Hs"</formula>
    </cfRule>
    <cfRule type="cellIs" dxfId="22930" priority="7355" stopIfTrue="1" operator="equal">
      <formula>"Towel"</formula>
    </cfRule>
    <cfRule type="cellIs" dxfId="22929" priority="7356" stopIfTrue="1" operator="equal">
      <formula>"Napkin Hs"</formula>
    </cfRule>
    <cfRule type="cellIs" dxfId="22928" priority="7357" stopIfTrue="1" operator="equal">
      <formula>"Towel"</formula>
    </cfRule>
    <cfRule type="cellIs" dxfId="22927" priority="7358" stopIfTrue="1" operator="equal">
      <formula>"Napkin Hs"</formula>
    </cfRule>
    <cfRule type="cellIs" dxfId="22926" priority="7359" stopIfTrue="1" operator="equal">
      <formula>"Towel"</formula>
    </cfRule>
    <cfRule type="cellIs" dxfId="22925" priority="7360" stopIfTrue="1" operator="equal">
      <formula>"Napkin Hs"</formula>
    </cfRule>
    <cfRule type="cellIs" dxfId="22924" priority="7361" stopIfTrue="1" operator="equal">
      <formula>"Towel"</formula>
    </cfRule>
    <cfRule type="cellIs" dxfId="22923" priority="7362" stopIfTrue="1" operator="equal">
      <formula>"Napkin Hs"</formula>
    </cfRule>
    <cfRule type="cellIs" dxfId="22922" priority="7365" stopIfTrue="1" operator="equal">
      <formula>"Towel"</formula>
    </cfRule>
    <cfRule type="cellIs" dxfId="22921" priority="7366" stopIfTrue="1" operator="equal">
      <formula>"Napkin Hs"</formula>
    </cfRule>
    <cfRule type="cellIs" dxfId="22920" priority="7367" stopIfTrue="1" operator="equal">
      <formula>"Towel"</formula>
    </cfRule>
    <cfRule type="cellIs" dxfId="22919" priority="7368" stopIfTrue="1" operator="equal">
      <formula>"Napkin Hs"</formula>
    </cfRule>
    <cfRule type="cellIs" dxfId="22918" priority="7371" stopIfTrue="1" operator="equal">
      <formula>"Towel"</formula>
    </cfRule>
    <cfRule type="cellIs" dxfId="22917" priority="7372" stopIfTrue="1" operator="equal">
      <formula>"Napkin Hs"</formula>
    </cfRule>
    <cfRule type="cellIs" dxfId="22916" priority="7373" stopIfTrue="1" operator="equal">
      <formula>"Towel"</formula>
    </cfRule>
    <cfRule type="cellIs" dxfId="22915" priority="7374" stopIfTrue="1" operator="equal">
      <formula>"Napkin Hs"</formula>
    </cfRule>
    <cfRule type="cellIs" dxfId="22914" priority="7379" stopIfTrue="1" operator="equal">
      <formula>"Towel"</formula>
    </cfRule>
    <cfRule type="cellIs" dxfId="22913" priority="7380" stopIfTrue="1" operator="equal">
      <formula>"Napkin Hs"</formula>
    </cfRule>
    <cfRule type="cellIs" dxfId="22912" priority="7381" stopIfTrue="1" operator="equal">
      <formula>"Towel"</formula>
    </cfRule>
    <cfRule type="cellIs" dxfId="22911" priority="7382" stopIfTrue="1" operator="equal">
      <formula>"Napkin Hs"</formula>
    </cfRule>
    <cfRule type="cellIs" dxfId="22910" priority="7385" stopIfTrue="1" operator="equal">
      <formula>"Towel"</formula>
    </cfRule>
    <cfRule type="cellIs" dxfId="22909" priority="7386" stopIfTrue="1" operator="equal">
      <formula>"Napkin Hs"</formula>
    </cfRule>
    <cfRule type="cellIs" dxfId="22908" priority="7387" stopIfTrue="1" operator="equal">
      <formula>"Towel"</formula>
    </cfRule>
    <cfRule type="cellIs" dxfId="22907" priority="7388" stopIfTrue="1" operator="equal">
      <formula>"Napkin Hs"</formula>
    </cfRule>
    <cfRule type="cellIs" dxfId="22906" priority="7389" stopIfTrue="1" operator="equal">
      <formula>"Towel"</formula>
    </cfRule>
    <cfRule type="cellIs" dxfId="22905" priority="7390" stopIfTrue="1" operator="equal">
      <formula>"Napkin Hs"</formula>
    </cfRule>
    <cfRule type="cellIs" dxfId="22904" priority="7391" stopIfTrue="1" operator="equal">
      <formula>"Towel"</formula>
    </cfRule>
    <cfRule type="cellIs" dxfId="22903" priority="7392" stopIfTrue="1" operator="equal">
      <formula>"Napkin Hs"</formula>
    </cfRule>
    <cfRule type="cellIs" dxfId="22902" priority="7395" stopIfTrue="1" operator="equal">
      <formula>"Towel"</formula>
    </cfRule>
    <cfRule type="cellIs" dxfId="22901" priority="7396" stopIfTrue="1" operator="equal">
      <formula>"Napkin Hs"</formula>
    </cfRule>
    <cfRule type="cellIs" dxfId="22900" priority="7397" stopIfTrue="1" operator="equal">
      <formula>"Towel"</formula>
    </cfRule>
    <cfRule type="cellIs" dxfId="22899" priority="7398" stopIfTrue="1" operator="equal">
      <formula>"Napkin Hs"</formula>
    </cfRule>
    <cfRule type="cellIs" dxfId="22898" priority="7403" stopIfTrue="1" operator="equal">
      <formula>"Towel"</formula>
    </cfRule>
    <cfRule type="cellIs" dxfId="22897" priority="7404" stopIfTrue="1" operator="equal">
      <formula>"Napkin Hs"</formula>
    </cfRule>
    <cfRule type="cellIs" dxfId="22896" priority="7405" stopIfTrue="1" operator="equal">
      <formula>"Towel"</formula>
    </cfRule>
    <cfRule type="cellIs" dxfId="22895" priority="7406" stopIfTrue="1" operator="equal">
      <formula>"Napkin Hs"</formula>
    </cfRule>
    <cfRule type="cellIs" dxfId="22894" priority="7409" stopIfTrue="1" operator="equal">
      <formula>"Towel"</formula>
    </cfRule>
    <cfRule type="cellIs" dxfId="22893" priority="7410" stopIfTrue="1" operator="equal">
      <formula>"Napkin Hs"</formula>
    </cfRule>
    <cfRule type="cellIs" dxfId="22892" priority="7411" stopIfTrue="1" operator="equal">
      <formula>"Towel"</formula>
    </cfRule>
    <cfRule type="cellIs" dxfId="22891" priority="7412" stopIfTrue="1" operator="equal">
      <formula>"Napkin Hs"</formula>
    </cfRule>
    <cfRule type="cellIs" dxfId="22890" priority="7413" stopIfTrue="1" operator="equal">
      <formula>"Towel"</formula>
    </cfRule>
    <cfRule type="cellIs" dxfId="22889" priority="7414" stopIfTrue="1" operator="equal">
      <formula>"Napkin Hs"</formula>
    </cfRule>
    <cfRule type="cellIs" dxfId="22888" priority="7415" stopIfTrue="1" operator="equal">
      <formula>"Towel"</formula>
    </cfRule>
    <cfRule type="cellIs" dxfId="22887" priority="7416" stopIfTrue="1" operator="equal">
      <formula>"Napkin Hs"</formula>
    </cfRule>
    <cfRule type="cellIs" dxfId="22886" priority="7421" stopIfTrue="1" operator="equal">
      <formula>"Towel"</formula>
    </cfRule>
    <cfRule type="cellIs" dxfId="22885" priority="7422" stopIfTrue="1" operator="equal">
      <formula>"Napkin Hs"</formula>
    </cfRule>
    <cfRule type="cellIs" dxfId="22884" priority="7423" stopIfTrue="1" operator="equal">
      <formula>"Towel"</formula>
    </cfRule>
    <cfRule type="cellIs" dxfId="22883" priority="7424" stopIfTrue="1" operator="equal">
      <formula>"Napkin Hs"</formula>
    </cfRule>
    <cfRule type="cellIs" dxfId="22882" priority="7427" stopIfTrue="1" operator="equal">
      <formula>"Towel"</formula>
    </cfRule>
    <cfRule type="cellIs" dxfId="22881" priority="7428" stopIfTrue="1" operator="equal">
      <formula>"Napkin Hs"</formula>
    </cfRule>
    <cfRule type="cellIs" dxfId="22880" priority="7429" stopIfTrue="1" operator="equal">
      <formula>"Towel"</formula>
    </cfRule>
    <cfRule type="cellIs" dxfId="22879" priority="7430" stopIfTrue="1" operator="equal">
      <formula>"Napkin Hs"</formula>
    </cfRule>
    <cfRule type="cellIs" dxfId="22878" priority="7431" stopIfTrue="1" operator="equal">
      <formula>"Towel"</formula>
    </cfRule>
    <cfRule type="cellIs" dxfId="22877" priority="7432" stopIfTrue="1" operator="equal">
      <formula>"Napkin Hs"</formula>
    </cfRule>
    <cfRule type="cellIs" dxfId="22876" priority="7433" stopIfTrue="1" operator="equal">
      <formula>"Towel"</formula>
    </cfRule>
    <cfRule type="cellIs" dxfId="22875" priority="7434" stopIfTrue="1" operator="equal">
      <formula>"Napkin Hs"</formula>
    </cfRule>
    <cfRule type="cellIs" dxfId="22874" priority="7439" stopIfTrue="1" operator="equal">
      <formula>"Towel"</formula>
    </cfRule>
    <cfRule type="cellIs" dxfId="22873" priority="7440" stopIfTrue="1" operator="equal">
      <formula>"Napkin Hs"</formula>
    </cfRule>
    <cfRule type="cellIs" dxfId="22872" priority="7441" stopIfTrue="1" operator="equal">
      <formula>"Towel"</formula>
    </cfRule>
    <cfRule type="cellIs" dxfId="22871" priority="7442" stopIfTrue="1" operator="equal">
      <formula>"Napkin Hs"</formula>
    </cfRule>
    <cfRule type="cellIs" dxfId="22870" priority="7445" stopIfTrue="1" operator="equal">
      <formula>"Towel"</formula>
    </cfRule>
    <cfRule type="cellIs" dxfId="22869" priority="7446" stopIfTrue="1" operator="equal">
      <formula>"Napkin Hs"</formula>
    </cfRule>
    <cfRule type="cellIs" dxfId="22868" priority="7447" stopIfTrue="1" operator="equal">
      <formula>"Towel"</formula>
    </cfRule>
    <cfRule type="cellIs" dxfId="22867" priority="7448" stopIfTrue="1" operator="equal">
      <formula>"Napkin Hs"</formula>
    </cfRule>
  </conditionalFormatting>
  <conditionalFormatting sqref="C97">
    <cfRule type="cellIs" dxfId="22866" priority="7352" stopIfTrue="1" operator="equal">
      <formula>"Napkin Hs"</formula>
    </cfRule>
  </conditionalFormatting>
  <conditionalFormatting sqref="C97">
    <cfRule type="cellIs" dxfId="22865" priority="7351" stopIfTrue="1" operator="equal">
      <formula>"Napkin Hs"</formula>
    </cfRule>
  </conditionalFormatting>
  <conditionalFormatting sqref="C97">
    <cfRule type="cellIs" dxfId="22864" priority="7350" stopIfTrue="1" operator="equal">
      <formula>"Napkin Hs"</formula>
    </cfRule>
  </conditionalFormatting>
  <conditionalFormatting sqref="C97">
    <cfRule type="cellIs" dxfId="22863" priority="7349" stopIfTrue="1" operator="equal">
      <formula>"Napkin Hs"</formula>
    </cfRule>
  </conditionalFormatting>
  <conditionalFormatting sqref="C97">
    <cfRule type="cellIs" dxfId="22862" priority="7348" stopIfTrue="1" operator="equal">
      <formula>"Napkin Hs"</formula>
    </cfRule>
  </conditionalFormatting>
  <conditionalFormatting sqref="C97">
    <cfRule type="cellIs" dxfId="22861" priority="7347" stopIfTrue="1" operator="equal">
      <formula>"Napkin Hs"</formula>
    </cfRule>
  </conditionalFormatting>
  <conditionalFormatting sqref="C97">
    <cfRule type="cellIs" dxfId="22860" priority="7343" stopIfTrue="1" operator="equal">
      <formula>"Towel"</formula>
    </cfRule>
    <cfRule type="cellIs" dxfId="22859" priority="7344" stopIfTrue="1" operator="equal">
      <formula>"Napkin Hs"</formula>
    </cfRule>
  </conditionalFormatting>
  <conditionalFormatting sqref="C97">
    <cfRule type="cellIs" dxfId="22858" priority="7345" stopIfTrue="1" operator="equal">
      <formula>"Towel"</formula>
    </cfRule>
    <cfRule type="cellIs" dxfId="22857" priority="7346" stopIfTrue="1" operator="equal">
      <formula>"Napkin Hs"</formula>
    </cfRule>
  </conditionalFormatting>
  <conditionalFormatting sqref="C97">
    <cfRule type="cellIs" dxfId="22856" priority="7339" stopIfTrue="1" operator="equal">
      <formula>"Towel"</formula>
    </cfRule>
    <cfRule type="cellIs" dxfId="22855" priority="7340" stopIfTrue="1" operator="equal">
      <formula>"Napkin Hs"</formula>
    </cfRule>
  </conditionalFormatting>
  <conditionalFormatting sqref="C97">
    <cfRule type="cellIs" dxfId="22854" priority="7341" stopIfTrue="1" operator="equal">
      <formula>"Towel"</formula>
    </cfRule>
    <cfRule type="cellIs" dxfId="22853" priority="7342" stopIfTrue="1" operator="equal">
      <formula>"Napkin Hs"</formula>
    </cfRule>
  </conditionalFormatting>
  <conditionalFormatting sqref="C103">
    <cfRule type="cellIs" dxfId="22852" priority="7331" stopIfTrue="1" operator="equal">
      <formula>"Towel"</formula>
    </cfRule>
    <cfRule type="cellIs" dxfId="22851" priority="7332" stopIfTrue="1" operator="equal">
      <formula>"Napkin Hs"</formula>
    </cfRule>
  </conditionalFormatting>
  <conditionalFormatting sqref="B103:C103">
    <cfRule type="cellIs" dxfId="22850" priority="7333" stopIfTrue="1" operator="equal">
      <formula>"Towel"</formula>
    </cfRule>
    <cfRule type="cellIs" dxfId="22849" priority="7334" stopIfTrue="1" operator="equal">
      <formula>"Napkin Hs"</formula>
    </cfRule>
  </conditionalFormatting>
  <conditionalFormatting sqref="C103">
    <cfRule type="cellIs" dxfId="22848" priority="7329" stopIfTrue="1" operator="equal">
      <formula>"Towel"</formula>
    </cfRule>
    <cfRule type="cellIs" dxfId="22847" priority="7330" stopIfTrue="1" operator="equal">
      <formula>"Napkin Hs"</formula>
    </cfRule>
  </conditionalFormatting>
  <conditionalFormatting sqref="B103:C103">
    <cfRule type="cellIs" dxfId="22846" priority="7327" stopIfTrue="1" operator="equal">
      <formula>"Towel"</formula>
    </cfRule>
    <cfRule type="cellIs" dxfId="22845" priority="7328" stopIfTrue="1" operator="equal">
      <formula>"Napkin Hs"</formula>
    </cfRule>
  </conditionalFormatting>
  <conditionalFormatting sqref="C103">
    <cfRule type="cellIs" dxfId="22844" priority="7335" stopIfTrue="1" operator="equal">
      <formula>"Towel"</formula>
    </cfRule>
    <cfRule type="cellIs" dxfId="22843" priority="7336" stopIfTrue="1" operator="equal">
      <formula>"Napkin Hs"</formula>
    </cfRule>
  </conditionalFormatting>
  <conditionalFormatting sqref="C103">
    <cfRule type="cellIs" dxfId="22842" priority="7337" stopIfTrue="1" operator="equal">
      <formula>"Towel"</formula>
    </cfRule>
    <cfRule type="cellIs" dxfId="22841" priority="7338" stopIfTrue="1" operator="equal">
      <formula>"Napkin Hs"</formula>
    </cfRule>
  </conditionalFormatting>
  <conditionalFormatting sqref="C103">
    <cfRule type="cellIs" dxfId="22840" priority="7323" stopIfTrue="1" operator="equal">
      <formula>"Towel"</formula>
    </cfRule>
    <cfRule type="cellIs" dxfId="22839" priority="7324" stopIfTrue="1" operator="equal">
      <formula>"Napkin Hs"</formula>
    </cfRule>
  </conditionalFormatting>
  <conditionalFormatting sqref="C103">
    <cfRule type="cellIs" dxfId="22838" priority="7325" stopIfTrue="1" operator="equal">
      <formula>"Towel"</formula>
    </cfRule>
    <cfRule type="cellIs" dxfId="22837" priority="7326" stopIfTrue="1" operator="equal">
      <formula>"Napkin Hs"</formula>
    </cfRule>
  </conditionalFormatting>
  <conditionalFormatting sqref="C103">
    <cfRule type="cellIs" dxfId="22836" priority="7321" stopIfTrue="1" operator="equal">
      <formula>"Towel"</formula>
    </cfRule>
    <cfRule type="cellIs" dxfId="22835" priority="7322" stopIfTrue="1" operator="equal">
      <formula>"Napkin Hs"</formula>
    </cfRule>
  </conditionalFormatting>
  <conditionalFormatting sqref="B103">
    <cfRule type="cellIs" dxfId="22834" priority="7319" stopIfTrue="1" operator="equal">
      <formula>"Towel"</formula>
    </cfRule>
    <cfRule type="cellIs" dxfId="22833" priority="7320" stopIfTrue="1" operator="equal">
      <formula>"Napkin Hs"</formula>
    </cfRule>
  </conditionalFormatting>
  <conditionalFormatting sqref="C103">
    <cfRule type="cellIs" dxfId="22832" priority="7313" stopIfTrue="1" operator="equal">
      <formula>"Towel"</formula>
    </cfRule>
    <cfRule type="cellIs" dxfId="22831" priority="7314" stopIfTrue="1" operator="equal">
      <formula>"Napkin Hs"</formula>
    </cfRule>
  </conditionalFormatting>
  <conditionalFormatting sqref="C103">
    <cfRule type="cellIs" dxfId="22830" priority="7317" stopIfTrue="1" operator="equal">
      <formula>"Towel"</formula>
    </cfRule>
    <cfRule type="cellIs" dxfId="22829" priority="7318" stopIfTrue="1" operator="equal">
      <formula>"Napkin Hs"</formula>
    </cfRule>
  </conditionalFormatting>
  <conditionalFormatting sqref="C103">
    <cfRule type="cellIs" dxfId="22828" priority="7315" stopIfTrue="1" operator="equal">
      <formula>"Towel"</formula>
    </cfRule>
    <cfRule type="cellIs" dxfId="22827" priority="7316" stopIfTrue="1" operator="equal">
      <formula>"Napkin Hs"</formula>
    </cfRule>
  </conditionalFormatting>
  <conditionalFormatting sqref="C103">
    <cfRule type="cellIs" dxfId="22826" priority="7307" stopIfTrue="1" operator="equal">
      <formula>"Towel"</formula>
    </cfRule>
    <cfRule type="cellIs" dxfId="22825" priority="7308" stopIfTrue="1" operator="equal">
      <formula>"Napkin Hs"</formula>
    </cfRule>
  </conditionalFormatting>
  <conditionalFormatting sqref="C103">
    <cfRule type="cellIs" dxfId="22824" priority="7309" stopIfTrue="1" operator="equal">
      <formula>"Towel"</formula>
    </cfRule>
    <cfRule type="cellIs" dxfId="22823" priority="7310" stopIfTrue="1" operator="equal">
      <formula>"Napkin Hs"</formula>
    </cfRule>
  </conditionalFormatting>
  <conditionalFormatting sqref="C103">
    <cfRule type="cellIs" dxfId="22822" priority="7311" stopIfTrue="1" operator="equal">
      <formula>"Towel"</formula>
    </cfRule>
    <cfRule type="cellIs" dxfId="22821" priority="7312" stopIfTrue="1" operator="equal">
      <formula>"Napkin Hs"</formula>
    </cfRule>
  </conditionalFormatting>
  <conditionalFormatting sqref="B103:C103">
    <cfRule type="cellIs" dxfId="22820" priority="7305" stopIfTrue="1" operator="equal">
      <formula>"Towel"</formula>
    </cfRule>
    <cfRule type="cellIs" dxfId="22819" priority="7306" stopIfTrue="1" operator="equal">
      <formula>"Napkin Hs"</formula>
    </cfRule>
  </conditionalFormatting>
  <conditionalFormatting sqref="B103:C103">
    <cfRule type="cellIs" dxfId="22818" priority="7303" stopIfTrue="1" operator="equal">
      <formula>"Towel"</formula>
    </cfRule>
    <cfRule type="cellIs" dxfId="22817" priority="7304" stopIfTrue="1" operator="equal">
      <formula>"Napkin Hs"</formula>
    </cfRule>
  </conditionalFormatting>
  <conditionalFormatting sqref="B103:C103">
    <cfRule type="cellIs" dxfId="22816" priority="7279" stopIfTrue="1" operator="equal">
      <formula>"Towel"</formula>
    </cfRule>
  </conditionalFormatting>
  <conditionalFormatting sqref="B103:C103">
    <cfRule type="cellIs" dxfId="22815" priority="7280" stopIfTrue="1" operator="equal">
      <formula>"Napkin Hs"</formula>
    </cfRule>
    <cfRule type="cellIs" dxfId="22814" priority="7285" stopIfTrue="1" operator="equal">
      <formula>"Towel"</formula>
    </cfRule>
    <cfRule type="cellIs" dxfId="22813" priority="7286" stopIfTrue="1" operator="equal">
      <formula>"Napkin Hs"</formula>
    </cfRule>
    <cfRule type="cellIs" dxfId="22812" priority="7295" stopIfTrue="1" operator="equal">
      <formula>"Towel"</formula>
    </cfRule>
    <cfRule type="cellIs" dxfId="22811" priority="7296" stopIfTrue="1" operator="equal">
      <formula>"Napkin Hs"</formula>
    </cfRule>
    <cfRule type="cellIs" dxfId="22810" priority="7301" stopIfTrue="1" operator="equal">
      <formula>"Towel"</formula>
    </cfRule>
    <cfRule type="cellIs" dxfId="22809" priority="7302" stopIfTrue="1" operator="equal">
      <formula>"Napkin Hs"</formula>
    </cfRule>
  </conditionalFormatting>
  <conditionalFormatting sqref="C103">
    <cfRule type="cellIs" dxfId="22808" priority="7281" stopIfTrue="1" operator="equal">
      <formula>"Towel"</formula>
    </cfRule>
    <cfRule type="cellIs" dxfId="22807" priority="7282" stopIfTrue="1" operator="equal">
      <formula>"Napkin Hs"</formula>
    </cfRule>
    <cfRule type="cellIs" dxfId="22806" priority="7283" stopIfTrue="1" operator="equal">
      <formula>"Towel"</formula>
    </cfRule>
    <cfRule type="cellIs" dxfId="22805" priority="7284" stopIfTrue="1" operator="equal">
      <formula>"Napkin Hs"</formula>
    </cfRule>
    <cfRule type="cellIs" dxfId="22804" priority="7287" stopIfTrue="1" operator="equal">
      <formula>"Towel"</formula>
    </cfRule>
    <cfRule type="cellIs" dxfId="22803" priority="7288" stopIfTrue="1" operator="equal">
      <formula>"Napkin Hs"</formula>
    </cfRule>
    <cfRule type="cellIs" dxfId="22802" priority="7289" stopIfTrue="1" operator="equal">
      <formula>"Towel"</formula>
    </cfRule>
    <cfRule type="cellIs" dxfId="22801" priority="7290" stopIfTrue="1" operator="equal">
      <formula>"Napkin Hs"</formula>
    </cfRule>
    <cfRule type="cellIs" dxfId="22800" priority="7291" stopIfTrue="1" operator="equal">
      <formula>"Towel"</formula>
    </cfRule>
    <cfRule type="cellIs" dxfId="22799" priority="7292" stopIfTrue="1" operator="equal">
      <formula>"Napkin Hs"</formula>
    </cfRule>
    <cfRule type="cellIs" dxfId="22798" priority="7293" stopIfTrue="1" operator="equal">
      <formula>"Towel"</formula>
    </cfRule>
    <cfRule type="cellIs" dxfId="22797" priority="7294" stopIfTrue="1" operator="equal">
      <formula>"Napkin Hs"</formula>
    </cfRule>
    <cfRule type="cellIs" dxfId="22796" priority="7297" stopIfTrue="1" operator="equal">
      <formula>"Towel"</formula>
    </cfRule>
    <cfRule type="cellIs" dxfId="22795" priority="7298" stopIfTrue="1" operator="equal">
      <formula>"Napkin Hs"</formula>
    </cfRule>
    <cfRule type="cellIs" dxfId="22794" priority="7300" stopIfTrue="1" operator="equal">
      <formula>"Napkin Hs"</formula>
    </cfRule>
  </conditionalFormatting>
  <conditionalFormatting sqref="C103">
    <cfRule type="cellIs" dxfId="22793" priority="7299" stopIfTrue="1" operator="equal">
      <formula>"Towel"</formula>
    </cfRule>
  </conditionalFormatting>
  <conditionalFormatting sqref="B103:C103">
    <cfRule type="cellIs" dxfId="22792" priority="7277" stopIfTrue="1" operator="equal">
      <formula>"Towel"</formula>
    </cfRule>
    <cfRule type="cellIs" dxfId="22791" priority="7278" stopIfTrue="1" operator="equal">
      <formula>"Napkin Hs"</formula>
    </cfRule>
  </conditionalFormatting>
  <conditionalFormatting sqref="C103">
    <cfRule type="cellIs" dxfId="22790" priority="7276" stopIfTrue="1" operator="equal">
      <formula>"Napkin Hs"</formula>
    </cfRule>
  </conditionalFormatting>
  <conditionalFormatting sqref="C103">
    <cfRule type="cellIs" dxfId="22789" priority="7275" stopIfTrue="1" operator="equal">
      <formula>"Towel"</formula>
    </cfRule>
  </conditionalFormatting>
  <conditionalFormatting sqref="C103">
    <cfRule type="cellIs" dxfId="22788" priority="7273" stopIfTrue="1" operator="equal">
      <formula>"Towel"</formula>
    </cfRule>
  </conditionalFormatting>
  <conditionalFormatting sqref="C103">
    <cfRule type="cellIs" dxfId="22787" priority="7274" stopIfTrue="1" operator="equal">
      <formula>"Napkin Hs"</formula>
    </cfRule>
  </conditionalFormatting>
  <conditionalFormatting sqref="B103">
    <cfRule type="cellIs" dxfId="22786" priority="7177" stopIfTrue="1" operator="equal">
      <formula>"Napkin Hs"</formula>
    </cfRule>
  </conditionalFormatting>
  <conditionalFormatting sqref="B103:C103">
    <cfRule type="cellIs" dxfId="22785" priority="7176" stopIfTrue="1" operator="equal">
      <formula>"Towel"</formula>
    </cfRule>
  </conditionalFormatting>
  <conditionalFormatting sqref="B103:C103">
    <cfRule type="cellIs" dxfId="22784" priority="7187" stopIfTrue="1" operator="equal">
      <formula>"Towel"</formula>
    </cfRule>
    <cfRule type="cellIs" dxfId="22783" priority="7188" stopIfTrue="1" operator="equal">
      <formula>"Napkin Hs"</formula>
    </cfRule>
    <cfRule type="cellIs" dxfId="22782" priority="7193" stopIfTrue="1" operator="equal">
      <formula>"Towel"</formula>
    </cfRule>
    <cfRule type="cellIs" dxfId="22781" priority="7194" stopIfTrue="1" operator="equal">
      <formula>"Napkin Hs"</formula>
    </cfRule>
    <cfRule type="cellIs" dxfId="22780" priority="7199" stopIfTrue="1" operator="equal">
      <formula>"Towel"</formula>
    </cfRule>
    <cfRule type="cellIs" dxfId="22779" priority="7200" stopIfTrue="1" operator="equal">
      <formula>"Napkin Hs"</formula>
    </cfRule>
    <cfRule type="cellIs" dxfId="22778" priority="7201" stopIfTrue="1" operator="equal">
      <formula>"Towel"</formula>
    </cfRule>
    <cfRule type="cellIs" dxfId="22777" priority="7202" stopIfTrue="1" operator="equal">
      <formula>"Napkin Hs"</formula>
    </cfRule>
    <cfRule type="cellIs" dxfId="22776" priority="7207" stopIfTrue="1" operator="equal">
      <formula>"Towel"</formula>
    </cfRule>
    <cfRule type="cellIs" dxfId="22775" priority="7208" stopIfTrue="1" operator="equal">
      <formula>"Napkin Hs"</formula>
    </cfRule>
    <cfRule type="cellIs" dxfId="22774" priority="7217" stopIfTrue="1" operator="equal">
      <formula>"Towel"</formula>
    </cfRule>
    <cfRule type="cellIs" dxfId="22773" priority="7218" stopIfTrue="1" operator="equal">
      <formula>"Napkin Hs"</formula>
    </cfRule>
    <cfRule type="cellIs" dxfId="22772" priority="7223" stopIfTrue="1" operator="equal">
      <formula>"Towel"</formula>
    </cfRule>
    <cfRule type="cellIs" dxfId="22771" priority="7224" stopIfTrue="1" operator="equal">
      <formula>"Napkin Hs"</formula>
    </cfRule>
    <cfRule type="cellIs" dxfId="22770" priority="7225" stopIfTrue="1" operator="equal">
      <formula>"Towel"</formula>
    </cfRule>
    <cfRule type="cellIs" dxfId="22769" priority="7226" stopIfTrue="1" operator="equal">
      <formula>"Napkin Hs"</formula>
    </cfRule>
    <cfRule type="cellIs" dxfId="22768" priority="7231" stopIfTrue="1" operator="equal">
      <formula>"Towel"</formula>
    </cfRule>
    <cfRule type="cellIs" dxfId="22767" priority="7232" stopIfTrue="1" operator="equal">
      <formula>"Napkin Hs"</formula>
    </cfRule>
    <cfRule type="cellIs" dxfId="22766" priority="7241" stopIfTrue="1" operator="equal">
      <formula>"Towel"</formula>
    </cfRule>
    <cfRule type="cellIs" dxfId="22765" priority="7242" stopIfTrue="1" operator="equal">
      <formula>"Napkin Hs"</formula>
    </cfRule>
    <cfRule type="cellIs" dxfId="22764" priority="7243" stopIfTrue="1" operator="equal">
      <formula>"Towel"</formula>
    </cfRule>
    <cfRule type="cellIs" dxfId="22763" priority="7244" stopIfTrue="1" operator="equal">
      <formula>"Napkin Hs"</formula>
    </cfRule>
    <cfRule type="cellIs" dxfId="22762" priority="7249" stopIfTrue="1" operator="equal">
      <formula>"Towel"</formula>
    </cfRule>
    <cfRule type="cellIs" dxfId="22761" priority="7250" stopIfTrue="1" operator="equal">
      <formula>"Napkin Hs"</formula>
    </cfRule>
    <cfRule type="cellIs" dxfId="22760" priority="7259" stopIfTrue="1" operator="equal">
      <formula>"Towel"</formula>
    </cfRule>
    <cfRule type="cellIs" dxfId="22759" priority="7260" stopIfTrue="1" operator="equal">
      <formula>"Napkin Hs"</formula>
    </cfRule>
    <cfRule type="cellIs" dxfId="22758" priority="7261" stopIfTrue="1" operator="equal">
      <formula>"Towel"</formula>
    </cfRule>
    <cfRule type="cellIs" dxfId="22757" priority="7262" stopIfTrue="1" operator="equal">
      <formula>"Napkin Hs"</formula>
    </cfRule>
    <cfRule type="cellIs" dxfId="22756" priority="7268" stopIfTrue="1" operator="equal">
      <formula>"Napkin Hs"</formula>
    </cfRule>
  </conditionalFormatting>
  <conditionalFormatting sqref="B103:C103">
    <cfRule type="cellIs" dxfId="22755" priority="7267" stopIfTrue="1" operator="equal">
      <formula>"Towel"</formula>
    </cfRule>
  </conditionalFormatting>
  <conditionalFormatting sqref="C103">
    <cfRule type="cellIs" dxfId="22754" priority="7178" stopIfTrue="1" operator="equal">
      <formula>"Napkin Hs"</formula>
    </cfRule>
    <cfRule type="cellIs" dxfId="22753" priority="7179" stopIfTrue="1" operator="equal">
      <formula>"Towel"</formula>
    </cfRule>
    <cfRule type="cellIs" dxfId="22752" priority="7180" stopIfTrue="1" operator="equal">
      <formula>"Napkin Hs"</formula>
    </cfRule>
    <cfRule type="cellIs" dxfId="22751" priority="7181" stopIfTrue="1" operator="equal">
      <formula>"Towel"</formula>
    </cfRule>
    <cfRule type="cellIs" dxfId="22750" priority="7182" stopIfTrue="1" operator="equal">
      <formula>"Napkin Hs"</formula>
    </cfRule>
    <cfRule type="cellIs" dxfId="22749" priority="7183" stopIfTrue="1" operator="equal">
      <formula>"Towel"</formula>
    </cfRule>
    <cfRule type="cellIs" dxfId="22748" priority="7184" stopIfTrue="1" operator="equal">
      <formula>"Napkin Hs"</formula>
    </cfRule>
    <cfRule type="cellIs" dxfId="22747" priority="7185" stopIfTrue="1" operator="equal">
      <formula>"Towel"</formula>
    </cfRule>
    <cfRule type="cellIs" dxfId="22746" priority="7186" stopIfTrue="1" operator="equal">
      <formula>"Napkin Hs"</formula>
    </cfRule>
    <cfRule type="cellIs" dxfId="22745" priority="7189" stopIfTrue="1" operator="equal">
      <formula>"Towel"</formula>
    </cfRule>
    <cfRule type="cellIs" dxfId="22744" priority="7190" stopIfTrue="1" operator="equal">
      <formula>"Napkin Hs"</formula>
    </cfRule>
    <cfRule type="cellIs" dxfId="22743" priority="7191" stopIfTrue="1" operator="equal">
      <formula>"Towel"</formula>
    </cfRule>
    <cfRule type="cellIs" dxfId="22742" priority="7192" stopIfTrue="1" operator="equal">
      <formula>"Napkin Hs"</formula>
    </cfRule>
    <cfRule type="cellIs" dxfId="22741" priority="7195" stopIfTrue="1" operator="equal">
      <formula>"Towel"</formula>
    </cfRule>
    <cfRule type="cellIs" dxfId="22740" priority="7196" stopIfTrue="1" operator="equal">
      <formula>"Napkin Hs"</formula>
    </cfRule>
    <cfRule type="cellIs" dxfId="22739" priority="7197" stopIfTrue="1" operator="equal">
      <formula>"Towel"</formula>
    </cfRule>
    <cfRule type="cellIs" dxfId="22738" priority="7198" stopIfTrue="1" operator="equal">
      <formula>"Napkin Hs"</formula>
    </cfRule>
    <cfRule type="cellIs" dxfId="22737" priority="7203" stopIfTrue="1" operator="equal">
      <formula>"Towel"</formula>
    </cfRule>
    <cfRule type="cellIs" dxfId="22736" priority="7204" stopIfTrue="1" operator="equal">
      <formula>"Napkin Hs"</formula>
    </cfRule>
    <cfRule type="cellIs" dxfId="22735" priority="7205" stopIfTrue="1" operator="equal">
      <formula>"Towel"</formula>
    </cfRule>
    <cfRule type="cellIs" dxfId="22734" priority="7206" stopIfTrue="1" operator="equal">
      <formula>"Napkin Hs"</formula>
    </cfRule>
    <cfRule type="cellIs" dxfId="22733" priority="7209" stopIfTrue="1" operator="equal">
      <formula>"Towel"</formula>
    </cfRule>
    <cfRule type="cellIs" dxfId="22732" priority="7210" stopIfTrue="1" operator="equal">
      <formula>"Napkin Hs"</formula>
    </cfRule>
    <cfRule type="cellIs" dxfId="22731" priority="7211" stopIfTrue="1" operator="equal">
      <formula>"Towel"</formula>
    </cfRule>
    <cfRule type="cellIs" dxfId="22730" priority="7212" stopIfTrue="1" operator="equal">
      <formula>"Napkin Hs"</formula>
    </cfRule>
    <cfRule type="cellIs" dxfId="22729" priority="7213" stopIfTrue="1" operator="equal">
      <formula>"Towel"</formula>
    </cfRule>
    <cfRule type="cellIs" dxfId="22728" priority="7214" stopIfTrue="1" operator="equal">
      <formula>"Napkin Hs"</formula>
    </cfRule>
    <cfRule type="cellIs" dxfId="22727" priority="7215" stopIfTrue="1" operator="equal">
      <formula>"Towel"</formula>
    </cfRule>
    <cfRule type="cellIs" dxfId="22726" priority="7216" stopIfTrue="1" operator="equal">
      <formula>"Napkin Hs"</formula>
    </cfRule>
    <cfRule type="cellIs" dxfId="22725" priority="7219" stopIfTrue="1" operator="equal">
      <formula>"Towel"</formula>
    </cfRule>
    <cfRule type="cellIs" dxfId="22724" priority="7220" stopIfTrue="1" operator="equal">
      <formula>"Napkin Hs"</formula>
    </cfRule>
    <cfRule type="cellIs" dxfId="22723" priority="7221" stopIfTrue="1" operator="equal">
      <formula>"Towel"</formula>
    </cfRule>
    <cfRule type="cellIs" dxfId="22722" priority="7222" stopIfTrue="1" operator="equal">
      <formula>"Napkin Hs"</formula>
    </cfRule>
    <cfRule type="cellIs" dxfId="22721" priority="7227" stopIfTrue="1" operator="equal">
      <formula>"Towel"</formula>
    </cfRule>
    <cfRule type="cellIs" dxfId="22720" priority="7228" stopIfTrue="1" operator="equal">
      <formula>"Napkin Hs"</formula>
    </cfRule>
    <cfRule type="cellIs" dxfId="22719" priority="7229" stopIfTrue="1" operator="equal">
      <formula>"Towel"</formula>
    </cfRule>
    <cfRule type="cellIs" dxfId="22718" priority="7230" stopIfTrue="1" operator="equal">
      <formula>"Napkin Hs"</formula>
    </cfRule>
    <cfRule type="cellIs" dxfId="22717" priority="7233" stopIfTrue="1" operator="equal">
      <formula>"Towel"</formula>
    </cfRule>
    <cfRule type="cellIs" dxfId="22716" priority="7234" stopIfTrue="1" operator="equal">
      <formula>"Napkin Hs"</formula>
    </cfRule>
    <cfRule type="cellIs" dxfId="22715" priority="7235" stopIfTrue="1" operator="equal">
      <formula>"Towel"</formula>
    </cfRule>
    <cfRule type="cellIs" dxfId="22714" priority="7236" stopIfTrue="1" operator="equal">
      <formula>"Napkin Hs"</formula>
    </cfRule>
    <cfRule type="cellIs" dxfId="22713" priority="7237" stopIfTrue="1" operator="equal">
      <formula>"Towel"</formula>
    </cfRule>
    <cfRule type="cellIs" dxfId="22712" priority="7238" stopIfTrue="1" operator="equal">
      <formula>"Napkin Hs"</formula>
    </cfRule>
    <cfRule type="cellIs" dxfId="22711" priority="7239" stopIfTrue="1" operator="equal">
      <formula>"Towel"</formula>
    </cfRule>
    <cfRule type="cellIs" dxfId="22710" priority="7240" stopIfTrue="1" operator="equal">
      <formula>"Napkin Hs"</formula>
    </cfRule>
    <cfRule type="cellIs" dxfId="22709" priority="7245" stopIfTrue="1" operator="equal">
      <formula>"Towel"</formula>
    </cfRule>
    <cfRule type="cellIs" dxfId="22708" priority="7246" stopIfTrue="1" operator="equal">
      <formula>"Napkin Hs"</formula>
    </cfRule>
    <cfRule type="cellIs" dxfId="22707" priority="7247" stopIfTrue="1" operator="equal">
      <formula>"Towel"</formula>
    </cfRule>
    <cfRule type="cellIs" dxfId="22706" priority="7248" stopIfTrue="1" operator="equal">
      <formula>"Napkin Hs"</formula>
    </cfRule>
    <cfRule type="cellIs" dxfId="22705" priority="7251" stopIfTrue="1" operator="equal">
      <formula>"Towel"</formula>
    </cfRule>
    <cfRule type="cellIs" dxfId="22704" priority="7252" stopIfTrue="1" operator="equal">
      <formula>"Napkin Hs"</formula>
    </cfRule>
    <cfRule type="cellIs" dxfId="22703" priority="7253" stopIfTrue="1" operator="equal">
      <formula>"Towel"</formula>
    </cfRule>
    <cfRule type="cellIs" dxfId="22702" priority="7254" stopIfTrue="1" operator="equal">
      <formula>"Napkin Hs"</formula>
    </cfRule>
    <cfRule type="cellIs" dxfId="22701" priority="7255" stopIfTrue="1" operator="equal">
      <formula>"Towel"</formula>
    </cfRule>
    <cfRule type="cellIs" dxfId="22700" priority="7256" stopIfTrue="1" operator="equal">
      <formula>"Napkin Hs"</formula>
    </cfRule>
    <cfRule type="cellIs" dxfId="22699" priority="7257" stopIfTrue="1" operator="equal">
      <formula>"Towel"</formula>
    </cfRule>
    <cfRule type="cellIs" dxfId="22698" priority="7258" stopIfTrue="1" operator="equal">
      <formula>"Napkin Hs"</formula>
    </cfRule>
    <cfRule type="cellIs" dxfId="22697" priority="7263" stopIfTrue="1" operator="equal">
      <formula>"Towel"</formula>
    </cfRule>
    <cfRule type="cellIs" dxfId="22696" priority="7264" stopIfTrue="1" operator="equal">
      <formula>"Napkin Hs"</formula>
    </cfRule>
    <cfRule type="cellIs" dxfId="22695" priority="7265" stopIfTrue="1" operator="equal">
      <formula>"Towel"</formula>
    </cfRule>
    <cfRule type="cellIs" dxfId="22694" priority="7266" stopIfTrue="1" operator="equal">
      <formula>"Napkin Hs"</formula>
    </cfRule>
    <cfRule type="cellIs" dxfId="22693" priority="7269" stopIfTrue="1" operator="equal">
      <formula>"Towel"</formula>
    </cfRule>
    <cfRule type="cellIs" dxfId="22692" priority="7270" stopIfTrue="1" operator="equal">
      <formula>"Napkin Hs"</formula>
    </cfRule>
    <cfRule type="cellIs" dxfId="22691" priority="7271" stopIfTrue="1" operator="equal">
      <formula>"Towel"</formula>
    </cfRule>
    <cfRule type="cellIs" dxfId="22690" priority="7272" stopIfTrue="1" operator="equal">
      <formula>"Napkin Hs"</formula>
    </cfRule>
  </conditionalFormatting>
  <conditionalFormatting sqref="C103">
    <cfRule type="cellIs" dxfId="22689" priority="7175" stopIfTrue="1" operator="equal">
      <formula>"Napkin Hs"</formula>
    </cfRule>
  </conditionalFormatting>
  <conditionalFormatting sqref="C103">
    <cfRule type="cellIs" dxfId="22688" priority="7174" stopIfTrue="1" operator="equal">
      <formula>"Napkin Hs"</formula>
    </cfRule>
  </conditionalFormatting>
  <conditionalFormatting sqref="B103">
    <cfRule type="cellIs" dxfId="22687" priority="7173" stopIfTrue="1" operator="equal">
      <formula>"Napkin Hs"</formula>
    </cfRule>
  </conditionalFormatting>
  <conditionalFormatting sqref="C103">
    <cfRule type="cellIs" dxfId="22686" priority="7172" stopIfTrue="1" operator="equal">
      <formula>"Napkin Hs"</formula>
    </cfRule>
  </conditionalFormatting>
  <conditionalFormatting sqref="C103">
    <cfRule type="cellIs" dxfId="22685" priority="7171" stopIfTrue="1" operator="equal">
      <formula>"Napkin Hs"</formula>
    </cfRule>
  </conditionalFormatting>
  <conditionalFormatting sqref="C103">
    <cfRule type="cellIs" dxfId="22684" priority="7170" stopIfTrue="1" operator="equal">
      <formula>"Napkin Hs"</formula>
    </cfRule>
  </conditionalFormatting>
  <conditionalFormatting sqref="C103">
    <cfRule type="cellIs" dxfId="22683" priority="7169" stopIfTrue="1" operator="equal">
      <formula>"Napkin Hs"</formula>
    </cfRule>
  </conditionalFormatting>
  <conditionalFormatting sqref="B103">
    <cfRule type="cellIs" dxfId="22682" priority="7168" stopIfTrue="1" operator="equal">
      <formula>"Napkin Hs"</formula>
    </cfRule>
  </conditionalFormatting>
  <conditionalFormatting sqref="B103">
    <cfRule type="cellIs" dxfId="22681" priority="7167" stopIfTrue="1" operator="equal">
      <formula>"Napkin Hs"</formula>
    </cfRule>
  </conditionalFormatting>
  <conditionalFormatting sqref="C103">
    <cfRule type="cellIs" dxfId="22680" priority="7163" stopIfTrue="1" operator="equal">
      <formula>"Towel"</formula>
    </cfRule>
    <cfRule type="cellIs" dxfId="22679" priority="7164" stopIfTrue="1" operator="equal">
      <formula>"Napkin Hs"</formula>
    </cfRule>
  </conditionalFormatting>
  <conditionalFormatting sqref="C103">
    <cfRule type="cellIs" dxfId="22678" priority="7165" stopIfTrue="1" operator="equal">
      <formula>"Towel"</formula>
    </cfRule>
    <cfRule type="cellIs" dxfId="22677" priority="7166" stopIfTrue="1" operator="equal">
      <formula>"Napkin Hs"</formula>
    </cfRule>
  </conditionalFormatting>
  <conditionalFormatting sqref="C103">
    <cfRule type="cellIs" dxfId="22676" priority="7159" stopIfTrue="1" operator="equal">
      <formula>"Towel"</formula>
    </cfRule>
    <cfRule type="cellIs" dxfId="22675" priority="7160" stopIfTrue="1" operator="equal">
      <formula>"Napkin Hs"</formula>
    </cfRule>
  </conditionalFormatting>
  <conditionalFormatting sqref="C103">
    <cfRule type="cellIs" dxfId="22674" priority="7161" stopIfTrue="1" operator="equal">
      <formula>"Towel"</formula>
    </cfRule>
    <cfRule type="cellIs" dxfId="22673" priority="7162" stopIfTrue="1" operator="equal">
      <formula>"Napkin Hs"</formula>
    </cfRule>
  </conditionalFormatting>
  <conditionalFormatting sqref="B102">
    <cfRule type="cellIs" dxfId="22672" priority="7158" stopIfTrue="1" operator="equal">
      <formula>"Napkin Hs"</formula>
    </cfRule>
  </conditionalFormatting>
  <conditionalFormatting sqref="B102">
    <cfRule type="cellIs" dxfId="22671" priority="7157" stopIfTrue="1" operator="equal">
      <formula>"Napkin Hs"</formula>
    </cfRule>
  </conditionalFormatting>
  <conditionalFormatting sqref="B102">
    <cfRule type="cellIs" dxfId="22670" priority="7156" stopIfTrue="1" operator="equal">
      <formula>"Napkin Hs"</formula>
    </cfRule>
  </conditionalFormatting>
  <conditionalFormatting sqref="C102">
    <cfRule type="cellIs" dxfId="22669" priority="7154" stopIfTrue="1" operator="equal">
      <formula>"Towel"</formula>
    </cfRule>
    <cfRule type="cellIs" dxfId="22668" priority="7155" stopIfTrue="1" operator="equal">
      <formula>"Napkin Hs"</formula>
    </cfRule>
  </conditionalFormatting>
  <conditionalFormatting sqref="C102">
    <cfRule type="cellIs" dxfId="22667" priority="7150" stopIfTrue="1" operator="equal">
      <formula>"Towel"</formula>
    </cfRule>
    <cfRule type="cellIs" dxfId="22666" priority="7151" stopIfTrue="1" operator="equal">
      <formula>"Napkin Hs"</formula>
    </cfRule>
  </conditionalFormatting>
  <conditionalFormatting sqref="C102">
    <cfRule type="cellIs" dxfId="22665" priority="7152" stopIfTrue="1" operator="equal">
      <formula>"Towel"</formula>
    </cfRule>
    <cfRule type="cellIs" dxfId="22664" priority="7153" stopIfTrue="1" operator="equal">
      <formula>"Napkin Hs"</formula>
    </cfRule>
  </conditionalFormatting>
  <conditionalFormatting sqref="C102">
    <cfRule type="cellIs" dxfId="22663" priority="7146" stopIfTrue="1" operator="equal">
      <formula>"Towel"</formula>
    </cfRule>
    <cfRule type="cellIs" dxfId="22662" priority="7147" stopIfTrue="1" operator="equal">
      <formula>"Napkin Hs"</formula>
    </cfRule>
  </conditionalFormatting>
  <conditionalFormatting sqref="C102">
    <cfRule type="cellIs" dxfId="22661" priority="7148" stopIfTrue="1" operator="equal">
      <formula>"Towel"</formula>
    </cfRule>
    <cfRule type="cellIs" dxfId="22660" priority="7149" stopIfTrue="1" operator="equal">
      <formula>"Napkin Hs"</formula>
    </cfRule>
  </conditionalFormatting>
  <conditionalFormatting sqref="C102">
    <cfRule type="cellIs" dxfId="22659" priority="7144" stopIfTrue="1" operator="equal">
      <formula>"Towel"</formula>
    </cfRule>
    <cfRule type="cellIs" dxfId="22658" priority="7145" stopIfTrue="1" operator="equal">
      <formula>"Napkin Hs"</formula>
    </cfRule>
  </conditionalFormatting>
  <conditionalFormatting sqref="C102">
    <cfRule type="cellIs" dxfId="22657" priority="7138" stopIfTrue="1" operator="equal">
      <formula>"Towel"</formula>
    </cfRule>
    <cfRule type="cellIs" dxfId="22656" priority="7139" stopIfTrue="1" operator="equal">
      <formula>"Napkin Hs"</formula>
    </cfRule>
  </conditionalFormatting>
  <conditionalFormatting sqref="C102">
    <cfRule type="cellIs" dxfId="22655" priority="7142" stopIfTrue="1" operator="equal">
      <formula>"Towel"</formula>
    </cfRule>
    <cfRule type="cellIs" dxfId="22654" priority="7143" stopIfTrue="1" operator="equal">
      <formula>"Napkin Hs"</formula>
    </cfRule>
  </conditionalFormatting>
  <conditionalFormatting sqref="C102">
    <cfRule type="cellIs" dxfId="22653" priority="7140" stopIfTrue="1" operator="equal">
      <formula>"Towel"</formula>
    </cfRule>
    <cfRule type="cellIs" dxfId="22652" priority="7141" stopIfTrue="1" operator="equal">
      <formula>"Napkin Hs"</formula>
    </cfRule>
  </conditionalFormatting>
  <conditionalFormatting sqref="C102">
    <cfRule type="cellIs" dxfId="22651" priority="7132" stopIfTrue="1" operator="equal">
      <formula>"Towel"</formula>
    </cfRule>
    <cfRule type="cellIs" dxfId="22650" priority="7133" stopIfTrue="1" operator="equal">
      <formula>"Napkin Hs"</formula>
    </cfRule>
  </conditionalFormatting>
  <conditionalFormatting sqref="C102">
    <cfRule type="cellIs" dxfId="22649" priority="7134" stopIfTrue="1" operator="equal">
      <formula>"Towel"</formula>
    </cfRule>
    <cfRule type="cellIs" dxfId="22648" priority="7135" stopIfTrue="1" operator="equal">
      <formula>"Napkin Hs"</formula>
    </cfRule>
  </conditionalFormatting>
  <conditionalFormatting sqref="C102">
    <cfRule type="cellIs" dxfId="22647" priority="7136" stopIfTrue="1" operator="equal">
      <formula>"Towel"</formula>
    </cfRule>
    <cfRule type="cellIs" dxfId="22646" priority="7137" stopIfTrue="1" operator="equal">
      <formula>"Napkin Hs"</formula>
    </cfRule>
  </conditionalFormatting>
  <conditionalFormatting sqref="C102">
    <cfRule type="cellIs" dxfId="22645" priority="7130" stopIfTrue="1" operator="equal">
      <formula>"Towel"</formula>
    </cfRule>
    <cfRule type="cellIs" dxfId="22644" priority="7131" stopIfTrue="1" operator="equal">
      <formula>"Napkin Hs"</formula>
    </cfRule>
  </conditionalFormatting>
  <conditionalFormatting sqref="C102">
    <cfRule type="cellIs" dxfId="22643" priority="7128" stopIfTrue="1" operator="equal">
      <formula>"Towel"</formula>
    </cfRule>
    <cfRule type="cellIs" dxfId="22642" priority="7129" stopIfTrue="1" operator="equal">
      <formula>"Napkin Hs"</formula>
    </cfRule>
  </conditionalFormatting>
  <conditionalFormatting sqref="C102">
    <cfRule type="cellIs" dxfId="22641" priority="7104" stopIfTrue="1" operator="equal">
      <formula>"Towel"</formula>
    </cfRule>
  </conditionalFormatting>
  <conditionalFormatting sqref="C102">
    <cfRule type="cellIs" dxfId="22640" priority="7105" stopIfTrue="1" operator="equal">
      <formula>"Napkin Hs"</formula>
    </cfRule>
    <cfRule type="cellIs" dxfId="22639" priority="7110" stopIfTrue="1" operator="equal">
      <formula>"Towel"</formula>
    </cfRule>
    <cfRule type="cellIs" dxfId="22638" priority="7111" stopIfTrue="1" operator="equal">
      <formula>"Napkin Hs"</formula>
    </cfRule>
    <cfRule type="cellIs" dxfId="22637" priority="7120" stopIfTrue="1" operator="equal">
      <formula>"Towel"</formula>
    </cfRule>
    <cfRule type="cellIs" dxfId="22636" priority="7121" stopIfTrue="1" operator="equal">
      <formula>"Napkin Hs"</formula>
    </cfRule>
    <cfRule type="cellIs" dxfId="22635" priority="7126" stopIfTrue="1" operator="equal">
      <formula>"Towel"</formula>
    </cfRule>
    <cfRule type="cellIs" dxfId="22634" priority="7127" stopIfTrue="1" operator="equal">
      <formula>"Napkin Hs"</formula>
    </cfRule>
  </conditionalFormatting>
  <conditionalFormatting sqref="C102">
    <cfRule type="cellIs" dxfId="22633" priority="7106" stopIfTrue="1" operator="equal">
      <formula>"Towel"</formula>
    </cfRule>
    <cfRule type="cellIs" dxfId="22632" priority="7107" stopIfTrue="1" operator="equal">
      <formula>"Napkin Hs"</formula>
    </cfRule>
    <cfRule type="cellIs" dxfId="22631" priority="7108" stopIfTrue="1" operator="equal">
      <formula>"Towel"</formula>
    </cfRule>
    <cfRule type="cellIs" dxfId="22630" priority="7109" stopIfTrue="1" operator="equal">
      <formula>"Napkin Hs"</formula>
    </cfRule>
    <cfRule type="cellIs" dxfId="22629" priority="7112" stopIfTrue="1" operator="equal">
      <formula>"Towel"</formula>
    </cfRule>
    <cfRule type="cellIs" dxfId="22628" priority="7113" stopIfTrue="1" operator="equal">
      <formula>"Napkin Hs"</formula>
    </cfRule>
    <cfRule type="cellIs" dxfId="22627" priority="7114" stopIfTrue="1" operator="equal">
      <formula>"Towel"</formula>
    </cfRule>
    <cfRule type="cellIs" dxfId="22626" priority="7115" stopIfTrue="1" operator="equal">
      <formula>"Napkin Hs"</formula>
    </cfRule>
    <cfRule type="cellIs" dxfId="22625" priority="7116" stopIfTrue="1" operator="equal">
      <formula>"Towel"</formula>
    </cfRule>
    <cfRule type="cellIs" dxfId="22624" priority="7117" stopIfTrue="1" operator="equal">
      <formula>"Napkin Hs"</formula>
    </cfRule>
    <cfRule type="cellIs" dxfId="22623" priority="7118" stopIfTrue="1" operator="equal">
      <formula>"Towel"</formula>
    </cfRule>
    <cfRule type="cellIs" dxfId="22622" priority="7119" stopIfTrue="1" operator="equal">
      <formula>"Napkin Hs"</formula>
    </cfRule>
    <cfRule type="cellIs" dxfId="22621" priority="7122" stopIfTrue="1" operator="equal">
      <formula>"Towel"</formula>
    </cfRule>
    <cfRule type="cellIs" dxfId="22620" priority="7123" stopIfTrue="1" operator="equal">
      <formula>"Napkin Hs"</formula>
    </cfRule>
    <cfRule type="cellIs" dxfId="22619" priority="7125" stopIfTrue="1" operator="equal">
      <formula>"Napkin Hs"</formula>
    </cfRule>
  </conditionalFormatting>
  <conditionalFormatting sqref="C102">
    <cfRule type="cellIs" dxfId="22618" priority="7124" stopIfTrue="1" operator="equal">
      <formula>"Towel"</formula>
    </cfRule>
  </conditionalFormatting>
  <conditionalFormatting sqref="C102">
    <cfRule type="cellIs" dxfId="22617" priority="7102" stopIfTrue="1" operator="equal">
      <formula>"Towel"</formula>
    </cfRule>
    <cfRule type="cellIs" dxfId="22616" priority="7103" stopIfTrue="1" operator="equal">
      <formula>"Napkin Hs"</formula>
    </cfRule>
  </conditionalFormatting>
  <conditionalFormatting sqref="C102">
    <cfRule type="cellIs" dxfId="22615" priority="7101" stopIfTrue="1" operator="equal">
      <formula>"Napkin Hs"</formula>
    </cfRule>
  </conditionalFormatting>
  <conditionalFormatting sqref="C102">
    <cfRule type="cellIs" dxfId="22614" priority="7100" stopIfTrue="1" operator="equal">
      <formula>"Towel"</formula>
    </cfRule>
  </conditionalFormatting>
  <conditionalFormatting sqref="C102">
    <cfRule type="cellIs" dxfId="22613" priority="7098" stopIfTrue="1" operator="equal">
      <formula>"Towel"</formula>
    </cfRule>
  </conditionalFormatting>
  <conditionalFormatting sqref="C102">
    <cfRule type="cellIs" dxfId="22612" priority="7099" stopIfTrue="1" operator="equal">
      <formula>"Napkin Hs"</formula>
    </cfRule>
  </conditionalFormatting>
  <conditionalFormatting sqref="C102">
    <cfRule type="cellIs" dxfId="22611" priority="7002" stopIfTrue="1" operator="equal">
      <formula>"Towel"</formula>
    </cfRule>
  </conditionalFormatting>
  <conditionalFormatting sqref="C102">
    <cfRule type="cellIs" dxfId="22610" priority="7012" stopIfTrue="1" operator="equal">
      <formula>"Towel"</formula>
    </cfRule>
    <cfRule type="cellIs" dxfId="22609" priority="7013" stopIfTrue="1" operator="equal">
      <formula>"Napkin Hs"</formula>
    </cfRule>
    <cfRule type="cellIs" dxfId="22608" priority="7018" stopIfTrue="1" operator="equal">
      <formula>"Towel"</formula>
    </cfRule>
    <cfRule type="cellIs" dxfId="22607" priority="7019" stopIfTrue="1" operator="equal">
      <formula>"Napkin Hs"</formula>
    </cfRule>
    <cfRule type="cellIs" dxfId="22606" priority="7024" stopIfTrue="1" operator="equal">
      <formula>"Towel"</formula>
    </cfRule>
    <cfRule type="cellIs" dxfId="22605" priority="7025" stopIfTrue="1" operator="equal">
      <formula>"Napkin Hs"</formula>
    </cfRule>
    <cfRule type="cellIs" dxfId="22604" priority="7026" stopIfTrue="1" operator="equal">
      <formula>"Towel"</formula>
    </cfRule>
    <cfRule type="cellIs" dxfId="22603" priority="7027" stopIfTrue="1" operator="equal">
      <formula>"Napkin Hs"</formula>
    </cfRule>
    <cfRule type="cellIs" dxfId="22602" priority="7032" stopIfTrue="1" operator="equal">
      <formula>"Towel"</formula>
    </cfRule>
    <cfRule type="cellIs" dxfId="22601" priority="7033" stopIfTrue="1" operator="equal">
      <formula>"Napkin Hs"</formula>
    </cfRule>
    <cfRule type="cellIs" dxfId="22600" priority="7042" stopIfTrue="1" operator="equal">
      <formula>"Towel"</formula>
    </cfRule>
    <cfRule type="cellIs" dxfId="22599" priority="7043" stopIfTrue="1" operator="equal">
      <formula>"Napkin Hs"</formula>
    </cfRule>
    <cfRule type="cellIs" dxfId="22598" priority="7048" stopIfTrue="1" operator="equal">
      <formula>"Towel"</formula>
    </cfRule>
    <cfRule type="cellIs" dxfId="22597" priority="7049" stopIfTrue="1" operator="equal">
      <formula>"Napkin Hs"</formula>
    </cfRule>
    <cfRule type="cellIs" dxfId="22596" priority="7050" stopIfTrue="1" operator="equal">
      <formula>"Towel"</formula>
    </cfRule>
    <cfRule type="cellIs" dxfId="22595" priority="7051" stopIfTrue="1" operator="equal">
      <formula>"Napkin Hs"</formula>
    </cfRule>
    <cfRule type="cellIs" dxfId="22594" priority="7056" stopIfTrue="1" operator="equal">
      <formula>"Towel"</formula>
    </cfRule>
    <cfRule type="cellIs" dxfId="22593" priority="7057" stopIfTrue="1" operator="equal">
      <formula>"Napkin Hs"</formula>
    </cfRule>
    <cfRule type="cellIs" dxfId="22592" priority="7066" stopIfTrue="1" operator="equal">
      <formula>"Towel"</formula>
    </cfRule>
    <cfRule type="cellIs" dxfId="22591" priority="7067" stopIfTrue="1" operator="equal">
      <formula>"Napkin Hs"</formula>
    </cfRule>
    <cfRule type="cellIs" dxfId="22590" priority="7068" stopIfTrue="1" operator="equal">
      <formula>"Towel"</formula>
    </cfRule>
    <cfRule type="cellIs" dxfId="22589" priority="7069" stopIfTrue="1" operator="equal">
      <formula>"Napkin Hs"</formula>
    </cfRule>
    <cfRule type="cellIs" dxfId="22588" priority="7074" stopIfTrue="1" operator="equal">
      <formula>"Towel"</formula>
    </cfRule>
    <cfRule type="cellIs" dxfId="22587" priority="7075" stopIfTrue="1" operator="equal">
      <formula>"Napkin Hs"</formula>
    </cfRule>
    <cfRule type="cellIs" dxfId="22586" priority="7084" stopIfTrue="1" operator="equal">
      <formula>"Towel"</formula>
    </cfRule>
    <cfRule type="cellIs" dxfId="22585" priority="7085" stopIfTrue="1" operator="equal">
      <formula>"Napkin Hs"</formula>
    </cfRule>
    <cfRule type="cellIs" dxfId="22584" priority="7086" stopIfTrue="1" operator="equal">
      <formula>"Towel"</formula>
    </cfRule>
    <cfRule type="cellIs" dxfId="22583" priority="7087" stopIfTrue="1" operator="equal">
      <formula>"Napkin Hs"</formula>
    </cfRule>
    <cfRule type="cellIs" dxfId="22582" priority="7093" stopIfTrue="1" operator="equal">
      <formula>"Napkin Hs"</formula>
    </cfRule>
  </conditionalFormatting>
  <conditionalFormatting sqref="C102">
    <cfRule type="cellIs" dxfId="22581" priority="7092" stopIfTrue="1" operator="equal">
      <formula>"Towel"</formula>
    </cfRule>
  </conditionalFormatting>
  <conditionalFormatting sqref="C102">
    <cfRule type="cellIs" dxfId="22580" priority="7003" stopIfTrue="1" operator="equal">
      <formula>"Napkin Hs"</formula>
    </cfRule>
    <cfRule type="cellIs" dxfId="22579" priority="7004" stopIfTrue="1" operator="equal">
      <formula>"Towel"</formula>
    </cfRule>
    <cfRule type="cellIs" dxfId="22578" priority="7005" stopIfTrue="1" operator="equal">
      <formula>"Napkin Hs"</formula>
    </cfRule>
    <cfRule type="cellIs" dxfId="22577" priority="7006" stopIfTrue="1" operator="equal">
      <formula>"Towel"</formula>
    </cfRule>
    <cfRule type="cellIs" dxfId="22576" priority="7007" stopIfTrue="1" operator="equal">
      <formula>"Napkin Hs"</formula>
    </cfRule>
    <cfRule type="cellIs" dxfId="22575" priority="7008" stopIfTrue="1" operator="equal">
      <formula>"Towel"</formula>
    </cfRule>
    <cfRule type="cellIs" dxfId="22574" priority="7009" stopIfTrue="1" operator="equal">
      <formula>"Napkin Hs"</formula>
    </cfRule>
    <cfRule type="cellIs" dxfId="22573" priority="7010" stopIfTrue="1" operator="equal">
      <formula>"Towel"</formula>
    </cfRule>
    <cfRule type="cellIs" dxfId="22572" priority="7011" stopIfTrue="1" operator="equal">
      <formula>"Napkin Hs"</formula>
    </cfRule>
    <cfRule type="cellIs" dxfId="22571" priority="7014" stopIfTrue="1" operator="equal">
      <formula>"Towel"</formula>
    </cfRule>
    <cfRule type="cellIs" dxfId="22570" priority="7015" stopIfTrue="1" operator="equal">
      <formula>"Napkin Hs"</formula>
    </cfRule>
    <cfRule type="cellIs" dxfId="22569" priority="7016" stopIfTrue="1" operator="equal">
      <formula>"Towel"</formula>
    </cfRule>
    <cfRule type="cellIs" dxfId="22568" priority="7017" stopIfTrue="1" operator="equal">
      <formula>"Napkin Hs"</formula>
    </cfRule>
    <cfRule type="cellIs" dxfId="22567" priority="7020" stopIfTrue="1" operator="equal">
      <formula>"Towel"</formula>
    </cfRule>
    <cfRule type="cellIs" dxfId="22566" priority="7021" stopIfTrue="1" operator="equal">
      <formula>"Napkin Hs"</formula>
    </cfRule>
    <cfRule type="cellIs" dxfId="22565" priority="7022" stopIfTrue="1" operator="equal">
      <formula>"Towel"</formula>
    </cfRule>
    <cfRule type="cellIs" dxfId="22564" priority="7023" stopIfTrue="1" operator="equal">
      <formula>"Napkin Hs"</formula>
    </cfRule>
    <cfRule type="cellIs" dxfId="22563" priority="7028" stopIfTrue="1" operator="equal">
      <formula>"Towel"</formula>
    </cfRule>
    <cfRule type="cellIs" dxfId="22562" priority="7029" stopIfTrue="1" operator="equal">
      <formula>"Napkin Hs"</formula>
    </cfRule>
    <cfRule type="cellIs" dxfId="22561" priority="7030" stopIfTrue="1" operator="equal">
      <formula>"Towel"</formula>
    </cfRule>
    <cfRule type="cellIs" dxfId="22560" priority="7031" stopIfTrue="1" operator="equal">
      <formula>"Napkin Hs"</formula>
    </cfRule>
    <cfRule type="cellIs" dxfId="22559" priority="7034" stopIfTrue="1" operator="equal">
      <formula>"Towel"</formula>
    </cfRule>
    <cfRule type="cellIs" dxfId="22558" priority="7035" stopIfTrue="1" operator="equal">
      <formula>"Napkin Hs"</formula>
    </cfRule>
    <cfRule type="cellIs" dxfId="22557" priority="7036" stopIfTrue="1" operator="equal">
      <formula>"Towel"</formula>
    </cfRule>
    <cfRule type="cellIs" dxfId="22556" priority="7037" stopIfTrue="1" operator="equal">
      <formula>"Napkin Hs"</formula>
    </cfRule>
    <cfRule type="cellIs" dxfId="22555" priority="7038" stopIfTrue="1" operator="equal">
      <formula>"Towel"</formula>
    </cfRule>
    <cfRule type="cellIs" dxfId="22554" priority="7039" stopIfTrue="1" operator="equal">
      <formula>"Napkin Hs"</formula>
    </cfRule>
    <cfRule type="cellIs" dxfId="22553" priority="7040" stopIfTrue="1" operator="equal">
      <formula>"Towel"</formula>
    </cfRule>
    <cfRule type="cellIs" dxfId="22552" priority="7041" stopIfTrue="1" operator="equal">
      <formula>"Napkin Hs"</formula>
    </cfRule>
    <cfRule type="cellIs" dxfId="22551" priority="7044" stopIfTrue="1" operator="equal">
      <formula>"Towel"</formula>
    </cfRule>
    <cfRule type="cellIs" dxfId="22550" priority="7045" stopIfTrue="1" operator="equal">
      <formula>"Napkin Hs"</formula>
    </cfRule>
    <cfRule type="cellIs" dxfId="22549" priority="7046" stopIfTrue="1" operator="equal">
      <formula>"Towel"</formula>
    </cfRule>
    <cfRule type="cellIs" dxfId="22548" priority="7047" stopIfTrue="1" operator="equal">
      <formula>"Napkin Hs"</formula>
    </cfRule>
    <cfRule type="cellIs" dxfId="22547" priority="7052" stopIfTrue="1" operator="equal">
      <formula>"Towel"</formula>
    </cfRule>
    <cfRule type="cellIs" dxfId="22546" priority="7053" stopIfTrue="1" operator="equal">
      <formula>"Napkin Hs"</formula>
    </cfRule>
    <cfRule type="cellIs" dxfId="22545" priority="7054" stopIfTrue="1" operator="equal">
      <formula>"Towel"</formula>
    </cfRule>
    <cfRule type="cellIs" dxfId="22544" priority="7055" stopIfTrue="1" operator="equal">
      <formula>"Napkin Hs"</formula>
    </cfRule>
    <cfRule type="cellIs" dxfId="22543" priority="7058" stopIfTrue="1" operator="equal">
      <formula>"Towel"</formula>
    </cfRule>
    <cfRule type="cellIs" dxfId="22542" priority="7059" stopIfTrue="1" operator="equal">
      <formula>"Napkin Hs"</formula>
    </cfRule>
    <cfRule type="cellIs" dxfId="22541" priority="7060" stopIfTrue="1" operator="equal">
      <formula>"Towel"</formula>
    </cfRule>
    <cfRule type="cellIs" dxfId="22540" priority="7061" stopIfTrue="1" operator="equal">
      <formula>"Napkin Hs"</formula>
    </cfRule>
    <cfRule type="cellIs" dxfId="22539" priority="7062" stopIfTrue="1" operator="equal">
      <formula>"Towel"</formula>
    </cfRule>
    <cfRule type="cellIs" dxfId="22538" priority="7063" stopIfTrue="1" operator="equal">
      <formula>"Napkin Hs"</formula>
    </cfRule>
    <cfRule type="cellIs" dxfId="22537" priority="7064" stopIfTrue="1" operator="equal">
      <formula>"Towel"</formula>
    </cfRule>
    <cfRule type="cellIs" dxfId="22536" priority="7065" stopIfTrue="1" operator="equal">
      <formula>"Napkin Hs"</formula>
    </cfRule>
    <cfRule type="cellIs" dxfId="22535" priority="7070" stopIfTrue="1" operator="equal">
      <formula>"Towel"</formula>
    </cfRule>
    <cfRule type="cellIs" dxfId="22534" priority="7071" stopIfTrue="1" operator="equal">
      <formula>"Napkin Hs"</formula>
    </cfRule>
    <cfRule type="cellIs" dxfId="22533" priority="7072" stopIfTrue="1" operator="equal">
      <formula>"Towel"</formula>
    </cfRule>
    <cfRule type="cellIs" dxfId="22532" priority="7073" stopIfTrue="1" operator="equal">
      <formula>"Napkin Hs"</formula>
    </cfRule>
    <cfRule type="cellIs" dxfId="22531" priority="7076" stopIfTrue="1" operator="equal">
      <formula>"Towel"</formula>
    </cfRule>
    <cfRule type="cellIs" dxfId="22530" priority="7077" stopIfTrue="1" operator="equal">
      <formula>"Napkin Hs"</formula>
    </cfRule>
    <cfRule type="cellIs" dxfId="22529" priority="7078" stopIfTrue="1" operator="equal">
      <formula>"Towel"</formula>
    </cfRule>
    <cfRule type="cellIs" dxfId="22528" priority="7079" stopIfTrue="1" operator="equal">
      <formula>"Napkin Hs"</formula>
    </cfRule>
    <cfRule type="cellIs" dxfId="22527" priority="7080" stopIfTrue="1" operator="equal">
      <formula>"Towel"</formula>
    </cfRule>
    <cfRule type="cellIs" dxfId="22526" priority="7081" stopIfTrue="1" operator="equal">
      <formula>"Napkin Hs"</formula>
    </cfRule>
    <cfRule type="cellIs" dxfId="22525" priority="7082" stopIfTrue="1" operator="equal">
      <formula>"Towel"</formula>
    </cfRule>
    <cfRule type="cellIs" dxfId="22524" priority="7083" stopIfTrue="1" operator="equal">
      <formula>"Napkin Hs"</formula>
    </cfRule>
    <cfRule type="cellIs" dxfId="22523" priority="7088" stopIfTrue="1" operator="equal">
      <formula>"Towel"</formula>
    </cfRule>
    <cfRule type="cellIs" dxfId="22522" priority="7089" stopIfTrue="1" operator="equal">
      <formula>"Napkin Hs"</formula>
    </cfRule>
    <cfRule type="cellIs" dxfId="22521" priority="7090" stopIfTrue="1" operator="equal">
      <formula>"Towel"</formula>
    </cfRule>
    <cfRule type="cellIs" dxfId="22520" priority="7091" stopIfTrue="1" operator="equal">
      <formula>"Napkin Hs"</formula>
    </cfRule>
    <cfRule type="cellIs" dxfId="22519" priority="7094" stopIfTrue="1" operator="equal">
      <formula>"Towel"</formula>
    </cfRule>
    <cfRule type="cellIs" dxfId="22518" priority="7095" stopIfTrue="1" operator="equal">
      <formula>"Napkin Hs"</formula>
    </cfRule>
    <cfRule type="cellIs" dxfId="22517" priority="7096" stopIfTrue="1" operator="equal">
      <formula>"Towel"</formula>
    </cfRule>
    <cfRule type="cellIs" dxfId="22516" priority="7097" stopIfTrue="1" operator="equal">
      <formula>"Napkin Hs"</formula>
    </cfRule>
  </conditionalFormatting>
  <conditionalFormatting sqref="C102">
    <cfRule type="cellIs" dxfId="22515" priority="7001" stopIfTrue="1" operator="equal">
      <formula>"Napkin Hs"</formula>
    </cfRule>
  </conditionalFormatting>
  <conditionalFormatting sqref="C102">
    <cfRule type="cellIs" dxfId="22514" priority="7000" stopIfTrue="1" operator="equal">
      <formula>"Napkin Hs"</formula>
    </cfRule>
  </conditionalFormatting>
  <conditionalFormatting sqref="C102">
    <cfRule type="cellIs" dxfId="22513" priority="6999" stopIfTrue="1" operator="equal">
      <formula>"Napkin Hs"</formula>
    </cfRule>
  </conditionalFormatting>
  <conditionalFormatting sqref="C102">
    <cfRule type="cellIs" dxfId="22512" priority="6998" stopIfTrue="1" operator="equal">
      <formula>"Napkin Hs"</formula>
    </cfRule>
  </conditionalFormatting>
  <conditionalFormatting sqref="C102">
    <cfRule type="cellIs" dxfId="22511" priority="6997" stopIfTrue="1" operator="equal">
      <formula>"Napkin Hs"</formula>
    </cfRule>
  </conditionalFormatting>
  <conditionalFormatting sqref="C102">
    <cfRule type="cellIs" dxfId="22510" priority="6996" stopIfTrue="1" operator="equal">
      <formula>"Napkin Hs"</formula>
    </cfRule>
  </conditionalFormatting>
  <conditionalFormatting sqref="C102">
    <cfRule type="cellIs" dxfId="22509" priority="6992" stopIfTrue="1" operator="equal">
      <formula>"Towel"</formula>
    </cfRule>
    <cfRule type="cellIs" dxfId="22508" priority="6993" stopIfTrue="1" operator="equal">
      <formula>"Napkin Hs"</formula>
    </cfRule>
  </conditionalFormatting>
  <conditionalFormatting sqref="C102">
    <cfRule type="cellIs" dxfId="22507" priority="6994" stopIfTrue="1" operator="equal">
      <formula>"Towel"</formula>
    </cfRule>
    <cfRule type="cellIs" dxfId="22506" priority="6995" stopIfTrue="1" operator="equal">
      <formula>"Napkin Hs"</formula>
    </cfRule>
  </conditionalFormatting>
  <conditionalFormatting sqref="C102">
    <cfRule type="cellIs" dxfId="22505" priority="6988" stopIfTrue="1" operator="equal">
      <formula>"Towel"</formula>
    </cfRule>
    <cfRule type="cellIs" dxfId="22504" priority="6989" stopIfTrue="1" operator="equal">
      <formula>"Napkin Hs"</formula>
    </cfRule>
  </conditionalFormatting>
  <conditionalFormatting sqref="C102">
    <cfRule type="cellIs" dxfId="22503" priority="6990" stopIfTrue="1" operator="equal">
      <formula>"Towel"</formula>
    </cfRule>
    <cfRule type="cellIs" dxfId="22502" priority="6991" stopIfTrue="1" operator="equal">
      <formula>"Napkin Hs"</formula>
    </cfRule>
  </conditionalFormatting>
  <conditionalFormatting sqref="B101">
    <cfRule type="cellIs" dxfId="22501" priority="6987" stopIfTrue="1" operator="equal">
      <formula>"Napkin Hs"</formula>
    </cfRule>
  </conditionalFormatting>
  <conditionalFormatting sqref="B101">
    <cfRule type="cellIs" dxfId="22500" priority="6986" stopIfTrue="1" operator="equal">
      <formula>"Napkin Hs"</formula>
    </cfRule>
  </conditionalFormatting>
  <conditionalFormatting sqref="B101">
    <cfRule type="cellIs" dxfId="22499" priority="6985" stopIfTrue="1" operator="equal">
      <formula>"Napkin Hs"</formula>
    </cfRule>
  </conditionalFormatting>
  <conditionalFormatting sqref="C101">
    <cfRule type="cellIs" dxfId="22498" priority="6983" stopIfTrue="1" operator="equal">
      <formula>"Towel"</formula>
    </cfRule>
    <cfRule type="cellIs" dxfId="22497" priority="6984" stopIfTrue="1" operator="equal">
      <formula>"Napkin Hs"</formula>
    </cfRule>
  </conditionalFormatting>
  <conditionalFormatting sqref="C101">
    <cfRule type="cellIs" dxfId="22496" priority="6979" stopIfTrue="1" operator="equal">
      <formula>"Towel"</formula>
    </cfRule>
    <cfRule type="cellIs" dxfId="22495" priority="6980" stopIfTrue="1" operator="equal">
      <formula>"Napkin Hs"</formula>
    </cfRule>
  </conditionalFormatting>
  <conditionalFormatting sqref="C101">
    <cfRule type="cellIs" dxfId="22494" priority="6981" stopIfTrue="1" operator="equal">
      <formula>"Towel"</formula>
    </cfRule>
    <cfRule type="cellIs" dxfId="22493" priority="6982" stopIfTrue="1" operator="equal">
      <formula>"Napkin Hs"</formula>
    </cfRule>
  </conditionalFormatting>
  <conditionalFormatting sqref="C101">
    <cfRule type="cellIs" dxfId="22492" priority="6975" stopIfTrue="1" operator="equal">
      <formula>"Towel"</formula>
    </cfRule>
    <cfRule type="cellIs" dxfId="22491" priority="6976" stopIfTrue="1" operator="equal">
      <formula>"Napkin Hs"</formula>
    </cfRule>
  </conditionalFormatting>
  <conditionalFormatting sqref="C101">
    <cfRule type="cellIs" dxfId="22490" priority="6977" stopIfTrue="1" operator="equal">
      <formula>"Towel"</formula>
    </cfRule>
    <cfRule type="cellIs" dxfId="22489" priority="6978" stopIfTrue="1" operator="equal">
      <formula>"Napkin Hs"</formula>
    </cfRule>
  </conditionalFormatting>
  <conditionalFormatting sqref="C101">
    <cfRule type="cellIs" dxfId="22488" priority="6973" stopIfTrue="1" operator="equal">
      <formula>"Towel"</formula>
    </cfRule>
    <cfRule type="cellIs" dxfId="22487" priority="6974" stopIfTrue="1" operator="equal">
      <formula>"Napkin Hs"</formula>
    </cfRule>
  </conditionalFormatting>
  <conditionalFormatting sqref="C101">
    <cfRule type="cellIs" dxfId="22486" priority="6967" stopIfTrue="1" operator="equal">
      <formula>"Towel"</formula>
    </cfRule>
    <cfRule type="cellIs" dxfId="22485" priority="6968" stopIfTrue="1" operator="equal">
      <formula>"Napkin Hs"</formula>
    </cfRule>
  </conditionalFormatting>
  <conditionalFormatting sqref="C101">
    <cfRule type="cellIs" dxfId="22484" priority="6971" stopIfTrue="1" operator="equal">
      <formula>"Towel"</formula>
    </cfRule>
    <cfRule type="cellIs" dxfId="22483" priority="6972" stopIfTrue="1" operator="equal">
      <formula>"Napkin Hs"</formula>
    </cfRule>
  </conditionalFormatting>
  <conditionalFormatting sqref="C101">
    <cfRule type="cellIs" dxfId="22482" priority="6969" stopIfTrue="1" operator="equal">
      <formula>"Towel"</formula>
    </cfRule>
    <cfRule type="cellIs" dxfId="22481" priority="6970" stopIfTrue="1" operator="equal">
      <formula>"Napkin Hs"</formula>
    </cfRule>
  </conditionalFormatting>
  <conditionalFormatting sqref="C101">
    <cfRule type="cellIs" dxfId="22480" priority="6961" stopIfTrue="1" operator="equal">
      <formula>"Towel"</formula>
    </cfRule>
    <cfRule type="cellIs" dxfId="22479" priority="6962" stopIfTrue="1" operator="equal">
      <formula>"Napkin Hs"</formula>
    </cfRule>
  </conditionalFormatting>
  <conditionalFormatting sqref="C101">
    <cfRule type="cellIs" dxfId="22478" priority="6963" stopIfTrue="1" operator="equal">
      <formula>"Towel"</formula>
    </cfRule>
    <cfRule type="cellIs" dxfId="22477" priority="6964" stopIfTrue="1" operator="equal">
      <formula>"Napkin Hs"</formula>
    </cfRule>
  </conditionalFormatting>
  <conditionalFormatting sqref="C101">
    <cfRule type="cellIs" dxfId="22476" priority="6965" stopIfTrue="1" operator="equal">
      <formula>"Towel"</formula>
    </cfRule>
    <cfRule type="cellIs" dxfId="22475" priority="6966" stopIfTrue="1" operator="equal">
      <formula>"Napkin Hs"</formula>
    </cfRule>
  </conditionalFormatting>
  <conditionalFormatting sqref="C101">
    <cfRule type="cellIs" dxfId="22474" priority="6959" stopIfTrue="1" operator="equal">
      <formula>"Towel"</formula>
    </cfRule>
    <cfRule type="cellIs" dxfId="22473" priority="6960" stopIfTrue="1" operator="equal">
      <formula>"Napkin Hs"</formula>
    </cfRule>
  </conditionalFormatting>
  <conditionalFormatting sqref="C101">
    <cfRule type="cellIs" dxfId="22472" priority="6957" stopIfTrue="1" operator="equal">
      <formula>"Towel"</formula>
    </cfRule>
    <cfRule type="cellIs" dxfId="22471" priority="6958" stopIfTrue="1" operator="equal">
      <formula>"Napkin Hs"</formula>
    </cfRule>
  </conditionalFormatting>
  <conditionalFormatting sqref="C101">
    <cfRule type="cellIs" dxfId="22470" priority="6933" stopIfTrue="1" operator="equal">
      <formula>"Towel"</formula>
    </cfRule>
  </conditionalFormatting>
  <conditionalFormatting sqref="C101">
    <cfRule type="cellIs" dxfId="22469" priority="6934" stopIfTrue="1" operator="equal">
      <formula>"Napkin Hs"</formula>
    </cfRule>
    <cfRule type="cellIs" dxfId="22468" priority="6939" stopIfTrue="1" operator="equal">
      <formula>"Towel"</formula>
    </cfRule>
    <cfRule type="cellIs" dxfId="22467" priority="6940" stopIfTrue="1" operator="equal">
      <formula>"Napkin Hs"</formula>
    </cfRule>
    <cfRule type="cellIs" dxfId="22466" priority="6949" stopIfTrue="1" operator="equal">
      <formula>"Towel"</formula>
    </cfRule>
    <cfRule type="cellIs" dxfId="22465" priority="6950" stopIfTrue="1" operator="equal">
      <formula>"Napkin Hs"</formula>
    </cfRule>
    <cfRule type="cellIs" dxfId="22464" priority="6955" stopIfTrue="1" operator="equal">
      <formula>"Towel"</formula>
    </cfRule>
    <cfRule type="cellIs" dxfId="22463" priority="6956" stopIfTrue="1" operator="equal">
      <formula>"Napkin Hs"</formula>
    </cfRule>
  </conditionalFormatting>
  <conditionalFormatting sqref="C101">
    <cfRule type="cellIs" dxfId="22462" priority="6935" stopIfTrue="1" operator="equal">
      <formula>"Towel"</formula>
    </cfRule>
    <cfRule type="cellIs" dxfId="22461" priority="6936" stopIfTrue="1" operator="equal">
      <formula>"Napkin Hs"</formula>
    </cfRule>
    <cfRule type="cellIs" dxfId="22460" priority="6937" stopIfTrue="1" operator="equal">
      <formula>"Towel"</formula>
    </cfRule>
    <cfRule type="cellIs" dxfId="22459" priority="6938" stopIfTrue="1" operator="equal">
      <formula>"Napkin Hs"</formula>
    </cfRule>
    <cfRule type="cellIs" dxfId="22458" priority="6941" stopIfTrue="1" operator="equal">
      <formula>"Towel"</formula>
    </cfRule>
    <cfRule type="cellIs" dxfId="22457" priority="6942" stopIfTrue="1" operator="equal">
      <formula>"Napkin Hs"</formula>
    </cfRule>
    <cfRule type="cellIs" dxfId="22456" priority="6943" stopIfTrue="1" operator="equal">
      <formula>"Towel"</formula>
    </cfRule>
    <cfRule type="cellIs" dxfId="22455" priority="6944" stopIfTrue="1" operator="equal">
      <formula>"Napkin Hs"</formula>
    </cfRule>
    <cfRule type="cellIs" dxfId="22454" priority="6945" stopIfTrue="1" operator="equal">
      <formula>"Towel"</formula>
    </cfRule>
    <cfRule type="cellIs" dxfId="22453" priority="6946" stopIfTrue="1" operator="equal">
      <formula>"Napkin Hs"</formula>
    </cfRule>
    <cfRule type="cellIs" dxfId="22452" priority="6947" stopIfTrue="1" operator="equal">
      <formula>"Towel"</formula>
    </cfRule>
    <cfRule type="cellIs" dxfId="22451" priority="6948" stopIfTrue="1" operator="equal">
      <formula>"Napkin Hs"</formula>
    </cfRule>
    <cfRule type="cellIs" dxfId="22450" priority="6951" stopIfTrue="1" operator="equal">
      <formula>"Towel"</formula>
    </cfRule>
    <cfRule type="cellIs" dxfId="22449" priority="6952" stopIfTrue="1" operator="equal">
      <formula>"Napkin Hs"</formula>
    </cfRule>
    <cfRule type="cellIs" dxfId="22448" priority="6954" stopIfTrue="1" operator="equal">
      <formula>"Napkin Hs"</formula>
    </cfRule>
  </conditionalFormatting>
  <conditionalFormatting sqref="C101">
    <cfRule type="cellIs" dxfId="22447" priority="6953" stopIfTrue="1" operator="equal">
      <formula>"Towel"</formula>
    </cfRule>
  </conditionalFormatting>
  <conditionalFormatting sqref="C101">
    <cfRule type="cellIs" dxfId="22446" priority="6931" stopIfTrue="1" operator="equal">
      <formula>"Towel"</formula>
    </cfRule>
    <cfRule type="cellIs" dxfId="22445" priority="6932" stopIfTrue="1" operator="equal">
      <formula>"Napkin Hs"</formula>
    </cfRule>
  </conditionalFormatting>
  <conditionalFormatting sqref="C101">
    <cfRule type="cellIs" dxfId="22444" priority="6930" stopIfTrue="1" operator="equal">
      <formula>"Napkin Hs"</formula>
    </cfRule>
  </conditionalFormatting>
  <conditionalFormatting sqref="C101">
    <cfRule type="cellIs" dxfId="22443" priority="6929" stopIfTrue="1" operator="equal">
      <formula>"Towel"</formula>
    </cfRule>
  </conditionalFormatting>
  <conditionalFormatting sqref="C101">
    <cfRule type="cellIs" dxfId="22442" priority="6927" stopIfTrue="1" operator="equal">
      <formula>"Towel"</formula>
    </cfRule>
  </conditionalFormatting>
  <conditionalFormatting sqref="C101">
    <cfRule type="cellIs" dxfId="22441" priority="6928" stopIfTrue="1" operator="equal">
      <formula>"Napkin Hs"</formula>
    </cfRule>
  </conditionalFormatting>
  <conditionalFormatting sqref="C101">
    <cfRule type="cellIs" dxfId="22440" priority="6831" stopIfTrue="1" operator="equal">
      <formula>"Towel"</formula>
    </cfRule>
  </conditionalFormatting>
  <conditionalFormatting sqref="C101">
    <cfRule type="cellIs" dxfId="22439" priority="6841" stopIfTrue="1" operator="equal">
      <formula>"Towel"</formula>
    </cfRule>
    <cfRule type="cellIs" dxfId="22438" priority="6842" stopIfTrue="1" operator="equal">
      <formula>"Napkin Hs"</formula>
    </cfRule>
    <cfRule type="cellIs" dxfId="22437" priority="6847" stopIfTrue="1" operator="equal">
      <formula>"Towel"</formula>
    </cfRule>
    <cfRule type="cellIs" dxfId="22436" priority="6848" stopIfTrue="1" operator="equal">
      <formula>"Napkin Hs"</formula>
    </cfRule>
    <cfRule type="cellIs" dxfId="22435" priority="6853" stopIfTrue="1" operator="equal">
      <formula>"Towel"</formula>
    </cfRule>
    <cfRule type="cellIs" dxfId="22434" priority="6854" stopIfTrue="1" operator="equal">
      <formula>"Napkin Hs"</formula>
    </cfRule>
    <cfRule type="cellIs" dxfId="22433" priority="6855" stopIfTrue="1" operator="equal">
      <formula>"Towel"</formula>
    </cfRule>
    <cfRule type="cellIs" dxfId="22432" priority="6856" stopIfTrue="1" operator="equal">
      <formula>"Napkin Hs"</formula>
    </cfRule>
    <cfRule type="cellIs" dxfId="22431" priority="6861" stopIfTrue="1" operator="equal">
      <formula>"Towel"</formula>
    </cfRule>
    <cfRule type="cellIs" dxfId="22430" priority="6862" stopIfTrue="1" operator="equal">
      <formula>"Napkin Hs"</formula>
    </cfRule>
    <cfRule type="cellIs" dxfId="22429" priority="6871" stopIfTrue="1" operator="equal">
      <formula>"Towel"</formula>
    </cfRule>
    <cfRule type="cellIs" dxfId="22428" priority="6872" stopIfTrue="1" operator="equal">
      <formula>"Napkin Hs"</formula>
    </cfRule>
    <cfRule type="cellIs" dxfId="22427" priority="6877" stopIfTrue="1" operator="equal">
      <formula>"Towel"</formula>
    </cfRule>
    <cfRule type="cellIs" dxfId="22426" priority="6878" stopIfTrue="1" operator="equal">
      <formula>"Napkin Hs"</formula>
    </cfRule>
    <cfRule type="cellIs" dxfId="22425" priority="6879" stopIfTrue="1" operator="equal">
      <formula>"Towel"</formula>
    </cfRule>
    <cfRule type="cellIs" dxfId="22424" priority="6880" stopIfTrue="1" operator="equal">
      <formula>"Napkin Hs"</formula>
    </cfRule>
    <cfRule type="cellIs" dxfId="22423" priority="6885" stopIfTrue="1" operator="equal">
      <formula>"Towel"</formula>
    </cfRule>
    <cfRule type="cellIs" dxfId="22422" priority="6886" stopIfTrue="1" operator="equal">
      <formula>"Napkin Hs"</formula>
    </cfRule>
    <cfRule type="cellIs" dxfId="22421" priority="6895" stopIfTrue="1" operator="equal">
      <formula>"Towel"</formula>
    </cfRule>
    <cfRule type="cellIs" dxfId="22420" priority="6896" stopIfTrue="1" operator="equal">
      <formula>"Napkin Hs"</formula>
    </cfRule>
    <cfRule type="cellIs" dxfId="22419" priority="6897" stopIfTrue="1" operator="equal">
      <formula>"Towel"</formula>
    </cfRule>
    <cfRule type="cellIs" dxfId="22418" priority="6898" stopIfTrue="1" operator="equal">
      <formula>"Napkin Hs"</formula>
    </cfRule>
    <cfRule type="cellIs" dxfId="22417" priority="6903" stopIfTrue="1" operator="equal">
      <formula>"Towel"</formula>
    </cfRule>
    <cfRule type="cellIs" dxfId="22416" priority="6904" stopIfTrue="1" operator="equal">
      <formula>"Napkin Hs"</formula>
    </cfRule>
    <cfRule type="cellIs" dxfId="22415" priority="6913" stopIfTrue="1" operator="equal">
      <formula>"Towel"</formula>
    </cfRule>
    <cfRule type="cellIs" dxfId="22414" priority="6914" stopIfTrue="1" operator="equal">
      <formula>"Napkin Hs"</formula>
    </cfRule>
    <cfRule type="cellIs" dxfId="22413" priority="6915" stopIfTrue="1" operator="equal">
      <formula>"Towel"</formula>
    </cfRule>
    <cfRule type="cellIs" dxfId="22412" priority="6916" stopIfTrue="1" operator="equal">
      <formula>"Napkin Hs"</formula>
    </cfRule>
    <cfRule type="cellIs" dxfId="22411" priority="6922" stopIfTrue="1" operator="equal">
      <formula>"Napkin Hs"</formula>
    </cfRule>
  </conditionalFormatting>
  <conditionalFormatting sqref="C101">
    <cfRule type="cellIs" dxfId="22410" priority="6921" stopIfTrue="1" operator="equal">
      <formula>"Towel"</formula>
    </cfRule>
  </conditionalFormatting>
  <conditionalFormatting sqref="C101">
    <cfRule type="cellIs" dxfId="22409" priority="6832" stopIfTrue="1" operator="equal">
      <formula>"Napkin Hs"</formula>
    </cfRule>
    <cfRule type="cellIs" dxfId="22408" priority="6833" stopIfTrue="1" operator="equal">
      <formula>"Towel"</formula>
    </cfRule>
    <cfRule type="cellIs" dxfId="22407" priority="6834" stopIfTrue="1" operator="equal">
      <formula>"Napkin Hs"</formula>
    </cfRule>
    <cfRule type="cellIs" dxfId="22406" priority="6835" stopIfTrue="1" operator="equal">
      <formula>"Towel"</formula>
    </cfRule>
    <cfRule type="cellIs" dxfId="22405" priority="6836" stopIfTrue="1" operator="equal">
      <formula>"Napkin Hs"</formula>
    </cfRule>
    <cfRule type="cellIs" dxfId="22404" priority="6837" stopIfTrue="1" operator="equal">
      <formula>"Towel"</formula>
    </cfRule>
    <cfRule type="cellIs" dxfId="22403" priority="6838" stopIfTrue="1" operator="equal">
      <formula>"Napkin Hs"</formula>
    </cfRule>
    <cfRule type="cellIs" dxfId="22402" priority="6839" stopIfTrue="1" operator="equal">
      <formula>"Towel"</formula>
    </cfRule>
    <cfRule type="cellIs" dxfId="22401" priority="6840" stopIfTrue="1" operator="equal">
      <formula>"Napkin Hs"</formula>
    </cfRule>
    <cfRule type="cellIs" dxfId="22400" priority="6843" stopIfTrue="1" operator="equal">
      <formula>"Towel"</formula>
    </cfRule>
    <cfRule type="cellIs" dxfId="22399" priority="6844" stopIfTrue="1" operator="equal">
      <formula>"Napkin Hs"</formula>
    </cfRule>
    <cfRule type="cellIs" dxfId="22398" priority="6845" stopIfTrue="1" operator="equal">
      <formula>"Towel"</formula>
    </cfRule>
    <cfRule type="cellIs" dxfId="22397" priority="6846" stopIfTrue="1" operator="equal">
      <formula>"Napkin Hs"</formula>
    </cfRule>
    <cfRule type="cellIs" dxfId="22396" priority="6849" stopIfTrue="1" operator="equal">
      <formula>"Towel"</formula>
    </cfRule>
    <cfRule type="cellIs" dxfId="22395" priority="6850" stopIfTrue="1" operator="equal">
      <formula>"Napkin Hs"</formula>
    </cfRule>
    <cfRule type="cellIs" dxfId="22394" priority="6851" stopIfTrue="1" operator="equal">
      <formula>"Towel"</formula>
    </cfRule>
    <cfRule type="cellIs" dxfId="22393" priority="6852" stopIfTrue="1" operator="equal">
      <formula>"Napkin Hs"</formula>
    </cfRule>
    <cfRule type="cellIs" dxfId="22392" priority="6857" stopIfTrue="1" operator="equal">
      <formula>"Towel"</formula>
    </cfRule>
    <cfRule type="cellIs" dxfId="22391" priority="6858" stopIfTrue="1" operator="equal">
      <formula>"Napkin Hs"</formula>
    </cfRule>
    <cfRule type="cellIs" dxfId="22390" priority="6859" stopIfTrue="1" operator="equal">
      <formula>"Towel"</formula>
    </cfRule>
    <cfRule type="cellIs" dxfId="22389" priority="6860" stopIfTrue="1" operator="equal">
      <formula>"Napkin Hs"</formula>
    </cfRule>
    <cfRule type="cellIs" dxfId="22388" priority="6863" stopIfTrue="1" operator="equal">
      <formula>"Towel"</formula>
    </cfRule>
    <cfRule type="cellIs" dxfId="22387" priority="6864" stopIfTrue="1" operator="equal">
      <formula>"Napkin Hs"</formula>
    </cfRule>
    <cfRule type="cellIs" dxfId="22386" priority="6865" stopIfTrue="1" operator="equal">
      <formula>"Towel"</formula>
    </cfRule>
    <cfRule type="cellIs" dxfId="22385" priority="6866" stopIfTrue="1" operator="equal">
      <formula>"Napkin Hs"</formula>
    </cfRule>
    <cfRule type="cellIs" dxfId="22384" priority="6867" stopIfTrue="1" operator="equal">
      <formula>"Towel"</formula>
    </cfRule>
    <cfRule type="cellIs" dxfId="22383" priority="6868" stopIfTrue="1" operator="equal">
      <formula>"Napkin Hs"</formula>
    </cfRule>
    <cfRule type="cellIs" dxfId="22382" priority="6869" stopIfTrue="1" operator="equal">
      <formula>"Towel"</formula>
    </cfRule>
    <cfRule type="cellIs" dxfId="22381" priority="6870" stopIfTrue="1" operator="equal">
      <formula>"Napkin Hs"</formula>
    </cfRule>
    <cfRule type="cellIs" dxfId="22380" priority="6873" stopIfTrue="1" operator="equal">
      <formula>"Towel"</formula>
    </cfRule>
    <cfRule type="cellIs" dxfId="22379" priority="6874" stopIfTrue="1" operator="equal">
      <formula>"Napkin Hs"</formula>
    </cfRule>
    <cfRule type="cellIs" dxfId="22378" priority="6875" stopIfTrue="1" operator="equal">
      <formula>"Towel"</formula>
    </cfRule>
    <cfRule type="cellIs" dxfId="22377" priority="6876" stopIfTrue="1" operator="equal">
      <formula>"Napkin Hs"</formula>
    </cfRule>
    <cfRule type="cellIs" dxfId="22376" priority="6881" stopIfTrue="1" operator="equal">
      <formula>"Towel"</formula>
    </cfRule>
    <cfRule type="cellIs" dxfId="22375" priority="6882" stopIfTrue="1" operator="equal">
      <formula>"Napkin Hs"</formula>
    </cfRule>
    <cfRule type="cellIs" dxfId="22374" priority="6883" stopIfTrue="1" operator="equal">
      <formula>"Towel"</formula>
    </cfRule>
    <cfRule type="cellIs" dxfId="22373" priority="6884" stopIfTrue="1" operator="equal">
      <formula>"Napkin Hs"</formula>
    </cfRule>
    <cfRule type="cellIs" dxfId="22372" priority="6887" stopIfTrue="1" operator="equal">
      <formula>"Towel"</formula>
    </cfRule>
    <cfRule type="cellIs" dxfId="22371" priority="6888" stopIfTrue="1" operator="equal">
      <formula>"Napkin Hs"</formula>
    </cfRule>
    <cfRule type="cellIs" dxfId="22370" priority="6889" stopIfTrue="1" operator="equal">
      <formula>"Towel"</formula>
    </cfRule>
    <cfRule type="cellIs" dxfId="22369" priority="6890" stopIfTrue="1" operator="equal">
      <formula>"Napkin Hs"</formula>
    </cfRule>
    <cfRule type="cellIs" dxfId="22368" priority="6891" stopIfTrue="1" operator="equal">
      <formula>"Towel"</formula>
    </cfRule>
    <cfRule type="cellIs" dxfId="22367" priority="6892" stopIfTrue="1" operator="equal">
      <formula>"Napkin Hs"</formula>
    </cfRule>
    <cfRule type="cellIs" dxfId="22366" priority="6893" stopIfTrue="1" operator="equal">
      <formula>"Towel"</formula>
    </cfRule>
    <cfRule type="cellIs" dxfId="22365" priority="6894" stopIfTrue="1" operator="equal">
      <formula>"Napkin Hs"</formula>
    </cfRule>
    <cfRule type="cellIs" dxfId="22364" priority="6899" stopIfTrue="1" operator="equal">
      <formula>"Towel"</formula>
    </cfRule>
    <cfRule type="cellIs" dxfId="22363" priority="6900" stopIfTrue="1" operator="equal">
      <formula>"Napkin Hs"</formula>
    </cfRule>
    <cfRule type="cellIs" dxfId="22362" priority="6901" stopIfTrue="1" operator="equal">
      <formula>"Towel"</formula>
    </cfRule>
    <cfRule type="cellIs" dxfId="22361" priority="6902" stopIfTrue="1" operator="equal">
      <formula>"Napkin Hs"</formula>
    </cfRule>
    <cfRule type="cellIs" dxfId="22360" priority="6905" stopIfTrue="1" operator="equal">
      <formula>"Towel"</formula>
    </cfRule>
    <cfRule type="cellIs" dxfId="22359" priority="6906" stopIfTrue="1" operator="equal">
      <formula>"Napkin Hs"</formula>
    </cfRule>
    <cfRule type="cellIs" dxfId="22358" priority="6907" stopIfTrue="1" operator="equal">
      <formula>"Towel"</formula>
    </cfRule>
    <cfRule type="cellIs" dxfId="22357" priority="6908" stopIfTrue="1" operator="equal">
      <formula>"Napkin Hs"</formula>
    </cfRule>
    <cfRule type="cellIs" dxfId="22356" priority="6909" stopIfTrue="1" operator="equal">
      <formula>"Towel"</formula>
    </cfRule>
    <cfRule type="cellIs" dxfId="22355" priority="6910" stopIfTrue="1" operator="equal">
      <formula>"Napkin Hs"</formula>
    </cfRule>
    <cfRule type="cellIs" dxfId="22354" priority="6911" stopIfTrue="1" operator="equal">
      <formula>"Towel"</formula>
    </cfRule>
    <cfRule type="cellIs" dxfId="22353" priority="6912" stopIfTrue="1" operator="equal">
      <formula>"Napkin Hs"</formula>
    </cfRule>
    <cfRule type="cellIs" dxfId="22352" priority="6917" stopIfTrue="1" operator="equal">
      <formula>"Towel"</formula>
    </cfRule>
    <cfRule type="cellIs" dxfId="22351" priority="6918" stopIfTrue="1" operator="equal">
      <formula>"Napkin Hs"</formula>
    </cfRule>
    <cfRule type="cellIs" dxfId="22350" priority="6919" stopIfTrue="1" operator="equal">
      <formula>"Towel"</formula>
    </cfRule>
    <cfRule type="cellIs" dxfId="22349" priority="6920" stopIfTrue="1" operator="equal">
      <formula>"Napkin Hs"</formula>
    </cfRule>
    <cfRule type="cellIs" dxfId="22348" priority="6923" stopIfTrue="1" operator="equal">
      <formula>"Towel"</formula>
    </cfRule>
    <cfRule type="cellIs" dxfId="22347" priority="6924" stopIfTrue="1" operator="equal">
      <formula>"Napkin Hs"</formula>
    </cfRule>
    <cfRule type="cellIs" dxfId="22346" priority="6925" stopIfTrue="1" operator="equal">
      <formula>"Towel"</formula>
    </cfRule>
    <cfRule type="cellIs" dxfId="22345" priority="6926" stopIfTrue="1" operator="equal">
      <formula>"Napkin Hs"</formula>
    </cfRule>
  </conditionalFormatting>
  <conditionalFormatting sqref="C101">
    <cfRule type="cellIs" dxfId="22344" priority="6830" stopIfTrue="1" operator="equal">
      <formula>"Napkin Hs"</formula>
    </cfRule>
  </conditionalFormatting>
  <conditionalFormatting sqref="C101">
    <cfRule type="cellIs" dxfId="22343" priority="6829" stopIfTrue="1" operator="equal">
      <formula>"Napkin Hs"</formula>
    </cfRule>
  </conditionalFormatting>
  <conditionalFormatting sqref="C101">
    <cfRule type="cellIs" dxfId="22342" priority="6828" stopIfTrue="1" operator="equal">
      <formula>"Napkin Hs"</formula>
    </cfRule>
  </conditionalFormatting>
  <conditionalFormatting sqref="C101">
    <cfRule type="cellIs" dxfId="22341" priority="6827" stopIfTrue="1" operator="equal">
      <formula>"Napkin Hs"</formula>
    </cfRule>
  </conditionalFormatting>
  <conditionalFormatting sqref="C101">
    <cfRule type="cellIs" dxfId="22340" priority="6826" stopIfTrue="1" operator="equal">
      <formula>"Napkin Hs"</formula>
    </cfRule>
  </conditionalFormatting>
  <conditionalFormatting sqref="C101">
    <cfRule type="cellIs" dxfId="22339" priority="6825" stopIfTrue="1" operator="equal">
      <formula>"Napkin Hs"</formula>
    </cfRule>
  </conditionalFormatting>
  <conditionalFormatting sqref="C101">
    <cfRule type="cellIs" dxfId="22338" priority="6821" stopIfTrue="1" operator="equal">
      <formula>"Towel"</formula>
    </cfRule>
    <cfRule type="cellIs" dxfId="22337" priority="6822" stopIfTrue="1" operator="equal">
      <formula>"Napkin Hs"</formula>
    </cfRule>
  </conditionalFormatting>
  <conditionalFormatting sqref="C101">
    <cfRule type="cellIs" dxfId="22336" priority="6823" stopIfTrue="1" operator="equal">
      <formula>"Towel"</formula>
    </cfRule>
    <cfRule type="cellIs" dxfId="22335" priority="6824" stopIfTrue="1" operator="equal">
      <formula>"Napkin Hs"</formula>
    </cfRule>
  </conditionalFormatting>
  <conditionalFormatting sqref="C101">
    <cfRule type="cellIs" dxfId="22334" priority="6817" stopIfTrue="1" operator="equal">
      <formula>"Towel"</formula>
    </cfRule>
    <cfRule type="cellIs" dxfId="22333" priority="6818" stopIfTrue="1" operator="equal">
      <formula>"Napkin Hs"</formula>
    </cfRule>
  </conditionalFormatting>
  <conditionalFormatting sqref="C101">
    <cfRule type="cellIs" dxfId="22332" priority="6819" stopIfTrue="1" operator="equal">
      <formula>"Towel"</formula>
    </cfRule>
    <cfRule type="cellIs" dxfId="22331" priority="6820" stopIfTrue="1" operator="equal">
      <formula>"Napkin Hs"</formula>
    </cfRule>
  </conditionalFormatting>
  <conditionalFormatting sqref="C108">
    <cfRule type="cellIs" dxfId="22330" priority="6809" stopIfTrue="1" operator="equal">
      <formula>"Towel"</formula>
    </cfRule>
    <cfRule type="cellIs" dxfId="22329" priority="6810" stopIfTrue="1" operator="equal">
      <formula>"Napkin Hs"</formula>
    </cfRule>
  </conditionalFormatting>
  <conditionalFormatting sqref="C108">
    <cfRule type="cellIs" dxfId="22328" priority="6807" stopIfTrue="1" operator="equal">
      <formula>"Towel"</formula>
    </cfRule>
    <cfRule type="cellIs" dxfId="22327" priority="6808" stopIfTrue="1" operator="equal">
      <formula>"Napkin Hs"</formula>
    </cfRule>
  </conditionalFormatting>
  <conditionalFormatting sqref="B108:C108">
    <cfRule type="cellIs" dxfId="22326" priority="6805" stopIfTrue="1" operator="equal">
      <formula>"Towel"</formula>
    </cfRule>
    <cfRule type="cellIs" dxfId="22325" priority="6806" stopIfTrue="1" operator="equal">
      <formula>"Napkin Hs"</formula>
    </cfRule>
  </conditionalFormatting>
  <conditionalFormatting sqref="B108:C108">
    <cfRule type="cellIs" dxfId="22324" priority="6815" stopIfTrue="1" operator="equal">
      <formula>"Towel"</formula>
    </cfRule>
    <cfRule type="cellIs" dxfId="22323" priority="6816" stopIfTrue="1" operator="equal">
      <formula>"Napkin Hs"</formula>
    </cfRule>
  </conditionalFormatting>
  <conditionalFormatting sqref="C108">
    <cfRule type="cellIs" dxfId="22322" priority="6813" stopIfTrue="1" operator="equal">
      <formula>"Towel"</formula>
    </cfRule>
    <cfRule type="cellIs" dxfId="22321" priority="6814" stopIfTrue="1" operator="equal">
      <formula>"Napkin Hs"</formula>
    </cfRule>
  </conditionalFormatting>
  <conditionalFormatting sqref="C108">
    <cfRule type="cellIs" dxfId="22320" priority="6811" stopIfTrue="1" operator="equal">
      <formula>"Towel"</formula>
    </cfRule>
    <cfRule type="cellIs" dxfId="22319" priority="6812" stopIfTrue="1" operator="equal">
      <formula>"Napkin Hs"</formula>
    </cfRule>
  </conditionalFormatting>
  <conditionalFormatting sqref="C108">
    <cfRule type="cellIs" dxfId="22318" priority="6803" stopIfTrue="1" operator="equal">
      <formula>"Towel"</formula>
    </cfRule>
    <cfRule type="cellIs" dxfId="22317" priority="6804" stopIfTrue="1" operator="equal">
      <formula>"Napkin Hs"</formula>
    </cfRule>
  </conditionalFormatting>
  <conditionalFormatting sqref="C108">
    <cfRule type="cellIs" dxfId="22316" priority="6801" stopIfTrue="1" operator="equal">
      <formula>"Towel"</formula>
    </cfRule>
    <cfRule type="cellIs" dxfId="22315" priority="6802" stopIfTrue="1" operator="equal">
      <formula>"Napkin Hs"</formula>
    </cfRule>
  </conditionalFormatting>
  <conditionalFormatting sqref="B108:C108">
    <cfRule type="cellIs" dxfId="22314" priority="6799" stopIfTrue="1" operator="equal">
      <formula>"Towel"</formula>
    </cfRule>
    <cfRule type="cellIs" dxfId="22313" priority="6800" stopIfTrue="1" operator="equal">
      <formula>"Napkin Hs"</formula>
    </cfRule>
  </conditionalFormatting>
  <conditionalFormatting sqref="B108:C108">
    <cfRule type="cellIs" dxfId="22312" priority="6795" stopIfTrue="1" operator="equal">
      <formula>"Towel"</formula>
    </cfRule>
    <cfRule type="cellIs" dxfId="22311" priority="6796" stopIfTrue="1" operator="equal">
      <formula>"Napkin Hs"</formula>
    </cfRule>
  </conditionalFormatting>
  <conditionalFormatting sqref="C108">
    <cfRule type="cellIs" dxfId="22310" priority="6797" stopIfTrue="1" operator="equal">
      <formula>"Towel"</formula>
    </cfRule>
    <cfRule type="cellIs" dxfId="22309" priority="6798" stopIfTrue="1" operator="equal">
      <formula>"Napkin Hs"</formula>
    </cfRule>
  </conditionalFormatting>
  <conditionalFormatting sqref="C108">
    <cfRule type="cellIs" dxfId="22308" priority="6793" stopIfTrue="1" operator="equal">
      <formula>"Towel"</formula>
    </cfRule>
    <cfRule type="cellIs" dxfId="22307" priority="6794" stopIfTrue="1" operator="equal">
      <formula>"Napkin Hs"</formula>
    </cfRule>
  </conditionalFormatting>
  <conditionalFormatting sqref="C107">
    <cfRule type="cellIs" dxfId="22306" priority="6785" stopIfTrue="1" operator="equal">
      <formula>"Towel"</formula>
    </cfRule>
    <cfRule type="cellIs" dxfId="22305" priority="6786" stopIfTrue="1" operator="equal">
      <formula>"Napkin Hs"</formula>
    </cfRule>
  </conditionalFormatting>
  <conditionalFormatting sqref="B107:C107">
    <cfRule type="cellIs" dxfId="22304" priority="6787" stopIfTrue="1" operator="equal">
      <formula>"Towel"</formula>
    </cfRule>
    <cfRule type="cellIs" dxfId="22303" priority="6788" stopIfTrue="1" operator="equal">
      <formula>"Napkin Hs"</formula>
    </cfRule>
  </conditionalFormatting>
  <conditionalFormatting sqref="C107">
    <cfRule type="cellIs" dxfId="22302" priority="6783" stopIfTrue="1" operator="equal">
      <formula>"Towel"</formula>
    </cfRule>
    <cfRule type="cellIs" dxfId="22301" priority="6784" stopIfTrue="1" operator="equal">
      <formula>"Napkin Hs"</formula>
    </cfRule>
  </conditionalFormatting>
  <conditionalFormatting sqref="B107:C107">
    <cfRule type="cellIs" dxfId="22300" priority="6781" stopIfTrue="1" operator="equal">
      <formula>"Towel"</formula>
    </cfRule>
    <cfRule type="cellIs" dxfId="22299" priority="6782" stopIfTrue="1" operator="equal">
      <formula>"Napkin Hs"</formula>
    </cfRule>
  </conditionalFormatting>
  <conditionalFormatting sqref="C107">
    <cfRule type="cellIs" dxfId="22298" priority="6789" stopIfTrue="1" operator="equal">
      <formula>"Towel"</formula>
    </cfRule>
    <cfRule type="cellIs" dxfId="22297" priority="6790" stopIfTrue="1" operator="equal">
      <formula>"Napkin Hs"</formula>
    </cfRule>
  </conditionalFormatting>
  <conditionalFormatting sqref="C107">
    <cfRule type="cellIs" dxfId="22296" priority="6791" stopIfTrue="1" operator="equal">
      <formula>"Towel"</formula>
    </cfRule>
    <cfRule type="cellIs" dxfId="22295" priority="6792" stopIfTrue="1" operator="equal">
      <formula>"Napkin Hs"</formula>
    </cfRule>
  </conditionalFormatting>
  <conditionalFormatting sqref="C107">
    <cfRule type="cellIs" dxfId="22294" priority="6777" stopIfTrue="1" operator="equal">
      <formula>"Towel"</formula>
    </cfRule>
    <cfRule type="cellIs" dxfId="22293" priority="6778" stopIfTrue="1" operator="equal">
      <formula>"Napkin Hs"</formula>
    </cfRule>
  </conditionalFormatting>
  <conditionalFormatting sqref="C107">
    <cfRule type="cellIs" dxfId="22292" priority="6779" stopIfTrue="1" operator="equal">
      <formula>"Towel"</formula>
    </cfRule>
    <cfRule type="cellIs" dxfId="22291" priority="6780" stopIfTrue="1" operator="equal">
      <formula>"Napkin Hs"</formula>
    </cfRule>
  </conditionalFormatting>
  <conditionalFormatting sqref="C107">
    <cfRule type="cellIs" dxfId="22290" priority="6775" stopIfTrue="1" operator="equal">
      <formula>"Towel"</formula>
    </cfRule>
    <cfRule type="cellIs" dxfId="22289" priority="6776" stopIfTrue="1" operator="equal">
      <formula>"Napkin Hs"</formula>
    </cfRule>
  </conditionalFormatting>
  <conditionalFormatting sqref="B107">
    <cfRule type="cellIs" dxfId="22288" priority="6773" stopIfTrue="1" operator="equal">
      <formula>"Towel"</formula>
    </cfRule>
    <cfRule type="cellIs" dxfId="22287" priority="6774" stopIfTrue="1" operator="equal">
      <formula>"Napkin Hs"</formula>
    </cfRule>
  </conditionalFormatting>
  <conditionalFormatting sqref="C107">
    <cfRule type="cellIs" dxfId="22286" priority="6767" stopIfTrue="1" operator="equal">
      <formula>"Towel"</formula>
    </cfRule>
    <cfRule type="cellIs" dxfId="22285" priority="6768" stopIfTrue="1" operator="equal">
      <formula>"Napkin Hs"</formula>
    </cfRule>
  </conditionalFormatting>
  <conditionalFormatting sqref="C107">
    <cfRule type="cellIs" dxfId="22284" priority="6771" stopIfTrue="1" operator="equal">
      <formula>"Towel"</formula>
    </cfRule>
    <cfRule type="cellIs" dxfId="22283" priority="6772" stopIfTrue="1" operator="equal">
      <formula>"Napkin Hs"</formula>
    </cfRule>
  </conditionalFormatting>
  <conditionalFormatting sqref="C107">
    <cfRule type="cellIs" dxfId="22282" priority="6769" stopIfTrue="1" operator="equal">
      <formula>"Towel"</formula>
    </cfRule>
    <cfRule type="cellIs" dxfId="22281" priority="6770" stopIfTrue="1" operator="equal">
      <formula>"Napkin Hs"</formula>
    </cfRule>
  </conditionalFormatting>
  <conditionalFormatting sqref="C107">
    <cfRule type="cellIs" dxfId="22280" priority="6761" stopIfTrue="1" operator="equal">
      <formula>"Towel"</formula>
    </cfRule>
    <cfRule type="cellIs" dxfId="22279" priority="6762" stopIfTrue="1" operator="equal">
      <formula>"Napkin Hs"</formula>
    </cfRule>
  </conditionalFormatting>
  <conditionalFormatting sqref="C107">
    <cfRule type="cellIs" dxfId="22278" priority="6763" stopIfTrue="1" operator="equal">
      <formula>"Towel"</formula>
    </cfRule>
    <cfRule type="cellIs" dxfId="22277" priority="6764" stopIfTrue="1" operator="equal">
      <formula>"Napkin Hs"</formula>
    </cfRule>
  </conditionalFormatting>
  <conditionalFormatting sqref="C107">
    <cfRule type="cellIs" dxfId="22276" priority="6765" stopIfTrue="1" operator="equal">
      <formula>"Towel"</formula>
    </cfRule>
    <cfRule type="cellIs" dxfId="22275" priority="6766" stopIfTrue="1" operator="equal">
      <formula>"Napkin Hs"</formula>
    </cfRule>
  </conditionalFormatting>
  <conditionalFormatting sqref="B107:C107">
    <cfRule type="cellIs" dxfId="22274" priority="6759" stopIfTrue="1" operator="equal">
      <formula>"Towel"</formula>
    </cfRule>
    <cfRule type="cellIs" dxfId="22273" priority="6760" stopIfTrue="1" operator="equal">
      <formula>"Napkin Hs"</formula>
    </cfRule>
  </conditionalFormatting>
  <conditionalFormatting sqref="B107:C107">
    <cfRule type="cellIs" dxfId="22272" priority="6757" stopIfTrue="1" operator="equal">
      <formula>"Towel"</formula>
    </cfRule>
    <cfRule type="cellIs" dxfId="22271" priority="6758" stopIfTrue="1" operator="equal">
      <formula>"Napkin Hs"</formula>
    </cfRule>
  </conditionalFormatting>
  <conditionalFormatting sqref="B107:C107">
    <cfRule type="cellIs" dxfId="22270" priority="6733" stopIfTrue="1" operator="equal">
      <formula>"Towel"</formula>
    </cfRule>
  </conditionalFormatting>
  <conditionalFormatting sqref="B107:C107">
    <cfRule type="cellIs" dxfId="22269" priority="6734" stopIfTrue="1" operator="equal">
      <formula>"Napkin Hs"</formula>
    </cfRule>
    <cfRule type="cellIs" dxfId="22268" priority="6739" stopIfTrue="1" operator="equal">
      <formula>"Towel"</formula>
    </cfRule>
    <cfRule type="cellIs" dxfId="22267" priority="6740" stopIfTrue="1" operator="equal">
      <formula>"Napkin Hs"</formula>
    </cfRule>
    <cfRule type="cellIs" dxfId="22266" priority="6749" stopIfTrue="1" operator="equal">
      <formula>"Towel"</formula>
    </cfRule>
    <cfRule type="cellIs" dxfId="22265" priority="6750" stopIfTrue="1" operator="equal">
      <formula>"Napkin Hs"</formula>
    </cfRule>
    <cfRule type="cellIs" dxfId="22264" priority="6755" stopIfTrue="1" operator="equal">
      <formula>"Towel"</formula>
    </cfRule>
    <cfRule type="cellIs" dxfId="22263" priority="6756" stopIfTrue="1" operator="equal">
      <formula>"Napkin Hs"</formula>
    </cfRule>
  </conditionalFormatting>
  <conditionalFormatting sqref="C107">
    <cfRule type="cellIs" dxfId="22262" priority="6735" stopIfTrue="1" operator="equal">
      <formula>"Towel"</formula>
    </cfRule>
    <cfRule type="cellIs" dxfId="22261" priority="6736" stopIfTrue="1" operator="equal">
      <formula>"Napkin Hs"</formula>
    </cfRule>
    <cfRule type="cellIs" dxfId="22260" priority="6737" stopIfTrue="1" operator="equal">
      <formula>"Towel"</formula>
    </cfRule>
    <cfRule type="cellIs" dxfId="22259" priority="6738" stopIfTrue="1" operator="equal">
      <formula>"Napkin Hs"</formula>
    </cfRule>
    <cfRule type="cellIs" dxfId="22258" priority="6741" stopIfTrue="1" operator="equal">
      <formula>"Towel"</formula>
    </cfRule>
    <cfRule type="cellIs" dxfId="22257" priority="6742" stopIfTrue="1" operator="equal">
      <formula>"Napkin Hs"</formula>
    </cfRule>
    <cfRule type="cellIs" dxfId="22256" priority="6743" stopIfTrue="1" operator="equal">
      <formula>"Towel"</formula>
    </cfRule>
    <cfRule type="cellIs" dxfId="22255" priority="6744" stopIfTrue="1" operator="equal">
      <formula>"Napkin Hs"</formula>
    </cfRule>
    <cfRule type="cellIs" dxfId="22254" priority="6745" stopIfTrue="1" operator="equal">
      <formula>"Towel"</formula>
    </cfRule>
    <cfRule type="cellIs" dxfId="22253" priority="6746" stopIfTrue="1" operator="equal">
      <formula>"Napkin Hs"</formula>
    </cfRule>
    <cfRule type="cellIs" dxfId="22252" priority="6747" stopIfTrue="1" operator="equal">
      <formula>"Towel"</formula>
    </cfRule>
    <cfRule type="cellIs" dxfId="22251" priority="6748" stopIfTrue="1" operator="equal">
      <formula>"Napkin Hs"</formula>
    </cfRule>
    <cfRule type="cellIs" dxfId="22250" priority="6751" stopIfTrue="1" operator="equal">
      <formula>"Towel"</formula>
    </cfRule>
    <cfRule type="cellIs" dxfId="22249" priority="6752" stopIfTrue="1" operator="equal">
      <formula>"Napkin Hs"</formula>
    </cfRule>
    <cfRule type="cellIs" dxfId="22248" priority="6754" stopIfTrue="1" operator="equal">
      <formula>"Napkin Hs"</formula>
    </cfRule>
  </conditionalFormatting>
  <conditionalFormatting sqref="C107">
    <cfRule type="cellIs" dxfId="22247" priority="6753" stopIfTrue="1" operator="equal">
      <formula>"Towel"</formula>
    </cfRule>
  </conditionalFormatting>
  <conditionalFormatting sqref="B107:C107">
    <cfRule type="cellIs" dxfId="22246" priority="6731" stopIfTrue="1" operator="equal">
      <formula>"Towel"</formula>
    </cfRule>
    <cfRule type="cellIs" dxfId="22245" priority="6732" stopIfTrue="1" operator="equal">
      <formula>"Napkin Hs"</formula>
    </cfRule>
  </conditionalFormatting>
  <conditionalFormatting sqref="C107">
    <cfRule type="cellIs" dxfId="22244" priority="6730" stopIfTrue="1" operator="equal">
      <formula>"Napkin Hs"</formula>
    </cfRule>
  </conditionalFormatting>
  <conditionalFormatting sqref="C107">
    <cfRule type="cellIs" dxfId="22243" priority="6729" stopIfTrue="1" operator="equal">
      <formula>"Towel"</formula>
    </cfRule>
  </conditionalFormatting>
  <conditionalFormatting sqref="C107">
    <cfRule type="cellIs" dxfId="22242" priority="6727" stopIfTrue="1" operator="equal">
      <formula>"Towel"</formula>
    </cfRule>
  </conditionalFormatting>
  <conditionalFormatting sqref="C107">
    <cfRule type="cellIs" dxfId="22241" priority="6728" stopIfTrue="1" operator="equal">
      <formula>"Napkin Hs"</formula>
    </cfRule>
  </conditionalFormatting>
  <conditionalFormatting sqref="B107">
    <cfRule type="cellIs" dxfId="22240" priority="6631" stopIfTrue="1" operator="equal">
      <formula>"Napkin Hs"</formula>
    </cfRule>
  </conditionalFormatting>
  <conditionalFormatting sqref="B107:C107">
    <cfRule type="cellIs" dxfId="22239" priority="6630" stopIfTrue="1" operator="equal">
      <formula>"Towel"</formula>
    </cfRule>
  </conditionalFormatting>
  <conditionalFormatting sqref="B107:C107">
    <cfRule type="cellIs" dxfId="22238" priority="6641" stopIfTrue="1" operator="equal">
      <formula>"Towel"</formula>
    </cfRule>
    <cfRule type="cellIs" dxfId="22237" priority="6642" stopIfTrue="1" operator="equal">
      <formula>"Napkin Hs"</formula>
    </cfRule>
    <cfRule type="cellIs" dxfId="22236" priority="6647" stopIfTrue="1" operator="equal">
      <formula>"Towel"</formula>
    </cfRule>
    <cfRule type="cellIs" dxfId="22235" priority="6648" stopIfTrue="1" operator="equal">
      <formula>"Napkin Hs"</formula>
    </cfRule>
    <cfRule type="cellIs" dxfId="22234" priority="6653" stopIfTrue="1" operator="equal">
      <formula>"Towel"</formula>
    </cfRule>
    <cfRule type="cellIs" dxfId="22233" priority="6654" stopIfTrue="1" operator="equal">
      <formula>"Napkin Hs"</formula>
    </cfRule>
    <cfRule type="cellIs" dxfId="22232" priority="6655" stopIfTrue="1" operator="equal">
      <formula>"Towel"</formula>
    </cfRule>
    <cfRule type="cellIs" dxfId="22231" priority="6656" stopIfTrue="1" operator="equal">
      <formula>"Napkin Hs"</formula>
    </cfRule>
    <cfRule type="cellIs" dxfId="22230" priority="6661" stopIfTrue="1" operator="equal">
      <formula>"Towel"</formula>
    </cfRule>
    <cfRule type="cellIs" dxfId="22229" priority="6662" stopIfTrue="1" operator="equal">
      <formula>"Napkin Hs"</formula>
    </cfRule>
    <cfRule type="cellIs" dxfId="22228" priority="6671" stopIfTrue="1" operator="equal">
      <formula>"Towel"</formula>
    </cfRule>
    <cfRule type="cellIs" dxfId="22227" priority="6672" stopIfTrue="1" operator="equal">
      <formula>"Napkin Hs"</formula>
    </cfRule>
    <cfRule type="cellIs" dxfId="22226" priority="6677" stopIfTrue="1" operator="equal">
      <formula>"Towel"</formula>
    </cfRule>
    <cfRule type="cellIs" dxfId="22225" priority="6678" stopIfTrue="1" operator="equal">
      <formula>"Napkin Hs"</formula>
    </cfRule>
    <cfRule type="cellIs" dxfId="22224" priority="6679" stopIfTrue="1" operator="equal">
      <formula>"Towel"</formula>
    </cfRule>
    <cfRule type="cellIs" dxfId="22223" priority="6680" stopIfTrue="1" operator="equal">
      <formula>"Napkin Hs"</formula>
    </cfRule>
    <cfRule type="cellIs" dxfId="22222" priority="6685" stopIfTrue="1" operator="equal">
      <formula>"Towel"</formula>
    </cfRule>
    <cfRule type="cellIs" dxfId="22221" priority="6686" stopIfTrue="1" operator="equal">
      <formula>"Napkin Hs"</formula>
    </cfRule>
    <cfRule type="cellIs" dxfId="22220" priority="6695" stopIfTrue="1" operator="equal">
      <formula>"Towel"</formula>
    </cfRule>
    <cfRule type="cellIs" dxfId="22219" priority="6696" stopIfTrue="1" operator="equal">
      <formula>"Napkin Hs"</formula>
    </cfRule>
    <cfRule type="cellIs" dxfId="22218" priority="6697" stopIfTrue="1" operator="equal">
      <formula>"Towel"</formula>
    </cfRule>
    <cfRule type="cellIs" dxfId="22217" priority="6698" stopIfTrue="1" operator="equal">
      <formula>"Napkin Hs"</formula>
    </cfRule>
    <cfRule type="cellIs" dxfId="22216" priority="6703" stopIfTrue="1" operator="equal">
      <formula>"Towel"</formula>
    </cfRule>
    <cfRule type="cellIs" dxfId="22215" priority="6704" stopIfTrue="1" operator="equal">
      <formula>"Napkin Hs"</formula>
    </cfRule>
    <cfRule type="cellIs" dxfId="22214" priority="6713" stopIfTrue="1" operator="equal">
      <formula>"Towel"</formula>
    </cfRule>
    <cfRule type="cellIs" dxfId="22213" priority="6714" stopIfTrue="1" operator="equal">
      <formula>"Napkin Hs"</formula>
    </cfRule>
    <cfRule type="cellIs" dxfId="22212" priority="6715" stopIfTrue="1" operator="equal">
      <formula>"Towel"</formula>
    </cfRule>
    <cfRule type="cellIs" dxfId="22211" priority="6716" stopIfTrue="1" operator="equal">
      <formula>"Napkin Hs"</formula>
    </cfRule>
    <cfRule type="cellIs" dxfId="22210" priority="6722" stopIfTrue="1" operator="equal">
      <formula>"Napkin Hs"</formula>
    </cfRule>
  </conditionalFormatting>
  <conditionalFormatting sqref="B107:C107">
    <cfRule type="cellIs" dxfId="22209" priority="6721" stopIfTrue="1" operator="equal">
      <formula>"Towel"</formula>
    </cfRule>
  </conditionalFormatting>
  <conditionalFormatting sqref="C107">
    <cfRule type="cellIs" dxfId="22208" priority="6632" stopIfTrue="1" operator="equal">
      <formula>"Napkin Hs"</formula>
    </cfRule>
    <cfRule type="cellIs" dxfId="22207" priority="6633" stopIfTrue="1" operator="equal">
      <formula>"Towel"</formula>
    </cfRule>
    <cfRule type="cellIs" dxfId="22206" priority="6634" stopIfTrue="1" operator="equal">
      <formula>"Napkin Hs"</formula>
    </cfRule>
    <cfRule type="cellIs" dxfId="22205" priority="6635" stopIfTrue="1" operator="equal">
      <formula>"Towel"</formula>
    </cfRule>
    <cfRule type="cellIs" dxfId="22204" priority="6636" stopIfTrue="1" operator="equal">
      <formula>"Napkin Hs"</formula>
    </cfRule>
    <cfRule type="cellIs" dxfId="22203" priority="6637" stopIfTrue="1" operator="equal">
      <formula>"Towel"</formula>
    </cfRule>
    <cfRule type="cellIs" dxfId="22202" priority="6638" stopIfTrue="1" operator="equal">
      <formula>"Napkin Hs"</formula>
    </cfRule>
    <cfRule type="cellIs" dxfId="22201" priority="6639" stopIfTrue="1" operator="equal">
      <formula>"Towel"</formula>
    </cfRule>
    <cfRule type="cellIs" dxfId="22200" priority="6640" stopIfTrue="1" operator="equal">
      <formula>"Napkin Hs"</formula>
    </cfRule>
    <cfRule type="cellIs" dxfId="22199" priority="6643" stopIfTrue="1" operator="equal">
      <formula>"Towel"</formula>
    </cfRule>
    <cfRule type="cellIs" dxfId="22198" priority="6644" stopIfTrue="1" operator="equal">
      <formula>"Napkin Hs"</formula>
    </cfRule>
    <cfRule type="cellIs" dxfId="22197" priority="6645" stopIfTrue="1" operator="equal">
      <formula>"Towel"</formula>
    </cfRule>
    <cfRule type="cellIs" dxfId="22196" priority="6646" stopIfTrue="1" operator="equal">
      <formula>"Napkin Hs"</formula>
    </cfRule>
    <cfRule type="cellIs" dxfId="22195" priority="6649" stopIfTrue="1" operator="equal">
      <formula>"Towel"</formula>
    </cfRule>
    <cfRule type="cellIs" dxfId="22194" priority="6650" stopIfTrue="1" operator="equal">
      <formula>"Napkin Hs"</formula>
    </cfRule>
    <cfRule type="cellIs" dxfId="22193" priority="6651" stopIfTrue="1" operator="equal">
      <formula>"Towel"</formula>
    </cfRule>
    <cfRule type="cellIs" dxfId="22192" priority="6652" stopIfTrue="1" operator="equal">
      <formula>"Napkin Hs"</formula>
    </cfRule>
    <cfRule type="cellIs" dxfId="22191" priority="6657" stopIfTrue="1" operator="equal">
      <formula>"Towel"</formula>
    </cfRule>
    <cfRule type="cellIs" dxfId="22190" priority="6658" stopIfTrue="1" operator="equal">
      <formula>"Napkin Hs"</formula>
    </cfRule>
    <cfRule type="cellIs" dxfId="22189" priority="6659" stopIfTrue="1" operator="equal">
      <formula>"Towel"</formula>
    </cfRule>
    <cfRule type="cellIs" dxfId="22188" priority="6660" stopIfTrue="1" operator="equal">
      <formula>"Napkin Hs"</formula>
    </cfRule>
    <cfRule type="cellIs" dxfId="22187" priority="6663" stopIfTrue="1" operator="equal">
      <formula>"Towel"</formula>
    </cfRule>
    <cfRule type="cellIs" dxfId="22186" priority="6664" stopIfTrue="1" operator="equal">
      <formula>"Napkin Hs"</formula>
    </cfRule>
    <cfRule type="cellIs" dxfId="22185" priority="6665" stopIfTrue="1" operator="equal">
      <formula>"Towel"</formula>
    </cfRule>
    <cfRule type="cellIs" dxfId="22184" priority="6666" stopIfTrue="1" operator="equal">
      <formula>"Napkin Hs"</formula>
    </cfRule>
    <cfRule type="cellIs" dxfId="22183" priority="6667" stopIfTrue="1" operator="equal">
      <formula>"Towel"</formula>
    </cfRule>
    <cfRule type="cellIs" dxfId="22182" priority="6668" stopIfTrue="1" operator="equal">
      <formula>"Napkin Hs"</formula>
    </cfRule>
    <cfRule type="cellIs" dxfId="22181" priority="6669" stopIfTrue="1" operator="equal">
      <formula>"Towel"</formula>
    </cfRule>
    <cfRule type="cellIs" dxfId="22180" priority="6670" stopIfTrue="1" operator="equal">
      <formula>"Napkin Hs"</formula>
    </cfRule>
    <cfRule type="cellIs" dxfId="22179" priority="6673" stopIfTrue="1" operator="equal">
      <formula>"Towel"</formula>
    </cfRule>
    <cfRule type="cellIs" dxfId="22178" priority="6674" stopIfTrue="1" operator="equal">
      <formula>"Napkin Hs"</formula>
    </cfRule>
    <cfRule type="cellIs" dxfId="22177" priority="6675" stopIfTrue="1" operator="equal">
      <formula>"Towel"</formula>
    </cfRule>
    <cfRule type="cellIs" dxfId="22176" priority="6676" stopIfTrue="1" operator="equal">
      <formula>"Napkin Hs"</formula>
    </cfRule>
    <cfRule type="cellIs" dxfId="22175" priority="6681" stopIfTrue="1" operator="equal">
      <formula>"Towel"</formula>
    </cfRule>
    <cfRule type="cellIs" dxfId="22174" priority="6682" stopIfTrue="1" operator="equal">
      <formula>"Napkin Hs"</formula>
    </cfRule>
    <cfRule type="cellIs" dxfId="22173" priority="6683" stopIfTrue="1" operator="equal">
      <formula>"Towel"</formula>
    </cfRule>
    <cfRule type="cellIs" dxfId="22172" priority="6684" stopIfTrue="1" operator="equal">
      <formula>"Napkin Hs"</formula>
    </cfRule>
    <cfRule type="cellIs" dxfId="22171" priority="6687" stopIfTrue="1" operator="equal">
      <formula>"Towel"</formula>
    </cfRule>
    <cfRule type="cellIs" dxfId="22170" priority="6688" stopIfTrue="1" operator="equal">
      <formula>"Napkin Hs"</formula>
    </cfRule>
    <cfRule type="cellIs" dxfId="22169" priority="6689" stopIfTrue="1" operator="equal">
      <formula>"Towel"</formula>
    </cfRule>
    <cfRule type="cellIs" dxfId="22168" priority="6690" stopIfTrue="1" operator="equal">
      <formula>"Napkin Hs"</formula>
    </cfRule>
    <cfRule type="cellIs" dxfId="22167" priority="6691" stopIfTrue="1" operator="equal">
      <formula>"Towel"</formula>
    </cfRule>
    <cfRule type="cellIs" dxfId="22166" priority="6692" stopIfTrue="1" operator="equal">
      <formula>"Napkin Hs"</formula>
    </cfRule>
    <cfRule type="cellIs" dxfId="22165" priority="6693" stopIfTrue="1" operator="equal">
      <formula>"Towel"</formula>
    </cfRule>
    <cfRule type="cellIs" dxfId="22164" priority="6694" stopIfTrue="1" operator="equal">
      <formula>"Napkin Hs"</formula>
    </cfRule>
    <cfRule type="cellIs" dxfId="22163" priority="6699" stopIfTrue="1" operator="equal">
      <formula>"Towel"</formula>
    </cfRule>
    <cfRule type="cellIs" dxfId="22162" priority="6700" stopIfTrue="1" operator="equal">
      <formula>"Napkin Hs"</formula>
    </cfRule>
    <cfRule type="cellIs" dxfId="22161" priority="6701" stopIfTrue="1" operator="equal">
      <formula>"Towel"</formula>
    </cfRule>
    <cfRule type="cellIs" dxfId="22160" priority="6702" stopIfTrue="1" operator="equal">
      <formula>"Napkin Hs"</formula>
    </cfRule>
    <cfRule type="cellIs" dxfId="22159" priority="6705" stopIfTrue="1" operator="equal">
      <formula>"Towel"</formula>
    </cfRule>
    <cfRule type="cellIs" dxfId="22158" priority="6706" stopIfTrue="1" operator="equal">
      <formula>"Napkin Hs"</formula>
    </cfRule>
    <cfRule type="cellIs" dxfId="22157" priority="6707" stopIfTrue="1" operator="equal">
      <formula>"Towel"</formula>
    </cfRule>
    <cfRule type="cellIs" dxfId="22156" priority="6708" stopIfTrue="1" operator="equal">
      <formula>"Napkin Hs"</formula>
    </cfRule>
    <cfRule type="cellIs" dxfId="22155" priority="6709" stopIfTrue="1" operator="equal">
      <formula>"Towel"</formula>
    </cfRule>
    <cfRule type="cellIs" dxfId="22154" priority="6710" stopIfTrue="1" operator="equal">
      <formula>"Napkin Hs"</formula>
    </cfRule>
    <cfRule type="cellIs" dxfId="22153" priority="6711" stopIfTrue="1" operator="equal">
      <formula>"Towel"</formula>
    </cfRule>
    <cfRule type="cellIs" dxfId="22152" priority="6712" stopIfTrue="1" operator="equal">
      <formula>"Napkin Hs"</formula>
    </cfRule>
    <cfRule type="cellIs" dxfId="22151" priority="6717" stopIfTrue="1" operator="equal">
      <formula>"Towel"</formula>
    </cfRule>
    <cfRule type="cellIs" dxfId="22150" priority="6718" stopIfTrue="1" operator="equal">
      <formula>"Napkin Hs"</formula>
    </cfRule>
    <cfRule type="cellIs" dxfId="22149" priority="6719" stopIfTrue="1" operator="equal">
      <formula>"Towel"</formula>
    </cfRule>
    <cfRule type="cellIs" dxfId="22148" priority="6720" stopIfTrue="1" operator="equal">
      <formula>"Napkin Hs"</formula>
    </cfRule>
    <cfRule type="cellIs" dxfId="22147" priority="6723" stopIfTrue="1" operator="equal">
      <formula>"Towel"</formula>
    </cfRule>
    <cfRule type="cellIs" dxfId="22146" priority="6724" stopIfTrue="1" operator="equal">
      <formula>"Napkin Hs"</formula>
    </cfRule>
    <cfRule type="cellIs" dxfId="22145" priority="6725" stopIfTrue="1" operator="equal">
      <formula>"Towel"</formula>
    </cfRule>
    <cfRule type="cellIs" dxfId="22144" priority="6726" stopIfTrue="1" operator="equal">
      <formula>"Napkin Hs"</formula>
    </cfRule>
  </conditionalFormatting>
  <conditionalFormatting sqref="C107">
    <cfRule type="cellIs" dxfId="22143" priority="6629" stopIfTrue="1" operator="equal">
      <formula>"Napkin Hs"</formula>
    </cfRule>
  </conditionalFormatting>
  <conditionalFormatting sqref="C107">
    <cfRule type="cellIs" dxfId="22142" priority="6628" stopIfTrue="1" operator="equal">
      <formula>"Napkin Hs"</formula>
    </cfRule>
  </conditionalFormatting>
  <conditionalFormatting sqref="B107">
    <cfRule type="cellIs" dxfId="22141" priority="6627" stopIfTrue="1" operator="equal">
      <formula>"Napkin Hs"</formula>
    </cfRule>
  </conditionalFormatting>
  <conditionalFormatting sqref="C107">
    <cfRule type="cellIs" dxfId="22140" priority="6626" stopIfTrue="1" operator="equal">
      <formula>"Napkin Hs"</formula>
    </cfRule>
  </conditionalFormatting>
  <conditionalFormatting sqref="C107">
    <cfRule type="cellIs" dxfId="22139" priority="6625" stopIfTrue="1" operator="equal">
      <formula>"Napkin Hs"</formula>
    </cfRule>
  </conditionalFormatting>
  <conditionalFormatting sqref="C107">
    <cfRule type="cellIs" dxfId="22138" priority="6624" stopIfTrue="1" operator="equal">
      <formula>"Napkin Hs"</formula>
    </cfRule>
  </conditionalFormatting>
  <conditionalFormatting sqref="C107">
    <cfRule type="cellIs" dxfId="22137" priority="6623" stopIfTrue="1" operator="equal">
      <formula>"Napkin Hs"</formula>
    </cfRule>
  </conditionalFormatting>
  <conditionalFormatting sqref="B107">
    <cfRule type="cellIs" dxfId="22136" priority="6622" stopIfTrue="1" operator="equal">
      <formula>"Napkin Hs"</formula>
    </cfRule>
  </conditionalFormatting>
  <conditionalFormatting sqref="B107">
    <cfRule type="cellIs" dxfId="22135" priority="6621" stopIfTrue="1" operator="equal">
      <formula>"Napkin Hs"</formula>
    </cfRule>
  </conditionalFormatting>
  <conditionalFormatting sqref="C107">
    <cfRule type="cellIs" dxfId="22134" priority="6617" stopIfTrue="1" operator="equal">
      <formula>"Towel"</formula>
    </cfRule>
    <cfRule type="cellIs" dxfId="22133" priority="6618" stopIfTrue="1" operator="equal">
      <formula>"Napkin Hs"</formula>
    </cfRule>
  </conditionalFormatting>
  <conditionalFormatting sqref="C107">
    <cfRule type="cellIs" dxfId="22132" priority="6619" stopIfTrue="1" operator="equal">
      <formula>"Towel"</formula>
    </cfRule>
    <cfRule type="cellIs" dxfId="22131" priority="6620" stopIfTrue="1" operator="equal">
      <formula>"Napkin Hs"</formula>
    </cfRule>
  </conditionalFormatting>
  <conditionalFormatting sqref="C107">
    <cfRule type="cellIs" dxfId="22130" priority="6613" stopIfTrue="1" operator="equal">
      <formula>"Towel"</formula>
    </cfRule>
    <cfRule type="cellIs" dxfId="22129" priority="6614" stopIfTrue="1" operator="equal">
      <formula>"Napkin Hs"</formula>
    </cfRule>
  </conditionalFormatting>
  <conditionalFormatting sqref="C107">
    <cfRule type="cellIs" dxfId="22128" priority="6615" stopIfTrue="1" operator="equal">
      <formula>"Towel"</formula>
    </cfRule>
    <cfRule type="cellIs" dxfId="22127" priority="6616" stopIfTrue="1" operator="equal">
      <formula>"Napkin Hs"</formula>
    </cfRule>
  </conditionalFormatting>
  <conditionalFormatting sqref="B105:B106">
    <cfRule type="cellIs" dxfId="22126" priority="6441" stopIfTrue="1" operator="equal">
      <formula>"Napkin Hs"</formula>
    </cfRule>
  </conditionalFormatting>
  <conditionalFormatting sqref="B105:B106">
    <cfRule type="cellIs" dxfId="22125" priority="6440" stopIfTrue="1" operator="equal">
      <formula>"Napkin Hs"</formula>
    </cfRule>
  </conditionalFormatting>
  <conditionalFormatting sqref="B105:B106">
    <cfRule type="cellIs" dxfId="22124" priority="6439" stopIfTrue="1" operator="equal">
      <formula>"Napkin Hs"</formula>
    </cfRule>
  </conditionalFormatting>
  <conditionalFormatting sqref="C105:C106">
    <cfRule type="cellIs" dxfId="22123" priority="6437" stopIfTrue="1" operator="equal">
      <formula>"Towel"</formula>
    </cfRule>
    <cfRule type="cellIs" dxfId="22122" priority="6438" stopIfTrue="1" operator="equal">
      <formula>"Napkin Hs"</formula>
    </cfRule>
  </conditionalFormatting>
  <conditionalFormatting sqref="C105:C106">
    <cfRule type="cellIs" dxfId="22121" priority="6433" stopIfTrue="1" operator="equal">
      <formula>"Towel"</formula>
    </cfRule>
    <cfRule type="cellIs" dxfId="22120" priority="6434" stopIfTrue="1" operator="equal">
      <formula>"Napkin Hs"</formula>
    </cfRule>
  </conditionalFormatting>
  <conditionalFormatting sqref="C105:C106">
    <cfRule type="cellIs" dxfId="22119" priority="6435" stopIfTrue="1" operator="equal">
      <formula>"Towel"</formula>
    </cfRule>
    <cfRule type="cellIs" dxfId="22118" priority="6436" stopIfTrue="1" operator="equal">
      <formula>"Napkin Hs"</formula>
    </cfRule>
  </conditionalFormatting>
  <conditionalFormatting sqref="C105:C106">
    <cfRule type="cellIs" dxfId="22117" priority="6429" stopIfTrue="1" operator="equal">
      <formula>"Towel"</formula>
    </cfRule>
    <cfRule type="cellIs" dxfId="22116" priority="6430" stopIfTrue="1" operator="equal">
      <formula>"Napkin Hs"</formula>
    </cfRule>
  </conditionalFormatting>
  <conditionalFormatting sqref="C105:C106">
    <cfRule type="cellIs" dxfId="22115" priority="6431" stopIfTrue="1" operator="equal">
      <formula>"Towel"</formula>
    </cfRule>
    <cfRule type="cellIs" dxfId="22114" priority="6432" stopIfTrue="1" operator="equal">
      <formula>"Napkin Hs"</formula>
    </cfRule>
  </conditionalFormatting>
  <conditionalFormatting sqref="C105:C106">
    <cfRule type="cellIs" dxfId="22113" priority="6427" stopIfTrue="1" operator="equal">
      <formula>"Towel"</formula>
    </cfRule>
    <cfRule type="cellIs" dxfId="22112" priority="6428" stopIfTrue="1" operator="equal">
      <formula>"Napkin Hs"</formula>
    </cfRule>
  </conditionalFormatting>
  <conditionalFormatting sqref="C105:C106">
    <cfRule type="cellIs" dxfId="22111" priority="6421" stopIfTrue="1" operator="equal">
      <formula>"Towel"</formula>
    </cfRule>
    <cfRule type="cellIs" dxfId="22110" priority="6422" stopIfTrue="1" operator="equal">
      <formula>"Napkin Hs"</formula>
    </cfRule>
  </conditionalFormatting>
  <conditionalFormatting sqref="C105:C106">
    <cfRule type="cellIs" dxfId="22109" priority="6425" stopIfTrue="1" operator="equal">
      <formula>"Towel"</formula>
    </cfRule>
    <cfRule type="cellIs" dxfId="22108" priority="6426" stopIfTrue="1" operator="equal">
      <formula>"Napkin Hs"</formula>
    </cfRule>
  </conditionalFormatting>
  <conditionalFormatting sqref="C105:C106">
    <cfRule type="cellIs" dxfId="22107" priority="6423" stopIfTrue="1" operator="equal">
      <formula>"Towel"</formula>
    </cfRule>
    <cfRule type="cellIs" dxfId="22106" priority="6424" stopIfTrue="1" operator="equal">
      <formula>"Napkin Hs"</formula>
    </cfRule>
  </conditionalFormatting>
  <conditionalFormatting sqref="C105:C106">
    <cfRule type="cellIs" dxfId="22105" priority="6415" stopIfTrue="1" operator="equal">
      <formula>"Towel"</formula>
    </cfRule>
    <cfRule type="cellIs" dxfId="22104" priority="6416" stopIfTrue="1" operator="equal">
      <formula>"Napkin Hs"</formula>
    </cfRule>
  </conditionalFormatting>
  <conditionalFormatting sqref="C105:C106">
    <cfRule type="cellIs" dxfId="22103" priority="6417" stopIfTrue="1" operator="equal">
      <formula>"Towel"</formula>
    </cfRule>
    <cfRule type="cellIs" dxfId="22102" priority="6418" stopIfTrue="1" operator="equal">
      <formula>"Napkin Hs"</formula>
    </cfRule>
  </conditionalFormatting>
  <conditionalFormatting sqref="C105:C106">
    <cfRule type="cellIs" dxfId="22101" priority="6419" stopIfTrue="1" operator="equal">
      <formula>"Towel"</formula>
    </cfRule>
    <cfRule type="cellIs" dxfId="22100" priority="6420" stopIfTrue="1" operator="equal">
      <formula>"Napkin Hs"</formula>
    </cfRule>
  </conditionalFormatting>
  <conditionalFormatting sqref="C105:C106">
    <cfRule type="cellIs" dxfId="22099" priority="6413" stopIfTrue="1" operator="equal">
      <formula>"Towel"</formula>
    </cfRule>
    <cfRule type="cellIs" dxfId="22098" priority="6414" stopIfTrue="1" operator="equal">
      <formula>"Napkin Hs"</formula>
    </cfRule>
  </conditionalFormatting>
  <conditionalFormatting sqref="C105:C106">
    <cfRule type="cellIs" dxfId="22097" priority="6411" stopIfTrue="1" operator="equal">
      <formula>"Towel"</formula>
    </cfRule>
    <cfRule type="cellIs" dxfId="22096" priority="6412" stopIfTrue="1" operator="equal">
      <formula>"Napkin Hs"</formula>
    </cfRule>
  </conditionalFormatting>
  <conditionalFormatting sqref="C105:C106">
    <cfRule type="cellIs" dxfId="22095" priority="6387" stopIfTrue="1" operator="equal">
      <formula>"Towel"</formula>
    </cfRule>
  </conditionalFormatting>
  <conditionalFormatting sqref="C105:C106">
    <cfRule type="cellIs" dxfId="22094" priority="6388" stopIfTrue="1" operator="equal">
      <formula>"Napkin Hs"</formula>
    </cfRule>
    <cfRule type="cellIs" dxfId="22093" priority="6393" stopIfTrue="1" operator="equal">
      <formula>"Towel"</formula>
    </cfRule>
    <cfRule type="cellIs" dxfId="22092" priority="6394" stopIfTrue="1" operator="equal">
      <formula>"Napkin Hs"</formula>
    </cfRule>
    <cfRule type="cellIs" dxfId="22091" priority="6403" stopIfTrue="1" operator="equal">
      <formula>"Towel"</formula>
    </cfRule>
    <cfRule type="cellIs" dxfId="22090" priority="6404" stopIfTrue="1" operator="equal">
      <formula>"Napkin Hs"</formula>
    </cfRule>
    <cfRule type="cellIs" dxfId="22089" priority="6409" stopIfTrue="1" operator="equal">
      <formula>"Towel"</formula>
    </cfRule>
    <cfRule type="cellIs" dxfId="22088" priority="6410" stopIfTrue="1" operator="equal">
      <formula>"Napkin Hs"</formula>
    </cfRule>
  </conditionalFormatting>
  <conditionalFormatting sqref="C105:C106">
    <cfRule type="cellIs" dxfId="22087" priority="6389" stopIfTrue="1" operator="equal">
      <formula>"Towel"</formula>
    </cfRule>
    <cfRule type="cellIs" dxfId="22086" priority="6390" stopIfTrue="1" operator="equal">
      <formula>"Napkin Hs"</formula>
    </cfRule>
    <cfRule type="cellIs" dxfId="22085" priority="6391" stopIfTrue="1" operator="equal">
      <formula>"Towel"</formula>
    </cfRule>
    <cfRule type="cellIs" dxfId="22084" priority="6392" stopIfTrue="1" operator="equal">
      <formula>"Napkin Hs"</formula>
    </cfRule>
    <cfRule type="cellIs" dxfId="22083" priority="6395" stopIfTrue="1" operator="equal">
      <formula>"Towel"</formula>
    </cfRule>
    <cfRule type="cellIs" dxfId="22082" priority="6396" stopIfTrue="1" operator="equal">
      <formula>"Napkin Hs"</formula>
    </cfRule>
    <cfRule type="cellIs" dxfId="22081" priority="6397" stopIfTrue="1" operator="equal">
      <formula>"Towel"</formula>
    </cfRule>
    <cfRule type="cellIs" dxfId="22080" priority="6398" stopIfTrue="1" operator="equal">
      <formula>"Napkin Hs"</formula>
    </cfRule>
    <cfRule type="cellIs" dxfId="22079" priority="6399" stopIfTrue="1" operator="equal">
      <formula>"Towel"</formula>
    </cfRule>
    <cfRule type="cellIs" dxfId="22078" priority="6400" stopIfTrue="1" operator="equal">
      <formula>"Napkin Hs"</formula>
    </cfRule>
    <cfRule type="cellIs" dxfId="22077" priority="6401" stopIfTrue="1" operator="equal">
      <formula>"Towel"</formula>
    </cfRule>
    <cfRule type="cellIs" dxfId="22076" priority="6402" stopIfTrue="1" operator="equal">
      <formula>"Napkin Hs"</formula>
    </cfRule>
    <cfRule type="cellIs" dxfId="22075" priority="6405" stopIfTrue="1" operator="equal">
      <formula>"Towel"</formula>
    </cfRule>
    <cfRule type="cellIs" dxfId="22074" priority="6406" stopIfTrue="1" operator="equal">
      <formula>"Napkin Hs"</formula>
    </cfRule>
    <cfRule type="cellIs" dxfId="22073" priority="6408" stopIfTrue="1" operator="equal">
      <formula>"Napkin Hs"</formula>
    </cfRule>
  </conditionalFormatting>
  <conditionalFormatting sqref="C105:C106">
    <cfRule type="cellIs" dxfId="22072" priority="6407" stopIfTrue="1" operator="equal">
      <formula>"Towel"</formula>
    </cfRule>
  </conditionalFormatting>
  <conditionalFormatting sqref="C105:C106">
    <cfRule type="cellIs" dxfId="22071" priority="6385" stopIfTrue="1" operator="equal">
      <formula>"Towel"</formula>
    </cfRule>
    <cfRule type="cellIs" dxfId="22070" priority="6386" stopIfTrue="1" operator="equal">
      <formula>"Napkin Hs"</formula>
    </cfRule>
  </conditionalFormatting>
  <conditionalFormatting sqref="C105:C106">
    <cfRule type="cellIs" dxfId="22069" priority="6384" stopIfTrue="1" operator="equal">
      <formula>"Napkin Hs"</formula>
    </cfRule>
  </conditionalFormatting>
  <conditionalFormatting sqref="C105:C106">
    <cfRule type="cellIs" dxfId="22068" priority="6383" stopIfTrue="1" operator="equal">
      <formula>"Towel"</formula>
    </cfRule>
  </conditionalFormatting>
  <conditionalFormatting sqref="C105:C106">
    <cfRule type="cellIs" dxfId="22067" priority="6381" stopIfTrue="1" operator="equal">
      <formula>"Towel"</formula>
    </cfRule>
  </conditionalFormatting>
  <conditionalFormatting sqref="C105:C106">
    <cfRule type="cellIs" dxfId="22066" priority="6382" stopIfTrue="1" operator="equal">
      <formula>"Napkin Hs"</formula>
    </cfRule>
  </conditionalFormatting>
  <conditionalFormatting sqref="C105:C106">
    <cfRule type="cellIs" dxfId="22065" priority="6285" stopIfTrue="1" operator="equal">
      <formula>"Towel"</formula>
    </cfRule>
  </conditionalFormatting>
  <conditionalFormatting sqref="C105:C106">
    <cfRule type="cellIs" dxfId="22064" priority="6295" stopIfTrue="1" operator="equal">
      <formula>"Towel"</formula>
    </cfRule>
    <cfRule type="cellIs" dxfId="22063" priority="6296" stopIfTrue="1" operator="equal">
      <formula>"Napkin Hs"</formula>
    </cfRule>
    <cfRule type="cellIs" dxfId="22062" priority="6301" stopIfTrue="1" operator="equal">
      <formula>"Towel"</formula>
    </cfRule>
    <cfRule type="cellIs" dxfId="22061" priority="6302" stopIfTrue="1" operator="equal">
      <formula>"Napkin Hs"</formula>
    </cfRule>
    <cfRule type="cellIs" dxfId="22060" priority="6307" stopIfTrue="1" operator="equal">
      <formula>"Towel"</formula>
    </cfRule>
    <cfRule type="cellIs" dxfId="22059" priority="6308" stopIfTrue="1" operator="equal">
      <formula>"Napkin Hs"</formula>
    </cfRule>
    <cfRule type="cellIs" dxfId="22058" priority="6309" stopIfTrue="1" operator="equal">
      <formula>"Towel"</formula>
    </cfRule>
    <cfRule type="cellIs" dxfId="22057" priority="6310" stopIfTrue="1" operator="equal">
      <formula>"Napkin Hs"</formula>
    </cfRule>
    <cfRule type="cellIs" dxfId="22056" priority="6315" stopIfTrue="1" operator="equal">
      <formula>"Towel"</formula>
    </cfRule>
    <cfRule type="cellIs" dxfId="22055" priority="6316" stopIfTrue="1" operator="equal">
      <formula>"Napkin Hs"</formula>
    </cfRule>
    <cfRule type="cellIs" dxfId="22054" priority="6325" stopIfTrue="1" operator="equal">
      <formula>"Towel"</formula>
    </cfRule>
    <cfRule type="cellIs" dxfId="22053" priority="6326" stopIfTrue="1" operator="equal">
      <formula>"Napkin Hs"</formula>
    </cfRule>
    <cfRule type="cellIs" dxfId="22052" priority="6331" stopIfTrue="1" operator="equal">
      <formula>"Towel"</formula>
    </cfRule>
    <cfRule type="cellIs" dxfId="22051" priority="6332" stopIfTrue="1" operator="equal">
      <formula>"Napkin Hs"</formula>
    </cfRule>
    <cfRule type="cellIs" dxfId="22050" priority="6333" stopIfTrue="1" operator="equal">
      <formula>"Towel"</formula>
    </cfRule>
    <cfRule type="cellIs" dxfId="22049" priority="6334" stopIfTrue="1" operator="equal">
      <formula>"Napkin Hs"</formula>
    </cfRule>
    <cfRule type="cellIs" dxfId="22048" priority="6339" stopIfTrue="1" operator="equal">
      <formula>"Towel"</formula>
    </cfRule>
    <cfRule type="cellIs" dxfId="22047" priority="6340" stopIfTrue="1" operator="equal">
      <formula>"Napkin Hs"</formula>
    </cfRule>
    <cfRule type="cellIs" dxfId="22046" priority="6349" stopIfTrue="1" operator="equal">
      <formula>"Towel"</formula>
    </cfRule>
    <cfRule type="cellIs" dxfId="22045" priority="6350" stopIfTrue="1" operator="equal">
      <formula>"Napkin Hs"</formula>
    </cfRule>
    <cfRule type="cellIs" dxfId="22044" priority="6351" stopIfTrue="1" operator="equal">
      <formula>"Towel"</formula>
    </cfRule>
    <cfRule type="cellIs" dxfId="22043" priority="6352" stopIfTrue="1" operator="equal">
      <formula>"Napkin Hs"</formula>
    </cfRule>
    <cfRule type="cellIs" dxfId="22042" priority="6357" stopIfTrue="1" operator="equal">
      <formula>"Towel"</formula>
    </cfRule>
    <cfRule type="cellIs" dxfId="22041" priority="6358" stopIfTrue="1" operator="equal">
      <formula>"Napkin Hs"</formula>
    </cfRule>
    <cfRule type="cellIs" dxfId="22040" priority="6367" stopIfTrue="1" operator="equal">
      <formula>"Towel"</formula>
    </cfRule>
    <cfRule type="cellIs" dxfId="22039" priority="6368" stopIfTrue="1" operator="equal">
      <formula>"Napkin Hs"</formula>
    </cfRule>
    <cfRule type="cellIs" dxfId="22038" priority="6369" stopIfTrue="1" operator="equal">
      <formula>"Towel"</formula>
    </cfRule>
    <cfRule type="cellIs" dxfId="22037" priority="6370" stopIfTrue="1" operator="equal">
      <formula>"Napkin Hs"</formula>
    </cfRule>
    <cfRule type="cellIs" dxfId="22036" priority="6376" stopIfTrue="1" operator="equal">
      <formula>"Napkin Hs"</formula>
    </cfRule>
  </conditionalFormatting>
  <conditionalFormatting sqref="C105:C106">
    <cfRule type="cellIs" dxfId="22035" priority="6375" stopIfTrue="1" operator="equal">
      <formula>"Towel"</formula>
    </cfRule>
  </conditionalFormatting>
  <conditionalFormatting sqref="C105:C106">
    <cfRule type="cellIs" dxfId="22034" priority="6286" stopIfTrue="1" operator="equal">
      <formula>"Napkin Hs"</formula>
    </cfRule>
    <cfRule type="cellIs" dxfId="22033" priority="6287" stopIfTrue="1" operator="equal">
      <formula>"Towel"</formula>
    </cfRule>
    <cfRule type="cellIs" dxfId="22032" priority="6288" stopIfTrue="1" operator="equal">
      <formula>"Napkin Hs"</formula>
    </cfRule>
    <cfRule type="cellIs" dxfId="22031" priority="6289" stopIfTrue="1" operator="equal">
      <formula>"Towel"</formula>
    </cfRule>
    <cfRule type="cellIs" dxfId="22030" priority="6290" stopIfTrue="1" operator="equal">
      <formula>"Napkin Hs"</formula>
    </cfRule>
    <cfRule type="cellIs" dxfId="22029" priority="6291" stopIfTrue="1" operator="equal">
      <formula>"Towel"</formula>
    </cfRule>
    <cfRule type="cellIs" dxfId="22028" priority="6292" stopIfTrue="1" operator="equal">
      <formula>"Napkin Hs"</formula>
    </cfRule>
    <cfRule type="cellIs" dxfId="22027" priority="6293" stopIfTrue="1" operator="equal">
      <formula>"Towel"</formula>
    </cfRule>
    <cfRule type="cellIs" dxfId="22026" priority="6294" stopIfTrue="1" operator="equal">
      <formula>"Napkin Hs"</formula>
    </cfRule>
    <cfRule type="cellIs" dxfId="22025" priority="6297" stopIfTrue="1" operator="equal">
      <formula>"Towel"</formula>
    </cfRule>
    <cfRule type="cellIs" dxfId="22024" priority="6298" stopIfTrue="1" operator="equal">
      <formula>"Napkin Hs"</formula>
    </cfRule>
    <cfRule type="cellIs" dxfId="22023" priority="6299" stopIfTrue="1" operator="equal">
      <formula>"Towel"</formula>
    </cfRule>
    <cfRule type="cellIs" dxfId="22022" priority="6300" stopIfTrue="1" operator="equal">
      <formula>"Napkin Hs"</formula>
    </cfRule>
    <cfRule type="cellIs" dxfId="22021" priority="6303" stopIfTrue="1" operator="equal">
      <formula>"Towel"</formula>
    </cfRule>
    <cfRule type="cellIs" dxfId="22020" priority="6304" stopIfTrue="1" operator="equal">
      <formula>"Napkin Hs"</formula>
    </cfRule>
    <cfRule type="cellIs" dxfId="22019" priority="6305" stopIfTrue="1" operator="equal">
      <formula>"Towel"</formula>
    </cfRule>
    <cfRule type="cellIs" dxfId="22018" priority="6306" stopIfTrue="1" operator="equal">
      <formula>"Napkin Hs"</formula>
    </cfRule>
    <cfRule type="cellIs" dxfId="22017" priority="6311" stopIfTrue="1" operator="equal">
      <formula>"Towel"</formula>
    </cfRule>
    <cfRule type="cellIs" dxfId="22016" priority="6312" stopIfTrue="1" operator="equal">
      <formula>"Napkin Hs"</formula>
    </cfRule>
    <cfRule type="cellIs" dxfId="22015" priority="6313" stopIfTrue="1" operator="equal">
      <formula>"Towel"</formula>
    </cfRule>
    <cfRule type="cellIs" dxfId="22014" priority="6314" stopIfTrue="1" operator="equal">
      <formula>"Napkin Hs"</formula>
    </cfRule>
    <cfRule type="cellIs" dxfId="22013" priority="6317" stopIfTrue="1" operator="equal">
      <formula>"Towel"</formula>
    </cfRule>
    <cfRule type="cellIs" dxfId="22012" priority="6318" stopIfTrue="1" operator="equal">
      <formula>"Napkin Hs"</formula>
    </cfRule>
    <cfRule type="cellIs" dxfId="22011" priority="6319" stopIfTrue="1" operator="equal">
      <formula>"Towel"</formula>
    </cfRule>
    <cfRule type="cellIs" dxfId="22010" priority="6320" stopIfTrue="1" operator="equal">
      <formula>"Napkin Hs"</formula>
    </cfRule>
    <cfRule type="cellIs" dxfId="22009" priority="6321" stopIfTrue="1" operator="equal">
      <formula>"Towel"</formula>
    </cfRule>
    <cfRule type="cellIs" dxfId="22008" priority="6322" stopIfTrue="1" operator="equal">
      <formula>"Napkin Hs"</formula>
    </cfRule>
    <cfRule type="cellIs" dxfId="22007" priority="6323" stopIfTrue="1" operator="equal">
      <formula>"Towel"</formula>
    </cfRule>
    <cfRule type="cellIs" dxfId="22006" priority="6324" stopIfTrue="1" operator="equal">
      <formula>"Napkin Hs"</formula>
    </cfRule>
    <cfRule type="cellIs" dxfId="22005" priority="6327" stopIfTrue="1" operator="equal">
      <formula>"Towel"</formula>
    </cfRule>
    <cfRule type="cellIs" dxfId="22004" priority="6328" stopIfTrue="1" operator="equal">
      <formula>"Napkin Hs"</formula>
    </cfRule>
    <cfRule type="cellIs" dxfId="22003" priority="6329" stopIfTrue="1" operator="equal">
      <formula>"Towel"</formula>
    </cfRule>
    <cfRule type="cellIs" dxfId="22002" priority="6330" stopIfTrue="1" operator="equal">
      <formula>"Napkin Hs"</formula>
    </cfRule>
    <cfRule type="cellIs" dxfId="22001" priority="6335" stopIfTrue="1" operator="equal">
      <formula>"Towel"</formula>
    </cfRule>
    <cfRule type="cellIs" dxfId="22000" priority="6336" stopIfTrue="1" operator="equal">
      <formula>"Napkin Hs"</formula>
    </cfRule>
    <cfRule type="cellIs" dxfId="21999" priority="6337" stopIfTrue="1" operator="equal">
      <formula>"Towel"</formula>
    </cfRule>
    <cfRule type="cellIs" dxfId="21998" priority="6338" stopIfTrue="1" operator="equal">
      <formula>"Napkin Hs"</formula>
    </cfRule>
    <cfRule type="cellIs" dxfId="21997" priority="6341" stopIfTrue="1" operator="equal">
      <formula>"Towel"</formula>
    </cfRule>
    <cfRule type="cellIs" dxfId="21996" priority="6342" stopIfTrue="1" operator="equal">
      <formula>"Napkin Hs"</formula>
    </cfRule>
    <cfRule type="cellIs" dxfId="21995" priority="6343" stopIfTrue="1" operator="equal">
      <formula>"Towel"</formula>
    </cfRule>
    <cfRule type="cellIs" dxfId="21994" priority="6344" stopIfTrue="1" operator="equal">
      <formula>"Napkin Hs"</formula>
    </cfRule>
    <cfRule type="cellIs" dxfId="21993" priority="6345" stopIfTrue="1" operator="equal">
      <formula>"Towel"</formula>
    </cfRule>
    <cfRule type="cellIs" dxfId="21992" priority="6346" stopIfTrue="1" operator="equal">
      <formula>"Napkin Hs"</formula>
    </cfRule>
    <cfRule type="cellIs" dxfId="21991" priority="6347" stopIfTrue="1" operator="equal">
      <formula>"Towel"</formula>
    </cfRule>
    <cfRule type="cellIs" dxfId="21990" priority="6348" stopIfTrue="1" operator="equal">
      <formula>"Napkin Hs"</formula>
    </cfRule>
    <cfRule type="cellIs" dxfId="21989" priority="6353" stopIfTrue="1" operator="equal">
      <formula>"Towel"</formula>
    </cfRule>
    <cfRule type="cellIs" dxfId="21988" priority="6354" stopIfTrue="1" operator="equal">
      <formula>"Napkin Hs"</formula>
    </cfRule>
    <cfRule type="cellIs" dxfId="21987" priority="6355" stopIfTrue="1" operator="equal">
      <formula>"Towel"</formula>
    </cfRule>
    <cfRule type="cellIs" dxfId="21986" priority="6356" stopIfTrue="1" operator="equal">
      <formula>"Napkin Hs"</formula>
    </cfRule>
    <cfRule type="cellIs" dxfId="21985" priority="6359" stopIfTrue="1" operator="equal">
      <formula>"Towel"</formula>
    </cfRule>
    <cfRule type="cellIs" dxfId="21984" priority="6360" stopIfTrue="1" operator="equal">
      <formula>"Napkin Hs"</formula>
    </cfRule>
    <cfRule type="cellIs" dxfId="21983" priority="6361" stopIfTrue="1" operator="equal">
      <formula>"Towel"</formula>
    </cfRule>
    <cfRule type="cellIs" dxfId="21982" priority="6362" stopIfTrue="1" operator="equal">
      <formula>"Napkin Hs"</formula>
    </cfRule>
    <cfRule type="cellIs" dxfId="21981" priority="6363" stopIfTrue="1" operator="equal">
      <formula>"Towel"</formula>
    </cfRule>
    <cfRule type="cellIs" dxfId="21980" priority="6364" stopIfTrue="1" operator="equal">
      <formula>"Napkin Hs"</formula>
    </cfRule>
    <cfRule type="cellIs" dxfId="21979" priority="6365" stopIfTrue="1" operator="equal">
      <formula>"Towel"</formula>
    </cfRule>
    <cfRule type="cellIs" dxfId="21978" priority="6366" stopIfTrue="1" operator="equal">
      <formula>"Napkin Hs"</formula>
    </cfRule>
    <cfRule type="cellIs" dxfId="21977" priority="6371" stopIfTrue="1" operator="equal">
      <formula>"Towel"</formula>
    </cfRule>
    <cfRule type="cellIs" dxfId="21976" priority="6372" stopIfTrue="1" operator="equal">
      <formula>"Napkin Hs"</formula>
    </cfRule>
    <cfRule type="cellIs" dxfId="21975" priority="6373" stopIfTrue="1" operator="equal">
      <formula>"Towel"</formula>
    </cfRule>
    <cfRule type="cellIs" dxfId="21974" priority="6374" stopIfTrue="1" operator="equal">
      <formula>"Napkin Hs"</formula>
    </cfRule>
    <cfRule type="cellIs" dxfId="21973" priority="6377" stopIfTrue="1" operator="equal">
      <formula>"Towel"</formula>
    </cfRule>
    <cfRule type="cellIs" dxfId="21972" priority="6378" stopIfTrue="1" operator="equal">
      <formula>"Napkin Hs"</formula>
    </cfRule>
    <cfRule type="cellIs" dxfId="21971" priority="6379" stopIfTrue="1" operator="equal">
      <formula>"Towel"</formula>
    </cfRule>
    <cfRule type="cellIs" dxfId="21970" priority="6380" stopIfTrue="1" operator="equal">
      <formula>"Napkin Hs"</formula>
    </cfRule>
  </conditionalFormatting>
  <conditionalFormatting sqref="C105:C106">
    <cfRule type="cellIs" dxfId="21969" priority="6284" stopIfTrue="1" operator="equal">
      <formula>"Napkin Hs"</formula>
    </cfRule>
  </conditionalFormatting>
  <conditionalFormatting sqref="C105:C106">
    <cfRule type="cellIs" dxfId="21968" priority="6283" stopIfTrue="1" operator="equal">
      <formula>"Napkin Hs"</formula>
    </cfRule>
  </conditionalFormatting>
  <conditionalFormatting sqref="C105:C106">
    <cfRule type="cellIs" dxfId="21967" priority="6282" stopIfTrue="1" operator="equal">
      <formula>"Napkin Hs"</formula>
    </cfRule>
  </conditionalFormatting>
  <conditionalFormatting sqref="C105:C106">
    <cfRule type="cellIs" dxfId="21966" priority="6281" stopIfTrue="1" operator="equal">
      <formula>"Napkin Hs"</formula>
    </cfRule>
  </conditionalFormatting>
  <conditionalFormatting sqref="C105:C106">
    <cfRule type="cellIs" dxfId="21965" priority="6280" stopIfTrue="1" operator="equal">
      <formula>"Napkin Hs"</formula>
    </cfRule>
  </conditionalFormatting>
  <conditionalFormatting sqref="C105:C106">
    <cfRule type="cellIs" dxfId="21964" priority="6279" stopIfTrue="1" operator="equal">
      <formula>"Napkin Hs"</formula>
    </cfRule>
  </conditionalFormatting>
  <conditionalFormatting sqref="C105:C106">
    <cfRule type="cellIs" dxfId="21963" priority="6275" stopIfTrue="1" operator="equal">
      <formula>"Towel"</formula>
    </cfRule>
    <cfRule type="cellIs" dxfId="21962" priority="6276" stopIfTrue="1" operator="equal">
      <formula>"Napkin Hs"</formula>
    </cfRule>
  </conditionalFormatting>
  <conditionalFormatting sqref="C105:C106">
    <cfRule type="cellIs" dxfId="21961" priority="6277" stopIfTrue="1" operator="equal">
      <formula>"Towel"</formula>
    </cfRule>
    <cfRule type="cellIs" dxfId="21960" priority="6278" stopIfTrue="1" operator="equal">
      <formula>"Napkin Hs"</formula>
    </cfRule>
  </conditionalFormatting>
  <conditionalFormatting sqref="C105:C106">
    <cfRule type="cellIs" dxfId="21959" priority="6271" stopIfTrue="1" operator="equal">
      <formula>"Towel"</formula>
    </cfRule>
    <cfRule type="cellIs" dxfId="21958" priority="6272" stopIfTrue="1" operator="equal">
      <formula>"Napkin Hs"</formula>
    </cfRule>
  </conditionalFormatting>
  <conditionalFormatting sqref="C105:C106">
    <cfRule type="cellIs" dxfId="21957" priority="6273" stopIfTrue="1" operator="equal">
      <formula>"Towel"</formula>
    </cfRule>
    <cfRule type="cellIs" dxfId="21956" priority="6274" stopIfTrue="1" operator="equal">
      <formula>"Napkin Hs"</formula>
    </cfRule>
  </conditionalFormatting>
  <conditionalFormatting sqref="C113">
    <cfRule type="cellIs" dxfId="21955" priority="6239" stopIfTrue="1" operator="equal">
      <formula>"Towel"</formula>
    </cfRule>
    <cfRule type="cellIs" dxfId="21954" priority="6240" stopIfTrue="1" operator="equal">
      <formula>"Napkin Hs"</formula>
    </cfRule>
  </conditionalFormatting>
  <conditionalFormatting sqref="C113">
    <cfRule type="cellIs" dxfId="21953" priority="6237" stopIfTrue="1" operator="equal">
      <formula>"Towel"</formula>
    </cfRule>
    <cfRule type="cellIs" dxfId="21952" priority="6238" stopIfTrue="1" operator="equal">
      <formula>"Napkin Hs"</formula>
    </cfRule>
  </conditionalFormatting>
  <conditionalFormatting sqref="B113:C113">
    <cfRule type="cellIs" dxfId="21951" priority="6235" stopIfTrue="1" operator="equal">
      <formula>"Towel"</formula>
    </cfRule>
    <cfRule type="cellIs" dxfId="21950" priority="6236" stopIfTrue="1" operator="equal">
      <formula>"Napkin Hs"</formula>
    </cfRule>
  </conditionalFormatting>
  <conditionalFormatting sqref="B113:C113">
    <cfRule type="cellIs" dxfId="21949" priority="6245" stopIfTrue="1" operator="equal">
      <formula>"Towel"</formula>
    </cfRule>
    <cfRule type="cellIs" dxfId="21948" priority="6246" stopIfTrue="1" operator="equal">
      <formula>"Napkin Hs"</formula>
    </cfRule>
  </conditionalFormatting>
  <conditionalFormatting sqref="C113">
    <cfRule type="cellIs" dxfId="21947" priority="6243" stopIfTrue="1" operator="equal">
      <formula>"Towel"</formula>
    </cfRule>
    <cfRule type="cellIs" dxfId="21946" priority="6244" stopIfTrue="1" operator="equal">
      <formula>"Napkin Hs"</formula>
    </cfRule>
  </conditionalFormatting>
  <conditionalFormatting sqref="C113">
    <cfRule type="cellIs" dxfId="21945" priority="6241" stopIfTrue="1" operator="equal">
      <formula>"Towel"</formula>
    </cfRule>
    <cfRule type="cellIs" dxfId="21944" priority="6242" stopIfTrue="1" operator="equal">
      <formula>"Napkin Hs"</formula>
    </cfRule>
  </conditionalFormatting>
  <conditionalFormatting sqref="C113">
    <cfRule type="cellIs" dxfId="21943" priority="6233" stopIfTrue="1" operator="equal">
      <formula>"Towel"</formula>
    </cfRule>
    <cfRule type="cellIs" dxfId="21942" priority="6234" stopIfTrue="1" operator="equal">
      <formula>"Napkin Hs"</formula>
    </cfRule>
  </conditionalFormatting>
  <conditionalFormatting sqref="C113">
    <cfRule type="cellIs" dxfId="21941" priority="6231" stopIfTrue="1" operator="equal">
      <formula>"Towel"</formula>
    </cfRule>
    <cfRule type="cellIs" dxfId="21940" priority="6232" stopIfTrue="1" operator="equal">
      <formula>"Napkin Hs"</formula>
    </cfRule>
  </conditionalFormatting>
  <conditionalFormatting sqref="B113:C113">
    <cfRule type="cellIs" dxfId="21939" priority="6229" stopIfTrue="1" operator="equal">
      <formula>"Towel"</formula>
    </cfRule>
    <cfRule type="cellIs" dxfId="21938" priority="6230" stopIfTrue="1" operator="equal">
      <formula>"Napkin Hs"</formula>
    </cfRule>
  </conditionalFormatting>
  <conditionalFormatting sqref="B113:C113">
    <cfRule type="cellIs" dxfId="21937" priority="6225" stopIfTrue="1" operator="equal">
      <formula>"Towel"</formula>
    </cfRule>
    <cfRule type="cellIs" dxfId="21936" priority="6226" stopIfTrue="1" operator="equal">
      <formula>"Napkin Hs"</formula>
    </cfRule>
  </conditionalFormatting>
  <conditionalFormatting sqref="C113">
    <cfRule type="cellIs" dxfId="21935" priority="6227" stopIfTrue="1" operator="equal">
      <formula>"Towel"</formula>
    </cfRule>
    <cfRule type="cellIs" dxfId="21934" priority="6228" stopIfTrue="1" operator="equal">
      <formula>"Napkin Hs"</formula>
    </cfRule>
  </conditionalFormatting>
  <conditionalFormatting sqref="C113">
    <cfRule type="cellIs" dxfId="21933" priority="6223" stopIfTrue="1" operator="equal">
      <formula>"Towel"</formula>
    </cfRule>
    <cfRule type="cellIs" dxfId="21932" priority="6224" stopIfTrue="1" operator="equal">
      <formula>"Napkin Hs"</formula>
    </cfRule>
  </conditionalFormatting>
  <conditionalFormatting sqref="C112">
    <cfRule type="cellIs" dxfId="21931" priority="6215" stopIfTrue="1" operator="equal">
      <formula>"Towel"</formula>
    </cfRule>
    <cfRule type="cellIs" dxfId="21930" priority="6216" stopIfTrue="1" operator="equal">
      <formula>"Napkin Hs"</formula>
    </cfRule>
  </conditionalFormatting>
  <conditionalFormatting sqref="B112:C112">
    <cfRule type="cellIs" dxfId="21929" priority="6217" stopIfTrue="1" operator="equal">
      <formula>"Towel"</formula>
    </cfRule>
    <cfRule type="cellIs" dxfId="21928" priority="6218" stopIfTrue="1" operator="equal">
      <formula>"Napkin Hs"</formula>
    </cfRule>
  </conditionalFormatting>
  <conditionalFormatting sqref="C112">
    <cfRule type="cellIs" dxfId="21927" priority="6213" stopIfTrue="1" operator="equal">
      <formula>"Towel"</formula>
    </cfRule>
    <cfRule type="cellIs" dxfId="21926" priority="6214" stopIfTrue="1" operator="equal">
      <formula>"Napkin Hs"</formula>
    </cfRule>
  </conditionalFormatting>
  <conditionalFormatting sqref="B112:C112">
    <cfRule type="cellIs" dxfId="21925" priority="6211" stopIfTrue="1" operator="equal">
      <formula>"Towel"</formula>
    </cfRule>
    <cfRule type="cellIs" dxfId="21924" priority="6212" stopIfTrue="1" operator="equal">
      <formula>"Napkin Hs"</formula>
    </cfRule>
  </conditionalFormatting>
  <conditionalFormatting sqref="C112">
    <cfRule type="cellIs" dxfId="21923" priority="6219" stopIfTrue="1" operator="equal">
      <formula>"Towel"</formula>
    </cfRule>
    <cfRule type="cellIs" dxfId="21922" priority="6220" stopIfTrue="1" operator="equal">
      <formula>"Napkin Hs"</formula>
    </cfRule>
  </conditionalFormatting>
  <conditionalFormatting sqref="C112">
    <cfRule type="cellIs" dxfId="21921" priority="6221" stopIfTrue="1" operator="equal">
      <formula>"Towel"</formula>
    </cfRule>
    <cfRule type="cellIs" dxfId="21920" priority="6222" stopIfTrue="1" operator="equal">
      <formula>"Napkin Hs"</formula>
    </cfRule>
  </conditionalFormatting>
  <conditionalFormatting sqref="C112">
    <cfRule type="cellIs" dxfId="21919" priority="6207" stopIfTrue="1" operator="equal">
      <formula>"Towel"</formula>
    </cfRule>
    <cfRule type="cellIs" dxfId="21918" priority="6208" stopIfTrue="1" operator="equal">
      <formula>"Napkin Hs"</formula>
    </cfRule>
  </conditionalFormatting>
  <conditionalFormatting sqref="C112">
    <cfRule type="cellIs" dxfId="21917" priority="6209" stopIfTrue="1" operator="equal">
      <formula>"Towel"</formula>
    </cfRule>
    <cfRule type="cellIs" dxfId="21916" priority="6210" stopIfTrue="1" operator="equal">
      <formula>"Napkin Hs"</formula>
    </cfRule>
  </conditionalFormatting>
  <conditionalFormatting sqref="C112">
    <cfRule type="cellIs" dxfId="21915" priority="6205" stopIfTrue="1" operator="equal">
      <formula>"Towel"</formula>
    </cfRule>
    <cfRule type="cellIs" dxfId="21914" priority="6206" stopIfTrue="1" operator="equal">
      <formula>"Napkin Hs"</formula>
    </cfRule>
  </conditionalFormatting>
  <conditionalFormatting sqref="B112">
    <cfRule type="cellIs" dxfId="21913" priority="6203" stopIfTrue="1" operator="equal">
      <formula>"Towel"</formula>
    </cfRule>
    <cfRule type="cellIs" dxfId="21912" priority="6204" stopIfTrue="1" operator="equal">
      <formula>"Napkin Hs"</formula>
    </cfRule>
  </conditionalFormatting>
  <conditionalFormatting sqref="C112">
    <cfRule type="cellIs" dxfId="21911" priority="6197" stopIfTrue="1" operator="equal">
      <formula>"Towel"</formula>
    </cfRule>
    <cfRule type="cellIs" dxfId="21910" priority="6198" stopIfTrue="1" operator="equal">
      <formula>"Napkin Hs"</formula>
    </cfRule>
  </conditionalFormatting>
  <conditionalFormatting sqref="C112">
    <cfRule type="cellIs" dxfId="21909" priority="6201" stopIfTrue="1" operator="equal">
      <formula>"Towel"</formula>
    </cfRule>
    <cfRule type="cellIs" dxfId="21908" priority="6202" stopIfTrue="1" operator="equal">
      <formula>"Napkin Hs"</formula>
    </cfRule>
  </conditionalFormatting>
  <conditionalFormatting sqref="C112">
    <cfRule type="cellIs" dxfId="21907" priority="6199" stopIfTrue="1" operator="equal">
      <formula>"Towel"</formula>
    </cfRule>
    <cfRule type="cellIs" dxfId="21906" priority="6200" stopIfTrue="1" operator="equal">
      <formula>"Napkin Hs"</formula>
    </cfRule>
  </conditionalFormatting>
  <conditionalFormatting sqref="C112">
    <cfRule type="cellIs" dxfId="21905" priority="6191" stopIfTrue="1" operator="equal">
      <formula>"Towel"</formula>
    </cfRule>
    <cfRule type="cellIs" dxfId="21904" priority="6192" stopIfTrue="1" operator="equal">
      <formula>"Napkin Hs"</formula>
    </cfRule>
  </conditionalFormatting>
  <conditionalFormatting sqref="C112">
    <cfRule type="cellIs" dxfId="21903" priority="6193" stopIfTrue="1" operator="equal">
      <formula>"Towel"</formula>
    </cfRule>
    <cfRule type="cellIs" dxfId="21902" priority="6194" stopIfTrue="1" operator="equal">
      <formula>"Napkin Hs"</formula>
    </cfRule>
  </conditionalFormatting>
  <conditionalFormatting sqref="C112">
    <cfRule type="cellIs" dxfId="21901" priority="6195" stopIfTrue="1" operator="equal">
      <formula>"Towel"</formula>
    </cfRule>
    <cfRule type="cellIs" dxfId="21900" priority="6196" stopIfTrue="1" operator="equal">
      <formula>"Napkin Hs"</formula>
    </cfRule>
  </conditionalFormatting>
  <conditionalFormatting sqref="B112:C112">
    <cfRule type="cellIs" dxfId="21899" priority="6189" stopIfTrue="1" operator="equal">
      <formula>"Towel"</formula>
    </cfRule>
    <cfRule type="cellIs" dxfId="21898" priority="6190" stopIfTrue="1" operator="equal">
      <formula>"Napkin Hs"</formula>
    </cfRule>
  </conditionalFormatting>
  <conditionalFormatting sqref="B112:C112">
    <cfRule type="cellIs" dxfId="21897" priority="6187" stopIfTrue="1" operator="equal">
      <formula>"Towel"</formula>
    </cfRule>
    <cfRule type="cellIs" dxfId="21896" priority="6188" stopIfTrue="1" operator="equal">
      <formula>"Napkin Hs"</formula>
    </cfRule>
  </conditionalFormatting>
  <conditionalFormatting sqref="B112:C112">
    <cfRule type="cellIs" dxfId="21895" priority="6163" stopIfTrue="1" operator="equal">
      <formula>"Towel"</formula>
    </cfRule>
  </conditionalFormatting>
  <conditionalFormatting sqref="B112:C112">
    <cfRule type="cellIs" dxfId="21894" priority="6164" stopIfTrue="1" operator="equal">
      <formula>"Napkin Hs"</formula>
    </cfRule>
    <cfRule type="cellIs" dxfId="21893" priority="6169" stopIfTrue="1" operator="equal">
      <formula>"Towel"</formula>
    </cfRule>
    <cfRule type="cellIs" dxfId="21892" priority="6170" stopIfTrue="1" operator="equal">
      <formula>"Napkin Hs"</formula>
    </cfRule>
    <cfRule type="cellIs" dxfId="21891" priority="6179" stopIfTrue="1" operator="equal">
      <formula>"Towel"</formula>
    </cfRule>
    <cfRule type="cellIs" dxfId="21890" priority="6180" stopIfTrue="1" operator="equal">
      <formula>"Napkin Hs"</formula>
    </cfRule>
    <cfRule type="cellIs" dxfId="21889" priority="6185" stopIfTrue="1" operator="equal">
      <formula>"Towel"</formula>
    </cfRule>
    <cfRule type="cellIs" dxfId="21888" priority="6186" stopIfTrue="1" operator="equal">
      <formula>"Napkin Hs"</formula>
    </cfRule>
  </conditionalFormatting>
  <conditionalFormatting sqref="C112">
    <cfRule type="cellIs" dxfId="21887" priority="6165" stopIfTrue="1" operator="equal">
      <formula>"Towel"</formula>
    </cfRule>
    <cfRule type="cellIs" dxfId="21886" priority="6166" stopIfTrue="1" operator="equal">
      <formula>"Napkin Hs"</formula>
    </cfRule>
    <cfRule type="cellIs" dxfId="21885" priority="6167" stopIfTrue="1" operator="equal">
      <formula>"Towel"</formula>
    </cfRule>
    <cfRule type="cellIs" dxfId="21884" priority="6168" stopIfTrue="1" operator="equal">
      <formula>"Napkin Hs"</formula>
    </cfRule>
    <cfRule type="cellIs" dxfId="21883" priority="6171" stopIfTrue="1" operator="equal">
      <formula>"Towel"</formula>
    </cfRule>
    <cfRule type="cellIs" dxfId="21882" priority="6172" stopIfTrue="1" operator="equal">
      <formula>"Napkin Hs"</formula>
    </cfRule>
    <cfRule type="cellIs" dxfId="21881" priority="6173" stopIfTrue="1" operator="equal">
      <formula>"Towel"</formula>
    </cfRule>
    <cfRule type="cellIs" dxfId="21880" priority="6174" stopIfTrue="1" operator="equal">
      <formula>"Napkin Hs"</formula>
    </cfRule>
    <cfRule type="cellIs" dxfId="21879" priority="6175" stopIfTrue="1" operator="equal">
      <formula>"Towel"</formula>
    </cfRule>
    <cfRule type="cellIs" dxfId="21878" priority="6176" stopIfTrue="1" operator="equal">
      <formula>"Napkin Hs"</formula>
    </cfRule>
    <cfRule type="cellIs" dxfId="21877" priority="6177" stopIfTrue="1" operator="equal">
      <formula>"Towel"</formula>
    </cfRule>
    <cfRule type="cellIs" dxfId="21876" priority="6178" stopIfTrue="1" operator="equal">
      <formula>"Napkin Hs"</formula>
    </cfRule>
    <cfRule type="cellIs" dxfId="21875" priority="6181" stopIfTrue="1" operator="equal">
      <formula>"Towel"</formula>
    </cfRule>
    <cfRule type="cellIs" dxfId="21874" priority="6182" stopIfTrue="1" operator="equal">
      <formula>"Napkin Hs"</formula>
    </cfRule>
    <cfRule type="cellIs" dxfId="21873" priority="6184" stopIfTrue="1" operator="equal">
      <formula>"Napkin Hs"</formula>
    </cfRule>
  </conditionalFormatting>
  <conditionalFormatting sqref="C112">
    <cfRule type="cellIs" dxfId="21872" priority="6183" stopIfTrue="1" operator="equal">
      <formula>"Towel"</formula>
    </cfRule>
  </conditionalFormatting>
  <conditionalFormatting sqref="B112:C112">
    <cfRule type="cellIs" dxfId="21871" priority="6161" stopIfTrue="1" operator="equal">
      <formula>"Towel"</formula>
    </cfRule>
    <cfRule type="cellIs" dxfId="21870" priority="6162" stopIfTrue="1" operator="equal">
      <formula>"Napkin Hs"</formula>
    </cfRule>
  </conditionalFormatting>
  <conditionalFormatting sqref="C112">
    <cfRule type="cellIs" dxfId="21869" priority="6160" stopIfTrue="1" operator="equal">
      <formula>"Napkin Hs"</formula>
    </cfRule>
  </conditionalFormatting>
  <conditionalFormatting sqref="C112">
    <cfRule type="cellIs" dxfId="21868" priority="6159" stopIfTrue="1" operator="equal">
      <formula>"Towel"</formula>
    </cfRule>
  </conditionalFormatting>
  <conditionalFormatting sqref="C112">
    <cfRule type="cellIs" dxfId="21867" priority="6157" stopIfTrue="1" operator="equal">
      <formula>"Towel"</formula>
    </cfRule>
  </conditionalFormatting>
  <conditionalFormatting sqref="C112">
    <cfRule type="cellIs" dxfId="21866" priority="6158" stopIfTrue="1" operator="equal">
      <formula>"Napkin Hs"</formula>
    </cfRule>
  </conditionalFormatting>
  <conditionalFormatting sqref="B112">
    <cfRule type="cellIs" dxfId="21865" priority="6061" stopIfTrue="1" operator="equal">
      <formula>"Napkin Hs"</formula>
    </cfRule>
  </conditionalFormatting>
  <conditionalFormatting sqref="B112:C112">
    <cfRule type="cellIs" dxfId="21864" priority="6060" stopIfTrue="1" operator="equal">
      <formula>"Towel"</formula>
    </cfRule>
  </conditionalFormatting>
  <conditionalFormatting sqref="B112:C112">
    <cfRule type="cellIs" dxfId="21863" priority="6071" stopIfTrue="1" operator="equal">
      <formula>"Towel"</formula>
    </cfRule>
    <cfRule type="cellIs" dxfId="21862" priority="6072" stopIfTrue="1" operator="equal">
      <formula>"Napkin Hs"</formula>
    </cfRule>
    <cfRule type="cellIs" dxfId="21861" priority="6077" stopIfTrue="1" operator="equal">
      <formula>"Towel"</formula>
    </cfRule>
    <cfRule type="cellIs" dxfId="21860" priority="6078" stopIfTrue="1" operator="equal">
      <formula>"Napkin Hs"</formula>
    </cfRule>
    <cfRule type="cellIs" dxfId="21859" priority="6083" stopIfTrue="1" operator="equal">
      <formula>"Towel"</formula>
    </cfRule>
    <cfRule type="cellIs" dxfId="21858" priority="6084" stopIfTrue="1" operator="equal">
      <formula>"Napkin Hs"</formula>
    </cfRule>
    <cfRule type="cellIs" dxfId="21857" priority="6085" stopIfTrue="1" operator="equal">
      <formula>"Towel"</formula>
    </cfRule>
    <cfRule type="cellIs" dxfId="21856" priority="6086" stopIfTrue="1" operator="equal">
      <formula>"Napkin Hs"</formula>
    </cfRule>
    <cfRule type="cellIs" dxfId="21855" priority="6091" stopIfTrue="1" operator="equal">
      <formula>"Towel"</formula>
    </cfRule>
    <cfRule type="cellIs" dxfId="21854" priority="6092" stopIfTrue="1" operator="equal">
      <formula>"Napkin Hs"</formula>
    </cfRule>
    <cfRule type="cellIs" dxfId="21853" priority="6101" stopIfTrue="1" operator="equal">
      <formula>"Towel"</formula>
    </cfRule>
    <cfRule type="cellIs" dxfId="21852" priority="6102" stopIfTrue="1" operator="equal">
      <formula>"Napkin Hs"</formula>
    </cfRule>
    <cfRule type="cellIs" dxfId="21851" priority="6107" stopIfTrue="1" operator="equal">
      <formula>"Towel"</formula>
    </cfRule>
    <cfRule type="cellIs" dxfId="21850" priority="6108" stopIfTrue="1" operator="equal">
      <formula>"Napkin Hs"</formula>
    </cfRule>
    <cfRule type="cellIs" dxfId="21849" priority="6109" stopIfTrue="1" operator="equal">
      <formula>"Towel"</formula>
    </cfRule>
    <cfRule type="cellIs" dxfId="21848" priority="6110" stopIfTrue="1" operator="equal">
      <formula>"Napkin Hs"</formula>
    </cfRule>
    <cfRule type="cellIs" dxfId="21847" priority="6115" stopIfTrue="1" operator="equal">
      <formula>"Towel"</formula>
    </cfRule>
    <cfRule type="cellIs" dxfId="21846" priority="6116" stopIfTrue="1" operator="equal">
      <formula>"Napkin Hs"</formula>
    </cfRule>
    <cfRule type="cellIs" dxfId="21845" priority="6125" stopIfTrue="1" operator="equal">
      <formula>"Towel"</formula>
    </cfRule>
    <cfRule type="cellIs" dxfId="21844" priority="6126" stopIfTrue="1" operator="equal">
      <formula>"Napkin Hs"</formula>
    </cfRule>
    <cfRule type="cellIs" dxfId="21843" priority="6127" stopIfTrue="1" operator="equal">
      <formula>"Towel"</formula>
    </cfRule>
    <cfRule type="cellIs" dxfId="21842" priority="6128" stopIfTrue="1" operator="equal">
      <formula>"Napkin Hs"</formula>
    </cfRule>
    <cfRule type="cellIs" dxfId="21841" priority="6133" stopIfTrue="1" operator="equal">
      <formula>"Towel"</formula>
    </cfRule>
    <cfRule type="cellIs" dxfId="21840" priority="6134" stopIfTrue="1" operator="equal">
      <formula>"Napkin Hs"</formula>
    </cfRule>
    <cfRule type="cellIs" dxfId="21839" priority="6143" stopIfTrue="1" operator="equal">
      <formula>"Towel"</formula>
    </cfRule>
    <cfRule type="cellIs" dxfId="21838" priority="6144" stopIfTrue="1" operator="equal">
      <formula>"Napkin Hs"</formula>
    </cfRule>
    <cfRule type="cellIs" dxfId="21837" priority="6145" stopIfTrue="1" operator="equal">
      <formula>"Towel"</formula>
    </cfRule>
    <cfRule type="cellIs" dxfId="21836" priority="6146" stopIfTrue="1" operator="equal">
      <formula>"Napkin Hs"</formula>
    </cfRule>
    <cfRule type="cellIs" dxfId="21835" priority="6152" stopIfTrue="1" operator="equal">
      <formula>"Napkin Hs"</formula>
    </cfRule>
  </conditionalFormatting>
  <conditionalFormatting sqref="B112:C112">
    <cfRule type="cellIs" dxfId="21834" priority="6151" stopIfTrue="1" operator="equal">
      <formula>"Towel"</formula>
    </cfRule>
  </conditionalFormatting>
  <conditionalFormatting sqref="C112">
    <cfRule type="cellIs" dxfId="21833" priority="6062" stopIfTrue="1" operator="equal">
      <formula>"Napkin Hs"</formula>
    </cfRule>
    <cfRule type="cellIs" dxfId="21832" priority="6063" stopIfTrue="1" operator="equal">
      <formula>"Towel"</formula>
    </cfRule>
    <cfRule type="cellIs" dxfId="21831" priority="6064" stopIfTrue="1" operator="equal">
      <formula>"Napkin Hs"</formula>
    </cfRule>
    <cfRule type="cellIs" dxfId="21830" priority="6065" stopIfTrue="1" operator="equal">
      <formula>"Towel"</formula>
    </cfRule>
    <cfRule type="cellIs" dxfId="21829" priority="6066" stopIfTrue="1" operator="equal">
      <formula>"Napkin Hs"</formula>
    </cfRule>
    <cfRule type="cellIs" dxfId="21828" priority="6067" stopIfTrue="1" operator="equal">
      <formula>"Towel"</formula>
    </cfRule>
    <cfRule type="cellIs" dxfId="21827" priority="6068" stopIfTrue="1" operator="equal">
      <formula>"Napkin Hs"</formula>
    </cfRule>
    <cfRule type="cellIs" dxfId="21826" priority="6069" stopIfTrue="1" operator="equal">
      <formula>"Towel"</formula>
    </cfRule>
    <cfRule type="cellIs" dxfId="21825" priority="6070" stopIfTrue="1" operator="equal">
      <formula>"Napkin Hs"</formula>
    </cfRule>
    <cfRule type="cellIs" dxfId="21824" priority="6073" stopIfTrue="1" operator="equal">
      <formula>"Towel"</formula>
    </cfRule>
    <cfRule type="cellIs" dxfId="21823" priority="6074" stopIfTrue="1" operator="equal">
      <formula>"Napkin Hs"</formula>
    </cfRule>
    <cfRule type="cellIs" dxfId="21822" priority="6075" stopIfTrue="1" operator="equal">
      <formula>"Towel"</formula>
    </cfRule>
    <cfRule type="cellIs" dxfId="21821" priority="6076" stopIfTrue="1" operator="equal">
      <formula>"Napkin Hs"</formula>
    </cfRule>
    <cfRule type="cellIs" dxfId="21820" priority="6079" stopIfTrue="1" operator="equal">
      <formula>"Towel"</formula>
    </cfRule>
    <cfRule type="cellIs" dxfId="21819" priority="6080" stopIfTrue="1" operator="equal">
      <formula>"Napkin Hs"</formula>
    </cfRule>
    <cfRule type="cellIs" dxfId="21818" priority="6081" stopIfTrue="1" operator="equal">
      <formula>"Towel"</formula>
    </cfRule>
    <cfRule type="cellIs" dxfId="21817" priority="6082" stopIfTrue="1" operator="equal">
      <formula>"Napkin Hs"</formula>
    </cfRule>
    <cfRule type="cellIs" dxfId="21816" priority="6087" stopIfTrue="1" operator="equal">
      <formula>"Towel"</formula>
    </cfRule>
    <cfRule type="cellIs" dxfId="21815" priority="6088" stopIfTrue="1" operator="equal">
      <formula>"Napkin Hs"</formula>
    </cfRule>
    <cfRule type="cellIs" dxfId="21814" priority="6089" stopIfTrue="1" operator="equal">
      <formula>"Towel"</formula>
    </cfRule>
    <cfRule type="cellIs" dxfId="21813" priority="6090" stopIfTrue="1" operator="equal">
      <formula>"Napkin Hs"</formula>
    </cfRule>
    <cfRule type="cellIs" dxfId="21812" priority="6093" stopIfTrue="1" operator="equal">
      <formula>"Towel"</formula>
    </cfRule>
    <cfRule type="cellIs" dxfId="21811" priority="6094" stopIfTrue="1" operator="equal">
      <formula>"Napkin Hs"</formula>
    </cfRule>
    <cfRule type="cellIs" dxfId="21810" priority="6095" stopIfTrue="1" operator="equal">
      <formula>"Towel"</formula>
    </cfRule>
    <cfRule type="cellIs" dxfId="21809" priority="6096" stopIfTrue="1" operator="equal">
      <formula>"Napkin Hs"</formula>
    </cfRule>
    <cfRule type="cellIs" dxfId="21808" priority="6097" stopIfTrue="1" operator="equal">
      <formula>"Towel"</formula>
    </cfRule>
    <cfRule type="cellIs" dxfId="21807" priority="6098" stopIfTrue="1" operator="equal">
      <formula>"Napkin Hs"</formula>
    </cfRule>
    <cfRule type="cellIs" dxfId="21806" priority="6099" stopIfTrue="1" operator="equal">
      <formula>"Towel"</formula>
    </cfRule>
    <cfRule type="cellIs" dxfId="21805" priority="6100" stopIfTrue="1" operator="equal">
      <formula>"Napkin Hs"</formula>
    </cfRule>
    <cfRule type="cellIs" dxfId="21804" priority="6103" stopIfTrue="1" operator="equal">
      <formula>"Towel"</formula>
    </cfRule>
    <cfRule type="cellIs" dxfId="21803" priority="6104" stopIfTrue="1" operator="equal">
      <formula>"Napkin Hs"</formula>
    </cfRule>
    <cfRule type="cellIs" dxfId="21802" priority="6105" stopIfTrue="1" operator="equal">
      <formula>"Towel"</formula>
    </cfRule>
    <cfRule type="cellIs" dxfId="21801" priority="6106" stopIfTrue="1" operator="equal">
      <formula>"Napkin Hs"</formula>
    </cfRule>
    <cfRule type="cellIs" dxfId="21800" priority="6111" stopIfTrue="1" operator="equal">
      <formula>"Towel"</formula>
    </cfRule>
    <cfRule type="cellIs" dxfId="21799" priority="6112" stopIfTrue="1" operator="equal">
      <formula>"Napkin Hs"</formula>
    </cfRule>
    <cfRule type="cellIs" dxfId="21798" priority="6113" stopIfTrue="1" operator="equal">
      <formula>"Towel"</formula>
    </cfRule>
    <cfRule type="cellIs" dxfId="21797" priority="6114" stopIfTrue="1" operator="equal">
      <formula>"Napkin Hs"</formula>
    </cfRule>
    <cfRule type="cellIs" dxfId="21796" priority="6117" stopIfTrue="1" operator="equal">
      <formula>"Towel"</formula>
    </cfRule>
    <cfRule type="cellIs" dxfId="21795" priority="6118" stopIfTrue="1" operator="equal">
      <formula>"Napkin Hs"</formula>
    </cfRule>
    <cfRule type="cellIs" dxfId="21794" priority="6119" stopIfTrue="1" operator="equal">
      <formula>"Towel"</formula>
    </cfRule>
    <cfRule type="cellIs" dxfId="21793" priority="6120" stopIfTrue="1" operator="equal">
      <formula>"Napkin Hs"</formula>
    </cfRule>
    <cfRule type="cellIs" dxfId="21792" priority="6121" stopIfTrue="1" operator="equal">
      <formula>"Towel"</formula>
    </cfRule>
    <cfRule type="cellIs" dxfId="21791" priority="6122" stopIfTrue="1" operator="equal">
      <formula>"Napkin Hs"</formula>
    </cfRule>
    <cfRule type="cellIs" dxfId="21790" priority="6123" stopIfTrue="1" operator="equal">
      <formula>"Towel"</formula>
    </cfRule>
    <cfRule type="cellIs" dxfId="21789" priority="6124" stopIfTrue="1" operator="equal">
      <formula>"Napkin Hs"</formula>
    </cfRule>
    <cfRule type="cellIs" dxfId="21788" priority="6129" stopIfTrue="1" operator="equal">
      <formula>"Towel"</formula>
    </cfRule>
    <cfRule type="cellIs" dxfId="21787" priority="6130" stopIfTrue="1" operator="equal">
      <formula>"Napkin Hs"</formula>
    </cfRule>
    <cfRule type="cellIs" dxfId="21786" priority="6131" stopIfTrue="1" operator="equal">
      <formula>"Towel"</formula>
    </cfRule>
    <cfRule type="cellIs" dxfId="21785" priority="6132" stopIfTrue="1" operator="equal">
      <formula>"Napkin Hs"</formula>
    </cfRule>
    <cfRule type="cellIs" dxfId="21784" priority="6135" stopIfTrue="1" operator="equal">
      <formula>"Towel"</formula>
    </cfRule>
    <cfRule type="cellIs" dxfId="21783" priority="6136" stopIfTrue="1" operator="equal">
      <formula>"Napkin Hs"</formula>
    </cfRule>
    <cfRule type="cellIs" dxfId="21782" priority="6137" stopIfTrue="1" operator="equal">
      <formula>"Towel"</formula>
    </cfRule>
    <cfRule type="cellIs" dxfId="21781" priority="6138" stopIfTrue="1" operator="equal">
      <formula>"Napkin Hs"</formula>
    </cfRule>
    <cfRule type="cellIs" dxfId="21780" priority="6139" stopIfTrue="1" operator="equal">
      <formula>"Towel"</formula>
    </cfRule>
    <cfRule type="cellIs" dxfId="21779" priority="6140" stopIfTrue="1" operator="equal">
      <formula>"Napkin Hs"</formula>
    </cfRule>
    <cfRule type="cellIs" dxfId="21778" priority="6141" stopIfTrue="1" operator="equal">
      <formula>"Towel"</formula>
    </cfRule>
    <cfRule type="cellIs" dxfId="21777" priority="6142" stopIfTrue="1" operator="equal">
      <formula>"Napkin Hs"</formula>
    </cfRule>
    <cfRule type="cellIs" dxfId="21776" priority="6147" stopIfTrue="1" operator="equal">
      <formula>"Towel"</formula>
    </cfRule>
    <cfRule type="cellIs" dxfId="21775" priority="6148" stopIfTrue="1" operator="equal">
      <formula>"Napkin Hs"</formula>
    </cfRule>
    <cfRule type="cellIs" dxfId="21774" priority="6149" stopIfTrue="1" operator="equal">
      <formula>"Towel"</formula>
    </cfRule>
    <cfRule type="cellIs" dxfId="21773" priority="6150" stopIfTrue="1" operator="equal">
      <formula>"Napkin Hs"</formula>
    </cfRule>
    <cfRule type="cellIs" dxfId="21772" priority="6153" stopIfTrue="1" operator="equal">
      <formula>"Towel"</formula>
    </cfRule>
    <cfRule type="cellIs" dxfId="21771" priority="6154" stopIfTrue="1" operator="equal">
      <formula>"Napkin Hs"</formula>
    </cfRule>
    <cfRule type="cellIs" dxfId="21770" priority="6155" stopIfTrue="1" operator="equal">
      <formula>"Towel"</formula>
    </cfRule>
    <cfRule type="cellIs" dxfId="21769" priority="6156" stopIfTrue="1" operator="equal">
      <formula>"Napkin Hs"</formula>
    </cfRule>
  </conditionalFormatting>
  <conditionalFormatting sqref="C112">
    <cfRule type="cellIs" dxfId="21768" priority="6059" stopIfTrue="1" operator="equal">
      <formula>"Napkin Hs"</formula>
    </cfRule>
  </conditionalFormatting>
  <conditionalFormatting sqref="C112">
    <cfRule type="cellIs" dxfId="21767" priority="6058" stopIfTrue="1" operator="equal">
      <formula>"Napkin Hs"</formula>
    </cfRule>
  </conditionalFormatting>
  <conditionalFormatting sqref="B112">
    <cfRule type="cellIs" dxfId="21766" priority="6057" stopIfTrue="1" operator="equal">
      <formula>"Napkin Hs"</formula>
    </cfRule>
  </conditionalFormatting>
  <conditionalFormatting sqref="C112">
    <cfRule type="cellIs" dxfId="21765" priority="6056" stopIfTrue="1" operator="equal">
      <formula>"Napkin Hs"</formula>
    </cfRule>
  </conditionalFormatting>
  <conditionalFormatting sqref="C112">
    <cfRule type="cellIs" dxfId="21764" priority="6055" stopIfTrue="1" operator="equal">
      <formula>"Napkin Hs"</formula>
    </cfRule>
  </conditionalFormatting>
  <conditionalFormatting sqref="C112">
    <cfRule type="cellIs" dxfId="21763" priority="6054" stopIfTrue="1" operator="equal">
      <formula>"Napkin Hs"</formula>
    </cfRule>
  </conditionalFormatting>
  <conditionalFormatting sqref="C112">
    <cfRule type="cellIs" dxfId="21762" priority="6053" stopIfTrue="1" operator="equal">
      <formula>"Napkin Hs"</formula>
    </cfRule>
  </conditionalFormatting>
  <conditionalFormatting sqref="B112">
    <cfRule type="cellIs" dxfId="21761" priority="6052" stopIfTrue="1" operator="equal">
      <formula>"Napkin Hs"</formula>
    </cfRule>
  </conditionalFormatting>
  <conditionalFormatting sqref="B112">
    <cfRule type="cellIs" dxfId="21760" priority="6051" stopIfTrue="1" operator="equal">
      <formula>"Napkin Hs"</formula>
    </cfRule>
  </conditionalFormatting>
  <conditionalFormatting sqref="C112">
    <cfRule type="cellIs" dxfId="21759" priority="6047" stopIfTrue="1" operator="equal">
      <formula>"Towel"</formula>
    </cfRule>
    <cfRule type="cellIs" dxfId="21758" priority="6048" stopIfTrue="1" operator="equal">
      <formula>"Napkin Hs"</formula>
    </cfRule>
  </conditionalFormatting>
  <conditionalFormatting sqref="C112">
    <cfRule type="cellIs" dxfId="21757" priority="6049" stopIfTrue="1" operator="equal">
      <formula>"Towel"</formula>
    </cfRule>
    <cfRule type="cellIs" dxfId="21756" priority="6050" stopIfTrue="1" operator="equal">
      <formula>"Napkin Hs"</formula>
    </cfRule>
  </conditionalFormatting>
  <conditionalFormatting sqref="C112">
    <cfRule type="cellIs" dxfId="21755" priority="6043" stopIfTrue="1" operator="equal">
      <formula>"Towel"</formula>
    </cfRule>
    <cfRule type="cellIs" dxfId="21754" priority="6044" stopIfTrue="1" operator="equal">
      <formula>"Napkin Hs"</formula>
    </cfRule>
  </conditionalFormatting>
  <conditionalFormatting sqref="C112">
    <cfRule type="cellIs" dxfId="21753" priority="6045" stopIfTrue="1" operator="equal">
      <formula>"Towel"</formula>
    </cfRule>
    <cfRule type="cellIs" dxfId="21752" priority="6046" stopIfTrue="1" operator="equal">
      <formula>"Napkin Hs"</formula>
    </cfRule>
  </conditionalFormatting>
  <conditionalFormatting sqref="B111">
    <cfRule type="cellIs" dxfId="21751" priority="6042" stopIfTrue="1" operator="equal">
      <formula>"Napkin Hs"</formula>
    </cfRule>
  </conditionalFormatting>
  <conditionalFormatting sqref="B111">
    <cfRule type="cellIs" dxfId="21750" priority="6041" stopIfTrue="1" operator="equal">
      <formula>"Napkin Hs"</formula>
    </cfRule>
  </conditionalFormatting>
  <conditionalFormatting sqref="B111">
    <cfRule type="cellIs" dxfId="21749" priority="6040" stopIfTrue="1" operator="equal">
      <formula>"Napkin Hs"</formula>
    </cfRule>
  </conditionalFormatting>
  <conditionalFormatting sqref="C111">
    <cfRule type="cellIs" dxfId="21748" priority="6038" stopIfTrue="1" operator="equal">
      <formula>"Towel"</formula>
    </cfRule>
    <cfRule type="cellIs" dxfId="21747" priority="6039" stopIfTrue="1" operator="equal">
      <formula>"Napkin Hs"</formula>
    </cfRule>
  </conditionalFormatting>
  <conditionalFormatting sqref="C111">
    <cfRule type="cellIs" dxfId="21746" priority="6034" stopIfTrue="1" operator="equal">
      <formula>"Towel"</formula>
    </cfRule>
    <cfRule type="cellIs" dxfId="21745" priority="6035" stopIfTrue="1" operator="equal">
      <formula>"Napkin Hs"</formula>
    </cfRule>
  </conditionalFormatting>
  <conditionalFormatting sqref="C111">
    <cfRule type="cellIs" dxfId="21744" priority="6036" stopIfTrue="1" operator="equal">
      <formula>"Towel"</formula>
    </cfRule>
    <cfRule type="cellIs" dxfId="21743" priority="6037" stopIfTrue="1" operator="equal">
      <formula>"Napkin Hs"</formula>
    </cfRule>
  </conditionalFormatting>
  <conditionalFormatting sqref="C111">
    <cfRule type="cellIs" dxfId="21742" priority="6030" stopIfTrue="1" operator="equal">
      <formula>"Towel"</formula>
    </cfRule>
    <cfRule type="cellIs" dxfId="21741" priority="6031" stopIfTrue="1" operator="equal">
      <formula>"Napkin Hs"</formula>
    </cfRule>
  </conditionalFormatting>
  <conditionalFormatting sqref="C111">
    <cfRule type="cellIs" dxfId="21740" priority="6032" stopIfTrue="1" operator="equal">
      <formula>"Towel"</formula>
    </cfRule>
    <cfRule type="cellIs" dxfId="21739" priority="6033" stopIfTrue="1" operator="equal">
      <formula>"Napkin Hs"</formula>
    </cfRule>
  </conditionalFormatting>
  <conditionalFormatting sqref="C111">
    <cfRule type="cellIs" dxfId="21738" priority="6028" stopIfTrue="1" operator="equal">
      <formula>"Towel"</formula>
    </cfRule>
    <cfRule type="cellIs" dxfId="21737" priority="6029" stopIfTrue="1" operator="equal">
      <formula>"Napkin Hs"</formula>
    </cfRule>
  </conditionalFormatting>
  <conditionalFormatting sqref="C111">
    <cfRule type="cellIs" dxfId="21736" priority="6022" stopIfTrue="1" operator="equal">
      <formula>"Towel"</formula>
    </cfRule>
    <cfRule type="cellIs" dxfId="21735" priority="6023" stopIfTrue="1" operator="equal">
      <formula>"Napkin Hs"</formula>
    </cfRule>
  </conditionalFormatting>
  <conditionalFormatting sqref="C111">
    <cfRule type="cellIs" dxfId="21734" priority="6026" stopIfTrue="1" operator="equal">
      <formula>"Towel"</formula>
    </cfRule>
    <cfRule type="cellIs" dxfId="21733" priority="6027" stopIfTrue="1" operator="equal">
      <formula>"Napkin Hs"</formula>
    </cfRule>
  </conditionalFormatting>
  <conditionalFormatting sqref="C111">
    <cfRule type="cellIs" dxfId="21732" priority="6024" stopIfTrue="1" operator="equal">
      <formula>"Towel"</formula>
    </cfRule>
    <cfRule type="cellIs" dxfId="21731" priority="6025" stopIfTrue="1" operator="equal">
      <formula>"Napkin Hs"</formula>
    </cfRule>
  </conditionalFormatting>
  <conditionalFormatting sqref="C111">
    <cfRule type="cellIs" dxfId="21730" priority="6016" stopIfTrue="1" operator="equal">
      <formula>"Towel"</formula>
    </cfRule>
    <cfRule type="cellIs" dxfId="21729" priority="6017" stopIfTrue="1" operator="equal">
      <formula>"Napkin Hs"</formula>
    </cfRule>
  </conditionalFormatting>
  <conditionalFormatting sqref="C111">
    <cfRule type="cellIs" dxfId="21728" priority="6018" stopIfTrue="1" operator="equal">
      <formula>"Towel"</formula>
    </cfRule>
    <cfRule type="cellIs" dxfId="21727" priority="6019" stopIfTrue="1" operator="equal">
      <formula>"Napkin Hs"</formula>
    </cfRule>
  </conditionalFormatting>
  <conditionalFormatting sqref="C111">
    <cfRule type="cellIs" dxfId="21726" priority="6020" stopIfTrue="1" operator="equal">
      <formula>"Towel"</formula>
    </cfRule>
    <cfRule type="cellIs" dxfId="21725" priority="6021" stopIfTrue="1" operator="equal">
      <formula>"Napkin Hs"</formula>
    </cfRule>
  </conditionalFormatting>
  <conditionalFormatting sqref="C111">
    <cfRule type="cellIs" dxfId="21724" priority="6014" stopIfTrue="1" operator="equal">
      <formula>"Towel"</formula>
    </cfRule>
    <cfRule type="cellIs" dxfId="21723" priority="6015" stopIfTrue="1" operator="equal">
      <formula>"Napkin Hs"</formula>
    </cfRule>
  </conditionalFormatting>
  <conditionalFormatting sqref="C111">
    <cfRule type="cellIs" dxfId="21722" priority="6012" stopIfTrue="1" operator="equal">
      <formula>"Towel"</formula>
    </cfRule>
    <cfRule type="cellIs" dxfId="21721" priority="6013" stopIfTrue="1" operator="equal">
      <formula>"Napkin Hs"</formula>
    </cfRule>
  </conditionalFormatting>
  <conditionalFormatting sqref="C111">
    <cfRule type="cellIs" dxfId="21720" priority="5988" stopIfTrue="1" operator="equal">
      <formula>"Towel"</formula>
    </cfRule>
  </conditionalFormatting>
  <conditionalFormatting sqref="C111">
    <cfRule type="cellIs" dxfId="21719" priority="5989" stopIfTrue="1" operator="equal">
      <formula>"Napkin Hs"</formula>
    </cfRule>
    <cfRule type="cellIs" dxfId="21718" priority="5994" stopIfTrue="1" operator="equal">
      <formula>"Towel"</formula>
    </cfRule>
    <cfRule type="cellIs" dxfId="21717" priority="5995" stopIfTrue="1" operator="equal">
      <formula>"Napkin Hs"</formula>
    </cfRule>
    <cfRule type="cellIs" dxfId="21716" priority="6004" stopIfTrue="1" operator="equal">
      <formula>"Towel"</formula>
    </cfRule>
    <cfRule type="cellIs" dxfId="21715" priority="6005" stopIfTrue="1" operator="equal">
      <formula>"Napkin Hs"</formula>
    </cfRule>
    <cfRule type="cellIs" dxfId="21714" priority="6010" stopIfTrue="1" operator="equal">
      <formula>"Towel"</formula>
    </cfRule>
    <cfRule type="cellIs" dxfId="21713" priority="6011" stopIfTrue="1" operator="equal">
      <formula>"Napkin Hs"</formula>
    </cfRule>
  </conditionalFormatting>
  <conditionalFormatting sqref="C111">
    <cfRule type="cellIs" dxfId="21712" priority="5990" stopIfTrue="1" operator="equal">
      <formula>"Towel"</formula>
    </cfRule>
    <cfRule type="cellIs" dxfId="21711" priority="5991" stopIfTrue="1" operator="equal">
      <formula>"Napkin Hs"</formula>
    </cfRule>
    <cfRule type="cellIs" dxfId="21710" priority="5992" stopIfTrue="1" operator="equal">
      <formula>"Towel"</formula>
    </cfRule>
    <cfRule type="cellIs" dxfId="21709" priority="5993" stopIfTrue="1" operator="equal">
      <formula>"Napkin Hs"</formula>
    </cfRule>
    <cfRule type="cellIs" dxfId="21708" priority="5996" stopIfTrue="1" operator="equal">
      <formula>"Towel"</formula>
    </cfRule>
    <cfRule type="cellIs" dxfId="21707" priority="5997" stopIfTrue="1" operator="equal">
      <formula>"Napkin Hs"</formula>
    </cfRule>
    <cfRule type="cellIs" dxfId="21706" priority="5998" stopIfTrue="1" operator="equal">
      <formula>"Towel"</formula>
    </cfRule>
    <cfRule type="cellIs" dxfId="21705" priority="5999" stopIfTrue="1" operator="equal">
      <formula>"Napkin Hs"</formula>
    </cfRule>
    <cfRule type="cellIs" dxfId="21704" priority="6000" stopIfTrue="1" operator="equal">
      <formula>"Towel"</formula>
    </cfRule>
    <cfRule type="cellIs" dxfId="21703" priority="6001" stopIfTrue="1" operator="equal">
      <formula>"Napkin Hs"</formula>
    </cfRule>
    <cfRule type="cellIs" dxfId="21702" priority="6002" stopIfTrue="1" operator="equal">
      <formula>"Towel"</formula>
    </cfRule>
    <cfRule type="cellIs" dxfId="21701" priority="6003" stopIfTrue="1" operator="equal">
      <formula>"Napkin Hs"</formula>
    </cfRule>
    <cfRule type="cellIs" dxfId="21700" priority="6006" stopIfTrue="1" operator="equal">
      <formula>"Towel"</formula>
    </cfRule>
    <cfRule type="cellIs" dxfId="21699" priority="6007" stopIfTrue="1" operator="equal">
      <formula>"Napkin Hs"</formula>
    </cfRule>
    <cfRule type="cellIs" dxfId="21698" priority="6009" stopIfTrue="1" operator="equal">
      <formula>"Napkin Hs"</formula>
    </cfRule>
  </conditionalFormatting>
  <conditionalFormatting sqref="C111">
    <cfRule type="cellIs" dxfId="21697" priority="6008" stopIfTrue="1" operator="equal">
      <formula>"Towel"</formula>
    </cfRule>
  </conditionalFormatting>
  <conditionalFormatting sqref="C111">
    <cfRule type="cellIs" dxfId="21696" priority="5986" stopIfTrue="1" operator="equal">
      <formula>"Towel"</formula>
    </cfRule>
    <cfRule type="cellIs" dxfId="21695" priority="5987" stopIfTrue="1" operator="equal">
      <formula>"Napkin Hs"</formula>
    </cfRule>
  </conditionalFormatting>
  <conditionalFormatting sqref="C111">
    <cfRule type="cellIs" dxfId="21694" priority="5985" stopIfTrue="1" operator="equal">
      <formula>"Napkin Hs"</formula>
    </cfRule>
  </conditionalFormatting>
  <conditionalFormatting sqref="C111">
    <cfRule type="cellIs" dxfId="21693" priority="5984" stopIfTrue="1" operator="equal">
      <formula>"Towel"</formula>
    </cfRule>
  </conditionalFormatting>
  <conditionalFormatting sqref="C111">
    <cfRule type="cellIs" dxfId="21692" priority="5982" stopIfTrue="1" operator="equal">
      <formula>"Towel"</formula>
    </cfRule>
  </conditionalFormatting>
  <conditionalFormatting sqref="C111">
    <cfRule type="cellIs" dxfId="21691" priority="5983" stopIfTrue="1" operator="equal">
      <formula>"Napkin Hs"</formula>
    </cfRule>
  </conditionalFormatting>
  <conditionalFormatting sqref="C111">
    <cfRule type="cellIs" dxfId="21690" priority="5886" stopIfTrue="1" operator="equal">
      <formula>"Towel"</formula>
    </cfRule>
  </conditionalFormatting>
  <conditionalFormatting sqref="C111">
    <cfRule type="cellIs" dxfId="21689" priority="5896" stopIfTrue="1" operator="equal">
      <formula>"Towel"</formula>
    </cfRule>
    <cfRule type="cellIs" dxfId="21688" priority="5897" stopIfTrue="1" operator="equal">
      <formula>"Napkin Hs"</formula>
    </cfRule>
    <cfRule type="cellIs" dxfId="21687" priority="5902" stopIfTrue="1" operator="equal">
      <formula>"Towel"</formula>
    </cfRule>
    <cfRule type="cellIs" dxfId="21686" priority="5903" stopIfTrue="1" operator="equal">
      <formula>"Napkin Hs"</formula>
    </cfRule>
    <cfRule type="cellIs" dxfId="21685" priority="5908" stopIfTrue="1" operator="equal">
      <formula>"Towel"</formula>
    </cfRule>
    <cfRule type="cellIs" dxfId="21684" priority="5909" stopIfTrue="1" operator="equal">
      <formula>"Napkin Hs"</formula>
    </cfRule>
    <cfRule type="cellIs" dxfId="21683" priority="5910" stopIfTrue="1" operator="equal">
      <formula>"Towel"</formula>
    </cfRule>
    <cfRule type="cellIs" dxfId="21682" priority="5911" stopIfTrue="1" operator="equal">
      <formula>"Napkin Hs"</formula>
    </cfRule>
    <cfRule type="cellIs" dxfId="21681" priority="5916" stopIfTrue="1" operator="equal">
      <formula>"Towel"</formula>
    </cfRule>
    <cfRule type="cellIs" dxfId="21680" priority="5917" stopIfTrue="1" operator="equal">
      <formula>"Napkin Hs"</formula>
    </cfRule>
    <cfRule type="cellIs" dxfId="21679" priority="5926" stopIfTrue="1" operator="equal">
      <formula>"Towel"</formula>
    </cfRule>
    <cfRule type="cellIs" dxfId="21678" priority="5927" stopIfTrue="1" operator="equal">
      <formula>"Napkin Hs"</formula>
    </cfRule>
    <cfRule type="cellIs" dxfId="21677" priority="5932" stopIfTrue="1" operator="equal">
      <formula>"Towel"</formula>
    </cfRule>
    <cfRule type="cellIs" dxfId="21676" priority="5933" stopIfTrue="1" operator="equal">
      <formula>"Napkin Hs"</formula>
    </cfRule>
    <cfRule type="cellIs" dxfId="21675" priority="5934" stopIfTrue="1" operator="equal">
      <formula>"Towel"</formula>
    </cfRule>
    <cfRule type="cellIs" dxfId="21674" priority="5935" stopIfTrue="1" operator="equal">
      <formula>"Napkin Hs"</formula>
    </cfRule>
    <cfRule type="cellIs" dxfId="21673" priority="5940" stopIfTrue="1" operator="equal">
      <formula>"Towel"</formula>
    </cfRule>
    <cfRule type="cellIs" dxfId="21672" priority="5941" stopIfTrue="1" operator="equal">
      <formula>"Napkin Hs"</formula>
    </cfRule>
    <cfRule type="cellIs" dxfId="21671" priority="5950" stopIfTrue="1" operator="equal">
      <formula>"Towel"</formula>
    </cfRule>
    <cfRule type="cellIs" dxfId="21670" priority="5951" stopIfTrue="1" operator="equal">
      <formula>"Napkin Hs"</formula>
    </cfRule>
    <cfRule type="cellIs" dxfId="21669" priority="5952" stopIfTrue="1" operator="equal">
      <formula>"Towel"</formula>
    </cfRule>
    <cfRule type="cellIs" dxfId="21668" priority="5953" stopIfTrue="1" operator="equal">
      <formula>"Napkin Hs"</formula>
    </cfRule>
    <cfRule type="cellIs" dxfId="21667" priority="5958" stopIfTrue="1" operator="equal">
      <formula>"Towel"</formula>
    </cfRule>
    <cfRule type="cellIs" dxfId="21666" priority="5959" stopIfTrue="1" operator="equal">
      <formula>"Napkin Hs"</formula>
    </cfRule>
    <cfRule type="cellIs" dxfId="21665" priority="5968" stopIfTrue="1" operator="equal">
      <formula>"Towel"</formula>
    </cfRule>
    <cfRule type="cellIs" dxfId="21664" priority="5969" stopIfTrue="1" operator="equal">
      <formula>"Napkin Hs"</formula>
    </cfRule>
    <cfRule type="cellIs" dxfId="21663" priority="5970" stopIfTrue="1" operator="equal">
      <formula>"Towel"</formula>
    </cfRule>
    <cfRule type="cellIs" dxfId="21662" priority="5971" stopIfTrue="1" operator="equal">
      <formula>"Napkin Hs"</formula>
    </cfRule>
    <cfRule type="cellIs" dxfId="21661" priority="5977" stopIfTrue="1" operator="equal">
      <formula>"Napkin Hs"</formula>
    </cfRule>
  </conditionalFormatting>
  <conditionalFormatting sqref="C111">
    <cfRule type="cellIs" dxfId="21660" priority="5976" stopIfTrue="1" operator="equal">
      <formula>"Towel"</formula>
    </cfRule>
  </conditionalFormatting>
  <conditionalFormatting sqref="C111">
    <cfRule type="cellIs" dxfId="21659" priority="5887" stopIfTrue="1" operator="equal">
      <formula>"Napkin Hs"</formula>
    </cfRule>
    <cfRule type="cellIs" dxfId="21658" priority="5888" stopIfTrue="1" operator="equal">
      <formula>"Towel"</formula>
    </cfRule>
    <cfRule type="cellIs" dxfId="21657" priority="5889" stopIfTrue="1" operator="equal">
      <formula>"Napkin Hs"</formula>
    </cfRule>
    <cfRule type="cellIs" dxfId="21656" priority="5890" stopIfTrue="1" operator="equal">
      <formula>"Towel"</formula>
    </cfRule>
    <cfRule type="cellIs" dxfId="21655" priority="5891" stopIfTrue="1" operator="equal">
      <formula>"Napkin Hs"</formula>
    </cfRule>
    <cfRule type="cellIs" dxfId="21654" priority="5892" stopIfTrue="1" operator="equal">
      <formula>"Towel"</formula>
    </cfRule>
    <cfRule type="cellIs" dxfId="21653" priority="5893" stopIfTrue="1" operator="equal">
      <formula>"Napkin Hs"</formula>
    </cfRule>
    <cfRule type="cellIs" dxfId="21652" priority="5894" stopIfTrue="1" operator="equal">
      <formula>"Towel"</formula>
    </cfRule>
    <cfRule type="cellIs" dxfId="21651" priority="5895" stopIfTrue="1" operator="equal">
      <formula>"Napkin Hs"</formula>
    </cfRule>
    <cfRule type="cellIs" dxfId="21650" priority="5898" stopIfTrue="1" operator="equal">
      <formula>"Towel"</formula>
    </cfRule>
    <cfRule type="cellIs" dxfId="21649" priority="5899" stopIfTrue="1" operator="equal">
      <formula>"Napkin Hs"</formula>
    </cfRule>
    <cfRule type="cellIs" dxfId="21648" priority="5900" stopIfTrue="1" operator="equal">
      <formula>"Towel"</formula>
    </cfRule>
    <cfRule type="cellIs" dxfId="21647" priority="5901" stopIfTrue="1" operator="equal">
      <formula>"Napkin Hs"</formula>
    </cfRule>
    <cfRule type="cellIs" dxfId="21646" priority="5904" stopIfTrue="1" operator="equal">
      <formula>"Towel"</formula>
    </cfRule>
    <cfRule type="cellIs" dxfId="21645" priority="5905" stopIfTrue="1" operator="equal">
      <formula>"Napkin Hs"</formula>
    </cfRule>
    <cfRule type="cellIs" dxfId="21644" priority="5906" stopIfTrue="1" operator="equal">
      <formula>"Towel"</formula>
    </cfRule>
    <cfRule type="cellIs" dxfId="21643" priority="5907" stopIfTrue="1" operator="equal">
      <formula>"Napkin Hs"</formula>
    </cfRule>
    <cfRule type="cellIs" dxfId="21642" priority="5912" stopIfTrue="1" operator="equal">
      <formula>"Towel"</formula>
    </cfRule>
    <cfRule type="cellIs" dxfId="21641" priority="5913" stopIfTrue="1" operator="equal">
      <formula>"Napkin Hs"</formula>
    </cfRule>
    <cfRule type="cellIs" dxfId="21640" priority="5914" stopIfTrue="1" operator="equal">
      <formula>"Towel"</formula>
    </cfRule>
    <cfRule type="cellIs" dxfId="21639" priority="5915" stopIfTrue="1" operator="equal">
      <formula>"Napkin Hs"</formula>
    </cfRule>
    <cfRule type="cellIs" dxfId="21638" priority="5918" stopIfTrue="1" operator="equal">
      <formula>"Towel"</formula>
    </cfRule>
    <cfRule type="cellIs" dxfId="21637" priority="5919" stopIfTrue="1" operator="equal">
      <formula>"Napkin Hs"</formula>
    </cfRule>
    <cfRule type="cellIs" dxfId="21636" priority="5920" stopIfTrue="1" operator="equal">
      <formula>"Towel"</formula>
    </cfRule>
    <cfRule type="cellIs" dxfId="21635" priority="5921" stopIfTrue="1" operator="equal">
      <formula>"Napkin Hs"</formula>
    </cfRule>
    <cfRule type="cellIs" dxfId="21634" priority="5922" stopIfTrue="1" operator="equal">
      <formula>"Towel"</formula>
    </cfRule>
    <cfRule type="cellIs" dxfId="21633" priority="5923" stopIfTrue="1" operator="equal">
      <formula>"Napkin Hs"</formula>
    </cfRule>
    <cfRule type="cellIs" dxfId="21632" priority="5924" stopIfTrue="1" operator="equal">
      <formula>"Towel"</formula>
    </cfRule>
    <cfRule type="cellIs" dxfId="21631" priority="5925" stopIfTrue="1" operator="equal">
      <formula>"Napkin Hs"</formula>
    </cfRule>
    <cfRule type="cellIs" dxfId="21630" priority="5928" stopIfTrue="1" operator="equal">
      <formula>"Towel"</formula>
    </cfRule>
    <cfRule type="cellIs" dxfId="21629" priority="5929" stopIfTrue="1" operator="equal">
      <formula>"Napkin Hs"</formula>
    </cfRule>
    <cfRule type="cellIs" dxfId="21628" priority="5930" stopIfTrue="1" operator="equal">
      <formula>"Towel"</formula>
    </cfRule>
    <cfRule type="cellIs" dxfId="21627" priority="5931" stopIfTrue="1" operator="equal">
      <formula>"Napkin Hs"</formula>
    </cfRule>
    <cfRule type="cellIs" dxfId="21626" priority="5936" stopIfTrue="1" operator="equal">
      <formula>"Towel"</formula>
    </cfRule>
    <cfRule type="cellIs" dxfId="21625" priority="5937" stopIfTrue="1" operator="equal">
      <formula>"Napkin Hs"</formula>
    </cfRule>
    <cfRule type="cellIs" dxfId="21624" priority="5938" stopIfTrue="1" operator="equal">
      <formula>"Towel"</formula>
    </cfRule>
    <cfRule type="cellIs" dxfId="21623" priority="5939" stopIfTrue="1" operator="equal">
      <formula>"Napkin Hs"</formula>
    </cfRule>
    <cfRule type="cellIs" dxfId="21622" priority="5942" stopIfTrue="1" operator="equal">
      <formula>"Towel"</formula>
    </cfRule>
    <cfRule type="cellIs" dxfId="21621" priority="5943" stopIfTrue="1" operator="equal">
      <formula>"Napkin Hs"</formula>
    </cfRule>
    <cfRule type="cellIs" dxfId="21620" priority="5944" stopIfTrue="1" operator="equal">
      <formula>"Towel"</formula>
    </cfRule>
    <cfRule type="cellIs" dxfId="21619" priority="5945" stopIfTrue="1" operator="equal">
      <formula>"Napkin Hs"</formula>
    </cfRule>
    <cfRule type="cellIs" dxfId="21618" priority="5946" stopIfTrue="1" operator="equal">
      <formula>"Towel"</formula>
    </cfRule>
    <cfRule type="cellIs" dxfId="21617" priority="5947" stopIfTrue="1" operator="equal">
      <formula>"Napkin Hs"</formula>
    </cfRule>
    <cfRule type="cellIs" dxfId="21616" priority="5948" stopIfTrue="1" operator="equal">
      <formula>"Towel"</formula>
    </cfRule>
    <cfRule type="cellIs" dxfId="21615" priority="5949" stopIfTrue="1" operator="equal">
      <formula>"Napkin Hs"</formula>
    </cfRule>
    <cfRule type="cellIs" dxfId="21614" priority="5954" stopIfTrue="1" operator="equal">
      <formula>"Towel"</formula>
    </cfRule>
    <cfRule type="cellIs" dxfId="21613" priority="5955" stopIfTrue="1" operator="equal">
      <formula>"Napkin Hs"</formula>
    </cfRule>
    <cfRule type="cellIs" dxfId="21612" priority="5956" stopIfTrue="1" operator="equal">
      <formula>"Towel"</formula>
    </cfRule>
    <cfRule type="cellIs" dxfId="21611" priority="5957" stopIfTrue="1" operator="equal">
      <formula>"Napkin Hs"</formula>
    </cfRule>
    <cfRule type="cellIs" dxfId="21610" priority="5960" stopIfTrue="1" operator="equal">
      <formula>"Towel"</formula>
    </cfRule>
    <cfRule type="cellIs" dxfId="21609" priority="5961" stopIfTrue="1" operator="equal">
      <formula>"Napkin Hs"</formula>
    </cfRule>
    <cfRule type="cellIs" dxfId="21608" priority="5962" stopIfTrue="1" operator="equal">
      <formula>"Towel"</formula>
    </cfRule>
    <cfRule type="cellIs" dxfId="21607" priority="5963" stopIfTrue="1" operator="equal">
      <formula>"Napkin Hs"</formula>
    </cfRule>
    <cfRule type="cellIs" dxfId="21606" priority="5964" stopIfTrue="1" operator="equal">
      <formula>"Towel"</formula>
    </cfRule>
    <cfRule type="cellIs" dxfId="21605" priority="5965" stopIfTrue="1" operator="equal">
      <formula>"Napkin Hs"</formula>
    </cfRule>
    <cfRule type="cellIs" dxfId="21604" priority="5966" stopIfTrue="1" operator="equal">
      <formula>"Towel"</formula>
    </cfRule>
    <cfRule type="cellIs" dxfId="21603" priority="5967" stopIfTrue="1" operator="equal">
      <formula>"Napkin Hs"</formula>
    </cfRule>
    <cfRule type="cellIs" dxfId="21602" priority="5972" stopIfTrue="1" operator="equal">
      <formula>"Towel"</formula>
    </cfRule>
    <cfRule type="cellIs" dxfId="21601" priority="5973" stopIfTrue="1" operator="equal">
      <formula>"Napkin Hs"</formula>
    </cfRule>
    <cfRule type="cellIs" dxfId="21600" priority="5974" stopIfTrue="1" operator="equal">
      <formula>"Towel"</formula>
    </cfRule>
    <cfRule type="cellIs" dxfId="21599" priority="5975" stopIfTrue="1" operator="equal">
      <formula>"Napkin Hs"</formula>
    </cfRule>
    <cfRule type="cellIs" dxfId="21598" priority="5978" stopIfTrue="1" operator="equal">
      <formula>"Towel"</formula>
    </cfRule>
    <cfRule type="cellIs" dxfId="21597" priority="5979" stopIfTrue="1" operator="equal">
      <formula>"Napkin Hs"</formula>
    </cfRule>
    <cfRule type="cellIs" dxfId="21596" priority="5980" stopIfTrue="1" operator="equal">
      <formula>"Towel"</formula>
    </cfRule>
    <cfRule type="cellIs" dxfId="21595" priority="5981" stopIfTrue="1" operator="equal">
      <formula>"Napkin Hs"</formula>
    </cfRule>
  </conditionalFormatting>
  <conditionalFormatting sqref="C111">
    <cfRule type="cellIs" dxfId="21594" priority="5885" stopIfTrue="1" operator="equal">
      <formula>"Napkin Hs"</formula>
    </cfRule>
  </conditionalFormatting>
  <conditionalFormatting sqref="C111">
    <cfRule type="cellIs" dxfId="21593" priority="5884" stopIfTrue="1" operator="equal">
      <formula>"Napkin Hs"</formula>
    </cfRule>
  </conditionalFormatting>
  <conditionalFormatting sqref="C111">
    <cfRule type="cellIs" dxfId="21592" priority="5883" stopIfTrue="1" operator="equal">
      <formula>"Napkin Hs"</formula>
    </cfRule>
  </conditionalFormatting>
  <conditionalFormatting sqref="C111">
    <cfRule type="cellIs" dxfId="21591" priority="5882" stopIfTrue="1" operator="equal">
      <formula>"Napkin Hs"</formula>
    </cfRule>
  </conditionalFormatting>
  <conditionalFormatting sqref="C111">
    <cfRule type="cellIs" dxfId="21590" priority="5881" stopIfTrue="1" operator="equal">
      <formula>"Napkin Hs"</formula>
    </cfRule>
  </conditionalFormatting>
  <conditionalFormatting sqref="C111">
    <cfRule type="cellIs" dxfId="21589" priority="5880" stopIfTrue="1" operator="equal">
      <formula>"Napkin Hs"</formula>
    </cfRule>
  </conditionalFormatting>
  <conditionalFormatting sqref="C111">
    <cfRule type="cellIs" dxfId="21588" priority="5876" stopIfTrue="1" operator="equal">
      <formula>"Towel"</formula>
    </cfRule>
    <cfRule type="cellIs" dxfId="21587" priority="5877" stopIfTrue="1" operator="equal">
      <formula>"Napkin Hs"</formula>
    </cfRule>
  </conditionalFormatting>
  <conditionalFormatting sqref="C111">
    <cfRule type="cellIs" dxfId="21586" priority="5878" stopIfTrue="1" operator="equal">
      <formula>"Towel"</formula>
    </cfRule>
    <cfRule type="cellIs" dxfId="21585" priority="5879" stopIfTrue="1" operator="equal">
      <formula>"Napkin Hs"</formula>
    </cfRule>
  </conditionalFormatting>
  <conditionalFormatting sqref="C111">
    <cfRule type="cellIs" dxfId="21584" priority="5872" stopIfTrue="1" operator="equal">
      <formula>"Towel"</formula>
    </cfRule>
    <cfRule type="cellIs" dxfId="21583" priority="5873" stopIfTrue="1" operator="equal">
      <formula>"Napkin Hs"</formula>
    </cfRule>
  </conditionalFormatting>
  <conditionalFormatting sqref="C111">
    <cfRule type="cellIs" dxfId="21582" priority="5874" stopIfTrue="1" operator="equal">
      <formula>"Towel"</formula>
    </cfRule>
    <cfRule type="cellIs" dxfId="21581" priority="5875" stopIfTrue="1" operator="equal">
      <formula>"Napkin Hs"</formula>
    </cfRule>
  </conditionalFormatting>
  <conditionalFormatting sqref="B110">
    <cfRule type="cellIs" dxfId="21580" priority="5871" stopIfTrue="1" operator="equal">
      <formula>"Napkin Hs"</formula>
    </cfRule>
  </conditionalFormatting>
  <conditionalFormatting sqref="B110">
    <cfRule type="cellIs" dxfId="21579" priority="5870" stopIfTrue="1" operator="equal">
      <formula>"Napkin Hs"</formula>
    </cfRule>
  </conditionalFormatting>
  <conditionalFormatting sqref="B110">
    <cfRule type="cellIs" dxfId="21578" priority="5869" stopIfTrue="1" operator="equal">
      <formula>"Napkin Hs"</formula>
    </cfRule>
  </conditionalFormatting>
  <conditionalFormatting sqref="C110">
    <cfRule type="cellIs" dxfId="21577" priority="5867" stopIfTrue="1" operator="equal">
      <formula>"Towel"</formula>
    </cfRule>
    <cfRule type="cellIs" dxfId="21576" priority="5868" stopIfTrue="1" operator="equal">
      <formula>"Napkin Hs"</formula>
    </cfRule>
  </conditionalFormatting>
  <conditionalFormatting sqref="C110">
    <cfRule type="cellIs" dxfId="21575" priority="5863" stopIfTrue="1" operator="equal">
      <formula>"Towel"</formula>
    </cfRule>
    <cfRule type="cellIs" dxfId="21574" priority="5864" stopIfTrue="1" operator="equal">
      <formula>"Napkin Hs"</formula>
    </cfRule>
  </conditionalFormatting>
  <conditionalFormatting sqref="C110">
    <cfRule type="cellIs" dxfId="21573" priority="5865" stopIfTrue="1" operator="equal">
      <formula>"Towel"</formula>
    </cfRule>
    <cfRule type="cellIs" dxfId="21572" priority="5866" stopIfTrue="1" operator="equal">
      <formula>"Napkin Hs"</formula>
    </cfRule>
  </conditionalFormatting>
  <conditionalFormatting sqref="C110">
    <cfRule type="cellIs" dxfId="21571" priority="5859" stopIfTrue="1" operator="equal">
      <formula>"Towel"</formula>
    </cfRule>
    <cfRule type="cellIs" dxfId="21570" priority="5860" stopIfTrue="1" operator="equal">
      <formula>"Napkin Hs"</formula>
    </cfRule>
  </conditionalFormatting>
  <conditionalFormatting sqref="C110">
    <cfRule type="cellIs" dxfId="21569" priority="5861" stopIfTrue="1" operator="equal">
      <formula>"Towel"</formula>
    </cfRule>
    <cfRule type="cellIs" dxfId="21568" priority="5862" stopIfTrue="1" operator="equal">
      <formula>"Napkin Hs"</formula>
    </cfRule>
  </conditionalFormatting>
  <conditionalFormatting sqref="C110">
    <cfRule type="cellIs" dxfId="21567" priority="5857" stopIfTrue="1" operator="equal">
      <formula>"Towel"</formula>
    </cfRule>
    <cfRule type="cellIs" dxfId="21566" priority="5858" stopIfTrue="1" operator="equal">
      <formula>"Napkin Hs"</formula>
    </cfRule>
  </conditionalFormatting>
  <conditionalFormatting sqref="C110">
    <cfRule type="cellIs" dxfId="21565" priority="5851" stopIfTrue="1" operator="equal">
      <formula>"Towel"</formula>
    </cfRule>
    <cfRule type="cellIs" dxfId="21564" priority="5852" stopIfTrue="1" operator="equal">
      <formula>"Napkin Hs"</formula>
    </cfRule>
  </conditionalFormatting>
  <conditionalFormatting sqref="C110">
    <cfRule type="cellIs" dxfId="21563" priority="5855" stopIfTrue="1" operator="equal">
      <formula>"Towel"</formula>
    </cfRule>
    <cfRule type="cellIs" dxfId="21562" priority="5856" stopIfTrue="1" operator="equal">
      <formula>"Napkin Hs"</formula>
    </cfRule>
  </conditionalFormatting>
  <conditionalFormatting sqref="C110">
    <cfRule type="cellIs" dxfId="21561" priority="5853" stopIfTrue="1" operator="equal">
      <formula>"Towel"</formula>
    </cfRule>
    <cfRule type="cellIs" dxfId="21560" priority="5854" stopIfTrue="1" operator="equal">
      <formula>"Napkin Hs"</formula>
    </cfRule>
  </conditionalFormatting>
  <conditionalFormatting sqref="C110">
    <cfRule type="cellIs" dxfId="21559" priority="5845" stopIfTrue="1" operator="equal">
      <formula>"Towel"</formula>
    </cfRule>
    <cfRule type="cellIs" dxfId="21558" priority="5846" stopIfTrue="1" operator="equal">
      <formula>"Napkin Hs"</formula>
    </cfRule>
  </conditionalFormatting>
  <conditionalFormatting sqref="C110">
    <cfRule type="cellIs" dxfId="21557" priority="5847" stopIfTrue="1" operator="equal">
      <formula>"Towel"</formula>
    </cfRule>
    <cfRule type="cellIs" dxfId="21556" priority="5848" stopIfTrue="1" operator="equal">
      <formula>"Napkin Hs"</formula>
    </cfRule>
  </conditionalFormatting>
  <conditionalFormatting sqref="C110">
    <cfRule type="cellIs" dxfId="21555" priority="5849" stopIfTrue="1" operator="equal">
      <formula>"Towel"</formula>
    </cfRule>
    <cfRule type="cellIs" dxfId="21554" priority="5850" stopIfTrue="1" operator="equal">
      <formula>"Napkin Hs"</formula>
    </cfRule>
  </conditionalFormatting>
  <conditionalFormatting sqref="C110">
    <cfRule type="cellIs" dxfId="21553" priority="5843" stopIfTrue="1" operator="equal">
      <formula>"Towel"</formula>
    </cfRule>
    <cfRule type="cellIs" dxfId="21552" priority="5844" stopIfTrue="1" operator="equal">
      <formula>"Napkin Hs"</formula>
    </cfRule>
  </conditionalFormatting>
  <conditionalFormatting sqref="C110">
    <cfRule type="cellIs" dxfId="21551" priority="5841" stopIfTrue="1" operator="equal">
      <formula>"Towel"</formula>
    </cfRule>
    <cfRule type="cellIs" dxfId="21550" priority="5842" stopIfTrue="1" operator="equal">
      <formula>"Napkin Hs"</formula>
    </cfRule>
  </conditionalFormatting>
  <conditionalFormatting sqref="C110">
    <cfRule type="cellIs" dxfId="21549" priority="5817" stopIfTrue="1" operator="equal">
      <formula>"Towel"</formula>
    </cfRule>
  </conditionalFormatting>
  <conditionalFormatting sqref="C110">
    <cfRule type="cellIs" dxfId="21548" priority="5818" stopIfTrue="1" operator="equal">
      <formula>"Napkin Hs"</formula>
    </cfRule>
    <cfRule type="cellIs" dxfId="21547" priority="5823" stopIfTrue="1" operator="equal">
      <formula>"Towel"</formula>
    </cfRule>
    <cfRule type="cellIs" dxfId="21546" priority="5824" stopIfTrue="1" operator="equal">
      <formula>"Napkin Hs"</formula>
    </cfRule>
    <cfRule type="cellIs" dxfId="21545" priority="5833" stopIfTrue="1" operator="equal">
      <formula>"Towel"</formula>
    </cfRule>
    <cfRule type="cellIs" dxfId="21544" priority="5834" stopIfTrue="1" operator="equal">
      <formula>"Napkin Hs"</formula>
    </cfRule>
    <cfRule type="cellIs" dxfId="21543" priority="5839" stopIfTrue="1" operator="equal">
      <formula>"Towel"</formula>
    </cfRule>
    <cfRule type="cellIs" dxfId="21542" priority="5840" stopIfTrue="1" operator="equal">
      <formula>"Napkin Hs"</formula>
    </cfRule>
  </conditionalFormatting>
  <conditionalFormatting sqref="C110">
    <cfRule type="cellIs" dxfId="21541" priority="5819" stopIfTrue="1" operator="equal">
      <formula>"Towel"</formula>
    </cfRule>
    <cfRule type="cellIs" dxfId="21540" priority="5820" stopIfTrue="1" operator="equal">
      <formula>"Napkin Hs"</formula>
    </cfRule>
    <cfRule type="cellIs" dxfId="21539" priority="5821" stopIfTrue="1" operator="equal">
      <formula>"Towel"</formula>
    </cfRule>
    <cfRule type="cellIs" dxfId="21538" priority="5822" stopIfTrue="1" operator="equal">
      <formula>"Napkin Hs"</formula>
    </cfRule>
    <cfRule type="cellIs" dxfId="21537" priority="5825" stopIfTrue="1" operator="equal">
      <formula>"Towel"</formula>
    </cfRule>
    <cfRule type="cellIs" dxfId="21536" priority="5826" stopIfTrue="1" operator="equal">
      <formula>"Napkin Hs"</formula>
    </cfRule>
    <cfRule type="cellIs" dxfId="21535" priority="5827" stopIfTrue="1" operator="equal">
      <formula>"Towel"</formula>
    </cfRule>
    <cfRule type="cellIs" dxfId="21534" priority="5828" stopIfTrue="1" operator="equal">
      <formula>"Napkin Hs"</formula>
    </cfRule>
    <cfRule type="cellIs" dxfId="21533" priority="5829" stopIfTrue="1" operator="equal">
      <formula>"Towel"</formula>
    </cfRule>
    <cfRule type="cellIs" dxfId="21532" priority="5830" stopIfTrue="1" operator="equal">
      <formula>"Napkin Hs"</formula>
    </cfRule>
    <cfRule type="cellIs" dxfId="21531" priority="5831" stopIfTrue="1" operator="equal">
      <formula>"Towel"</formula>
    </cfRule>
    <cfRule type="cellIs" dxfId="21530" priority="5832" stopIfTrue="1" operator="equal">
      <formula>"Napkin Hs"</formula>
    </cfRule>
    <cfRule type="cellIs" dxfId="21529" priority="5835" stopIfTrue="1" operator="equal">
      <formula>"Towel"</formula>
    </cfRule>
    <cfRule type="cellIs" dxfId="21528" priority="5836" stopIfTrue="1" operator="equal">
      <formula>"Napkin Hs"</formula>
    </cfRule>
    <cfRule type="cellIs" dxfId="21527" priority="5838" stopIfTrue="1" operator="equal">
      <formula>"Napkin Hs"</formula>
    </cfRule>
  </conditionalFormatting>
  <conditionalFormatting sqref="C110">
    <cfRule type="cellIs" dxfId="21526" priority="5837" stopIfTrue="1" operator="equal">
      <formula>"Towel"</formula>
    </cfRule>
  </conditionalFormatting>
  <conditionalFormatting sqref="C110">
    <cfRule type="cellIs" dxfId="21525" priority="5815" stopIfTrue="1" operator="equal">
      <formula>"Towel"</formula>
    </cfRule>
    <cfRule type="cellIs" dxfId="21524" priority="5816" stopIfTrue="1" operator="equal">
      <formula>"Napkin Hs"</formula>
    </cfRule>
  </conditionalFormatting>
  <conditionalFormatting sqref="C110">
    <cfRule type="cellIs" dxfId="21523" priority="5814" stopIfTrue="1" operator="equal">
      <formula>"Napkin Hs"</formula>
    </cfRule>
  </conditionalFormatting>
  <conditionalFormatting sqref="C110">
    <cfRule type="cellIs" dxfId="21522" priority="5813" stopIfTrue="1" operator="equal">
      <formula>"Towel"</formula>
    </cfRule>
  </conditionalFormatting>
  <conditionalFormatting sqref="C110">
    <cfRule type="cellIs" dxfId="21521" priority="5811" stopIfTrue="1" operator="equal">
      <formula>"Towel"</formula>
    </cfRule>
  </conditionalFormatting>
  <conditionalFormatting sqref="C110">
    <cfRule type="cellIs" dxfId="21520" priority="5812" stopIfTrue="1" operator="equal">
      <formula>"Napkin Hs"</formula>
    </cfRule>
  </conditionalFormatting>
  <conditionalFormatting sqref="C110">
    <cfRule type="cellIs" dxfId="21519" priority="5715" stopIfTrue="1" operator="equal">
      <formula>"Towel"</formula>
    </cfRule>
  </conditionalFormatting>
  <conditionalFormatting sqref="C110">
    <cfRule type="cellIs" dxfId="21518" priority="5725" stopIfTrue="1" operator="equal">
      <formula>"Towel"</formula>
    </cfRule>
    <cfRule type="cellIs" dxfId="21517" priority="5726" stopIfTrue="1" operator="equal">
      <formula>"Napkin Hs"</formula>
    </cfRule>
    <cfRule type="cellIs" dxfId="21516" priority="5731" stopIfTrue="1" operator="equal">
      <formula>"Towel"</formula>
    </cfRule>
    <cfRule type="cellIs" dxfId="21515" priority="5732" stopIfTrue="1" operator="equal">
      <formula>"Napkin Hs"</formula>
    </cfRule>
    <cfRule type="cellIs" dxfId="21514" priority="5737" stopIfTrue="1" operator="equal">
      <formula>"Towel"</formula>
    </cfRule>
    <cfRule type="cellIs" dxfId="21513" priority="5738" stopIfTrue="1" operator="equal">
      <formula>"Napkin Hs"</formula>
    </cfRule>
    <cfRule type="cellIs" dxfId="21512" priority="5739" stopIfTrue="1" operator="equal">
      <formula>"Towel"</formula>
    </cfRule>
    <cfRule type="cellIs" dxfId="21511" priority="5740" stopIfTrue="1" operator="equal">
      <formula>"Napkin Hs"</formula>
    </cfRule>
    <cfRule type="cellIs" dxfId="21510" priority="5745" stopIfTrue="1" operator="equal">
      <formula>"Towel"</formula>
    </cfRule>
    <cfRule type="cellIs" dxfId="21509" priority="5746" stopIfTrue="1" operator="equal">
      <formula>"Napkin Hs"</formula>
    </cfRule>
    <cfRule type="cellIs" dxfId="21508" priority="5755" stopIfTrue="1" operator="equal">
      <formula>"Towel"</formula>
    </cfRule>
    <cfRule type="cellIs" dxfId="21507" priority="5756" stopIfTrue="1" operator="equal">
      <formula>"Napkin Hs"</formula>
    </cfRule>
    <cfRule type="cellIs" dxfId="21506" priority="5761" stopIfTrue="1" operator="equal">
      <formula>"Towel"</formula>
    </cfRule>
    <cfRule type="cellIs" dxfId="21505" priority="5762" stopIfTrue="1" operator="equal">
      <formula>"Napkin Hs"</formula>
    </cfRule>
    <cfRule type="cellIs" dxfId="21504" priority="5763" stopIfTrue="1" operator="equal">
      <formula>"Towel"</formula>
    </cfRule>
    <cfRule type="cellIs" dxfId="21503" priority="5764" stopIfTrue="1" operator="equal">
      <formula>"Napkin Hs"</formula>
    </cfRule>
    <cfRule type="cellIs" dxfId="21502" priority="5769" stopIfTrue="1" operator="equal">
      <formula>"Towel"</formula>
    </cfRule>
    <cfRule type="cellIs" dxfId="21501" priority="5770" stopIfTrue="1" operator="equal">
      <formula>"Napkin Hs"</formula>
    </cfRule>
    <cfRule type="cellIs" dxfId="21500" priority="5779" stopIfTrue="1" operator="equal">
      <formula>"Towel"</formula>
    </cfRule>
    <cfRule type="cellIs" dxfId="21499" priority="5780" stopIfTrue="1" operator="equal">
      <formula>"Napkin Hs"</formula>
    </cfRule>
    <cfRule type="cellIs" dxfId="21498" priority="5781" stopIfTrue="1" operator="equal">
      <formula>"Towel"</formula>
    </cfRule>
    <cfRule type="cellIs" dxfId="21497" priority="5782" stopIfTrue="1" operator="equal">
      <formula>"Napkin Hs"</formula>
    </cfRule>
    <cfRule type="cellIs" dxfId="21496" priority="5787" stopIfTrue="1" operator="equal">
      <formula>"Towel"</formula>
    </cfRule>
    <cfRule type="cellIs" dxfId="21495" priority="5788" stopIfTrue="1" operator="equal">
      <formula>"Napkin Hs"</formula>
    </cfRule>
    <cfRule type="cellIs" dxfId="21494" priority="5797" stopIfTrue="1" operator="equal">
      <formula>"Towel"</formula>
    </cfRule>
    <cfRule type="cellIs" dxfId="21493" priority="5798" stopIfTrue="1" operator="equal">
      <formula>"Napkin Hs"</formula>
    </cfRule>
    <cfRule type="cellIs" dxfId="21492" priority="5799" stopIfTrue="1" operator="equal">
      <formula>"Towel"</formula>
    </cfRule>
    <cfRule type="cellIs" dxfId="21491" priority="5800" stopIfTrue="1" operator="equal">
      <formula>"Napkin Hs"</formula>
    </cfRule>
    <cfRule type="cellIs" dxfId="21490" priority="5806" stopIfTrue="1" operator="equal">
      <formula>"Napkin Hs"</formula>
    </cfRule>
  </conditionalFormatting>
  <conditionalFormatting sqref="C110">
    <cfRule type="cellIs" dxfId="21489" priority="5805" stopIfTrue="1" operator="equal">
      <formula>"Towel"</formula>
    </cfRule>
  </conditionalFormatting>
  <conditionalFormatting sqref="C110">
    <cfRule type="cellIs" dxfId="21488" priority="5716" stopIfTrue="1" operator="equal">
      <formula>"Napkin Hs"</formula>
    </cfRule>
    <cfRule type="cellIs" dxfId="21487" priority="5717" stopIfTrue="1" operator="equal">
      <formula>"Towel"</formula>
    </cfRule>
    <cfRule type="cellIs" dxfId="21486" priority="5718" stopIfTrue="1" operator="equal">
      <formula>"Napkin Hs"</formula>
    </cfRule>
    <cfRule type="cellIs" dxfId="21485" priority="5719" stopIfTrue="1" operator="equal">
      <formula>"Towel"</formula>
    </cfRule>
    <cfRule type="cellIs" dxfId="21484" priority="5720" stopIfTrue="1" operator="equal">
      <formula>"Napkin Hs"</formula>
    </cfRule>
    <cfRule type="cellIs" dxfId="21483" priority="5721" stopIfTrue="1" operator="equal">
      <formula>"Towel"</formula>
    </cfRule>
    <cfRule type="cellIs" dxfId="21482" priority="5722" stopIfTrue="1" operator="equal">
      <formula>"Napkin Hs"</formula>
    </cfRule>
    <cfRule type="cellIs" dxfId="21481" priority="5723" stopIfTrue="1" operator="equal">
      <formula>"Towel"</formula>
    </cfRule>
    <cfRule type="cellIs" dxfId="21480" priority="5724" stopIfTrue="1" operator="equal">
      <formula>"Napkin Hs"</formula>
    </cfRule>
    <cfRule type="cellIs" dxfId="21479" priority="5727" stopIfTrue="1" operator="equal">
      <formula>"Towel"</formula>
    </cfRule>
    <cfRule type="cellIs" dxfId="21478" priority="5728" stopIfTrue="1" operator="equal">
      <formula>"Napkin Hs"</formula>
    </cfRule>
    <cfRule type="cellIs" dxfId="21477" priority="5729" stopIfTrue="1" operator="equal">
      <formula>"Towel"</formula>
    </cfRule>
    <cfRule type="cellIs" dxfId="21476" priority="5730" stopIfTrue="1" operator="equal">
      <formula>"Napkin Hs"</formula>
    </cfRule>
    <cfRule type="cellIs" dxfId="21475" priority="5733" stopIfTrue="1" operator="equal">
      <formula>"Towel"</formula>
    </cfRule>
    <cfRule type="cellIs" dxfId="21474" priority="5734" stopIfTrue="1" operator="equal">
      <formula>"Napkin Hs"</formula>
    </cfRule>
    <cfRule type="cellIs" dxfId="21473" priority="5735" stopIfTrue="1" operator="equal">
      <formula>"Towel"</formula>
    </cfRule>
    <cfRule type="cellIs" dxfId="21472" priority="5736" stopIfTrue="1" operator="equal">
      <formula>"Napkin Hs"</formula>
    </cfRule>
    <cfRule type="cellIs" dxfId="21471" priority="5741" stopIfTrue="1" operator="equal">
      <formula>"Towel"</formula>
    </cfRule>
    <cfRule type="cellIs" dxfId="21470" priority="5742" stopIfTrue="1" operator="equal">
      <formula>"Napkin Hs"</formula>
    </cfRule>
    <cfRule type="cellIs" dxfId="21469" priority="5743" stopIfTrue="1" operator="equal">
      <formula>"Towel"</formula>
    </cfRule>
    <cfRule type="cellIs" dxfId="21468" priority="5744" stopIfTrue="1" operator="equal">
      <formula>"Napkin Hs"</formula>
    </cfRule>
    <cfRule type="cellIs" dxfId="21467" priority="5747" stopIfTrue="1" operator="equal">
      <formula>"Towel"</formula>
    </cfRule>
    <cfRule type="cellIs" dxfId="21466" priority="5748" stopIfTrue="1" operator="equal">
      <formula>"Napkin Hs"</formula>
    </cfRule>
    <cfRule type="cellIs" dxfId="21465" priority="5749" stopIfTrue="1" operator="equal">
      <formula>"Towel"</formula>
    </cfRule>
    <cfRule type="cellIs" dxfId="21464" priority="5750" stopIfTrue="1" operator="equal">
      <formula>"Napkin Hs"</formula>
    </cfRule>
    <cfRule type="cellIs" dxfId="21463" priority="5751" stopIfTrue="1" operator="equal">
      <formula>"Towel"</formula>
    </cfRule>
    <cfRule type="cellIs" dxfId="21462" priority="5752" stopIfTrue="1" operator="equal">
      <formula>"Napkin Hs"</formula>
    </cfRule>
    <cfRule type="cellIs" dxfId="21461" priority="5753" stopIfTrue="1" operator="equal">
      <formula>"Towel"</formula>
    </cfRule>
    <cfRule type="cellIs" dxfId="21460" priority="5754" stopIfTrue="1" operator="equal">
      <formula>"Napkin Hs"</formula>
    </cfRule>
    <cfRule type="cellIs" dxfId="21459" priority="5757" stopIfTrue="1" operator="equal">
      <formula>"Towel"</formula>
    </cfRule>
    <cfRule type="cellIs" dxfId="21458" priority="5758" stopIfTrue="1" operator="equal">
      <formula>"Napkin Hs"</formula>
    </cfRule>
    <cfRule type="cellIs" dxfId="21457" priority="5759" stopIfTrue="1" operator="equal">
      <formula>"Towel"</formula>
    </cfRule>
    <cfRule type="cellIs" dxfId="21456" priority="5760" stopIfTrue="1" operator="equal">
      <formula>"Napkin Hs"</formula>
    </cfRule>
    <cfRule type="cellIs" dxfId="21455" priority="5765" stopIfTrue="1" operator="equal">
      <formula>"Towel"</formula>
    </cfRule>
    <cfRule type="cellIs" dxfId="21454" priority="5766" stopIfTrue="1" operator="equal">
      <formula>"Napkin Hs"</formula>
    </cfRule>
    <cfRule type="cellIs" dxfId="21453" priority="5767" stopIfTrue="1" operator="equal">
      <formula>"Towel"</formula>
    </cfRule>
    <cfRule type="cellIs" dxfId="21452" priority="5768" stopIfTrue="1" operator="equal">
      <formula>"Napkin Hs"</formula>
    </cfRule>
    <cfRule type="cellIs" dxfId="21451" priority="5771" stopIfTrue="1" operator="equal">
      <formula>"Towel"</formula>
    </cfRule>
    <cfRule type="cellIs" dxfId="21450" priority="5772" stopIfTrue="1" operator="equal">
      <formula>"Napkin Hs"</formula>
    </cfRule>
    <cfRule type="cellIs" dxfId="21449" priority="5773" stopIfTrue="1" operator="equal">
      <formula>"Towel"</formula>
    </cfRule>
    <cfRule type="cellIs" dxfId="21448" priority="5774" stopIfTrue="1" operator="equal">
      <formula>"Napkin Hs"</formula>
    </cfRule>
    <cfRule type="cellIs" dxfId="21447" priority="5775" stopIfTrue="1" operator="equal">
      <formula>"Towel"</formula>
    </cfRule>
    <cfRule type="cellIs" dxfId="21446" priority="5776" stopIfTrue="1" operator="equal">
      <formula>"Napkin Hs"</formula>
    </cfRule>
    <cfRule type="cellIs" dxfId="21445" priority="5777" stopIfTrue="1" operator="equal">
      <formula>"Towel"</formula>
    </cfRule>
    <cfRule type="cellIs" dxfId="21444" priority="5778" stopIfTrue="1" operator="equal">
      <formula>"Napkin Hs"</formula>
    </cfRule>
    <cfRule type="cellIs" dxfId="21443" priority="5783" stopIfTrue="1" operator="equal">
      <formula>"Towel"</formula>
    </cfRule>
    <cfRule type="cellIs" dxfId="21442" priority="5784" stopIfTrue="1" operator="equal">
      <formula>"Napkin Hs"</formula>
    </cfRule>
    <cfRule type="cellIs" dxfId="21441" priority="5785" stopIfTrue="1" operator="equal">
      <formula>"Towel"</formula>
    </cfRule>
    <cfRule type="cellIs" dxfId="21440" priority="5786" stopIfTrue="1" operator="equal">
      <formula>"Napkin Hs"</formula>
    </cfRule>
    <cfRule type="cellIs" dxfId="21439" priority="5789" stopIfTrue="1" operator="equal">
      <formula>"Towel"</formula>
    </cfRule>
    <cfRule type="cellIs" dxfId="21438" priority="5790" stopIfTrue="1" operator="equal">
      <formula>"Napkin Hs"</formula>
    </cfRule>
    <cfRule type="cellIs" dxfId="21437" priority="5791" stopIfTrue="1" operator="equal">
      <formula>"Towel"</formula>
    </cfRule>
    <cfRule type="cellIs" dxfId="21436" priority="5792" stopIfTrue="1" operator="equal">
      <formula>"Napkin Hs"</formula>
    </cfRule>
    <cfRule type="cellIs" dxfId="21435" priority="5793" stopIfTrue="1" operator="equal">
      <formula>"Towel"</formula>
    </cfRule>
    <cfRule type="cellIs" dxfId="21434" priority="5794" stopIfTrue="1" operator="equal">
      <formula>"Napkin Hs"</formula>
    </cfRule>
    <cfRule type="cellIs" dxfId="21433" priority="5795" stopIfTrue="1" operator="equal">
      <formula>"Towel"</formula>
    </cfRule>
    <cfRule type="cellIs" dxfId="21432" priority="5796" stopIfTrue="1" operator="equal">
      <formula>"Napkin Hs"</formula>
    </cfRule>
    <cfRule type="cellIs" dxfId="21431" priority="5801" stopIfTrue="1" operator="equal">
      <formula>"Towel"</formula>
    </cfRule>
    <cfRule type="cellIs" dxfId="21430" priority="5802" stopIfTrue="1" operator="equal">
      <formula>"Napkin Hs"</formula>
    </cfRule>
    <cfRule type="cellIs" dxfId="21429" priority="5803" stopIfTrue="1" operator="equal">
      <formula>"Towel"</formula>
    </cfRule>
    <cfRule type="cellIs" dxfId="21428" priority="5804" stopIfTrue="1" operator="equal">
      <formula>"Napkin Hs"</formula>
    </cfRule>
    <cfRule type="cellIs" dxfId="21427" priority="5807" stopIfTrue="1" operator="equal">
      <formula>"Towel"</formula>
    </cfRule>
    <cfRule type="cellIs" dxfId="21426" priority="5808" stopIfTrue="1" operator="equal">
      <formula>"Napkin Hs"</formula>
    </cfRule>
    <cfRule type="cellIs" dxfId="21425" priority="5809" stopIfTrue="1" operator="equal">
      <formula>"Towel"</formula>
    </cfRule>
    <cfRule type="cellIs" dxfId="21424" priority="5810" stopIfTrue="1" operator="equal">
      <formula>"Napkin Hs"</formula>
    </cfRule>
  </conditionalFormatting>
  <conditionalFormatting sqref="C110">
    <cfRule type="cellIs" dxfId="21423" priority="5714" stopIfTrue="1" operator="equal">
      <formula>"Napkin Hs"</formula>
    </cfRule>
  </conditionalFormatting>
  <conditionalFormatting sqref="C110">
    <cfRule type="cellIs" dxfId="21422" priority="5713" stopIfTrue="1" operator="equal">
      <formula>"Napkin Hs"</formula>
    </cfRule>
  </conditionalFormatting>
  <conditionalFormatting sqref="C110">
    <cfRule type="cellIs" dxfId="21421" priority="5712" stopIfTrue="1" operator="equal">
      <formula>"Napkin Hs"</formula>
    </cfRule>
  </conditionalFormatting>
  <conditionalFormatting sqref="C110">
    <cfRule type="cellIs" dxfId="21420" priority="5711" stopIfTrue="1" operator="equal">
      <formula>"Napkin Hs"</formula>
    </cfRule>
  </conditionalFormatting>
  <conditionalFormatting sqref="C110">
    <cfRule type="cellIs" dxfId="21419" priority="5710" stopIfTrue="1" operator="equal">
      <formula>"Napkin Hs"</formula>
    </cfRule>
  </conditionalFormatting>
  <conditionalFormatting sqref="C110">
    <cfRule type="cellIs" dxfId="21418" priority="5709" stopIfTrue="1" operator="equal">
      <formula>"Napkin Hs"</formula>
    </cfRule>
  </conditionalFormatting>
  <conditionalFormatting sqref="C110">
    <cfRule type="cellIs" dxfId="21417" priority="5705" stopIfTrue="1" operator="equal">
      <formula>"Towel"</formula>
    </cfRule>
    <cfRule type="cellIs" dxfId="21416" priority="5706" stopIfTrue="1" operator="equal">
      <formula>"Napkin Hs"</formula>
    </cfRule>
  </conditionalFormatting>
  <conditionalFormatting sqref="C110">
    <cfRule type="cellIs" dxfId="21415" priority="5707" stopIfTrue="1" operator="equal">
      <formula>"Towel"</formula>
    </cfRule>
    <cfRule type="cellIs" dxfId="21414" priority="5708" stopIfTrue="1" operator="equal">
      <formula>"Napkin Hs"</formula>
    </cfRule>
  </conditionalFormatting>
  <conditionalFormatting sqref="C110">
    <cfRule type="cellIs" dxfId="21413" priority="5701" stopIfTrue="1" operator="equal">
      <formula>"Towel"</formula>
    </cfRule>
    <cfRule type="cellIs" dxfId="21412" priority="5702" stopIfTrue="1" operator="equal">
      <formula>"Napkin Hs"</formula>
    </cfRule>
  </conditionalFormatting>
  <conditionalFormatting sqref="C110">
    <cfRule type="cellIs" dxfId="21411" priority="5703" stopIfTrue="1" operator="equal">
      <formula>"Towel"</formula>
    </cfRule>
    <cfRule type="cellIs" dxfId="21410" priority="5704" stopIfTrue="1" operator="equal">
      <formula>"Napkin Hs"</formula>
    </cfRule>
  </conditionalFormatting>
  <conditionalFormatting sqref="C117">
    <cfRule type="cellIs" dxfId="21409" priority="5693" stopIfTrue="1" operator="equal">
      <formula>"Towel"</formula>
    </cfRule>
    <cfRule type="cellIs" dxfId="21408" priority="5694" stopIfTrue="1" operator="equal">
      <formula>"Napkin Hs"</formula>
    </cfRule>
  </conditionalFormatting>
  <conditionalFormatting sqref="C117">
    <cfRule type="cellIs" dxfId="21407" priority="5691" stopIfTrue="1" operator="equal">
      <formula>"Towel"</formula>
    </cfRule>
    <cfRule type="cellIs" dxfId="21406" priority="5692" stopIfTrue="1" operator="equal">
      <formula>"Napkin Hs"</formula>
    </cfRule>
  </conditionalFormatting>
  <conditionalFormatting sqref="B117:C117">
    <cfRule type="cellIs" dxfId="21405" priority="5689" stopIfTrue="1" operator="equal">
      <formula>"Towel"</formula>
    </cfRule>
    <cfRule type="cellIs" dxfId="21404" priority="5690" stopIfTrue="1" operator="equal">
      <formula>"Napkin Hs"</formula>
    </cfRule>
  </conditionalFormatting>
  <conditionalFormatting sqref="B117:C117">
    <cfRule type="cellIs" dxfId="21403" priority="5699" stopIfTrue="1" operator="equal">
      <formula>"Towel"</formula>
    </cfRule>
    <cfRule type="cellIs" dxfId="21402" priority="5700" stopIfTrue="1" operator="equal">
      <formula>"Napkin Hs"</formula>
    </cfRule>
  </conditionalFormatting>
  <conditionalFormatting sqref="C117">
    <cfRule type="cellIs" dxfId="21401" priority="5697" stopIfTrue="1" operator="equal">
      <formula>"Towel"</formula>
    </cfRule>
    <cfRule type="cellIs" dxfId="21400" priority="5698" stopIfTrue="1" operator="equal">
      <formula>"Napkin Hs"</formula>
    </cfRule>
  </conditionalFormatting>
  <conditionalFormatting sqref="C117">
    <cfRule type="cellIs" dxfId="21399" priority="5695" stopIfTrue="1" operator="equal">
      <formula>"Towel"</formula>
    </cfRule>
    <cfRule type="cellIs" dxfId="21398" priority="5696" stopIfTrue="1" operator="equal">
      <formula>"Napkin Hs"</formula>
    </cfRule>
  </conditionalFormatting>
  <conditionalFormatting sqref="C117">
    <cfRule type="cellIs" dxfId="21397" priority="5687" stopIfTrue="1" operator="equal">
      <formula>"Towel"</formula>
    </cfRule>
    <cfRule type="cellIs" dxfId="21396" priority="5688" stopIfTrue="1" operator="equal">
      <formula>"Napkin Hs"</formula>
    </cfRule>
  </conditionalFormatting>
  <conditionalFormatting sqref="C117">
    <cfRule type="cellIs" dxfId="21395" priority="5685" stopIfTrue="1" operator="equal">
      <formula>"Towel"</formula>
    </cfRule>
    <cfRule type="cellIs" dxfId="21394" priority="5686" stopIfTrue="1" operator="equal">
      <formula>"Napkin Hs"</formula>
    </cfRule>
  </conditionalFormatting>
  <conditionalFormatting sqref="B117:C117">
    <cfRule type="cellIs" dxfId="21393" priority="5683" stopIfTrue="1" operator="equal">
      <formula>"Towel"</formula>
    </cfRule>
    <cfRule type="cellIs" dxfId="21392" priority="5684" stopIfTrue="1" operator="equal">
      <formula>"Napkin Hs"</formula>
    </cfRule>
  </conditionalFormatting>
  <conditionalFormatting sqref="B117:C117">
    <cfRule type="cellIs" dxfId="21391" priority="5679" stopIfTrue="1" operator="equal">
      <formula>"Towel"</formula>
    </cfRule>
    <cfRule type="cellIs" dxfId="21390" priority="5680" stopIfTrue="1" operator="equal">
      <formula>"Napkin Hs"</formula>
    </cfRule>
  </conditionalFormatting>
  <conditionalFormatting sqref="C117">
    <cfRule type="cellIs" dxfId="21389" priority="5681" stopIfTrue="1" operator="equal">
      <formula>"Towel"</formula>
    </cfRule>
    <cfRule type="cellIs" dxfId="21388" priority="5682" stopIfTrue="1" operator="equal">
      <formula>"Napkin Hs"</formula>
    </cfRule>
  </conditionalFormatting>
  <conditionalFormatting sqref="C117">
    <cfRule type="cellIs" dxfId="21387" priority="5677" stopIfTrue="1" operator="equal">
      <formula>"Towel"</formula>
    </cfRule>
    <cfRule type="cellIs" dxfId="21386" priority="5678" stopIfTrue="1" operator="equal">
      <formula>"Napkin Hs"</formula>
    </cfRule>
  </conditionalFormatting>
  <conditionalFormatting sqref="C116">
    <cfRule type="cellIs" dxfId="21385" priority="5669" stopIfTrue="1" operator="equal">
      <formula>"Towel"</formula>
    </cfRule>
    <cfRule type="cellIs" dxfId="21384" priority="5670" stopIfTrue="1" operator="equal">
      <formula>"Napkin Hs"</formula>
    </cfRule>
  </conditionalFormatting>
  <conditionalFormatting sqref="B116:C116">
    <cfRule type="cellIs" dxfId="21383" priority="5671" stopIfTrue="1" operator="equal">
      <formula>"Towel"</formula>
    </cfRule>
    <cfRule type="cellIs" dxfId="21382" priority="5672" stopIfTrue="1" operator="equal">
      <formula>"Napkin Hs"</formula>
    </cfRule>
  </conditionalFormatting>
  <conditionalFormatting sqref="C116">
    <cfRule type="cellIs" dxfId="21381" priority="5667" stopIfTrue="1" operator="equal">
      <formula>"Towel"</formula>
    </cfRule>
    <cfRule type="cellIs" dxfId="21380" priority="5668" stopIfTrue="1" operator="equal">
      <formula>"Napkin Hs"</formula>
    </cfRule>
  </conditionalFormatting>
  <conditionalFormatting sqref="B116:C116">
    <cfRule type="cellIs" dxfId="21379" priority="5665" stopIfTrue="1" operator="equal">
      <formula>"Towel"</formula>
    </cfRule>
    <cfRule type="cellIs" dxfId="21378" priority="5666" stopIfTrue="1" operator="equal">
      <formula>"Napkin Hs"</formula>
    </cfRule>
  </conditionalFormatting>
  <conditionalFormatting sqref="C116">
    <cfRule type="cellIs" dxfId="21377" priority="5673" stopIfTrue="1" operator="equal">
      <formula>"Towel"</formula>
    </cfRule>
    <cfRule type="cellIs" dxfId="21376" priority="5674" stopIfTrue="1" operator="equal">
      <formula>"Napkin Hs"</formula>
    </cfRule>
  </conditionalFormatting>
  <conditionalFormatting sqref="C116">
    <cfRule type="cellIs" dxfId="21375" priority="5675" stopIfTrue="1" operator="equal">
      <formula>"Towel"</formula>
    </cfRule>
    <cfRule type="cellIs" dxfId="21374" priority="5676" stopIfTrue="1" operator="equal">
      <formula>"Napkin Hs"</formula>
    </cfRule>
  </conditionalFormatting>
  <conditionalFormatting sqref="C116">
    <cfRule type="cellIs" dxfId="21373" priority="5661" stopIfTrue="1" operator="equal">
      <formula>"Towel"</formula>
    </cfRule>
    <cfRule type="cellIs" dxfId="21372" priority="5662" stopIfTrue="1" operator="equal">
      <formula>"Napkin Hs"</formula>
    </cfRule>
  </conditionalFormatting>
  <conditionalFormatting sqref="C116">
    <cfRule type="cellIs" dxfId="21371" priority="5663" stopIfTrue="1" operator="equal">
      <formula>"Towel"</formula>
    </cfRule>
    <cfRule type="cellIs" dxfId="21370" priority="5664" stopIfTrue="1" operator="equal">
      <formula>"Napkin Hs"</formula>
    </cfRule>
  </conditionalFormatting>
  <conditionalFormatting sqref="C116">
    <cfRule type="cellIs" dxfId="21369" priority="5659" stopIfTrue="1" operator="equal">
      <formula>"Towel"</formula>
    </cfRule>
    <cfRule type="cellIs" dxfId="21368" priority="5660" stopIfTrue="1" operator="equal">
      <formula>"Napkin Hs"</formula>
    </cfRule>
  </conditionalFormatting>
  <conditionalFormatting sqref="B116">
    <cfRule type="cellIs" dxfId="21367" priority="5657" stopIfTrue="1" operator="equal">
      <formula>"Towel"</formula>
    </cfRule>
    <cfRule type="cellIs" dxfId="21366" priority="5658" stopIfTrue="1" operator="equal">
      <formula>"Napkin Hs"</formula>
    </cfRule>
  </conditionalFormatting>
  <conditionalFormatting sqref="C116">
    <cfRule type="cellIs" dxfId="21365" priority="5651" stopIfTrue="1" operator="equal">
      <formula>"Towel"</formula>
    </cfRule>
    <cfRule type="cellIs" dxfId="21364" priority="5652" stopIfTrue="1" operator="equal">
      <formula>"Napkin Hs"</formula>
    </cfRule>
  </conditionalFormatting>
  <conditionalFormatting sqref="C116">
    <cfRule type="cellIs" dxfId="21363" priority="5655" stopIfTrue="1" operator="equal">
      <formula>"Towel"</formula>
    </cfRule>
    <cfRule type="cellIs" dxfId="21362" priority="5656" stopIfTrue="1" operator="equal">
      <formula>"Napkin Hs"</formula>
    </cfRule>
  </conditionalFormatting>
  <conditionalFormatting sqref="C116">
    <cfRule type="cellIs" dxfId="21361" priority="5653" stopIfTrue="1" operator="equal">
      <formula>"Towel"</formula>
    </cfRule>
    <cfRule type="cellIs" dxfId="21360" priority="5654" stopIfTrue="1" operator="equal">
      <formula>"Napkin Hs"</formula>
    </cfRule>
  </conditionalFormatting>
  <conditionalFormatting sqref="C116">
    <cfRule type="cellIs" dxfId="21359" priority="5645" stopIfTrue="1" operator="equal">
      <formula>"Towel"</formula>
    </cfRule>
    <cfRule type="cellIs" dxfId="21358" priority="5646" stopIfTrue="1" operator="equal">
      <formula>"Napkin Hs"</formula>
    </cfRule>
  </conditionalFormatting>
  <conditionalFormatting sqref="C116">
    <cfRule type="cellIs" dxfId="21357" priority="5647" stopIfTrue="1" operator="equal">
      <formula>"Towel"</formula>
    </cfRule>
    <cfRule type="cellIs" dxfId="21356" priority="5648" stopIfTrue="1" operator="equal">
      <formula>"Napkin Hs"</formula>
    </cfRule>
  </conditionalFormatting>
  <conditionalFormatting sqref="C116">
    <cfRule type="cellIs" dxfId="21355" priority="5649" stopIfTrue="1" operator="equal">
      <formula>"Towel"</formula>
    </cfRule>
    <cfRule type="cellIs" dxfId="21354" priority="5650" stopIfTrue="1" operator="equal">
      <formula>"Napkin Hs"</formula>
    </cfRule>
  </conditionalFormatting>
  <conditionalFormatting sqref="B116:C116">
    <cfRule type="cellIs" dxfId="21353" priority="5643" stopIfTrue="1" operator="equal">
      <formula>"Towel"</formula>
    </cfRule>
    <cfRule type="cellIs" dxfId="21352" priority="5644" stopIfTrue="1" operator="equal">
      <formula>"Napkin Hs"</formula>
    </cfRule>
  </conditionalFormatting>
  <conditionalFormatting sqref="B116:C116">
    <cfRule type="cellIs" dxfId="21351" priority="5641" stopIfTrue="1" operator="equal">
      <formula>"Towel"</formula>
    </cfRule>
    <cfRule type="cellIs" dxfId="21350" priority="5642" stopIfTrue="1" operator="equal">
      <formula>"Napkin Hs"</formula>
    </cfRule>
  </conditionalFormatting>
  <conditionalFormatting sqref="B116:C116">
    <cfRule type="cellIs" dxfId="21349" priority="5617" stopIfTrue="1" operator="equal">
      <formula>"Towel"</formula>
    </cfRule>
  </conditionalFormatting>
  <conditionalFormatting sqref="B116:C116">
    <cfRule type="cellIs" dxfId="21348" priority="5618" stopIfTrue="1" operator="equal">
      <formula>"Napkin Hs"</formula>
    </cfRule>
    <cfRule type="cellIs" dxfId="21347" priority="5623" stopIfTrue="1" operator="equal">
      <formula>"Towel"</formula>
    </cfRule>
    <cfRule type="cellIs" dxfId="21346" priority="5624" stopIfTrue="1" operator="equal">
      <formula>"Napkin Hs"</formula>
    </cfRule>
    <cfRule type="cellIs" dxfId="21345" priority="5633" stopIfTrue="1" operator="equal">
      <formula>"Towel"</formula>
    </cfRule>
    <cfRule type="cellIs" dxfId="21344" priority="5634" stopIfTrue="1" operator="equal">
      <formula>"Napkin Hs"</formula>
    </cfRule>
    <cfRule type="cellIs" dxfId="21343" priority="5639" stopIfTrue="1" operator="equal">
      <formula>"Towel"</formula>
    </cfRule>
    <cfRule type="cellIs" dxfId="21342" priority="5640" stopIfTrue="1" operator="equal">
      <formula>"Napkin Hs"</formula>
    </cfRule>
  </conditionalFormatting>
  <conditionalFormatting sqref="C116">
    <cfRule type="cellIs" dxfId="21341" priority="5619" stopIfTrue="1" operator="equal">
      <formula>"Towel"</formula>
    </cfRule>
    <cfRule type="cellIs" dxfId="21340" priority="5620" stopIfTrue="1" operator="equal">
      <formula>"Napkin Hs"</formula>
    </cfRule>
    <cfRule type="cellIs" dxfId="21339" priority="5621" stopIfTrue="1" operator="equal">
      <formula>"Towel"</formula>
    </cfRule>
    <cfRule type="cellIs" dxfId="21338" priority="5622" stopIfTrue="1" operator="equal">
      <formula>"Napkin Hs"</formula>
    </cfRule>
    <cfRule type="cellIs" dxfId="21337" priority="5625" stopIfTrue="1" operator="equal">
      <formula>"Towel"</formula>
    </cfRule>
    <cfRule type="cellIs" dxfId="21336" priority="5626" stopIfTrue="1" operator="equal">
      <formula>"Napkin Hs"</formula>
    </cfRule>
    <cfRule type="cellIs" dxfId="21335" priority="5627" stopIfTrue="1" operator="equal">
      <formula>"Towel"</formula>
    </cfRule>
    <cfRule type="cellIs" dxfId="21334" priority="5628" stopIfTrue="1" operator="equal">
      <formula>"Napkin Hs"</formula>
    </cfRule>
    <cfRule type="cellIs" dxfId="21333" priority="5629" stopIfTrue="1" operator="equal">
      <formula>"Towel"</formula>
    </cfRule>
    <cfRule type="cellIs" dxfId="21332" priority="5630" stopIfTrue="1" operator="equal">
      <formula>"Napkin Hs"</formula>
    </cfRule>
    <cfRule type="cellIs" dxfId="21331" priority="5631" stopIfTrue="1" operator="equal">
      <formula>"Towel"</formula>
    </cfRule>
    <cfRule type="cellIs" dxfId="21330" priority="5632" stopIfTrue="1" operator="equal">
      <formula>"Napkin Hs"</formula>
    </cfRule>
    <cfRule type="cellIs" dxfId="21329" priority="5635" stopIfTrue="1" operator="equal">
      <formula>"Towel"</formula>
    </cfRule>
    <cfRule type="cellIs" dxfId="21328" priority="5636" stopIfTrue="1" operator="equal">
      <formula>"Napkin Hs"</formula>
    </cfRule>
    <cfRule type="cellIs" dxfId="21327" priority="5638" stopIfTrue="1" operator="equal">
      <formula>"Napkin Hs"</formula>
    </cfRule>
  </conditionalFormatting>
  <conditionalFormatting sqref="C116">
    <cfRule type="cellIs" dxfId="21326" priority="5637" stopIfTrue="1" operator="equal">
      <formula>"Towel"</formula>
    </cfRule>
  </conditionalFormatting>
  <conditionalFormatting sqref="B116:C116">
    <cfRule type="cellIs" dxfId="21325" priority="5615" stopIfTrue="1" operator="equal">
      <formula>"Towel"</formula>
    </cfRule>
    <cfRule type="cellIs" dxfId="21324" priority="5616" stopIfTrue="1" operator="equal">
      <formula>"Napkin Hs"</formula>
    </cfRule>
  </conditionalFormatting>
  <conditionalFormatting sqref="C116">
    <cfRule type="cellIs" dxfId="21323" priority="5614" stopIfTrue="1" operator="equal">
      <formula>"Napkin Hs"</formula>
    </cfRule>
  </conditionalFormatting>
  <conditionalFormatting sqref="C116">
    <cfRule type="cellIs" dxfId="21322" priority="5613" stopIfTrue="1" operator="equal">
      <formula>"Towel"</formula>
    </cfRule>
  </conditionalFormatting>
  <conditionalFormatting sqref="C116">
    <cfRule type="cellIs" dxfId="21321" priority="5611" stopIfTrue="1" operator="equal">
      <formula>"Towel"</formula>
    </cfRule>
  </conditionalFormatting>
  <conditionalFormatting sqref="C116">
    <cfRule type="cellIs" dxfId="21320" priority="5612" stopIfTrue="1" operator="equal">
      <formula>"Napkin Hs"</formula>
    </cfRule>
  </conditionalFormatting>
  <conditionalFormatting sqref="B116">
    <cfRule type="cellIs" dxfId="21319" priority="5515" stopIfTrue="1" operator="equal">
      <formula>"Napkin Hs"</formula>
    </cfRule>
  </conditionalFormatting>
  <conditionalFormatting sqref="B116:C116">
    <cfRule type="cellIs" dxfId="21318" priority="5514" stopIfTrue="1" operator="equal">
      <formula>"Towel"</formula>
    </cfRule>
  </conditionalFormatting>
  <conditionalFormatting sqref="B116:C116">
    <cfRule type="cellIs" dxfId="21317" priority="5525" stopIfTrue="1" operator="equal">
      <formula>"Towel"</formula>
    </cfRule>
    <cfRule type="cellIs" dxfId="21316" priority="5526" stopIfTrue="1" operator="equal">
      <formula>"Napkin Hs"</formula>
    </cfRule>
    <cfRule type="cellIs" dxfId="21315" priority="5531" stopIfTrue="1" operator="equal">
      <formula>"Towel"</formula>
    </cfRule>
    <cfRule type="cellIs" dxfId="21314" priority="5532" stopIfTrue="1" operator="equal">
      <formula>"Napkin Hs"</formula>
    </cfRule>
    <cfRule type="cellIs" dxfId="21313" priority="5537" stopIfTrue="1" operator="equal">
      <formula>"Towel"</formula>
    </cfRule>
    <cfRule type="cellIs" dxfId="21312" priority="5538" stopIfTrue="1" operator="equal">
      <formula>"Napkin Hs"</formula>
    </cfRule>
    <cfRule type="cellIs" dxfId="21311" priority="5539" stopIfTrue="1" operator="equal">
      <formula>"Towel"</formula>
    </cfRule>
    <cfRule type="cellIs" dxfId="21310" priority="5540" stopIfTrue="1" operator="equal">
      <formula>"Napkin Hs"</formula>
    </cfRule>
    <cfRule type="cellIs" dxfId="21309" priority="5545" stopIfTrue="1" operator="equal">
      <formula>"Towel"</formula>
    </cfRule>
    <cfRule type="cellIs" dxfId="21308" priority="5546" stopIfTrue="1" operator="equal">
      <formula>"Napkin Hs"</formula>
    </cfRule>
    <cfRule type="cellIs" dxfId="21307" priority="5555" stopIfTrue="1" operator="equal">
      <formula>"Towel"</formula>
    </cfRule>
    <cfRule type="cellIs" dxfId="21306" priority="5556" stopIfTrue="1" operator="equal">
      <formula>"Napkin Hs"</formula>
    </cfRule>
    <cfRule type="cellIs" dxfId="21305" priority="5561" stopIfTrue="1" operator="equal">
      <formula>"Towel"</formula>
    </cfRule>
    <cfRule type="cellIs" dxfId="21304" priority="5562" stopIfTrue="1" operator="equal">
      <formula>"Napkin Hs"</formula>
    </cfRule>
    <cfRule type="cellIs" dxfId="21303" priority="5563" stopIfTrue="1" operator="equal">
      <formula>"Towel"</formula>
    </cfRule>
    <cfRule type="cellIs" dxfId="21302" priority="5564" stopIfTrue="1" operator="equal">
      <formula>"Napkin Hs"</formula>
    </cfRule>
    <cfRule type="cellIs" dxfId="21301" priority="5569" stopIfTrue="1" operator="equal">
      <formula>"Towel"</formula>
    </cfRule>
    <cfRule type="cellIs" dxfId="21300" priority="5570" stopIfTrue="1" operator="equal">
      <formula>"Napkin Hs"</formula>
    </cfRule>
    <cfRule type="cellIs" dxfId="21299" priority="5579" stopIfTrue="1" operator="equal">
      <formula>"Towel"</formula>
    </cfRule>
    <cfRule type="cellIs" dxfId="21298" priority="5580" stopIfTrue="1" operator="equal">
      <formula>"Napkin Hs"</formula>
    </cfRule>
    <cfRule type="cellIs" dxfId="21297" priority="5581" stopIfTrue="1" operator="equal">
      <formula>"Towel"</formula>
    </cfRule>
    <cfRule type="cellIs" dxfId="21296" priority="5582" stopIfTrue="1" operator="equal">
      <formula>"Napkin Hs"</formula>
    </cfRule>
    <cfRule type="cellIs" dxfId="21295" priority="5587" stopIfTrue="1" operator="equal">
      <formula>"Towel"</formula>
    </cfRule>
    <cfRule type="cellIs" dxfId="21294" priority="5588" stopIfTrue="1" operator="equal">
      <formula>"Napkin Hs"</formula>
    </cfRule>
    <cfRule type="cellIs" dxfId="21293" priority="5597" stopIfTrue="1" operator="equal">
      <formula>"Towel"</formula>
    </cfRule>
    <cfRule type="cellIs" dxfId="21292" priority="5598" stopIfTrue="1" operator="equal">
      <formula>"Napkin Hs"</formula>
    </cfRule>
    <cfRule type="cellIs" dxfId="21291" priority="5599" stopIfTrue="1" operator="equal">
      <formula>"Towel"</formula>
    </cfRule>
    <cfRule type="cellIs" dxfId="21290" priority="5600" stopIfTrue="1" operator="equal">
      <formula>"Napkin Hs"</formula>
    </cfRule>
    <cfRule type="cellIs" dxfId="21289" priority="5606" stopIfTrue="1" operator="equal">
      <formula>"Napkin Hs"</formula>
    </cfRule>
  </conditionalFormatting>
  <conditionalFormatting sqref="B116:C116">
    <cfRule type="cellIs" dxfId="21288" priority="5605" stopIfTrue="1" operator="equal">
      <formula>"Towel"</formula>
    </cfRule>
  </conditionalFormatting>
  <conditionalFormatting sqref="C116">
    <cfRule type="cellIs" dxfId="21287" priority="5516" stopIfTrue="1" operator="equal">
      <formula>"Napkin Hs"</formula>
    </cfRule>
    <cfRule type="cellIs" dxfId="21286" priority="5517" stopIfTrue="1" operator="equal">
      <formula>"Towel"</formula>
    </cfRule>
    <cfRule type="cellIs" dxfId="21285" priority="5518" stopIfTrue="1" operator="equal">
      <formula>"Napkin Hs"</formula>
    </cfRule>
    <cfRule type="cellIs" dxfId="21284" priority="5519" stopIfTrue="1" operator="equal">
      <formula>"Towel"</formula>
    </cfRule>
    <cfRule type="cellIs" dxfId="21283" priority="5520" stopIfTrue="1" operator="equal">
      <formula>"Napkin Hs"</formula>
    </cfRule>
    <cfRule type="cellIs" dxfId="21282" priority="5521" stopIfTrue="1" operator="equal">
      <formula>"Towel"</formula>
    </cfRule>
    <cfRule type="cellIs" dxfId="21281" priority="5522" stopIfTrue="1" operator="equal">
      <formula>"Napkin Hs"</formula>
    </cfRule>
    <cfRule type="cellIs" dxfId="21280" priority="5523" stopIfTrue="1" operator="equal">
      <formula>"Towel"</formula>
    </cfRule>
    <cfRule type="cellIs" dxfId="21279" priority="5524" stopIfTrue="1" operator="equal">
      <formula>"Napkin Hs"</formula>
    </cfRule>
    <cfRule type="cellIs" dxfId="21278" priority="5527" stopIfTrue="1" operator="equal">
      <formula>"Towel"</formula>
    </cfRule>
    <cfRule type="cellIs" dxfId="21277" priority="5528" stopIfTrue="1" operator="equal">
      <formula>"Napkin Hs"</formula>
    </cfRule>
    <cfRule type="cellIs" dxfId="21276" priority="5529" stopIfTrue="1" operator="equal">
      <formula>"Towel"</formula>
    </cfRule>
    <cfRule type="cellIs" dxfId="21275" priority="5530" stopIfTrue="1" operator="equal">
      <formula>"Napkin Hs"</formula>
    </cfRule>
    <cfRule type="cellIs" dxfId="21274" priority="5533" stopIfTrue="1" operator="equal">
      <formula>"Towel"</formula>
    </cfRule>
    <cfRule type="cellIs" dxfId="21273" priority="5534" stopIfTrue="1" operator="equal">
      <formula>"Napkin Hs"</formula>
    </cfRule>
    <cfRule type="cellIs" dxfId="21272" priority="5535" stopIfTrue="1" operator="equal">
      <formula>"Towel"</formula>
    </cfRule>
    <cfRule type="cellIs" dxfId="21271" priority="5536" stopIfTrue="1" operator="equal">
      <formula>"Napkin Hs"</formula>
    </cfRule>
    <cfRule type="cellIs" dxfId="21270" priority="5541" stopIfTrue="1" operator="equal">
      <formula>"Towel"</formula>
    </cfRule>
    <cfRule type="cellIs" dxfId="21269" priority="5542" stopIfTrue="1" operator="equal">
      <formula>"Napkin Hs"</formula>
    </cfRule>
    <cfRule type="cellIs" dxfId="21268" priority="5543" stopIfTrue="1" operator="equal">
      <formula>"Towel"</formula>
    </cfRule>
    <cfRule type="cellIs" dxfId="21267" priority="5544" stopIfTrue="1" operator="equal">
      <formula>"Napkin Hs"</formula>
    </cfRule>
    <cfRule type="cellIs" dxfId="21266" priority="5547" stopIfTrue="1" operator="equal">
      <formula>"Towel"</formula>
    </cfRule>
    <cfRule type="cellIs" dxfId="21265" priority="5548" stopIfTrue="1" operator="equal">
      <formula>"Napkin Hs"</formula>
    </cfRule>
    <cfRule type="cellIs" dxfId="21264" priority="5549" stopIfTrue="1" operator="equal">
      <formula>"Towel"</formula>
    </cfRule>
    <cfRule type="cellIs" dxfId="21263" priority="5550" stopIfTrue="1" operator="equal">
      <formula>"Napkin Hs"</formula>
    </cfRule>
    <cfRule type="cellIs" dxfId="21262" priority="5551" stopIfTrue="1" operator="equal">
      <formula>"Towel"</formula>
    </cfRule>
    <cfRule type="cellIs" dxfId="21261" priority="5552" stopIfTrue="1" operator="equal">
      <formula>"Napkin Hs"</formula>
    </cfRule>
    <cfRule type="cellIs" dxfId="21260" priority="5553" stopIfTrue="1" operator="equal">
      <formula>"Towel"</formula>
    </cfRule>
    <cfRule type="cellIs" dxfId="21259" priority="5554" stopIfTrue="1" operator="equal">
      <formula>"Napkin Hs"</formula>
    </cfRule>
    <cfRule type="cellIs" dxfId="21258" priority="5557" stopIfTrue="1" operator="equal">
      <formula>"Towel"</formula>
    </cfRule>
    <cfRule type="cellIs" dxfId="21257" priority="5558" stopIfTrue="1" operator="equal">
      <formula>"Napkin Hs"</formula>
    </cfRule>
    <cfRule type="cellIs" dxfId="21256" priority="5559" stopIfTrue="1" operator="equal">
      <formula>"Towel"</formula>
    </cfRule>
    <cfRule type="cellIs" dxfId="21255" priority="5560" stopIfTrue="1" operator="equal">
      <formula>"Napkin Hs"</formula>
    </cfRule>
    <cfRule type="cellIs" dxfId="21254" priority="5565" stopIfTrue="1" operator="equal">
      <formula>"Towel"</formula>
    </cfRule>
    <cfRule type="cellIs" dxfId="21253" priority="5566" stopIfTrue="1" operator="equal">
      <formula>"Napkin Hs"</formula>
    </cfRule>
    <cfRule type="cellIs" dxfId="21252" priority="5567" stopIfTrue="1" operator="equal">
      <formula>"Towel"</formula>
    </cfRule>
    <cfRule type="cellIs" dxfId="21251" priority="5568" stopIfTrue="1" operator="equal">
      <formula>"Napkin Hs"</formula>
    </cfRule>
    <cfRule type="cellIs" dxfId="21250" priority="5571" stopIfTrue="1" operator="equal">
      <formula>"Towel"</formula>
    </cfRule>
    <cfRule type="cellIs" dxfId="21249" priority="5572" stopIfTrue="1" operator="equal">
      <formula>"Napkin Hs"</formula>
    </cfRule>
    <cfRule type="cellIs" dxfId="21248" priority="5573" stopIfTrue="1" operator="equal">
      <formula>"Towel"</formula>
    </cfRule>
    <cfRule type="cellIs" dxfId="21247" priority="5574" stopIfTrue="1" operator="equal">
      <formula>"Napkin Hs"</formula>
    </cfRule>
    <cfRule type="cellIs" dxfId="21246" priority="5575" stopIfTrue="1" operator="equal">
      <formula>"Towel"</formula>
    </cfRule>
    <cfRule type="cellIs" dxfId="21245" priority="5576" stopIfTrue="1" operator="equal">
      <formula>"Napkin Hs"</formula>
    </cfRule>
    <cfRule type="cellIs" dxfId="21244" priority="5577" stopIfTrue="1" operator="equal">
      <formula>"Towel"</formula>
    </cfRule>
    <cfRule type="cellIs" dxfId="21243" priority="5578" stopIfTrue="1" operator="equal">
      <formula>"Napkin Hs"</formula>
    </cfRule>
    <cfRule type="cellIs" dxfId="21242" priority="5583" stopIfTrue="1" operator="equal">
      <formula>"Towel"</formula>
    </cfRule>
    <cfRule type="cellIs" dxfId="21241" priority="5584" stopIfTrue="1" operator="equal">
      <formula>"Napkin Hs"</formula>
    </cfRule>
    <cfRule type="cellIs" dxfId="21240" priority="5585" stopIfTrue="1" operator="equal">
      <formula>"Towel"</formula>
    </cfRule>
    <cfRule type="cellIs" dxfId="21239" priority="5586" stopIfTrue="1" operator="equal">
      <formula>"Napkin Hs"</formula>
    </cfRule>
    <cfRule type="cellIs" dxfId="21238" priority="5589" stopIfTrue="1" operator="equal">
      <formula>"Towel"</formula>
    </cfRule>
    <cfRule type="cellIs" dxfId="21237" priority="5590" stopIfTrue="1" operator="equal">
      <formula>"Napkin Hs"</formula>
    </cfRule>
    <cfRule type="cellIs" dxfId="21236" priority="5591" stopIfTrue="1" operator="equal">
      <formula>"Towel"</formula>
    </cfRule>
    <cfRule type="cellIs" dxfId="21235" priority="5592" stopIfTrue="1" operator="equal">
      <formula>"Napkin Hs"</formula>
    </cfRule>
    <cfRule type="cellIs" dxfId="21234" priority="5593" stopIfTrue="1" operator="equal">
      <formula>"Towel"</formula>
    </cfRule>
    <cfRule type="cellIs" dxfId="21233" priority="5594" stopIfTrue="1" operator="equal">
      <formula>"Napkin Hs"</formula>
    </cfRule>
    <cfRule type="cellIs" dxfId="21232" priority="5595" stopIfTrue="1" operator="equal">
      <formula>"Towel"</formula>
    </cfRule>
    <cfRule type="cellIs" dxfId="21231" priority="5596" stopIfTrue="1" operator="equal">
      <formula>"Napkin Hs"</formula>
    </cfRule>
    <cfRule type="cellIs" dxfId="21230" priority="5601" stopIfTrue="1" operator="equal">
      <formula>"Towel"</formula>
    </cfRule>
    <cfRule type="cellIs" dxfId="21229" priority="5602" stopIfTrue="1" operator="equal">
      <formula>"Napkin Hs"</formula>
    </cfRule>
    <cfRule type="cellIs" dxfId="21228" priority="5603" stopIfTrue="1" operator="equal">
      <formula>"Towel"</formula>
    </cfRule>
    <cfRule type="cellIs" dxfId="21227" priority="5604" stopIfTrue="1" operator="equal">
      <formula>"Napkin Hs"</formula>
    </cfRule>
    <cfRule type="cellIs" dxfId="21226" priority="5607" stopIfTrue="1" operator="equal">
      <formula>"Towel"</formula>
    </cfRule>
    <cfRule type="cellIs" dxfId="21225" priority="5608" stopIfTrue="1" operator="equal">
      <formula>"Napkin Hs"</formula>
    </cfRule>
    <cfRule type="cellIs" dxfId="21224" priority="5609" stopIfTrue="1" operator="equal">
      <formula>"Towel"</formula>
    </cfRule>
    <cfRule type="cellIs" dxfId="21223" priority="5610" stopIfTrue="1" operator="equal">
      <formula>"Napkin Hs"</formula>
    </cfRule>
  </conditionalFormatting>
  <conditionalFormatting sqref="C116">
    <cfRule type="cellIs" dxfId="21222" priority="5513" stopIfTrue="1" operator="equal">
      <formula>"Napkin Hs"</formula>
    </cfRule>
  </conditionalFormatting>
  <conditionalFormatting sqref="C116">
    <cfRule type="cellIs" dxfId="21221" priority="5512" stopIfTrue="1" operator="equal">
      <formula>"Napkin Hs"</formula>
    </cfRule>
  </conditionalFormatting>
  <conditionalFormatting sqref="B116">
    <cfRule type="cellIs" dxfId="21220" priority="5511" stopIfTrue="1" operator="equal">
      <formula>"Napkin Hs"</formula>
    </cfRule>
  </conditionalFormatting>
  <conditionalFormatting sqref="C116">
    <cfRule type="cellIs" dxfId="21219" priority="5510" stopIfTrue="1" operator="equal">
      <formula>"Napkin Hs"</formula>
    </cfRule>
  </conditionalFormatting>
  <conditionalFormatting sqref="C116">
    <cfRule type="cellIs" dxfId="21218" priority="5509" stopIfTrue="1" operator="equal">
      <formula>"Napkin Hs"</formula>
    </cfRule>
  </conditionalFormatting>
  <conditionalFormatting sqref="C116">
    <cfRule type="cellIs" dxfId="21217" priority="5508" stopIfTrue="1" operator="equal">
      <formula>"Napkin Hs"</formula>
    </cfRule>
  </conditionalFormatting>
  <conditionalFormatting sqref="C116">
    <cfRule type="cellIs" dxfId="21216" priority="5507" stopIfTrue="1" operator="equal">
      <formula>"Napkin Hs"</formula>
    </cfRule>
  </conditionalFormatting>
  <conditionalFormatting sqref="B116">
    <cfRule type="cellIs" dxfId="21215" priority="5506" stopIfTrue="1" operator="equal">
      <formula>"Napkin Hs"</formula>
    </cfRule>
  </conditionalFormatting>
  <conditionalFormatting sqref="B116">
    <cfRule type="cellIs" dxfId="21214" priority="5505" stopIfTrue="1" operator="equal">
      <formula>"Napkin Hs"</formula>
    </cfRule>
  </conditionalFormatting>
  <conditionalFormatting sqref="C116">
    <cfRule type="cellIs" dxfId="21213" priority="5501" stopIfTrue="1" operator="equal">
      <formula>"Towel"</formula>
    </cfRule>
    <cfRule type="cellIs" dxfId="21212" priority="5502" stopIfTrue="1" operator="equal">
      <formula>"Napkin Hs"</formula>
    </cfRule>
  </conditionalFormatting>
  <conditionalFormatting sqref="C116">
    <cfRule type="cellIs" dxfId="21211" priority="5503" stopIfTrue="1" operator="equal">
      <formula>"Towel"</formula>
    </cfRule>
    <cfRule type="cellIs" dxfId="21210" priority="5504" stopIfTrue="1" operator="equal">
      <formula>"Napkin Hs"</formula>
    </cfRule>
  </conditionalFormatting>
  <conditionalFormatting sqref="C116">
    <cfRule type="cellIs" dxfId="21209" priority="5497" stopIfTrue="1" operator="equal">
      <formula>"Towel"</formula>
    </cfRule>
    <cfRule type="cellIs" dxfId="21208" priority="5498" stopIfTrue="1" operator="equal">
      <formula>"Napkin Hs"</formula>
    </cfRule>
  </conditionalFormatting>
  <conditionalFormatting sqref="C116">
    <cfRule type="cellIs" dxfId="21207" priority="5499" stopIfTrue="1" operator="equal">
      <formula>"Towel"</formula>
    </cfRule>
    <cfRule type="cellIs" dxfId="21206" priority="5500" stopIfTrue="1" operator="equal">
      <formula>"Napkin Hs"</formula>
    </cfRule>
  </conditionalFormatting>
  <conditionalFormatting sqref="B115">
    <cfRule type="cellIs" dxfId="21205" priority="5496" stopIfTrue="1" operator="equal">
      <formula>"Napkin Hs"</formula>
    </cfRule>
  </conditionalFormatting>
  <conditionalFormatting sqref="B115">
    <cfRule type="cellIs" dxfId="21204" priority="5495" stopIfTrue="1" operator="equal">
      <formula>"Napkin Hs"</formula>
    </cfRule>
  </conditionalFormatting>
  <conditionalFormatting sqref="B115">
    <cfRule type="cellIs" dxfId="21203" priority="5494" stopIfTrue="1" operator="equal">
      <formula>"Napkin Hs"</formula>
    </cfRule>
  </conditionalFormatting>
  <conditionalFormatting sqref="C115">
    <cfRule type="cellIs" dxfId="21202" priority="5492" stopIfTrue="1" operator="equal">
      <formula>"Towel"</formula>
    </cfRule>
    <cfRule type="cellIs" dxfId="21201" priority="5493" stopIfTrue="1" operator="equal">
      <formula>"Napkin Hs"</formula>
    </cfRule>
  </conditionalFormatting>
  <conditionalFormatting sqref="C115">
    <cfRule type="cellIs" dxfId="21200" priority="5488" stopIfTrue="1" operator="equal">
      <formula>"Towel"</formula>
    </cfRule>
    <cfRule type="cellIs" dxfId="21199" priority="5489" stopIfTrue="1" operator="equal">
      <formula>"Napkin Hs"</formula>
    </cfRule>
  </conditionalFormatting>
  <conditionalFormatting sqref="C115">
    <cfRule type="cellIs" dxfId="21198" priority="5490" stopIfTrue="1" operator="equal">
      <formula>"Towel"</formula>
    </cfRule>
    <cfRule type="cellIs" dxfId="21197" priority="5491" stopIfTrue="1" operator="equal">
      <formula>"Napkin Hs"</formula>
    </cfRule>
  </conditionalFormatting>
  <conditionalFormatting sqref="C115">
    <cfRule type="cellIs" dxfId="21196" priority="5484" stopIfTrue="1" operator="equal">
      <formula>"Towel"</formula>
    </cfRule>
    <cfRule type="cellIs" dxfId="21195" priority="5485" stopIfTrue="1" operator="equal">
      <formula>"Napkin Hs"</formula>
    </cfRule>
  </conditionalFormatting>
  <conditionalFormatting sqref="C115">
    <cfRule type="cellIs" dxfId="21194" priority="5486" stopIfTrue="1" operator="equal">
      <formula>"Towel"</formula>
    </cfRule>
    <cfRule type="cellIs" dxfId="21193" priority="5487" stopIfTrue="1" operator="equal">
      <formula>"Napkin Hs"</formula>
    </cfRule>
  </conditionalFormatting>
  <conditionalFormatting sqref="C115">
    <cfRule type="cellIs" dxfId="21192" priority="5482" stopIfTrue="1" operator="equal">
      <formula>"Towel"</formula>
    </cfRule>
    <cfRule type="cellIs" dxfId="21191" priority="5483" stopIfTrue="1" operator="equal">
      <formula>"Napkin Hs"</formula>
    </cfRule>
  </conditionalFormatting>
  <conditionalFormatting sqref="C115">
    <cfRule type="cellIs" dxfId="21190" priority="5476" stopIfTrue="1" operator="equal">
      <formula>"Towel"</formula>
    </cfRule>
    <cfRule type="cellIs" dxfId="21189" priority="5477" stopIfTrue="1" operator="equal">
      <formula>"Napkin Hs"</formula>
    </cfRule>
  </conditionalFormatting>
  <conditionalFormatting sqref="C115">
    <cfRule type="cellIs" dxfId="21188" priority="5480" stopIfTrue="1" operator="equal">
      <formula>"Towel"</formula>
    </cfRule>
    <cfRule type="cellIs" dxfId="21187" priority="5481" stopIfTrue="1" operator="equal">
      <formula>"Napkin Hs"</formula>
    </cfRule>
  </conditionalFormatting>
  <conditionalFormatting sqref="C115">
    <cfRule type="cellIs" dxfId="21186" priority="5478" stopIfTrue="1" operator="equal">
      <formula>"Towel"</formula>
    </cfRule>
    <cfRule type="cellIs" dxfId="21185" priority="5479" stopIfTrue="1" operator="equal">
      <formula>"Napkin Hs"</formula>
    </cfRule>
  </conditionalFormatting>
  <conditionalFormatting sqref="C115">
    <cfRule type="cellIs" dxfId="21184" priority="5470" stopIfTrue="1" operator="equal">
      <formula>"Towel"</formula>
    </cfRule>
    <cfRule type="cellIs" dxfId="21183" priority="5471" stopIfTrue="1" operator="equal">
      <formula>"Napkin Hs"</formula>
    </cfRule>
  </conditionalFormatting>
  <conditionalFormatting sqref="C115">
    <cfRule type="cellIs" dxfId="21182" priority="5472" stopIfTrue="1" operator="equal">
      <formula>"Towel"</formula>
    </cfRule>
    <cfRule type="cellIs" dxfId="21181" priority="5473" stopIfTrue="1" operator="equal">
      <formula>"Napkin Hs"</formula>
    </cfRule>
  </conditionalFormatting>
  <conditionalFormatting sqref="C115">
    <cfRule type="cellIs" dxfId="21180" priority="5474" stopIfTrue="1" operator="equal">
      <formula>"Towel"</formula>
    </cfRule>
    <cfRule type="cellIs" dxfId="21179" priority="5475" stopIfTrue="1" operator="equal">
      <formula>"Napkin Hs"</formula>
    </cfRule>
  </conditionalFormatting>
  <conditionalFormatting sqref="C115">
    <cfRule type="cellIs" dxfId="21178" priority="5468" stopIfTrue="1" operator="equal">
      <formula>"Towel"</formula>
    </cfRule>
    <cfRule type="cellIs" dxfId="21177" priority="5469" stopIfTrue="1" operator="equal">
      <formula>"Napkin Hs"</formula>
    </cfRule>
  </conditionalFormatting>
  <conditionalFormatting sqref="C115">
    <cfRule type="cellIs" dxfId="21176" priority="5466" stopIfTrue="1" operator="equal">
      <formula>"Towel"</formula>
    </cfRule>
    <cfRule type="cellIs" dxfId="21175" priority="5467" stopIfTrue="1" operator="equal">
      <formula>"Napkin Hs"</formula>
    </cfRule>
  </conditionalFormatting>
  <conditionalFormatting sqref="C115">
    <cfRule type="cellIs" dxfId="21174" priority="5442" stopIfTrue="1" operator="equal">
      <formula>"Towel"</formula>
    </cfRule>
  </conditionalFormatting>
  <conditionalFormatting sqref="C115">
    <cfRule type="cellIs" dxfId="21173" priority="5443" stopIfTrue="1" operator="equal">
      <formula>"Napkin Hs"</formula>
    </cfRule>
    <cfRule type="cellIs" dxfId="21172" priority="5448" stopIfTrue="1" operator="equal">
      <formula>"Towel"</formula>
    </cfRule>
    <cfRule type="cellIs" dxfId="21171" priority="5449" stopIfTrue="1" operator="equal">
      <formula>"Napkin Hs"</formula>
    </cfRule>
    <cfRule type="cellIs" dxfId="21170" priority="5458" stopIfTrue="1" operator="equal">
      <formula>"Towel"</formula>
    </cfRule>
    <cfRule type="cellIs" dxfId="21169" priority="5459" stopIfTrue="1" operator="equal">
      <formula>"Napkin Hs"</formula>
    </cfRule>
    <cfRule type="cellIs" dxfId="21168" priority="5464" stopIfTrue="1" operator="equal">
      <formula>"Towel"</formula>
    </cfRule>
    <cfRule type="cellIs" dxfId="21167" priority="5465" stopIfTrue="1" operator="equal">
      <formula>"Napkin Hs"</formula>
    </cfRule>
  </conditionalFormatting>
  <conditionalFormatting sqref="C115">
    <cfRule type="cellIs" dxfId="21166" priority="5444" stopIfTrue="1" operator="equal">
      <formula>"Towel"</formula>
    </cfRule>
    <cfRule type="cellIs" dxfId="21165" priority="5445" stopIfTrue="1" operator="equal">
      <formula>"Napkin Hs"</formula>
    </cfRule>
    <cfRule type="cellIs" dxfId="21164" priority="5446" stopIfTrue="1" operator="equal">
      <formula>"Towel"</formula>
    </cfRule>
    <cfRule type="cellIs" dxfId="21163" priority="5447" stopIfTrue="1" operator="equal">
      <formula>"Napkin Hs"</formula>
    </cfRule>
    <cfRule type="cellIs" dxfId="21162" priority="5450" stopIfTrue="1" operator="equal">
      <formula>"Towel"</formula>
    </cfRule>
    <cfRule type="cellIs" dxfId="21161" priority="5451" stopIfTrue="1" operator="equal">
      <formula>"Napkin Hs"</formula>
    </cfRule>
    <cfRule type="cellIs" dxfId="21160" priority="5452" stopIfTrue="1" operator="equal">
      <formula>"Towel"</formula>
    </cfRule>
    <cfRule type="cellIs" dxfId="21159" priority="5453" stopIfTrue="1" operator="equal">
      <formula>"Napkin Hs"</formula>
    </cfRule>
    <cfRule type="cellIs" dxfId="21158" priority="5454" stopIfTrue="1" operator="equal">
      <formula>"Towel"</formula>
    </cfRule>
    <cfRule type="cellIs" dxfId="21157" priority="5455" stopIfTrue="1" operator="equal">
      <formula>"Napkin Hs"</formula>
    </cfRule>
    <cfRule type="cellIs" dxfId="21156" priority="5456" stopIfTrue="1" operator="equal">
      <formula>"Towel"</formula>
    </cfRule>
    <cfRule type="cellIs" dxfId="21155" priority="5457" stopIfTrue="1" operator="equal">
      <formula>"Napkin Hs"</formula>
    </cfRule>
    <cfRule type="cellIs" dxfId="21154" priority="5460" stopIfTrue="1" operator="equal">
      <formula>"Towel"</formula>
    </cfRule>
    <cfRule type="cellIs" dxfId="21153" priority="5461" stopIfTrue="1" operator="equal">
      <formula>"Napkin Hs"</formula>
    </cfRule>
    <cfRule type="cellIs" dxfId="21152" priority="5463" stopIfTrue="1" operator="equal">
      <formula>"Napkin Hs"</formula>
    </cfRule>
  </conditionalFormatting>
  <conditionalFormatting sqref="C115">
    <cfRule type="cellIs" dxfId="21151" priority="5462" stopIfTrue="1" operator="equal">
      <formula>"Towel"</formula>
    </cfRule>
  </conditionalFormatting>
  <conditionalFormatting sqref="C115">
    <cfRule type="cellIs" dxfId="21150" priority="5440" stopIfTrue="1" operator="equal">
      <formula>"Towel"</formula>
    </cfRule>
    <cfRule type="cellIs" dxfId="21149" priority="5441" stopIfTrue="1" operator="equal">
      <formula>"Napkin Hs"</formula>
    </cfRule>
  </conditionalFormatting>
  <conditionalFormatting sqref="C115">
    <cfRule type="cellIs" dxfId="21148" priority="5439" stopIfTrue="1" operator="equal">
      <formula>"Napkin Hs"</formula>
    </cfRule>
  </conditionalFormatting>
  <conditionalFormatting sqref="C115">
    <cfRule type="cellIs" dxfId="21147" priority="5438" stopIfTrue="1" operator="equal">
      <formula>"Towel"</formula>
    </cfRule>
  </conditionalFormatting>
  <conditionalFormatting sqref="C115">
    <cfRule type="cellIs" dxfId="21146" priority="5436" stopIfTrue="1" operator="equal">
      <formula>"Towel"</formula>
    </cfRule>
  </conditionalFormatting>
  <conditionalFormatting sqref="C115">
    <cfRule type="cellIs" dxfId="21145" priority="5437" stopIfTrue="1" operator="equal">
      <formula>"Napkin Hs"</formula>
    </cfRule>
  </conditionalFormatting>
  <conditionalFormatting sqref="C115">
    <cfRule type="cellIs" dxfId="21144" priority="5340" stopIfTrue="1" operator="equal">
      <formula>"Towel"</formula>
    </cfRule>
  </conditionalFormatting>
  <conditionalFormatting sqref="C115">
    <cfRule type="cellIs" dxfId="21143" priority="5350" stopIfTrue="1" operator="equal">
      <formula>"Towel"</formula>
    </cfRule>
    <cfRule type="cellIs" dxfId="21142" priority="5351" stopIfTrue="1" operator="equal">
      <formula>"Napkin Hs"</formula>
    </cfRule>
    <cfRule type="cellIs" dxfId="21141" priority="5356" stopIfTrue="1" operator="equal">
      <formula>"Towel"</formula>
    </cfRule>
    <cfRule type="cellIs" dxfId="21140" priority="5357" stopIfTrue="1" operator="equal">
      <formula>"Napkin Hs"</formula>
    </cfRule>
    <cfRule type="cellIs" dxfId="21139" priority="5362" stopIfTrue="1" operator="equal">
      <formula>"Towel"</formula>
    </cfRule>
    <cfRule type="cellIs" dxfId="21138" priority="5363" stopIfTrue="1" operator="equal">
      <formula>"Napkin Hs"</formula>
    </cfRule>
    <cfRule type="cellIs" dxfId="21137" priority="5364" stopIfTrue="1" operator="equal">
      <formula>"Towel"</formula>
    </cfRule>
    <cfRule type="cellIs" dxfId="21136" priority="5365" stopIfTrue="1" operator="equal">
      <formula>"Napkin Hs"</formula>
    </cfRule>
    <cfRule type="cellIs" dxfId="21135" priority="5370" stopIfTrue="1" operator="equal">
      <formula>"Towel"</formula>
    </cfRule>
    <cfRule type="cellIs" dxfId="21134" priority="5371" stopIfTrue="1" operator="equal">
      <formula>"Napkin Hs"</formula>
    </cfRule>
    <cfRule type="cellIs" dxfId="21133" priority="5380" stopIfTrue="1" operator="equal">
      <formula>"Towel"</formula>
    </cfRule>
    <cfRule type="cellIs" dxfId="21132" priority="5381" stopIfTrue="1" operator="equal">
      <formula>"Napkin Hs"</formula>
    </cfRule>
    <cfRule type="cellIs" dxfId="21131" priority="5386" stopIfTrue="1" operator="equal">
      <formula>"Towel"</formula>
    </cfRule>
    <cfRule type="cellIs" dxfId="21130" priority="5387" stopIfTrue="1" operator="equal">
      <formula>"Napkin Hs"</formula>
    </cfRule>
    <cfRule type="cellIs" dxfId="21129" priority="5388" stopIfTrue="1" operator="equal">
      <formula>"Towel"</formula>
    </cfRule>
    <cfRule type="cellIs" dxfId="21128" priority="5389" stopIfTrue="1" operator="equal">
      <formula>"Napkin Hs"</formula>
    </cfRule>
    <cfRule type="cellIs" dxfId="21127" priority="5394" stopIfTrue="1" operator="equal">
      <formula>"Towel"</formula>
    </cfRule>
    <cfRule type="cellIs" dxfId="21126" priority="5395" stopIfTrue="1" operator="equal">
      <formula>"Napkin Hs"</formula>
    </cfRule>
    <cfRule type="cellIs" dxfId="21125" priority="5404" stopIfTrue="1" operator="equal">
      <formula>"Towel"</formula>
    </cfRule>
    <cfRule type="cellIs" dxfId="21124" priority="5405" stopIfTrue="1" operator="equal">
      <formula>"Napkin Hs"</formula>
    </cfRule>
    <cfRule type="cellIs" dxfId="21123" priority="5406" stopIfTrue="1" operator="equal">
      <formula>"Towel"</formula>
    </cfRule>
    <cfRule type="cellIs" dxfId="21122" priority="5407" stopIfTrue="1" operator="equal">
      <formula>"Napkin Hs"</formula>
    </cfRule>
    <cfRule type="cellIs" dxfId="21121" priority="5412" stopIfTrue="1" operator="equal">
      <formula>"Towel"</formula>
    </cfRule>
    <cfRule type="cellIs" dxfId="21120" priority="5413" stopIfTrue="1" operator="equal">
      <formula>"Napkin Hs"</formula>
    </cfRule>
    <cfRule type="cellIs" dxfId="21119" priority="5422" stopIfTrue="1" operator="equal">
      <formula>"Towel"</formula>
    </cfRule>
    <cfRule type="cellIs" dxfId="21118" priority="5423" stopIfTrue="1" operator="equal">
      <formula>"Napkin Hs"</formula>
    </cfRule>
    <cfRule type="cellIs" dxfId="21117" priority="5424" stopIfTrue="1" operator="equal">
      <formula>"Towel"</formula>
    </cfRule>
    <cfRule type="cellIs" dxfId="21116" priority="5425" stopIfTrue="1" operator="equal">
      <formula>"Napkin Hs"</formula>
    </cfRule>
    <cfRule type="cellIs" dxfId="21115" priority="5431" stopIfTrue="1" operator="equal">
      <formula>"Napkin Hs"</formula>
    </cfRule>
  </conditionalFormatting>
  <conditionalFormatting sqref="C115">
    <cfRule type="cellIs" dxfId="21114" priority="5430" stopIfTrue="1" operator="equal">
      <formula>"Towel"</formula>
    </cfRule>
  </conditionalFormatting>
  <conditionalFormatting sqref="C115">
    <cfRule type="cellIs" dxfId="21113" priority="5341" stopIfTrue="1" operator="equal">
      <formula>"Napkin Hs"</formula>
    </cfRule>
    <cfRule type="cellIs" dxfId="21112" priority="5342" stopIfTrue="1" operator="equal">
      <formula>"Towel"</formula>
    </cfRule>
    <cfRule type="cellIs" dxfId="21111" priority="5343" stopIfTrue="1" operator="equal">
      <formula>"Napkin Hs"</formula>
    </cfRule>
    <cfRule type="cellIs" dxfId="21110" priority="5344" stopIfTrue="1" operator="equal">
      <formula>"Towel"</formula>
    </cfRule>
    <cfRule type="cellIs" dxfId="21109" priority="5345" stopIfTrue="1" operator="equal">
      <formula>"Napkin Hs"</formula>
    </cfRule>
    <cfRule type="cellIs" dxfId="21108" priority="5346" stopIfTrue="1" operator="equal">
      <formula>"Towel"</formula>
    </cfRule>
    <cfRule type="cellIs" dxfId="21107" priority="5347" stopIfTrue="1" operator="equal">
      <formula>"Napkin Hs"</formula>
    </cfRule>
    <cfRule type="cellIs" dxfId="21106" priority="5348" stopIfTrue="1" operator="equal">
      <formula>"Towel"</formula>
    </cfRule>
    <cfRule type="cellIs" dxfId="21105" priority="5349" stopIfTrue="1" operator="equal">
      <formula>"Napkin Hs"</formula>
    </cfRule>
    <cfRule type="cellIs" dxfId="21104" priority="5352" stopIfTrue="1" operator="equal">
      <formula>"Towel"</formula>
    </cfRule>
    <cfRule type="cellIs" dxfId="21103" priority="5353" stopIfTrue="1" operator="equal">
      <formula>"Napkin Hs"</formula>
    </cfRule>
    <cfRule type="cellIs" dxfId="21102" priority="5354" stopIfTrue="1" operator="equal">
      <formula>"Towel"</formula>
    </cfRule>
    <cfRule type="cellIs" dxfId="21101" priority="5355" stopIfTrue="1" operator="equal">
      <formula>"Napkin Hs"</formula>
    </cfRule>
    <cfRule type="cellIs" dxfId="21100" priority="5358" stopIfTrue="1" operator="equal">
      <formula>"Towel"</formula>
    </cfRule>
    <cfRule type="cellIs" dxfId="21099" priority="5359" stopIfTrue="1" operator="equal">
      <formula>"Napkin Hs"</formula>
    </cfRule>
    <cfRule type="cellIs" dxfId="21098" priority="5360" stopIfTrue="1" operator="equal">
      <formula>"Towel"</formula>
    </cfRule>
    <cfRule type="cellIs" dxfId="21097" priority="5361" stopIfTrue="1" operator="equal">
      <formula>"Napkin Hs"</formula>
    </cfRule>
    <cfRule type="cellIs" dxfId="21096" priority="5366" stopIfTrue="1" operator="equal">
      <formula>"Towel"</formula>
    </cfRule>
    <cfRule type="cellIs" dxfId="21095" priority="5367" stopIfTrue="1" operator="equal">
      <formula>"Napkin Hs"</formula>
    </cfRule>
    <cfRule type="cellIs" dxfId="21094" priority="5368" stopIfTrue="1" operator="equal">
      <formula>"Towel"</formula>
    </cfRule>
    <cfRule type="cellIs" dxfId="21093" priority="5369" stopIfTrue="1" operator="equal">
      <formula>"Napkin Hs"</formula>
    </cfRule>
    <cfRule type="cellIs" dxfId="21092" priority="5372" stopIfTrue="1" operator="equal">
      <formula>"Towel"</formula>
    </cfRule>
    <cfRule type="cellIs" dxfId="21091" priority="5373" stopIfTrue="1" operator="equal">
      <formula>"Napkin Hs"</formula>
    </cfRule>
    <cfRule type="cellIs" dxfId="21090" priority="5374" stopIfTrue="1" operator="equal">
      <formula>"Towel"</formula>
    </cfRule>
    <cfRule type="cellIs" dxfId="21089" priority="5375" stopIfTrue="1" operator="equal">
      <formula>"Napkin Hs"</formula>
    </cfRule>
    <cfRule type="cellIs" dxfId="21088" priority="5376" stopIfTrue="1" operator="equal">
      <formula>"Towel"</formula>
    </cfRule>
    <cfRule type="cellIs" dxfId="21087" priority="5377" stopIfTrue="1" operator="equal">
      <formula>"Napkin Hs"</formula>
    </cfRule>
    <cfRule type="cellIs" dxfId="21086" priority="5378" stopIfTrue="1" operator="equal">
      <formula>"Towel"</formula>
    </cfRule>
    <cfRule type="cellIs" dxfId="21085" priority="5379" stopIfTrue="1" operator="equal">
      <formula>"Napkin Hs"</formula>
    </cfRule>
    <cfRule type="cellIs" dxfId="21084" priority="5382" stopIfTrue="1" operator="equal">
      <formula>"Towel"</formula>
    </cfRule>
    <cfRule type="cellIs" dxfId="21083" priority="5383" stopIfTrue="1" operator="equal">
      <formula>"Napkin Hs"</formula>
    </cfRule>
    <cfRule type="cellIs" dxfId="21082" priority="5384" stopIfTrue="1" operator="equal">
      <formula>"Towel"</formula>
    </cfRule>
    <cfRule type="cellIs" dxfId="21081" priority="5385" stopIfTrue="1" operator="equal">
      <formula>"Napkin Hs"</formula>
    </cfRule>
    <cfRule type="cellIs" dxfId="21080" priority="5390" stopIfTrue="1" operator="equal">
      <formula>"Towel"</formula>
    </cfRule>
    <cfRule type="cellIs" dxfId="21079" priority="5391" stopIfTrue="1" operator="equal">
      <formula>"Napkin Hs"</formula>
    </cfRule>
    <cfRule type="cellIs" dxfId="21078" priority="5392" stopIfTrue="1" operator="equal">
      <formula>"Towel"</formula>
    </cfRule>
    <cfRule type="cellIs" dxfId="21077" priority="5393" stopIfTrue="1" operator="equal">
      <formula>"Napkin Hs"</formula>
    </cfRule>
    <cfRule type="cellIs" dxfId="21076" priority="5396" stopIfTrue="1" operator="equal">
      <formula>"Towel"</formula>
    </cfRule>
    <cfRule type="cellIs" dxfId="21075" priority="5397" stopIfTrue="1" operator="equal">
      <formula>"Napkin Hs"</formula>
    </cfRule>
    <cfRule type="cellIs" dxfId="21074" priority="5398" stopIfTrue="1" operator="equal">
      <formula>"Towel"</formula>
    </cfRule>
    <cfRule type="cellIs" dxfId="21073" priority="5399" stopIfTrue="1" operator="equal">
      <formula>"Napkin Hs"</formula>
    </cfRule>
    <cfRule type="cellIs" dxfId="21072" priority="5400" stopIfTrue="1" operator="equal">
      <formula>"Towel"</formula>
    </cfRule>
    <cfRule type="cellIs" dxfId="21071" priority="5401" stopIfTrue="1" operator="equal">
      <formula>"Napkin Hs"</formula>
    </cfRule>
    <cfRule type="cellIs" dxfId="21070" priority="5402" stopIfTrue="1" operator="equal">
      <formula>"Towel"</formula>
    </cfRule>
    <cfRule type="cellIs" dxfId="21069" priority="5403" stopIfTrue="1" operator="equal">
      <formula>"Napkin Hs"</formula>
    </cfRule>
    <cfRule type="cellIs" dxfId="21068" priority="5408" stopIfTrue="1" operator="equal">
      <formula>"Towel"</formula>
    </cfRule>
    <cfRule type="cellIs" dxfId="21067" priority="5409" stopIfTrue="1" operator="equal">
      <formula>"Napkin Hs"</formula>
    </cfRule>
    <cfRule type="cellIs" dxfId="21066" priority="5410" stopIfTrue="1" operator="equal">
      <formula>"Towel"</formula>
    </cfRule>
    <cfRule type="cellIs" dxfId="21065" priority="5411" stopIfTrue="1" operator="equal">
      <formula>"Napkin Hs"</formula>
    </cfRule>
    <cfRule type="cellIs" dxfId="21064" priority="5414" stopIfTrue="1" operator="equal">
      <formula>"Towel"</formula>
    </cfRule>
    <cfRule type="cellIs" dxfId="21063" priority="5415" stopIfTrue="1" operator="equal">
      <formula>"Napkin Hs"</formula>
    </cfRule>
    <cfRule type="cellIs" dxfId="21062" priority="5416" stopIfTrue="1" operator="equal">
      <formula>"Towel"</formula>
    </cfRule>
    <cfRule type="cellIs" dxfId="21061" priority="5417" stopIfTrue="1" operator="equal">
      <formula>"Napkin Hs"</formula>
    </cfRule>
    <cfRule type="cellIs" dxfId="21060" priority="5418" stopIfTrue="1" operator="equal">
      <formula>"Towel"</formula>
    </cfRule>
    <cfRule type="cellIs" dxfId="21059" priority="5419" stopIfTrue="1" operator="equal">
      <formula>"Napkin Hs"</formula>
    </cfRule>
    <cfRule type="cellIs" dxfId="21058" priority="5420" stopIfTrue="1" operator="equal">
      <formula>"Towel"</formula>
    </cfRule>
    <cfRule type="cellIs" dxfId="21057" priority="5421" stopIfTrue="1" operator="equal">
      <formula>"Napkin Hs"</formula>
    </cfRule>
    <cfRule type="cellIs" dxfId="21056" priority="5426" stopIfTrue="1" operator="equal">
      <formula>"Towel"</formula>
    </cfRule>
    <cfRule type="cellIs" dxfId="21055" priority="5427" stopIfTrue="1" operator="equal">
      <formula>"Napkin Hs"</formula>
    </cfRule>
    <cfRule type="cellIs" dxfId="21054" priority="5428" stopIfTrue="1" operator="equal">
      <formula>"Towel"</formula>
    </cfRule>
    <cfRule type="cellIs" dxfId="21053" priority="5429" stopIfTrue="1" operator="equal">
      <formula>"Napkin Hs"</formula>
    </cfRule>
    <cfRule type="cellIs" dxfId="21052" priority="5432" stopIfTrue="1" operator="equal">
      <formula>"Towel"</formula>
    </cfRule>
    <cfRule type="cellIs" dxfId="21051" priority="5433" stopIfTrue="1" operator="equal">
      <formula>"Napkin Hs"</formula>
    </cfRule>
    <cfRule type="cellIs" dxfId="21050" priority="5434" stopIfTrue="1" operator="equal">
      <formula>"Towel"</formula>
    </cfRule>
    <cfRule type="cellIs" dxfId="21049" priority="5435" stopIfTrue="1" operator="equal">
      <formula>"Napkin Hs"</formula>
    </cfRule>
  </conditionalFormatting>
  <conditionalFormatting sqref="C115">
    <cfRule type="cellIs" dxfId="21048" priority="5339" stopIfTrue="1" operator="equal">
      <formula>"Napkin Hs"</formula>
    </cfRule>
  </conditionalFormatting>
  <conditionalFormatting sqref="C115">
    <cfRule type="cellIs" dxfId="21047" priority="5338" stopIfTrue="1" operator="equal">
      <formula>"Napkin Hs"</formula>
    </cfRule>
  </conditionalFormatting>
  <conditionalFormatting sqref="C115">
    <cfRule type="cellIs" dxfId="21046" priority="5337" stopIfTrue="1" operator="equal">
      <formula>"Napkin Hs"</formula>
    </cfRule>
  </conditionalFormatting>
  <conditionalFormatting sqref="C115">
    <cfRule type="cellIs" dxfId="21045" priority="5336" stopIfTrue="1" operator="equal">
      <formula>"Napkin Hs"</formula>
    </cfRule>
  </conditionalFormatting>
  <conditionalFormatting sqref="C115">
    <cfRule type="cellIs" dxfId="21044" priority="5335" stopIfTrue="1" operator="equal">
      <formula>"Napkin Hs"</formula>
    </cfRule>
  </conditionalFormatting>
  <conditionalFormatting sqref="C115">
    <cfRule type="cellIs" dxfId="21043" priority="5334" stopIfTrue="1" operator="equal">
      <formula>"Napkin Hs"</formula>
    </cfRule>
  </conditionalFormatting>
  <conditionalFormatting sqref="C115">
    <cfRule type="cellIs" dxfId="21042" priority="5330" stopIfTrue="1" operator="equal">
      <formula>"Towel"</formula>
    </cfRule>
    <cfRule type="cellIs" dxfId="21041" priority="5331" stopIfTrue="1" operator="equal">
      <formula>"Napkin Hs"</formula>
    </cfRule>
  </conditionalFormatting>
  <conditionalFormatting sqref="C115">
    <cfRule type="cellIs" dxfId="21040" priority="5332" stopIfTrue="1" operator="equal">
      <formula>"Towel"</formula>
    </cfRule>
    <cfRule type="cellIs" dxfId="21039" priority="5333" stopIfTrue="1" operator="equal">
      <formula>"Napkin Hs"</formula>
    </cfRule>
  </conditionalFormatting>
  <conditionalFormatting sqref="C115">
    <cfRule type="cellIs" dxfId="21038" priority="5326" stopIfTrue="1" operator="equal">
      <formula>"Towel"</formula>
    </cfRule>
    <cfRule type="cellIs" dxfId="21037" priority="5327" stopIfTrue="1" operator="equal">
      <formula>"Napkin Hs"</formula>
    </cfRule>
  </conditionalFormatting>
  <conditionalFormatting sqref="C115">
    <cfRule type="cellIs" dxfId="21036" priority="5328" stopIfTrue="1" operator="equal">
      <formula>"Towel"</formula>
    </cfRule>
    <cfRule type="cellIs" dxfId="21035" priority="5329" stopIfTrue="1" operator="equal">
      <formula>"Napkin Hs"</formula>
    </cfRule>
  </conditionalFormatting>
  <conditionalFormatting sqref="B114">
    <cfRule type="cellIs" dxfId="21034" priority="5325" stopIfTrue="1" operator="equal">
      <formula>"Napkin Hs"</formula>
    </cfRule>
  </conditionalFormatting>
  <conditionalFormatting sqref="B114">
    <cfRule type="cellIs" dxfId="21033" priority="5324" stopIfTrue="1" operator="equal">
      <formula>"Napkin Hs"</formula>
    </cfRule>
  </conditionalFormatting>
  <conditionalFormatting sqref="B114">
    <cfRule type="cellIs" dxfId="21032" priority="5323" stopIfTrue="1" operator="equal">
      <formula>"Napkin Hs"</formula>
    </cfRule>
  </conditionalFormatting>
  <conditionalFormatting sqref="C114">
    <cfRule type="cellIs" dxfId="21031" priority="5321" stopIfTrue="1" operator="equal">
      <formula>"Towel"</formula>
    </cfRule>
    <cfRule type="cellIs" dxfId="21030" priority="5322" stopIfTrue="1" operator="equal">
      <formula>"Napkin Hs"</formula>
    </cfRule>
  </conditionalFormatting>
  <conditionalFormatting sqref="C114">
    <cfRule type="cellIs" dxfId="21029" priority="5317" stopIfTrue="1" operator="equal">
      <formula>"Towel"</formula>
    </cfRule>
    <cfRule type="cellIs" dxfId="21028" priority="5318" stopIfTrue="1" operator="equal">
      <formula>"Napkin Hs"</formula>
    </cfRule>
  </conditionalFormatting>
  <conditionalFormatting sqref="C114">
    <cfRule type="cellIs" dxfId="21027" priority="5319" stopIfTrue="1" operator="equal">
      <formula>"Towel"</formula>
    </cfRule>
    <cfRule type="cellIs" dxfId="21026" priority="5320" stopIfTrue="1" operator="equal">
      <formula>"Napkin Hs"</formula>
    </cfRule>
  </conditionalFormatting>
  <conditionalFormatting sqref="C114">
    <cfRule type="cellIs" dxfId="21025" priority="5313" stopIfTrue="1" operator="equal">
      <formula>"Towel"</formula>
    </cfRule>
    <cfRule type="cellIs" dxfId="21024" priority="5314" stopIfTrue="1" operator="equal">
      <formula>"Napkin Hs"</formula>
    </cfRule>
  </conditionalFormatting>
  <conditionalFormatting sqref="C114">
    <cfRule type="cellIs" dxfId="21023" priority="5315" stopIfTrue="1" operator="equal">
      <formula>"Towel"</formula>
    </cfRule>
    <cfRule type="cellIs" dxfId="21022" priority="5316" stopIfTrue="1" operator="equal">
      <formula>"Napkin Hs"</formula>
    </cfRule>
  </conditionalFormatting>
  <conditionalFormatting sqref="C114">
    <cfRule type="cellIs" dxfId="21021" priority="5311" stopIfTrue="1" operator="equal">
      <formula>"Towel"</formula>
    </cfRule>
    <cfRule type="cellIs" dxfId="21020" priority="5312" stopIfTrue="1" operator="equal">
      <formula>"Napkin Hs"</formula>
    </cfRule>
  </conditionalFormatting>
  <conditionalFormatting sqref="C114">
    <cfRule type="cellIs" dxfId="21019" priority="5305" stopIfTrue="1" operator="equal">
      <formula>"Towel"</formula>
    </cfRule>
    <cfRule type="cellIs" dxfId="21018" priority="5306" stopIfTrue="1" operator="equal">
      <formula>"Napkin Hs"</formula>
    </cfRule>
  </conditionalFormatting>
  <conditionalFormatting sqref="C114">
    <cfRule type="cellIs" dxfId="21017" priority="5309" stopIfTrue="1" operator="equal">
      <formula>"Towel"</formula>
    </cfRule>
    <cfRule type="cellIs" dxfId="21016" priority="5310" stopIfTrue="1" operator="equal">
      <formula>"Napkin Hs"</formula>
    </cfRule>
  </conditionalFormatting>
  <conditionalFormatting sqref="C114">
    <cfRule type="cellIs" dxfId="21015" priority="5307" stopIfTrue="1" operator="equal">
      <formula>"Towel"</formula>
    </cfRule>
    <cfRule type="cellIs" dxfId="21014" priority="5308" stopIfTrue="1" operator="equal">
      <formula>"Napkin Hs"</formula>
    </cfRule>
  </conditionalFormatting>
  <conditionalFormatting sqref="C114">
    <cfRule type="cellIs" dxfId="21013" priority="5299" stopIfTrue="1" operator="equal">
      <formula>"Towel"</formula>
    </cfRule>
    <cfRule type="cellIs" dxfId="21012" priority="5300" stopIfTrue="1" operator="equal">
      <formula>"Napkin Hs"</formula>
    </cfRule>
  </conditionalFormatting>
  <conditionalFormatting sqref="C114">
    <cfRule type="cellIs" dxfId="21011" priority="5301" stopIfTrue="1" operator="equal">
      <formula>"Towel"</formula>
    </cfRule>
    <cfRule type="cellIs" dxfId="21010" priority="5302" stopIfTrue="1" operator="equal">
      <formula>"Napkin Hs"</formula>
    </cfRule>
  </conditionalFormatting>
  <conditionalFormatting sqref="C114">
    <cfRule type="cellIs" dxfId="21009" priority="5303" stopIfTrue="1" operator="equal">
      <formula>"Towel"</formula>
    </cfRule>
    <cfRule type="cellIs" dxfId="21008" priority="5304" stopIfTrue="1" operator="equal">
      <formula>"Napkin Hs"</formula>
    </cfRule>
  </conditionalFormatting>
  <conditionalFormatting sqref="C114">
    <cfRule type="cellIs" dxfId="21007" priority="5297" stopIfTrue="1" operator="equal">
      <formula>"Towel"</formula>
    </cfRule>
    <cfRule type="cellIs" dxfId="21006" priority="5298" stopIfTrue="1" operator="equal">
      <formula>"Napkin Hs"</formula>
    </cfRule>
  </conditionalFormatting>
  <conditionalFormatting sqref="C114">
    <cfRule type="cellIs" dxfId="21005" priority="5295" stopIfTrue="1" operator="equal">
      <formula>"Towel"</formula>
    </cfRule>
    <cfRule type="cellIs" dxfId="21004" priority="5296" stopIfTrue="1" operator="equal">
      <formula>"Napkin Hs"</formula>
    </cfRule>
  </conditionalFormatting>
  <conditionalFormatting sqref="C114">
    <cfRule type="cellIs" dxfId="21003" priority="5271" stopIfTrue="1" operator="equal">
      <formula>"Towel"</formula>
    </cfRule>
  </conditionalFormatting>
  <conditionalFormatting sqref="C114">
    <cfRule type="cellIs" dxfId="21002" priority="5272" stopIfTrue="1" operator="equal">
      <formula>"Napkin Hs"</formula>
    </cfRule>
    <cfRule type="cellIs" dxfId="21001" priority="5277" stopIfTrue="1" operator="equal">
      <formula>"Towel"</formula>
    </cfRule>
    <cfRule type="cellIs" dxfId="21000" priority="5278" stopIfTrue="1" operator="equal">
      <formula>"Napkin Hs"</formula>
    </cfRule>
    <cfRule type="cellIs" dxfId="20999" priority="5287" stopIfTrue="1" operator="equal">
      <formula>"Towel"</formula>
    </cfRule>
    <cfRule type="cellIs" dxfId="20998" priority="5288" stopIfTrue="1" operator="equal">
      <formula>"Napkin Hs"</formula>
    </cfRule>
    <cfRule type="cellIs" dxfId="20997" priority="5293" stopIfTrue="1" operator="equal">
      <formula>"Towel"</formula>
    </cfRule>
    <cfRule type="cellIs" dxfId="20996" priority="5294" stopIfTrue="1" operator="equal">
      <formula>"Napkin Hs"</formula>
    </cfRule>
  </conditionalFormatting>
  <conditionalFormatting sqref="C114">
    <cfRule type="cellIs" dxfId="20995" priority="5273" stopIfTrue="1" operator="equal">
      <formula>"Towel"</formula>
    </cfRule>
    <cfRule type="cellIs" dxfId="20994" priority="5274" stopIfTrue="1" operator="equal">
      <formula>"Napkin Hs"</formula>
    </cfRule>
    <cfRule type="cellIs" dxfId="20993" priority="5275" stopIfTrue="1" operator="equal">
      <formula>"Towel"</formula>
    </cfRule>
    <cfRule type="cellIs" dxfId="20992" priority="5276" stopIfTrue="1" operator="equal">
      <formula>"Napkin Hs"</formula>
    </cfRule>
    <cfRule type="cellIs" dxfId="20991" priority="5279" stopIfTrue="1" operator="equal">
      <formula>"Towel"</formula>
    </cfRule>
    <cfRule type="cellIs" dxfId="20990" priority="5280" stopIfTrue="1" operator="equal">
      <formula>"Napkin Hs"</formula>
    </cfRule>
    <cfRule type="cellIs" dxfId="20989" priority="5281" stopIfTrue="1" operator="equal">
      <formula>"Towel"</formula>
    </cfRule>
    <cfRule type="cellIs" dxfId="20988" priority="5282" stopIfTrue="1" operator="equal">
      <formula>"Napkin Hs"</formula>
    </cfRule>
    <cfRule type="cellIs" dxfId="20987" priority="5283" stopIfTrue="1" operator="equal">
      <formula>"Towel"</formula>
    </cfRule>
    <cfRule type="cellIs" dxfId="20986" priority="5284" stopIfTrue="1" operator="equal">
      <formula>"Napkin Hs"</formula>
    </cfRule>
    <cfRule type="cellIs" dxfId="20985" priority="5285" stopIfTrue="1" operator="equal">
      <formula>"Towel"</formula>
    </cfRule>
    <cfRule type="cellIs" dxfId="20984" priority="5286" stopIfTrue="1" operator="equal">
      <formula>"Napkin Hs"</formula>
    </cfRule>
    <cfRule type="cellIs" dxfId="20983" priority="5289" stopIfTrue="1" operator="equal">
      <formula>"Towel"</formula>
    </cfRule>
    <cfRule type="cellIs" dxfId="20982" priority="5290" stopIfTrue="1" operator="equal">
      <formula>"Napkin Hs"</formula>
    </cfRule>
    <cfRule type="cellIs" dxfId="20981" priority="5292" stopIfTrue="1" operator="equal">
      <formula>"Napkin Hs"</formula>
    </cfRule>
  </conditionalFormatting>
  <conditionalFormatting sqref="C114">
    <cfRule type="cellIs" dxfId="20980" priority="5291" stopIfTrue="1" operator="equal">
      <formula>"Towel"</formula>
    </cfRule>
  </conditionalFormatting>
  <conditionalFormatting sqref="C114">
    <cfRule type="cellIs" dxfId="20979" priority="5269" stopIfTrue="1" operator="equal">
      <formula>"Towel"</formula>
    </cfRule>
    <cfRule type="cellIs" dxfId="20978" priority="5270" stopIfTrue="1" operator="equal">
      <formula>"Napkin Hs"</formula>
    </cfRule>
  </conditionalFormatting>
  <conditionalFormatting sqref="C114">
    <cfRule type="cellIs" dxfId="20977" priority="5268" stopIfTrue="1" operator="equal">
      <formula>"Napkin Hs"</formula>
    </cfRule>
  </conditionalFormatting>
  <conditionalFormatting sqref="C114">
    <cfRule type="cellIs" dxfId="20976" priority="5267" stopIfTrue="1" operator="equal">
      <formula>"Towel"</formula>
    </cfRule>
  </conditionalFormatting>
  <conditionalFormatting sqref="C114">
    <cfRule type="cellIs" dxfId="20975" priority="5265" stopIfTrue="1" operator="equal">
      <formula>"Towel"</formula>
    </cfRule>
  </conditionalFormatting>
  <conditionalFormatting sqref="C114">
    <cfRule type="cellIs" dxfId="20974" priority="5266" stopIfTrue="1" operator="equal">
      <formula>"Napkin Hs"</formula>
    </cfRule>
  </conditionalFormatting>
  <conditionalFormatting sqref="C114">
    <cfRule type="cellIs" dxfId="20973" priority="5169" stopIfTrue="1" operator="equal">
      <formula>"Towel"</formula>
    </cfRule>
  </conditionalFormatting>
  <conditionalFormatting sqref="C114">
    <cfRule type="cellIs" dxfId="20972" priority="5179" stopIfTrue="1" operator="equal">
      <formula>"Towel"</formula>
    </cfRule>
    <cfRule type="cellIs" dxfId="20971" priority="5180" stopIfTrue="1" operator="equal">
      <formula>"Napkin Hs"</formula>
    </cfRule>
    <cfRule type="cellIs" dxfId="20970" priority="5185" stopIfTrue="1" operator="equal">
      <formula>"Towel"</formula>
    </cfRule>
    <cfRule type="cellIs" dxfId="20969" priority="5186" stopIfTrue="1" operator="equal">
      <formula>"Napkin Hs"</formula>
    </cfRule>
    <cfRule type="cellIs" dxfId="20968" priority="5191" stopIfTrue="1" operator="equal">
      <formula>"Towel"</formula>
    </cfRule>
    <cfRule type="cellIs" dxfId="20967" priority="5192" stopIfTrue="1" operator="equal">
      <formula>"Napkin Hs"</formula>
    </cfRule>
    <cfRule type="cellIs" dxfId="20966" priority="5193" stopIfTrue="1" operator="equal">
      <formula>"Towel"</formula>
    </cfRule>
    <cfRule type="cellIs" dxfId="20965" priority="5194" stopIfTrue="1" operator="equal">
      <formula>"Napkin Hs"</formula>
    </cfRule>
    <cfRule type="cellIs" dxfId="20964" priority="5199" stopIfTrue="1" operator="equal">
      <formula>"Towel"</formula>
    </cfRule>
    <cfRule type="cellIs" dxfId="20963" priority="5200" stopIfTrue="1" operator="equal">
      <formula>"Napkin Hs"</formula>
    </cfRule>
    <cfRule type="cellIs" dxfId="20962" priority="5209" stopIfTrue="1" operator="equal">
      <formula>"Towel"</formula>
    </cfRule>
    <cfRule type="cellIs" dxfId="20961" priority="5210" stopIfTrue="1" operator="equal">
      <formula>"Napkin Hs"</formula>
    </cfRule>
    <cfRule type="cellIs" dxfId="20960" priority="5215" stopIfTrue="1" operator="equal">
      <formula>"Towel"</formula>
    </cfRule>
    <cfRule type="cellIs" dxfId="20959" priority="5216" stopIfTrue="1" operator="equal">
      <formula>"Napkin Hs"</formula>
    </cfRule>
    <cfRule type="cellIs" dxfId="20958" priority="5217" stopIfTrue="1" operator="equal">
      <formula>"Towel"</formula>
    </cfRule>
    <cfRule type="cellIs" dxfId="20957" priority="5218" stopIfTrue="1" operator="equal">
      <formula>"Napkin Hs"</formula>
    </cfRule>
    <cfRule type="cellIs" dxfId="20956" priority="5223" stopIfTrue="1" operator="equal">
      <formula>"Towel"</formula>
    </cfRule>
    <cfRule type="cellIs" dxfId="20955" priority="5224" stopIfTrue="1" operator="equal">
      <formula>"Napkin Hs"</formula>
    </cfRule>
    <cfRule type="cellIs" dxfId="20954" priority="5233" stopIfTrue="1" operator="equal">
      <formula>"Towel"</formula>
    </cfRule>
    <cfRule type="cellIs" dxfId="20953" priority="5234" stopIfTrue="1" operator="equal">
      <formula>"Napkin Hs"</formula>
    </cfRule>
    <cfRule type="cellIs" dxfId="20952" priority="5235" stopIfTrue="1" operator="equal">
      <formula>"Towel"</formula>
    </cfRule>
    <cfRule type="cellIs" dxfId="20951" priority="5236" stopIfTrue="1" operator="equal">
      <formula>"Napkin Hs"</formula>
    </cfRule>
    <cfRule type="cellIs" dxfId="20950" priority="5241" stopIfTrue="1" operator="equal">
      <formula>"Towel"</formula>
    </cfRule>
    <cfRule type="cellIs" dxfId="20949" priority="5242" stopIfTrue="1" operator="equal">
      <formula>"Napkin Hs"</formula>
    </cfRule>
    <cfRule type="cellIs" dxfId="20948" priority="5251" stopIfTrue="1" operator="equal">
      <formula>"Towel"</formula>
    </cfRule>
    <cfRule type="cellIs" dxfId="20947" priority="5252" stopIfTrue="1" operator="equal">
      <formula>"Napkin Hs"</formula>
    </cfRule>
    <cfRule type="cellIs" dxfId="20946" priority="5253" stopIfTrue="1" operator="equal">
      <formula>"Towel"</formula>
    </cfRule>
    <cfRule type="cellIs" dxfId="20945" priority="5254" stopIfTrue="1" operator="equal">
      <formula>"Napkin Hs"</formula>
    </cfRule>
    <cfRule type="cellIs" dxfId="20944" priority="5260" stopIfTrue="1" operator="equal">
      <formula>"Napkin Hs"</formula>
    </cfRule>
  </conditionalFormatting>
  <conditionalFormatting sqref="C114">
    <cfRule type="cellIs" dxfId="20943" priority="5259" stopIfTrue="1" operator="equal">
      <formula>"Towel"</formula>
    </cfRule>
  </conditionalFormatting>
  <conditionalFormatting sqref="C114">
    <cfRule type="cellIs" dxfId="20942" priority="5170" stopIfTrue="1" operator="equal">
      <formula>"Napkin Hs"</formula>
    </cfRule>
    <cfRule type="cellIs" dxfId="20941" priority="5171" stopIfTrue="1" operator="equal">
      <formula>"Towel"</formula>
    </cfRule>
    <cfRule type="cellIs" dxfId="20940" priority="5172" stopIfTrue="1" operator="equal">
      <formula>"Napkin Hs"</formula>
    </cfRule>
    <cfRule type="cellIs" dxfId="20939" priority="5173" stopIfTrue="1" operator="equal">
      <formula>"Towel"</formula>
    </cfRule>
    <cfRule type="cellIs" dxfId="20938" priority="5174" stopIfTrue="1" operator="equal">
      <formula>"Napkin Hs"</formula>
    </cfRule>
    <cfRule type="cellIs" dxfId="20937" priority="5175" stopIfTrue="1" operator="equal">
      <formula>"Towel"</formula>
    </cfRule>
    <cfRule type="cellIs" dxfId="20936" priority="5176" stopIfTrue="1" operator="equal">
      <formula>"Napkin Hs"</formula>
    </cfRule>
    <cfRule type="cellIs" dxfId="20935" priority="5177" stopIfTrue="1" operator="equal">
      <formula>"Towel"</formula>
    </cfRule>
    <cfRule type="cellIs" dxfId="20934" priority="5178" stopIfTrue="1" operator="equal">
      <formula>"Napkin Hs"</formula>
    </cfRule>
    <cfRule type="cellIs" dxfId="20933" priority="5181" stopIfTrue="1" operator="equal">
      <formula>"Towel"</formula>
    </cfRule>
    <cfRule type="cellIs" dxfId="20932" priority="5182" stopIfTrue="1" operator="equal">
      <formula>"Napkin Hs"</formula>
    </cfRule>
    <cfRule type="cellIs" dxfId="20931" priority="5183" stopIfTrue="1" operator="equal">
      <formula>"Towel"</formula>
    </cfRule>
    <cfRule type="cellIs" dxfId="20930" priority="5184" stopIfTrue="1" operator="equal">
      <formula>"Napkin Hs"</formula>
    </cfRule>
    <cfRule type="cellIs" dxfId="20929" priority="5187" stopIfTrue="1" operator="equal">
      <formula>"Towel"</formula>
    </cfRule>
    <cfRule type="cellIs" dxfId="20928" priority="5188" stopIfTrue="1" operator="equal">
      <formula>"Napkin Hs"</formula>
    </cfRule>
    <cfRule type="cellIs" dxfId="20927" priority="5189" stopIfTrue="1" operator="equal">
      <formula>"Towel"</formula>
    </cfRule>
    <cfRule type="cellIs" dxfId="20926" priority="5190" stopIfTrue="1" operator="equal">
      <formula>"Napkin Hs"</formula>
    </cfRule>
    <cfRule type="cellIs" dxfId="20925" priority="5195" stopIfTrue="1" operator="equal">
      <formula>"Towel"</formula>
    </cfRule>
    <cfRule type="cellIs" dxfId="20924" priority="5196" stopIfTrue="1" operator="equal">
      <formula>"Napkin Hs"</formula>
    </cfRule>
    <cfRule type="cellIs" dxfId="20923" priority="5197" stopIfTrue="1" operator="equal">
      <formula>"Towel"</formula>
    </cfRule>
    <cfRule type="cellIs" dxfId="20922" priority="5198" stopIfTrue="1" operator="equal">
      <formula>"Napkin Hs"</formula>
    </cfRule>
    <cfRule type="cellIs" dxfId="20921" priority="5201" stopIfTrue="1" operator="equal">
      <formula>"Towel"</formula>
    </cfRule>
    <cfRule type="cellIs" dxfId="20920" priority="5202" stopIfTrue="1" operator="equal">
      <formula>"Napkin Hs"</formula>
    </cfRule>
    <cfRule type="cellIs" dxfId="20919" priority="5203" stopIfTrue="1" operator="equal">
      <formula>"Towel"</formula>
    </cfRule>
    <cfRule type="cellIs" dxfId="20918" priority="5204" stopIfTrue="1" operator="equal">
      <formula>"Napkin Hs"</formula>
    </cfRule>
    <cfRule type="cellIs" dxfId="20917" priority="5205" stopIfTrue="1" operator="equal">
      <formula>"Towel"</formula>
    </cfRule>
    <cfRule type="cellIs" dxfId="20916" priority="5206" stopIfTrue="1" operator="equal">
      <formula>"Napkin Hs"</formula>
    </cfRule>
    <cfRule type="cellIs" dxfId="20915" priority="5207" stopIfTrue="1" operator="equal">
      <formula>"Towel"</formula>
    </cfRule>
    <cfRule type="cellIs" dxfId="20914" priority="5208" stopIfTrue="1" operator="equal">
      <formula>"Napkin Hs"</formula>
    </cfRule>
    <cfRule type="cellIs" dxfId="20913" priority="5211" stopIfTrue="1" operator="equal">
      <formula>"Towel"</formula>
    </cfRule>
    <cfRule type="cellIs" dxfId="20912" priority="5212" stopIfTrue="1" operator="equal">
      <formula>"Napkin Hs"</formula>
    </cfRule>
    <cfRule type="cellIs" dxfId="20911" priority="5213" stopIfTrue="1" operator="equal">
      <formula>"Towel"</formula>
    </cfRule>
    <cfRule type="cellIs" dxfId="20910" priority="5214" stopIfTrue="1" operator="equal">
      <formula>"Napkin Hs"</formula>
    </cfRule>
    <cfRule type="cellIs" dxfId="20909" priority="5219" stopIfTrue="1" operator="equal">
      <formula>"Towel"</formula>
    </cfRule>
    <cfRule type="cellIs" dxfId="20908" priority="5220" stopIfTrue="1" operator="equal">
      <formula>"Napkin Hs"</formula>
    </cfRule>
    <cfRule type="cellIs" dxfId="20907" priority="5221" stopIfTrue="1" operator="equal">
      <formula>"Towel"</formula>
    </cfRule>
    <cfRule type="cellIs" dxfId="20906" priority="5222" stopIfTrue="1" operator="equal">
      <formula>"Napkin Hs"</formula>
    </cfRule>
    <cfRule type="cellIs" dxfId="20905" priority="5225" stopIfTrue="1" operator="equal">
      <formula>"Towel"</formula>
    </cfRule>
    <cfRule type="cellIs" dxfId="20904" priority="5226" stopIfTrue="1" operator="equal">
      <formula>"Napkin Hs"</formula>
    </cfRule>
    <cfRule type="cellIs" dxfId="20903" priority="5227" stopIfTrue="1" operator="equal">
      <formula>"Towel"</formula>
    </cfRule>
    <cfRule type="cellIs" dxfId="20902" priority="5228" stopIfTrue="1" operator="equal">
      <formula>"Napkin Hs"</formula>
    </cfRule>
    <cfRule type="cellIs" dxfId="20901" priority="5229" stopIfTrue="1" operator="equal">
      <formula>"Towel"</formula>
    </cfRule>
    <cfRule type="cellIs" dxfId="20900" priority="5230" stopIfTrue="1" operator="equal">
      <formula>"Napkin Hs"</formula>
    </cfRule>
    <cfRule type="cellIs" dxfId="20899" priority="5231" stopIfTrue="1" operator="equal">
      <formula>"Towel"</formula>
    </cfRule>
    <cfRule type="cellIs" dxfId="20898" priority="5232" stopIfTrue="1" operator="equal">
      <formula>"Napkin Hs"</formula>
    </cfRule>
    <cfRule type="cellIs" dxfId="20897" priority="5237" stopIfTrue="1" operator="equal">
      <formula>"Towel"</formula>
    </cfRule>
    <cfRule type="cellIs" dxfId="20896" priority="5238" stopIfTrue="1" operator="equal">
      <formula>"Napkin Hs"</formula>
    </cfRule>
    <cfRule type="cellIs" dxfId="20895" priority="5239" stopIfTrue="1" operator="equal">
      <formula>"Towel"</formula>
    </cfRule>
    <cfRule type="cellIs" dxfId="20894" priority="5240" stopIfTrue="1" operator="equal">
      <formula>"Napkin Hs"</formula>
    </cfRule>
    <cfRule type="cellIs" dxfId="20893" priority="5243" stopIfTrue="1" operator="equal">
      <formula>"Towel"</formula>
    </cfRule>
    <cfRule type="cellIs" dxfId="20892" priority="5244" stopIfTrue="1" operator="equal">
      <formula>"Napkin Hs"</formula>
    </cfRule>
    <cfRule type="cellIs" dxfId="20891" priority="5245" stopIfTrue="1" operator="equal">
      <formula>"Towel"</formula>
    </cfRule>
    <cfRule type="cellIs" dxfId="20890" priority="5246" stopIfTrue="1" operator="equal">
      <formula>"Napkin Hs"</formula>
    </cfRule>
    <cfRule type="cellIs" dxfId="20889" priority="5247" stopIfTrue="1" operator="equal">
      <formula>"Towel"</formula>
    </cfRule>
    <cfRule type="cellIs" dxfId="20888" priority="5248" stopIfTrue="1" operator="equal">
      <formula>"Napkin Hs"</formula>
    </cfRule>
    <cfRule type="cellIs" dxfId="20887" priority="5249" stopIfTrue="1" operator="equal">
      <formula>"Towel"</formula>
    </cfRule>
    <cfRule type="cellIs" dxfId="20886" priority="5250" stopIfTrue="1" operator="equal">
      <formula>"Napkin Hs"</formula>
    </cfRule>
    <cfRule type="cellIs" dxfId="20885" priority="5255" stopIfTrue="1" operator="equal">
      <formula>"Towel"</formula>
    </cfRule>
    <cfRule type="cellIs" dxfId="20884" priority="5256" stopIfTrue="1" operator="equal">
      <formula>"Napkin Hs"</formula>
    </cfRule>
    <cfRule type="cellIs" dxfId="20883" priority="5257" stopIfTrue="1" operator="equal">
      <formula>"Towel"</formula>
    </cfRule>
    <cfRule type="cellIs" dxfId="20882" priority="5258" stopIfTrue="1" operator="equal">
      <formula>"Napkin Hs"</formula>
    </cfRule>
    <cfRule type="cellIs" dxfId="20881" priority="5261" stopIfTrue="1" operator="equal">
      <formula>"Towel"</formula>
    </cfRule>
    <cfRule type="cellIs" dxfId="20880" priority="5262" stopIfTrue="1" operator="equal">
      <formula>"Napkin Hs"</formula>
    </cfRule>
    <cfRule type="cellIs" dxfId="20879" priority="5263" stopIfTrue="1" operator="equal">
      <formula>"Towel"</formula>
    </cfRule>
    <cfRule type="cellIs" dxfId="20878" priority="5264" stopIfTrue="1" operator="equal">
      <formula>"Napkin Hs"</formula>
    </cfRule>
  </conditionalFormatting>
  <conditionalFormatting sqref="C114">
    <cfRule type="cellIs" dxfId="20877" priority="5168" stopIfTrue="1" operator="equal">
      <formula>"Napkin Hs"</formula>
    </cfRule>
  </conditionalFormatting>
  <conditionalFormatting sqref="C114">
    <cfRule type="cellIs" dxfId="20876" priority="5167" stopIfTrue="1" operator="equal">
      <formula>"Napkin Hs"</formula>
    </cfRule>
  </conditionalFormatting>
  <conditionalFormatting sqref="C114">
    <cfRule type="cellIs" dxfId="20875" priority="5166" stopIfTrue="1" operator="equal">
      <formula>"Napkin Hs"</formula>
    </cfRule>
  </conditionalFormatting>
  <conditionalFormatting sqref="C114">
    <cfRule type="cellIs" dxfId="20874" priority="5165" stopIfTrue="1" operator="equal">
      <formula>"Napkin Hs"</formula>
    </cfRule>
  </conditionalFormatting>
  <conditionalFormatting sqref="C114">
    <cfRule type="cellIs" dxfId="20873" priority="5164" stopIfTrue="1" operator="equal">
      <formula>"Napkin Hs"</formula>
    </cfRule>
  </conditionalFormatting>
  <conditionalFormatting sqref="C114">
    <cfRule type="cellIs" dxfId="20872" priority="5163" stopIfTrue="1" operator="equal">
      <formula>"Napkin Hs"</formula>
    </cfRule>
  </conditionalFormatting>
  <conditionalFormatting sqref="C114">
    <cfRule type="cellIs" dxfId="20871" priority="5159" stopIfTrue="1" operator="equal">
      <formula>"Towel"</formula>
    </cfRule>
    <cfRule type="cellIs" dxfId="20870" priority="5160" stopIfTrue="1" operator="equal">
      <formula>"Napkin Hs"</formula>
    </cfRule>
  </conditionalFormatting>
  <conditionalFormatting sqref="C114">
    <cfRule type="cellIs" dxfId="20869" priority="5161" stopIfTrue="1" operator="equal">
      <formula>"Towel"</formula>
    </cfRule>
    <cfRule type="cellIs" dxfId="20868" priority="5162" stopIfTrue="1" operator="equal">
      <formula>"Napkin Hs"</formula>
    </cfRule>
  </conditionalFormatting>
  <conditionalFormatting sqref="C114">
    <cfRule type="cellIs" dxfId="20867" priority="5155" stopIfTrue="1" operator="equal">
      <formula>"Towel"</formula>
    </cfRule>
    <cfRule type="cellIs" dxfId="20866" priority="5156" stopIfTrue="1" operator="equal">
      <formula>"Napkin Hs"</formula>
    </cfRule>
  </conditionalFormatting>
  <conditionalFormatting sqref="C114">
    <cfRule type="cellIs" dxfId="20865" priority="5157" stopIfTrue="1" operator="equal">
      <formula>"Towel"</formula>
    </cfRule>
    <cfRule type="cellIs" dxfId="20864" priority="5158" stopIfTrue="1" operator="equal">
      <formula>"Napkin Hs"</formula>
    </cfRule>
  </conditionalFormatting>
  <conditionalFormatting sqref="C120">
    <cfRule type="cellIs" dxfId="20863" priority="5147" stopIfTrue="1" operator="equal">
      <formula>"Towel"</formula>
    </cfRule>
    <cfRule type="cellIs" dxfId="20862" priority="5148" stopIfTrue="1" operator="equal">
      <formula>"Napkin Hs"</formula>
    </cfRule>
  </conditionalFormatting>
  <conditionalFormatting sqref="B120:C120">
    <cfRule type="cellIs" dxfId="20861" priority="5149" stopIfTrue="1" operator="equal">
      <formula>"Towel"</formula>
    </cfRule>
    <cfRule type="cellIs" dxfId="20860" priority="5150" stopIfTrue="1" operator="equal">
      <formula>"Napkin Hs"</formula>
    </cfRule>
  </conditionalFormatting>
  <conditionalFormatting sqref="C120">
    <cfRule type="cellIs" dxfId="20859" priority="5145" stopIfTrue="1" operator="equal">
      <formula>"Towel"</formula>
    </cfRule>
    <cfRule type="cellIs" dxfId="20858" priority="5146" stopIfTrue="1" operator="equal">
      <formula>"Napkin Hs"</formula>
    </cfRule>
  </conditionalFormatting>
  <conditionalFormatting sqref="B120:C120">
    <cfRule type="cellIs" dxfId="20857" priority="5143" stopIfTrue="1" operator="equal">
      <formula>"Towel"</formula>
    </cfRule>
    <cfRule type="cellIs" dxfId="20856" priority="5144" stopIfTrue="1" operator="equal">
      <formula>"Napkin Hs"</formula>
    </cfRule>
  </conditionalFormatting>
  <conditionalFormatting sqref="C120">
    <cfRule type="cellIs" dxfId="20855" priority="5151" stopIfTrue="1" operator="equal">
      <formula>"Towel"</formula>
    </cfRule>
    <cfRule type="cellIs" dxfId="20854" priority="5152" stopIfTrue="1" operator="equal">
      <formula>"Napkin Hs"</formula>
    </cfRule>
  </conditionalFormatting>
  <conditionalFormatting sqref="C120">
    <cfRule type="cellIs" dxfId="20853" priority="5153" stopIfTrue="1" operator="equal">
      <formula>"Towel"</formula>
    </cfRule>
    <cfRule type="cellIs" dxfId="20852" priority="5154" stopIfTrue="1" operator="equal">
      <formula>"Napkin Hs"</formula>
    </cfRule>
  </conditionalFormatting>
  <conditionalFormatting sqref="C120">
    <cfRule type="cellIs" dxfId="20851" priority="5139" stopIfTrue="1" operator="equal">
      <formula>"Towel"</formula>
    </cfRule>
    <cfRule type="cellIs" dxfId="20850" priority="5140" stopIfTrue="1" operator="equal">
      <formula>"Napkin Hs"</formula>
    </cfRule>
  </conditionalFormatting>
  <conditionalFormatting sqref="C120">
    <cfRule type="cellIs" dxfId="20849" priority="5141" stopIfTrue="1" operator="equal">
      <formula>"Towel"</formula>
    </cfRule>
    <cfRule type="cellIs" dxfId="20848" priority="5142" stopIfTrue="1" operator="equal">
      <formula>"Napkin Hs"</formula>
    </cfRule>
  </conditionalFormatting>
  <conditionalFormatting sqref="C120">
    <cfRule type="cellIs" dxfId="20847" priority="5137" stopIfTrue="1" operator="equal">
      <formula>"Towel"</formula>
    </cfRule>
    <cfRule type="cellIs" dxfId="20846" priority="5138" stopIfTrue="1" operator="equal">
      <formula>"Napkin Hs"</formula>
    </cfRule>
  </conditionalFormatting>
  <conditionalFormatting sqref="B120">
    <cfRule type="cellIs" dxfId="20845" priority="5135" stopIfTrue="1" operator="equal">
      <formula>"Towel"</formula>
    </cfRule>
    <cfRule type="cellIs" dxfId="20844" priority="5136" stopIfTrue="1" operator="equal">
      <formula>"Napkin Hs"</formula>
    </cfRule>
  </conditionalFormatting>
  <conditionalFormatting sqref="C120">
    <cfRule type="cellIs" dxfId="20843" priority="5129" stopIfTrue="1" operator="equal">
      <formula>"Towel"</formula>
    </cfRule>
    <cfRule type="cellIs" dxfId="20842" priority="5130" stopIfTrue="1" operator="equal">
      <formula>"Napkin Hs"</formula>
    </cfRule>
  </conditionalFormatting>
  <conditionalFormatting sqref="C120">
    <cfRule type="cellIs" dxfId="20841" priority="5133" stopIfTrue="1" operator="equal">
      <formula>"Towel"</formula>
    </cfRule>
    <cfRule type="cellIs" dxfId="20840" priority="5134" stopIfTrue="1" operator="equal">
      <formula>"Napkin Hs"</formula>
    </cfRule>
  </conditionalFormatting>
  <conditionalFormatting sqref="C120">
    <cfRule type="cellIs" dxfId="20839" priority="5131" stopIfTrue="1" operator="equal">
      <formula>"Towel"</formula>
    </cfRule>
    <cfRule type="cellIs" dxfId="20838" priority="5132" stopIfTrue="1" operator="equal">
      <formula>"Napkin Hs"</formula>
    </cfRule>
  </conditionalFormatting>
  <conditionalFormatting sqref="C120">
    <cfRule type="cellIs" dxfId="20837" priority="5123" stopIfTrue="1" operator="equal">
      <formula>"Towel"</formula>
    </cfRule>
    <cfRule type="cellIs" dxfId="20836" priority="5124" stopIfTrue="1" operator="equal">
      <formula>"Napkin Hs"</formula>
    </cfRule>
  </conditionalFormatting>
  <conditionalFormatting sqref="C120">
    <cfRule type="cellIs" dxfId="20835" priority="5125" stopIfTrue="1" operator="equal">
      <formula>"Towel"</formula>
    </cfRule>
    <cfRule type="cellIs" dxfId="20834" priority="5126" stopIfTrue="1" operator="equal">
      <formula>"Napkin Hs"</formula>
    </cfRule>
  </conditionalFormatting>
  <conditionalFormatting sqref="C120">
    <cfRule type="cellIs" dxfId="20833" priority="5127" stopIfTrue="1" operator="equal">
      <formula>"Towel"</formula>
    </cfRule>
    <cfRule type="cellIs" dxfId="20832" priority="5128" stopIfTrue="1" operator="equal">
      <formula>"Napkin Hs"</formula>
    </cfRule>
  </conditionalFormatting>
  <conditionalFormatting sqref="B120:C120">
    <cfRule type="cellIs" dxfId="20831" priority="5121" stopIfTrue="1" operator="equal">
      <formula>"Towel"</formula>
    </cfRule>
    <cfRule type="cellIs" dxfId="20830" priority="5122" stopIfTrue="1" operator="equal">
      <formula>"Napkin Hs"</formula>
    </cfRule>
  </conditionalFormatting>
  <conditionalFormatting sqref="B120:C120">
    <cfRule type="cellIs" dxfId="20829" priority="5119" stopIfTrue="1" operator="equal">
      <formula>"Towel"</formula>
    </cfRule>
    <cfRule type="cellIs" dxfId="20828" priority="5120" stopIfTrue="1" operator="equal">
      <formula>"Napkin Hs"</formula>
    </cfRule>
  </conditionalFormatting>
  <conditionalFormatting sqref="B120:C120">
    <cfRule type="cellIs" dxfId="20827" priority="5095" stopIfTrue="1" operator="equal">
      <formula>"Towel"</formula>
    </cfRule>
  </conditionalFormatting>
  <conditionalFormatting sqref="B120:C120">
    <cfRule type="cellIs" dxfId="20826" priority="5096" stopIfTrue="1" operator="equal">
      <formula>"Napkin Hs"</formula>
    </cfRule>
    <cfRule type="cellIs" dxfId="20825" priority="5101" stopIfTrue="1" operator="equal">
      <formula>"Towel"</formula>
    </cfRule>
    <cfRule type="cellIs" dxfId="20824" priority="5102" stopIfTrue="1" operator="equal">
      <formula>"Napkin Hs"</formula>
    </cfRule>
    <cfRule type="cellIs" dxfId="20823" priority="5111" stopIfTrue="1" operator="equal">
      <formula>"Towel"</formula>
    </cfRule>
    <cfRule type="cellIs" dxfId="20822" priority="5112" stopIfTrue="1" operator="equal">
      <formula>"Napkin Hs"</formula>
    </cfRule>
    <cfRule type="cellIs" dxfId="20821" priority="5117" stopIfTrue="1" operator="equal">
      <formula>"Towel"</formula>
    </cfRule>
    <cfRule type="cellIs" dxfId="20820" priority="5118" stopIfTrue="1" operator="equal">
      <formula>"Napkin Hs"</formula>
    </cfRule>
  </conditionalFormatting>
  <conditionalFormatting sqref="C120">
    <cfRule type="cellIs" dxfId="20819" priority="5097" stopIfTrue="1" operator="equal">
      <formula>"Towel"</formula>
    </cfRule>
    <cfRule type="cellIs" dxfId="20818" priority="5098" stopIfTrue="1" operator="equal">
      <formula>"Napkin Hs"</formula>
    </cfRule>
    <cfRule type="cellIs" dxfId="20817" priority="5099" stopIfTrue="1" operator="equal">
      <formula>"Towel"</formula>
    </cfRule>
    <cfRule type="cellIs" dxfId="20816" priority="5100" stopIfTrue="1" operator="equal">
      <formula>"Napkin Hs"</formula>
    </cfRule>
    <cfRule type="cellIs" dxfId="20815" priority="5103" stopIfTrue="1" operator="equal">
      <formula>"Towel"</formula>
    </cfRule>
    <cfRule type="cellIs" dxfId="20814" priority="5104" stopIfTrue="1" operator="equal">
      <formula>"Napkin Hs"</formula>
    </cfRule>
    <cfRule type="cellIs" dxfId="20813" priority="5105" stopIfTrue="1" operator="equal">
      <formula>"Towel"</formula>
    </cfRule>
    <cfRule type="cellIs" dxfId="20812" priority="5106" stopIfTrue="1" operator="equal">
      <formula>"Napkin Hs"</formula>
    </cfRule>
    <cfRule type="cellIs" dxfId="20811" priority="5107" stopIfTrue="1" operator="equal">
      <formula>"Towel"</formula>
    </cfRule>
    <cfRule type="cellIs" dxfId="20810" priority="5108" stopIfTrue="1" operator="equal">
      <formula>"Napkin Hs"</formula>
    </cfRule>
    <cfRule type="cellIs" dxfId="20809" priority="5109" stopIfTrue="1" operator="equal">
      <formula>"Towel"</formula>
    </cfRule>
    <cfRule type="cellIs" dxfId="20808" priority="5110" stopIfTrue="1" operator="equal">
      <formula>"Napkin Hs"</formula>
    </cfRule>
    <cfRule type="cellIs" dxfId="20807" priority="5113" stopIfTrue="1" operator="equal">
      <formula>"Towel"</formula>
    </cfRule>
    <cfRule type="cellIs" dxfId="20806" priority="5114" stopIfTrue="1" operator="equal">
      <formula>"Napkin Hs"</formula>
    </cfRule>
    <cfRule type="cellIs" dxfId="20805" priority="5116" stopIfTrue="1" operator="equal">
      <formula>"Napkin Hs"</formula>
    </cfRule>
  </conditionalFormatting>
  <conditionalFormatting sqref="C120">
    <cfRule type="cellIs" dxfId="20804" priority="5115" stopIfTrue="1" operator="equal">
      <formula>"Towel"</formula>
    </cfRule>
  </conditionalFormatting>
  <conditionalFormatting sqref="B120:C120">
    <cfRule type="cellIs" dxfId="20803" priority="5093" stopIfTrue="1" operator="equal">
      <formula>"Towel"</formula>
    </cfRule>
    <cfRule type="cellIs" dxfId="20802" priority="5094" stopIfTrue="1" operator="equal">
      <formula>"Napkin Hs"</formula>
    </cfRule>
  </conditionalFormatting>
  <conditionalFormatting sqref="C120">
    <cfRule type="cellIs" dxfId="20801" priority="5092" stopIfTrue="1" operator="equal">
      <formula>"Napkin Hs"</formula>
    </cfRule>
  </conditionalFormatting>
  <conditionalFormatting sqref="C120">
    <cfRule type="cellIs" dxfId="20800" priority="5091" stopIfTrue="1" operator="equal">
      <formula>"Towel"</formula>
    </cfRule>
  </conditionalFormatting>
  <conditionalFormatting sqref="C120">
    <cfRule type="cellIs" dxfId="20799" priority="5089" stopIfTrue="1" operator="equal">
      <formula>"Towel"</formula>
    </cfRule>
  </conditionalFormatting>
  <conditionalFormatting sqref="C120">
    <cfRule type="cellIs" dxfId="20798" priority="5090" stopIfTrue="1" operator="equal">
      <formula>"Napkin Hs"</formula>
    </cfRule>
  </conditionalFormatting>
  <conditionalFormatting sqref="B120">
    <cfRule type="cellIs" dxfId="20797" priority="4993" stopIfTrue="1" operator="equal">
      <formula>"Napkin Hs"</formula>
    </cfRule>
  </conditionalFormatting>
  <conditionalFormatting sqref="B120:C120">
    <cfRule type="cellIs" dxfId="20796" priority="4992" stopIfTrue="1" operator="equal">
      <formula>"Towel"</formula>
    </cfRule>
  </conditionalFormatting>
  <conditionalFormatting sqref="B120:C120">
    <cfRule type="cellIs" dxfId="20795" priority="5003" stopIfTrue="1" operator="equal">
      <formula>"Towel"</formula>
    </cfRule>
    <cfRule type="cellIs" dxfId="20794" priority="5004" stopIfTrue="1" operator="equal">
      <formula>"Napkin Hs"</formula>
    </cfRule>
    <cfRule type="cellIs" dxfId="20793" priority="5009" stopIfTrue="1" operator="equal">
      <formula>"Towel"</formula>
    </cfRule>
    <cfRule type="cellIs" dxfId="20792" priority="5010" stopIfTrue="1" operator="equal">
      <formula>"Napkin Hs"</formula>
    </cfRule>
    <cfRule type="cellIs" dxfId="20791" priority="5015" stopIfTrue="1" operator="equal">
      <formula>"Towel"</formula>
    </cfRule>
    <cfRule type="cellIs" dxfId="20790" priority="5016" stopIfTrue="1" operator="equal">
      <formula>"Napkin Hs"</formula>
    </cfRule>
    <cfRule type="cellIs" dxfId="20789" priority="5017" stopIfTrue="1" operator="equal">
      <formula>"Towel"</formula>
    </cfRule>
    <cfRule type="cellIs" dxfId="20788" priority="5018" stopIfTrue="1" operator="equal">
      <formula>"Napkin Hs"</formula>
    </cfRule>
    <cfRule type="cellIs" dxfId="20787" priority="5023" stopIfTrue="1" operator="equal">
      <formula>"Towel"</formula>
    </cfRule>
    <cfRule type="cellIs" dxfId="20786" priority="5024" stopIfTrue="1" operator="equal">
      <formula>"Napkin Hs"</formula>
    </cfRule>
    <cfRule type="cellIs" dxfId="20785" priority="5033" stopIfTrue="1" operator="equal">
      <formula>"Towel"</formula>
    </cfRule>
    <cfRule type="cellIs" dxfId="20784" priority="5034" stopIfTrue="1" operator="equal">
      <formula>"Napkin Hs"</formula>
    </cfRule>
    <cfRule type="cellIs" dxfId="20783" priority="5039" stopIfTrue="1" operator="equal">
      <formula>"Towel"</formula>
    </cfRule>
    <cfRule type="cellIs" dxfId="20782" priority="5040" stopIfTrue="1" operator="equal">
      <formula>"Napkin Hs"</formula>
    </cfRule>
    <cfRule type="cellIs" dxfId="20781" priority="5041" stopIfTrue="1" operator="equal">
      <formula>"Towel"</formula>
    </cfRule>
    <cfRule type="cellIs" dxfId="20780" priority="5042" stopIfTrue="1" operator="equal">
      <formula>"Napkin Hs"</formula>
    </cfRule>
    <cfRule type="cellIs" dxfId="20779" priority="5047" stopIfTrue="1" operator="equal">
      <formula>"Towel"</formula>
    </cfRule>
    <cfRule type="cellIs" dxfId="20778" priority="5048" stopIfTrue="1" operator="equal">
      <formula>"Napkin Hs"</formula>
    </cfRule>
    <cfRule type="cellIs" dxfId="20777" priority="5057" stopIfTrue="1" operator="equal">
      <formula>"Towel"</formula>
    </cfRule>
    <cfRule type="cellIs" dxfId="20776" priority="5058" stopIfTrue="1" operator="equal">
      <formula>"Napkin Hs"</formula>
    </cfRule>
    <cfRule type="cellIs" dxfId="20775" priority="5059" stopIfTrue="1" operator="equal">
      <formula>"Towel"</formula>
    </cfRule>
    <cfRule type="cellIs" dxfId="20774" priority="5060" stopIfTrue="1" operator="equal">
      <formula>"Napkin Hs"</formula>
    </cfRule>
    <cfRule type="cellIs" dxfId="20773" priority="5065" stopIfTrue="1" operator="equal">
      <formula>"Towel"</formula>
    </cfRule>
    <cfRule type="cellIs" dxfId="20772" priority="5066" stopIfTrue="1" operator="equal">
      <formula>"Napkin Hs"</formula>
    </cfRule>
    <cfRule type="cellIs" dxfId="20771" priority="5075" stopIfTrue="1" operator="equal">
      <formula>"Towel"</formula>
    </cfRule>
    <cfRule type="cellIs" dxfId="20770" priority="5076" stopIfTrue="1" operator="equal">
      <formula>"Napkin Hs"</formula>
    </cfRule>
    <cfRule type="cellIs" dxfId="20769" priority="5077" stopIfTrue="1" operator="equal">
      <formula>"Towel"</formula>
    </cfRule>
    <cfRule type="cellIs" dxfId="20768" priority="5078" stopIfTrue="1" operator="equal">
      <formula>"Napkin Hs"</formula>
    </cfRule>
    <cfRule type="cellIs" dxfId="20767" priority="5084" stopIfTrue="1" operator="equal">
      <formula>"Napkin Hs"</formula>
    </cfRule>
  </conditionalFormatting>
  <conditionalFormatting sqref="B120:C120">
    <cfRule type="cellIs" dxfId="20766" priority="5083" stopIfTrue="1" operator="equal">
      <formula>"Towel"</formula>
    </cfRule>
  </conditionalFormatting>
  <conditionalFormatting sqref="C120">
    <cfRule type="cellIs" dxfId="20765" priority="4994" stopIfTrue="1" operator="equal">
      <formula>"Napkin Hs"</formula>
    </cfRule>
    <cfRule type="cellIs" dxfId="20764" priority="4995" stopIfTrue="1" operator="equal">
      <formula>"Towel"</formula>
    </cfRule>
    <cfRule type="cellIs" dxfId="20763" priority="4996" stopIfTrue="1" operator="equal">
      <formula>"Napkin Hs"</formula>
    </cfRule>
    <cfRule type="cellIs" dxfId="20762" priority="4997" stopIfTrue="1" operator="equal">
      <formula>"Towel"</formula>
    </cfRule>
    <cfRule type="cellIs" dxfId="20761" priority="4998" stopIfTrue="1" operator="equal">
      <formula>"Napkin Hs"</formula>
    </cfRule>
    <cfRule type="cellIs" dxfId="20760" priority="4999" stopIfTrue="1" operator="equal">
      <formula>"Towel"</formula>
    </cfRule>
    <cfRule type="cellIs" dxfId="20759" priority="5000" stopIfTrue="1" operator="equal">
      <formula>"Napkin Hs"</formula>
    </cfRule>
    <cfRule type="cellIs" dxfId="20758" priority="5001" stopIfTrue="1" operator="equal">
      <formula>"Towel"</formula>
    </cfRule>
    <cfRule type="cellIs" dxfId="20757" priority="5002" stopIfTrue="1" operator="equal">
      <formula>"Napkin Hs"</formula>
    </cfRule>
    <cfRule type="cellIs" dxfId="20756" priority="5005" stopIfTrue="1" operator="equal">
      <formula>"Towel"</formula>
    </cfRule>
    <cfRule type="cellIs" dxfId="20755" priority="5006" stopIfTrue="1" operator="equal">
      <formula>"Napkin Hs"</formula>
    </cfRule>
    <cfRule type="cellIs" dxfId="20754" priority="5007" stopIfTrue="1" operator="equal">
      <formula>"Towel"</formula>
    </cfRule>
    <cfRule type="cellIs" dxfId="20753" priority="5008" stopIfTrue="1" operator="equal">
      <formula>"Napkin Hs"</formula>
    </cfRule>
    <cfRule type="cellIs" dxfId="20752" priority="5011" stopIfTrue="1" operator="equal">
      <formula>"Towel"</formula>
    </cfRule>
    <cfRule type="cellIs" dxfId="20751" priority="5012" stopIfTrue="1" operator="equal">
      <formula>"Napkin Hs"</formula>
    </cfRule>
    <cfRule type="cellIs" dxfId="20750" priority="5013" stopIfTrue="1" operator="equal">
      <formula>"Towel"</formula>
    </cfRule>
    <cfRule type="cellIs" dxfId="20749" priority="5014" stopIfTrue="1" operator="equal">
      <formula>"Napkin Hs"</formula>
    </cfRule>
    <cfRule type="cellIs" dxfId="20748" priority="5019" stopIfTrue="1" operator="equal">
      <formula>"Towel"</formula>
    </cfRule>
    <cfRule type="cellIs" dxfId="20747" priority="5020" stopIfTrue="1" operator="equal">
      <formula>"Napkin Hs"</formula>
    </cfRule>
    <cfRule type="cellIs" dxfId="20746" priority="5021" stopIfTrue="1" operator="equal">
      <formula>"Towel"</formula>
    </cfRule>
    <cfRule type="cellIs" dxfId="20745" priority="5022" stopIfTrue="1" operator="equal">
      <formula>"Napkin Hs"</formula>
    </cfRule>
    <cfRule type="cellIs" dxfId="20744" priority="5025" stopIfTrue="1" operator="equal">
      <formula>"Towel"</formula>
    </cfRule>
    <cfRule type="cellIs" dxfId="20743" priority="5026" stopIfTrue="1" operator="equal">
      <formula>"Napkin Hs"</formula>
    </cfRule>
    <cfRule type="cellIs" dxfId="20742" priority="5027" stopIfTrue="1" operator="equal">
      <formula>"Towel"</formula>
    </cfRule>
    <cfRule type="cellIs" dxfId="20741" priority="5028" stopIfTrue="1" operator="equal">
      <formula>"Napkin Hs"</formula>
    </cfRule>
    <cfRule type="cellIs" dxfId="20740" priority="5029" stopIfTrue="1" operator="equal">
      <formula>"Towel"</formula>
    </cfRule>
    <cfRule type="cellIs" dxfId="20739" priority="5030" stopIfTrue="1" operator="equal">
      <formula>"Napkin Hs"</formula>
    </cfRule>
    <cfRule type="cellIs" dxfId="20738" priority="5031" stopIfTrue="1" operator="equal">
      <formula>"Towel"</formula>
    </cfRule>
    <cfRule type="cellIs" dxfId="20737" priority="5032" stopIfTrue="1" operator="equal">
      <formula>"Napkin Hs"</formula>
    </cfRule>
    <cfRule type="cellIs" dxfId="20736" priority="5035" stopIfTrue="1" operator="equal">
      <formula>"Towel"</formula>
    </cfRule>
    <cfRule type="cellIs" dxfId="20735" priority="5036" stopIfTrue="1" operator="equal">
      <formula>"Napkin Hs"</formula>
    </cfRule>
    <cfRule type="cellIs" dxfId="20734" priority="5037" stopIfTrue="1" operator="equal">
      <formula>"Towel"</formula>
    </cfRule>
    <cfRule type="cellIs" dxfId="20733" priority="5038" stopIfTrue="1" operator="equal">
      <formula>"Napkin Hs"</formula>
    </cfRule>
    <cfRule type="cellIs" dxfId="20732" priority="5043" stopIfTrue="1" operator="equal">
      <formula>"Towel"</formula>
    </cfRule>
    <cfRule type="cellIs" dxfId="20731" priority="5044" stopIfTrue="1" operator="equal">
      <formula>"Napkin Hs"</formula>
    </cfRule>
    <cfRule type="cellIs" dxfId="20730" priority="5045" stopIfTrue="1" operator="equal">
      <formula>"Towel"</formula>
    </cfRule>
    <cfRule type="cellIs" dxfId="20729" priority="5046" stopIfTrue="1" operator="equal">
      <formula>"Napkin Hs"</formula>
    </cfRule>
    <cfRule type="cellIs" dxfId="20728" priority="5049" stopIfTrue="1" operator="equal">
      <formula>"Towel"</formula>
    </cfRule>
    <cfRule type="cellIs" dxfId="20727" priority="5050" stopIfTrue="1" operator="equal">
      <formula>"Napkin Hs"</formula>
    </cfRule>
    <cfRule type="cellIs" dxfId="20726" priority="5051" stopIfTrue="1" operator="equal">
      <formula>"Towel"</formula>
    </cfRule>
    <cfRule type="cellIs" dxfId="20725" priority="5052" stopIfTrue="1" operator="equal">
      <formula>"Napkin Hs"</formula>
    </cfRule>
    <cfRule type="cellIs" dxfId="20724" priority="5053" stopIfTrue="1" operator="equal">
      <formula>"Towel"</formula>
    </cfRule>
    <cfRule type="cellIs" dxfId="20723" priority="5054" stopIfTrue="1" operator="equal">
      <formula>"Napkin Hs"</formula>
    </cfRule>
    <cfRule type="cellIs" dxfId="20722" priority="5055" stopIfTrue="1" operator="equal">
      <formula>"Towel"</formula>
    </cfRule>
    <cfRule type="cellIs" dxfId="20721" priority="5056" stopIfTrue="1" operator="equal">
      <formula>"Napkin Hs"</formula>
    </cfRule>
    <cfRule type="cellIs" dxfId="20720" priority="5061" stopIfTrue="1" operator="equal">
      <formula>"Towel"</formula>
    </cfRule>
    <cfRule type="cellIs" dxfId="20719" priority="5062" stopIfTrue="1" operator="equal">
      <formula>"Napkin Hs"</formula>
    </cfRule>
    <cfRule type="cellIs" dxfId="20718" priority="5063" stopIfTrue="1" operator="equal">
      <formula>"Towel"</formula>
    </cfRule>
    <cfRule type="cellIs" dxfId="20717" priority="5064" stopIfTrue="1" operator="equal">
      <formula>"Napkin Hs"</formula>
    </cfRule>
    <cfRule type="cellIs" dxfId="20716" priority="5067" stopIfTrue="1" operator="equal">
      <formula>"Towel"</formula>
    </cfRule>
    <cfRule type="cellIs" dxfId="20715" priority="5068" stopIfTrue="1" operator="equal">
      <formula>"Napkin Hs"</formula>
    </cfRule>
    <cfRule type="cellIs" dxfId="20714" priority="5069" stopIfTrue="1" operator="equal">
      <formula>"Towel"</formula>
    </cfRule>
    <cfRule type="cellIs" dxfId="20713" priority="5070" stopIfTrue="1" operator="equal">
      <formula>"Napkin Hs"</formula>
    </cfRule>
    <cfRule type="cellIs" dxfId="20712" priority="5071" stopIfTrue="1" operator="equal">
      <formula>"Towel"</formula>
    </cfRule>
    <cfRule type="cellIs" dxfId="20711" priority="5072" stopIfTrue="1" operator="equal">
      <formula>"Napkin Hs"</formula>
    </cfRule>
    <cfRule type="cellIs" dxfId="20710" priority="5073" stopIfTrue="1" operator="equal">
      <formula>"Towel"</formula>
    </cfRule>
    <cfRule type="cellIs" dxfId="20709" priority="5074" stopIfTrue="1" operator="equal">
      <formula>"Napkin Hs"</formula>
    </cfRule>
    <cfRule type="cellIs" dxfId="20708" priority="5079" stopIfTrue="1" operator="equal">
      <formula>"Towel"</formula>
    </cfRule>
    <cfRule type="cellIs" dxfId="20707" priority="5080" stopIfTrue="1" operator="equal">
      <formula>"Napkin Hs"</formula>
    </cfRule>
    <cfRule type="cellIs" dxfId="20706" priority="5081" stopIfTrue="1" operator="equal">
      <formula>"Towel"</formula>
    </cfRule>
    <cfRule type="cellIs" dxfId="20705" priority="5082" stopIfTrue="1" operator="equal">
      <formula>"Napkin Hs"</formula>
    </cfRule>
    <cfRule type="cellIs" dxfId="20704" priority="5085" stopIfTrue="1" operator="equal">
      <formula>"Towel"</formula>
    </cfRule>
    <cfRule type="cellIs" dxfId="20703" priority="5086" stopIfTrue="1" operator="equal">
      <formula>"Napkin Hs"</formula>
    </cfRule>
    <cfRule type="cellIs" dxfId="20702" priority="5087" stopIfTrue="1" operator="equal">
      <formula>"Towel"</formula>
    </cfRule>
    <cfRule type="cellIs" dxfId="20701" priority="5088" stopIfTrue="1" operator="equal">
      <formula>"Napkin Hs"</formula>
    </cfRule>
  </conditionalFormatting>
  <conditionalFormatting sqref="C120">
    <cfRule type="cellIs" dxfId="20700" priority="4991" stopIfTrue="1" operator="equal">
      <formula>"Napkin Hs"</formula>
    </cfRule>
  </conditionalFormatting>
  <conditionalFormatting sqref="C120">
    <cfRule type="cellIs" dxfId="20699" priority="4990" stopIfTrue="1" operator="equal">
      <formula>"Napkin Hs"</formula>
    </cfRule>
  </conditionalFormatting>
  <conditionalFormatting sqref="B120">
    <cfRule type="cellIs" dxfId="20698" priority="4989" stopIfTrue="1" operator="equal">
      <formula>"Napkin Hs"</formula>
    </cfRule>
  </conditionalFormatting>
  <conditionalFormatting sqref="C120">
    <cfRule type="cellIs" dxfId="20697" priority="4988" stopIfTrue="1" operator="equal">
      <formula>"Napkin Hs"</formula>
    </cfRule>
  </conditionalFormatting>
  <conditionalFormatting sqref="C120">
    <cfRule type="cellIs" dxfId="20696" priority="4987" stopIfTrue="1" operator="equal">
      <formula>"Napkin Hs"</formula>
    </cfRule>
  </conditionalFormatting>
  <conditionalFormatting sqref="C120">
    <cfRule type="cellIs" dxfId="20695" priority="4986" stopIfTrue="1" operator="equal">
      <formula>"Napkin Hs"</formula>
    </cfRule>
  </conditionalFormatting>
  <conditionalFormatting sqref="C120">
    <cfRule type="cellIs" dxfId="20694" priority="4985" stopIfTrue="1" operator="equal">
      <formula>"Napkin Hs"</formula>
    </cfRule>
  </conditionalFormatting>
  <conditionalFormatting sqref="B120">
    <cfRule type="cellIs" dxfId="20693" priority="4984" stopIfTrue="1" operator="equal">
      <formula>"Napkin Hs"</formula>
    </cfRule>
  </conditionalFormatting>
  <conditionalFormatting sqref="B120">
    <cfRule type="cellIs" dxfId="20692" priority="4983" stopIfTrue="1" operator="equal">
      <formula>"Napkin Hs"</formula>
    </cfRule>
  </conditionalFormatting>
  <conditionalFormatting sqref="C120">
    <cfRule type="cellIs" dxfId="20691" priority="4979" stopIfTrue="1" operator="equal">
      <formula>"Towel"</formula>
    </cfRule>
    <cfRule type="cellIs" dxfId="20690" priority="4980" stopIfTrue="1" operator="equal">
      <formula>"Napkin Hs"</formula>
    </cfRule>
  </conditionalFormatting>
  <conditionalFormatting sqref="C120">
    <cfRule type="cellIs" dxfId="20689" priority="4981" stopIfTrue="1" operator="equal">
      <formula>"Towel"</formula>
    </cfRule>
    <cfRule type="cellIs" dxfId="20688" priority="4982" stopIfTrue="1" operator="equal">
      <formula>"Napkin Hs"</formula>
    </cfRule>
  </conditionalFormatting>
  <conditionalFormatting sqref="C120">
    <cfRule type="cellIs" dxfId="20687" priority="4975" stopIfTrue="1" operator="equal">
      <formula>"Towel"</formula>
    </cfRule>
    <cfRule type="cellIs" dxfId="20686" priority="4976" stopIfTrue="1" operator="equal">
      <formula>"Napkin Hs"</formula>
    </cfRule>
  </conditionalFormatting>
  <conditionalFormatting sqref="C120">
    <cfRule type="cellIs" dxfId="20685" priority="4977" stopIfTrue="1" operator="equal">
      <formula>"Towel"</formula>
    </cfRule>
    <cfRule type="cellIs" dxfId="20684" priority="4978" stopIfTrue="1" operator="equal">
      <formula>"Napkin Hs"</formula>
    </cfRule>
  </conditionalFormatting>
  <conditionalFormatting sqref="B118">
    <cfRule type="cellIs" dxfId="20683" priority="4803" stopIfTrue="1" operator="equal">
      <formula>"Napkin Hs"</formula>
    </cfRule>
  </conditionalFormatting>
  <conditionalFormatting sqref="B118">
    <cfRule type="cellIs" dxfId="20682" priority="4802" stopIfTrue="1" operator="equal">
      <formula>"Napkin Hs"</formula>
    </cfRule>
  </conditionalFormatting>
  <conditionalFormatting sqref="B118">
    <cfRule type="cellIs" dxfId="20681" priority="4801" stopIfTrue="1" operator="equal">
      <formula>"Napkin Hs"</formula>
    </cfRule>
  </conditionalFormatting>
  <conditionalFormatting sqref="C118">
    <cfRule type="cellIs" dxfId="20680" priority="4799" stopIfTrue="1" operator="equal">
      <formula>"Towel"</formula>
    </cfRule>
    <cfRule type="cellIs" dxfId="20679" priority="4800" stopIfTrue="1" operator="equal">
      <formula>"Napkin Hs"</formula>
    </cfRule>
  </conditionalFormatting>
  <conditionalFormatting sqref="C118">
    <cfRule type="cellIs" dxfId="20678" priority="4795" stopIfTrue="1" operator="equal">
      <formula>"Towel"</formula>
    </cfRule>
    <cfRule type="cellIs" dxfId="20677" priority="4796" stopIfTrue="1" operator="equal">
      <formula>"Napkin Hs"</formula>
    </cfRule>
  </conditionalFormatting>
  <conditionalFormatting sqref="C118">
    <cfRule type="cellIs" dxfId="20676" priority="4797" stopIfTrue="1" operator="equal">
      <formula>"Towel"</formula>
    </cfRule>
    <cfRule type="cellIs" dxfId="20675" priority="4798" stopIfTrue="1" operator="equal">
      <formula>"Napkin Hs"</formula>
    </cfRule>
  </conditionalFormatting>
  <conditionalFormatting sqref="C118">
    <cfRule type="cellIs" dxfId="20674" priority="4791" stopIfTrue="1" operator="equal">
      <formula>"Towel"</formula>
    </cfRule>
    <cfRule type="cellIs" dxfId="20673" priority="4792" stopIfTrue="1" operator="equal">
      <formula>"Napkin Hs"</formula>
    </cfRule>
  </conditionalFormatting>
  <conditionalFormatting sqref="C118">
    <cfRule type="cellIs" dxfId="20672" priority="4793" stopIfTrue="1" operator="equal">
      <formula>"Towel"</formula>
    </cfRule>
    <cfRule type="cellIs" dxfId="20671" priority="4794" stopIfTrue="1" operator="equal">
      <formula>"Napkin Hs"</formula>
    </cfRule>
  </conditionalFormatting>
  <conditionalFormatting sqref="C118">
    <cfRule type="cellIs" dxfId="20670" priority="4789" stopIfTrue="1" operator="equal">
      <formula>"Towel"</formula>
    </cfRule>
    <cfRule type="cellIs" dxfId="20669" priority="4790" stopIfTrue="1" operator="equal">
      <formula>"Napkin Hs"</formula>
    </cfRule>
  </conditionalFormatting>
  <conditionalFormatting sqref="C118">
    <cfRule type="cellIs" dxfId="20668" priority="4783" stopIfTrue="1" operator="equal">
      <formula>"Towel"</formula>
    </cfRule>
    <cfRule type="cellIs" dxfId="20667" priority="4784" stopIfTrue="1" operator="equal">
      <formula>"Napkin Hs"</formula>
    </cfRule>
  </conditionalFormatting>
  <conditionalFormatting sqref="C118">
    <cfRule type="cellIs" dxfId="20666" priority="4787" stopIfTrue="1" operator="equal">
      <formula>"Towel"</formula>
    </cfRule>
    <cfRule type="cellIs" dxfId="20665" priority="4788" stopIfTrue="1" operator="equal">
      <formula>"Napkin Hs"</formula>
    </cfRule>
  </conditionalFormatting>
  <conditionalFormatting sqref="C118">
    <cfRule type="cellIs" dxfId="20664" priority="4785" stopIfTrue="1" operator="equal">
      <formula>"Towel"</formula>
    </cfRule>
    <cfRule type="cellIs" dxfId="20663" priority="4786" stopIfTrue="1" operator="equal">
      <formula>"Napkin Hs"</formula>
    </cfRule>
  </conditionalFormatting>
  <conditionalFormatting sqref="C118">
    <cfRule type="cellIs" dxfId="20662" priority="4777" stopIfTrue="1" operator="equal">
      <formula>"Towel"</formula>
    </cfRule>
    <cfRule type="cellIs" dxfId="20661" priority="4778" stopIfTrue="1" operator="equal">
      <formula>"Napkin Hs"</formula>
    </cfRule>
  </conditionalFormatting>
  <conditionalFormatting sqref="C118">
    <cfRule type="cellIs" dxfId="20660" priority="4779" stopIfTrue="1" operator="equal">
      <formula>"Towel"</formula>
    </cfRule>
    <cfRule type="cellIs" dxfId="20659" priority="4780" stopIfTrue="1" operator="equal">
      <formula>"Napkin Hs"</formula>
    </cfRule>
  </conditionalFormatting>
  <conditionalFormatting sqref="C118">
    <cfRule type="cellIs" dxfId="20658" priority="4781" stopIfTrue="1" operator="equal">
      <formula>"Towel"</formula>
    </cfRule>
    <cfRule type="cellIs" dxfId="20657" priority="4782" stopIfTrue="1" operator="equal">
      <formula>"Napkin Hs"</formula>
    </cfRule>
  </conditionalFormatting>
  <conditionalFormatting sqref="C118">
    <cfRule type="cellIs" dxfId="20656" priority="4775" stopIfTrue="1" operator="equal">
      <formula>"Towel"</formula>
    </cfRule>
    <cfRule type="cellIs" dxfId="20655" priority="4776" stopIfTrue="1" operator="equal">
      <formula>"Napkin Hs"</formula>
    </cfRule>
  </conditionalFormatting>
  <conditionalFormatting sqref="C118">
    <cfRule type="cellIs" dxfId="20654" priority="4773" stopIfTrue="1" operator="equal">
      <formula>"Towel"</formula>
    </cfRule>
    <cfRule type="cellIs" dxfId="20653" priority="4774" stopIfTrue="1" operator="equal">
      <formula>"Napkin Hs"</formula>
    </cfRule>
  </conditionalFormatting>
  <conditionalFormatting sqref="C118">
    <cfRule type="cellIs" dxfId="20652" priority="4749" stopIfTrue="1" operator="equal">
      <formula>"Towel"</formula>
    </cfRule>
  </conditionalFormatting>
  <conditionalFormatting sqref="C118">
    <cfRule type="cellIs" dxfId="20651" priority="4750" stopIfTrue="1" operator="equal">
      <formula>"Napkin Hs"</formula>
    </cfRule>
    <cfRule type="cellIs" dxfId="20650" priority="4755" stopIfTrue="1" operator="equal">
      <formula>"Towel"</formula>
    </cfRule>
    <cfRule type="cellIs" dxfId="20649" priority="4756" stopIfTrue="1" operator="equal">
      <formula>"Napkin Hs"</formula>
    </cfRule>
    <cfRule type="cellIs" dxfId="20648" priority="4765" stopIfTrue="1" operator="equal">
      <formula>"Towel"</formula>
    </cfRule>
    <cfRule type="cellIs" dxfId="20647" priority="4766" stopIfTrue="1" operator="equal">
      <formula>"Napkin Hs"</formula>
    </cfRule>
    <cfRule type="cellIs" dxfId="20646" priority="4771" stopIfTrue="1" operator="equal">
      <formula>"Towel"</formula>
    </cfRule>
    <cfRule type="cellIs" dxfId="20645" priority="4772" stopIfTrue="1" operator="equal">
      <formula>"Napkin Hs"</formula>
    </cfRule>
  </conditionalFormatting>
  <conditionalFormatting sqref="C118">
    <cfRule type="cellIs" dxfId="20644" priority="4751" stopIfTrue="1" operator="equal">
      <formula>"Towel"</formula>
    </cfRule>
    <cfRule type="cellIs" dxfId="20643" priority="4752" stopIfTrue="1" operator="equal">
      <formula>"Napkin Hs"</formula>
    </cfRule>
    <cfRule type="cellIs" dxfId="20642" priority="4753" stopIfTrue="1" operator="equal">
      <formula>"Towel"</formula>
    </cfRule>
    <cfRule type="cellIs" dxfId="20641" priority="4754" stopIfTrue="1" operator="equal">
      <formula>"Napkin Hs"</formula>
    </cfRule>
    <cfRule type="cellIs" dxfId="20640" priority="4757" stopIfTrue="1" operator="equal">
      <formula>"Towel"</formula>
    </cfRule>
    <cfRule type="cellIs" dxfId="20639" priority="4758" stopIfTrue="1" operator="equal">
      <formula>"Napkin Hs"</formula>
    </cfRule>
    <cfRule type="cellIs" dxfId="20638" priority="4759" stopIfTrue="1" operator="equal">
      <formula>"Towel"</formula>
    </cfRule>
    <cfRule type="cellIs" dxfId="20637" priority="4760" stopIfTrue="1" operator="equal">
      <formula>"Napkin Hs"</formula>
    </cfRule>
    <cfRule type="cellIs" dxfId="20636" priority="4761" stopIfTrue="1" operator="equal">
      <formula>"Towel"</formula>
    </cfRule>
    <cfRule type="cellIs" dxfId="20635" priority="4762" stopIfTrue="1" operator="equal">
      <formula>"Napkin Hs"</formula>
    </cfRule>
    <cfRule type="cellIs" dxfId="20634" priority="4763" stopIfTrue="1" operator="equal">
      <formula>"Towel"</formula>
    </cfRule>
    <cfRule type="cellIs" dxfId="20633" priority="4764" stopIfTrue="1" operator="equal">
      <formula>"Napkin Hs"</formula>
    </cfRule>
    <cfRule type="cellIs" dxfId="20632" priority="4767" stopIfTrue="1" operator="equal">
      <formula>"Towel"</formula>
    </cfRule>
    <cfRule type="cellIs" dxfId="20631" priority="4768" stopIfTrue="1" operator="equal">
      <formula>"Napkin Hs"</formula>
    </cfRule>
    <cfRule type="cellIs" dxfId="20630" priority="4770" stopIfTrue="1" operator="equal">
      <formula>"Napkin Hs"</formula>
    </cfRule>
  </conditionalFormatting>
  <conditionalFormatting sqref="C118">
    <cfRule type="cellIs" dxfId="20629" priority="4769" stopIfTrue="1" operator="equal">
      <formula>"Towel"</formula>
    </cfRule>
  </conditionalFormatting>
  <conditionalFormatting sqref="C118">
    <cfRule type="cellIs" dxfId="20628" priority="4747" stopIfTrue="1" operator="equal">
      <formula>"Towel"</formula>
    </cfRule>
    <cfRule type="cellIs" dxfId="20627" priority="4748" stopIfTrue="1" operator="equal">
      <formula>"Napkin Hs"</formula>
    </cfRule>
  </conditionalFormatting>
  <conditionalFormatting sqref="C118">
    <cfRule type="cellIs" dxfId="20626" priority="4746" stopIfTrue="1" operator="equal">
      <formula>"Napkin Hs"</formula>
    </cfRule>
  </conditionalFormatting>
  <conditionalFormatting sqref="C118">
    <cfRule type="cellIs" dxfId="20625" priority="4745" stopIfTrue="1" operator="equal">
      <formula>"Towel"</formula>
    </cfRule>
  </conditionalFormatting>
  <conditionalFormatting sqref="C118">
    <cfRule type="cellIs" dxfId="20624" priority="4743" stopIfTrue="1" operator="equal">
      <formula>"Towel"</formula>
    </cfRule>
  </conditionalFormatting>
  <conditionalFormatting sqref="C118">
    <cfRule type="cellIs" dxfId="20623" priority="4744" stopIfTrue="1" operator="equal">
      <formula>"Napkin Hs"</formula>
    </cfRule>
  </conditionalFormatting>
  <conditionalFormatting sqref="C118">
    <cfRule type="cellIs" dxfId="20622" priority="4647" stopIfTrue="1" operator="equal">
      <formula>"Towel"</formula>
    </cfRule>
  </conditionalFormatting>
  <conditionalFormatting sqref="C118">
    <cfRule type="cellIs" dxfId="20621" priority="4657" stopIfTrue="1" operator="equal">
      <formula>"Towel"</formula>
    </cfRule>
    <cfRule type="cellIs" dxfId="20620" priority="4658" stopIfTrue="1" operator="equal">
      <formula>"Napkin Hs"</formula>
    </cfRule>
    <cfRule type="cellIs" dxfId="20619" priority="4663" stopIfTrue="1" operator="equal">
      <formula>"Towel"</formula>
    </cfRule>
    <cfRule type="cellIs" dxfId="20618" priority="4664" stopIfTrue="1" operator="equal">
      <formula>"Napkin Hs"</formula>
    </cfRule>
    <cfRule type="cellIs" dxfId="20617" priority="4669" stopIfTrue="1" operator="equal">
      <formula>"Towel"</formula>
    </cfRule>
    <cfRule type="cellIs" dxfId="20616" priority="4670" stopIfTrue="1" operator="equal">
      <formula>"Napkin Hs"</formula>
    </cfRule>
    <cfRule type="cellIs" dxfId="20615" priority="4671" stopIfTrue="1" operator="equal">
      <formula>"Towel"</formula>
    </cfRule>
    <cfRule type="cellIs" dxfId="20614" priority="4672" stopIfTrue="1" operator="equal">
      <formula>"Napkin Hs"</formula>
    </cfRule>
    <cfRule type="cellIs" dxfId="20613" priority="4677" stopIfTrue="1" operator="equal">
      <formula>"Towel"</formula>
    </cfRule>
    <cfRule type="cellIs" dxfId="20612" priority="4678" stopIfTrue="1" operator="equal">
      <formula>"Napkin Hs"</formula>
    </cfRule>
    <cfRule type="cellIs" dxfId="20611" priority="4687" stopIfTrue="1" operator="equal">
      <formula>"Towel"</formula>
    </cfRule>
    <cfRule type="cellIs" dxfId="20610" priority="4688" stopIfTrue="1" operator="equal">
      <formula>"Napkin Hs"</formula>
    </cfRule>
    <cfRule type="cellIs" dxfId="20609" priority="4693" stopIfTrue="1" operator="equal">
      <formula>"Towel"</formula>
    </cfRule>
    <cfRule type="cellIs" dxfId="20608" priority="4694" stopIfTrue="1" operator="equal">
      <formula>"Napkin Hs"</formula>
    </cfRule>
    <cfRule type="cellIs" dxfId="20607" priority="4695" stopIfTrue="1" operator="equal">
      <formula>"Towel"</formula>
    </cfRule>
    <cfRule type="cellIs" dxfId="20606" priority="4696" stopIfTrue="1" operator="equal">
      <formula>"Napkin Hs"</formula>
    </cfRule>
    <cfRule type="cellIs" dxfId="20605" priority="4701" stopIfTrue="1" operator="equal">
      <formula>"Towel"</formula>
    </cfRule>
    <cfRule type="cellIs" dxfId="20604" priority="4702" stopIfTrue="1" operator="equal">
      <formula>"Napkin Hs"</formula>
    </cfRule>
    <cfRule type="cellIs" dxfId="20603" priority="4711" stopIfTrue="1" operator="equal">
      <formula>"Towel"</formula>
    </cfRule>
    <cfRule type="cellIs" dxfId="20602" priority="4712" stopIfTrue="1" operator="equal">
      <formula>"Napkin Hs"</formula>
    </cfRule>
    <cfRule type="cellIs" dxfId="20601" priority="4713" stopIfTrue="1" operator="equal">
      <formula>"Towel"</formula>
    </cfRule>
    <cfRule type="cellIs" dxfId="20600" priority="4714" stopIfTrue="1" operator="equal">
      <formula>"Napkin Hs"</formula>
    </cfRule>
    <cfRule type="cellIs" dxfId="20599" priority="4719" stopIfTrue="1" operator="equal">
      <formula>"Towel"</formula>
    </cfRule>
    <cfRule type="cellIs" dxfId="20598" priority="4720" stopIfTrue="1" operator="equal">
      <formula>"Napkin Hs"</formula>
    </cfRule>
    <cfRule type="cellIs" dxfId="20597" priority="4729" stopIfTrue="1" operator="equal">
      <formula>"Towel"</formula>
    </cfRule>
    <cfRule type="cellIs" dxfId="20596" priority="4730" stopIfTrue="1" operator="equal">
      <formula>"Napkin Hs"</formula>
    </cfRule>
    <cfRule type="cellIs" dxfId="20595" priority="4731" stopIfTrue="1" operator="equal">
      <formula>"Towel"</formula>
    </cfRule>
    <cfRule type="cellIs" dxfId="20594" priority="4732" stopIfTrue="1" operator="equal">
      <formula>"Napkin Hs"</formula>
    </cfRule>
    <cfRule type="cellIs" dxfId="20593" priority="4738" stopIfTrue="1" operator="equal">
      <formula>"Napkin Hs"</formula>
    </cfRule>
  </conditionalFormatting>
  <conditionalFormatting sqref="C118">
    <cfRule type="cellIs" dxfId="20592" priority="4737" stopIfTrue="1" operator="equal">
      <formula>"Towel"</formula>
    </cfRule>
  </conditionalFormatting>
  <conditionalFormatting sqref="C118">
    <cfRule type="cellIs" dxfId="20591" priority="4648" stopIfTrue="1" operator="equal">
      <formula>"Napkin Hs"</formula>
    </cfRule>
    <cfRule type="cellIs" dxfId="20590" priority="4649" stopIfTrue="1" operator="equal">
      <formula>"Towel"</formula>
    </cfRule>
    <cfRule type="cellIs" dxfId="20589" priority="4650" stopIfTrue="1" operator="equal">
      <formula>"Napkin Hs"</formula>
    </cfRule>
    <cfRule type="cellIs" dxfId="20588" priority="4651" stopIfTrue="1" operator="equal">
      <formula>"Towel"</formula>
    </cfRule>
    <cfRule type="cellIs" dxfId="20587" priority="4652" stopIfTrue="1" operator="equal">
      <formula>"Napkin Hs"</formula>
    </cfRule>
    <cfRule type="cellIs" dxfId="20586" priority="4653" stopIfTrue="1" operator="equal">
      <formula>"Towel"</formula>
    </cfRule>
    <cfRule type="cellIs" dxfId="20585" priority="4654" stopIfTrue="1" operator="equal">
      <formula>"Napkin Hs"</formula>
    </cfRule>
    <cfRule type="cellIs" dxfId="20584" priority="4655" stopIfTrue="1" operator="equal">
      <formula>"Towel"</formula>
    </cfRule>
    <cfRule type="cellIs" dxfId="20583" priority="4656" stopIfTrue="1" operator="equal">
      <formula>"Napkin Hs"</formula>
    </cfRule>
    <cfRule type="cellIs" dxfId="20582" priority="4659" stopIfTrue="1" operator="equal">
      <formula>"Towel"</formula>
    </cfRule>
    <cfRule type="cellIs" dxfId="20581" priority="4660" stopIfTrue="1" operator="equal">
      <formula>"Napkin Hs"</formula>
    </cfRule>
    <cfRule type="cellIs" dxfId="20580" priority="4661" stopIfTrue="1" operator="equal">
      <formula>"Towel"</formula>
    </cfRule>
    <cfRule type="cellIs" dxfId="20579" priority="4662" stopIfTrue="1" operator="equal">
      <formula>"Napkin Hs"</formula>
    </cfRule>
    <cfRule type="cellIs" dxfId="20578" priority="4665" stopIfTrue="1" operator="equal">
      <formula>"Towel"</formula>
    </cfRule>
    <cfRule type="cellIs" dxfId="20577" priority="4666" stopIfTrue="1" operator="equal">
      <formula>"Napkin Hs"</formula>
    </cfRule>
    <cfRule type="cellIs" dxfId="20576" priority="4667" stopIfTrue="1" operator="equal">
      <formula>"Towel"</formula>
    </cfRule>
    <cfRule type="cellIs" dxfId="20575" priority="4668" stopIfTrue="1" operator="equal">
      <formula>"Napkin Hs"</formula>
    </cfRule>
    <cfRule type="cellIs" dxfId="20574" priority="4673" stopIfTrue="1" operator="equal">
      <formula>"Towel"</formula>
    </cfRule>
    <cfRule type="cellIs" dxfId="20573" priority="4674" stopIfTrue="1" operator="equal">
      <formula>"Napkin Hs"</formula>
    </cfRule>
    <cfRule type="cellIs" dxfId="20572" priority="4675" stopIfTrue="1" operator="equal">
      <formula>"Towel"</formula>
    </cfRule>
    <cfRule type="cellIs" dxfId="20571" priority="4676" stopIfTrue="1" operator="equal">
      <formula>"Napkin Hs"</formula>
    </cfRule>
    <cfRule type="cellIs" dxfId="20570" priority="4679" stopIfTrue="1" operator="equal">
      <formula>"Towel"</formula>
    </cfRule>
    <cfRule type="cellIs" dxfId="20569" priority="4680" stopIfTrue="1" operator="equal">
      <formula>"Napkin Hs"</formula>
    </cfRule>
    <cfRule type="cellIs" dxfId="20568" priority="4681" stopIfTrue="1" operator="equal">
      <formula>"Towel"</formula>
    </cfRule>
    <cfRule type="cellIs" dxfId="20567" priority="4682" stopIfTrue="1" operator="equal">
      <formula>"Napkin Hs"</formula>
    </cfRule>
    <cfRule type="cellIs" dxfId="20566" priority="4683" stopIfTrue="1" operator="equal">
      <formula>"Towel"</formula>
    </cfRule>
    <cfRule type="cellIs" dxfId="20565" priority="4684" stopIfTrue="1" operator="equal">
      <formula>"Napkin Hs"</formula>
    </cfRule>
    <cfRule type="cellIs" dxfId="20564" priority="4685" stopIfTrue="1" operator="equal">
      <formula>"Towel"</formula>
    </cfRule>
    <cfRule type="cellIs" dxfId="20563" priority="4686" stopIfTrue="1" operator="equal">
      <formula>"Napkin Hs"</formula>
    </cfRule>
    <cfRule type="cellIs" dxfId="20562" priority="4689" stopIfTrue="1" operator="equal">
      <formula>"Towel"</formula>
    </cfRule>
    <cfRule type="cellIs" dxfId="20561" priority="4690" stopIfTrue="1" operator="equal">
      <formula>"Napkin Hs"</formula>
    </cfRule>
    <cfRule type="cellIs" dxfId="20560" priority="4691" stopIfTrue="1" operator="equal">
      <formula>"Towel"</formula>
    </cfRule>
    <cfRule type="cellIs" dxfId="20559" priority="4692" stopIfTrue="1" operator="equal">
      <formula>"Napkin Hs"</formula>
    </cfRule>
    <cfRule type="cellIs" dxfId="20558" priority="4697" stopIfTrue="1" operator="equal">
      <formula>"Towel"</formula>
    </cfRule>
    <cfRule type="cellIs" dxfId="20557" priority="4698" stopIfTrue="1" operator="equal">
      <formula>"Napkin Hs"</formula>
    </cfRule>
    <cfRule type="cellIs" dxfId="20556" priority="4699" stopIfTrue="1" operator="equal">
      <formula>"Towel"</formula>
    </cfRule>
    <cfRule type="cellIs" dxfId="20555" priority="4700" stopIfTrue="1" operator="equal">
      <formula>"Napkin Hs"</formula>
    </cfRule>
    <cfRule type="cellIs" dxfId="20554" priority="4703" stopIfTrue="1" operator="equal">
      <formula>"Towel"</formula>
    </cfRule>
    <cfRule type="cellIs" dxfId="20553" priority="4704" stopIfTrue="1" operator="equal">
      <formula>"Napkin Hs"</formula>
    </cfRule>
    <cfRule type="cellIs" dxfId="20552" priority="4705" stopIfTrue="1" operator="equal">
      <formula>"Towel"</formula>
    </cfRule>
    <cfRule type="cellIs" dxfId="20551" priority="4706" stopIfTrue="1" operator="equal">
      <formula>"Napkin Hs"</formula>
    </cfRule>
    <cfRule type="cellIs" dxfId="20550" priority="4707" stopIfTrue="1" operator="equal">
      <formula>"Towel"</formula>
    </cfRule>
    <cfRule type="cellIs" dxfId="20549" priority="4708" stopIfTrue="1" operator="equal">
      <formula>"Napkin Hs"</formula>
    </cfRule>
    <cfRule type="cellIs" dxfId="20548" priority="4709" stopIfTrue="1" operator="equal">
      <formula>"Towel"</formula>
    </cfRule>
    <cfRule type="cellIs" dxfId="20547" priority="4710" stopIfTrue="1" operator="equal">
      <formula>"Napkin Hs"</formula>
    </cfRule>
    <cfRule type="cellIs" dxfId="20546" priority="4715" stopIfTrue="1" operator="equal">
      <formula>"Towel"</formula>
    </cfRule>
    <cfRule type="cellIs" dxfId="20545" priority="4716" stopIfTrue="1" operator="equal">
      <formula>"Napkin Hs"</formula>
    </cfRule>
    <cfRule type="cellIs" dxfId="20544" priority="4717" stopIfTrue="1" operator="equal">
      <formula>"Towel"</formula>
    </cfRule>
    <cfRule type="cellIs" dxfId="20543" priority="4718" stopIfTrue="1" operator="equal">
      <formula>"Napkin Hs"</formula>
    </cfRule>
    <cfRule type="cellIs" dxfId="20542" priority="4721" stopIfTrue="1" operator="equal">
      <formula>"Towel"</formula>
    </cfRule>
    <cfRule type="cellIs" dxfId="20541" priority="4722" stopIfTrue="1" operator="equal">
      <formula>"Napkin Hs"</formula>
    </cfRule>
    <cfRule type="cellIs" dxfId="20540" priority="4723" stopIfTrue="1" operator="equal">
      <formula>"Towel"</formula>
    </cfRule>
    <cfRule type="cellIs" dxfId="20539" priority="4724" stopIfTrue="1" operator="equal">
      <formula>"Napkin Hs"</formula>
    </cfRule>
    <cfRule type="cellIs" dxfId="20538" priority="4725" stopIfTrue="1" operator="equal">
      <formula>"Towel"</formula>
    </cfRule>
    <cfRule type="cellIs" dxfId="20537" priority="4726" stopIfTrue="1" operator="equal">
      <formula>"Napkin Hs"</formula>
    </cfRule>
    <cfRule type="cellIs" dxfId="20536" priority="4727" stopIfTrue="1" operator="equal">
      <formula>"Towel"</formula>
    </cfRule>
    <cfRule type="cellIs" dxfId="20535" priority="4728" stopIfTrue="1" operator="equal">
      <formula>"Napkin Hs"</formula>
    </cfRule>
    <cfRule type="cellIs" dxfId="20534" priority="4733" stopIfTrue="1" operator="equal">
      <formula>"Towel"</formula>
    </cfRule>
    <cfRule type="cellIs" dxfId="20533" priority="4734" stopIfTrue="1" operator="equal">
      <formula>"Napkin Hs"</formula>
    </cfRule>
    <cfRule type="cellIs" dxfId="20532" priority="4735" stopIfTrue="1" operator="equal">
      <formula>"Towel"</formula>
    </cfRule>
    <cfRule type="cellIs" dxfId="20531" priority="4736" stopIfTrue="1" operator="equal">
      <formula>"Napkin Hs"</formula>
    </cfRule>
    <cfRule type="cellIs" dxfId="20530" priority="4739" stopIfTrue="1" operator="equal">
      <formula>"Towel"</formula>
    </cfRule>
    <cfRule type="cellIs" dxfId="20529" priority="4740" stopIfTrue="1" operator="equal">
      <formula>"Napkin Hs"</formula>
    </cfRule>
    <cfRule type="cellIs" dxfId="20528" priority="4741" stopIfTrue="1" operator="equal">
      <formula>"Towel"</formula>
    </cfRule>
    <cfRule type="cellIs" dxfId="20527" priority="4742" stopIfTrue="1" operator="equal">
      <formula>"Napkin Hs"</formula>
    </cfRule>
  </conditionalFormatting>
  <conditionalFormatting sqref="C118">
    <cfRule type="cellIs" dxfId="20526" priority="4646" stopIfTrue="1" operator="equal">
      <formula>"Napkin Hs"</formula>
    </cfRule>
  </conditionalFormatting>
  <conditionalFormatting sqref="C118">
    <cfRule type="cellIs" dxfId="20525" priority="4645" stopIfTrue="1" operator="equal">
      <formula>"Napkin Hs"</formula>
    </cfRule>
  </conditionalFormatting>
  <conditionalFormatting sqref="C118">
    <cfRule type="cellIs" dxfId="20524" priority="4644" stopIfTrue="1" operator="equal">
      <formula>"Napkin Hs"</formula>
    </cfRule>
  </conditionalFormatting>
  <conditionalFormatting sqref="C118">
    <cfRule type="cellIs" dxfId="20523" priority="4643" stopIfTrue="1" operator="equal">
      <formula>"Napkin Hs"</formula>
    </cfRule>
  </conditionalFormatting>
  <conditionalFormatting sqref="C118">
    <cfRule type="cellIs" dxfId="20522" priority="4642" stopIfTrue="1" operator="equal">
      <formula>"Napkin Hs"</formula>
    </cfRule>
  </conditionalFormatting>
  <conditionalFormatting sqref="C118">
    <cfRule type="cellIs" dxfId="20521" priority="4641" stopIfTrue="1" operator="equal">
      <formula>"Napkin Hs"</formula>
    </cfRule>
  </conditionalFormatting>
  <conditionalFormatting sqref="C118">
    <cfRule type="cellIs" dxfId="20520" priority="4637" stopIfTrue="1" operator="equal">
      <formula>"Towel"</formula>
    </cfRule>
    <cfRule type="cellIs" dxfId="20519" priority="4638" stopIfTrue="1" operator="equal">
      <formula>"Napkin Hs"</formula>
    </cfRule>
  </conditionalFormatting>
  <conditionalFormatting sqref="C118">
    <cfRule type="cellIs" dxfId="20518" priority="4639" stopIfTrue="1" operator="equal">
      <formula>"Towel"</formula>
    </cfRule>
    <cfRule type="cellIs" dxfId="20517" priority="4640" stopIfTrue="1" operator="equal">
      <formula>"Napkin Hs"</formula>
    </cfRule>
  </conditionalFormatting>
  <conditionalFormatting sqref="C118">
    <cfRule type="cellIs" dxfId="20516" priority="4633" stopIfTrue="1" operator="equal">
      <formula>"Towel"</formula>
    </cfRule>
    <cfRule type="cellIs" dxfId="20515" priority="4634" stopIfTrue="1" operator="equal">
      <formula>"Napkin Hs"</formula>
    </cfRule>
  </conditionalFormatting>
  <conditionalFormatting sqref="C118">
    <cfRule type="cellIs" dxfId="20514" priority="4635" stopIfTrue="1" operator="equal">
      <formula>"Towel"</formula>
    </cfRule>
    <cfRule type="cellIs" dxfId="20513" priority="4636" stopIfTrue="1" operator="equal">
      <formula>"Napkin Hs"</formula>
    </cfRule>
  </conditionalFormatting>
  <conditionalFormatting sqref="B119">
    <cfRule type="cellIs" dxfId="20512" priority="4632" stopIfTrue="1" operator="equal">
      <formula>"Napkin Hs"</formula>
    </cfRule>
  </conditionalFormatting>
  <conditionalFormatting sqref="B119">
    <cfRule type="cellIs" dxfId="20511" priority="4631" stopIfTrue="1" operator="equal">
      <formula>"Napkin Hs"</formula>
    </cfRule>
  </conditionalFormatting>
  <conditionalFormatting sqref="B119">
    <cfRule type="cellIs" dxfId="20510" priority="4630" stopIfTrue="1" operator="equal">
      <formula>"Napkin Hs"</formula>
    </cfRule>
  </conditionalFormatting>
  <conditionalFormatting sqref="C119">
    <cfRule type="cellIs" dxfId="20509" priority="4628" stopIfTrue="1" operator="equal">
      <formula>"Towel"</formula>
    </cfRule>
    <cfRule type="cellIs" dxfId="20508" priority="4629" stopIfTrue="1" operator="equal">
      <formula>"Napkin Hs"</formula>
    </cfRule>
  </conditionalFormatting>
  <conditionalFormatting sqref="C119">
    <cfRule type="cellIs" dxfId="20507" priority="4624" stopIfTrue="1" operator="equal">
      <formula>"Towel"</formula>
    </cfRule>
    <cfRule type="cellIs" dxfId="20506" priority="4625" stopIfTrue="1" operator="equal">
      <formula>"Napkin Hs"</formula>
    </cfRule>
  </conditionalFormatting>
  <conditionalFormatting sqref="C119">
    <cfRule type="cellIs" dxfId="20505" priority="4626" stopIfTrue="1" operator="equal">
      <formula>"Towel"</formula>
    </cfRule>
    <cfRule type="cellIs" dxfId="20504" priority="4627" stopIfTrue="1" operator="equal">
      <formula>"Napkin Hs"</formula>
    </cfRule>
  </conditionalFormatting>
  <conditionalFormatting sqref="C119">
    <cfRule type="cellIs" dxfId="20503" priority="4620" stopIfTrue="1" operator="equal">
      <formula>"Towel"</formula>
    </cfRule>
    <cfRule type="cellIs" dxfId="20502" priority="4621" stopIfTrue="1" operator="equal">
      <formula>"Napkin Hs"</formula>
    </cfRule>
  </conditionalFormatting>
  <conditionalFormatting sqref="C119">
    <cfRule type="cellIs" dxfId="20501" priority="4622" stopIfTrue="1" operator="equal">
      <formula>"Towel"</formula>
    </cfRule>
    <cfRule type="cellIs" dxfId="20500" priority="4623" stopIfTrue="1" operator="equal">
      <formula>"Napkin Hs"</formula>
    </cfRule>
  </conditionalFormatting>
  <conditionalFormatting sqref="C119">
    <cfRule type="cellIs" dxfId="20499" priority="4618" stopIfTrue="1" operator="equal">
      <formula>"Towel"</formula>
    </cfRule>
    <cfRule type="cellIs" dxfId="20498" priority="4619" stopIfTrue="1" operator="equal">
      <formula>"Napkin Hs"</formula>
    </cfRule>
  </conditionalFormatting>
  <conditionalFormatting sqref="C119">
    <cfRule type="cellIs" dxfId="20497" priority="4612" stopIfTrue="1" operator="equal">
      <formula>"Towel"</formula>
    </cfRule>
    <cfRule type="cellIs" dxfId="20496" priority="4613" stopIfTrue="1" operator="equal">
      <formula>"Napkin Hs"</formula>
    </cfRule>
  </conditionalFormatting>
  <conditionalFormatting sqref="C119">
    <cfRule type="cellIs" dxfId="20495" priority="4616" stopIfTrue="1" operator="equal">
      <formula>"Towel"</formula>
    </cfRule>
    <cfRule type="cellIs" dxfId="20494" priority="4617" stopIfTrue="1" operator="equal">
      <formula>"Napkin Hs"</formula>
    </cfRule>
  </conditionalFormatting>
  <conditionalFormatting sqref="C119">
    <cfRule type="cellIs" dxfId="20493" priority="4614" stopIfTrue="1" operator="equal">
      <formula>"Towel"</formula>
    </cfRule>
    <cfRule type="cellIs" dxfId="20492" priority="4615" stopIfTrue="1" operator="equal">
      <formula>"Napkin Hs"</formula>
    </cfRule>
  </conditionalFormatting>
  <conditionalFormatting sqref="C119">
    <cfRule type="cellIs" dxfId="20491" priority="4606" stopIfTrue="1" operator="equal">
      <formula>"Towel"</formula>
    </cfRule>
    <cfRule type="cellIs" dxfId="20490" priority="4607" stopIfTrue="1" operator="equal">
      <formula>"Napkin Hs"</formula>
    </cfRule>
  </conditionalFormatting>
  <conditionalFormatting sqref="C119">
    <cfRule type="cellIs" dxfId="20489" priority="4608" stopIfTrue="1" operator="equal">
      <formula>"Towel"</formula>
    </cfRule>
    <cfRule type="cellIs" dxfId="20488" priority="4609" stopIfTrue="1" operator="equal">
      <formula>"Napkin Hs"</formula>
    </cfRule>
  </conditionalFormatting>
  <conditionalFormatting sqref="C119">
    <cfRule type="cellIs" dxfId="20487" priority="4610" stopIfTrue="1" operator="equal">
      <formula>"Towel"</formula>
    </cfRule>
    <cfRule type="cellIs" dxfId="20486" priority="4611" stopIfTrue="1" operator="equal">
      <formula>"Napkin Hs"</formula>
    </cfRule>
  </conditionalFormatting>
  <conditionalFormatting sqref="C119">
    <cfRule type="cellIs" dxfId="20485" priority="4604" stopIfTrue="1" operator="equal">
      <formula>"Towel"</formula>
    </cfRule>
    <cfRule type="cellIs" dxfId="20484" priority="4605" stopIfTrue="1" operator="equal">
      <formula>"Napkin Hs"</formula>
    </cfRule>
  </conditionalFormatting>
  <conditionalFormatting sqref="C119">
    <cfRule type="cellIs" dxfId="20483" priority="4602" stopIfTrue="1" operator="equal">
      <formula>"Towel"</formula>
    </cfRule>
    <cfRule type="cellIs" dxfId="20482" priority="4603" stopIfTrue="1" operator="equal">
      <formula>"Napkin Hs"</formula>
    </cfRule>
  </conditionalFormatting>
  <conditionalFormatting sqref="C119">
    <cfRule type="cellIs" dxfId="20481" priority="4578" stopIfTrue="1" operator="equal">
      <formula>"Towel"</formula>
    </cfRule>
  </conditionalFormatting>
  <conditionalFormatting sqref="C119">
    <cfRule type="cellIs" dxfId="20480" priority="4579" stopIfTrue="1" operator="equal">
      <formula>"Napkin Hs"</formula>
    </cfRule>
    <cfRule type="cellIs" dxfId="20479" priority="4584" stopIfTrue="1" operator="equal">
      <formula>"Towel"</formula>
    </cfRule>
    <cfRule type="cellIs" dxfId="20478" priority="4585" stopIfTrue="1" operator="equal">
      <formula>"Napkin Hs"</formula>
    </cfRule>
    <cfRule type="cellIs" dxfId="20477" priority="4594" stopIfTrue="1" operator="equal">
      <formula>"Towel"</formula>
    </cfRule>
    <cfRule type="cellIs" dxfId="20476" priority="4595" stopIfTrue="1" operator="equal">
      <formula>"Napkin Hs"</formula>
    </cfRule>
    <cfRule type="cellIs" dxfId="20475" priority="4600" stopIfTrue="1" operator="equal">
      <formula>"Towel"</formula>
    </cfRule>
    <cfRule type="cellIs" dxfId="20474" priority="4601" stopIfTrue="1" operator="equal">
      <formula>"Napkin Hs"</formula>
    </cfRule>
  </conditionalFormatting>
  <conditionalFormatting sqref="C119">
    <cfRule type="cellIs" dxfId="20473" priority="4580" stopIfTrue="1" operator="equal">
      <formula>"Towel"</formula>
    </cfRule>
    <cfRule type="cellIs" dxfId="20472" priority="4581" stopIfTrue="1" operator="equal">
      <formula>"Napkin Hs"</formula>
    </cfRule>
    <cfRule type="cellIs" dxfId="20471" priority="4582" stopIfTrue="1" operator="equal">
      <formula>"Towel"</formula>
    </cfRule>
    <cfRule type="cellIs" dxfId="20470" priority="4583" stopIfTrue="1" operator="equal">
      <formula>"Napkin Hs"</formula>
    </cfRule>
    <cfRule type="cellIs" dxfId="20469" priority="4586" stopIfTrue="1" operator="equal">
      <formula>"Towel"</formula>
    </cfRule>
    <cfRule type="cellIs" dxfId="20468" priority="4587" stopIfTrue="1" operator="equal">
      <formula>"Napkin Hs"</formula>
    </cfRule>
    <cfRule type="cellIs" dxfId="20467" priority="4588" stopIfTrue="1" operator="equal">
      <formula>"Towel"</formula>
    </cfRule>
    <cfRule type="cellIs" dxfId="20466" priority="4589" stopIfTrue="1" operator="equal">
      <formula>"Napkin Hs"</formula>
    </cfRule>
    <cfRule type="cellIs" dxfId="20465" priority="4590" stopIfTrue="1" operator="equal">
      <formula>"Towel"</formula>
    </cfRule>
    <cfRule type="cellIs" dxfId="20464" priority="4591" stopIfTrue="1" operator="equal">
      <formula>"Napkin Hs"</formula>
    </cfRule>
    <cfRule type="cellIs" dxfId="20463" priority="4592" stopIfTrue="1" operator="equal">
      <formula>"Towel"</formula>
    </cfRule>
    <cfRule type="cellIs" dxfId="20462" priority="4593" stopIfTrue="1" operator="equal">
      <formula>"Napkin Hs"</formula>
    </cfRule>
    <cfRule type="cellIs" dxfId="20461" priority="4596" stopIfTrue="1" operator="equal">
      <formula>"Towel"</formula>
    </cfRule>
    <cfRule type="cellIs" dxfId="20460" priority="4597" stopIfTrue="1" operator="equal">
      <formula>"Napkin Hs"</formula>
    </cfRule>
    <cfRule type="cellIs" dxfId="20459" priority="4599" stopIfTrue="1" operator="equal">
      <formula>"Napkin Hs"</formula>
    </cfRule>
  </conditionalFormatting>
  <conditionalFormatting sqref="C119">
    <cfRule type="cellIs" dxfId="20458" priority="4598" stopIfTrue="1" operator="equal">
      <formula>"Towel"</formula>
    </cfRule>
  </conditionalFormatting>
  <conditionalFormatting sqref="C119">
    <cfRule type="cellIs" dxfId="20457" priority="4576" stopIfTrue="1" operator="equal">
      <formula>"Towel"</formula>
    </cfRule>
    <cfRule type="cellIs" dxfId="20456" priority="4577" stopIfTrue="1" operator="equal">
      <formula>"Napkin Hs"</formula>
    </cfRule>
  </conditionalFormatting>
  <conditionalFormatting sqref="C119">
    <cfRule type="cellIs" dxfId="20455" priority="4575" stopIfTrue="1" operator="equal">
      <formula>"Napkin Hs"</formula>
    </cfRule>
  </conditionalFormatting>
  <conditionalFormatting sqref="C119">
    <cfRule type="cellIs" dxfId="20454" priority="4574" stopIfTrue="1" operator="equal">
      <formula>"Towel"</formula>
    </cfRule>
  </conditionalFormatting>
  <conditionalFormatting sqref="C119">
    <cfRule type="cellIs" dxfId="20453" priority="4572" stopIfTrue="1" operator="equal">
      <formula>"Towel"</formula>
    </cfRule>
  </conditionalFormatting>
  <conditionalFormatting sqref="C119">
    <cfRule type="cellIs" dxfId="20452" priority="4573" stopIfTrue="1" operator="equal">
      <formula>"Napkin Hs"</formula>
    </cfRule>
  </conditionalFormatting>
  <conditionalFormatting sqref="C119">
    <cfRule type="cellIs" dxfId="20451" priority="4476" stopIfTrue="1" operator="equal">
      <formula>"Towel"</formula>
    </cfRule>
  </conditionalFormatting>
  <conditionalFormatting sqref="C119">
    <cfRule type="cellIs" dxfId="20450" priority="4486" stopIfTrue="1" operator="equal">
      <formula>"Towel"</formula>
    </cfRule>
    <cfRule type="cellIs" dxfId="20449" priority="4487" stopIfTrue="1" operator="equal">
      <formula>"Napkin Hs"</formula>
    </cfRule>
    <cfRule type="cellIs" dxfId="20448" priority="4492" stopIfTrue="1" operator="equal">
      <formula>"Towel"</formula>
    </cfRule>
    <cfRule type="cellIs" dxfId="20447" priority="4493" stopIfTrue="1" operator="equal">
      <formula>"Napkin Hs"</formula>
    </cfRule>
    <cfRule type="cellIs" dxfId="20446" priority="4498" stopIfTrue="1" operator="equal">
      <formula>"Towel"</formula>
    </cfRule>
    <cfRule type="cellIs" dxfId="20445" priority="4499" stopIfTrue="1" operator="equal">
      <formula>"Napkin Hs"</formula>
    </cfRule>
    <cfRule type="cellIs" dxfId="20444" priority="4500" stopIfTrue="1" operator="equal">
      <formula>"Towel"</formula>
    </cfRule>
    <cfRule type="cellIs" dxfId="20443" priority="4501" stopIfTrue="1" operator="equal">
      <formula>"Napkin Hs"</formula>
    </cfRule>
    <cfRule type="cellIs" dxfId="20442" priority="4506" stopIfTrue="1" operator="equal">
      <formula>"Towel"</formula>
    </cfRule>
    <cfRule type="cellIs" dxfId="20441" priority="4507" stopIfTrue="1" operator="equal">
      <formula>"Napkin Hs"</formula>
    </cfRule>
    <cfRule type="cellIs" dxfId="20440" priority="4516" stopIfTrue="1" operator="equal">
      <formula>"Towel"</formula>
    </cfRule>
    <cfRule type="cellIs" dxfId="20439" priority="4517" stopIfTrue="1" operator="equal">
      <formula>"Napkin Hs"</formula>
    </cfRule>
    <cfRule type="cellIs" dxfId="20438" priority="4522" stopIfTrue="1" operator="equal">
      <formula>"Towel"</formula>
    </cfRule>
    <cfRule type="cellIs" dxfId="20437" priority="4523" stopIfTrue="1" operator="equal">
      <formula>"Napkin Hs"</formula>
    </cfRule>
    <cfRule type="cellIs" dxfId="20436" priority="4524" stopIfTrue="1" operator="equal">
      <formula>"Towel"</formula>
    </cfRule>
    <cfRule type="cellIs" dxfId="20435" priority="4525" stopIfTrue="1" operator="equal">
      <formula>"Napkin Hs"</formula>
    </cfRule>
    <cfRule type="cellIs" dxfId="20434" priority="4530" stopIfTrue="1" operator="equal">
      <formula>"Towel"</formula>
    </cfRule>
    <cfRule type="cellIs" dxfId="20433" priority="4531" stopIfTrue="1" operator="equal">
      <formula>"Napkin Hs"</formula>
    </cfRule>
    <cfRule type="cellIs" dxfId="20432" priority="4540" stopIfTrue="1" operator="equal">
      <formula>"Towel"</formula>
    </cfRule>
    <cfRule type="cellIs" dxfId="20431" priority="4541" stopIfTrue="1" operator="equal">
      <formula>"Napkin Hs"</formula>
    </cfRule>
    <cfRule type="cellIs" dxfId="20430" priority="4542" stopIfTrue="1" operator="equal">
      <formula>"Towel"</formula>
    </cfRule>
    <cfRule type="cellIs" dxfId="20429" priority="4543" stopIfTrue="1" operator="equal">
      <formula>"Napkin Hs"</formula>
    </cfRule>
    <cfRule type="cellIs" dxfId="20428" priority="4548" stopIfTrue="1" operator="equal">
      <formula>"Towel"</formula>
    </cfRule>
    <cfRule type="cellIs" dxfId="20427" priority="4549" stopIfTrue="1" operator="equal">
      <formula>"Napkin Hs"</formula>
    </cfRule>
    <cfRule type="cellIs" dxfId="20426" priority="4558" stopIfTrue="1" operator="equal">
      <formula>"Towel"</formula>
    </cfRule>
    <cfRule type="cellIs" dxfId="20425" priority="4559" stopIfTrue="1" operator="equal">
      <formula>"Napkin Hs"</formula>
    </cfRule>
    <cfRule type="cellIs" dxfId="20424" priority="4560" stopIfTrue="1" operator="equal">
      <formula>"Towel"</formula>
    </cfRule>
    <cfRule type="cellIs" dxfId="20423" priority="4561" stopIfTrue="1" operator="equal">
      <formula>"Napkin Hs"</formula>
    </cfRule>
    <cfRule type="cellIs" dxfId="20422" priority="4567" stopIfTrue="1" operator="equal">
      <formula>"Napkin Hs"</formula>
    </cfRule>
  </conditionalFormatting>
  <conditionalFormatting sqref="C119">
    <cfRule type="cellIs" dxfId="20421" priority="4566" stopIfTrue="1" operator="equal">
      <formula>"Towel"</formula>
    </cfRule>
  </conditionalFormatting>
  <conditionalFormatting sqref="C119">
    <cfRule type="cellIs" dxfId="20420" priority="4477" stopIfTrue="1" operator="equal">
      <formula>"Napkin Hs"</formula>
    </cfRule>
    <cfRule type="cellIs" dxfId="20419" priority="4478" stopIfTrue="1" operator="equal">
      <formula>"Towel"</formula>
    </cfRule>
    <cfRule type="cellIs" dxfId="20418" priority="4479" stopIfTrue="1" operator="equal">
      <formula>"Napkin Hs"</formula>
    </cfRule>
    <cfRule type="cellIs" dxfId="20417" priority="4480" stopIfTrue="1" operator="equal">
      <formula>"Towel"</formula>
    </cfRule>
    <cfRule type="cellIs" dxfId="20416" priority="4481" stopIfTrue="1" operator="equal">
      <formula>"Napkin Hs"</formula>
    </cfRule>
    <cfRule type="cellIs" dxfId="20415" priority="4482" stopIfTrue="1" operator="equal">
      <formula>"Towel"</formula>
    </cfRule>
    <cfRule type="cellIs" dxfId="20414" priority="4483" stopIfTrue="1" operator="equal">
      <formula>"Napkin Hs"</formula>
    </cfRule>
    <cfRule type="cellIs" dxfId="20413" priority="4484" stopIfTrue="1" operator="equal">
      <formula>"Towel"</formula>
    </cfRule>
    <cfRule type="cellIs" dxfId="20412" priority="4485" stopIfTrue="1" operator="equal">
      <formula>"Napkin Hs"</formula>
    </cfRule>
    <cfRule type="cellIs" dxfId="20411" priority="4488" stopIfTrue="1" operator="equal">
      <formula>"Towel"</formula>
    </cfRule>
    <cfRule type="cellIs" dxfId="20410" priority="4489" stopIfTrue="1" operator="equal">
      <formula>"Napkin Hs"</formula>
    </cfRule>
    <cfRule type="cellIs" dxfId="20409" priority="4490" stopIfTrue="1" operator="equal">
      <formula>"Towel"</formula>
    </cfRule>
    <cfRule type="cellIs" dxfId="20408" priority="4491" stopIfTrue="1" operator="equal">
      <formula>"Napkin Hs"</formula>
    </cfRule>
    <cfRule type="cellIs" dxfId="20407" priority="4494" stopIfTrue="1" operator="equal">
      <formula>"Towel"</formula>
    </cfRule>
    <cfRule type="cellIs" dxfId="20406" priority="4495" stopIfTrue="1" operator="equal">
      <formula>"Napkin Hs"</formula>
    </cfRule>
    <cfRule type="cellIs" dxfId="20405" priority="4496" stopIfTrue="1" operator="equal">
      <formula>"Towel"</formula>
    </cfRule>
    <cfRule type="cellIs" dxfId="20404" priority="4497" stopIfTrue="1" operator="equal">
      <formula>"Napkin Hs"</formula>
    </cfRule>
    <cfRule type="cellIs" dxfId="20403" priority="4502" stopIfTrue="1" operator="equal">
      <formula>"Towel"</formula>
    </cfRule>
    <cfRule type="cellIs" dxfId="20402" priority="4503" stopIfTrue="1" operator="equal">
      <formula>"Napkin Hs"</formula>
    </cfRule>
    <cfRule type="cellIs" dxfId="20401" priority="4504" stopIfTrue="1" operator="equal">
      <formula>"Towel"</formula>
    </cfRule>
    <cfRule type="cellIs" dxfId="20400" priority="4505" stopIfTrue="1" operator="equal">
      <formula>"Napkin Hs"</formula>
    </cfRule>
    <cfRule type="cellIs" dxfId="20399" priority="4508" stopIfTrue="1" operator="equal">
      <formula>"Towel"</formula>
    </cfRule>
    <cfRule type="cellIs" dxfId="20398" priority="4509" stopIfTrue="1" operator="equal">
      <formula>"Napkin Hs"</formula>
    </cfRule>
    <cfRule type="cellIs" dxfId="20397" priority="4510" stopIfTrue="1" operator="equal">
      <formula>"Towel"</formula>
    </cfRule>
    <cfRule type="cellIs" dxfId="20396" priority="4511" stopIfTrue="1" operator="equal">
      <formula>"Napkin Hs"</formula>
    </cfRule>
    <cfRule type="cellIs" dxfId="20395" priority="4512" stopIfTrue="1" operator="equal">
      <formula>"Towel"</formula>
    </cfRule>
    <cfRule type="cellIs" dxfId="20394" priority="4513" stopIfTrue="1" operator="equal">
      <formula>"Napkin Hs"</formula>
    </cfRule>
    <cfRule type="cellIs" dxfId="20393" priority="4514" stopIfTrue="1" operator="equal">
      <formula>"Towel"</formula>
    </cfRule>
    <cfRule type="cellIs" dxfId="20392" priority="4515" stopIfTrue="1" operator="equal">
      <formula>"Napkin Hs"</formula>
    </cfRule>
    <cfRule type="cellIs" dxfId="20391" priority="4518" stopIfTrue="1" operator="equal">
      <formula>"Towel"</formula>
    </cfRule>
    <cfRule type="cellIs" dxfId="20390" priority="4519" stopIfTrue="1" operator="equal">
      <formula>"Napkin Hs"</formula>
    </cfRule>
    <cfRule type="cellIs" dxfId="20389" priority="4520" stopIfTrue="1" operator="equal">
      <formula>"Towel"</formula>
    </cfRule>
    <cfRule type="cellIs" dxfId="20388" priority="4521" stopIfTrue="1" operator="equal">
      <formula>"Napkin Hs"</formula>
    </cfRule>
    <cfRule type="cellIs" dxfId="20387" priority="4526" stopIfTrue="1" operator="equal">
      <formula>"Towel"</formula>
    </cfRule>
    <cfRule type="cellIs" dxfId="20386" priority="4527" stopIfTrue="1" operator="equal">
      <formula>"Napkin Hs"</formula>
    </cfRule>
    <cfRule type="cellIs" dxfId="20385" priority="4528" stopIfTrue="1" operator="equal">
      <formula>"Towel"</formula>
    </cfRule>
    <cfRule type="cellIs" dxfId="20384" priority="4529" stopIfTrue="1" operator="equal">
      <formula>"Napkin Hs"</formula>
    </cfRule>
    <cfRule type="cellIs" dxfId="20383" priority="4532" stopIfTrue="1" operator="equal">
      <formula>"Towel"</formula>
    </cfRule>
    <cfRule type="cellIs" dxfId="20382" priority="4533" stopIfTrue="1" operator="equal">
      <formula>"Napkin Hs"</formula>
    </cfRule>
    <cfRule type="cellIs" dxfId="20381" priority="4534" stopIfTrue="1" operator="equal">
      <formula>"Towel"</formula>
    </cfRule>
    <cfRule type="cellIs" dxfId="20380" priority="4535" stopIfTrue="1" operator="equal">
      <formula>"Napkin Hs"</formula>
    </cfRule>
    <cfRule type="cellIs" dxfId="20379" priority="4536" stopIfTrue="1" operator="equal">
      <formula>"Towel"</formula>
    </cfRule>
    <cfRule type="cellIs" dxfId="20378" priority="4537" stopIfTrue="1" operator="equal">
      <formula>"Napkin Hs"</formula>
    </cfRule>
    <cfRule type="cellIs" dxfId="20377" priority="4538" stopIfTrue="1" operator="equal">
      <formula>"Towel"</formula>
    </cfRule>
    <cfRule type="cellIs" dxfId="20376" priority="4539" stopIfTrue="1" operator="equal">
      <formula>"Napkin Hs"</formula>
    </cfRule>
    <cfRule type="cellIs" dxfId="20375" priority="4544" stopIfTrue="1" operator="equal">
      <formula>"Towel"</formula>
    </cfRule>
    <cfRule type="cellIs" dxfId="20374" priority="4545" stopIfTrue="1" operator="equal">
      <formula>"Napkin Hs"</formula>
    </cfRule>
    <cfRule type="cellIs" dxfId="20373" priority="4546" stopIfTrue="1" operator="equal">
      <formula>"Towel"</formula>
    </cfRule>
    <cfRule type="cellIs" dxfId="20372" priority="4547" stopIfTrue="1" operator="equal">
      <formula>"Napkin Hs"</formula>
    </cfRule>
    <cfRule type="cellIs" dxfId="20371" priority="4550" stopIfTrue="1" operator="equal">
      <formula>"Towel"</formula>
    </cfRule>
    <cfRule type="cellIs" dxfId="20370" priority="4551" stopIfTrue="1" operator="equal">
      <formula>"Napkin Hs"</formula>
    </cfRule>
    <cfRule type="cellIs" dxfId="20369" priority="4552" stopIfTrue="1" operator="equal">
      <formula>"Towel"</formula>
    </cfRule>
    <cfRule type="cellIs" dxfId="20368" priority="4553" stopIfTrue="1" operator="equal">
      <formula>"Napkin Hs"</formula>
    </cfRule>
    <cfRule type="cellIs" dxfId="20367" priority="4554" stopIfTrue="1" operator="equal">
      <formula>"Towel"</formula>
    </cfRule>
    <cfRule type="cellIs" dxfId="20366" priority="4555" stopIfTrue="1" operator="equal">
      <formula>"Napkin Hs"</formula>
    </cfRule>
    <cfRule type="cellIs" dxfId="20365" priority="4556" stopIfTrue="1" operator="equal">
      <formula>"Towel"</formula>
    </cfRule>
    <cfRule type="cellIs" dxfId="20364" priority="4557" stopIfTrue="1" operator="equal">
      <formula>"Napkin Hs"</formula>
    </cfRule>
    <cfRule type="cellIs" dxfId="20363" priority="4562" stopIfTrue="1" operator="equal">
      <formula>"Towel"</formula>
    </cfRule>
    <cfRule type="cellIs" dxfId="20362" priority="4563" stopIfTrue="1" operator="equal">
      <formula>"Napkin Hs"</formula>
    </cfRule>
    <cfRule type="cellIs" dxfId="20361" priority="4564" stopIfTrue="1" operator="equal">
      <formula>"Towel"</formula>
    </cfRule>
    <cfRule type="cellIs" dxfId="20360" priority="4565" stopIfTrue="1" operator="equal">
      <formula>"Napkin Hs"</formula>
    </cfRule>
    <cfRule type="cellIs" dxfId="20359" priority="4568" stopIfTrue="1" operator="equal">
      <formula>"Towel"</formula>
    </cfRule>
    <cfRule type="cellIs" dxfId="20358" priority="4569" stopIfTrue="1" operator="equal">
      <formula>"Napkin Hs"</formula>
    </cfRule>
    <cfRule type="cellIs" dxfId="20357" priority="4570" stopIfTrue="1" operator="equal">
      <formula>"Towel"</formula>
    </cfRule>
    <cfRule type="cellIs" dxfId="20356" priority="4571" stopIfTrue="1" operator="equal">
      <formula>"Napkin Hs"</formula>
    </cfRule>
  </conditionalFormatting>
  <conditionalFormatting sqref="C119">
    <cfRule type="cellIs" dxfId="20355" priority="4475" stopIfTrue="1" operator="equal">
      <formula>"Napkin Hs"</formula>
    </cfRule>
  </conditionalFormatting>
  <conditionalFormatting sqref="C119">
    <cfRule type="cellIs" dxfId="20354" priority="4474" stopIfTrue="1" operator="equal">
      <formula>"Napkin Hs"</formula>
    </cfRule>
  </conditionalFormatting>
  <conditionalFormatting sqref="C119">
    <cfRule type="cellIs" dxfId="20353" priority="4473" stopIfTrue="1" operator="equal">
      <formula>"Napkin Hs"</formula>
    </cfRule>
  </conditionalFormatting>
  <conditionalFormatting sqref="C119">
    <cfRule type="cellIs" dxfId="20352" priority="4472" stopIfTrue="1" operator="equal">
      <formula>"Napkin Hs"</formula>
    </cfRule>
  </conditionalFormatting>
  <conditionalFormatting sqref="C119">
    <cfRule type="cellIs" dxfId="20351" priority="4471" stopIfTrue="1" operator="equal">
      <formula>"Napkin Hs"</formula>
    </cfRule>
  </conditionalFormatting>
  <conditionalFormatting sqref="C119">
    <cfRule type="cellIs" dxfId="20350" priority="4470" stopIfTrue="1" operator="equal">
      <formula>"Napkin Hs"</formula>
    </cfRule>
  </conditionalFormatting>
  <conditionalFormatting sqref="C119">
    <cfRule type="cellIs" dxfId="20349" priority="4466" stopIfTrue="1" operator="equal">
      <formula>"Towel"</formula>
    </cfRule>
    <cfRule type="cellIs" dxfId="20348" priority="4467" stopIfTrue="1" operator="equal">
      <formula>"Napkin Hs"</formula>
    </cfRule>
  </conditionalFormatting>
  <conditionalFormatting sqref="C119">
    <cfRule type="cellIs" dxfId="20347" priority="4468" stopIfTrue="1" operator="equal">
      <formula>"Towel"</formula>
    </cfRule>
    <cfRule type="cellIs" dxfId="20346" priority="4469" stopIfTrue="1" operator="equal">
      <formula>"Napkin Hs"</formula>
    </cfRule>
  </conditionalFormatting>
  <conditionalFormatting sqref="C119">
    <cfRule type="cellIs" dxfId="20345" priority="4462" stopIfTrue="1" operator="equal">
      <formula>"Towel"</formula>
    </cfRule>
    <cfRule type="cellIs" dxfId="20344" priority="4463" stopIfTrue="1" operator="equal">
      <formula>"Napkin Hs"</formula>
    </cfRule>
  </conditionalFormatting>
  <conditionalFormatting sqref="C119">
    <cfRule type="cellIs" dxfId="20343" priority="4464" stopIfTrue="1" operator="equal">
      <formula>"Towel"</formula>
    </cfRule>
    <cfRule type="cellIs" dxfId="20342" priority="4465" stopIfTrue="1" operator="equal">
      <formula>"Napkin Hs"</formula>
    </cfRule>
  </conditionalFormatting>
  <conditionalFormatting sqref="B126:C126">
    <cfRule type="cellIs" dxfId="20341" priority="4460" stopIfTrue="1" operator="equal">
      <formula>"Towel"</formula>
    </cfRule>
    <cfRule type="cellIs" dxfId="20340" priority="4461" stopIfTrue="1" operator="equal">
      <formula>"Napkin Hs"</formula>
    </cfRule>
  </conditionalFormatting>
  <conditionalFormatting sqref="C126">
    <cfRule type="cellIs" dxfId="20339" priority="4440" stopIfTrue="1" operator="equal">
      <formula>"Towel"</formula>
    </cfRule>
    <cfRule type="cellIs" dxfId="20338" priority="4441" stopIfTrue="1" operator="equal">
      <formula>"Napkin Hs"</formula>
    </cfRule>
  </conditionalFormatting>
  <conditionalFormatting sqref="B126:C126">
    <cfRule type="cellIs" dxfId="20337" priority="4438" stopIfTrue="1" operator="equal">
      <formula>"Towel"</formula>
    </cfRule>
    <cfRule type="cellIs" dxfId="20336" priority="4439" stopIfTrue="1" operator="equal">
      <formula>"Napkin Hs"</formula>
    </cfRule>
  </conditionalFormatting>
  <conditionalFormatting sqref="C126">
    <cfRule type="cellIs" dxfId="20335" priority="4446" stopIfTrue="1" operator="equal">
      <formula>"Towel"</formula>
    </cfRule>
    <cfRule type="cellIs" dxfId="20334" priority="4447" stopIfTrue="1" operator="equal">
      <formula>"Napkin Hs"</formula>
    </cfRule>
  </conditionalFormatting>
  <conditionalFormatting sqref="B126:C126">
    <cfRule type="cellIs" dxfId="20333" priority="4444" stopIfTrue="1" operator="equal">
      <formula>"Towel"</formula>
    </cfRule>
    <cfRule type="cellIs" dxfId="20332" priority="4445" stopIfTrue="1" operator="equal">
      <formula>"Napkin Hs"</formula>
    </cfRule>
  </conditionalFormatting>
  <conditionalFormatting sqref="C126">
    <cfRule type="cellIs" dxfId="20331" priority="4442" stopIfTrue="1" operator="equal">
      <formula>"Towel"</formula>
    </cfRule>
    <cfRule type="cellIs" dxfId="20330" priority="4443" stopIfTrue="1" operator="equal">
      <formula>"Napkin Hs"</formula>
    </cfRule>
  </conditionalFormatting>
  <conditionalFormatting sqref="C126">
    <cfRule type="cellIs" dxfId="20329" priority="4452" stopIfTrue="1" operator="equal">
      <formula>"Towel"</formula>
    </cfRule>
    <cfRule type="cellIs" dxfId="20328" priority="4453" stopIfTrue="1" operator="equal">
      <formula>"Napkin Hs"</formula>
    </cfRule>
  </conditionalFormatting>
  <conditionalFormatting sqref="C126">
    <cfRule type="cellIs" dxfId="20327" priority="4450" stopIfTrue="1" operator="equal">
      <formula>"Towel"</formula>
    </cfRule>
    <cfRule type="cellIs" dxfId="20326" priority="4451" stopIfTrue="1" operator="equal">
      <formula>"Napkin Hs"</formula>
    </cfRule>
  </conditionalFormatting>
  <conditionalFormatting sqref="C126">
    <cfRule type="cellIs" dxfId="20325" priority="4448" stopIfTrue="1" operator="equal">
      <formula>"Towel"</formula>
    </cfRule>
    <cfRule type="cellIs" dxfId="20324" priority="4449" stopIfTrue="1" operator="equal">
      <formula>"Napkin Hs"</formula>
    </cfRule>
  </conditionalFormatting>
  <conditionalFormatting sqref="C126">
    <cfRule type="cellIs" dxfId="20323" priority="4456" stopIfTrue="1" operator="equal">
      <formula>"Towel"</formula>
    </cfRule>
    <cfRule type="cellIs" dxfId="20322" priority="4457" stopIfTrue="1" operator="equal">
      <formula>"Napkin Hs"</formula>
    </cfRule>
  </conditionalFormatting>
  <conditionalFormatting sqref="C126">
    <cfRule type="cellIs" dxfId="20321" priority="4458" stopIfTrue="1" operator="equal">
      <formula>"Towel"</formula>
    </cfRule>
    <cfRule type="cellIs" dxfId="20320" priority="4459" stopIfTrue="1" operator="equal">
      <formula>"Napkin Hs"</formula>
    </cfRule>
  </conditionalFormatting>
  <conditionalFormatting sqref="B126:C126">
    <cfRule type="cellIs" dxfId="20319" priority="4454" stopIfTrue="1" operator="equal">
      <formula>"Towel"</formula>
    </cfRule>
    <cfRule type="cellIs" dxfId="20318" priority="4455" stopIfTrue="1" operator="equal">
      <formula>"Napkin Hs"</formula>
    </cfRule>
  </conditionalFormatting>
  <conditionalFormatting sqref="C125">
    <cfRule type="cellIs" dxfId="20317" priority="4430" stopIfTrue="1" operator="equal">
      <formula>"Towel"</formula>
    </cfRule>
    <cfRule type="cellIs" dxfId="20316" priority="4431" stopIfTrue="1" operator="equal">
      <formula>"Napkin Hs"</formula>
    </cfRule>
  </conditionalFormatting>
  <conditionalFormatting sqref="B125:C125">
    <cfRule type="cellIs" dxfId="20315" priority="4432" stopIfTrue="1" operator="equal">
      <formula>"Towel"</formula>
    </cfRule>
    <cfRule type="cellIs" dxfId="20314" priority="4433" stopIfTrue="1" operator="equal">
      <formula>"Napkin Hs"</formula>
    </cfRule>
  </conditionalFormatting>
  <conditionalFormatting sqref="C125">
    <cfRule type="cellIs" dxfId="20313" priority="4428" stopIfTrue="1" operator="equal">
      <formula>"Towel"</formula>
    </cfRule>
    <cfRule type="cellIs" dxfId="20312" priority="4429" stopIfTrue="1" operator="equal">
      <formula>"Napkin Hs"</formula>
    </cfRule>
  </conditionalFormatting>
  <conditionalFormatting sqref="B125:C125">
    <cfRule type="cellIs" dxfId="20311" priority="4426" stopIfTrue="1" operator="equal">
      <formula>"Towel"</formula>
    </cfRule>
    <cfRule type="cellIs" dxfId="20310" priority="4427" stopIfTrue="1" operator="equal">
      <formula>"Napkin Hs"</formula>
    </cfRule>
  </conditionalFormatting>
  <conditionalFormatting sqref="C125">
    <cfRule type="cellIs" dxfId="20309" priority="4434" stopIfTrue="1" operator="equal">
      <formula>"Towel"</formula>
    </cfRule>
    <cfRule type="cellIs" dxfId="20308" priority="4435" stopIfTrue="1" operator="equal">
      <formula>"Napkin Hs"</formula>
    </cfRule>
  </conditionalFormatting>
  <conditionalFormatting sqref="C125">
    <cfRule type="cellIs" dxfId="20307" priority="4436" stopIfTrue="1" operator="equal">
      <formula>"Towel"</formula>
    </cfRule>
    <cfRule type="cellIs" dxfId="20306" priority="4437" stopIfTrue="1" operator="equal">
      <formula>"Napkin Hs"</formula>
    </cfRule>
  </conditionalFormatting>
  <conditionalFormatting sqref="C125">
    <cfRule type="cellIs" dxfId="20305" priority="4422" stopIfTrue="1" operator="equal">
      <formula>"Towel"</formula>
    </cfRule>
    <cfRule type="cellIs" dxfId="20304" priority="4423" stopIfTrue="1" operator="equal">
      <formula>"Napkin Hs"</formula>
    </cfRule>
  </conditionalFormatting>
  <conditionalFormatting sqref="C125">
    <cfRule type="cellIs" dxfId="20303" priority="4424" stopIfTrue="1" operator="equal">
      <formula>"Towel"</formula>
    </cfRule>
    <cfRule type="cellIs" dxfId="20302" priority="4425" stopIfTrue="1" operator="equal">
      <formula>"Napkin Hs"</formula>
    </cfRule>
  </conditionalFormatting>
  <conditionalFormatting sqref="C125">
    <cfRule type="cellIs" dxfId="20301" priority="4420" stopIfTrue="1" operator="equal">
      <formula>"Towel"</formula>
    </cfRule>
    <cfRule type="cellIs" dxfId="20300" priority="4421" stopIfTrue="1" operator="equal">
      <formula>"Napkin Hs"</formula>
    </cfRule>
  </conditionalFormatting>
  <conditionalFormatting sqref="B125">
    <cfRule type="cellIs" dxfId="20299" priority="4418" stopIfTrue="1" operator="equal">
      <formula>"Towel"</formula>
    </cfRule>
    <cfRule type="cellIs" dxfId="20298" priority="4419" stopIfTrue="1" operator="equal">
      <formula>"Napkin Hs"</formula>
    </cfRule>
  </conditionalFormatting>
  <conditionalFormatting sqref="C125">
    <cfRule type="cellIs" dxfId="20297" priority="4412" stopIfTrue="1" operator="equal">
      <formula>"Towel"</formula>
    </cfRule>
    <cfRule type="cellIs" dxfId="20296" priority="4413" stopIfTrue="1" operator="equal">
      <formula>"Napkin Hs"</formula>
    </cfRule>
  </conditionalFormatting>
  <conditionalFormatting sqref="C125">
    <cfRule type="cellIs" dxfId="20295" priority="4416" stopIfTrue="1" operator="equal">
      <formula>"Towel"</formula>
    </cfRule>
    <cfRule type="cellIs" dxfId="20294" priority="4417" stopIfTrue="1" operator="equal">
      <formula>"Napkin Hs"</formula>
    </cfRule>
  </conditionalFormatting>
  <conditionalFormatting sqref="C125">
    <cfRule type="cellIs" dxfId="20293" priority="4414" stopIfTrue="1" operator="equal">
      <formula>"Towel"</formula>
    </cfRule>
    <cfRule type="cellIs" dxfId="20292" priority="4415" stopIfTrue="1" operator="equal">
      <formula>"Napkin Hs"</formula>
    </cfRule>
  </conditionalFormatting>
  <conditionalFormatting sqref="C125">
    <cfRule type="cellIs" dxfId="20291" priority="4406" stopIfTrue="1" operator="equal">
      <formula>"Towel"</formula>
    </cfRule>
    <cfRule type="cellIs" dxfId="20290" priority="4407" stopIfTrue="1" operator="equal">
      <formula>"Napkin Hs"</formula>
    </cfRule>
  </conditionalFormatting>
  <conditionalFormatting sqref="C125">
    <cfRule type="cellIs" dxfId="20289" priority="4408" stopIfTrue="1" operator="equal">
      <formula>"Towel"</formula>
    </cfRule>
    <cfRule type="cellIs" dxfId="20288" priority="4409" stopIfTrue="1" operator="equal">
      <formula>"Napkin Hs"</formula>
    </cfRule>
  </conditionalFormatting>
  <conditionalFormatting sqref="C125">
    <cfRule type="cellIs" dxfId="20287" priority="4410" stopIfTrue="1" operator="equal">
      <formula>"Towel"</formula>
    </cfRule>
    <cfRule type="cellIs" dxfId="20286" priority="4411" stopIfTrue="1" operator="equal">
      <formula>"Napkin Hs"</formula>
    </cfRule>
  </conditionalFormatting>
  <conditionalFormatting sqref="B125:C125">
    <cfRule type="cellIs" dxfId="20285" priority="4404" stopIfTrue="1" operator="equal">
      <formula>"Towel"</formula>
    </cfRule>
    <cfRule type="cellIs" dxfId="20284" priority="4405" stopIfTrue="1" operator="equal">
      <formula>"Napkin Hs"</formula>
    </cfRule>
  </conditionalFormatting>
  <conditionalFormatting sqref="B125:C125">
    <cfRule type="cellIs" dxfId="20283" priority="4402" stopIfTrue="1" operator="equal">
      <formula>"Towel"</formula>
    </cfRule>
    <cfRule type="cellIs" dxfId="20282" priority="4403" stopIfTrue="1" operator="equal">
      <formula>"Napkin Hs"</formula>
    </cfRule>
  </conditionalFormatting>
  <conditionalFormatting sqref="B125:C125">
    <cfRule type="cellIs" dxfId="20281" priority="4378" stopIfTrue="1" operator="equal">
      <formula>"Towel"</formula>
    </cfRule>
  </conditionalFormatting>
  <conditionalFormatting sqref="B125:C125">
    <cfRule type="cellIs" dxfId="20280" priority="4379" stopIfTrue="1" operator="equal">
      <formula>"Napkin Hs"</formula>
    </cfRule>
    <cfRule type="cellIs" dxfId="20279" priority="4384" stopIfTrue="1" operator="equal">
      <formula>"Towel"</formula>
    </cfRule>
    <cfRule type="cellIs" dxfId="20278" priority="4385" stopIfTrue="1" operator="equal">
      <formula>"Napkin Hs"</formula>
    </cfRule>
    <cfRule type="cellIs" dxfId="20277" priority="4394" stopIfTrue="1" operator="equal">
      <formula>"Towel"</formula>
    </cfRule>
    <cfRule type="cellIs" dxfId="20276" priority="4395" stopIfTrue="1" operator="equal">
      <formula>"Napkin Hs"</formula>
    </cfRule>
    <cfRule type="cellIs" dxfId="20275" priority="4400" stopIfTrue="1" operator="equal">
      <formula>"Towel"</formula>
    </cfRule>
    <cfRule type="cellIs" dxfId="20274" priority="4401" stopIfTrue="1" operator="equal">
      <formula>"Napkin Hs"</formula>
    </cfRule>
  </conditionalFormatting>
  <conditionalFormatting sqref="C125">
    <cfRule type="cellIs" dxfId="20273" priority="4380" stopIfTrue="1" operator="equal">
      <formula>"Towel"</formula>
    </cfRule>
    <cfRule type="cellIs" dxfId="20272" priority="4381" stopIfTrue="1" operator="equal">
      <formula>"Napkin Hs"</formula>
    </cfRule>
    <cfRule type="cellIs" dxfId="20271" priority="4382" stopIfTrue="1" operator="equal">
      <formula>"Towel"</formula>
    </cfRule>
    <cfRule type="cellIs" dxfId="20270" priority="4383" stopIfTrue="1" operator="equal">
      <formula>"Napkin Hs"</formula>
    </cfRule>
    <cfRule type="cellIs" dxfId="20269" priority="4386" stopIfTrue="1" operator="equal">
      <formula>"Towel"</formula>
    </cfRule>
    <cfRule type="cellIs" dxfId="20268" priority="4387" stopIfTrue="1" operator="equal">
      <formula>"Napkin Hs"</formula>
    </cfRule>
    <cfRule type="cellIs" dxfId="20267" priority="4388" stopIfTrue="1" operator="equal">
      <formula>"Towel"</formula>
    </cfRule>
    <cfRule type="cellIs" dxfId="20266" priority="4389" stopIfTrue="1" operator="equal">
      <formula>"Napkin Hs"</formula>
    </cfRule>
    <cfRule type="cellIs" dxfId="20265" priority="4390" stopIfTrue="1" operator="equal">
      <formula>"Towel"</formula>
    </cfRule>
    <cfRule type="cellIs" dxfId="20264" priority="4391" stopIfTrue="1" operator="equal">
      <formula>"Napkin Hs"</formula>
    </cfRule>
    <cfRule type="cellIs" dxfId="20263" priority="4392" stopIfTrue="1" operator="equal">
      <formula>"Towel"</formula>
    </cfRule>
    <cfRule type="cellIs" dxfId="20262" priority="4393" stopIfTrue="1" operator="equal">
      <formula>"Napkin Hs"</formula>
    </cfRule>
    <cfRule type="cellIs" dxfId="20261" priority="4396" stopIfTrue="1" operator="equal">
      <formula>"Towel"</formula>
    </cfRule>
    <cfRule type="cellIs" dxfId="20260" priority="4397" stopIfTrue="1" operator="equal">
      <formula>"Napkin Hs"</formula>
    </cfRule>
    <cfRule type="cellIs" dxfId="20259" priority="4399" stopIfTrue="1" operator="equal">
      <formula>"Napkin Hs"</formula>
    </cfRule>
  </conditionalFormatting>
  <conditionalFormatting sqref="C125">
    <cfRule type="cellIs" dxfId="20258" priority="4398" stopIfTrue="1" operator="equal">
      <formula>"Towel"</formula>
    </cfRule>
  </conditionalFormatting>
  <conditionalFormatting sqref="B125:C125">
    <cfRule type="cellIs" dxfId="20257" priority="4376" stopIfTrue="1" operator="equal">
      <formula>"Towel"</formula>
    </cfRule>
    <cfRule type="cellIs" dxfId="20256" priority="4377" stopIfTrue="1" operator="equal">
      <formula>"Napkin Hs"</formula>
    </cfRule>
  </conditionalFormatting>
  <conditionalFormatting sqref="C125">
    <cfRule type="cellIs" dxfId="20255" priority="4375" stopIfTrue="1" operator="equal">
      <formula>"Napkin Hs"</formula>
    </cfRule>
  </conditionalFormatting>
  <conditionalFormatting sqref="C125">
    <cfRule type="cellIs" dxfId="20254" priority="4374" stopIfTrue="1" operator="equal">
      <formula>"Towel"</formula>
    </cfRule>
  </conditionalFormatting>
  <conditionalFormatting sqref="C125">
    <cfRule type="cellIs" dxfId="20253" priority="4372" stopIfTrue="1" operator="equal">
      <formula>"Towel"</formula>
    </cfRule>
  </conditionalFormatting>
  <conditionalFormatting sqref="C125">
    <cfRule type="cellIs" dxfId="20252" priority="4373" stopIfTrue="1" operator="equal">
      <formula>"Napkin Hs"</formula>
    </cfRule>
  </conditionalFormatting>
  <conditionalFormatting sqref="B125">
    <cfRule type="cellIs" dxfId="20251" priority="4276" stopIfTrue="1" operator="equal">
      <formula>"Napkin Hs"</formula>
    </cfRule>
  </conditionalFormatting>
  <conditionalFormatting sqref="B125:C125">
    <cfRule type="cellIs" dxfId="20250" priority="4275" stopIfTrue="1" operator="equal">
      <formula>"Towel"</formula>
    </cfRule>
  </conditionalFormatting>
  <conditionalFormatting sqref="B125:C125">
    <cfRule type="cellIs" dxfId="20249" priority="4286" stopIfTrue="1" operator="equal">
      <formula>"Towel"</formula>
    </cfRule>
    <cfRule type="cellIs" dxfId="20248" priority="4287" stopIfTrue="1" operator="equal">
      <formula>"Napkin Hs"</formula>
    </cfRule>
    <cfRule type="cellIs" dxfId="20247" priority="4292" stopIfTrue="1" operator="equal">
      <formula>"Towel"</formula>
    </cfRule>
    <cfRule type="cellIs" dxfId="20246" priority="4293" stopIfTrue="1" operator="equal">
      <formula>"Napkin Hs"</formula>
    </cfRule>
    <cfRule type="cellIs" dxfId="20245" priority="4298" stopIfTrue="1" operator="equal">
      <formula>"Towel"</formula>
    </cfRule>
    <cfRule type="cellIs" dxfId="20244" priority="4299" stopIfTrue="1" operator="equal">
      <formula>"Napkin Hs"</formula>
    </cfRule>
    <cfRule type="cellIs" dxfId="20243" priority="4300" stopIfTrue="1" operator="equal">
      <formula>"Towel"</formula>
    </cfRule>
    <cfRule type="cellIs" dxfId="20242" priority="4301" stopIfTrue="1" operator="equal">
      <formula>"Napkin Hs"</formula>
    </cfRule>
    <cfRule type="cellIs" dxfId="20241" priority="4306" stopIfTrue="1" operator="equal">
      <formula>"Towel"</formula>
    </cfRule>
    <cfRule type="cellIs" dxfId="20240" priority="4307" stopIfTrue="1" operator="equal">
      <formula>"Napkin Hs"</formula>
    </cfRule>
    <cfRule type="cellIs" dxfId="20239" priority="4316" stopIfTrue="1" operator="equal">
      <formula>"Towel"</formula>
    </cfRule>
    <cfRule type="cellIs" dxfId="20238" priority="4317" stopIfTrue="1" operator="equal">
      <formula>"Napkin Hs"</formula>
    </cfRule>
    <cfRule type="cellIs" dxfId="20237" priority="4322" stopIfTrue="1" operator="equal">
      <formula>"Towel"</formula>
    </cfRule>
    <cfRule type="cellIs" dxfId="20236" priority="4323" stopIfTrue="1" operator="equal">
      <formula>"Napkin Hs"</formula>
    </cfRule>
    <cfRule type="cellIs" dxfId="20235" priority="4324" stopIfTrue="1" operator="equal">
      <formula>"Towel"</formula>
    </cfRule>
    <cfRule type="cellIs" dxfId="20234" priority="4325" stopIfTrue="1" operator="equal">
      <formula>"Napkin Hs"</formula>
    </cfRule>
    <cfRule type="cellIs" dxfId="20233" priority="4330" stopIfTrue="1" operator="equal">
      <formula>"Towel"</formula>
    </cfRule>
    <cfRule type="cellIs" dxfId="20232" priority="4331" stopIfTrue="1" operator="equal">
      <formula>"Napkin Hs"</formula>
    </cfRule>
    <cfRule type="cellIs" dxfId="20231" priority="4340" stopIfTrue="1" operator="equal">
      <formula>"Towel"</formula>
    </cfRule>
    <cfRule type="cellIs" dxfId="20230" priority="4341" stopIfTrue="1" operator="equal">
      <formula>"Napkin Hs"</formula>
    </cfRule>
    <cfRule type="cellIs" dxfId="20229" priority="4342" stopIfTrue="1" operator="equal">
      <formula>"Towel"</formula>
    </cfRule>
    <cfRule type="cellIs" dxfId="20228" priority="4343" stopIfTrue="1" operator="equal">
      <formula>"Napkin Hs"</formula>
    </cfRule>
    <cfRule type="cellIs" dxfId="20227" priority="4348" stopIfTrue="1" operator="equal">
      <formula>"Towel"</formula>
    </cfRule>
    <cfRule type="cellIs" dxfId="20226" priority="4349" stopIfTrue="1" operator="equal">
      <formula>"Napkin Hs"</formula>
    </cfRule>
    <cfRule type="cellIs" dxfId="20225" priority="4358" stopIfTrue="1" operator="equal">
      <formula>"Towel"</formula>
    </cfRule>
    <cfRule type="cellIs" dxfId="20224" priority="4359" stopIfTrue="1" operator="equal">
      <formula>"Napkin Hs"</formula>
    </cfRule>
    <cfRule type="cellIs" dxfId="20223" priority="4360" stopIfTrue="1" operator="equal">
      <formula>"Towel"</formula>
    </cfRule>
    <cfRule type="cellIs" dxfId="20222" priority="4361" stopIfTrue="1" operator="equal">
      <formula>"Napkin Hs"</formula>
    </cfRule>
    <cfRule type="cellIs" dxfId="20221" priority="4367" stopIfTrue="1" operator="equal">
      <formula>"Napkin Hs"</formula>
    </cfRule>
  </conditionalFormatting>
  <conditionalFormatting sqref="B125:C125">
    <cfRule type="cellIs" dxfId="20220" priority="4366" stopIfTrue="1" operator="equal">
      <formula>"Towel"</formula>
    </cfRule>
  </conditionalFormatting>
  <conditionalFormatting sqref="C125">
    <cfRule type="cellIs" dxfId="20219" priority="4277" stopIfTrue="1" operator="equal">
      <formula>"Napkin Hs"</formula>
    </cfRule>
    <cfRule type="cellIs" dxfId="20218" priority="4278" stopIfTrue="1" operator="equal">
      <formula>"Towel"</formula>
    </cfRule>
    <cfRule type="cellIs" dxfId="20217" priority="4279" stopIfTrue="1" operator="equal">
      <formula>"Napkin Hs"</formula>
    </cfRule>
    <cfRule type="cellIs" dxfId="20216" priority="4280" stopIfTrue="1" operator="equal">
      <formula>"Towel"</formula>
    </cfRule>
    <cfRule type="cellIs" dxfId="20215" priority="4281" stopIfTrue="1" operator="equal">
      <formula>"Napkin Hs"</formula>
    </cfRule>
    <cfRule type="cellIs" dxfId="20214" priority="4282" stopIfTrue="1" operator="equal">
      <formula>"Towel"</formula>
    </cfRule>
    <cfRule type="cellIs" dxfId="20213" priority="4283" stopIfTrue="1" operator="equal">
      <formula>"Napkin Hs"</formula>
    </cfRule>
    <cfRule type="cellIs" dxfId="20212" priority="4284" stopIfTrue="1" operator="equal">
      <formula>"Towel"</formula>
    </cfRule>
    <cfRule type="cellIs" dxfId="20211" priority="4285" stopIfTrue="1" operator="equal">
      <formula>"Napkin Hs"</formula>
    </cfRule>
    <cfRule type="cellIs" dxfId="20210" priority="4288" stopIfTrue="1" operator="equal">
      <formula>"Towel"</formula>
    </cfRule>
    <cfRule type="cellIs" dxfId="20209" priority="4289" stopIfTrue="1" operator="equal">
      <formula>"Napkin Hs"</formula>
    </cfRule>
    <cfRule type="cellIs" dxfId="20208" priority="4290" stopIfTrue="1" operator="equal">
      <formula>"Towel"</formula>
    </cfRule>
    <cfRule type="cellIs" dxfId="20207" priority="4291" stopIfTrue="1" operator="equal">
      <formula>"Napkin Hs"</formula>
    </cfRule>
    <cfRule type="cellIs" dxfId="20206" priority="4294" stopIfTrue="1" operator="equal">
      <formula>"Towel"</formula>
    </cfRule>
    <cfRule type="cellIs" dxfId="20205" priority="4295" stopIfTrue="1" operator="equal">
      <formula>"Napkin Hs"</formula>
    </cfRule>
    <cfRule type="cellIs" dxfId="20204" priority="4296" stopIfTrue="1" operator="equal">
      <formula>"Towel"</formula>
    </cfRule>
    <cfRule type="cellIs" dxfId="20203" priority="4297" stopIfTrue="1" operator="equal">
      <formula>"Napkin Hs"</formula>
    </cfRule>
    <cfRule type="cellIs" dxfId="20202" priority="4302" stopIfTrue="1" operator="equal">
      <formula>"Towel"</formula>
    </cfRule>
    <cfRule type="cellIs" dxfId="20201" priority="4303" stopIfTrue="1" operator="equal">
      <formula>"Napkin Hs"</formula>
    </cfRule>
    <cfRule type="cellIs" dxfId="20200" priority="4304" stopIfTrue="1" operator="equal">
      <formula>"Towel"</formula>
    </cfRule>
    <cfRule type="cellIs" dxfId="20199" priority="4305" stopIfTrue="1" operator="equal">
      <formula>"Napkin Hs"</formula>
    </cfRule>
    <cfRule type="cellIs" dxfId="20198" priority="4308" stopIfTrue="1" operator="equal">
      <formula>"Towel"</formula>
    </cfRule>
    <cfRule type="cellIs" dxfId="20197" priority="4309" stopIfTrue="1" operator="equal">
      <formula>"Napkin Hs"</formula>
    </cfRule>
    <cfRule type="cellIs" dxfId="20196" priority="4310" stopIfTrue="1" operator="equal">
      <formula>"Towel"</formula>
    </cfRule>
    <cfRule type="cellIs" dxfId="20195" priority="4311" stopIfTrue="1" operator="equal">
      <formula>"Napkin Hs"</formula>
    </cfRule>
    <cfRule type="cellIs" dxfId="20194" priority="4312" stopIfTrue="1" operator="equal">
      <formula>"Towel"</formula>
    </cfRule>
    <cfRule type="cellIs" dxfId="20193" priority="4313" stopIfTrue="1" operator="equal">
      <formula>"Napkin Hs"</formula>
    </cfRule>
    <cfRule type="cellIs" dxfId="20192" priority="4314" stopIfTrue="1" operator="equal">
      <formula>"Towel"</formula>
    </cfRule>
    <cfRule type="cellIs" dxfId="20191" priority="4315" stopIfTrue="1" operator="equal">
      <formula>"Napkin Hs"</formula>
    </cfRule>
    <cfRule type="cellIs" dxfId="20190" priority="4318" stopIfTrue="1" operator="equal">
      <formula>"Towel"</formula>
    </cfRule>
    <cfRule type="cellIs" dxfId="20189" priority="4319" stopIfTrue="1" operator="equal">
      <formula>"Napkin Hs"</formula>
    </cfRule>
    <cfRule type="cellIs" dxfId="20188" priority="4320" stopIfTrue="1" operator="equal">
      <formula>"Towel"</formula>
    </cfRule>
    <cfRule type="cellIs" dxfId="20187" priority="4321" stopIfTrue="1" operator="equal">
      <formula>"Napkin Hs"</formula>
    </cfRule>
    <cfRule type="cellIs" dxfId="20186" priority="4326" stopIfTrue="1" operator="equal">
      <formula>"Towel"</formula>
    </cfRule>
    <cfRule type="cellIs" dxfId="20185" priority="4327" stopIfTrue="1" operator="equal">
      <formula>"Napkin Hs"</formula>
    </cfRule>
    <cfRule type="cellIs" dxfId="20184" priority="4328" stopIfTrue="1" operator="equal">
      <formula>"Towel"</formula>
    </cfRule>
    <cfRule type="cellIs" dxfId="20183" priority="4329" stopIfTrue="1" operator="equal">
      <formula>"Napkin Hs"</formula>
    </cfRule>
    <cfRule type="cellIs" dxfId="20182" priority="4332" stopIfTrue="1" operator="equal">
      <formula>"Towel"</formula>
    </cfRule>
    <cfRule type="cellIs" dxfId="20181" priority="4333" stopIfTrue="1" operator="equal">
      <formula>"Napkin Hs"</formula>
    </cfRule>
    <cfRule type="cellIs" dxfId="20180" priority="4334" stopIfTrue="1" operator="equal">
      <formula>"Towel"</formula>
    </cfRule>
    <cfRule type="cellIs" dxfId="20179" priority="4335" stopIfTrue="1" operator="equal">
      <formula>"Napkin Hs"</formula>
    </cfRule>
    <cfRule type="cellIs" dxfId="20178" priority="4336" stopIfTrue="1" operator="equal">
      <formula>"Towel"</formula>
    </cfRule>
    <cfRule type="cellIs" dxfId="20177" priority="4337" stopIfTrue="1" operator="equal">
      <formula>"Napkin Hs"</formula>
    </cfRule>
    <cfRule type="cellIs" dxfId="20176" priority="4338" stopIfTrue="1" operator="equal">
      <formula>"Towel"</formula>
    </cfRule>
    <cfRule type="cellIs" dxfId="20175" priority="4339" stopIfTrue="1" operator="equal">
      <formula>"Napkin Hs"</formula>
    </cfRule>
    <cfRule type="cellIs" dxfId="20174" priority="4344" stopIfTrue="1" operator="equal">
      <formula>"Towel"</formula>
    </cfRule>
    <cfRule type="cellIs" dxfId="20173" priority="4345" stopIfTrue="1" operator="equal">
      <formula>"Napkin Hs"</formula>
    </cfRule>
    <cfRule type="cellIs" dxfId="20172" priority="4346" stopIfTrue="1" operator="equal">
      <formula>"Towel"</formula>
    </cfRule>
    <cfRule type="cellIs" dxfId="20171" priority="4347" stopIfTrue="1" operator="equal">
      <formula>"Napkin Hs"</formula>
    </cfRule>
    <cfRule type="cellIs" dxfId="20170" priority="4350" stopIfTrue="1" operator="equal">
      <formula>"Towel"</formula>
    </cfRule>
    <cfRule type="cellIs" dxfId="20169" priority="4351" stopIfTrue="1" operator="equal">
      <formula>"Napkin Hs"</formula>
    </cfRule>
    <cfRule type="cellIs" dxfId="20168" priority="4352" stopIfTrue="1" operator="equal">
      <formula>"Towel"</formula>
    </cfRule>
    <cfRule type="cellIs" dxfId="20167" priority="4353" stopIfTrue="1" operator="equal">
      <formula>"Napkin Hs"</formula>
    </cfRule>
    <cfRule type="cellIs" dxfId="20166" priority="4354" stopIfTrue="1" operator="equal">
      <formula>"Towel"</formula>
    </cfRule>
    <cfRule type="cellIs" dxfId="20165" priority="4355" stopIfTrue="1" operator="equal">
      <formula>"Napkin Hs"</formula>
    </cfRule>
    <cfRule type="cellIs" dxfId="20164" priority="4356" stopIfTrue="1" operator="equal">
      <formula>"Towel"</formula>
    </cfRule>
    <cfRule type="cellIs" dxfId="20163" priority="4357" stopIfTrue="1" operator="equal">
      <formula>"Napkin Hs"</formula>
    </cfRule>
    <cfRule type="cellIs" dxfId="20162" priority="4362" stopIfTrue="1" operator="equal">
      <formula>"Towel"</formula>
    </cfRule>
    <cfRule type="cellIs" dxfId="20161" priority="4363" stopIfTrue="1" operator="equal">
      <formula>"Napkin Hs"</formula>
    </cfRule>
    <cfRule type="cellIs" dxfId="20160" priority="4364" stopIfTrue="1" operator="equal">
      <formula>"Towel"</formula>
    </cfRule>
    <cfRule type="cellIs" dxfId="20159" priority="4365" stopIfTrue="1" operator="equal">
      <formula>"Napkin Hs"</formula>
    </cfRule>
    <cfRule type="cellIs" dxfId="20158" priority="4368" stopIfTrue="1" operator="equal">
      <formula>"Towel"</formula>
    </cfRule>
    <cfRule type="cellIs" dxfId="20157" priority="4369" stopIfTrue="1" operator="equal">
      <formula>"Napkin Hs"</formula>
    </cfRule>
    <cfRule type="cellIs" dxfId="20156" priority="4370" stopIfTrue="1" operator="equal">
      <formula>"Towel"</formula>
    </cfRule>
    <cfRule type="cellIs" dxfId="20155" priority="4371" stopIfTrue="1" operator="equal">
      <formula>"Napkin Hs"</formula>
    </cfRule>
  </conditionalFormatting>
  <conditionalFormatting sqref="C125">
    <cfRule type="cellIs" dxfId="20154" priority="4274" stopIfTrue="1" operator="equal">
      <formula>"Napkin Hs"</formula>
    </cfRule>
  </conditionalFormatting>
  <conditionalFormatting sqref="C125">
    <cfRule type="cellIs" dxfId="20153" priority="4273" stopIfTrue="1" operator="equal">
      <formula>"Napkin Hs"</formula>
    </cfRule>
  </conditionalFormatting>
  <conditionalFormatting sqref="B125">
    <cfRule type="cellIs" dxfId="20152" priority="4272" stopIfTrue="1" operator="equal">
      <formula>"Napkin Hs"</formula>
    </cfRule>
  </conditionalFormatting>
  <conditionalFormatting sqref="C125">
    <cfRule type="cellIs" dxfId="20151" priority="4271" stopIfTrue="1" operator="equal">
      <formula>"Napkin Hs"</formula>
    </cfRule>
  </conditionalFormatting>
  <conditionalFormatting sqref="C125">
    <cfRule type="cellIs" dxfId="20150" priority="4270" stopIfTrue="1" operator="equal">
      <formula>"Napkin Hs"</formula>
    </cfRule>
  </conditionalFormatting>
  <conditionalFormatting sqref="C125">
    <cfRule type="cellIs" dxfId="20149" priority="4269" stopIfTrue="1" operator="equal">
      <formula>"Napkin Hs"</formula>
    </cfRule>
  </conditionalFormatting>
  <conditionalFormatting sqref="C125">
    <cfRule type="cellIs" dxfId="20148" priority="4268" stopIfTrue="1" operator="equal">
      <formula>"Napkin Hs"</formula>
    </cfRule>
  </conditionalFormatting>
  <conditionalFormatting sqref="B125">
    <cfRule type="cellIs" dxfId="20147" priority="4267" stopIfTrue="1" operator="equal">
      <formula>"Napkin Hs"</formula>
    </cfRule>
  </conditionalFormatting>
  <conditionalFormatting sqref="B125">
    <cfRule type="cellIs" dxfId="20146" priority="4266" stopIfTrue="1" operator="equal">
      <formula>"Napkin Hs"</formula>
    </cfRule>
  </conditionalFormatting>
  <conditionalFormatting sqref="C125">
    <cfRule type="cellIs" dxfId="20145" priority="4262" stopIfTrue="1" operator="equal">
      <formula>"Towel"</formula>
    </cfRule>
    <cfRule type="cellIs" dxfId="20144" priority="4263" stopIfTrue="1" operator="equal">
      <formula>"Napkin Hs"</formula>
    </cfRule>
  </conditionalFormatting>
  <conditionalFormatting sqref="C125">
    <cfRule type="cellIs" dxfId="20143" priority="4264" stopIfTrue="1" operator="equal">
      <formula>"Towel"</formula>
    </cfRule>
    <cfRule type="cellIs" dxfId="20142" priority="4265" stopIfTrue="1" operator="equal">
      <formula>"Napkin Hs"</formula>
    </cfRule>
  </conditionalFormatting>
  <conditionalFormatting sqref="C125">
    <cfRule type="cellIs" dxfId="20141" priority="4258" stopIfTrue="1" operator="equal">
      <formula>"Towel"</formula>
    </cfRule>
    <cfRule type="cellIs" dxfId="20140" priority="4259" stopIfTrue="1" operator="equal">
      <formula>"Napkin Hs"</formula>
    </cfRule>
  </conditionalFormatting>
  <conditionalFormatting sqref="C125">
    <cfRule type="cellIs" dxfId="20139" priority="4260" stopIfTrue="1" operator="equal">
      <formula>"Towel"</formula>
    </cfRule>
    <cfRule type="cellIs" dxfId="20138" priority="4261" stopIfTrue="1" operator="equal">
      <formula>"Napkin Hs"</formula>
    </cfRule>
  </conditionalFormatting>
  <conditionalFormatting sqref="B124">
    <cfRule type="cellIs" dxfId="20137" priority="4086" stopIfTrue="1" operator="equal">
      <formula>"Napkin Hs"</formula>
    </cfRule>
  </conditionalFormatting>
  <conditionalFormatting sqref="B124">
    <cfRule type="cellIs" dxfId="20136" priority="4085" stopIfTrue="1" operator="equal">
      <formula>"Napkin Hs"</formula>
    </cfRule>
  </conditionalFormatting>
  <conditionalFormatting sqref="B124">
    <cfRule type="cellIs" dxfId="20135" priority="4084" stopIfTrue="1" operator="equal">
      <formula>"Napkin Hs"</formula>
    </cfRule>
  </conditionalFormatting>
  <conditionalFormatting sqref="C124">
    <cfRule type="cellIs" dxfId="20134" priority="4082" stopIfTrue="1" operator="equal">
      <formula>"Towel"</formula>
    </cfRule>
    <cfRule type="cellIs" dxfId="20133" priority="4083" stopIfTrue="1" operator="equal">
      <formula>"Napkin Hs"</formula>
    </cfRule>
  </conditionalFormatting>
  <conditionalFormatting sqref="C124">
    <cfRule type="cellIs" dxfId="20132" priority="4078" stopIfTrue="1" operator="equal">
      <formula>"Towel"</formula>
    </cfRule>
    <cfRule type="cellIs" dxfId="20131" priority="4079" stopIfTrue="1" operator="equal">
      <formula>"Napkin Hs"</formula>
    </cfRule>
  </conditionalFormatting>
  <conditionalFormatting sqref="C124">
    <cfRule type="cellIs" dxfId="20130" priority="4080" stopIfTrue="1" operator="equal">
      <formula>"Towel"</formula>
    </cfRule>
    <cfRule type="cellIs" dxfId="20129" priority="4081" stopIfTrue="1" operator="equal">
      <formula>"Napkin Hs"</formula>
    </cfRule>
  </conditionalFormatting>
  <conditionalFormatting sqref="C124">
    <cfRule type="cellIs" dxfId="20128" priority="4074" stopIfTrue="1" operator="equal">
      <formula>"Towel"</formula>
    </cfRule>
    <cfRule type="cellIs" dxfId="20127" priority="4075" stopIfTrue="1" operator="equal">
      <formula>"Napkin Hs"</formula>
    </cfRule>
  </conditionalFormatting>
  <conditionalFormatting sqref="C124">
    <cfRule type="cellIs" dxfId="20126" priority="4076" stopIfTrue="1" operator="equal">
      <formula>"Towel"</formula>
    </cfRule>
    <cfRule type="cellIs" dxfId="20125" priority="4077" stopIfTrue="1" operator="equal">
      <formula>"Napkin Hs"</formula>
    </cfRule>
  </conditionalFormatting>
  <conditionalFormatting sqref="C124">
    <cfRule type="cellIs" dxfId="20124" priority="4072" stopIfTrue="1" operator="equal">
      <formula>"Towel"</formula>
    </cfRule>
    <cfRule type="cellIs" dxfId="20123" priority="4073" stopIfTrue="1" operator="equal">
      <formula>"Napkin Hs"</formula>
    </cfRule>
  </conditionalFormatting>
  <conditionalFormatting sqref="C124">
    <cfRule type="cellIs" dxfId="20122" priority="4066" stopIfTrue="1" operator="equal">
      <formula>"Towel"</formula>
    </cfRule>
    <cfRule type="cellIs" dxfId="20121" priority="4067" stopIfTrue="1" operator="equal">
      <formula>"Napkin Hs"</formula>
    </cfRule>
  </conditionalFormatting>
  <conditionalFormatting sqref="C124">
    <cfRule type="cellIs" dxfId="20120" priority="4070" stopIfTrue="1" operator="equal">
      <formula>"Towel"</formula>
    </cfRule>
    <cfRule type="cellIs" dxfId="20119" priority="4071" stopIfTrue="1" operator="equal">
      <formula>"Napkin Hs"</formula>
    </cfRule>
  </conditionalFormatting>
  <conditionalFormatting sqref="C124">
    <cfRule type="cellIs" dxfId="20118" priority="4068" stopIfTrue="1" operator="equal">
      <formula>"Towel"</formula>
    </cfRule>
    <cfRule type="cellIs" dxfId="20117" priority="4069" stopIfTrue="1" operator="equal">
      <formula>"Napkin Hs"</formula>
    </cfRule>
  </conditionalFormatting>
  <conditionalFormatting sqref="C124">
    <cfRule type="cellIs" dxfId="20116" priority="4060" stopIfTrue="1" operator="equal">
      <formula>"Towel"</formula>
    </cfRule>
    <cfRule type="cellIs" dxfId="20115" priority="4061" stopIfTrue="1" operator="equal">
      <formula>"Napkin Hs"</formula>
    </cfRule>
  </conditionalFormatting>
  <conditionalFormatting sqref="C124">
    <cfRule type="cellIs" dxfId="20114" priority="4062" stopIfTrue="1" operator="equal">
      <formula>"Towel"</formula>
    </cfRule>
    <cfRule type="cellIs" dxfId="20113" priority="4063" stopIfTrue="1" operator="equal">
      <formula>"Napkin Hs"</formula>
    </cfRule>
  </conditionalFormatting>
  <conditionalFormatting sqref="C124">
    <cfRule type="cellIs" dxfId="20112" priority="4064" stopIfTrue="1" operator="equal">
      <formula>"Towel"</formula>
    </cfRule>
    <cfRule type="cellIs" dxfId="20111" priority="4065" stopIfTrue="1" operator="equal">
      <formula>"Napkin Hs"</formula>
    </cfRule>
  </conditionalFormatting>
  <conditionalFormatting sqref="C124">
    <cfRule type="cellIs" dxfId="20110" priority="4058" stopIfTrue="1" operator="equal">
      <formula>"Towel"</formula>
    </cfRule>
    <cfRule type="cellIs" dxfId="20109" priority="4059" stopIfTrue="1" operator="equal">
      <formula>"Napkin Hs"</formula>
    </cfRule>
  </conditionalFormatting>
  <conditionalFormatting sqref="C124">
    <cfRule type="cellIs" dxfId="20108" priority="4056" stopIfTrue="1" operator="equal">
      <formula>"Towel"</formula>
    </cfRule>
    <cfRule type="cellIs" dxfId="20107" priority="4057" stopIfTrue="1" operator="equal">
      <formula>"Napkin Hs"</formula>
    </cfRule>
  </conditionalFormatting>
  <conditionalFormatting sqref="C124">
    <cfRule type="cellIs" dxfId="20106" priority="4032" stopIfTrue="1" operator="equal">
      <formula>"Towel"</formula>
    </cfRule>
  </conditionalFormatting>
  <conditionalFormatting sqref="C124">
    <cfRule type="cellIs" dxfId="20105" priority="4033" stopIfTrue="1" operator="equal">
      <formula>"Napkin Hs"</formula>
    </cfRule>
    <cfRule type="cellIs" dxfId="20104" priority="4038" stopIfTrue="1" operator="equal">
      <formula>"Towel"</formula>
    </cfRule>
    <cfRule type="cellIs" dxfId="20103" priority="4039" stopIfTrue="1" operator="equal">
      <formula>"Napkin Hs"</formula>
    </cfRule>
    <cfRule type="cellIs" dxfId="20102" priority="4048" stopIfTrue="1" operator="equal">
      <formula>"Towel"</formula>
    </cfRule>
    <cfRule type="cellIs" dxfId="20101" priority="4049" stopIfTrue="1" operator="equal">
      <formula>"Napkin Hs"</formula>
    </cfRule>
    <cfRule type="cellIs" dxfId="20100" priority="4054" stopIfTrue="1" operator="equal">
      <formula>"Towel"</formula>
    </cfRule>
    <cfRule type="cellIs" dxfId="20099" priority="4055" stopIfTrue="1" operator="equal">
      <formula>"Napkin Hs"</formula>
    </cfRule>
  </conditionalFormatting>
  <conditionalFormatting sqref="C124">
    <cfRule type="cellIs" dxfId="20098" priority="4034" stopIfTrue="1" operator="equal">
      <formula>"Towel"</formula>
    </cfRule>
    <cfRule type="cellIs" dxfId="20097" priority="4035" stopIfTrue="1" operator="equal">
      <formula>"Napkin Hs"</formula>
    </cfRule>
    <cfRule type="cellIs" dxfId="20096" priority="4036" stopIfTrue="1" operator="equal">
      <formula>"Towel"</formula>
    </cfRule>
    <cfRule type="cellIs" dxfId="20095" priority="4037" stopIfTrue="1" operator="equal">
      <formula>"Napkin Hs"</formula>
    </cfRule>
    <cfRule type="cellIs" dxfId="20094" priority="4040" stopIfTrue="1" operator="equal">
      <formula>"Towel"</formula>
    </cfRule>
    <cfRule type="cellIs" dxfId="20093" priority="4041" stopIfTrue="1" operator="equal">
      <formula>"Napkin Hs"</formula>
    </cfRule>
    <cfRule type="cellIs" dxfId="20092" priority="4042" stopIfTrue="1" operator="equal">
      <formula>"Towel"</formula>
    </cfRule>
    <cfRule type="cellIs" dxfId="20091" priority="4043" stopIfTrue="1" operator="equal">
      <formula>"Napkin Hs"</formula>
    </cfRule>
    <cfRule type="cellIs" dxfId="20090" priority="4044" stopIfTrue="1" operator="equal">
      <formula>"Towel"</formula>
    </cfRule>
    <cfRule type="cellIs" dxfId="20089" priority="4045" stopIfTrue="1" operator="equal">
      <formula>"Napkin Hs"</formula>
    </cfRule>
    <cfRule type="cellIs" dxfId="20088" priority="4046" stopIfTrue="1" operator="equal">
      <formula>"Towel"</formula>
    </cfRule>
    <cfRule type="cellIs" dxfId="20087" priority="4047" stopIfTrue="1" operator="equal">
      <formula>"Napkin Hs"</formula>
    </cfRule>
    <cfRule type="cellIs" dxfId="20086" priority="4050" stopIfTrue="1" operator="equal">
      <formula>"Towel"</formula>
    </cfRule>
    <cfRule type="cellIs" dxfId="20085" priority="4051" stopIfTrue="1" operator="equal">
      <formula>"Napkin Hs"</formula>
    </cfRule>
    <cfRule type="cellIs" dxfId="20084" priority="4053" stopIfTrue="1" operator="equal">
      <formula>"Napkin Hs"</formula>
    </cfRule>
  </conditionalFormatting>
  <conditionalFormatting sqref="C124">
    <cfRule type="cellIs" dxfId="20083" priority="4052" stopIfTrue="1" operator="equal">
      <formula>"Towel"</formula>
    </cfRule>
  </conditionalFormatting>
  <conditionalFormatting sqref="C124">
    <cfRule type="cellIs" dxfId="20082" priority="4030" stopIfTrue="1" operator="equal">
      <formula>"Towel"</formula>
    </cfRule>
    <cfRule type="cellIs" dxfId="20081" priority="4031" stopIfTrue="1" operator="equal">
      <formula>"Napkin Hs"</formula>
    </cfRule>
  </conditionalFormatting>
  <conditionalFormatting sqref="C124">
    <cfRule type="cellIs" dxfId="20080" priority="4029" stopIfTrue="1" operator="equal">
      <formula>"Napkin Hs"</formula>
    </cfRule>
  </conditionalFormatting>
  <conditionalFormatting sqref="C124">
    <cfRule type="cellIs" dxfId="20079" priority="4028" stopIfTrue="1" operator="equal">
      <formula>"Towel"</formula>
    </cfRule>
  </conditionalFormatting>
  <conditionalFormatting sqref="C124">
    <cfRule type="cellIs" dxfId="20078" priority="4026" stopIfTrue="1" operator="equal">
      <formula>"Towel"</formula>
    </cfRule>
  </conditionalFormatting>
  <conditionalFormatting sqref="C124">
    <cfRule type="cellIs" dxfId="20077" priority="4027" stopIfTrue="1" operator="equal">
      <formula>"Napkin Hs"</formula>
    </cfRule>
  </conditionalFormatting>
  <conditionalFormatting sqref="C124">
    <cfRule type="cellIs" dxfId="20076" priority="3930" stopIfTrue="1" operator="equal">
      <formula>"Towel"</formula>
    </cfRule>
  </conditionalFormatting>
  <conditionalFormatting sqref="C124">
    <cfRule type="cellIs" dxfId="20075" priority="3940" stopIfTrue="1" operator="equal">
      <formula>"Towel"</formula>
    </cfRule>
    <cfRule type="cellIs" dxfId="20074" priority="3941" stopIfTrue="1" operator="equal">
      <formula>"Napkin Hs"</formula>
    </cfRule>
    <cfRule type="cellIs" dxfId="20073" priority="3946" stopIfTrue="1" operator="equal">
      <formula>"Towel"</formula>
    </cfRule>
    <cfRule type="cellIs" dxfId="20072" priority="3947" stopIfTrue="1" operator="equal">
      <formula>"Napkin Hs"</formula>
    </cfRule>
    <cfRule type="cellIs" dxfId="20071" priority="3952" stopIfTrue="1" operator="equal">
      <formula>"Towel"</formula>
    </cfRule>
    <cfRule type="cellIs" dxfId="20070" priority="3953" stopIfTrue="1" operator="equal">
      <formula>"Napkin Hs"</formula>
    </cfRule>
    <cfRule type="cellIs" dxfId="20069" priority="3954" stopIfTrue="1" operator="equal">
      <formula>"Towel"</formula>
    </cfRule>
    <cfRule type="cellIs" dxfId="20068" priority="3955" stopIfTrue="1" operator="equal">
      <formula>"Napkin Hs"</formula>
    </cfRule>
    <cfRule type="cellIs" dxfId="20067" priority="3960" stopIfTrue="1" operator="equal">
      <formula>"Towel"</formula>
    </cfRule>
    <cfRule type="cellIs" dxfId="20066" priority="3961" stopIfTrue="1" operator="equal">
      <formula>"Napkin Hs"</formula>
    </cfRule>
    <cfRule type="cellIs" dxfId="20065" priority="3970" stopIfTrue="1" operator="equal">
      <formula>"Towel"</formula>
    </cfRule>
    <cfRule type="cellIs" dxfId="20064" priority="3971" stopIfTrue="1" operator="equal">
      <formula>"Napkin Hs"</formula>
    </cfRule>
    <cfRule type="cellIs" dxfId="20063" priority="3976" stopIfTrue="1" operator="equal">
      <formula>"Towel"</formula>
    </cfRule>
    <cfRule type="cellIs" dxfId="20062" priority="3977" stopIfTrue="1" operator="equal">
      <formula>"Napkin Hs"</formula>
    </cfRule>
    <cfRule type="cellIs" dxfId="20061" priority="3978" stopIfTrue="1" operator="equal">
      <formula>"Towel"</formula>
    </cfRule>
    <cfRule type="cellIs" dxfId="20060" priority="3979" stopIfTrue="1" operator="equal">
      <formula>"Napkin Hs"</formula>
    </cfRule>
    <cfRule type="cellIs" dxfId="20059" priority="3984" stopIfTrue="1" operator="equal">
      <formula>"Towel"</formula>
    </cfRule>
    <cfRule type="cellIs" dxfId="20058" priority="3985" stopIfTrue="1" operator="equal">
      <formula>"Napkin Hs"</formula>
    </cfRule>
    <cfRule type="cellIs" dxfId="20057" priority="3994" stopIfTrue="1" operator="equal">
      <formula>"Towel"</formula>
    </cfRule>
    <cfRule type="cellIs" dxfId="20056" priority="3995" stopIfTrue="1" operator="equal">
      <formula>"Napkin Hs"</formula>
    </cfRule>
    <cfRule type="cellIs" dxfId="20055" priority="3996" stopIfTrue="1" operator="equal">
      <formula>"Towel"</formula>
    </cfRule>
    <cfRule type="cellIs" dxfId="20054" priority="3997" stopIfTrue="1" operator="equal">
      <formula>"Napkin Hs"</formula>
    </cfRule>
    <cfRule type="cellIs" dxfId="20053" priority="4002" stopIfTrue="1" operator="equal">
      <formula>"Towel"</formula>
    </cfRule>
    <cfRule type="cellIs" dxfId="20052" priority="4003" stopIfTrue="1" operator="equal">
      <formula>"Napkin Hs"</formula>
    </cfRule>
    <cfRule type="cellIs" dxfId="20051" priority="4012" stopIfTrue="1" operator="equal">
      <formula>"Towel"</formula>
    </cfRule>
    <cfRule type="cellIs" dxfId="20050" priority="4013" stopIfTrue="1" operator="equal">
      <formula>"Napkin Hs"</formula>
    </cfRule>
    <cfRule type="cellIs" dxfId="20049" priority="4014" stopIfTrue="1" operator="equal">
      <formula>"Towel"</formula>
    </cfRule>
    <cfRule type="cellIs" dxfId="20048" priority="4015" stopIfTrue="1" operator="equal">
      <formula>"Napkin Hs"</formula>
    </cfRule>
    <cfRule type="cellIs" dxfId="20047" priority="4021" stopIfTrue="1" operator="equal">
      <formula>"Napkin Hs"</formula>
    </cfRule>
  </conditionalFormatting>
  <conditionalFormatting sqref="C124">
    <cfRule type="cellIs" dxfId="20046" priority="4020" stopIfTrue="1" operator="equal">
      <formula>"Towel"</formula>
    </cfRule>
  </conditionalFormatting>
  <conditionalFormatting sqref="C124">
    <cfRule type="cellIs" dxfId="20045" priority="3931" stopIfTrue="1" operator="equal">
      <formula>"Napkin Hs"</formula>
    </cfRule>
    <cfRule type="cellIs" dxfId="20044" priority="3932" stopIfTrue="1" operator="equal">
      <formula>"Towel"</formula>
    </cfRule>
    <cfRule type="cellIs" dxfId="20043" priority="3933" stopIfTrue="1" operator="equal">
      <formula>"Napkin Hs"</formula>
    </cfRule>
    <cfRule type="cellIs" dxfId="20042" priority="3934" stopIfTrue="1" operator="equal">
      <formula>"Towel"</formula>
    </cfRule>
    <cfRule type="cellIs" dxfId="20041" priority="3935" stopIfTrue="1" operator="equal">
      <formula>"Napkin Hs"</formula>
    </cfRule>
    <cfRule type="cellIs" dxfId="20040" priority="3936" stopIfTrue="1" operator="equal">
      <formula>"Towel"</formula>
    </cfRule>
    <cfRule type="cellIs" dxfId="20039" priority="3937" stopIfTrue="1" operator="equal">
      <formula>"Napkin Hs"</formula>
    </cfRule>
    <cfRule type="cellIs" dxfId="20038" priority="3938" stopIfTrue="1" operator="equal">
      <formula>"Towel"</formula>
    </cfRule>
    <cfRule type="cellIs" dxfId="20037" priority="3939" stopIfTrue="1" operator="equal">
      <formula>"Napkin Hs"</formula>
    </cfRule>
    <cfRule type="cellIs" dxfId="20036" priority="3942" stopIfTrue="1" operator="equal">
      <formula>"Towel"</formula>
    </cfRule>
    <cfRule type="cellIs" dxfId="20035" priority="3943" stopIfTrue="1" operator="equal">
      <formula>"Napkin Hs"</formula>
    </cfRule>
    <cfRule type="cellIs" dxfId="20034" priority="3944" stopIfTrue="1" operator="equal">
      <formula>"Towel"</formula>
    </cfRule>
    <cfRule type="cellIs" dxfId="20033" priority="3945" stopIfTrue="1" operator="equal">
      <formula>"Napkin Hs"</formula>
    </cfRule>
    <cfRule type="cellIs" dxfId="20032" priority="3948" stopIfTrue="1" operator="equal">
      <formula>"Towel"</formula>
    </cfRule>
    <cfRule type="cellIs" dxfId="20031" priority="3949" stopIfTrue="1" operator="equal">
      <formula>"Napkin Hs"</formula>
    </cfRule>
    <cfRule type="cellIs" dxfId="20030" priority="3950" stopIfTrue="1" operator="equal">
      <formula>"Towel"</formula>
    </cfRule>
    <cfRule type="cellIs" dxfId="20029" priority="3951" stopIfTrue="1" operator="equal">
      <formula>"Napkin Hs"</formula>
    </cfRule>
    <cfRule type="cellIs" dxfId="20028" priority="3956" stopIfTrue="1" operator="equal">
      <formula>"Towel"</formula>
    </cfRule>
    <cfRule type="cellIs" dxfId="20027" priority="3957" stopIfTrue="1" operator="equal">
      <formula>"Napkin Hs"</formula>
    </cfRule>
    <cfRule type="cellIs" dxfId="20026" priority="3958" stopIfTrue="1" operator="equal">
      <formula>"Towel"</formula>
    </cfRule>
    <cfRule type="cellIs" dxfId="20025" priority="3959" stopIfTrue="1" operator="equal">
      <formula>"Napkin Hs"</formula>
    </cfRule>
    <cfRule type="cellIs" dxfId="20024" priority="3962" stopIfTrue="1" operator="equal">
      <formula>"Towel"</formula>
    </cfRule>
    <cfRule type="cellIs" dxfId="20023" priority="3963" stopIfTrue="1" operator="equal">
      <formula>"Napkin Hs"</formula>
    </cfRule>
    <cfRule type="cellIs" dxfId="20022" priority="3964" stopIfTrue="1" operator="equal">
      <formula>"Towel"</formula>
    </cfRule>
    <cfRule type="cellIs" dxfId="20021" priority="3965" stopIfTrue="1" operator="equal">
      <formula>"Napkin Hs"</formula>
    </cfRule>
    <cfRule type="cellIs" dxfId="20020" priority="3966" stopIfTrue="1" operator="equal">
      <formula>"Towel"</formula>
    </cfRule>
    <cfRule type="cellIs" dxfId="20019" priority="3967" stopIfTrue="1" operator="equal">
      <formula>"Napkin Hs"</formula>
    </cfRule>
    <cfRule type="cellIs" dxfId="20018" priority="3968" stopIfTrue="1" operator="equal">
      <formula>"Towel"</formula>
    </cfRule>
    <cfRule type="cellIs" dxfId="20017" priority="3969" stopIfTrue="1" operator="equal">
      <formula>"Napkin Hs"</formula>
    </cfRule>
    <cfRule type="cellIs" dxfId="20016" priority="3972" stopIfTrue="1" operator="equal">
      <formula>"Towel"</formula>
    </cfRule>
    <cfRule type="cellIs" dxfId="20015" priority="3973" stopIfTrue="1" operator="equal">
      <formula>"Napkin Hs"</formula>
    </cfRule>
    <cfRule type="cellIs" dxfId="20014" priority="3974" stopIfTrue="1" operator="equal">
      <formula>"Towel"</formula>
    </cfRule>
    <cfRule type="cellIs" dxfId="20013" priority="3975" stopIfTrue="1" operator="equal">
      <formula>"Napkin Hs"</formula>
    </cfRule>
    <cfRule type="cellIs" dxfId="20012" priority="3980" stopIfTrue="1" operator="equal">
      <formula>"Towel"</formula>
    </cfRule>
    <cfRule type="cellIs" dxfId="20011" priority="3981" stopIfTrue="1" operator="equal">
      <formula>"Napkin Hs"</formula>
    </cfRule>
    <cfRule type="cellIs" dxfId="20010" priority="3982" stopIfTrue="1" operator="equal">
      <formula>"Towel"</formula>
    </cfRule>
    <cfRule type="cellIs" dxfId="20009" priority="3983" stopIfTrue="1" operator="equal">
      <formula>"Napkin Hs"</formula>
    </cfRule>
    <cfRule type="cellIs" dxfId="20008" priority="3986" stopIfTrue="1" operator="equal">
      <formula>"Towel"</formula>
    </cfRule>
    <cfRule type="cellIs" dxfId="20007" priority="3987" stopIfTrue="1" operator="equal">
      <formula>"Napkin Hs"</formula>
    </cfRule>
    <cfRule type="cellIs" dxfId="20006" priority="3988" stopIfTrue="1" operator="equal">
      <formula>"Towel"</formula>
    </cfRule>
    <cfRule type="cellIs" dxfId="20005" priority="3989" stopIfTrue="1" operator="equal">
      <formula>"Napkin Hs"</formula>
    </cfRule>
    <cfRule type="cellIs" dxfId="20004" priority="3990" stopIfTrue="1" operator="equal">
      <formula>"Towel"</formula>
    </cfRule>
    <cfRule type="cellIs" dxfId="20003" priority="3991" stopIfTrue="1" operator="equal">
      <formula>"Napkin Hs"</formula>
    </cfRule>
    <cfRule type="cellIs" dxfId="20002" priority="3992" stopIfTrue="1" operator="equal">
      <formula>"Towel"</formula>
    </cfRule>
    <cfRule type="cellIs" dxfId="20001" priority="3993" stopIfTrue="1" operator="equal">
      <formula>"Napkin Hs"</formula>
    </cfRule>
    <cfRule type="cellIs" dxfId="20000" priority="3998" stopIfTrue="1" operator="equal">
      <formula>"Towel"</formula>
    </cfRule>
    <cfRule type="cellIs" dxfId="19999" priority="3999" stopIfTrue="1" operator="equal">
      <formula>"Napkin Hs"</formula>
    </cfRule>
    <cfRule type="cellIs" dxfId="19998" priority="4000" stopIfTrue="1" operator="equal">
      <formula>"Towel"</formula>
    </cfRule>
    <cfRule type="cellIs" dxfId="19997" priority="4001" stopIfTrue="1" operator="equal">
      <formula>"Napkin Hs"</formula>
    </cfRule>
    <cfRule type="cellIs" dxfId="19996" priority="4004" stopIfTrue="1" operator="equal">
      <formula>"Towel"</formula>
    </cfRule>
    <cfRule type="cellIs" dxfId="19995" priority="4005" stopIfTrue="1" operator="equal">
      <formula>"Napkin Hs"</formula>
    </cfRule>
    <cfRule type="cellIs" dxfId="19994" priority="4006" stopIfTrue="1" operator="equal">
      <formula>"Towel"</formula>
    </cfRule>
    <cfRule type="cellIs" dxfId="19993" priority="4007" stopIfTrue="1" operator="equal">
      <formula>"Napkin Hs"</formula>
    </cfRule>
    <cfRule type="cellIs" dxfId="19992" priority="4008" stopIfTrue="1" operator="equal">
      <formula>"Towel"</formula>
    </cfRule>
    <cfRule type="cellIs" dxfId="19991" priority="4009" stopIfTrue="1" operator="equal">
      <formula>"Napkin Hs"</formula>
    </cfRule>
    <cfRule type="cellIs" dxfId="19990" priority="4010" stopIfTrue="1" operator="equal">
      <formula>"Towel"</formula>
    </cfRule>
    <cfRule type="cellIs" dxfId="19989" priority="4011" stopIfTrue="1" operator="equal">
      <formula>"Napkin Hs"</formula>
    </cfRule>
    <cfRule type="cellIs" dxfId="19988" priority="4016" stopIfTrue="1" operator="equal">
      <formula>"Towel"</formula>
    </cfRule>
    <cfRule type="cellIs" dxfId="19987" priority="4017" stopIfTrue="1" operator="equal">
      <formula>"Napkin Hs"</formula>
    </cfRule>
    <cfRule type="cellIs" dxfId="19986" priority="4018" stopIfTrue="1" operator="equal">
      <formula>"Towel"</formula>
    </cfRule>
    <cfRule type="cellIs" dxfId="19985" priority="4019" stopIfTrue="1" operator="equal">
      <formula>"Napkin Hs"</formula>
    </cfRule>
    <cfRule type="cellIs" dxfId="19984" priority="4022" stopIfTrue="1" operator="equal">
      <formula>"Towel"</formula>
    </cfRule>
    <cfRule type="cellIs" dxfId="19983" priority="4023" stopIfTrue="1" operator="equal">
      <formula>"Napkin Hs"</formula>
    </cfRule>
    <cfRule type="cellIs" dxfId="19982" priority="4024" stopIfTrue="1" operator="equal">
      <formula>"Towel"</formula>
    </cfRule>
    <cfRule type="cellIs" dxfId="19981" priority="4025" stopIfTrue="1" operator="equal">
      <formula>"Napkin Hs"</formula>
    </cfRule>
  </conditionalFormatting>
  <conditionalFormatting sqref="C124">
    <cfRule type="cellIs" dxfId="19980" priority="3929" stopIfTrue="1" operator="equal">
      <formula>"Napkin Hs"</formula>
    </cfRule>
  </conditionalFormatting>
  <conditionalFormatting sqref="C124">
    <cfRule type="cellIs" dxfId="19979" priority="3928" stopIfTrue="1" operator="equal">
      <formula>"Napkin Hs"</formula>
    </cfRule>
  </conditionalFormatting>
  <conditionalFormatting sqref="C124">
    <cfRule type="cellIs" dxfId="19978" priority="3927" stopIfTrue="1" operator="equal">
      <formula>"Napkin Hs"</formula>
    </cfRule>
  </conditionalFormatting>
  <conditionalFormatting sqref="C124">
    <cfRule type="cellIs" dxfId="19977" priority="3926" stopIfTrue="1" operator="equal">
      <formula>"Napkin Hs"</formula>
    </cfRule>
  </conditionalFormatting>
  <conditionalFormatting sqref="C124">
    <cfRule type="cellIs" dxfId="19976" priority="3925" stopIfTrue="1" operator="equal">
      <formula>"Napkin Hs"</formula>
    </cfRule>
  </conditionalFormatting>
  <conditionalFormatting sqref="C124">
    <cfRule type="cellIs" dxfId="19975" priority="3924" stopIfTrue="1" operator="equal">
      <formula>"Napkin Hs"</formula>
    </cfRule>
  </conditionalFormatting>
  <conditionalFormatting sqref="C124">
    <cfRule type="cellIs" dxfId="19974" priority="3920" stopIfTrue="1" operator="equal">
      <formula>"Towel"</formula>
    </cfRule>
    <cfRule type="cellIs" dxfId="19973" priority="3921" stopIfTrue="1" operator="equal">
      <formula>"Napkin Hs"</formula>
    </cfRule>
  </conditionalFormatting>
  <conditionalFormatting sqref="C124">
    <cfRule type="cellIs" dxfId="19972" priority="3922" stopIfTrue="1" operator="equal">
      <formula>"Towel"</formula>
    </cfRule>
    <cfRule type="cellIs" dxfId="19971" priority="3923" stopIfTrue="1" operator="equal">
      <formula>"Napkin Hs"</formula>
    </cfRule>
  </conditionalFormatting>
  <conditionalFormatting sqref="C124">
    <cfRule type="cellIs" dxfId="19970" priority="3916" stopIfTrue="1" operator="equal">
      <formula>"Towel"</formula>
    </cfRule>
    <cfRule type="cellIs" dxfId="19969" priority="3917" stopIfTrue="1" operator="equal">
      <formula>"Napkin Hs"</formula>
    </cfRule>
  </conditionalFormatting>
  <conditionalFormatting sqref="C124">
    <cfRule type="cellIs" dxfId="19968" priority="3918" stopIfTrue="1" operator="equal">
      <formula>"Towel"</formula>
    </cfRule>
    <cfRule type="cellIs" dxfId="19967" priority="3919" stopIfTrue="1" operator="equal">
      <formula>"Napkin Hs"</formula>
    </cfRule>
  </conditionalFormatting>
  <conditionalFormatting sqref="C123">
    <cfRule type="cellIs" dxfId="19966" priority="3911" stopIfTrue="1" operator="equal">
      <formula>"Towel"</formula>
    </cfRule>
    <cfRule type="cellIs" dxfId="19965" priority="3912" stopIfTrue="1" operator="equal">
      <formula>"Napkin Hs"</formula>
    </cfRule>
  </conditionalFormatting>
  <conditionalFormatting sqref="C123">
    <cfRule type="cellIs" dxfId="19964" priority="3907" stopIfTrue="1" operator="equal">
      <formula>"Towel"</formula>
    </cfRule>
    <cfRule type="cellIs" dxfId="19963" priority="3908" stopIfTrue="1" operator="equal">
      <formula>"Napkin Hs"</formula>
    </cfRule>
  </conditionalFormatting>
  <conditionalFormatting sqref="C123">
    <cfRule type="cellIs" dxfId="19962" priority="3909" stopIfTrue="1" operator="equal">
      <formula>"Towel"</formula>
    </cfRule>
    <cfRule type="cellIs" dxfId="19961" priority="3910" stopIfTrue="1" operator="equal">
      <formula>"Napkin Hs"</formula>
    </cfRule>
  </conditionalFormatting>
  <conditionalFormatting sqref="C123">
    <cfRule type="cellIs" dxfId="19960" priority="3903" stopIfTrue="1" operator="equal">
      <formula>"Towel"</formula>
    </cfRule>
    <cfRule type="cellIs" dxfId="19959" priority="3904" stopIfTrue="1" operator="equal">
      <formula>"Napkin Hs"</formula>
    </cfRule>
  </conditionalFormatting>
  <conditionalFormatting sqref="C123">
    <cfRule type="cellIs" dxfId="19958" priority="3905" stopIfTrue="1" operator="equal">
      <formula>"Towel"</formula>
    </cfRule>
    <cfRule type="cellIs" dxfId="19957" priority="3906" stopIfTrue="1" operator="equal">
      <formula>"Napkin Hs"</formula>
    </cfRule>
  </conditionalFormatting>
  <conditionalFormatting sqref="C123">
    <cfRule type="cellIs" dxfId="19956" priority="3901" stopIfTrue="1" operator="equal">
      <formula>"Towel"</formula>
    </cfRule>
    <cfRule type="cellIs" dxfId="19955" priority="3902" stopIfTrue="1" operator="equal">
      <formula>"Napkin Hs"</formula>
    </cfRule>
  </conditionalFormatting>
  <conditionalFormatting sqref="C123">
    <cfRule type="cellIs" dxfId="19954" priority="3895" stopIfTrue="1" operator="equal">
      <formula>"Towel"</formula>
    </cfRule>
    <cfRule type="cellIs" dxfId="19953" priority="3896" stopIfTrue="1" operator="equal">
      <formula>"Napkin Hs"</formula>
    </cfRule>
  </conditionalFormatting>
  <conditionalFormatting sqref="C123">
    <cfRule type="cellIs" dxfId="19952" priority="3899" stopIfTrue="1" operator="equal">
      <formula>"Towel"</formula>
    </cfRule>
    <cfRule type="cellIs" dxfId="19951" priority="3900" stopIfTrue="1" operator="equal">
      <formula>"Napkin Hs"</formula>
    </cfRule>
  </conditionalFormatting>
  <conditionalFormatting sqref="C123">
    <cfRule type="cellIs" dxfId="19950" priority="3897" stopIfTrue="1" operator="equal">
      <formula>"Towel"</formula>
    </cfRule>
    <cfRule type="cellIs" dxfId="19949" priority="3898" stopIfTrue="1" operator="equal">
      <formula>"Napkin Hs"</formula>
    </cfRule>
  </conditionalFormatting>
  <conditionalFormatting sqref="C123">
    <cfRule type="cellIs" dxfId="19948" priority="3889" stopIfTrue="1" operator="equal">
      <formula>"Towel"</formula>
    </cfRule>
    <cfRule type="cellIs" dxfId="19947" priority="3890" stopIfTrue="1" operator="equal">
      <formula>"Napkin Hs"</formula>
    </cfRule>
  </conditionalFormatting>
  <conditionalFormatting sqref="C123">
    <cfRule type="cellIs" dxfId="19946" priority="3891" stopIfTrue="1" operator="equal">
      <formula>"Towel"</formula>
    </cfRule>
    <cfRule type="cellIs" dxfId="19945" priority="3892" stopIfTrue="1" operator="equal">
      <formula>"Napkin Hs"</formula>
    </cfRule>
  </conditionalFormatting>
  <conditionalFormatting sqref="C123">
    <cfRule type="cellIs" dxfId="19944" priority="3893" stopIfTrue="1" operator="equal">
      <formula>"Towel"</formula>
    </cfRule>
    <cfRule type="cellIs" dxfId="19943" priority="3894" stopIfTrue="1" operator="equal">
      <formula>"Napkin Hs"</formula>
    </cfRule>
  </conditionalFormatting>
  <conditionalFormatting sqref="C123">
    <cfRule type="cellIs" dxfId="19942" priority="3887" stopIfTrue="1" operator="equal">
      <formula>"Towel"</formula>
    </cfRule>
    <cfRule type="cellIs" dxfId="19941" priority="3888" stopIfTrue="1" operator="equal">
      <formula>"Napkin Hs"</formula>
    </cfRule>
  </conditionalFormatting>
  <conditionalFormatting sqref="C123">
    <cfRule type="cellIs" dxfId="19940" priority="3885" stopIfTrue="1" operator="equal">
      <formula>"Towel"</formula>
    </cfRule>
    <cfRule type="cellIs" dxfId="19939" priority="3886" stopIfTrue="1" operator="equal">
      <formula>"Napkin Hs"</formula>
    </cfRule>
  </conditionalFormatting>
  <conditionalFormatting sqref="C123">
    <cfRule type="cellIs" dxfId="19938" priority="3861" stopIfTrue="1" operator="equal">
      <formula>"Towel"</formula>
    </cfRule>
  </conditionalFormatting>
  <conditionalFormatting sqref="C123">
    <cfRule type="cellIs" dxfId="19937" priority="3862" stopIfTrue="1" operator="equal">
      <formula>"Napkin Hs"</formula>
    </cfRule>
    <cfRule type="cellIs" dxfId="19936" priority="3867" stopIfTrue="1" operator="equal">
      <formula>"Towel"</formula>
    </cfRule>
    <cfRule type="cellIs" dxfId="19935" priority="3868" stopIfTrue="1" operator="equal">
      <formula>"Napkin Hs"</formula>
    </cfRule>
    <cfRule type="cellIs" dxfId="19934" priority="3877" stopIfTrue="1" operator="equal">
      <formula>"Towel"</formula>
    </cfRule>
    <cfRule type="cellIs" dxfId="19933" priority="3878" stopIfTrue="1" operator="equal">
      <formula>"Napkin Hs"</formula>
    </cfRule>
    <cfRule type="cellIs" dxfId="19932" priority="3883" stopIfTrue="1" operator="equal">
      <formula>"Towel"</formula>
    </cfRule>
    <cfRule type="cellIs" dxfId="19931" priority="3884" stopIfTrue="1" operator="equal">
      <formula>"Napkin Hs"</formula>
    </cfRule>
  </conditionalFormatting>
  <conditionalFormatting sqref="C123">
    <cfRule type="cellIs" dxfId="19930" priority="3863" stopIfTrue="1" operator="equal">
      <formula>"Towel"</formula>
    </cfRule>
    <cfRule type="cellIs" dxfId="19929" priority="3864" stopIfTrue="1" operator="equal">
      <formula>"Napkin Hs"</formula>
    </cfRule>
    <cfRule type="cellIs" dxfId="19928" priority="3865" stopIfTrue="1" operator="equal">
      <formula>"Towel"</formula>
    </cfRule>
    <cfRule type="cellIs" dxfId="19927" priority="3866" stopIfTrue="1" operator="equal">
      <formula>"Napkin Hs"</formula>
    </cfRule>
    <cfRule type="cellIs" dxfId="19926" priority="3869" stopIfTrue="1" operator="equal">
      <formula>"Towel"</formula>
    </cfRule>
    <cfRule type="cellIs" dxfId="19925" priority="3870" stopIfTrue="1" operator="equal">
      <formula>"Napkin Hs"</formula>
    </cfRule>
    <cfRule type="cellIs" dxfId="19924" priority="3871" stopIfTrue="1" operator="equal">
      <formula>"Towel"</formula>
    </cfRule>
    <cfRule type="cellIs" dxfId="19923" priority="3872" stopIfTrue="1" operator="equal">
      <formula>"Napkin Hs"</formula>
    </cfRule>
    <cfRule type="cellIs" dxfId="19922" priority="3873" stopIfTrue="1" operator="equal">
      <formula>"Towel"</formula>
    </cfRule>
    <cfRule type="cellIs" dxfId="19921" priority="3874" stopIfTrue="1" operator="equal">
      <formula>"Napkin Hs"</formula>
    </cfRule>
    <cfRule type="cellIs" dxfId="19920" priority="3875" stopIfTrue="1" operator="equal">
      <formula>"Towel"</formula>
    </cfRule>
    <cfRule type="cellIs" dxfId="19919" priority="3876" stopIfTrue="1" operator="equal">
      <formula>"Napkin Hs"</formula>
    </cfRule>
    <cfRule type="cellIs" dxfId="19918" priority="3879" stopIfTrue="1" operator="equal">
      <formula>"Towel"</formula>
    </cfRule>
    <cfRule type="cellIs" dxfId="19917" priority="3880" stopIfTrue="1" operator="equal">
      <formula>"Napkin Hs"</formula>
    </cfRule>
    <cfRule type="cellIs" dxfId="19916" priority="3882" stopIfTrue="1" operator="equal">
      <formula>"Napkin Hs"</formula>
    </cfRule>
  </conditionalFormatting>
  <conditionalFormatting sqref="C123">
    <cfRule type="cellIs" dxfId="19915" priority="3881" stopIfTrue="1" operator="equal">
      <formula>"Towel"</formula>
    </cfRule>
  </conditionalFormatting>
  <conditionalFormatting sqref="C123">
    <cfRule type="cellIs" dxfId="19914" priority="3859" stopIfTrue="1" operator="equal">
      <formula>"Towel"</formula>
    </cfRule>
    <cfRule type="cellIs" dxfId="19913" priority="3860" stopIfTrue="1" operator="equal">
      <formula>"Napkin Hs"</formula>
    </cfRule>
  </conditionalFormatting>
  <conditionalFormatting sqref="C123">
    <cfRule type="cellIs" dxfId="19912" priority="3858" stopIfTrue="1" operator="equal">
      <formula>"Napkin Hs"</formula>
    </cfRule>
  </conditionalFormatting>
  <conditionalFormatting sqref="C123">
    <cfRule type="cellIs" dxfId="19911" priority="3857" stopIfTrue="1" operator="equal">
      <formula>"Towel"</formula>
    </cfRule>
  </conditionalFormatting>
  <conditionalFormatting sqref="C123">
    <cfRule type="cellIs" dxfId="19910" priority="3855" stopIfTrue="1" operator="equal">
      <formula>"Towel"</formula>
    </cfRule>
  </conditionalFormatting>
  <conditionalFormatting sqref="C123">
    <cfRule type="cellIs" dxfId="19909" priority="3856" stopIfTrue="1" operator="equal">
      <formula>"Napkin Hs"</formula>
    </cfRule>
  </conditionalFormatting>
  <conditionalFormatting sqref="C123">
    <cfRule type="cellIs" dxfId="19908" priority="3759" stopIfTrue="1" operator="equal">
      <formula>"Towel"</formula>
    </cfRule>
  </conditionalFormatting>
  <conditionalFormatting sqref="C123">
    <cfRule type="cellIs" dxfId="19907" priority="3769" stopIfTrue="1" operator="equal">
      <formula>"Towel"</formula>
    </cfRule>
    <cfRule type="cellIs" dxfId="19906" priority="3770" stopIfTrue="1" operator="equal">
      <formula>"Napkin Hs"</formula>
    </cfRule>
    <cfRule type="cellIs" dxfId="19905" priority="3775" stopIfTrue="1" operator="equal">
      <formula>"Towel"</formula>
    </cfRule>
    <cfRule type="cellIs" dxfId="19904" priority="3776" stopIfTrue="1" operator="equal">
      <formula>"Napkin Hs"</formula>
    </cfRule>
    <cfRule type="cellIs" dxfId="19903" priority="3781" stopIfTrue="1" operator="equal">
      <formula>"Towel"</formula>
    </cfRule>
    <cfRule type="cellIs" dxfId="19902" priority="3782" stopIfTrue="1" operator="equal">
      <formula>"Napkin Hs"</formula>
    </cfRule>
    <cfRule type="cellIs" dxfId="19901" priority="3783" stopIfTrue="1" operator="equal">
      <formula>"Towel"</formula>
    </cfRule>
    <cfRule type="cellIs" dxfId="19900" priority="3784" stopIfTrue="1" operator="equal">
      <formula>"Napkin Hs"</formula>
    </cfRule>
    <cfRule type="cellIs" dxfId="19899" priority="3789" stopIfTrue="1" operator="equal">
      <formula>"Towel"</formula>
    </cfRule>
    <cfRule type="cellIs" dxfId="19898" priority="3790" stopIfTrue="1" operator="equal">
      <formula>"Napkin Hs"</formula>
    </cfRule>
    <cfRule type="cellIs" dxfId="19897" priority="3799" stopIfTrue="1" operator="equal">
      <formula>"Towel"</formula>
    </cfRule>
    <cfRule type="cellIs" dxfId="19896" priority="3800" stopIfTrue="1" operator="equal">
      <formula>"Napkin Hs"</formula>
    </cfRule>
    <cfRule type="cellIs" dxfId="19895" priority="3805" stopIfTrue="1" operator="equal">
      <formula>"Towel"</formula>
    </cfRule>
    <cfRule type="cellIs" dxfId="19894" priority="3806" stopIfTrue="1" operator="equal">
      <formula>"Napkin Hs"</formula>
    </cfRule>
    <cfRule type="cellIs" dxfId="19893" priority="3807" stopIfTrue="1" operator="equal">
      <formula>"Towel"</formula>
    </cfRule>
    <cfRule type="cellIs" dxfId="19892" priority="3808" stopIfTrue="1" operator="equal">
      <formula>"Napkin Hs"</formula>
    </cfRule>
    <cfRule type="cellIs" dxfId="19891" priority="3813" stopIfTrue="1" operator="equal">
      <formula>"Towel"</formula>
    </cfRule>
    <cfRule type="cellIs" dxfId="19890" priority="3814" stopIfTrue="1" operator="equal">
      <formula>"Napkin Hs"</formula>
    </cfRule>
    <cfRule type="cellIs" dxfId="19889" priority="3823" stopIfTrue="1" operator="equal">
      <formula>"Towel"</formula>
    </cfRule>
    <cfRule type="cellIs" dxfId="19888" priority="3824" stopIfTrue="1" operator="equal">
      <formula>"Napkin Hs"</formula>
    </cfRule>
    <cfRule type="cellIs" dxfId="19887" priority="3825" stopIfTrue="1" operator="equal">
      <formula>"Towel"</formula>
    </cfRule>
    <cfRule type="cellIs" dxfId="19886" priority="3826" stopIfTrue="1" operator="equal">
      <formula>"Napkin Hs"</formula>
    </cfRule>
    <cfRule type="cellIs" dxfId="19885" priority="3831" stopIfTrue="1" operator="equal">
      <formula>"Towel"</formula>
    </cfRule>
    <cfRule type="cellIs" dxfId="19884" priority="3832" stopIfTrue="1" operator="equal">
      <formula>"Napkin Hs"</formula>
    </cfRule>
    <cfRule type="cellIs" dxfId="19883" priority="3841" stopIfTrue="1" operator="equal">
      <formula>"Towel"</formula>
    </cfRule>
    <cfRule type="cellIs" dxfId="19882" priority="3842" stopIfTrue="1" operator="equal">
      <formula>"Napkin Hs"</formula>
    </cfRule>
    <cfRule type="cellIs" dxfId="19881" priority="3843" stopIfTrue="1" operator="equal">
      <formula>"Towel"</formula>
    </cfRule>
    <cfRule type="cellIs" dxfId="19880" priority="3844" stopIfTrue="1" operator="equal">
      <formula>"Napkin Hs"</formula>
    </cfRule>
    <cfRule type="cellIs" dxfId="19879" priority="3850" stopIfTrue="1" operator="equal">
      <formula>"Napkin Hs"</formula>
    </cfRule>
  </conditionalFormatting>
  <conditionalFormatting sqref="C123">
    <cfRule type="cellIs" dxfId="19878" priority="3849" stopIfTrue="1" operator="equal">
      <formula>"Towel"</formula>
    </cfRule>
  </conditionalFormatting>
  <conditionalFormatting sqref="C123">
    <cfRule type="cellIs" dxfId="19877" priority="3760" stopIfTrue="1" operator="equal">
      <formula>"Napkin Hs"</formula>
    </cfRule>
    <cfRule type="cellIs" dxfId="19876" priority="3761" stopIfTrue="1" operator="equal">
      <formula>"Towel"</formula>
    </cfRule>
    <cfRule type="cellIs" dxfId="19875" priority="3762" stopIfTrue="1" operator="equal">
      <formula>"Napkin Hs"</formula>
    </cfRule>
    <cfRule type="cellIs" dxfId="19874" priority="3763" stopIfTrue="1" operator="equal">
      <formula>"Towel"</formula>
    </cfRule>
    <cfRule type="cellIs" dxfId="19873" priority="3764" stopIfTrue="1" operator="equal">
      <formula>"Napkin Hs"</formula>
    </cfRule>
    <cfRule type="cellIs" dxfId="19872" priority="3765" stopIfTrue="1" operator="equal">
      <formula>"Towel"</formula>
    </cfRule>
    <cfRule type="cellIs" dxfId="19871" priority="3766" stopIfTrue="1" operator="equal">
      <formula>"Napkin Hs"</formula>
    </cfRule>
    <cfRule type="cellIs" dxfId="19870" priority="3767" stopIfTrue="1" operator="equal">
      <formula>"Towel"</formula>
    </cfRule>
    <cfRule type="cellIs" dxfId="19869" priority="3768" stopIfTrue="1" operator="equal">
      <formula>"Napkin Hs"</formula>
    </cfRule>
    <cfRule type="cellIs" dxfId="19868" priority="3771" stopIfTrue="1" operator="equal">
      <formula>"Towel"</formula>
    </cfRule>
    <cfRule type="cellIs" dxfId="19867" priority="3772" stopIfTrue="1" operator="equal">
      <formula>"Napkin Hs"</formula>
    </cfRule>
    <cfRule type="cellIs" dxfId="19866" priority="3773" stopIfTrue="1" operator="equal">
      <formula>"Towel"</formula>
    </cfRule>
    <cfRule type="cellIs" dxfId="19865" priority="3774" stopIfTrue="1" operator="equal">
      <formula>"Napkin Hs"</formula>
    </cfRule>
    <cfRule type="cellIs" dxfId="19864" priority="3777" stopIfTrue="1" operator="equal">
      <formula>"Towel"</formula>
    </cfRule>
    <cfRule type="cellIs" dxfId="19863" priority="3778" stopIfTrue="1" operator="equal">
      <formula>"Napkin Hs"</formula>
    </cfRule>
    <cfRule type="cellIs" dxfId="19862" priority="3779" stopIfTrue="1" operator="equal">
      <formula>"Towel"</formula>
    </cfRule>
    <cfRule type="cellIs" dxfId="19861" priority="3780" stopIfTrue="1" operator="equal">
      <formula>"Napkin Hs"</formula>
    </cfRule>
    <cfRule type="cellIs" dxfId="19860" priority="3785" stopIfTrue="1" operator="equal">
      <formula>"Towel"</formula>
    </cfRule>
    <cfRule type="cellIs" dxfId="19859" priority="3786" stopIfTrue="1" operator="equal">
      <formula>"Napkin Hs"</formula>
    </cfRule>
    <cfRule type="cellIs" dxfId="19858" priority="3787" stopIfTrue="1" operator="equal">
      <formula>"Towel"</formula>
    </cfRule>
    <cfRule type="cellIs" dxfId="19857" priority="3788" stopIfTrue="1" operator="equal">
      <formula>"Napkin Hs"</formula>
    </cfRule>
    <cfRule type="cellIs" dxfId="19856" priority="3791" stopIfTrue="1" operator="equal">
      <formula>"Towel"</formula>
    </cfRule>
    <cfRule type="cellIs" dxfId="19855" priority="3792" stopIfTrue="1" operator="equal">
      <formula>"Napkin Hs"</formula>
    </cfRule>
    <cfRule type="cellIs" dxfId="19854" priority="3793" stopIfTrue="1" operator="equal">
      <formula>"Towel"</formula>
    </cfRule>
    <cfRule type="cellIs" dxfId="19853" priority="3794" stopIfTrue="1" operator="equal">
      <formula>"Napkin Hs"</formula>
    </cfRule>
    <cfRule type="cellIs" dxfId="19852" priority="3795" stopIfTrue="1" operator="equal">
      <formula>"Towel"</formula>
    </cfRule>
    <cfRule type="cellIs" dxfId="19851" priority="3796" stopIfTrue="1" operator="equal">
      <formula>"Napkin Hs"</formula>
    </cfRule>
    <cfRule type="cellIs" dxfId="19850" priority="3797" stopIfTrue="1" operator="equal">
      <formula>"Towel"</formula>
    </cfRule>
    <cfRule type="cellIs" dxfId="19849" priority="3798" stopIfTrue="1" operator="equal">
      <formula>"Napkin Hs"</formula>
    </cfRule>
    <cfRule type="cellIs" dxfId="19848" priority="3801" stopIfTrue="1" operator="equal">
      <formula>"Towel"</formula>
    </cfRule>
    <cfRule type="cellIs" dxfId="19847" priority="3802" stopIfTrue="1" operator="equal">
      <formula>"Napkin Hs"</formula>
    </cfRule>
    <cfRule type="cellIs" dxfId="19846" priority="3803" stopIfTrue="1" operator="equal">
      <formula>"Towel"</formula>
    </cfRule>
    <cfRule type="cellIs" dxfId="19845" priority="3804" stopIfTrue="1" operator="equal">
      <formula>"Napkin Hs"</formula>
    </cfRule>
    <cfRule type="cellIs" dxfId="19844" priority="3809" stopIfTrue="1" operator="equal">
      <formula>"Towel"</formula>
    </cfRule>
    <cfRule type="cellIs" dxfId="19843" priority="3810" stopIfTrue="1" operator="equal">
      <formula>"Napkin Hs"</formula>
    </cfRule>
    <cfRule type="cellIs" dxfId="19842" priority="3811" stopIfTrue="1" operator="equal">
      <formula>"Towel"</formula>
    </cfRule>
    <cfRule type="cellIs" dxfId="19841" priority="3812" stopIfTrue="1" operator="equal">
      <formula>"Napkin Hs"</formula>
    </cfRule>
    <cfRule type="cellIs" dxfId="19840" priority="3815" stopIfTrue="1" operator="equal">
      <formula>"Towel"</formula>
    </cfRule>
    <cfRule type="cellIs" dxfId="19839" priority="3816" stopIfTrue="1" operator="equal">
      <formula>"Napkin Hs"</formula>
    </cfRule>
    <cfRule type="cellIs" dxfId="19838" priority="3817" stopIfTrue="1" operator="equal">
      <formula>"Towel"</formula>
    </cfRule>
    <cfRule type="cellIs" dxfId="19837" priority="3818" stopIfTrue="1" operator="equal">
      <formula>"Napkin Hs"</formula>
    </cfRule>
    <cfRule type="cellIs" dxfId="19836" priority="3819" stopIfTrue="1" operator="equal">
      <formula>"Towel"</formula>
    </cfRule>
    <cfRule type="cellIs" dxfId="19835" priority="3820" stopIfTrue="1" operator="equal">
      <formula>"Napkin Hs"</formula>
    </cfRule>
    <cfRule type="cellIs" dxfId="19834" priority="3821" stopIfTrue="1" operator="equal">
      <formula>"Towel"</formula>
    </cfRule>
    <cfRule type="cellIs" dxfId="19833" priority="3822" stopIfTrue="1" operator="equal">
      <formula>"Napkin Hs"</formula>
    </cfRule>
    <cfRule type="cellIs" dxfId="19832" priority="3827" stopIfTrue="1" operator="equal">
      <formula>"Towel"</formula>
    </cfRule>
    <cfRule type="cellIs" dxfId="19831" priority="3828" stopIfTrue="1" operator="equal">
      <formula>"Napkin Hs"</formula>
    </cfRule>
    <cfRule type="cellIs" dxfId="19830" priority="3829" stopIfTrue="1" operator="equal">
      <formula>"Towel"</formula>
    </cfRule>
    <cfRule type="cellIs" dxfId="19829" priority="3830" stopIfTrue="1" operator="equal">
      <formula>"Napkin Hs"</formula>
    </cfRule>
    <cfRule type="cellIs" dxfId="19828" priority="3833" stopIfTrue="1" operator="equal">
      <formula>"Towel"</formula>
    </cfRule>
    <cfRule type="cellIs" dxfId="19827" priority="3834" stopIfTrue="1" operator="equal">
      <formula>"Napkin Hs"</formula>
    </cfRule>
    <cfRule type="cellIs" dxfId="19826" priority="3835" stopIfTrue="1" operator="equal">
      <formula>"Towel"</formula>
    </cfRule>
    <cfRule type="cellIs" dxfId="19825" priority="3836" stopIfTrue="1" operator="equal">
      <formula>"Napkin Hs"</formula>
    </cfRule>
    <cfRule type="cellIs" dxfId="19824" priority="3837" stopIfTrue="1" operator="equal">
      <formula>"Towel"</formula>
    </cfRule>
    <cfRule type="cellIs" dxfId="19823" priority="3838" stopIfTrue="1" operator="equal">
      <formula>"Napkin Hs"</formula>
    </cfRule>
    <cfRule type="cellIs" dxfId="19822" priority="3839" stopIfTrue="1" operator="equal">
      <formula>"Towel"</formula>
    </cfRule>
    <cfRule type="cellIs" dxfId="19821" priority="3840" stopIfTrue="1" operator="equal">
      <formula>"Napkin Hs"</formula>
    </cfRule>
    <cfRule type="cellIs" dxfId="19820" priority="3845" stopIfTrue="1" operator="equal">
      <formula>"Towel"</formula>
    </cfRule>
    <cfRule type="cellIs" dxfId="19819" priority="3846" stopIfTrue="1" operator="equal">
      <formula>"Napkin Hs"</formula>
    </cfRule>
    <cfRule type="cellIs" dxfId="19818" priority="3847" stopIfTrue="1" operator="equal">
      <formula>"Towel"</formula>
    </cfRule>
    <cfRule type="cellIs" dxfId="19817" priority="3848" stopIfTrue="1" operator="equal">
      <formula>"Napkin Hs"</formula>
    </cfRule>
    <cfRule type="cellIs" dxfId="19816" priority="3851" stopIfTrue="1" operator="equal">
      <formula>"Towel"</formula>
    </cfRule>
    <cfRule type="cellIs" dxfId="19815" priority="3852" stopIfTrue="1" operator="equal">
      <formula>"Napkin Hs"</formula>
    </cfRule>
    <cfRule type="cellIs" dxfId="19814" priority="3853" stopIfTrue="1" operator="equal">
      <formula>"Towel"</formula>
    </cfRule>
    <cfRule type="cellIs" dxfId="19813" priority="3854" stopIfTrue="1" operator="equal">
      <formula>"Napkin Hs"</formula>
    </cfRule>
  </conditionalFormatting>
  <conditionalFormatting sqref="C123">
    <cfRule type="cellIs" dxfId="19812" priority="3758" stopIfTrue="1" operator="equal">
      <formula>"Napkin Hs"</formula>
    </cfRule>
  </conditionalFormatting>
  <conditionalFormatting sqref="C123">
    <cfRule type="cellIs" dxfId="19811" priority="3757" stopIfTrue="1" operator="equal">
      <formula>"Napkin Hs"</formula>
    </cfRule>
  </conditionalFormatting>
  <conditionalFormatting sqref="C123">
    <cfRule type="cellIs" dxfId="19810" priority="3756" stopIfTrue="1" operator="equal">
      <formula>"Napkin Hs"</formula>
    </cfRule>
  </conditionalFormatting>
  <conditionalFormatting sqref="C123">
    <cfRule type="cellIs" dxfId="19809" priority="3755" stopIfTrue="1" operator="equal">
      <formula>"Napkin Hs"</formula>
    </cfRule>
  </conditionalFormatting>
  <conditionalFormatting sqref="C123">
    <cfRule type="cellIs" dxfId="19808" priority="3754" stopIfTrue="1" operator="equal">
      <formula>"Napkin Hs"</formula>
    </cfRule>
  </conditionalFormatting>
  <conditionalFormatting sqref="C123">
    <cfRule type="cellIs" dxfId="19807" priority="3753" stopIfTrue="1" operator="equal">
      <formula>"Napkin Hs"</formula>
    </cfRule>
  </conditionalFormatting>
  <conditionalFormatting sqref="C123">
    <cfRule type="cellIs" dxfId="19806" priority="3749" stopIfTrue="1" operator="equal">
      <formula>"Towel"</formula>
    </cfRule>
    <cfRule type="cellIs" dxfId="19805" priority="3750" stopIfTrue="1" operator="equal">
      <formula>"Napkin Hs"</formula>
    </cfRule>
  </conditionalFormatting>
  <conditionalFormatting sqref="C123">
    <cfRule type="cellIs" dxfId="19804" priority="3751" stopIfTrue="1" operator="equal">
      <formula>"Towel"</formula>
    </cfRule>
    <cfRule type="cellIs" dxfId="19803" priority="3752" stopIfTrue="1" operator="equal">
      <formula>"Napkin Hs"</formula>
    </cfRule>
  </conditionalFormatting>
  <conditionalFormatting sqref="C123">
    <cfRule type="cellIs" dxfId="19802" priority="3745" stopIfTrue="1" operator="equal">
      <formula>"Towel"</formula>
    </cfRule>
    <cfRule type="cellIs" dxfId="19801" priority="3746" stopIfTrue="1" operator="equal">
      <formula>"Napkin Hs"</formula>
    </cfRule>
  </conditionalFormatting>
  <conditionalFormatting sqref="C123">
    <cfRule type="cellIs" dxfId="19800" priority="3747" stopIfTrue="1" operator="equal">
      <formula>"Towel"</formula>
    </cfRule>
    <cfRule type="cellIs" dxfId="19799" priority="3748" stopIfTrue="1" operator="equal">
      <formula>"Napkin Hs"</formula>
    </cfRule>
  </conditionalFormatting>
  <conditionalFormatting sqref="B123">
    <cfRule type="cellIs" dxfId="19798" priority="3744" stopIfTrue="1" operator="equal">
      <formula>"Napkin Hs"</formula>
    </cfRule>
  </conditionalFormatting>
  <conditionalFormatting sqref="B123">
    <cfRule type="cellIs" dxfId="19797" priority="3743" stopIfTrue="1" operator="equal">
      <formula>"Napkin Hs"</formula>
    </cfRule>
  </conditionalFormatting>
  <conditionalFormatting sqref="B123">
    <cfRule type="cellIs" dxfId="19796" priority="3742" stopIfTrue="1" operator="equal">
      <formula>"Napkin Hs"</formula>
    </cfRule>
  </conditionalFormatting>
  <conditionalFormatting sqref="B130:C130">
    <cfRule type="cellIs" dxfId="19795" priority="3740" stopIfTrue="1" operator="equal">
      <formula>"Towel"</formula>
    </cfRule>
    <cfRule type="cellIs" dxfId="19794" priority="3741" stopIfTrue="1" operator="equal">
      <formula>"Napkin Hs"</formula>
    </cfRule>
  </conditionalFormatting>
  <conditionalFormatting sqref="C130">
    <cfRule type="cellIs" dxfId="19793" priority="3720" stopIfTrue="1" operator="equal">
      <formula>"Towel"</formula>
    </cfRule>
    <cfRule type="cellIs" dxfId="19792" priority="3721" stopIfTrue="1" operator="equal">
      <formula>"Napkin Hs"</formula>
    </cfRule>
  </conditionalFormatting>
  <conditionalFormatting sqref="B130:C130">
    <cfRule type="cellIs" dxfId="19791" priority="3718" stopIfTrue="1" operator="equal">
      <formula>"Towel"</formula>
    </cfRule>
    <cfRule type="cellIs" dxfId="19790" priority="3719" stopIfTrue="1" operator="equal">
      <formula>"Napkin Hs"</formula>
    </cfRule>
  </conditionalFormatting>
  <conditionalFormatting sqref="C130">
    <cfRule type="cellIs" dxfId="19789" priority="3726" stopIfTrue="1" operator="equal">
      <formula>"Towel"</formula>
    </cfRule>
    <cfRule type="cellIs" dxfId="19788" priority="3727" stopIfTrue="1" operator="equal">
      <formula>"Napkin Hs"</formula>
    </cfRule>
  </conditionalFormatting>
  <conditionalFormatting sqref="B130:C130">
    <cfRule type="cellIs" dxfId="19787" priority="3724" stopIfTrue="1" operator="equal">
      <formula>"Towel"</formula>
    </cfRule>
    <cfRule type="cellIs" dxfId="19786" priority="3725" stopIfTrue="1" operator="equal">
      <formula>"Napkin Hs"</formula>
    </cfRule>
  </conditionalFormatting>
  <conditionalFormatting sqref="C130">
    <cfRule type="cellIs" dxfId="19785" priority="3722" stopIfTrue="1" operator="equal">
      <formula>"Towel"</formula>
    </cfRule>
    <cfRule type="cellIs" dxfId="19784" priority="3723" stopIfTrue="1" operator="equal">
      <formula>"Napkin Hs"</formula>
    </cfRule>
  </conditionalFormatting>
  <conditionalFormatting sqref="C130">
    <cfRule type="cellIs" dxfId="19783" priority="3732" stopIfTrue="1" operator="equal">
      <formula>"Towel"</formula>
    </cfRule>
    <cfRule type="cellIs" dxfId="19782" priority="3733" stopIfTrue="1" operator="equal">
      <formula>"Napkin Hs"</formula>
    </cfRule>
  </conditionalFormatting>
  <conditionalFormatting sqref="C130">
    <cfRule type="cellIs" dxfId="19781" priority="3730" stopIfTrue="1" operator="equal">
      <formula>"Towel"</formula>
    </cfRule>
    <cfRule type="cellIs" dxfId="19780" priority="3731" stopIfTrue="1" operator="equal">
      <formula>"Napkin Hs"</formula>
    </cfRule>
  </conditionalFormatting>
  <conditionalFormatting sqref="C130">
    <cfRule type="cellIs" dxfId="19779" priority="3728" stopIfTrue="1" operator="equal">
      <formula>"Towel"</formula>
    </cfRule>
    <cfRule type="cellIs" dxfId="19778" priority="3729" stopIfTrue="1" operator="equal">
      <formula>"Napkin Hs"</formula>
    </cfRule>
  </conditionalFormatting>
  <conditionalFormatting sqref="C130">
    <cfRule type="cellIs" dxfId="19777" priority="3736" stopIfTrue="1" operator="equal">
      <formula>"Towel"</formula>
    </cfRule>
    <cfRule type="cellIs" dxfId="19776" priority="3737" stopIfTrue="1" operator="equal">
      <formula>"Napkin Hs"</formula>
    </cfRule>
  </conditionalFormatting>
  <conditionalFormatting sqref="C130">
    <cfRule type="cellIs" dxfId="19775" priority="3738" stopIfTrue="1" operator="equal">
      <formula>"Towel"</formula>
    </cfRule>
    <cfRule type="cellIs" dxfId="19774" priority="3739" stopIfTrue="1" operator="equal">
      <formula>"Napkin Hs"</formula>
    </cfRule>
  </conditionalFormatting>
  <conditionalFormatting sqref="B130:C130">
    <cfRule type="cellIs" dxfId="19773" priority="3734" stopIfTrue="1" operator="equal">
      <formula>"Towel"</formula>
    </cfRule>
    <cfRule type="cellIs" dxfId="19772" priority="3735" stopIfTrue="1" operator="equal">
      <formula>"Napkin Hs"</formula>
    </cfRule>
  </conditionalFormatting>
  <conditionalFormatting sqref="C129">
    <cfRule type="cellIs" dxfId="19771" priority="3710" stopIfTrue="1" operator="equal">
      <formula>"Towel"</formula>
    </cfRule>
    <cfRule type="cellIs" dxfId="19770" priority="3711" stopIfTrue="1" operator="equal">
      <formula>"Napkin Hs"</formula>
    </cfRule>
  </conditionalFormatting>
  <conditionalFormatting sqref="B129:C129">
    <cfRule type="cellIs" dxfId="19769" priority="3712" stopIfTrue="1" operator="equal">
      <formula>"Towel"</formula>
    </cfRule>
    <cfRule type="cellIs" dxfId="19768" priority="3713" stopIfTrue="1" operator="equal">
      <formula>"Napkin Hs"</formula>
    </cfRule>
  </conditionalFormatting>
  <conditionalFormatting sqref="C129">
    <cfRule type="cellIs" dxfId="19767" priority="3708" stopIfTrue="1" operator="equal">
      <formula>"Towel"</formula>
    </cfRule>
    <cfRule type="cellIs" dxfId="19766" priority="3709" stopIfTrue="1" operator="equal">
      <formula>"Napkin Hs"</formula>
    </cfRule>
  </conditionalFormatting>
  <conditionalFormatting sqref="B129:C129">
    <cfRule type="cellIs" dxfId="19765" priority="3706" stopIfTrue="1" operator="equal">
      <formula>"Towel"</formula>
    </cfRule>
    <cfRule type="cellIs" dxfId="19764" priority="3707" stopIfTrue="1" operator="equal">
      <formula>"Napkin Hs"</formula>
    </cfRule>
  </conditionalFormatting>
  <conditionalFormatting sqref="C129">
    <cfRule type="cellIs" dxfId="19763" priority="3714" stopIfTrue="1" operator="equal">
      <formula>"Towel"</formula>
    </cfRule>
    <cfRule type="cellIs" dxfId="19762" priority="3715" stopIfTrue="1" operator="equal">
      <formula>"Napkin Hs"</formula>
    </cfRule>
  </conditionalFormatting>
  <conditionalFormatting sqref="C129">
    <cfRule type="cellIs" dxfId="19761" priority="3716" stopIfTrue="1" operator="equal">
      <formula>"Towel"</formula>
    </cfRule>
    <cfRule type="cellIs" dxfId="19760" priority="3717" stopIfTrue="1" operator="equal">
      <formula>"Napkin Hs"</formula>
    </cfRule>
  </conditionalFormatting>
  <conditionalFormatting sqref="C129">
    <cfRule type="cellIs" dxfId="19759" priority="3702" stopIfTrue="1" operator="equal">
      <formula>"Towel"</formula>
    </cfRule>
    <cfRule type="cellIs" dxfId="19758" priority="3703" stopIfTrue="1" operator="equal">
      <formula>"Napkin Hs"</formula>
    </cfRule>
  </conditionalFormatting>
  <conditionalFormatting sqref="C129">
    <cfRule type="cellIs" dxfId="19757" priority="3704" stopIfTrue="1" operator="equal">
      <formula>"Towel"</formula>
    </cfRule>
    <cfRule type="cellIs" dxfId="19756" priority="3705" stopIfTrue="1" operator="equal">
      <formula>"Napkin Hs"</formula>
    </cfRule>
  </conditionalFormatting>
  <conditionalFormatting sqref="C129">
    <cfRule type="cellIs" dxfId="19755" priority="3700" stopIfTrue="1" operator="equal">
      <formula>"Towel"</formula>
    </cfRule>
    <cfRule type="cellIs" dxfId="19754" priority="3701" stopIfTrue="1" operator="equal">
      <formula>"Napkin Hs"</formula>
    </cfRule>
  </conditionalFormatting>
  <conditionalFormatting sqref="B129">
    <cfRule type="cellIs" dxfId="19753" priority="3698" stopIfTrue="1" operator="equal">
      <formula>"Towel"</formula>
    </cfRule>
    <cfRule type="cellIs" dxfId="19752" priority="3699" stopIfTrue="1" operator="equal">
      <formula>"Napkin Hs"</formula>
    </cfRule>
  </conditionalFormatting>
  <conditionalFormatting sqref="C129">
    <cfRule type="cellIs" dxfId="19751" priority="3692" stopIfTrue="1" operator="equal">
      <formula>"Towel"</formula>
    </cfRule>
    <cfRule type="cellIs" dxfId="19750" priority="3693" stopIfTrue="1" operator="equal">
      <formula>"Napkin Hs"</formula>
    </cfRule>
  </conditionalFormatting>
  <conditionalFormatting sqref="C129">
    <cfRule type="cellIs" dxfId="19749" priority="3696" stopIfTrue="1" operator="equal">
      <formula>"Towel"</formula>
    </cfRule>
    <cfRule type="cellIs" dxfId="19748" priority="3697" stopIfTrue="1" operator="equal">
      <formula>"Napkin Hs"</formula>
    </cfRule>
  </conditionalFormatting>
  <conditionalFormatting sqref="C129">
    <cfRule type="cellIs" dxfId="19747" priority="3694" stopIfTrue="1" operator="equal">
      <formula>"Towel"</formula>
    </cfRule>
    <cfRule type="cellIs" dxfId="19746" priority="3695" stopIfTrue="1" operator="equal">
      <formula>"Napkin Hs"</formula>
    </cfRule>
  </conditionalFormatting>
  <conditionalFormatting sqref="C129">
    <cfRule type="cellIs" dxfId="19745" priority="3686" stopIfTrue="1" operator="equal">
      <formula>"Towel"</formula>
    </cfRule>
    <cfRule type="cellIs" dxfId="19744" priority="3687" stopIfTrue="1" operator="equal">
      <formula>"Napkin Hs"</formula>
    </cfRule>
  </conditionalFormatting>
  <conditionalFormatting sqref="C129">
    <cfRule type="cellIs" dxfId="19743" priority="3688" stopIfTrue="1" operator="equal">
      <formula>"Towel"</formula>
    </cfRule>
    <cfRule type="cellIs" dxfId="19742" priority="3689" stopIfTrue="1" operator="equal">
      <formula>"Napkin Hs"</formula>
    </cfRule>
  </conditionalFormatting>
  <conditionalFormatting sqref="C129">
    <cfRule type="cellIs" dxfId="19741" priority="3690" stopIfTrue="1" operator="equal">
      <formula>"Towel"</formula>
    </cfRule>
    <cfRule type="cellIs" dxfId="19740" priority="3691" stopIfTrue="1" operator="equal">
      <formula>"Napkin Hs"</formula>
    </cfRule>
  </conditionalFormatting>
  <conditionalFormatting sqref="B129:C129">
    <cfRule type="cellIs" dxfId="19739" priority="3684" stopIfTrue="1" operator="equal">
      <formula>"Towel"</formula>
    </cfRule>
    <cfRule type="cellIs" dxfId="19738" priority="3685" stopIfTrue="1" operator="equal">
      <formula>"Napkin Hs"</formula>
    </cfRule>
  </conditionalFormatting>
  <conditionalFormatting sqref="B129:C129">
    <cfRule type="cellIs" dxfId="19737" priority="3682" stopIfTrue="1" operator="equal">
      <formula>"Towel"</formula>
    </cfRule>
    <cfRule type="cellIs" dxfId="19736" priority="3683" stopIfTrue="1" operator="equal">
      <formula>"Napkin Hs"</formula>
    </cfRule>
  </conditionalFormatting>
  <conditionalFormatting sqref="B129:C129">
    <cfRule type="cellIs" dxfId="19735" priority="3658" stopIfTrue="1" operator="equal">
      <formula>"Towel"</formula>
    </cfRule>
  </conditionalFormatting>
  <conditionalFormatting sqref="B129:C129">
    <cfRule type="cellIs" dxfId="19734" priority="3659" stopIfTrue="1" operator="equal">
      <formula>"Napkin Hs"</formula>
    </cfRule>
    <cfRule type="cellIs" dxfId="19733" priority="3664" stopIfTrue="1" operator="equal">
      <formula>"Towel"</formula>
    </cfRule>
    <cfRule type="cellIs" dxfId="19732" priority="3665" stopIfTrue="1" operator="equal">
      <formula>"Napkin Hs"</formula>
    </cfRule>
    <cfRule type="cellIs" dxfId="19731" priority="3674" stopIfTrue="1" operator="equal">
      <formula>"Towel"</formula>
    </cfRule>
    <cfRule type="cellIs" dxfId="19730" priority="3675" stopIfTrue="1" operator="equal">
      <formula>"Napkin Hs"</formula>
    </cfRule>
    <cfRule type="cellIs" dxfId="19729" priority="3680" stopIfTrue="1" operator="equal">
      <formula>"Towel"</formula>
    </cfRule>
    <cfRule type="cellIs" dxfId="19728" priority="3681" stopIfTrue="1" operator="equal">
      <formula>"Napkin Hs"</formula>
    </cfRule>
  </conditionalFormatting>
  <conditionalFormatting sqref="C129">
    <cfRule type="cellIs" dxfId="19727" priority="3660" stopIfTrue="1" operator="equal">
      <formula>"Towel"</formula>
    </cfRule>
    <cfRule type="cellIs" dxfId="19726" priority="3661" stopIfTrue="1" operator="equal">
      <formula>"Napkin Hs"</formula>
    </cfRule>
    <cfRule type="cellIs" dxfId="19725" priority="3662" stopIfTrue="1" operator="equal">
      <formula>"Towel"</formula>
    </cfRule>
    <cfRule type="cellIs" dxfId="19724" priority="3663" stopIfTrue="1" operator="equal">
      <formula>"Napkin Hs"</formula>
    </cfRule>
    <cfRule type="cellIs" dxfId="19723" priority="3666" stopIfTrue="1" operator="equal">
      <formula>"Towel"</formula>
    </cfRule>
    <cfRule type="cellIs" dxfId="19722" priority="3667" stopIfTrue="1" operator="equal">
      <formula>"Napkin Hs"</formula>
    </cfRule>
    <cfRule type="cellIs" dxfId="19721" priority="3668" stopIfTrue="1" operator="equal">
      <formula>"Towel"</formula>
    </cfRule>
    <cfRule type="cellIs" dxfId="19720" priority="3669" stopIfTrue="1" operator="equal">
      <formula>"Napkin Hs"</formula>
    </cfRule>
    <cfRule type="cellIs" dxfId="19719" priority="3670" stopIfTrue="1" operator="equal">
      <formula>"Towel"</formula>
    </cfRule>
    <cfRule type="cellIs" dxfId="19718" priority="3671" stopIfTrue="1" operator="equal">
      <formula>"Napkin Hs"</formula>
    </cfRule>
    <cfRule type="cellIs" dxfId="19717" priority="3672" stopIfTrue="1" operator="equal">
      <formula>"Towel"</formula>
    </cfRule>
    <cfRule type="cellIs" dxfId="19716" priority="3673" stopIfTrue="1" operator="equal">
      <formula>"Napkin Hs"</formula>
    </cfRule>
    <cfRule type="cellIs" dxfId="19715" priority="3676" stopIfTrue="1" operator="equal">
      <formula>"Towel"</formula>
    </cfRule>
    <cfRule type="cellIs" dxfId="19714" priority="3677" stopIfTrue="1" operator="equal">
      <formula>"Napkin Hs"</formula>
    </cfRule>
    <cfRule type="cellIs" dxfId="19713" priority="3679" stopIfTrue="1" operator="equal">
      <formula>"Napkin Hs"</formula>
    </cfRule>
  </conditionalFormatting>
  <conditionalFormatting sqref="C129">
    <cfRule type="cellIs" dxfId="19712" priority="3678" stopIfTrue="1" operator="equal">
      <formula>"Towel"</formula>
    </cfRule>
  </conditionalFormatting>
  <conditionalFormatting sqref="B129:C129">
    <cfRule type="cellIs" dxfId="19711" priority="3656" stopIfTrue="1" operator="equal">
      <formula>"Towel"</formula>
    </cfRule>
    <cfRule type="cellIs" dxfId="19710" priority="3657" stopIfTrue="1" operator="equal">
      <formula>"Napkin Hs"</formula>
    </cfRule>
  </conditionalFormatting>
  <conditionalFormatting sqref="C129">
    <cfRule type="cellIs" dxfId="19709" priority="3655" stopIfTrue="1" operator="equal">
      <formula>"Napkin Hs"</formula>
    </cfRule>
  </conditionalFormatting>
  <conditionalFormatting sqref="C129">
    <cfRule type="cellIs" dxfId="19708" priority="3654" stopIfTrue="1" operator="equal">
      <formula>"Towel"</formula>
    </cfRule>
  </conditionalFormatting>
  <conditionalFormatting sqref="C129">
    <cfRule type="cellIs" dxfId="19707" priority="3652" stopIfTrue="1" operator="equal">
      <formula>"Towel"</formula>
    </cfRule>
  </conditionalFormatting>
  <conditionalFormatting sqref="C129">
    <cfRule type="cellIs" dxfId="19706" priority="3653" stopIfTrue="1" operator="equal">
      <formula>"Napkin Hs"</formula>
    </cfRule>
  </conditionalFormatting>
  <conditionalFormatting sqref="B129">
    <cfRule type="cellIs" dxfId="19705" priority="3556" stopIfTrue="1" operator="equal">
      <formula>"Napkin Hs"</formula>
    </cfRule>
  </conditionalFormatting>
  <conditionalFormatting sqref="B129:C129">
    <cfRule type="cellIs" dxfId="19704" priority="3555" stopIfTrue="1" operator="equal">
      <formula>"Towel"</formula>
    </cfRule>
  </conditionalFormatting>
  <conditionalFormatting sqref="B129:C129">
    <cfRule type="cellIs" dxfId="19703" priority="3566" stopIfTrue="1" operator="equal">
      <formula>"Towel"</formula>
    </cfRule>
    <cfRule type="cellIs" dxfId="19702" priority="3567" stopIfTrue="1" operator="equal">
      <formula>"Napkin Hs"</formula>
    </cfRule>
    <cfRule type="cellIs" dxfId="19701" priority="3572" stopIfTrue="1" operator="equal">
      <formula>"Towel"</formula>
    </cfRule>
    <cfRule type="cellIs" dxfId="19700" priority="3573" stopIfTrue="1" operator="equal">
      <formula>"Napkin Hs"</formula>
    </cfRule>
    <cfRule type="cellIs" dxfId="19699" priority="3578" stopIfTrue="1" operator="equal">
      <formula>"Towel"</formula>
    </cfRule>
    <cfRule type="cellIs" dxfId="19698" priority="3579" stopIfTrue="1" operator="equal">
      <formula>"Napkin Hs"</formula>
    </cfRule>
    <cfRule type="cellIs" dxfId="19697" priority="3580" stopIfTrue="1" operator="equal">
      <formula>"Towel"</formula>
    </cfRule>
    <cfRule type="cellIs" dxfId="19696" priority="3581" stopIfTrue="1" operator="equal">
      <formula>"Napkin Hs"</formula>
    </cfRule>
    <cfRule type="cellIs" dxfId="19695" priority="3586" stopIfTrue="1" operator="equal">
      <formula>"Towel"</formula>
    </cfRule>
    <cfRule type="cellIs" dxfId="19694" priority="3587" stopIfTrue="1" operator="equal">
      <formula>"Napkin Hs"</formula>
    </cfRule>
    <cfRule type="cellIs" dxfId="19693" priority="3596" stopIfTrue="1" operator="equal">
      <formula>"Towel"</formula>
    </cfRule>
    <cfRule type="cellIs" dxfId="19692" priority="3597" stopIfTrue="1" operator="equal">
      <formula>"Napkin Hs"</formula>
    </cfRule>
    <cfRule type="cellIs" dxfId="19691" priority="3602" stopIfTrue="1" operator="equal">
      <formula>"Towel"</formula>
    </cfRule>
    <cfRule type="cellIs" dxfId="19690" priority="3603" stopIfTrue="1" operator="equal">
      <formula>"Napkin Hs"</formula>
    </cfRule>
    <cfRule type="cellIs" dxfId="19689" priority="3604" stopIfTrue="1" operator="equal">
      <formula>"Towel"</formula>
    </cfRule>
    <cfRule type="cellIs" dxfId="19688" priority="3605" stopIfTrue="1" operator="equal">
      <formula>"Napkin Hs"</formula>
    </cfRule>
    <cfRule type="cellIs" dxfId="19687" priority="3610" stopIfTrue="1" operator="equal">
      <formula>"Towel"</formula>
    </cfRule>
    <cfRule type="cellIs" dxfId="19686" priority="3611" stopIfTrue="1" operator="equal">
      <formula>"Napkin Hs"</formula>
    </cfRule>
    <cfRule type="cellIs" dxfId="19685" priority="3620" stopIfTrue="1" operator="equal">
      <formula>"Towel"</formula>
    </cfRule>
    <cfRule type="cellIs" dxfId="19684" priority="3621" stopIfTrue="1" operator="equal">
      <formula>"Napkin Hs"</formula>
    </cfRule>
    <cfRule type="cellIs" dxfId="19683" priority="3622" stopIfTrue="1" operator="equal">
      <formula>"Towel"</formula>
    </cfRule>
    <cfRule type="cellIs" dxfId="19682" priority="3623" stopIfTrue="1" operator="equal">
      <formula>"Napkin Hs"</formula>
    </cfRule>
    <cfRule type="cellIs" dxfId="19681" priority="3628" stopIfTrue="1" operator="equal">
      <formula>"Towel"</formula>
    </cfRule>
    <cfRule type="cellIs" dxfId="19680" priority="3629" stopIfTrue="1" operator="equal">
      <formula>"Napkin Hs"</formula>
    </cfRule>
    <cfRule type="cellIs" dxfId="19679" priority="3638" stopIfTrue="1" operator="equal">
      <formula>"Towel"</formula>
    </cfRule>
    <cfRule type="cellIs" dxfId="19678" priority="3639" stopIfTrue="1" operator="equal">
      <formula>"Napkin Hs"</formula>
    </cfRule>
    <cfRule type="cellIs" dxfId="19677" priority="3640" stopIfTrue="1" operator="equal">
      <formula>"Towel"</formula>
    </cfRule>
    <cfRule type="cellIs" dxfId="19676" priority="3641" stopIfTrue="1" operator="equal">
      <formula>"Napkin Hs"</formula>
    </cfRule>
    <cfRule type="cellIs" dxfId="19675" priority="3647" stopIfTrue="1" operator="equal">
      <formula>"Napkin Hs"</formula>
    </cfRule>
  </conditionalFormatting>
  <conditionalFormatting sqref="B129:C129">
    <cfRule type="cellIs" dxfId="19674" priority="3646" stopIfTrue="1" operator="equal">
      <formula>"Towel"</formula>
    </cfRule>
  </conditionalFormatting>
  <conditionalFormatting sqref="C129">
    <cfRule type="cellIs" dxfId="19673" priority="3557" stopIfTrue="1" operator="equal">
      <formula>"Napkin Hs"</formula>
    </cfRule>
    <cfRule type="cellIs" dxfId="19672" priority="3558" stopIfTrue="1" operator="equal">
      <formula>"Towel"</formula>
    </cfRule>
    <cfRule type="cellIs" dxfId="19671" priority="3559" stopIfTrue="1" operator="equal">
      <formula>"Napkin Hs"</formula>
    </cfRule>
    <cfRule type="cellIs" dxfId="19670" priority="3560" stopIfTrue="1" operator="equal">
      <formula>"Towel"</formula>
    </cfRule>
    <cfRule type="cellIs" dxfId="19669" priority="3561" stopIfTrue="1" operator="equal">
      <formula>"Napkin Hs"</formula>
    </cfRule>
    <cfRule type="cellIs" dxfId="19668" priority="3562" stopIfTrue="1" operator="equal">
      <formula>"Towel"</formula>
    </cfRule>
    <cfRule type="cellIs" dxfId="19667" priority="3563" stopIfTrue="1" operator="equal">
      <formula>"Napkin Hs"</formula>
    </cfRule>
    <cfRule type="cellIs" dxfId="19666" priority="3564" stopIfTrue="1" operator="equal">
      <formula>"Towel"</formula>
    </cfRule>
    <cfRule type="cellIs" dxfId="19665" priority="3565" stopIfTrue="1" operator="equal">
      <formula>"Napkin Hs"</formula>
    </cfRule>
    <cfRule type="cellIs" dxfId="19664" priority="3568" stopIfTrue="1" operator="equal">
      <formula>"Towel"</formula>
    </cfRule>
    <cfRule type="cellIs" dxfId="19663" priority="3569" stopIfTrue="1" operator="equal">
      <formula>"Napkin Hs"</formula>
    </cfRule>
    <cfRule type="cellIs" dxfId="19662" priority="3570" stopIfTrue="1" operator="equal">
      <formula>"Towel"</formula>
    </cfRule>
    <cfRule type="cellIs" dxfId="19661" priority="3571" stopIfTrue="1" operator="equal">
      <formula>"Napkin Hs"</formula>
    </cfRule>
    <cfRule type="cellIs" dxfId="19660" priority="3574" stopIfTrue="1" operator="equal">
      <formula>"Towel"</formula>
    </cfRule>
    <cfRule type="cellIs" dxfId="19659" priority="3575" stopIfTrue="1" operator="equal">
      <formula>"Napkin Hs"</formula>
    </cfRule>
    <cfRule type="cellIs" dxfId="19658" priority="3576" stopIfTrue="1" operator="equal">
      <formula>"Towel"</formula>
    </cfRule>
    <cfRule type="cellIs" dxfId="19657" priority="3577" stopIfTrue="1" operator="equal">
      <formula>"Napkin Hs"</formula>
    </cfRule>
    <cfRule type="cellIs" dxfId="19656" priority="3582" stopIfTrue="1" operator="equal">
      <formula>"Towel"</formula>
    </cfRule>
    <cfRule type="cellIs" dxfId="19655" priority="3583" stopIfTrue="1" operator="equal">
      <formula>"Napkin Hs"</formula>
    </cfRule>
    <cfRule type="cellIs" dxfId="19654" priority="3584" stopIfTrue="1" operator="equal">
      <formula>"Towel"</formula>
    </cfRule>
    <cfRule type="cellIs" dxfId="19653" priority="3585" stopIfTrue="1" operator="equal">
      <formula>"Napkin Hs"</formula>
    </cfRule>
    <cfRule type="cellIs" dxfId="19652" priority="3588" stopIfTrue="1" operator="equal">
      <formula>"Towel"</formula>
    </cfRule>
    <cfRule type="cellIs" dxfId="19651" priority="3589" stopIfTrue="1" operator="equal">
      <formula>"Napkin Hs"</formula>
    </cfRule>
    <cfRule type="cellIs" dxfId="19650" priority="3590" stopIfTrue="1" operator="equal">
      <formula>"Towel"</formula>
    </cfRule>
    <cfRule type="cellIs" dxfId="19649" priority="3591" stopIfTrue="1" operator="equal">
      <formula>"Napkin Hs"</formula>
    </cfRule>
    <cfRule type="cellIs" dxfId="19648" priority="3592" stopIfTrue="1" operator="equal">
      <formula>"Towel"</formula>
    </cfRule>
    <cfRule type="cellIs" dxfId="19647" priority="3593" stopIfTrue="1" operator="equal">
      <formula>"Napkin Hs"</formula>
    </cfRule>
    <cfRule type="cellIs" dxfId="19646" priority="3594" stopIfTrue="1" operator="equal">
      <formula>"Towel"</formula>
    </cfRule>
    <cfRule type="cellIs" dxfId="19645" priority="3595" stopIfTrue="1" operator="equal">
      <formula>"Napkin Hs"</formula>
    </cfRule>
    <cfRule type="cellIs" dxfId="19644" priority="3598" stopIfTrue="1" operator="equal">
      <formula>"Towel"</formula>
    </cfRule>
    <cfRule type="cellIs" dxfId="19643" priority="3599" stopIfTrue="1" operator="equal">
      <formula>"Napkin Hs"</formula>
    </cfRule>
    <cfRule type="cellIs" dxfId="19642" priority="3600" stopIfTrue="1" operator="equal">
      <formula>"Towel"</formula>
    </cfRule>
    <cfRule type="cellIs" dxfId="19641" priority="3601" stopIfTrue="1" operator="equal">
      <formula>"Napkin Hs"</formula>
    </cfRule>
    <cfRule type="cellIs" dxfId="19640" priority="3606" stopIfTrue="1" operator="equal">
      <formula>"Towel"</formula>
    </cfRule>
    <cfRule type="cellIs" dxfId="19639" priority="3607" stopIfTrue="1" operator="equal">
      <formula>"Napkin Hs"</formula>
    </cfRule>
    <cfRule type="cellIs" dxfId="19638" priority="3608" stopIfTrue="1" operator="equal">
      <formula>"Towel"</formula>
    </cfRule>
    <cfRule type="cellIs" dxfId="19637" priority="3609" stopIfTrue="1" operator="equal">
      <formula>"Napkin Hs"</formula>
    </cfRule>
    <cfRule type="cellIs" dxfId="19636" priority="3612" stopIfTrue="1" operator="equal">
      <formula>"Towel"</formula>
    </cfRule>
    <cfRule type="cellIs" dxfId="19635" priority="3613" stopIfTrue="1" operator="equal">
      <formula>"Napkin Hs"</formula>
    </cfRule>
    <cfRule type="cellIs" dxfId="19634" priority="3614" stopIfTrue="1" operator="equal">
      <formula>"Towel"</formula>
    </cfRule>
    <cfRule type="cellIs" dxfId="19633" priority="3615" stopIfTrue="1" operator="equal">
      <formula>"Napkin Hs"</formula>
    </cfRule>
    <cfRule type="cellIs" dxfId="19632" priority="3616" stopIfTrue="1" operator="equal">
      <formula>"Towel"</formula>
    </cfRule>
    <cfRule type="cellIs" dxfId="19631" priority="3617" stopIfTrue="1" operator="equal">
      <formula>"Napkin Hs"</formula>
    </cfRule>
    <cfRule type="cellIs" dxfId="19630" priority="3618" stopIfTrue="1" operator="equal">
      <formula>"Towel"</formula>
    </cfRule>
    <cfRule type="cellIs" dxfId="19629" priority="3619" stopIfTrue="1" operator="equal">
      <formula>"Napkin Hs"</formula>
    </cfRule>
    <cfRule type="cellIs" dxfId="19628" priority="3624" stopIfTrue="1" operator="equal">
      <formula>"Towel"</formula>
    </cfRule>
    <cfRule type="cellIs" dxfId="19627" priority="3625" stopIfTrue="1" operator="equal">
      <formula>"Napkin Hs"</formula>
    </cfRule>
    <cfRule type="cellIs" dxfId="19626" priority="3626" stopIfTrue="1" operator="equal">
      <formula>"Towel"</formula>
    </cfRule>
    <cfRule type="cellIs" dxfId="19625" priority="3627" stopIfTrue="1" operator="equal">
      <formula>"Napkin Hs"</formula>
    </cfRule>
    <cfRule type="cellIs" dxfId="19624" priority="3630" stopIfTrue="1" operator="equal">
      <formula>"Towel"</formula>
    </cfRule>
    <cfRule type="cellIs" dxfId="19623" priority="3631" stopIfTrue="1" operator="equal">
      <formula>"Napkin Hs"</formula>
    </cfRule>
    <cfRule type="cellIs" dxfId="19622" priority="3632" stopIfTrue="1" operator="equal">
      <formula>"Towel"</formula>
    </cfRule>
    <cfRule type="cellIs" dxfId="19621" priority="3633" stopIfTrue="1" operator="equal">
      <formula>"Napkin Hs"</formula>
    </cfRule>
    <cfRule type="cellIs" dxfId="19620" priority="3634" stopIfTrue="1" operator="equal">
      <formula>"Towel"</formula>
    </cfRule>
    <cfRule type="cellIs" dxfId="19619" priority="3635" stopIfTrue="1" operator="equal">
      <formula>"Napkin Hs"</formula>
    </cfRule>
    <cfRule type="cellIs" dxfId="19618" priority="3636" stopIfTrue="1" operator="equal">
      <formula>"Towel"</formula>
    </cfRule>
    <cfRule type="cellIs" dxfId="19617" priority="3637" stopIfTrue="1" operator="equal">
      <formula>"Napkin Hs"</formula>
    </cfRule>
    <cfRule type="cellIs" dxfId="19616" priority="3642" stopIfTrue="1" operator="equal">
      <formula>"Towel"</formula>
    </cfRule>
    <cfRule type="cellIs" dxfId="19615" priority="3643" stopIfTrue="1" operator="equal">
      <formula>"Napkin Hs"</formula>
    </cfRule>
    <cfRule type="cellIs" dxfId="19614" priority="3644" stopIfTrue="1" operator="equal">
      <formula>"Towel"</formula>
    </cfRule>
    <cfRule type="cellIs" dxfId="19613" priority="3645" stopIfTrue="1" operator="equal">
      <formula>"Napkin Hs"</formula>
    </cfRule>
    <cfRule type="cellIs" dxfId="19612" priority="3648" stopIfTrue="1" operator="equal">
      <formula>"Towel"</formula>
    </cfRule>
    <cfRule type="cellIs" dxfId="19611" priority="3649" stopIfTrue="1" operator="equal">
      <formula>"Napkin Hs"</formula>
    </cfRule>
    <cfRule type="cellIs" dxfId="19610" priority="3650" stopIfTrue="1" operator="equal">
      <formula>"Towel"</formula>
    </cfRule>
    <cfRule type="cellIs" dxfId="19609" priority="3651" stopIfTrue="1" operator="equal">
      <formula>"Napkin Hs"</formula>
    </cfRule>
  </conditionalFormatting>
  <conditionalFormatting sqref="C129">
    <cfRule type="cellIs" dxfId="19608" priority="3554" stopIfTrue="1" operator="equal">
      <formula>"Napkin Hs"</formula>
    </cfRule>
  </conditionalFormatting>
  <conditionalFormatting sqref="C129">
    <cfRule type="cellIs" dxfId="19607" priority="3553" stopIfTrue="1" operator="equal">
      <formula>"Napkin Hs"</formula>
    </cfRule>
  </conditionalFormatting>
  <conditionalFormatting sqref="B129">
    <cfRule type="cellIs" dxfId="19606" priority="3552" stopIfTrue="1" operator="equal">
      <formula>"Napkin Hs"</formula>
    </cfRule>
  </conditionalFormatting>
  <conditionalFormatting sqref="C129">
    <cfRule type="cellIs" dxfId="19605" priority="3551" stopIfTrue="1" operator="equal">
      <formula>"Napkin Hs"</formula>
    </cfRule>
  </conditionalFormatting>
  <conditionalFormatting sqref="C129">
    <cfRule type="cellIs" dxfId="19604" priority="3550" stopIfTrue="1" operator="equal">
      <formula>"Napkin Hs"</formula>
    </cfRule>
  </conditionalFormatting>
  <conditionalFormatting sqref="C129">
    <cfRule type="cellIs" dxfId="19603" priority="3549" stopIfTrue="1" operator="equal">
      <formula>"Napkin Hs"</formula>
    </cfRule>
  </conditionalFormatting>
  <conditionalFormatting sqref="C129">
    <cfRule type="cellIs" dxfId="19602" priority="3548" stopIfTrue="1" operator="equal">
      <formula>"Napkin Hs"</formula>
    </cfRule>
  </conditionalFormatting>
  <conditionalFormatting sqref="B129">
    <cfRule type="cellIs" dxfId="19601" priority="3547" stopIfTrue="1" operator="equal">
      <formula>"Napkin Hs"</formula>
    </cfRule>
  </conditionalFormatting>
  <conditionalFormatting sqref="B129">
    <cfRule type="cellIs" dxfId="19600" priority="3546" stopIfTrue="1" operator="equal">
      <formula>"Napkin Hs"</formula>
    </cfRule>
  </conditionalFormatting>
  <conditionalFormatting sqref="C129">
    <cfRule type="cellIs" dxfId="19599" priority="3542" stopIfTrue="1" operator="equal">
      <formula>"Towel"</formula>
    </cfRule>
    <cfRule type="cellIs" dxfId="19598" priority="3543" stopIfTrue="1" operator="equal">
      <formula>"Napkin Hs"</formula>
    </cfRule>
  </conditionalFormatting>
  <conditionalFormatting sqref="C129">
    <cfRule type="cellIs" dxfId="19597" priority="3544" stopIfTrue="1" operator="equal">
      <formula>"Towel"</formula>
    </cfRule>
    <cfRule type="cellIs" dxfId="19596" priority="3545" stopIfTrue="1" operator="equal">
      <formula>"Napkin Hs"</formula>
    </cfRule>
  </conditionalFormatting>
  <conditionalFormatting sqref="C129">
    <cfRule type="cellIs" dxfId="19595" priority="3538" stopIfTrue="1" operator="equal">
      <formula>"Towel"</formula>
    </cfRule>
    <cfRule type="cellIs" dxfId="19594" priority="3539" stopIfTrue="1" operator="equal">
      <formula>"Napkin Hs"</formula>
    </cfRule>
  </conditionalFormatting>
  <conditionalFormatting sqref="C129">
    <cfRule type="cellIs" dxfId="19593" priority="3540" stopIfTrue="1" operator="equal">
      <formula>"Towel"</formula>
    </cfRule>
    <cfRule type="cellIs" dxfId="19592" priority="3541" stopIfTrue="1" operator="equal">
      <formula>"Napkin Hs"</formula>
    </cfRule>
  </conditionalFormatting>
  <conditionalFormatting sqref="C127">
    <cfRule type="cellIs" dxfId="19591" priority="3365" stopIfTrue="1" operator="equal">
      <formula>"Towel"</formula>
    </cfRule>
    <cfRule type="cellIs" dxfId="19590" priority="3366" stopIfTrue="1" operator="equal">
      <formula>"Napkin Hs"</formula>
    </cfRule>
  </conditionalFormatting>
  <conditionalFormatting sqref="C127">
    <cfRule type="cellIs" dxfId="19589" priority="3361" stopIfTrue="1" operator="equal">
      <formula>"Towel"</formula>
    </cfRule>
    <cfRule type="cellIs" dxfId="19588" priority="3362" stopIfTrue="1" operator="equal">
      <formula>"Napkin Hs"</formula>
    </cfRule>
  </conditionalFormatting>
  <conditionalFormatting sqref="C127">
    <cfRule type="cellIs" dxfId="19587" priority="3363" stopIfTrue="1" operator="equal">
      <formula>"Towel"</formula>
    </cfRule>
    <cfRule type="cellIs" dxfId="19586" priority="3364" stopIfTrue="1" operator="equal">
      <formula>"Napkin Hs"</formula>
    </cfRule>
  </conditionalFormatting>
  <conditionalFormatting sqref="C127">
    <cfRule type="cellIs" dxfId="19585" priority="3357" stopIfTrue="1" operator="equal">
      <formula>"Towel"</formula>
    </cfRule>
    <cfRule type="cellIs" dxfId="19584" priority="3358" stopIfTrue="1" operator="equal">
      <formula>"Napkin Hs"</formula>
    </cfRule>
  </conditionalFormatting>
  <conditionalFormatting sqref="C127">
    <cfRule type="cellIs" dxfId="19583" priority="3359" stopIfTrue="1" operator="equal">
      <formula>"Towel"</formula>
    </cfRule>
    <cfRule type="cellIs" dxfId="19582" priority="3360" stopIfTrue="1" operator="equal">
      <formula>"Napkin Hs"</formula>
    </cfRule>
  </conditionalFormatting>
  <conditionalFormatting sqref="C127">
    <cfRule type="cellIs" dxfId="19581" priority="3355" stopIfTrue="1" operator="equal">
      <formula>"Towel"</formula>
    </cfRule>
    <cfRule type="cellIs" dxfId="19580" priority="3356" stopIfTrue="1" operator="equal">
      <formula>"Napkin Hs"</formula>
    </cfRule>
  </conditionalFormatting>
  <conditionalFormatting sqref="C127">
    <cfRule type="cellIs" dxfId="19579" priority="3349" stopIfTrue="1" operator="equal">
      <formula>"Towel"</formula>
    </cfRule>
    <cfRule type="cellIs" dxfId="19578" priority="3350" stopIfTrue="1" operator="equal">
      <formula>"Napkin Hs"</formula>
    </cfRule>
  </conditionalFormatting>
  <conditionalFormatting sqref="C127">
    <cfRule type="cellIs" dxfId="19577" priority="3353" stopIfTrue="1" operator="equal">
      <formula>"Towel"</formula>
    </cfRule>
    <cfRule type="cellIs" dxfId="19576" priority="3354" stopIfTrue="1" operator="equal">
      <formula>"Napkin Hs"</formula>
    </cfRule>
  </conditionalFormatting>
  <conditionalFormatting sqref="C127">
    <cfRule type="cellIs" dxfId="19575" priority="3351" stopIfTrue="1" operator="equal">
      <formula>"Towel"</formula>
    </cfRule>
    <cfRule type="cellIs" dxfId="19574" priority="3352" stopIfTrue="1" operator="equal">
      <formula>"Napkin Hs"</formula>
    </cfRule>
  </conditionalFormatting>
  <conditionalFormatting sqref="C127">
    <cfRule type="cellIs" dxfId="19573" priority="3343" stopIfTrue="1" operator="equal">
      <formula>"Towel"</formula>
    </cfRule>
    <cfRule type="cellIs" dxfId="19572" priority="3344" stopIfTrue="1" operator="equal">
      <formula>"Napkin Hs"</formula>
    </cfRule>
  </conditionalFormatting>
  <conditionalFormatting sqref="C127">
    <cfRule type="cellIs" dxfId="19571" priority="3345" stopIfTrue="1" operator="equal">
      <formula>"Towel"</formula>
    </cfRule>
    <cfRule type="cellIs" dxfId="19570" priority="3346" stopIfTrue="1" operator="equal">
      <formula>"Napkin Hs"</formula>
    </cfRule>
  </conditionalFormatting>
  <conditionalFormatting sqref="C127">
    <cfRule type="cellIs" dxfId="19569" priority="3347" stopIfTrue="1" operator="equal">
      <formula>"Towel"</formula>
    </cfRule>
    <cfRule type="cellIs" dxfId="19568" priority="3348" stopIfTrue="1" operator="equal">
      <formula>"Napkin Hs"</formula>
    </cfRule>
  </conditionalFormatting>
  <conditionalFormatting sqref="C127">
    <cfRule type="cellIs" dxfId="19567" priority="3341" stopIfTrue="1" operator="equal">
      <formula>"Towel"</formula>
    </cfRule>
    <cfRule type="cellIs" dxfId="19566" priority="3342" stopIfTrue="1" operator="equal">
      <formula>"Napkin Hs"</formula>
    </cfRule>
  </conditionalFormatting>
  <conditionalFormatting sqref="C127">
    <cfRule type="cellIs" dxfId="19565" priority="3339" stopIfTrue="1" operator="equal">
      <formula>"Towel"</formula>
    </cfRule>
    <cfRule type="cellIs" dxfId="19564" priority="3340" stopIfTrue="1" operator="equal">
      <formula>"Napkin Hs"</formula>
    </cfRule>
  </conditionalFormatting>
  <conditionalFormatting sqref="C127">
    <cfRule type="cellIs" dxfId="19563" priority="3315" stopIfTrue="1" operator="equal">
      <formula>"Towel"</formula>
    </cfRule>
  </conditionalFormatting>
  <conditionalFormatting sqref="C127">
    <cfRule type="cellIs" dxfId="19562" priority="3316" stopIfTrue="1" operator="equal">
      <formula>"Napkin Hs"</formula>
    </cfRule>
    <cfRule type="cellIs" dxfId="19561" priority="3321" stopIfTrue="1" operator="equal">
      <formula>"Towel"</formula>
    </cfRule>
    <cfRule type="cellIs" dxfId="19560" priority="3322" stopIfTrue="1" operator="equal">
      <formula>"Napkin Hs"</formula>
    </cfRule>
    <cfRule type="cellIs" dxfId="19559" priority="3331" stopIfTrue="1" operator="equal">
      <formula>"Towel"</formula>
    </cfRule>
    <cfRule type="cellIs" dxfId="19558" priority="3332" stopIfTrue="1" operator="equal">
      <formula>"Napkin Hs"</formula>
    </cfRule>
    <cfRule type="cellIs" dxfId="19557" priority="3337" stopIfTrue="1" operator="equal">
      <formula>"Towel"</formula>
    </cfRule>
    <cfRule type="cellIs" dxfId="19556" priority="3338" stopIfTrue="1" operator="equal">
      <formula>"Napkin Hs"</formula>
    </cfRule>
  </conditionalFormatting>
  <conditionalFormatting sqref="C127">
    <cfRule type="cellIs" dxfId="19555" priority="3317" stopIfTrue="1" operator="equal">
      <formula>"Towel"</formula>
    </cfRule>
    <cfRule type="cellIs" dxfId="19554" priority="3318" stopIfTrue="1" operator="equal">
      <formula>"Napkin Hs"</formula>
    </cfRule>
    <cfRule type="cellIs" dxfId="19553" priority="3319" stopIfTrue="1" operator="equal">
      <formula>"Towel"</formula>
    </cfRule>
    <cfRule type="cellIs" dxfId="19552" priority="3320" stopIfTrue="1" operator="equal">
      <formula>"Napkin Hs"</formula>
    </cfRule>
    <cfRule type="cellIs" dxfId="19551" priority="3323" stopIfTrue="1" operator="equal">
      <formula>"Towel"</formula>
    </cfRule>
    <cfRule type="cellIs" dxfId="19550" priority="3324" stopIfTrue="1" operator="equal">
      <formula>"Napkin Hs"</formula>
    </cfRule>
    <cfRule type="cellIs" dxfId="19549" priority="3325" stopIfTrue="1" operator="equal">
      <formula>"Towel"</formula>
    </cfRule>
    <cfRule type="cellIs" dxfId="19548" priority="3326" stopIfTrue="1" operator="equal">
      <formula>"Napkin Hs"</formula>
    </cfRule>
    <cfRule type="cellIs" dxfId="19547" priority="3327" stopIfTrue="1" operator="equal">
      <formula>"Towel"</formula>
    </cfRule>
    <cfRule type="cellIs" dxfId="19546" priority="3328" stopIfTrue="1" operator="equal">
      <formula>"Napkin Hs"</formula>
    </cfRule>
    <cfRule type="cellIs" dxfId="19545" priority="3329" stopIfTrue="1" operator="equal">
      <formula>"Towel"</formula>
    </cfRule>
    <cfRule type="cellIs" dxfId="19544" priority="3330" stopIfTrue="1" operator="equal">
      <formula>"Napkin Hs"</formula>
    </cfRule>
    <cfRule type="cellIs" dxfId="19543" priority="3333" stopIfTrue="1" operator="equal">
      <formula>"Towel"</formula>
    </cfRule>
    <cfRule type="cellIs" dxfId="19542" priority="3334" stopIfTrue="1" operator="equal">
      <formula>"Napkin Hs"</formula>
    </cfRule>
    <cfRule type="cellIs" dxfId="19541" priority="3336" stopIfTrue="1" operator="equal">
      <formula>"Napkin Hs"</formula>
    </cfRule>
  </conditionalFormatting>
  <conditionalFormatting sqref="C127">
    <cfRule type="cellIs" dxfId="19540" priority="3335" stopIfTrue="1" operator="equal">
      <formula>"Towel"</formula>
    </cfRule>
  </conditionalFormatting>
  <conditionalFormatting sqref="C127">
    <cfRule type="cellIs" dxfId="19539" priority="3313" stopIfTrue="1" operator="equal">
      <formula>"Towel"</formula>
    </cfRule>
    <cfRule type="cellIs" dxfId="19538" priority="3314" stopIfTrue="1" operator="equal">
      <formula>"Napkin Hs"</formula>
    </cfRule>
  </conditionalFormatting>
  <conditionalFormatting sqref="C127">
    <cfRule type="cellIs" dxfId="19537" priority="3312" stopIfTrue="1" operator="equal">
      <formula>"Napkin Hs"</formula>
    </cfRule>
  </conditionalFormatting>
  <conditionalFormatting sqref="C127">
    <cfRule type="cellIs" dxfId="19536" priority="3311" stopIfTrue="1" operator="equal">
      <formula>"Towel"</formula>
    </cfRule>
  </conditionalFormatting>
  <conditionalFormatting sqref="C127">
    <cfRule type="cellIs" dxfId="19535" priority="3309" stopIfTrue="1" operator="equal">
      <formula>"Towel"</formula>
    </cfRule>
  </conditionalFormatting>
  <conditionalFormatting sqref="C127">
    <cfRule type="cellIs" dxfId="19534" priority="3310" stopIfTrue="1" operator="equal">
      <formula>"Napkin Hs"</formula>
    </cfRule>
  </conditionalFormatting>
  <conditionalFormatting sqref="C127">
    <cfRule type="cellIs" dxfId="19533" priority="3213" stopIfTrue="1" operator="equal">
      <formula>"Towel"</formula>
    </cfRule>
  </conditionalFormatting>
  <conditionalFormatting sqref="C127">
    <cfRule type="cellIs" dxfId="19532" priority="3223" stopIfTrue="1" operator="equal">
      <formula>"Towel"</formula>
    </cfRule>
    <cfRule type="cellIs" dxfId="19531" priority="3224" stopIfTrue="1" operator="equal">
      <formula>"Napkin Hs"</formula>
    </cfRule>
    <cfRule type="cellIs" dxfId="19530" priority="3229" stopIfTrue="1" operator="equal">
      <formula>"Towel"</formula>
    </cfRule>
    <cfRule type="cellIs" dxfId="19529" priority="3230" stopIfTrue="1" operator="equal">
      <formula>"Napkin Hs"</formula>
    </cfRule>
    <cfRule type="cellIs" dxfId="19528" priority="3235" stopIfTrue="1" operator="equal">
      <formula>"Towel"</formula>
    </cfRule>
    <cfRule type="cellIs" dxfId="19527" priority="3236" stopIfTrue="1" operator="equal">
      <formula>"Napkin Hs"</formula>
    </cfRule>
    <cfRule type="cellIs" dxfId="19526" priority="3237" stopIfTrue="1" operator="equal">
      <formula>"Towel"</formula>
    </cfRule>
    <cfRule type="cellIs" dxfId="19525" priority="3238" stopIfTrue="1" operator="equal">
      <formula>"Napkin Hs"</formula>
    </cfRule>
    <cfRule type="cellIs" dxfId="19524" priority="3243" stopIfTrue="1" operator="equal">
      <formula>"Towel"</formula>
    </cfRule>
    <cfRule type="cellIs" dxfId="19523" priority="3244" stopIfTrue="1" operator="equal">
      <formula>"Napkin Hs"</formula>
    </cfRule>
    <cfRule type="cellIs" dxfId="19522" priority="3253" stopIfTrue="1" operator="equal">
      <formula>"Towel"</formula>
    </cfRule>
    <cfRule type="cellIs" dxfId="19521" priority="3254" stopIfTrue="1" operator="equal">
      <formula>"Napkin Hs"</formula>
    </cfRule>
    <cfRule type="cellIs" dxfId="19520" priority="3259" stopIfTrue="1" operator="equal">
      <formula>"Towel"</formula>
    </cfRule>
    <cfRule type="cellIs" dxfId="19519" priority="3260" stopIfTrue="1" operator="equal">
      <formula>"Napkin Hs"</formula>
    </cfRule>
    <cfRule type="cellIs" dxfId="19518" priority="3261" stopIfTrue="1" operator="equal">
      <formula>"Towel"</formula>
    </cfRule>
    <cfRule type="cellIs" dxfId="19517" priority="3262" stopIfTrue="1" operator="equal">
      <formula>"Napkin Hs"</formula>
    </cfRule>
    <cfRule type="cellIs" dxfId="19516" priority="3267" stopIfTrue="1" operator="equal">
      <formula>"Towel"</formula>
    </cfRule>
    <cfRule type="cellIs" dxfId="19515" priority="3268" stopIfTrue="1" operator="equal">
      <formula>"Napkin Hs"</formula>
    </cfRule>
    <cfRule type="cellIs" dxfId="19514" priority="3277" stopIfTrue="1" operator="equal">
      <formula>"Towel"</formula>
    </cfRule>
    <cfRule type="cellIs" dxfId="19513" priority="3278" stopIfTrue="1" operator="equal">
      <formula>"Napkin Hs"</formula>
    </cfRule>
    <cfRule type="cellIs" dxfId="19512" priority="3279" stopIfTrue="1" operator="equal">
      <formula>"Towel"</formula>
    </cfRule>
    <cfRule type="cellIs" dxfId="19511" priority="3280" stopIfTrue="1" operator="equal">
      <formula>"Napkin Hs"</formula>
    </cfRule>
    <cfRule type="cellIs" dxfId="19510" priority="3285" stopIfTrue="1" operator="equal">
      <formula>"Towel"</formula>
    </cfRule>
    <cfRule type="cellIs" dxfId="19509" priority="3286" stopIfTrue="1" operator="equal">
      <formula>"Napkin Hs"</formula>
    </cfRule>
    <cfRule type="cellIs" dxfId="19508" priority="3295" stopIfTrue="1" operator="equal">
      <formula>"Towel"</formula>
    </cfRule>
    <cfRule type="cellIs" dxfId="19507" priority="3296" stopIfTrue="1" operator="equal">
      <formula>"Napkin Hs"</formula>
    </cfRule>
    <cfRule type="cellIs" dxfId="19506" priority="3297" stopIfTrue="1" operator="equal">
      <formula>"Towel"</formula>
    </cfRule>
    <cfRule type="cellIs" dxfId="19505" priority="3298" stopIfTrue="1" operator="equal">
      <formula>"Napkin Hs"</formula>
    </cfRule>
    <cfRule type="cellIs" dxfId="19504" priority="3304" stopIfTrue="1" operator="equal">
      <formula>"Napkin Hs"</formula>
    </cfRule>
  </conditionalFormatting>
  <conditionalFormatting sqref="C127">
    <cfRule type="cellIs" dxfId="19503" priority="3303" stopIfTrue="1" operator="equal">
      <formula>"Towel"</formula>
    </cfRule>
  </conditionalFormatting>
  <conditionalFormatting sqref="C127">
    <cfRule type="cellIs" dxfId="19502" priority="3214" stopIfTrue="1" operator="equal">
      <formula>"Napkin Hs"</formula>
    </cfRule>
    <cfRule type="cellIs" dxfId="19501" priority="3215" stopIfTrue="1" operator="equal">
      <formula>"Towel"</formula>
    </cfRule>
    <cfRule type="cellIs" dxfId="19500" priority="3216" stopIfTrue="1" operator="equal">
      <formula>"Napkin Hs"</formula>
    </cfRule>
    <cfRule type="cellIs" dxfId="19499" priority="3217" stopIfTrue="1" operator="equal">
      <formula>"Towel"</formula>
    </cfRule>
    <cfRule type="cellIs" dxfId="19498" priority="3218" stopIfTrue="1" operator="equal">
      <formula>"Napkin Hs"</formula>
    </cfRule>
    <cfRule type="cellIs" dxfId="19497" priority="3219" stopIfTrue="1" operator="equal">
      <formula>"Towel"</formula>
    </cfRule>
    <cfRule type="cellIs" dxfId="19496" priority="3220" stopIfTrue="1" operator="equal">
      <formula>"Napkin Hs"</formula>
    </cfRule>
    <cfRule type="cellIs" dxfId="19495" priority="3221" stopIfTrue="1" operator="equal">
      <formula>"Towel"</formula>
    </cfRule>
    <cfRule type="cellIs" dxfId="19494" priority="3222" stopIfTrue="1" operator="equal">
      <formula>"Napkin Hs"</formula>
    </cfRule>
    <cfRule type="cellIs" dxfId="19493" priority="3225" stopIfTrue="1" operator="equal">
      <formula>"Towel"</formula>
    </cfRule>
    <cfRule type="cellIs" dxfId="19492" priority="3226" stopIfTrue="1" operator="equal">
      <formula>"Napkin Hs"</formula>
    </cfRule>
    <cfRule type="cellIs" dxfId="19491" priority="3227" stopIfTrue="1" operator="equal">
      <formula>"Towel"</formula>
    </cfRule>
    <cfRule type="cellIs" dxfId="19490" priority="3228" stopIfTrue="1" operator="equal">
      <formula>"Napkin Hs"</formula>
    </cfRule>
    <cfRule type="cellIs" dxfId="19489" priority="3231" stopIfTrue="1" operator="equal">
      <formula>"Towel"</formula>
    </cfRule>
    <cfRule type="cellIs" dxfId="19488" priority="3232" stopIfTrue="1" operator="equal">
      <formula>"Napkin Hs"</formula>
    </cfRule>
    <cfRule type="cellIs" dxfId="19487" priority="3233" stopIfTrue="1" operator="equal">
      <formula>"Towel"</formula>
    </cfRule>
    <cfRule type="cellIs" dxfId="19486" priority="3234" stopIfTrue="1" operator="equal">
      <formula>"Napkin Hs"</formula>
    </cfRule>
    <cfRule type="cellIs" dxfId="19485" priority="3239" stopIfTrue="1" operator="equal">
      <formula>"Towel"</formula>
    </cfRule>
    <cfRule type="cellIs" dxfId="19484" priority="3240" stopIfTrue="1" operator="equal">
      <formula>"Napkin Hs"</formula>
    </cfRule>
    <cfRule type="cellIs" dxfId="19483" priority="3241" stopIfTrue="1" operator="equal">
      <formula>"Towel"</formula>
    </cfRule>
    <cfRule type="cellIs" dxfId="19482" priority="3242" stopIfTrue="1" operator="equal">
      <formula>"Napkin Hs"</formula>
    </cfRule>
    <cfRule type="cellIs" dxfId="19481" priority="3245" stopIfTrue="1" operator="equal">
      <formula>"Towel"</formula>
    </cfRule>
    <cfRule type="cellIs" dxfId="19480" priority="3246" stopIfTrue="1" operator="equal">
      <formula>"Napkin Hs"</formula>
    </cfRule>
    <cfRule type="cellIs" dxfId="19479" priority="3247" stopIfTrue="1" operator="equal">
      <formula>"Towel"</formula>
    </cfRule>
    <cfRule type="cellIs" dxfId="19478" priority="3248" stopIfTrue="1" operator="equal">
      <formula>"Napkin Hs"</formula>
    </cfRule>
    <cfRule type="cellIs" dxfId="19477" priority="3249" stopIfTrue="1" operator="equal">
      <formula>"Towel"</formula>
    </cfRule>
    <cfRule type="cellIs" dxfId="19476" priority="3250" stopIfTrue="1" operator="equal">
      <formula>"Napkin Hs"</formula>
    </cfRule>
    <cfRule type="cellIs" dxfId="19475" priority="3251" stopIfTrue="1" operator="equal">
      <formula>"Towel"</formula>
    </cfRule>
    <cfRule type="cellIs" dxfId="19474" priority="3252" stopIfTrue="1" operator="equal">
      <formula>"Napkin Hs"</formula>
    </cfRule>
    <cfRule type="cellIs" dxfId="19473" priority="3255" stopIfTrue="1" operator="equal">
      <formula>"Towel"</formula>
    </cfRule>
    <cfRule type="cellIs" dxfId="19472" priority="3256" stopIfTrue="1" operator="equal">
      <formula>"Napkin Hs"</formula>
    </cfRule>
    <cfRule type="cellIs" dxfId="19471" priority="3257" stopIfTrue="1" operator="equal">
      <formula>"Towel"</formula>
    </cfRule>
    <cfRule type="cellIs" dxfId="19470" priority="3258" stopIfTrue="1" operator="equal">
      <formula>"Napkin Hs"</formula>
    </cfRule>
    <cfRule type="cellIs" dxfId="19469" priority="3263" stopIfTrue="1" operator="equal">
      <formula>"Towel"</formula>
    </cfRule>
    <cfRule type="cellIs" dxfId="19468" priority="3264" stopIfTrue="1" operator="equal">
      <formula>"Napkin Hs"</formula>
    </cfRule>
    <cfRule type="cellIs" dxfId="19467" priority="3265" stopIfTrue="1" operator="equal">
      <formula>"Towel"</formula>
    </cfRule>
    <cfRule type="cellIs" dxfId="19466" priority="3266" stopIfTrue="1" operator="equal">
      <formula>"Napkin Hs"</formula>
    </cfRule>
    <cfRule type="cellIs" dxfId="19465" priority="3269" stopIfTrue="1" operator="equal">
      <formula>"Towel"</formula>
    </cfRule>
    <cfRule type="cellIs" dxfId="19464" priority="3270" stopIfTrue="1" operator="equal">
      <formula>"Napkin Hs"</formula>
    </cfRule>
    <cfRule type="cellIs" dxfId="19463" priority="3271" stopIfTrue="1" operator="equal">
      <formula>"Towel"</formula>
    </cfRule>
    <cfRule type="cellIs" dxfId="19462" priority="3272" stopIfTrue="1" operator="equal">
      <formula>"Napkin Hs"</formula>
    </cfRule>
    <cfRule type="cellIs" dxfId="19461" priority="3273" stopIfTrue="1" operator="equal">
      <formula>"Towel"</formula>
    </cfRule>
    <cfRule type="cellIs" dxfId="19460" priority="3274" stopIfTrue="1" operator="equal">
      <formula>"Napkin Hs"</formula>
    </cfRule>
    <cfRule type="cellIs" dxfId="19459" priority="3275" stopIfTrue="1" operator="equal">
      <formula>"Towel"</formula>
    </cfRule>
    <cfRule type="cellIs" dxfId="19458" priority="3276" stopIfTrue="1" operator="equal">
      <formula>"Napkin Hs"</formula>
    </cfRule>
    <cfRule type="cellIs" dxfId="19457" priority="3281" stopIfTrue="1" operator="equal">
      <formula>"Towel"</formula>
    </cfRule>
    <cfRule type="cellIs" dxfId="19456" priority="3282" stopIfTrue="1" operator="equal">
      <formula>"Napkin Hs"</formula>
    </cfRule>
    <cfRule type="cellIs" dxfId="19455" priority="3283" stopIfTrue="1" operator="equal">
      <formula>"Towel"</formula>
    </cfRule>
    <cfRule type="cellIs" dxfId="19454" priority="3284" stopIfTrue="1" operator="equal">
      <formula>"Napkin Hs"</formula>
    </cfRule>
    <cfRule type="cellIs" dxfId="19453" priority="3287" stopIfTrue="1" operator="equal">
      <formula>"Towel"</formula>
    </cfRule>
    <cfRule type="cellIs" dxfId="19452" priority="3288" stopIfTrue="1" operator="equal">
      <formula>"Napkin Hs"</formula>
    </cfRule>
    <cfRule type="cellIs" dxfId="19451" priority="3289" stopIfTrue="1" operator="equal">
      <formula>"Towel"</formula>
    </cfRule>
    <cfRule type="cellIs" dxfId="19450" priority="3290" stopIfTrue="1" operator="equal">
      <formula>"Napkin Hs"</formula>
    </cfRule>
    <cfRule type="cellIs" dxfId="19449" priority="3291" stopIfTrue="1" operator="equal">
      <formula>"Towel"</formula>
    </cfRule>
    <cfRule type="cellIs" dxfId="19448" priority="3292" stopIfTrue="1" operator="equal">
      <formula>"Napkin Hs"</formula>
    </cfRule>
    <cfRule type="cellIs" dxfId="19447" priority="3293" stopIfTrue="1" operator="equal">
      <formula>"Towel"</formula>
    </cfRule>
    <cfRule type="cellIs" dxfId="19446" priority="3294" stopIfTrue="1" operator="equal">
      <formula>"Napkin Hs"</formula>
    </cfRule>
    <cfRule type="cellIs" dxfId="19445" priority="3299" stopIfTrue="1" operator="equal">
      <formula>"Towel"</formula>
    </cfRule>
    <cfRule type="cellIs" dxfId="19444" priority="3300" stopIfTrue="1" operator="equal">
      <formula>"Napkin Hs"</formula>
    </cfRule>
    <cfRule type="cellIs" dxfId="19443" priority="3301" stopIfTrue="1" operator="equal">
      <formula>"Towel"</formula>
    </cfRule>
    <cfRule type="cellIs" dxfId="19442" priority="3302" stopIfTrue="1" operator="equal">
      <formula>"Napkin Hs"</formula>
    </cfRule>
    <cfRule type="cellIs" dxfId="19441" priority="3305" stopIfTrue="1" operator="equal">
      <formula>"Towel"</formula>
    </cfRule>
    <cfRule type="cellIs" dxfId="19440" priority="3306" stopIfTrue="1" operator="equal">
      <formula>"Napkin Hs"</formula>
    </cfRule>
    <cfRule type="cellIs" dxfId="19439" priority="3307" stopIfTrue="1" operator="equal">
      <formula>"Towel"</formula>
    </cfRule>
    <cfRule type="cellIs" dxfId="19438" priority="3308" stopIfTrue="1" operator="equal">
      <formula>"Napkin Hs"</formula>
    </cfRule>
  </conditionalFormatting>
  <conditionalFormatting sqref="C127">
    <cfRule type="cellIs" dxfId="19437" priority="3212" stopIfTrue="1" operator="equal">
      <formula>"Napkin Hs"</formula>
    </cfRule>
  </conditionalFormatting>
  <conditionalFormatting sqref="C127">
    <cfRule type="cellIs" dxfId="19436" priority="3211" stopIfTrue="1" operator="equal">
      <formula>"Napkin Hs"</formula>
    </cfRule>
  </conditionalFormatting>
  <conditionalFormatting sqref="C127">
    <cfRule type="cellIs" dxfId="19435" priority="3210" stopIfTrue="1" operator="equal">
      <formula>"Napkin Hs"</formula>
    </cfRule>
  </conditionalFormatting>
  <conditionalFormatting sqref="C127">
    <cfRule type="cellIs" dxfId="19434" priority="3209" stopIfTrue="1" operator="equal">
      <formula>"Napkin Hs"</formula>
    </cfRule>
  </conditionalFormatting>
  <conditionalFormatting sqref="C127">
    <cfRule type="cellIs" dxfId="19433" priority="3208" stopIfTrue="1" operator="equal">
      <formula>"Napkin Hs"</formula>
    </cfRule>
  </conditionalFormatting>
  <conditionalFormatting sqref="C127">
    <cfRule type="cellIs" dxfId="19432" priority="3207" stopIfTrue="1" operator="equal">
      <formula>"Napkin Hs"</formula>
    </cfRule>
  </conditionalFormatting>
  <conditionalFormatting sqref="C127">
    <cfRule type="cellIs" dxfId="19431" priority="3203" stopIfTrue="1" operator="equal">
      <formula>"Towel"</formula>
    </cfRule>
    <cfRule type="cellIs" dxfId="19430" priority="3204" stopIfTrue="1" operator="equal">
      <formula>"Napkin Hs"</formula>
    </cfRule>
  </conditionalFormatting>
  <conditionalFormatting sqref="C127">
    <cfRule type="cellIs" dxfId="19429" priority="3205" stopIfTrue="1" operator="equal">
      <formula>"Towel"</formula>
    </cfRule>
    <cfRule type="cellIs" dxfId="19428" priority="3206" stopIfTrue="1" operator="equal">
      <formula>"Napkin Hs"</formula>
    </cfRule>
  </conditionalFormatting>
  <conditionalFormatting sqref="C127">
    <cfRule type="cellIs" dxfId="19427" priority="3199" stopIfTrue="1" operator="equal">
      <formula>"Towel"</formula>
    </cfRule>
    <cfRule type="cellIs" dxfId="19426" priority="3200" stopIfTrue="1" operator="equal">
      <formula>"Napkin Hs"</formula>
    </cfRule>
  </conditionalFormatting>
  <conditionalFormatting sqref="C127">
    <cfRule type="cellIs" dxfId="19425" priority="3201" stopIfTrue="1" operator="equal">
      <formula>"Towel"</formula>
    </cfRule>
    <cfRule type="cellIs" dxfId="19424" priority="3202" stopIfTrue="1" operator="equal">
      <formula>"Napkin Hs"</formula>
    </cfRule>
  </conditionalFormatting>
  <conditionalFormatting sqref="B127">
    <cfRule type="cellIs" dxfId="19423" priority="3198" stopIfTrue="1" operator="equal">
      <formula>"Napkin Hs"</formula>
    </cfRule>
  </conditionalFormatting>
  <conditionalFormatting sqref="B127">
    <cfRule type="cellIs" dxfId="19422" priority="3197" stopIfTrue="1" operator="equal">
      <formula>"Napkin Hs"</formula>
    </cfRule>
  </conditionalFormatting>
  <conditionalFormatting sqref="B127">
    <cfRule type="cellIs" dxfId="19421" priority="3196" stopIfTrue="1" operator="equal">
      <formula>"Napkin Hs"</formula>
    </cfRule>
  </conditionalFormatting>
  <conditionalFormatting sqref="C128">
    <cfRule type="cellIs" dxfId="19420" priority="3194" stopIfTrue="1" operator="equal">
      <formula>"Towel"</formula>
    </cfRule>
    <cfRule type="cellIs" dxfId="19419" priority="3195" stopIfTrue="1" operator="equal">
      <formula>"Napkin Hs"</formula>
    </cfRule>
  </conditionalFormatting>
  <conditionalFormatting sqref="C128">
    <cfRule type="cellIs" dxfId="19418" priority="3190" stopIfTrue="1" operator="equal">
      <formula>"Towel"</formula>
    </cfRule>
    <cfRule type="cellIs" dxfId="19417" priority="3191" stopIfTrue="1" operator="equal">
      <formula>"Napkin Hs"</formula>
    </cfRule>
  </conditionalFormatting>
  <conditionalFormatting sqref="C128">
    <cfRule type="cellIs" dxfId="19416" priority="3192" stopIfTrue="1" operator="equal">
      <formula>"Towel"</formula>
    </cfRule>
    <cfRule type="cellIs" dxfId="19415" priority="3193" stopIfTrue="1" operator="equal">
      <formula>"Napkin Hs"</formula>
    </cfRule>
  </conditionalFormatting>
  <conditionalFormatting sqref="C128">
    <cfRule type="cellIs" dxfId="19414" priority="3186" stopIfTrue="1" operator="equal">
      <formula>"Towel"</formula>
    </cfRule>
    <cfRule type="cellIs" dxfId="19413" priority="3187" stopIfTrue="1" operator="equal">
      <formula>"Napkin Hs"</formula>
    </cfRule>
  </conditionalFormatting>
  <conditionalFormatting sqref="C128">
    <cfRule type="cellIs" dxfId="19412" priority="3188" stopIfTrue="1" operator="equal">
      <formula>"Towel"</formula>
    </cfRule>
    <cfRule type="cellIs" dxfId="19411" priority="3189" stopIfTrue="1" operator="equal">
      <formula>"Napkin Hs"</formula>
    </cfRule>
  </conditionalFormatting>
  <conditionalFormatting sqref="C128">
    <cfRule type="cellIs" dxfId="19410" priority="3184" stopIfTrue="1" operator="equal">
      <formula>"Towel"</formula>
    </cfRule>
    <cfRule type="cellIs" dxfId="19409" priority="3185" stopIfTrue="1" operator="equal">
      <formula>"Napkin Hs"</formula>
    </cfRule>
  </conditionalFormatting>
  <conditionalFormatting sqref="C128">
    <cfRule type="cellIs" dxfId="19408" priority="3178" stopIfTrue="1" operator="equal">
      <formula>"Towel"</formula>
    </cfRule>
    <cfRule type="cellIs" dxfId="19407" priority="3179" stopIfTrue="1" operator="equal">
      <formula>"Napkin Hs"</formula>
    </cfRule>
  </conditionalFormatting>
  <conditionalFormatting sqref="C128">
    <cfRule type="cellIs" dxfId="19406" priority="3182" stopIfTrue="1" operator="equal">
      <formula>"Towel"</formula>
    </cfRule>
    <cfRule type="cellIs" dxfId="19405" priority="3183" stopIfTrue="1" operator="equal">
      <formula>"Napkin Hs"</formula>
    </cfRule>
  </conditionalFormatting>
  <conditionalFormatting sqref="C128">
    <cfRule type="cellIs" dxfId="19404" priority="3180" stopIfTrue="1" operator="equal">
      <formula>"Towel"</formula>
    </cfRule>
    <cfRule type="cellIs" dxfId="19403" priority="3181" stopIfTrue="1" operator="equal">
      <formula>"Napkin Hs"</formula>
    </cfRule>
  </conditionalFormatting>
  <conditionalFormatting sqref="C128">
    <cfRule type="cellIs" dxfId="19402" priority="3172" stopIfTrue="1" operator="equal">
      <formula>"Towel"</formula>
    </cfRule>
    <cfRule type="cellIs" dxfId="19401" priority="3173" stopIfTrue="1" operator="equal">
      <formula>"Napkin Hs"</formula>
    </cfRule>
  </conditionalFormatting>
  <conditionalFormatting sqref="C128">
    <cfRule type="cellIs" dxfId="19400" priority="3174" stopIfTrue="1" operator="equal">
      <formula>"Towel"</formula>
    </cfRule>
    <cfRule type="cellIs" dxfId="19399" priority="3175" stopIfTrue="1" operator="equal">
      <formula>"Napkin Hs"</formula>
    </cfRule>
  </conditionalFormatting>
  <conditionalFormatting sqref="C128">
    <cfRule type="cellIs" dxfId="19398" priority="3176" stopIfTrue="1" operator="equal">
      <formula>"Towel"</formula>
    </cfRule>
    <cfRule type="cellIs" dxfId="19397" priority="3177" stopIfTrue="1" operator="equal">
      <formula>"Napkin Hs"</formula>
    </cfRule>
  </conditionalFormatting>
  <conditionalFormatting sqref="C128">
    <cfRule type="cellIs" dxfId="19396" priority="3170" stopIfTrue="1" operator="equal">
      <formula>"Towel"</formula>
    </cfRule>
    <cfRule type="cellIs" dxfId="19395" priority="3171" stopIfTrue="1" operator="equal">
      <formula>"Napkin Hs"</formula>
    </cfRule>
  </conditionalFormatting>
  <conditionalFormatting sqref="C128">
    <cfRule type="cellIs" dxfId="19394" priority="3168" stopIfTrue="1" operator="equal">
      <formula>"Towel"</formula>
    </cfRule>
    <cfRule type="cellIs" dxfId="19393" priority="3169" stopIfTrue="1" operator="equal">
      <formula>"Napkin Hs"</formula>
    </cfRule>
  </conditionalFormatting>
  <conditionalFormatting sqref="C128">
    <cfRule type="cellIs" dxfId="19392" priority="3144" stopIfTrue="1" operator="equal">
      <formula>"Towel"</formula>
    </cfRule>
  </conditionalFormatting>
  <conditionalFormatting sqref="C128">
    <cfRule type="cellIs" dxfId="19391" priority="3145" stopIfTrue="1" operator="equal">
      <formula>"Napkin Hs"</formula>
    </cfRule>
    <cfRule type="cellIs" dxfId="19390" priority="3150" stopIfTrue="1" operator="equal">
      <formula>"Towel"</formula>
    </cfRule>
    <cfRule type="cellIs" dxfId="19389" priority="3151" stopIfTrue="1" operator="equal">
      <formula>"Napkin Hs"</formula>
    </cfRule>
    <cfRule type="cellIs" dxfId="19388" priority="3160" stopIfTrue="1" operator="equal">
      <formula>"Towel"</formula>
    </cfRule>
    <cfRule type="cellIs" dxfId="19387" priority="3161" stopIfTrue="1" operator="equal">
      <formula>"Napkin Hs"</formula>
    </cfRule>
    <cfRule type="cellIs" dxfId="19386" priority="3166" stopIfTrue="1" operator="equal">
      <formula>"Towel"</formula>
    </cfRule>
    <cfRule type="cellIs" dxfId="19385" priority="3167" stopIfTrue="1" operator="equal">
      <formula>"Napkin Hs"</formula>
    </cfRule>
  </conditionalFormatting>
  <conditionalFormatting sqref="C128">
    <cfRule type="cellIs" dxfId="19384" priority="3146" stopIfTrue="1" operator="equal">
      <formula>"Towel"</formula>
    </cfRule>
    <cfRule type="cellIs" dxfId="19383" priority="3147" stopIfTrue="1" operator="equal">
      <formula>"Napkin Hs"</formula>
    </cfRule>
    <cfRule type="cellIs" dxfId="19382" priority="3148" stopIfTrue="1" operator="equal">
      <formula>"Towel"</formula>
    </cfRule>
    <cfRule type="cellIs" dxfId="19381" priority="3149" stopIfTrue="1" operator="equal">
      <formula>"Napkin Hs"</formula>
    </cfRule>
    <cfRule type="cellIs" dxfId="19380" priority="3152" stopIfTrue="1" operator="equal">
      <formula>"Towel"</formula>
    </cfRule>
    <cfRule type="cellIs" dxfId="19379" priority="3153" stopIfTrue="1" operator="equal">
      <formula>"Napkin Hs"</formula>
    </cfRule>
    <cfRule type="cellIs" dxfId="19378" priority="3154" stopIfTrue="1" operator="equal">
      <formula>"Towel"</formula>
    </cfRule>
    <cfRule type="cellIs" dxfId="19377" priority="3155" stopIfTrue="1" operator="equal">
      <formula>"Napkin Hs"</formula>
    </cfRule>
    <cfRule type="cellIs" dxfId="19376" priority="3156" stopIfTrue="1" operator="equal">
      <formula>"Towel"</formula>
    </cfRule>
    <cfRule type="cellIs" dxfId="19375" priority="3157" stopIfTrue="1" operator="equal">
      <formula>"Napkin Hs"</formula>
    </cfRule>
    <cfRule type="cellIs" dxfId="19374" priority="3158" stopIfTrue="1" operator="equal">
      <formula>"Towel"</formula>
    </cfRule>
    <cfRule type="cellIs" dxfId="19373" priority="3159" stopIfTrue="1" operator="equal">
      <formula>"Napkin Hs"</formula>
    </cfRule>
    <cfRule type="cellIs" dxfId="19372" priority="3162" stopIfTrue="1" operator="equal">
      <formula>"Towel"</formula>
    </cfRule>
    <cfRule type="cellIs" dxfId="19371" priority="3163" stopIfTrue="1" operator="equal">
      <formula>"Napkin Hs"</formula>
    </cfRule>
    <cfRule type="cellIs" dxfId="19370" priority="3165" stopIfTrue="1" operator="equal">
      <formula>"Napkin Hs"</formula>
    </cfRule>
  </conditionalFormatting>
  <conditionalFormatting sqref="C128">
    <cfRule type="cellIs" dxfId="19369" priority="3164" stopIfTrue="1" operator="equal">
      <formula>"Towel"</formula>
    </cfRule>
  </conditionalFormatting>
  <conditionalFormatting sqref="C128">
    <cfRule type="cellIs" dxfId="19368" priority="3142" stopIfTrue="1" operator="equal">
      <formula>"Towel"</formula>
    </cfRule>
    <cfRule type="cellIs" dxfId="19367" priority="3143" stopIfTrue="1" operator="equal">
      <formula>"Napkin Hs"</formula>
    </cfRule>
  </conditionalFormatting>
  <conditionalFormatting sqref="C128">
    <cfRule type="cellIs" dxfId="19366" priority="3141" stopIfTrue="1" operator="equal">
      <formula>"Napkin Hs"</formula>
    </cfRule>
  </conditionalFormatting>
  <conditionalFormatting sqref="C128">
    <cfRule type="cellIs" dxfId="19365" priority="3140" stopIfTrue="1" operator="equal">
      <formula>"Towel"</formula>
    </cfRule>
  </conditionalFormatting>
  <conditionalFormatting sqref="C128">
    <cfRule type="cellIs" dxfId="19364" priority="3138" stopIfTrue="1" operator="equal">
      <formula>"Towel"</formula>
    </cfRule>
  </conditionalFormatting>
  <conditionalFormatting sqref="C128">
    <cfRule type="cellIs" dxfId="19363" priority="3139" stopIfTrue="1" operator="equal">
      <formula>"Napkin Hs"</formula>
    </cfRule>
  </conditionalFormatting>
  <conditionalFormatting sqref="C128">
    <cfRule type="cellIs" dxfId="19362" priority="3042" stopIfTrue="1" operator="equal">
      <formula>"Towel"</formula>
    </cfRule>
  </conditionalFormatting>
  <conditionalFormatting sqref="C128">
    <cfRule type="cellIs" dxfId="19361" priority="3052" stopIfTrue="1" operator="equal">
      <formula>"Towel"</formula>
    </cfRule>
    <cfRule type="cellIs" dxfId="19360" priority="3053" stopIfTrue="1" operator="equal">
      <formula>"Napkin Hs"</formula>
    </cfRule>
    <cfRule type="cellIs" dxfId="19359" priority="3058" stopIfTrue="1" operator="equal">
      <formula>"Towel"</formula>
    </cfRule>
    <cfRule type="cellIs" dxfId="19358" priority="3059" stopIfTrue="1" operator="equal">
      <formula>"Napkin Hs"</formula>
    </cfRule>
    <cfRule type="cellIs" dxfId="19357" priority="3064" stopIfTrue="1" operator="equal">
      <formula>"Towel"</formula>
    </cfRule>
    <cfRule type="cellIs" dxfId="19356" priority="3065" stopIfTrue="1" operator="equal">
      <formula>"Napkin Hs"</formula>
    </cfRule>
    <cfRule type="cellIs" dxfId="19355" priority="3066" stopIfTrue="1" operator="equal">
      <formula>"Towel"</formula>
    </cfRule>
    <cfRule type="cellIs" dxfId="19354" priority="3067" stopIfTrue="1" operator="equal">
      <formula>"Napkin Hs"</formula>
    </cfRule>
    <cfRule type="cellIs" dxfId="19353" priority="3072" stopIfTrue="1" operator="equal">
      <formula>"Towel"</formula>
    </cfRule>
    <cfRule type="cellIs" dxfId="19352" priority="3073" stopIfTrue="1" operator="equal">
      <formula>"Napkin Hs"</formula>
    </cfRule>
    <cfRule type="cellIs" dxfId="19351" priority="3082" stopIfTrue="1" operator="equal">
      <formula>"Towel"</formula>
    </cfRule>
    <cfRule type="cellIs" dxfId="19350" priority="3083" stopIfTrue="1" operator="equal">
      <formula>"Napkin Hs"</formula>
    </cfRule>
    <cfRule type="cellIs" dxfId="19349" priority="3088" stopIfTrue="1" operator="equal">
      <formula>"Towel"</formula>
    </cfRule>
    <cfRule type="cellIs" dxfId="19348" priority="3089" stopIfTrue="1" operator="equal">
      <formula>"Napkin Hs"</formula>
    </cfRule>
    <cfRule type="cellIs" dxfId="19347" priority="3090" stopIfTrue="1" operator="equal">
      <formula>"Towel"</formula>
    </cfRule>
    <cfRule type="cellIs" dxfId="19346" priority="3091" stopIfTrue="1" operator="equal">
      <formula>"Napkin Hs"</formula>
    </cfRule>
    <cfRule type="cellIs" dxfId="19345" priority="3096" stopIfTrue="1" operator="equal">
      <formula>"Towel"</formula>
    </cfRule>
    <cfRule type="cellIs" dxfId="19344" priority="3097" stopIfTrue="1" operator="equal">
      <formula>"Napkin Hs"</formula>
    </cfRule>
    <cfRule type="cellIs" dxfId="19343" priority="3106" stopIfTrue="1" operator="equal">
      <formula>"Towel"</formula>
    </cfRule>
    <cfRule type="cellIs" dxfId="19342" priority="3107" stopIfTrue="1" operator="equal">
      <formula>"Napkin Hs"</formula>
    </cfRule>
    <cfRule type="cellIs" dxfId="19341" priority="3108" stopIfTrue="1" operator="equal">
      <formula>"Towel"</formula>
    </cfRule>
    <cfRule type="cellIs" dxfId="19340" priority="3109" stopIfTrue="1" operator="equal">
      <formula>"Napkin Hs"</formula>
    </cfRule>
    <cfRule type="cellIs" dxfId="19339" priority="3114" stopIfTrue="1" operator="equal">
      <formula>"Towel"</formula>
    </cfRule>
    <cfRule type="cellIs" dxfId="19338" priority="3115" stopIfTrue="1" operator="equal">
      <formula>"Napkin Hs"</formula>
    </cfRule>
    <cfRule type="cellIs" dxfId="19337" priority="3124" stopIfTrue="1" operator="equal">
      <formula>"Towel"</formula>
    </cfRule>
    <cfRule type="cellIs" dxfId="19336" priority="3125" stopIfTrue="1" operator="equal">
      <formula>"Napkin Hs"</formula>
    </cfRule>
    <cfRule type="cellIs" dxfId="19335" priority="3126" stopIfTrue="1" operator="equal">
      <formula>"Towel"</formula>
    </cfRule>
    <cfRule type="cellIs" dxfId="19334" priority="3127" stopIfTrue="1" operator="equal">
      <formula>"Napkin Hs"</formula>
    </cfRule>
    <cfRule type="cellIs" dxfId="19333" priority="3133" stopIfTrue="1" operator="equal">
      <formula>"Napkin Hs"</formula>
    </cfRule>
  </conditionalFormatting>
  <conditionalFormatting sqref="C128">
    <cfRule type="cellIs" dxfId="19332" priority="3132" stopIfTrue="1" operator="equal">
      <formula>"Towel"</formula>
    </cfRule>
  </conditionalFormatting>
  <conditionalFormatting sqref="C128">
    <cfRule type="cellIs" dxfId="19331" priority="3043" stopIfTrue="1" operator="equal">
      <formula>"Napkin Hs"</formula>
    </cfRule>
    <cfRule type="cellIs" dxfId="19330" priority="3044" stopIfTrue="1" operator="equal">
      <formula>"Towel"</formula>
    </cfRule>
    <cfRule type="cellIs" dxfId="19329" priority="3045" stopIfTrue="1" operator="equal">
      <formula>"Napkin Hs"</formula>
    </cfRule>
    <cfRule type="cellIs" dxfId="19328" priority="3046" stopIfTrue="1" operator="equal">
      <formula>"Towel"</formula>
    </cfRule>
    <cfRule type="cellIs" dxfId="19327" priority="3047" stopIfTrue="1" operator="equal">
      <formula>"Napkin Hs"</formula>
    </cfRule>
    <cfRule type="cellIs" dxfId="19326" priority="3048" stopIfTrue="1" operator="equal">
      <formula>"Towel"</formula>
    </cfRule>
    <cfRule type="cellIs" dxfId="19325" priority="3049" stopIfTrue="1" operator="equal">
      <formula>"Napkin Hs"</formula>
    </cfRule>
    <cfRule type="cellIs" dxfId="19324" priority="3050" stopIfTrue="1" operator="equal">
      <formula>"Towel"</formula>
    </cfRule>
    <cfRule type="cellIs" dxfId="19323" priority="3051" stopIfTrue="1" operator="equal">
      <formula>"Napkin Hs"</formula>
    </cfRule>
    <cfRule type="cellIs" dxfId="19322" priority="3054" stopIfTrue="1" operator="equal">
      <formula>"Towel"</formula>
    </cfRule>
    <cfRule type="cellIs" dxfId="19321" priority="3055" stopIfTrue="1" operator="equal">
      <formula>"Napkin Hs"</formula>
    </cfRule>
    <cfRule type="cellIs" dxfId="19320" priority="3056" stopIfTrue="1" operator="equal">
      <formula>"Towel"</formula>
    </cfRule>
    <cfRule type="cellIs" dxfId="19319" priority="3057" stopIfTrue="1" operator="equal">
      <formula>"Napkin Hs"</formula>
    </cfRule>
    <cfRule type="cellIs" dxfId="19318" priority="3060" stopIfTrue="1" operator="equal">
      <formula>"Towel"</formula>
    </cfRule>
    <cfRule type="cellIs" dxfId="19317" priority="3061" stopIfTrue="1" operator="equal">
      <formula>"Napkin Hs"</formula>
    </cfRule>
    <cfRule type="cellIs" dxfId="19316" priority="3062" stopIfTrue="1" operator="equal">
      <formula>"Towel"</formula>
    </cfRule>
    <cfRule type="cellIs" dxfId="19315" priority="3063" stopIfTrue="1" operator="equal">
      <formula>"Napkin Hs"</formula>
    </cfRule>
    <cfRule type="cellIs" dxfId="19314" priority="3068" stopIfTrue="1" operator="equal">
      <formula>"Towel"</formula>
    </cfRule>
    <cfRule type="cellIs" dxfId="19313" priority="3069" stopIfTrue="1" operator="equal">
      <formula>"Napkin Hs"</formula>
    </cfRule>
    <cfRule type="cellIs" dxfId="19312" priority="3070" stopIfTrue="1" operator="equal">
      <formula>"Towel"</formula>
    </cfRule>
    <cfRule type="cellIs" dxfId="19311" priority="3071" stopIfTrue="1" operator="equal">
      <formula>"Napkin Hs"</formula>
    </cfRule>
    <cfRule type="cellIs" dxfId="19310" priority="3074" stopIfTrue="1" operator="equal">
      <formula>"Towel"</formula>
    </cfRule>
    <cfRule type="cellIs" dxfId="19309" priority="3075" stopIfTrue="1" operator="equal">
      <formula>"Napkin Hs"</formula>
    </cfRule>
    <cfRule type="cellIs" dxfId="19308" priority="3076" stopIfTrue="1" operator="equal">
      <formula>"Towel"</formula>
    </cfRule>
    <cfRule type="cellIs" dxfId="19307" priority="3077" stopIfTrue="1" operator="equal">
      <formula>"Napkin Hs"</formula>
    </cfRule>
    <cfRule type="cellIs" dxfId="19306" priority="3078" stopIfTrue="1" operator="equal">
      <formula>"Towel"</formula>
    </cfRule>
    <cfRule type="cellIs" dxfId="19305" priority="3079" stopIfTrue="1" operator="equal">
      <formula>"Napkin Hs"</formula>
    </cfRule>
    <cfRule type="cellIs" dxfId="19304" priority="3080" stopIfTrue="1" operator="equal">
      <formula>"Towel"</formula>
    </cfRule>
    <cfRule type="cellIs" dxfId="19303" priority="3081" stopIfTrue="1" operator="equal">
      <formula>"Napkin Hs"</formula>
    </cfRule>
    <cfRule type="cellIs" dxfId="19302" priority="3084" stopIfTrue="1" operator="equal">
      <formula>"Towel"</formula>
    </cfRule>
    <cfRule type="cellIs" dxfId="19301" priority="3085" stopIfTrue="1" operator="equal">
      <formula>"Napkin Hs"</formula>
    </cfRule>
    <cfRule type="cellIs" dxfId="19300" priority="3086" stopIfTrue="1" operator="equal">
      <formula>"Towel"</formula>
    </cfRule>
    <cfRule type="cellIs" dxfId="19299" priority="3087" stopIfTrue="1" operator="equal">
      <formula>"Napkin Hs"</formula>
    </cfRule>
    <cfRule type="cellIs" dxfId="19298" priority="3092" stopIfTrue="1" operator="equal">
      <formula>"Towel"</formula>
    </cfRule>
    <cfRule type="cellIs" dxfId="19297" priority="3093" stopIfTrue="1" operator="equal">
      <formula>"Napkin Hs"</formula>
    </cfRule>
    <cfRule type="cellIs" dxfId="19296" priority="3094" stopIfTrue="1" operator="equal">
      <formula>"Towel"</formula>
    </cfRule>
    <cfRule type="cellIs" dxfId="19295" priority="3095" stopIfTrue="1" operator="equal">
      <formula>"Napkin Hs"</formula>
    </cfRule>
    <cfRule type="cellIs" dxfId="19294" priority="3098" stopIfTrue="1" operator="equal">
      <formula>"Towel"</formula>
    </cfRule>
    <cfRule type="cellIs" dxfId="19293" priority="3099" stopIfTrue="1" operator="equal">
      <formula>"Napkin Hs"</formula>
    </cfRule>
    <cfRule type="cellIs" dxfId="19292" priority="3100" stopIfTrue="1" operator="equal">
      <formula>"Towel"</formula>
    </cfRule>
    <cfRule type="cellIs" dxfId="19291" priority="3101" stopIfTrue="1" operator="equal">
      <formula>"Napkin Hs"</formula>
    </cfRule>
    <cfRule type="cellIs" dxfId="19290" priority="3102" stopIfTrue="1" operator="equal">
      <formula>"Towel"</formula>
    </cfRule>
    <cfRule type="cellIs" dxfId="19289" priority="3103" stopIfTrue="1" operator="equal">
      <formula>"Napkin Hs"</formula>
    </cfRule>
    <cfRule type="cellIs" dxfId="19288" priority="3104" stopIfTrue="1" operator="equal">
      <formula>"Towel"</formula>
    </cfRule>
    <cfRule type="cellIs" dxfId="19287" priority="3105" stopIfTrue="1" operator="equal">
      <formula>"Napkin Hs"</formula>
    </cfRule>
    <cfRule type="cellIs" dxfId="19286" priority="3110" stopIfTrue="1" operator="equal">
      <formula>"Towel"</formula>
    </cfRule>
    <cfRule type="cellIs" dxfId="19285" priority="3111" stopIfTrue="1" operator="equal">
      <formula>"Napkin Hs"</formula>
    </cfRule>
    <cfRule type="cellIs" dxfId="19284" priority="3112" stopIfTrue="1" operator="equal">
      <formula>"Towel"</formula>
    </cfRule>
    <cfRule type="cellIs" dxfId="19283" priority="3113" stopIfTrue="1" operator="equal">
      <formula>"Napkin Hs"</formula>
    </cfRule>
    <cfRule type="cellIs" dxfId="19282" priority="3116" stopIfTrue="1" operator="equal">
      <formula>"Towel"</formula>
    </cfRule>
    <cfRule type="cellIs" dxfId="19281" priority="3117" stopIfTrue="1" operator="equal">
      <formula>"Napkin Hs"</formula>
    </cfRule>
    <cfRule type="cellIs" dxfId="19280" priority="3118" stopIfTrue="1" operator="equal">
      <formula>"Towel"</formula>
    </cfRule>
    <cfRule type="cellIs" dxfId="19279" priority="3119" stopIfTrue="1" operator="equal">
      <formula>"Napkin Hs"</formula>
    </cfRule>
    <cfRule type="cellIs" dxfId="19278" priority="3120" stopIfTrue="1" operator="equal">
      <formula>"Towel"</formula>
    </cfRule>
    <cfRule type="cellIs" dxfId="19277" priority="3121" stopIfTrue="1" operator="equal">
      <formula>"Napkin Hs"</formula>
    </cfRule>
    <cfRule type="cellIs" dxfId="19276" priority="3122" stopIfTrue="1" operator="equal">
      <formula>"Towel"</formula>
    </cfRule>
    <cfRule type="cellIs" dxfId="19275" priority="3123" stopIfTrue="1" operator="equal">
      <formula>"Napkin Hs"</formula>
    </cfRule>
    <cfRule type="cellIs" dxfId="19274" priority="3128" stopIfTrue="1" operator="equal">
      <formula>"Towel"</formula>
    </cfRule>
    <cfRule type="cellIs" dxfId="19273" priority="3129" stopIfTrue="1" operator="equal">
      <formula>"Napkin Hs"</formula>
    </cfRule>
    <cfRule type="cellIs" dxfId="19272" priority="3130" stopIfTrue="1" operator="equal">
      <formula>"Towel"</formula>
    </cfRule>
    <cfRule type="cellIs" dxfId="19271" priority="3131" stopIfTrue="1" operator="equal">
      <formula>"Napkin Hs"</formula>
    </cfRule>
    <cfRule type="cellIs" dxfId="19270" priority="3134" stopIfTrue="1" operator="equal">
      <formula>"Towel"</formula>
    </cfRule>
    <cfRule type="cellIs" dxfId="19269" priority="3135" stopIfTrue="1" operator="equal">
      <formula>"Napkin Hs"</formula>
    </cfRule>
    <cfRule type="cellIs" dxfId="19268" priority="3136" stopIfTrue="1" operator="equal">
      <formula>"Towel"</formula>
    </cfRule>
    <cfRule type="cellIs" dxfId="19267" priority="3137" stopIfTrue="1" operator="equal">
      <formula>"Napkin Hs"</formula>
    </cfRule>
  </conditionalFormatting>
  <conditionalFormatting sqref="C128">
    <cfRule type="cellIs" dxfId="19266" priority="3041" stopIfTrue="1" operator="equal">
      <formula>"Napkin Hs"</formula>
    </cfRule>
  </conditionalFormatting>
  <conditionalFormatting sqref="C128">
    <cfRule type="cellIs" dxfId="19265" priority="3040" stopIfTrue="1" operator="equal">
      <formula>"Napkin Hs"</formula>
    </cfRule>
  </conditionalFormatting>
  <conditionalFormatting sqref="C128">
    <cfRule type="cellIs" dxfId="19264" priority="3039" stopIfTrue="1" operator="equal">
      <formula>"Napkin Hs"</formula>
    </cfRule>
  </conditionalFormatting>
  <conditionalFormatting sqref="C128">
    <cfRule type="cellIs" dxfId="19263" priority="3038" stopIfTrue="1" operator="equal">
      <formula>"Napkin Hs"</formula>
    </cfRule>
  </conditionalFormatting>
  <conditionalFormatting sqref="C128">
    <cfRule type="cellIs" dxfId="19262" priority="3037" stopIfTrue="1" operator="equal">
      <formula>"Napkin Hs"</formula>
    </cfRule>
  </conditionalFormatting>
  <conditionalFormatting sqref="C128">
    <cfRule type="cellIs" dxfId="19261" priority="3036" stopIfTrue="1" operator="equal">
      <formula>"Napkin Hs"</formula>
    </cfRule>
  </conditionalFormatting>
  <conditionalFormatting sqref="C128">
    <cfRule type="cellIs" dxfId="19260" priority="3032" stopIfTrue="1" operator="equal">
      <formula>"Towel"</formula>
    </cfRule>
    <cfRule type="cellIs" dxfId="19259" priority="3033" stopIfTrue="1" operator="equal">
      <formula>"Napkin Hs"</formula>
    </cfRule>
  </conditionalFormatting>
  <conditionalFormatting sqref="C128">
    <cfRule type="cellIs" dxfId="19258" priority="3034" stopIfTrue="1" operator="equal">
      <formula>"Towel"</formula>
    </cfRule>
    <cfRule type="cellIs" dxfId="19257" priority="3035" stopIfTrue="1" operator="equal">
      <formula>"Napkin Hs"</formula>
    </cfRule>
  </conditionalFormatting>
  <conditionalFormatting sqref="C128">
    <cfRule type="cellIs" dxfId="19256" priority="3028" stopIfTrue="1" operator="equal">
      <formula>"Towel"</formula>
    </cfRule>
    <cfRule type="cellIs" dxfId="19255" priority="3029" stopIfTrue="1" operator="equal">
      <formula>"Napkin Hs"</formula>
    </cfRule>
  </conditionalFormatting>
  <conditionalFormatting sqref="C128">
    <cfRule type="cellIs" dxfId="19254" priority="3030" stopIfTrue="1" operator="equal">
      <formula>"Towel"</formula>
    </cfRule>
    <cfRule type="cellIs" dxfId="19253" priority="3031" stopIfTrue="1" operator="equal">
      <formula>"Napkin Hs"</formula>
    </cfRule>
  </conditionalFormatting>
  <conditionalFormatting sqref="B128">
    <cfRule type="cellIs" dxfId="19252" priority="3027" stopIfTrue="1" operator="equal">
      <formula>"Napkin Hs"</formula>
    </cfRule>
  </conditionalFormatting>
  <conditionalFormatting sqref="B128">
    <cfRule type="cellIs" dxfId="19251" priority="3026" stopIfTrue="1" operator="equal">
      <formula>"Napkin Hs"</formula>
    </cfRule>
  </conditionalFormatting>
  <conditionalFormatting sqref="B128">
    <cfRule type="cellIs" dxfId="19250" priority="3025" stopIfTrue="1" operator="equal">
      <formula>"Napkin Hs"</formula>
    </cfRule>
  </conditionalFormatting>
  <conditionalFormatting sqref="C134">
    <cfRule type="cellIs" dxfId="19249" priority="3017" stopIfTrue="1" operator="equal">
      <formula>"Towel"</formula>
    </cfRule>
    <cfRule type="cellIs" dxfId="19248" priority="3018" stopIfTrue="1" operator="equal">
      <formula>"Napkin Hs"</formula>
    </cfRule>
  </conditionalFormatting>
  <conditionalFormatting sqref="B134:C134">
    <cfRule type="cellIs" dxfId="19247" priority="3019" stopIfTrue="1" operator="equal">
      <formula>"Towel"</formula>
    </cfRule>
    <cfRule type="cellIs" dxfId="19246" priority="3020" stopIfTrue="1" operator="equal">
      <formula>"Napkin Hs"</formula>
    </cfRule>
  </conditionalFormatting>
  <conditionalFormatting sqref="C134">
    <cfRule type="cellIs" dxfId="19245" priority="3015" stopIfTrue="1" operator="equal">
      <formula>"Towel"</formula>
    </cfRule>
    <cfRule type="cellIs" dxfId="19244" priority="3016" stopIfTrue="1" operator="equal">
      <formula>"Napkin Hs"</formula>
    </cfRule>
  </conditionalFormatting>
  <conditionalFormatting sqref="B134:C134">
    <cfRule type="cellIs" dxfId="19243" priority="3013" stopIfTrue="1" operator="equal">
      <formula>"Towel"</formula>
    </cfRule>
    <cfRule type="cellIs" dxfId="19242" priority="3014" stopIfTrue="1" operator="equal">
      <formula>"Napkin Hs"</formula>
    </cfRule>
  </conditionalFormatting>
  <conditionalFormatting sqref="C134">
    <cfRule type="cellIs" dxfId="19241" priority="3021" stopIfTrue="1" operator="equal">
      <formula>"Towel"</formula>
    </cfRule>
    <cfRule type="cellIs" dxfId="19240" priority="3022" stopIfTrue="1" operator="equal">
      <formula>"Napkin Hs"</formula>
    </cfRule>
  </conditionalFormatting>
  <conditionalFormatting sqref="C134">
    <cfRule type="cellIs" dxfId="19239" priority="3023" stopIfTrue="1" operator="equal">
      <formula>"Towel"</formula>
    </cfRule>
    <cfRule type="cellIs" dxfId="19238" priority="3024" stopIfTrue="1" operator="equal">
      <formula>"Napkin Hs"</formula>
    </cfRule>
  </conditionalFormatting>
  <conditionalFormatting sqref="C134">
    <cfRule type="cellIs" dxfId="19237" priority="3009" stopIfTrue="1" operator="equal">
      <formula>"Towel"</formula>
    </cfRule>
    <cfRule type="cellIs" dxfId="19236" priority="3010" stopIfTrue="1" operator="equal">
      <formula>"Napkin Hs"</formula>
    </cfRule>
  </conditionalFormatting>
  <conditionalFormatting sqref="C134">
    <cfRule type="cellIs" dxfId="19235" priority="3011" stopIfTrue="1" operator="equal">
      <formula>"Towel"</formula>
    </cfRule>
    <cfRule type="cellIs" dxfId="19234" priority="3012" stopIfTrue="1" operator="equal">
      <formula>"Napkin Hs"</formula>
    </cfRule>
  </conditionalFormatting>
  <conditionalFormatting sqref="C134">
    <cfRule type="cellIs" dxfId="19233" priority="3007" stopIfTrue="1" operator="equal">
      <formula>"Towel"</formula>
    </cfRule>
    <cfRule type="cellIs" dxfId="19232" priority="3008" stopIfTrue="1" operator="equal">
      <formula>"Napkin Hs"</formula>
    </cfRule>
  </conditionalFormatting>
  <conditionalFormatting sqref="B134">
    <cfRule type="cellIs" dxfId="19231" priority="3005" stopIfTrue="1" operator="equal">
      <formula>"Towel"</formula>
    </cfRule>
    <cfRule type="cellIs" dxfId="19230" priority="3006" stopIfTrue="1" operator="equal">
      <formula>"Napkin Hs"</formula>
    </cfRule>
  </conditionalFormatting>
  <conditionalFormatting sqref="C134">
    <cfRule type="cellIs" dxfId="19229" priority="2999" stopIfTrue="1" operator="equal">
      <formula>"Towel"</formula>
    </cfRule>
    <cfRule type="cellIs" dxfId="19228" priority="3000" stopIfTrue="1" operator="equal">
      <formula>"Napkin Hs"</formula>
    </cfRule>
  </conditionalFormatting>
  <conditionalFormatting sqref="C134">
    <cfRule type="cellIs" dxfId="19227" priority="3003" stopIfTrue="1" operator="equal">
      <formula>"Towel"</formula>
    </cfRule>
    <cfRule type="cellIs" dxfId="19226" priority="3004" stopIfTrue="1" operator="equal">
      <formula>"Napkin Hs"</formula>
    </cfRule>
  </conditionalFormatting>
  <conditionalFormatting sqref="C134">
    <cfRule type="cellIs" dxfId="19225" priority="3001" stopIfTrue="1" operator="equal">
      <formula>"Towel"</formula>
    </cfRule>
    <cfRule type="cellIs" dxfId="19224" priority="3002" stopIfTrue="1" operator="equal">
      <formula>"Napkin Hs"</formula>
    </cfRule>
  </conditionalFormatting>
  <conditionalFormatting sqref="C134">
    <cfRule type="cellIs" dxfId="19223" priority="2993" stopIfTrue="1" operator="equal">
      <formula>"Towel"</formula>
    </cfRule>
    <cfRule type="cellIs" dxfId="19222" priority="2994" stopIfTrue="1" operator="equal">
      <formula>"Napkin Hs"</formula>
    </cfRule>
  </conditionalFormatting>
  <conditionalFormatting sqref="C134">
    <cfRule type="cellIs" dxfId="19221" priority="2995" stopIfTrue="1" operator="equal">
      <formula>"Towel"</formula>
    </cfRule>
    <cfRule type="cellIs" dxfId="19220" priority="2996" stopIfTrue="1" operator="equal">
      <formula>"Napkin Hs"</formula>
    </cfRule>
  </conditionalFormatting>
  <conditionalFormatting sqref="C134">
    <cfRule type="cellIs" dxfId="19219" priority="2997" stopIfTrue="1" operator="equal">
      <formula>"Towel"</formula>
    </cfRule>
    <cfRule type="cellIs" dxfId="19218" priority="2998" stopIfTrue="1" operator="equal">
      <formula>"Napkin Hs"</formula>
    </cfRule>
  </conditionalFormatting>
  <conditionalFormatting sqref="B134:C134">
    <cfRule type="cellIs" dxfId="19217" priority="2991" stopIfTrue="1" operator="equal">
      <formula>"Towel"</formula>
    </cfRule>
    <cfRule type="cellIs" dxfId="19216" priority="2992" stopIfTrue="1" operator="equal">
      <formula>"Napkin Hs"</formula>
    </cfRule>
  </conditionalFormatting>
  <conditionalFormatting sqref="B134:C134">
    <cfRule type="cellIs" dxfId="19215" priority="2989" stopIfTrue="1" operator="equal">
      <formula>"Towel"</formula>
    </cfRule>
    <cfRule type="cellIs" dxfId="19214" priority="2990" stopIfTrue="1" operator="equal">
      <formula>"Napkin Hs"</formula>
    </cfRule>
  </conditionalFormatting>
  <conditionalFormatting sqref="B134:C134">
    <cfRule type="cellIs" dxfId="19213" priority="2965" stopIfTrue="1" operator="equal">
      <formula>"Towel"</formula>
    </cfRule>
  </conditionalFormatting>
  <conditionalFormatting sqref="B134:C134">
    <cfRule type="cellIs" dxfId="19212" priority="2966" stopIfTrue="1" operator="equal">
      <formula>"Napkin Hs"</formula>
    </cfRule>
    <cfRule type="cellIs" dxfId="19211" priority="2971" stopIfTrue="1" operator="equal">
      <formula>"Towel"</formula>
    </cfRule>
    <cfRule type="cellIs" dxfId="19210" priority="2972" stopIfTrue="1" operator="equal">
      <formula>"Napkin Hs"</formula>
    </cfRule>
    <cfRule type="cellIs" dxfId="19209" priority="2981" stopIfTrue="1" operator="equal">
      <formula>"Towel"</formula>
    </cfRule>
    <cfRule type="cellIs" dxfId="19208" priority="2982" stopIfTrue="1" operator="equal">
      <formula>"Napkin Hs"</formula>
    </cfRule>
    <cfRule type="cellIs" dxfId="19207" priority="2987" stopIfTrue="1" operator="equal">
      <formula>"Towel"</formula>
    </cfRule>
    <cfRule type="cellIs" dxfId="19206" priority="2988" stopIfTrue="1" operator="equal">
      <formula>"Napkin Hs"</formula>
    </cfRule>
  </conditionalFormatting>
  <conditionalFormatting sqref="C134">
    <cfRule type="cellIs" dxfId="19205" priority="2967" stopIfTrue="1" operator="equal">
      <formula>"Towel"</formula>
    </cfRule>
    <cfRule type="cellIs" dxfId="19204" priority="2968" stopIfTrue="1" operator="equal">
      <formula>"Napkin Hs"</formula>
    </cfRule>
    <cfRule type="cellIs" dxfId="19203" priority="2969" stopIfTrue="1" operator="equal">
      <formula>"Towel"</formula>
    </cfRule>
    <cfRule type="cellIs" dxfId="19202" priority="2970" stopIfTrue="1" operator="equal">
      <formula>"Napkin Hs"</formula>
    </cfRule>
    <cfRule type="cellIs" dxfId="19201" priority="2973" stopIfTrue="1" operator="equal">
      <formula>"Towel"</formula>
    </cfRule>
    <cfRule type="cellIs" dxfId="19200" priority="2974" stopIfTrue="1" operator="equal">
      <formula>"Napkin Hs"</formula>
    </cfRule>
    <cfRule type="cellIs" dxfId="19199" priority="2975" stopIfTrue="1" operator="equal">
      <formula>"Towel"</formula>
    </cfRule>
    <cfRule type="cellIs" dxfId="19198" priority="2976" stopIfTrue="1" operator="equal">
      <formula>"Napkin Hs"</formula>
    </cfRule>
    <cfRule type="cellIs" dxfId="19197" priority="2977" stopIfTrue="1" operator="equal">
      <formula>"Towel"</formula>
    </cfRule>
    <cfRule type="cellIs" dxfId="19196" priority="2978" stopIfTrue="1" operator="equal">
      <formula>"Napkin Hs"</formula>
    </cfRule>
    <cfRule type="cellIs" dxfId="19195" priority="2979" stopIfTrue="1" operator="equal">
      <formula>"Towel"</formula>
    </cfRule>
    <cfRule type="cellIs" dxfId="19194" priority="2980" stopIfTrue="1" operator="equal">
      <formula>"Napkin Hs"</formula>
    </cfRule>
    <cfRule type="cellIs" dxfId="19193" priority="2983" stopIfTrue="1" operator="equal">
      <formula>"Towel"</formula>
    </cfRule>
    <cfRule type="cellIs" dxfId="19192" priority="2984" stopIfTrue="1" operator="equal">
      <formula>"Napkin Hs"</formula>
    </cfRule>
    <cfRule type="cellIs" dxfId="19191" priority="2986" stopIfTrue="1" operator="equal">
      <formula>"Napkin Hs"</formula>
    </cfRule>
  </conditionalFormatting>
  <conditionalFormatting sqref="C134">
    <cfRule type="cellIs" dxfId="19190" priority="2985" stopIfTrue="1" operator="equal">
      <formula>"Towel"</formula>
    </cfRule>
  </conditionalFormatting>
  <conditionalFormatting sqref="B134:C134">
    <cfRule type="cellIs" dxfId="19189" priority="2963" stopIfTrue="1" operator="equal">
      <formula>"Towel"</formula>
    </cfRule>
    <cfRule type="cellIs" dxfId="19188" priority="2964" stopIfTrue="1" operator="equal">
      <formula>"Napkin Hs"</formula>
    </cfRule>
  </conditionalFormatting>
  <conditionalFormatting sqref="C134">
    <cfRule type="cellIs" dxfId="19187" priority="2962" stopIfTrue="1" operator="equal">
      <formula>"Napkin Hs"</formula>
    </cfRule>
  </conditionalFormatting>
  <conditionalFormatting sqref="C134">
    <cfRule type="cellIs" dxfId="19186" priority="2961" stopIfTrue="1" operator="equal">
      <formula>"Towel"</formula>
    </cfRule>
  </conditionalFormatting>
  <conditionalFormatting sqref="C134">
    <cfRule type="cellIs" dxfId="19185" priority="2959" stopIfTrue="1" operator="equal">
      <formula>"Towel"</formula>
    </cfRule>
  </conditionalFormatting>
  <conditionalFormatting sqref="C134">
    <cfRule type="cellIs" dxfId="19184" priority="2960" stopIfTrue="1" operator="equal">
      <formula>"Napkin Hs"</formula>
    </cfRule>
  </conditionalFormatting>
  <conditionalFormatting sqref="B134">
    <cfRule type="cellIs" dxfId="19183" priority="2863" stopIfTrue="1" operator="equal">
      <formula>"Napkin Hs"</formula>
    </cfRule>
  </conditionalFormatting>
  <conditionalFormatting sqref="B134:C134">
    <cfRule type="cellIs" dxfId="19182" priority="2862" stopIfTrue="1" operator="equal">
      <formula>"Towel"</formula>
    </cfRule>
  </conditionalFormatting>
  <conditionalFormatting sqref="B134:C134">
    <cfRule type="cellIs" dxfId="19181" priority="2873" stopIfTrue="1" operator="equal">
      <formula>"Towel"</formula>
    </cfRule>
    <cfRule type="cellIs" dxfId="19180" priority="2874" stopIfTrue="1" operator="equal">
      <formula>"Napkin Hs"</formula>
    </cfRule>
    <cfRule type="cellIs" dxfId="19179" priority="2879" stopIfTrue="1" operator="equal">
      <formula>"Towel"</formula>
    </cfRule>
    <cfRule type="cellIs" dxfId="19178" priority="2880" stopIfTrue="1" operator="equal">
      <formula>"Napkin Hs"</formula>
    </cfRule>
    <cfRule type="cellIs" dxfId="19177" priority="2885" stopIfTrue="1" operator="equal">
      <formula>"Towel"</formula>
    </cfRule>
    <cfRule type="cellIs" dxfId="19176" priority="2886" stopIfTrue="1" operator="equal">
      <formula>"Napkin Hs"</formula>
    </cfRule>
    <cfRule type="cellIs" dxfId="19175" priority="2887" stopIfTrue="1" operator="equal">
      <formula>"Towel"</formula>
    </cfRule>
    <cfRule type="cellIs" dxfId="19174" priority="2888" stopIfTrue="1" operator="equal">
      <formula>"Napkin Hs"</formula>
    </cfRule>
    <cfRule type="cellIs" dxfId="19173" priority="2893" stopIfTrue="1" operator="equal">
      <formula>"Towel"</formula>
    </cfRule>
    <cfRule type="cellIs" dxfId="19172" priority="2894" stopIfTrue="1" operator="equal">
      <formula>"Napkin Hs"</formula>
    </cfRule>
    <cfRule type="cellIs" dxfId="19171" priority="2903" stopIfTrue="1" operator="equal">
      <formula>"Towel"</formula>
    </cfRule>
    <cfRule type="cellIs" dxfId="19170" priority="2904" stopIfTrue="1" operator="equal">
      <formula>"Napkin Hs"</formula>
    </cfRule>
    <cfRule type="cellIs" dxfId="19169" priority="2909" stopIfTrue="1" operator="equal">
      <formula>"Towel"</formula>
    </cfRule>
    <cfRule type="cellIs" dxfId="19168" priority="2910" stopIfTrue="1" operator="equal">
      <formula>"Napkin Hs"</formula>
    </cfRule>
    <cfRule type="cellIs" dxfId="19167" priority="2911" stopIfTrue="1" operator="equal">
      <formula>"Towel"</formula>
    </cfRule>
    <cfRule type="cellIs" dxfId="19166" priority="2912" stopIfTrue="1" operator="equal">
      <formula>"Napkin Hs"</formula>
    </cfRule>
    <cfRule type="cellIs" dxfId="19165" priority="2917" stopIfTrue="1" operator="equal">
      <formula>"Towel"</formula>
    </cfRule>
    <cfRule type="cellIs" dxfId="19164" priority="2918" stopIfTrue="1" operator="equal">
      <formula>"Napkin Hs"</formula>
    </cfRule>
    <cfRule type="cellIs" dxfId="19163" priority="2927" stopIfTrue="1" operator="equal">
      <formula>"Towel"</formula>
    </cfRule>
    <cfRule type="cellIs" dxfId="19162" priority="2928" stopIfTrue="1" operator="equal">
      <formula>"Napkin Hs"</formula>
    </cfRule>
    <cfRule type="cellIs" dxfId="19161" priority="2929" stopIfTrue="1" operator="equal">
      <formula>"Towel"</formula>
    </cfRule>
    <cfRule type="cellIs" dxfId="19160" priority="2930" stopIfTrue="1" operator="equal">
      <formula>"Napkin Hs"</formula>
    </cfRule>
    <cfRule type="cellIs" dxfId="19159" priority="2935" stopIfTrue="1" operator="equal">
      <formula>"Towel"</formula>
    </cfRule>
    <cfRule type="cellIs" dxfId="19158" priority="2936" stopIfTrue="1" operator="equal">
      <formula>"Napkin Hs"</formula>
    </cfRule>
    <cfRule type="cellIs" dxfId="19157" priority="2945" stopIfTrue="1" operator="equal">
      <formula>"Towel"</formula>
    </cfRule>
    <cfRule type="cellIs" dxfId="19156" priority="2946" stopIfTrue="1" operator="equal">
      <formula>"Napkin Hs"</formula>
    </cfRule>
    <cfRule type="cellIs" dxfId="19155" priority="2947" stopIfTrue="1" operator="equal">
      <formula>"Towel"</formula>
    </cfRule>
    <cfRule type="cellIs" dxfId="19154" priority="2948" stopIfTrue="1" operator="equal">
      <formula>"Napkin Hs"</formula>
    </cfRule>
    <cfRule type="cellIs" dxfId="19153" priority="2954" stopIfTrue="1" operator="equal">
      <formula>"Napkin Hs"</formula>
    </cfRule>
  </conditionalFormatting>
  <conditionalFormatting sqref="B134:C134">
    <cfRule type="cellIs" dxfId="19152" priority="2953" stopIfTrue="1" operator="equal">
      <formula>"Towel"</formula>
    </cfRule>
  </conditionalFormatting>
  <conditionalFormatting sqref="C134">
    <cfRule type="cellIs" dxfId="19151" priority="2864" stopIfTrue="1" operator="equal">
      <formula>"Napkin Hs"</formula>
    </cfRule>
    <cfRule type="cellIs" dxfId="19150" priority="2865" stopIfTrue="1" operator="equal">
      <formula>"Towel"</formula>
    </cfRule>
    <cfRule type="cellIs" dxfId="19149" priority="2866" stopIfTrue="1" operator="equal">
      <formula>"Napkin Hs"</formula>
    </cfRule>
    <cfRule type="cellIs" dxfId="19148" priority="2867" stopIfTrue="1" operator="equal">
      <formula>"Towel"</formula>
    </cfRule>
    <cfRule type="cellIs" dxfId="19147" priority="2868" stopIfTrue="1" operator="equal">
      <formula>"Napkin Hs"</formula>
    </cfRule>
    <cfRule type="cellIs" dxfId="19146" priority="2869" stopIfTrue="1" operator="equal">
      <formula>"Towel"</formula>
    </cfRule>
    <cfRule type="cellIs" dxfId="19145" priority="2870" stopIfTrue="1" operator="equal">
      <formula>"Napkin Hs"</formula>
    </cfRule>
    <cfRule type="cellIs" dxfId="19144" priority="2871" stopIfTrue="1" operator="equal">
      <formula>"Towel"</formula>
    </cfRule>
    <cfRule type="cellIs" dxfId="19143" priority="2872" stopIfTrue="1" operator="equal">
      <formula>"Napkin Hs"</formula>
    </cfRule>
    <cfRule type="cellIs" dxfId="19142" priority="2875" stopIfTrue="1" operator="equal">
      <formula>"Towel"</formula>
    </cfRule>
    <cfRule type="cellIs" dxfId="19141" priority="2876" stopIfTrue="1" operator="equal">
      <formula>"Napkin Hs"</formula>
    </cfRule>
    <cfRule type="cellIs" dxfId="19140" priority="2877" stopIfTrue="1" operator="equal">
      <formula>"Towel"</formula>
    </cfRule>
    <cfRule type="cellIs" dxfId="19139" priority="2878" stopIfTrue="1" operator="equal">
      <formula>"Napkin Hs"</formula>
    </cfRule>
    <cfRule type="cellIs" dxfId="19138" priority="2881" stopIfTrue="1" operator="equal">
      <formula>"Towel"</formula>
    </cfRule>
    <cfRule type="cellIs" dxfId="19137" priority="2882" stopIfTrue="1" operator="equal">
      <formula>"Napkin Hs"</formula>
    </cfRule>
    <cfRule type="cellIs" dxfId="19136" priority="2883" stopIfTrue="1" operator="equal">
      <formula>"Towel"</formula>
    </cfRule>
    <cfRule type="cellIs" dxfId="19135" priority="2884" stopIfTrue="1" operator="equal">
      <formula>"Napkin Hs"</formula>
    </cfRule>
    <cfRule type="cellIs" dxfId="19134" priority="2889" stopIfTrue="1" operator="equal">
      <formula>"Towel"</formula>
    </cfRule>
    <cfRule type="cellIs" dxfId="19133" priority="2890" stopIfTrue="1" operator="equal">
      <formula>"Napkin Hs"</formula>
    </cfRule>
    <cfRule type="cellIs" dxfId="19132" priority="2891" stopIfTrue="1" operator="equal">
      <formula>"Towel"</formula>
    </cfRule>
    <cfRule type="cellIs" dxfId="19131" priority="2892" stopIfTrue="1" operator="equal">
      <formula>"Napkin Hs"</formula>
    </cfRule>
    <cfRule type="cellIs" dxfId="19130" priority="2895" stopIfTrue="1" operator="equal">
      <formula>"Towel"</formula>
    </cfRule>
    <cfRule type="cellIs" dxfId="19129" priority="2896" stopIfTrue="1" operator="equal">
      <formula>"Napkin Hs"</formula>
    </cfRule>
    <cfRule type="cellIs" dxfId="19128" priority="2897" stopIfTrue="1" operator="equal">
      <formula>"Towel"</formula>
    </cfRule>
    <cfRule type="cellIs" dxfId="19127" priority="2898" stopIfTrue="1" operator="equal">
      <formula>"Napkin Hs"</formula>
    </cfRule>
    <cfRule type="cellIs" dxfId="19126" priority="2899" stopIfTrue="1" operator="equal">
      <formula>"Towel"</formula>
    </cfRule>
    <cfRule type="cellIs" dxfId="19125" priority="2900" stopIfTrue="1" operator="equal">
      <formula>"Napkin Hs"</formula>
    </cfRule>
    <cfRule type="cellIs" dxfId="19124" priority="2901" stopIfTrue="1" operator="equal">
      <formula>"Towel"</formula>
    </cfRule>
    <cfRule type="cellIs" dxfId="19123" priority="2902" stopIfTrue="1" operator="equal">
      <formula>"Napkin Hs"</formula>
    </cfRule>
    <cfRule type="cellIs" dxfId="19122" priority="2905" stopIfTrue="1" operator="equal">
      <formula>"Towel"</formula>
    </cfRule>
    <cfRule type="cellIs" dxfId="19121" priority="2906" stopIfTrue="1" operator="equal">
      <formula>"Napkin Hs"</formula>
    </cfRule>
    <cfRule type="cellIs" dxfId="19120" priority="2907" stopIfTrue="1" operator="equal">
      <formula>"Towel"</formula>
    </cfRule>
    <cfRule type="cellIs" dxfId="19119" priority="2908" stopIfTrue="1" operator="equal">
      <formula>"Napkin Hs"</formula>
    </cfRule>
    <cfRule type="cellIs" dxfId="19118" priority="2913" stopIfTrue="1" operator="equal">
      <formula>"Towel"</formula>
    </cfRule>
    <cfRule type="cellIs" dxfId="19117" priority="2914" stopIfTrue="1" operator="equal">
      <formula>"Napkin Hs"</formula>
    </cfRule>
    <cfRule type="cellIs" dxfId="19116" priority="2915" stopIfTrue="1" operator="equal">
      <formula>"Towel"</formula>
    </cfRule>
    <cfRule type="cellIs" dxfId="19115" priority="2916" stopIfTrue="1" operator="equal">
      <formula>"Napkin Hs"</formula>
    </cfRule>
    <cfRule type="cellIs" dxfId="19114" priority="2919" stopIfTrue="1" operator="equal">
      <formula>"Towel"</formula>
    </cfRule>
    <cfRule type="cellIs" dxfId="19113" priority="2920" stopIfTrue="1" operator="equal">
      <formula>"Napkin Hs"</formula>
    </cfRule>
    <cfRule type="cellIs" dxfId="19112" priority="2921" stopIfTrue="1" operator="equal">
      <formula>"Towel"</formula>
    </cfRule>
    <cfRule type="cellIs" dxfId="19111" priority="2922" stopIfTrue="1" operator="equal">
      <formula>"Napkin Hs"</formula>
    </cfRule>
    <cfRule type="cellIs" dxfId="19110" priority="2923" stopIfTrue="1" operator="equal">
      <formula>"Towel"</formula>
    </cfRule>
    <cfRule type="cellIs" dxfId="19109" priority="2924" stopIfTrue="1" operator="equal">
      <formula>"Napkin Hs"</formula>
    </cfRule>
    <cfRule type="cellIs" dxfId="19108" priority="2925" stopIfTrue="1" operator="equal">
      <formula>"Towel"</formula>
    </cfRule>
    <cfRule type="cellIs" dxfId="19107" priority="2926" stopIfTrue="1" operator="equal">
      <formula>"Napkin Hs"</formula>
    </cfRule>
    <cfRule type="cellIs" dxfId="19106" priority="2931" stopIfTrue="1" operator="equal">
      <formula>"Towel"</formula>
    </cfRule>
    <cfRule type="cellIs" dxfId="19105" priority="2932" stopIfTrue="1" operator="equal">
      <formula>"Napkin Hs"</formula>
    </cfRule>
    <cfRule type="cellIs" dxfId="19104" priority="2933" stopIfTrue="1" operator="equal">
      <formula>"Towel"</formula>
    </cfRule>
    <cfRule type="cellIs" dxfId="19103" priority="2934" stopIfTrue="1" operator="equal">
      <formula>"Napkin Hs"</formula>
    </cfRule>
    <cfRule type="cellIs" dxfId="19102" priority="2937" stopIfTrue="1" operator="equal">
      <formula>"Towel"</formula>
    </cfRule>
    <cfRule type="cellIs" dxfId="19101" priority="2938" stopIfTrue="1" operator="equal">
      <formula>"Napkin Hs"</formula>
    </cfRule>
    <cfRule type="cellIs" dxfId="19100" priority="2939" stopIfTrue="1" operator="equal">
      <formula>"Towel"</formula>
    </cfRule>
    <cfRule type="cellIs" dxfId="19099" priority="2940" stopIfTrue="1" operator="equal">
      <formula>"Napkin Hs"</formula>
    </cfRule>
    <cfRule type="cellIs" dxfId="19098" priority="2941" stopIfTrue="1" operator="equal">
      <formula>"Towel"</formula>
    </cfRule>
    <cfRule type="cellIs" dxfId="19097" priority="2942" stopIfTrue="1" operator="equal">
      <formula>"Napkin Hs"</formula>
    </cfRule>
    <cfRule type="cellIs" dxfId="19096" priority="2943" stopIfTrue="1" operator="equal">
      <formula>"Towel"</formula>
    </cfRule>
    <cfRule type="cellIs" dxfId="19095" priority="2944" stopIfTrue="1" operator="equal">
      <formula>"Napkin Hs"</formula>
    </cfRule>
    <cfRule type="cellIs" dxfId="19094" priority="2949" stopIfTrue="1" operator="equal">
      <formula>"Towel"</formula>
    </cfRule>
    <cfRule type="cellIs" dxfId="19093" priority="2950" stopIfTrue="1" operator="equal">
      <formula>"Napkin Hs"</formula>
    </cfRule>
    <cfRule type="cellIs" dxfId="19092" priority="2951" stopIfTrue="1" operator="equal">
      <formula>"Towel"</formula>
    </cfRule>
    <cfRule type="cellIs" dxfId="19091" priority="2952" stopIfTrue="1" operator="equal">
      <formula>"Napkin Hs"</formula>
    </cfRule>
    <cfRule type="cellIs" dxfId="19090" priority="2955" stopIfTrue="1" operator="equal">
      <formula>"Towel"</formula>
    </cfRule>
    <cfRule type="cellIs" dxfId="19089" priority="2956" stopIfTrue="1" operator="equal">
      <formula>"Napkin Hs"</formula>
    </cfRule>
    <cfRule type="cellIs" dxfId="19088" priority="2957" stopIfTrue="1" operator="equal">
      <formula>"Towel"</formula>
    </cfRule>
    <cfRule type="cellIs" dxfId="19087" priority="2958" stopIfTrue="1" operator="equal">
      <formula>"Napkin Hs"</formula>
    </cfRule>
  </conditionalFormatting>
  <conditionalFormatting sqref="C134">
    <cfRule type="cellIs" dxfId="19086" priority="2861" stopIfTrue="1" operator="equal">
      <formula>"Napkin Hs"</formula>
    </cfRule>
  </conditionalFormatting>
  <conditionalFormatting sqref="C134">
    <cfRule type="cellIs" dxfId="19085" priority="2860" stopIfTrue="1" operator="equal">
      <formula>"Napkin Hs"</formula>
    </cfRule>
  </conditionalFormatting>
  <conditionalFormatting sqref="B134">
    <cfRule type="cellIs" dxfId="19084" priority="2859" stopIfTrue="1" operator="equal">
      <formula>"Napkin Hs"</formula>
    </cfRule>
  </conditionalFormatting>
  <conditionalFormatting sqref="C134">
    <cfRule type="cellIs" dxfId="19083" priority="2858" stopIfTrue="1" operator="equal">
      <formula>"Napkin Hs"</formula>
    </cfRule>
  </conditionalFormatting>
  <conditionalFormatting sqref="C134">
    <cfRule type="cellIs" dxfId="19082" priority="2857" stopIfTrue="1" operator="equal">
      <formula>"Napkin Hs"</formula>
    </cfRule>
  </conditionalFormatting>
  <conditionalFormatting sqref="C134">
    <cfRule type="cellIs" dxfId="19081" priority="2856" stopIfTrue="1" operator="equal">
      <formula>"Napkin Hs"</formula>
    </cfRule>
  </conditionalFormatting>
  <conditionalFormatting sqref="C134">
    <cfRule type="cellIs" dxfId="19080" priority="2855" stopIfTrue="1" operator="equal">
      <formula>"Napkin Hs"</formula>
    </cfRule>
  </conditionalFormatting>
  <conditionalFormatting sqref="B134">
    <cfRule type="cellIs" dxfId="19079" priority="2854" stopIfTrue="1" operator="equal">
      <formula>"Napkin Hs"</formula>
    </cfRule>
  </conditionalFormatting>
  <conditionalFormatting sqref="B134">
    <cfRule type="cellIs" dxfId="19078" priority="2853" stopIfTrue="1" operator="equal">
      <formula>"Napkin Hs"</formula>
    </cfRule>
  </conditionalFormatting>
  <conditionalFormatting sqref="C134">
    <cfRule type="cellIs" dxfId="19077" priority="2849" stopIfTrue="1" operator="equal">
      <formula>"Towel"</formula>
    </cfRule>
    <cfRule type="cellIs" dxfId="19076" priority="2850" stopIfTrue="1" operator="equal">
      <formula>"Napkin Hs"</formula>
    </cfRule>
  </conditionalFormatting>
  <conditionalFormatting sqref="C134">
    <cfRule type="cellIs" dxfId="19075" priority="2851" stopIfTrue="1" operator="equal">
      <formula>"Towel"</formula>
    </cfRule>
    <cfRule type="cellIs" dxfId="19074" priority="2852" stopIfTrue="1" operator="equal">
      <formula>"Napkin Hs"</formula>
    </cfRule>
  </conditionalFormatting>
  <conditionalFormatting sqref="C134">
    <cfRule type="cellIs" dxfId="19073" priority="2845" stopIfTrue="1" operator="equal">
      <formula>"Towel"</formula>
    </cfRule>
    <cfRule type="cellIs" dxfId="19072" priority="2846" stopIfTrue="1" operator="equal">
      <formula>"Napkin Hs"</formula>
    </cfRule>
  </conditionalFormatting>
  <conditionalFormatting sqref="C134">
    <cfRule type="cellIs" dxfId="19071" priority="2847" stopIfTrue="1" operator="equal">
      <formula>"Towel"</formula>
    </cfRule>
    <cfRule type="cellIs" dxfId="19070" priority="2848" stopIfTrue="1" operator="equal">
      <formula>"Napkin Hs"</formula>
    </cfRule>
  </conditionalFormatting>
  <conditionalFormatting sqref="C133">
    <cfRule type="cellIs" dxfId="19069" priority="2672" stopIfTrue="1" operator="equal">
      <formula>"Towel"</formula>
    </cfRule>
    <cfRule type="cellIs" dxfId="19068" priority="2673" stopIfTrue="1" operator="equal">
      <formula>"Napkin Hs"</formula>
    </cfRule>
  </conditionalFormatting>
  <conditionalFormatting sqref="C133">
    <cfRule type="cellIs" dxfId="19067" priority="2668" stopIfTrue="1" operator="equal">
      <formula>"Towel"</formula>
    </cfRule>
    <cfRule type="cellIs" dxfId="19066" priority="2669" stopIfTrue="1" operator="equal">
      <formula>"Napkin Hs"</formula>
    </cfRule>
  </conditionalFormatting>
  <conditionalFormatting sqref="C133">
    <cfRule type="cellIs" dxfId="19065" priority="2670" stopIfTrue="1" operator="equal">
      <formula>"Towel"</formula>
    </cfRule>
    <cfRule type="cellIs" dxfId="19064" priority="2671" stopIfTrue="1" operator="equal">
      <formula>"Napkin Hs"</formula>
    </cfRule>
  </conditionalFormatting>
  <conditionalFormatting sqref="C133">
    <cfRule type="cellIs" dxfId="19063" priority="2664" stopIfTrue="1" operator="equal">
      <formula>"Towel"</formula>
    </cfRule>
    <cfRule type="cellIs" dxfId="19062" priority="2665" stopIfTrue="1" operator="equal">
      <formula>"Napkin Hs"</formula>
    </cfRule>
  </conditionalFormatting>
  <conditionalFormatting sqref="C133">
    <cfRule type="cellIs" dxfId="19061" priority="2666" stopIfTrue="1" operator="equal">
      <formula>"Towel"</formula>
    </cfRule>
    <cfRule type="cellIs" dxfId="19060" priority="2667" stopIfTrue="1" operator="equal">
      <formula>"Napkin Hs"</formula>
    </cfRule>
  </conditionalFormatting>
  <conditionalFormatting sqref="C133">
    <cfRule type="cellIs" dxfId="19059" priority="2662" stopIfTrue="1" operator="equal">
      <formula>"Towel"</formula>
    </cfRule>
    <cfRule type="cellIs" dxfId="19058" priority="2663" stopIfTrue="1" operator="equal">
      <formula>"Napkin Hs"</formula>
    </cfRule>
  </conditionalFormatting>
  <conditionalFormatting sqref="C133">
    <cfRule type="cellIs" dxfId="19057" priority="2656" stopIfTrue="1" operator="equal">
      <formula>"Towel"</formula>
    </cfRule>
    <cfRule type="cellIs" dxfId="19056" priority="2657" stopIfTrue="1" operator="equal">
      <formula>"Napkin Hs"</formula>
    </cfRule>
  </conditionalFormatting>
  <conditionalFormatting sqref="C133">
    <cfRule type="cellIs" dxfId="19055" priority="2660" stopIfTrue="1" operator="equal">
      <formula>"Towel"</formula>
    </cfRule>
    <cfRule type="cellIs" dxfId="19054" priority="2661" stopIfTrue="1" operator="equal">
      <formula>"Napkin Hs"</formula>
    </cfRule>
  </conditionalFormatting>
  <conditionalFormatting sqref="C133">
    <cfRule type="cellIs" dxfId="19053" priority="2658" stopIfTrue="1" operator="equal">
      <formula>"Towel"</formula>
    </cfRule>
    <cfRule type="cellIs" dxfId="19052" priority="2659" stopIfTrue="1" operator="equal">
      <formula>"Napkin Hs"</formula>
    </cfRule>
  </conditionalFormatting>
  <conditionalFormatting sqref="C133">
    <cfRule type="cellIs" dxfId="19051" priority="2650" stopIfTrue="1" operator="equal">
      <formula>"Towel"</formula>
    </cfRule>
    <cfRule type="cellIs" dxfId="19050" priority="2651" stopIfTrue="1" operator="equal">
      <formula>"Napkin Hs"</formula>
    </cfRule>
  </conditionalFormatting>
  <conditionalFormatting sqref="C133">
    <cfRule type="cellIs" dxfId="19049" priority="2652" stopIfTrue="1" operator="equal">
      <formula>"Towel"</formula>
    </cfRule>
    <cfRule type="cellIs" dxfId="19048" priority="2653" stopIfTrue="1" operator="equal">
      <formula>"Napkin Hs"</formula>
    </cfRule>
  </conditionalFormatting>
  <conditionalFormatting sqref="C133">
    <cfRule type="cellIs" dxfId="19047" priority="2654" stopIfTrue="1" operator="equal">
      <formula>"Towel"</formula>
    </cfRule>
    <cfRule type="cellIs" dxfId="19046" priority="2655" stopIfTrue="1" operator="equal">
      <formula>"Napkin Hs"</formula>
    </cfRule>
  </conditionalFormatting>
  <conditionalFormatting sqref="C133">
    <cfRule type="cellIs" dxfId="19045" priority="2648" stopIfTrue="1" operator="equal">
      <formula>"Towel"</formula>
    </cfRule>
    <cfRule type="cellIs" dxfId="19044" priority="2649" stopIfTrue="1" operator="equal">
      <formula>"Napkin Hs"</formula>
    </cfRule>
  </conditionalFormatting>
  <conditionalFormatting sqref="C133">
    <cfRule type="cellIs" dxfId="19043" priority="2646" stopIfTrue="1" operator="equal">
      <formula>"Towel"</formula>
    </cfRule>
    <cfRule type="cellIs" dxfId="19042" priority="2647" stopIfTrue="1" operator="equal">
      <formula>"Napkin Hs"</formula>
    </cfRule>
  </conditionalFormatting>
  <conditionalFormatting sqref="C133">
    <cfRule type="cellIs" dxfId="19041" priority="2622" stopIfTrue="1" operator="equal">
      <formula>"Towel"</formula>
    </cfRule>
  </conditionalFormatting>
  <conditionalFormatting sqref="C133">
    <cfRule type="cellIs" dxfId="19040" priority="2623" stopIfTrue="1" operator="equal">
      <formula>"Napkin Hs"</formula>
    </cfRule>
    <cfRule type="cellIs" dxfId="19039" priority="2628" stopIfTrue="1" operator="equal">
      <formula>"Towel"</formula>
    </cfRule>
    <cfRule type="cellIs" dxfId="19038" priority="2629" stopIfTrue="1" operator="equal">
      <formula>"Napkin Hs"</formula>
    </cfRule>
    <cfRule type="cellIs" dxfId="19037" priority="2638" stopIfTrue="1" operator="equal">
      <formula>"Towel"</formula>
    </cfRule>
    <cfRule type="cellIs" dxfId="19036" priority="2639" stopIfTrue="1" operator="equal">
      <formula>"Napkin Hs"</formula>
    </cfRule>
    <cfRule type="cellIs" dxfId="19035" priority="2644" stopIfTrue="1" operator="equal">
      <formula>"Towel"</formula>
    </cfRule>
    <cfRule type="cellIs" dxfId="19034" priority="2645" stopIfTrue="1" operator="equal">
      <formula>"Napkin Hs"</formula>
    </cfRule>
  </conditionalFormatting>
  <conditionalFormatting sqref="C133">
    <cfRule type="cellIs" dxfId="19033" priority="2624" stopIfTrue="1" operator="equal">
      <formula>"Towel"</formula>
    </cfRule>
    <cfRule type="cellIs" dxfId="19032" priority="2625" stopIfTrue="1" operator="equal">
      <formula>"Napkin Hs"</formula>
    </cfRule>
    <cfRule type="cellIs" dxfId="19031" priority="2626" stopIfTrue="1" operator="equal">
      <formula>"Towel"</formula>
    </cfRule>
    <cfRule type="cellIs" dxfId="19030" priority="2627" stopIfTrue="1" operator="equal">
      <formula>"Napkin Hs"</formula>
    </cfRule>
    <cfRule type="cellIs" dxfId="19029" priority="2630" stopIfTrue="1" operator="equal">
      <formula>"Towel"</formula>
    </cfRule>
    <cfRule type="cellIs" dxfId="19028" priority="2631" stopIfTrue="1" operator="equal">
      <formula>"Napkin Hs"</formula>
    </cfRule>
    <cfRule type="cellIs" dxfId="19027" priority="2632" stopIfTrue="1" operator="equal">
      <formula>"Towel"</formula>
    </cfRule>
    <cfRule type="cellIs" dxfId="19026" priority="2633" stopIfTrue="1" operator="equal">
      <formula>"Napkin Hs"</formula>
    </cfRule>
    <cfRule type="cellIs" dxfId="19025" priority="2634" stopIfTrue="1" operator="equal">
      <formula>"Towel"</formula>
    </cfRule>
    <cfRule type="cellIs" dxfId="19024" priority="2635" stopIfTrue="1" operator="equal">
      <formula>"Napkin Hs"</formula>
    </cfRule>
    <cfRule type="cellIs" dxfId="19023" priority="2636" stopIfTrue="1" operator="equal">
      <formula>"Towel"</formula>
    </cfRule>
    <cfRule type="cellIs" dxfId="19022" priority="2637" stopIfTrue="1" operator="equal">
      <formula>"Napkin Hs"</formula>
    </cfRule>
    <cfRule type="cellIs" dxfId="19021" priority="2640" stopIfTrue="1" operator="equal">
      <formula>"Towel"</formula>
    </cfRule>
    <cfRule type="cellIs" dxfId="19020" priority="2641" stopIfTrue="1" operator="equal">
      <formula>"Napkin Hs"</formula>
    </cfRule>
    <cfRule type="cellIs" dxfId="19019" priority="2643" stopIfTrue="1" operator="equal">
      <formula>"Napkin Hs"</formula>
    </cfRule>
  </conditionalFormatting>
  <conditionalFormatting sqref="C133">
    <cfRule type="cellIs" dxfId="19018" priority="2642" stopIfTrue="1" operator="equal">
      <formula>"Towel"</formula>
    </cfRule>
  </conditionalFormatting>
  <conditionalFormatting sqref="C133">
    <cfRule type="cellIs" dxfId="19017" priority="2620" stopIfTrue="1" operator="equal">
      <formula>"Towel"</formula>
    </cfRule>
    <cfRule type="cellIs" dxfId="19016" priority="2621" stopIfTrue="1" operator="equal">
      <formula>"Napkin Hs"</formula>
    </cfRule>
  </conditionalFormatting>
  <conditionalFormatting sqref="C133">
    <cfRule type="cellIs" dxfId="19015" priority="2619" stopIfTrue="1" operator="equal">
      <formula>"Napkin Hs"</formula>
    </cfRule>
  </conditionalFormatting>
  <conditionalFormatting sqref="C133">
    <cfRule type="cellIs" dxfId="19014" priority="2618" stopIfTrue="1" operator="equal">
      <formula>"Towel"</formula>
    </cfRule>
  </conditionalFormatting>
  <conditionalFormatting sqref="C133">
    <cfRule type="cellIs" dxfId="19013" priority="2616" stopIfTrue="1" operator="equal">
      <formula>"Towel"</formula>
    </cfRule>
  </conditionalFormatting>
  <conditionalFormatting sqref="C133">
    <cfRule type="cellIs" dxfId="19012" priority="2617" stopIfTrue="1" operator="equal">
      <formula>"Napkin Hs"</formula>
    </cfRule>
  </conditionalFormatting>
  <conditionalFormatting sqref="C133">
    <cfRule type="cellIs" dxfId="19011" priority="2520" stopIfTrue="1" operator="equal">
      <formula>"Towel"</formula>
    </cfRule>
  </conditionalFormatting>
  <conditionalFormatting sqref="C133">
    <cfRule type="cellIs" dxfId="19010" priority="2530" stopIfTrue="1" operator="equal">
      <formula>"Towel"</formula>
    </cfRule>
    <cfRule type="cellIs" dxfId="19009" priority="2531" stopIfTrue="1" operator="equal">
      <formula>"Napkin Hs"</formula>
    </cfRule>
    <cfRule type="cellIs" dxfId="19008" priority="2536" stopIfTrue="1" operator="equal">
      <formula>"Towel"</formula>
    </cfRule>
    <cfRule type="cellIs" dxfId="19007" priority="2537" stopIfTrue="1" operator="equal">
      <formula>"Napkin Hs"</formula>
    </cfRule>
    <cfRule type="cellIs" dxfId="19006" priority="2542" stopIfTrue="1" operator="equal">
      <formula>"Towel"</formula>
    </cfRule>
    <cfRule type="cellIs" dxfId="19005" priority="2543" stopIfTrue="1" operator="equal">
      <formula>"Napkin Hs"</formula>
    </cfRule>
    <cfRule type="cellIs" dxfId="19004" priority="2544" stopIfTrue="1" operator="equal">
      <formula>"Towel"</formula>
    </cfRule>
    <cfRule type="cellIs" dxfId="19003" priority="2545" stopIfTrue="1" operator="equal">
      <formula>"Napkin Hs"</formula>
    </cfRule>
    <cfRule type="cellIs" dxfId="19002" priority="2550" stopIfTrue="1" operator="equal">
      <formula>"Towel"</formula>
    </cfRule>
    <cfRule type="cellIs" dxfId="19001" priority="2551" stopIfTrue="1" operator="equal">
      <formula>"Napkin Hs"</formula>
    </cfRule>
    <cfRule type="cellIs" dxfId="19000" priority="2560" stopIfTrue="1" operator="equal">
      <formula>"Towel"</formula>
    </cfRule>
    <cfRule type="cellIs" dxfId="18999" priority="2561" stopIfTrue="1" operator="equal">
      <formula>"Napkin Hs"</formula>
    </cfRule>
    <cfRule type="cellIs" dxfId="18998" priority="2566" stopIfTrue="1" operator="equal">
      <formula>"Towel"</formula>
    </cfRule>
    <cfRule type="cellIs" dxfId="18997" priority="2567" stopIfTrue="1" operator="equal">
      <formula>"Napkin Hs"</formula>
    </cfRule>
    <cfRule type="cellIs" dxfId="18996" priority="2568" stopIfTrue="1" operator="equal">
      <formula>"Towel"</formula>
    </cfRule>
    <cfRule type="cellIs" dxfId="18995" priority="2569" stopIfTrue="1" operator="equal">
      <formula>"Napkin Hs"</formula>
    </cfRule>
    <cfRule type="cellIs" dxfId="18994" priority="2574" stopIfTrue="1" operator="equal">
      <formula>"Towel"</formula>
    </cfRule>
    <cfRule type="cellIs" dxfId="18993" priority="2575" stopIfTrue="1" operator="equal">
      <formula>"Napkin Hs"</formula>
    </cfRule>
    <cfRule type="cellIs" dxfId="18992" priority="2584" stopIfTrue="1" operator="equal">
      <formula>"Towel"</formula>
    </cfRule>
    <cfRule type="cellIs" dxfId="18991" priority="2585" stopIfTrue="1" operator="equal">
      <formula>"Napkin Hs"</formula>
    </cfRule>
    <cfRule type="cellIs" dxfId="18990" priority="2586" stopIfTrue="1" operator="equal">
      <formula>"Towel"</formula>
    </cfRule>
    <cfRule type="cellIs" dxfId="18989" priority="2587" stopIfTrue="1" operator="equal">
      <formula>"Napkin Hs"</formula>
    </cfRule>
    <cfRule type="cellIs" dxfId="18988" priority="2592" stopIfTrue="1" operator="equal">
      <formula>"Towel"</formula>
    </cfRule>
    <cfRule type="cellIs" dxfId="18987" priority="2593" stopIfTrue="1" operator="equal">
      <formula>"Napkin Hs"</formula>
    </cfRule>
    <cfRule type="cellIs" dxfId="18986" priority="2602" stopIfTrue="1" operator="equal">
      <formula>"Towel"</formula>
    </cfRule>
    <cfRule type="cellIs" dxfId="18985" priority="2603" stopIfTrue="1" operator="equal">
      <formula>"Napkin Hs"</formula>
    </cfRule>
    <cfRule type="cellIs" dxfId="18984" priority="2604" stopIfTrue="1" operator="equal">
      <formula>"Towel"</formula>
    </cfRule>
    <cfRule type="cellIs" dxfId="18983" priority="2605" stopIfTrue="1" operator="equal">
      <formula>"Napkin Hs"</formula>
    </cfRule>
    <cfRule type="cellIs" dxfId="18982" priority="2611" stopIfTrue="1" operator="equal">
      <formula>"Napkin Hs"</formula>
    </cfRule>
  </conditionalFormatting>
  <conditionalFormatting sqref="C133">
    <cfRule type="cellIs" dxfId="18981" priority="2610" stopIfTrue="1" operator="equal">
      <formula>"Towel"</formula>
    </cfRule>
  </conditionalFormatting>
  <conditionalFormatting sqref="C133">
    <cfRule type="cellIs" dxfId="18980" priority="2521" stopIfTrue="1" operator="equal">
      <formula>"Napkin Hs"</formula>
    </cfRule>
    <cfRule type="cellIs" dxfId="18979" priority="2522" stopIfTrue="1" operator="equal">
      <formula>"Towel"</formula>
    </cfRule>
    <cfRule type="cellIs" dxfId="18978" priority="2523" stopIfTrue="1" operator="equal">
      <formula>"Napkin Hs"</formula>
    </cfRule>
    <cfRule type="cellIs" dxfId="18977" priority="2524" stopIfTrue="1" operator="equal">
      <formula>"Towel"</formula>
    </cfRule>
    <cfRule type="cellIs" dxfId="18976" priority="2525" stopIfTrue="1" operator="equal">
      <formula>"Napkin Hs"</formula>
    </cfRule>
    <cfRule type="cellIs" dxfId="18975" priority="2526" stopIfTrue="1" operator="equal">
      <formula>"Towel"</formula>
    </cfRule>
    <cfRule type="cellIs" dxfId="18974" priority="2527" stopIfTrue="1" operator="equal">
      <formula>"Napkin Hs"</formula>
    </cfRule>
    <cfRule type="cellIs" dxfId="18973" priority="2528" stopIfTrue="1" operator="equal">
      <formula>"Towel"</formula>
    </cfRule>
    <cfRule type="cellIs" dxfId="18972" priority="2529" stopIfTrue="1" operator="equal">
      <formula>"Napkin Hs"</formula>
    </cfRule>
    <cfRule type="cellIs" dxfId="18971" priority="2532" stopIfTrue="1" operator="equal">
      <formula>"Towel"</formula>
    </cfRule>
    <cfRule type="cellIs" dxfId="18970" priority="2533" stopIfTrue="1" operator="equal">
      <formula>"Napkin Hs"</formula>
    </cfRule>
    <cfRule type="cellIs" dxfId="18969" priority="2534" stopIfTrue="1" operator="equal">
      <formula>"Towel"</formula>
    </cfRule>
    <cfRule type="cellIs" dxfId="18968" priority="2535" stopIfTrue="1" operator="equal">
      <formula>"Napkin Hs"</formula>
    </cfRule>
    <cfRule type="cellIs" dxfId="18967" priority="2538" stopIfTrue="1" operator="equal">
      <formula>"Towel"</formula>
    </cfRule>
    <cfRule type="cellIs" dxfId="18966" priority="2539" stopIfTrue="1" operator="equal">
      <formula>"Napkin Hs"</formula>
    </cfRule>
    <cfRule type="cellIs" dxfId="18965" priority="2540" stopIfTrue="1" operator="equal">
      <formula>"Towel"</formula>
    </cfRule>
    <cfRule type="cellIs" dxfId="18964" priority="2541" stopIfTrue="1" operator="equal">
      <formula>"Napkin Hs"</formula>
    </cfRule>
    <cfRule type="cellIs" dxfId="18963" priority="2546" stopIfTrue="1" operator="equal">
      <formula>"Towel"</formula>
    </cfRule>
    <cfRule type="cellIs" dxfId="18962" priority="2547" stopIfTrue="1" operator="equal">
      <formula>"Napkin Hs"</formula>
    </cfRule>
    <cfRule type="cellIs" dxfId="18961" priority="2548" stopIfTrue="1" operator="equal">
      <formula>"Towel"</formula>
    </cfRule>
    <cfRule type="cellIs" dxfId="18960" priority="2549" stopIfTrue="1" operator="equal">
      <formula>"Napkin Hs"</formula>
    </cfRule>
    <cfRule type="cellIs" dxfId="18959" priority="2552" stopIfTrue="1" operator="equal">
      <formula>"Towel"</formula>
    </cfRule>
    <cfRule type="cellIs" dxfId="18958" priority="2553" stopIfTrue="1" operator="equal">
      <formula>"Napkin Hs"</formula>
    </cfRule>
    <cfRule type="cellIs" dxfId="18957" priority="2554" stopIfTrue="1" operator="equal">
      <formula>"Towel"</formula>
    </cfRule>
    <cfRule type="cellIs" dxfId="18956" priority="2555" stopIfTrue="1" operator="equal">
      <formula>"Napkin Hs"</formula>
    </cfRule>
    <cfRule type="cellIs" dxfId="18955" priority="2556" stopIfTrue="1" operator="equal">
      <formula>"Towel"</formula>
    </cfRule>
    <cfRule type="cellIs" dxfId="18954" priority="2557" stopIfTrue="1" operator="equal">
      <formula>"Napkin Hs"</formula>
    </cfRule>
    <cfRule type="cellIs" dxfId="18953" priority="2558" stopIfTrue="1" operator="equal">
      <formula>"Towel"</formula>
    </cfRule>
    <cfRule type="cellIs" dxfId="18952" priority="2559" stopIfTrue="1" operator="equal">
      <formula>"Napkin Hs"</formula>
    </cfRule>
    <cfRule type="cellIs" dxfId="18951" priority="2562" stopIfTrue="1" operator="equal">
      <formula>"Towel"</formula>
    </cfRule>
    <cfRule type="cellIs" dxfId="18950" priority="2563" stopIfTrue="1" operator="equal">
      <formula>"Napkin Hs"</formula>
    </cfRule>
    <cfRule type="cellIs" dxfId="18949" priority="2564" stopIfTrue="1" operator="equal">
      <formula>"Towel"</formula>
    </cfRule>
    <cfRule type="cellIs" dxfId="18948" priority="2565" stopIfTrue="1" operator="equal">
      <formula>"Napkin Hs"</formula>
    </cfRule>
    <cfRule type="cellIs" dxfId="18947" priority="2570" stopIfTrue="1" operator="equal">
      <formula>"Towel"</formula>
    </cfRule>
    <cfRule type="cellIs" dxfId="18946" priority="2571" stopIfTrue="1" operator="equal">
      <formula>"Napkin Hs"</formula>
    </cfRule>
    <cfRule type="cellIs" dxfId="18945" priority="2572" stopIfTrue="1" operator="equal">
      <formula>"Towel"</formula>
    </cfRule>
    <cfRule type="cellIs" dxfId="18944" priority="2573" stopIfTrue="1" operator="equal">
      <formula>"Napkin Hs"</formula>
    </cfRule>
    <cfRule type="cellIs" dxfId="18943" priority="2576" stopIfTrue="1" operator="equal">
      <formula>"Towel"</formula>
    </cfRule>
    <cfRule type="cellIs" dxfId="18942" priority="2577" stopIfTrue="1" operator="equal">
      <formula>"Napkin Hs"</formula>
    </cfRule>
    <cfRule type="cellIs" dxfId="18941" priority="2578" stopIfTrue="1" operator="equal">
      <formula>"Towel"</formula>
    </cfRule>
    <cfRule type="cellIs" dxfId="18940" priority="2579" stopIfTrue="1" operator="equal">
      <formula>"Napkin Hs"</formula>
    </cfRule>
    <cfRule type="cellIs" dxfId="18939" priority="2580" stopIfTrue="1" operator="equal">
      <formula>"Towel"</formula>
    </cfRule>
    <cfRule type="cellIs" dxfId="18938" priority="2581" stopIfTrue="1" operator="equal">
      <formula>"Napkin Hs"</formula>
    </cfRule>
    <cfRule type="cellIs" dxfId="18937" priority="2582" stopIfTrue="1" operator="equal">
      <formula>"Towel"</formula>
    </cfRule>
    <cfRule type="cellIs" dxfId="18936" priority="2583" stopIfTrue="1" operator="equal">
      <formula>"Napkin Hs"</formula>
    </cfRule>
    <cfRule type="cellIs" dxfId="18935" priority="2588" stopIfTrue="1" operator="equal">
      <formula>"Towel"</formula>
    </cfRule>
    <cfRule type="cellIs" dxfId="18934" priority="2589" stopIfTrue="1" operator="equal">
      <formula>"Napkin Hs"</formula>
    </cfRule>
    <cfRule type="cellIs" dxfId="18933" priority="2590" stopIfTrue="1" operator="equal">
      <formula>"Towel"</formula>
    </cfRule>
    <cfRule type="cellIs" dxfId="18932" priority="2591" stopIfTrue="1" operator="equal">
      <formula>"Napkin Hs"</formula>
    </cfRule>
    <cfRule type="cellIs" dxfId="18931" priority="2594" stopIfTrue="1" operator="equal">
      <formula>"Towel"</formula>
    </cfRule>
    <cfRule type="cellIs" dxfId="18930" priority="2595" stopIfTrue="1" operator="equal">
      <formula>"Napkin Hs"</formula>
    </cfRule>
    <cfRule type="cellIs" dxfId="18929" priority="2596" stopIfTrue="1" operator="equal">
      <formula>"Towel"</formula>
    </cfRule>
    <cfRule type="cellIs" dxfId="18928" priority="2597" stopIfTrue="1" operator="equal">
      <formula>"Napkin Hs"</formula>
    </cfRule>
    <cfRule type="cellIs" dxfId="18927" priority="2598" stopIfTrue="1" operator="equal">
      <formula>"Towel"</formula>
    </cfRule>
    <cfRule type="cellIs" dxfId="18926" priority="2599" stopIfTrue="1" operator="equal">
      <formula>"Napkin Hs"</formula>
    </cfRule>
    <cfRule type="cellIs" dxfId="18925" priority="2600" stopIfTrue="1" operator="equal">
      <formula>"Towel"</formula>
    </cfRule>
    <cfRule type="cellIs" dxfId="18924" priority="2601" stopIfTrue="1" operator="equal">
      <formula>"Napkin Hs"</formula>
    </cfRule>
    <cfRule type="cellIs" dxfId="18923" priority="2606" stopIfTrue="1" operator="equal">
      <formula>"Towel"</formula>
    </cfRule>
    <cfRule type="cellIs" dxfId="18922" priority="2607" stopIfTrue="1" operator="equal">
      <formula>"Napkin Hs"</formula>
    </cfRule>
    <cfRule type="cellIs" dxfId="18921" priority="2608" stopIfTrue="1" operator="equal">
      <formula>"Towel"</formula>
    </cfRule>
    <cfRule type="cellIs" dxfId="18920" priority="2609" stopIfTrue="1" operator="equal">
      <formula>"Napkin Hs"</formula>
    </cfRule>
    <cfRule type="cellIs" dxfId="18919" priority="2612" stopIfTrue="1" operator="equal">
      <formula>"Towel"</formula>
    </cfRule>
    <cfRule type="cellIs" dxfId="18918" priority="2613" stopIfTrue="1" operator="equal">
      <formula>"Napkin Hs"</formula>
    </cfRule>
    <cfRule type="cellIs" dxfId="18917" priority="2614" stopIfTrue="1" operator="equal">
      <formula>"Towel"</formula>
    </cfRule>
    <cfRule type="cellIs" dxfId="18916" priority="2615" stopIfTrue="1" operator="equal">
      <formula>"Napkin Hs"</formula>
    </cfRule>
  </conditionalFormatting>
  <conditionalFormatting sqref="C133">
    <cfRule type="cellIs" dxfId="18915" priority="2519" stopIfTrue="1" operator="equal">
      <formula>"Napkin Hs"</formula>
    </cfRule>
  </conditionalFormatting>
  <conditionalFormatting sqref="C133">
    <cfRule type="cellIs" dxfId="18914" priority="2518" stopIfTrue="1" operator="equal">
      <formula>"Napkin Hs"</formula>
    </cfRule>
  </conditionalFormatting>
  <conditionalFormatting sqref="C133">
    <cfRule type="cellIs" dxfId="18913" priority="2517" stopIfTrue="1" operator="equal">
      <formula>"Napkin Hs"</formula>
    </cfRule>
  </conditionalFormatting>
  <conditionalFormatting sqref="C133">
    <cfRule type="cellIs" dxfId="18912" priority="2516" stopIfTrue="1" operator="equal">
      <formula>"Napkin Hs"</formula>
    </cfRule>
  </conditionalFormatting>
  <conditionalFormatting sqref="C133">
    <cfRule type="cellIs" dxfId="18911" priority="2515" stopIfTrue="1" operator="equal">
      <formula>"Napkin Hs"</formula>
    </cfRule>
  </conditionalFormatting>
  <conditionalFormatting sqref="C133">
    <cfRule type="cellIs" dxfId="18910" priority="2514" stopIfTrue="1" operator="equal">
      <formula>"Napkin Hs"</formula>
    </cfRule>
  </conditionalFormatting>
  <conditionalFormatting sqref="C133">
    <cfRule type="cellIs" dxfId="18909" priority="2510" stopIfTrue="1" operator="equal">
      <formula>"Towel"</formula>
    </cfRule>
    <cfRule type="cellIs" dxfId="18908" priority="2511" stopIfTrue="1" operator="equal">
      <formula>"Napkin Hs"</formula>
    </cfRule>
  </conditionalFormatting>
  <conditionalFormatting sqref="C133">
    <cfRule type="cellIs" dxfId="18907" priority="2512" stopIfTrue="1" operator="equal">
      <formula>"Towel"</formula>
    </cfRule>
    <cfRule type="cellIs" dxfId="18906" priority="2513" stopIfTrue="1" operator="equal">
      <formula>"Napkin Hs"</formula>
    </cfRule>
  </conditionalFormatting>
  <conditionalFormatting sqref="C133">
    <cfRule type="cellIs" dxfId="18905" priority="2506" stopIfTrue="1" operator="equal">
      <formula>"Towel"</formula>
    </cfRule>
    <cfRule type="cellIs" dxfId="18904" priority="2507" stopIfTrue="1" operator="equal">
      <formula>"Napkin Hs"</formula>
    </cfRule>
  </conditionalFormatting>
  <conditionalFormatting sqref="C133">
    <cfRule type="cellIs" dxfId="18903" priority="2508" stopIfTrue="1" operator="equal">
      <formula>"Towel"</formula>
    </cfRule>
    <cfRule type="cellIs" dxfId="18902" priority="2509" stopIfTrue="1" operator="equal">
      <formula>"Napkin Hs"</formula>
    </cfRule>
  </conditionalFormatting>
  <conditionalFormatting sqref="B133">
    <cfRule type="cellIs" dxfId="18901" priority="2505" stopIfTrue="1" operator="equal">
      <formula>"Napkin Hs"</formula>
    </cfRule>
  </conditionalFormatting>
  <conditionalFormatting sqref="B133">
    <cfRule type="cellIs" dxfId="18900" priority="2504" stopIfTrue="1" operator="equal">
      <formula>"Napkin Hs"</formula>
    </cfRule>
  </conditionalFormatting>
  <conditionalFormatting sqref="B133">
    <cfRule type="cellIs" dxfId="18899" priority="2503" stopIfTrue="1" operator="equal">
      <formula>"Napkin Hs"</formula>
    </cfRule>
  </conditionalFormatting>
  <conditionalFormatting sqref="C132">
    <cfRule type="cellIs" dxfId="18898" priority="2501" stopIfTrue="1" operator="equal">
      <formula>"Towel"</formula>
    </cfRule>
    <cfRule type="cellIs" dxfId="18897" priority="2502" stopIfTrue="1" operator="equal">
      <formula>"Napkin Hs"</formula>
    </cfRule>
  </conditionalFormatting>
  <conditionalFormatting sqref="C132">
    <cfRule type="cellIs" dxfId="18896" priority="2497" stopIfTrue="1" operator="equal">
      <formula>"Towel"</formula>
    </cfRule>
    <cfRule type="cellIs" dxfId="18895" priority="2498" stopIfTrue="1" operator="equal">
      <formula>"Napkin Hs"</formula>
    </cfRule>
  </conditionalFormatting>
  <conditionalFormatting sqref="C132">
    <cfRule type="cellIs" dxfId="18894" priority="2499" stopIfTrue="1" operator="equal">
      <formula>"Towel"</formula>
    </cfRule>
    <cfRule type="cellIs" dxfId="18893" priority="2500" stopIfTrue="1" operator="equal">
      <formula>"Napkin Hs"</formula>
    </cfRule>
  </conditionalFormatting>
  <conditionalFormatting sqref="C132">
    <cfRule type="cellIs" dxfId="18892" priority="2493" stopIfTrue="1" operator="equal">
      <formula>"Towel"</formula>
    </cfRule>
    <cfRule type="cellIs" dxfId="18891" priority="2494" stopIfTrue="1" operator="equal">
      <formula>"Napkin Hs"</formula>
    </cfRule>
  </conditionalFormatting>
  <conditionalFormatting sqref="C132">
    <cfRule type="cellIs" dxfId="18890" priority="2495" stopIfTrue="1" operator="equal">
      <formula>"Towel"</formula>
    </cfRule>
    <cfRule type="cellIs" dxfId="18889" priority="2496" stopIfTrue="1" operator="equal">
      <formula>"Napkin Hs"</formula>
    </cfRule>
  </conditionalFormatting>
  <conditionalFormatting sqref="C132">
    <cfRule type="cellIs" dxfId="18888" priority="2491" stopIfTrue="1" operator="equal">
      <formula>"Towel"</formula>
    </cfRule>
    <cfRule type="cellIs" dxfId="18887" priority="2492" stopIfTrue="1" operator="equal">
      <formula>"Napkin Hs"</formula>
    </cfRule>
  </conditionalFormatting>
  <conditionalFormatting sqref="C132">
    <cfRule type="cellIs" dxfId="18886" priority="2485" stopIfTrue="1" operator="equal">
      <formula>"Towel"</formula>
    </cfRule>
    <cfRule type="cellIs" dxfId="18885" priority="2486" stopIfTrue="1" operator="equal">
      <formula>"Napkin Hs"</formula>
    </cfRule>
  </conditionalFormatting>
  <conditionalFormatting sqref="C132">
    <cfRule type="cellIs" dxfId="18884" priority="2489" stopIfTrue="1" operator="equal">
      <formula>"Towel"</formula>
    </cfRule>
    <cfRule type="cellIs" dxfId="18883" priority="2490" stopIfTrue="1" operator="equal">
      <formula>"Napkin Hs"</formula>
    </cfRule>
  </conditionalFormatting>
  <conditionalFormatting sqref="C132">
    <cfRule type="cellIs" dxfId="18882" priority="2487" stopIfTrue="1" operator="equal">
      <formula>"Towel"</formula>
    </cfRule>
    <cfRule type="cellIs" dxfId="18881" priority="2488" stopIfTrue="1" operator="equal">
      <formula>"Napkin Hs"</formula>
    </cfRule>
  </conditionalFormatting>
  <conditionalFormatting sqref="C132">
    <cfRule type="cellIs" dxfId="18880" priority="2479" stopIfTrue="1" operator="equal">
      <formula>"Towel"</formula>
    </cfRule>
    <cfRule type="cellIs" dxfId="18879" priority="2480" stopIfTrue="1" operator="equal">
      <formula>"Napkin Hs"</formula>
    </cfRule>
  </conditionalFormatting>
  <conditionalFormatting sqref="C132">
    <cfRule type="cellIs" dxfId="18878" priority="2481" stopIfTrue="1" operator="equal">
      <formula>"Towel"</formula>
    </cfRule>
    <cfRule type="cellIs" dxfId="18877" priority="2482" stopIfTrue="1" operator="equal">
      <formula>"Napkin Hs"</formula>
    </cfRule>
  </conditionalFormatting>
  <conditionalFormatting sqref="C132">
    <cfRule type="cellIs" dxfId="18876" priority="2483" stopIfTrue="1" operator="equal">
      <formula>"Towel"</formula>
    </cfRule>
    <cfRule type="cellIs" dxfId="18875" priority="2484" stopIfTrue="1" operator="equal">
      <formula>"Napkin Hs"</formula>
    </cfRule>
  </conditionalFormatting>
  <conditionalFormatting sqref="C132">
    <cfRule type="cellIs" dxfId="18874" priority="2477" stopIfTrue="1" operator="equal">
      <formula>"Towel"</formula>
    </cfRule>
    <cfRule type="cellIs" dxfId="18873" priority="2478" stopIfTrue="1" operator="equal">
      <formula>"Napkin Hs"</formula>
    </cfRule>
  </conditionalFormatting>
  <conditionalFormatting sqref="C132">
    <cfRule type="cellIs" dxfId="18872" priority="2475" stopIfTrue="1" operator="equal">
      <formula>"Towel"</formula>
    </cfRule>
    <cfRule type="cellIs" dxfId="18871" priority="2476" stopIfTrue="1" operator="equal">
      <formula>"Napkin Hs"</formula>
    </cfRule>
  </conditionalFormatting>
  <conditionalFormatting sqref="C132">
    <cfRule type="cellIs" dxfId="18870" priority="2451" stopIfTrue="1" operator="equal">
      <formula>"Towel"</formula>
    </cfRule>
  </conditionalFormatting>
  <conditionalFormatting sqref="C132">
    <cfRule type="cellIs" dxfId="18869" priority="2452" stopIfTrue="1" operator="equal">
      <formula>"Napkin Hs"</formula>
    </cfRule>
    <cfRule type="cellIs" dxfId="18868" priority="2457" stopIfTrue="1" operator="equal">
      <formula>"Towel"</formula>
    </cfRule>
    <cfRule type="cellIs" dxfId="18867" priority="2458" stopIfTrue="1" operator="equal">
      <formula>"Napkin Hs"</formula>
    </cfRule>
    <cfRule type="cellIs" dxfId="18866" priority="2467" stopIfTrue="1" operator="equal">
      <formula>"Towel"</formula>
    </cfRule>
    <cfRule type="cellIs" dxfId="18865" priority="2468" stopIfTrue="1" operator="equal">
      <formula>"Napkin Hs"</formula>
    </cfRule>
    <cfRule type="cellIs" dxfId="18864" priority="2473" stopIfTrue="1" operator="equal">
      <formula>"Towel"</formula>
    </cfRule>
    <cfRule type="cellIs" dxfId="18863" priority="2474" stopIfTrue="1" operator="equal">
      <formula>"Napkin Hs"</formula>
    </cfRule>
  </conditionalFormatting>
  <conditionalFormatting sqref="C132">
    <cfRule type="cellIs" dxfId="18862" priority="2453" stopIfTrue="1" operator="equal">
      <formula>"Towel"</formula>
    </cfRule>
    <cfRule type="cellIs" dxfId="18861" priority="2454" stopIfTrue="1" operator="equal">
      <formula>"Napkin Hs"</formula>
    </cfRule>
    <cfRule type="cellIs" dxfId="18860" priority="2455" stopIfTrue="1" operator="equal">
      <formula>"Towel"</formula>
    </cfRule>
    <cfRule type="cellIs" dxfId="18859" priority="2456" stopIfTrue="1" operator="equal">
      <formula>"Napkin Hs"</formula>
    </cfRule>
    <cfRule type="cellIs" dxfId="18858" priority="2459" stopIfTrue="1" operator="equal">
      <formula>"Towel"</formula>
    </cfRule>
    <cfRule type="cellIs" dxfId="18857" priority="2460" stopIfTrue="1" operator="equal">
      <formula>"Napkin Hs"</formula>
    </cfRule>
    <cfRule type="cellIs" dxfId="18856" priority="2461" stopIfTrue="1" operator="equal">
      <formula>"Towel"</formula>
    </cfRule>
    <cfRule type="cellIs" dxfId="18855" priority="2462" stopIfTrue="1" operator="equal">
      <formula>"Napkin Hs"</formula>
    </cfRule>
    <cfRule type="cellIs" dxfId="18854" priority="2463" stopIfTrue="1" operator="equal">
      <formula>"Towel"</formula>
    </cfRule>
    <cfRule type="cellIs" dxfId="18853" priority="2464" stopIfTrue="1" operator="equal">
      <formula>"Napkin Hs"</formula>
    </cfRule>
    <cfRule type="cellIs" dxfId="18852" priority="2465" stopIfTrue="1" operator="equal">
      <formula>"Towel"</formula>
    </cfRule>
    <cfRule type="cellIs" dxfId="18851" priority="2466" stopIfTrue="1" operator="equal">
      <formula>"Napkin Hs"</formula>
    </cfRule>
    <cfRule type="cellIs" dxfId="18850" priority="2469" stopIfTrue="1" operator="equal">
      <formula>"Towel"</formula>
    </cfRule>
    <cfRule type="cellIs" dxfId="18849" priority="2470" stopIfTrue="1" operator="equal">
      <formula>"Napkin Hs"</formula>
    </cfRule>
    <cfRule type="cellIs" dxfId="18848" priority="2472" stopIfTrue="1" operator="equal">
      <formula>"Napkin Hs"</formula>
    </cfRule>
  </conditionalFormatting>
  <conditionalFormatting sqref="C132">
    <cfRule type="cellIs" dxfId="18847" priority="2471" stopIfTrue="1" operator="equal">
      <formula>"Towel"</formula>
    </cfRule>
  </conditionalFormatting>
  <conditionalFormatting sqref="C132">
    <cfRule type="cellIs" dxfId="18846" priority="2449" stopIfTrue="1" operator="equal">
      <formula>"Towel"</formula>
    </cfRule>
    <cfRule type="cellIs" dxfId="18845" priority="2450" stopIfTrue="1" operator="equal">
      <formula>"Napkin Hs"</formula>
    </cfRule>
  </conditionalFormatting>
  <conditionalFormatting sqref="C132">
    <cfRule type="cellIs" dxfId="18844" priority="2448" stopIfTrue="1" operator="equal">
      <formula>"Napkin Hs"</formula>
    </cfRule>
  </conditionalFormatting>
  <conditionalFormatting sqref="C132">
    <cfRule type="cellIs" dxfId="18843" priority="2447" stopIfTrue="1" operator="equal">
      <formula>"Towel"</formula>
    </cfRule>
  </conditionalFormatting>
  <conditionalFormatting sqref="C132">
    <cfRule type="cellIs" dxfId="18842" priority="2445" stopIfTrue="1" operator="equal">
      <formula>"Towel"</formula>
    </cfRule>
  </conditionalFormatting>
  <conditionalFormatting sqref="C132">
    <cfRule type="cellIs" dxfId="18841" priority="2446" stopIfTrue="1" operator="equal">
      <formula>"Napkin Hs"</formula>
    </cfRule>
  </conditionalFormatting>
  <conditionalFormatting sqref="C132">
    <cfRule type="cellIs" dxfId="18840" priority="2349" stopIfTrue="1" operator="equal">
      <formula>"Towel"</formula>
    </cfRule>
  </conditionalFormatting>
  <conditionalFormatting sqref="C132">
    <cfRule type="cellIs" dxfId="18839" priority="2359" stopIfTrue="1" operator="equal">
      <formula>"Towel"</formula>
    </cfRule>
    <cfRule type="cellIs" dxfId="18838" priority="2360" stopIfTrue="1" operator="equal">
      <formula>"Napkin Hs"</formula>
    </cfRule>
    <cfRule type="cellIs" dxfId="18837" priority="2365" stopIfTrue="1" operator="equal">
      <formula>"Towel"</formula>
    </cfRule>
    <cfRule type="cellIs" dxfId="18836" priority="2366" stopIfTrue="1" operator="equal">
      <formula>"Napkin Hs"</formula>
    </cfRule>
    <cfRule type="cellIs" dxfId="18835" priority="2371" stopIfTrue="1" operator="equal">
      <formula>"Towel"</formula>
    </cfRule>
    <cfRule type="cellIs" dxfId="18834" priority="2372" stopIfTrue="1" operator="equal">
      <formula>"Napkin Hs"</formula>
    </cfRule>
    <cfRule type="cellIs" dxfId="18833" priority="2373" stopIfTrue="1" operator="equal">
      <formula>"Towel"</formula>
    </cfRule>
    <cfRule type="cellIs" dxfId="18832" priority="2374" stopIfTrue="1" operator="equal">
      <formula>"Napkin Hs"</formula>
    </cfRule>
    <cfRule type="cellIs" dxfId="18831" priority="2379" stopIfTrue="1" operator="equal">
      <formula>"Towel"</formula>
    </cfRule>
    <cfRule type="cellIs" dxfId="18830" priority="2380" stopIfTrue="1" operator="equal">
      <formula>"Napkin Hs"</formula>
    </cfRule>
    <cfRule type="cellIs" dxfId="18829" priority="2389" stopIfTrue="1" operator="equal">
      <formula>"Towel"</formula>
    </cfRule>
    <cfRule type="cellIs" dxfId="18828" priority="2390" stopIfTrue="1" operator="equal">
      <formula>"Napkin Hs"</formula>
    </cfRule>
    <cfRule type="cellIs" dxfId="18827" priority="2395" stopIfTrue="1" operator="equal">
      <formula>"Towel"</formula>
    </cfRule>
    <cfRule type="cellIs" dxfId="18826" priority="2396" stopIfTrue="1" operator="equal">
      <formula>"Napkin Hs"</formula>
    </cfRule>
    <cfRule type="cellIs" dxfId="18825" priority="2397" stopIfTrue="1" operator="equal">
      <formula>"Towel"</formula>
    </cfRule>
    <cfRule type="cellIs" dxfId="18824" priority="2398" stopIfTrue="1" operator="equal">
      <formula>"Napkin Hs"</formula>
    </cfRule>
    <cfRule type="cellIs" dxfId="18823" priority="2403" stopIfTrue="1" operator="equal">
      <formula>"Towel"</formula>
    </cfRule>
    <cfRule type="cellIs" dxfId="18822" priority="2404" stopIfTrue="1" operator="equal">
      <formula>"Napkin Hs"</formula>
    </cfRule>
    <cfRule type="cellIs" dxfId="18821" priority="2413" stopIfTrue="1" operator="equal">
      <formula>"Towel"</formula>
    </cfRule>
    <cfRule type="cellIs" dxfId="18820" priority="2414" stopIfTrue="1" operator="equal">
      <formula>"Napkin Hs"</formula>
    </cfRule>
    <cfRule type="cellIs" dxfId="18819" priority="2415" stopIfTrue="1" operator="equal">
      <formula>"Towel"</formula>
    </cfRule>
    <cfRule type="cellIs" dxfId="18818" priority="2416" stopIfTrue="1" operator="equal">
      <formula>"Napkin Hs"</formula>
    </cfRule>
    <cfRule type="cellIs" dxfId="18817" priority="2421" stopIfTrue="1" operator="equal">
      <formula>"Towel"</formula>
    </cfRule>
    <cfRule type="cellIs" dxfId="18816" priority="2422" stopIfTrue="1" operator="equal">
      <formula>"Napkin Hs"</formula>
    </cfRule>
    <cfRule type="cellIs" dxfId="18815" priority="2431" stopIfTrue="1" operator="equal">
      <formula>"Towel"</formula>
    </cfRule>
    <cfRule type="cellIs" dxfId="18814" priority="2432" stopIfTrue="1" operator="equal">
      <formula>"Napkin Hs"</formula>
    </cfRule>
    <cfRule type="cellIs" dxfId="18813" priority="2433" stopIfTrue="1" operator="equal">
      <formula>"Towel"</formula>
    </cfRule>
    <cfRule type="cellIs" dxfId="18812" priority="2434" stopIfTrue="1" operator="equal">
      <formula>"Napkin Hs"</formula>
    </cfRule>
    <cfRule type="cellIs" dxfId="18811" priority="2440" stopIfTrue="1" operator="equal">
      <formula>"Napkin Hs"</formula>
    </cfRule>
  </conditionalFormatting>
  <conditionalFormatting sqref="C132">
    <cfRule type="cellIs" dxfId="18810" priority="2439" stopIfTrue="1" operator="equal">
      <formula>"Towel"</formula>
    </cfRule>
  </conditionalFormatting>
  <conditionalFormatting sqref="C132">
    <cfRule type="cellIs" dxfId="18809" priority="2350" stopIfTrue="1" operator="equal">
      <formula>"Napkin Hs"</formula>
    </cfRule>
    <cfRule type="cellIs" dxfId="18808" priority="2351" stopIfTrue="1" operator="equal">
      <formula>"Towel"</formula>
    </cfRule>
    <cfRule type="cellIs" dxfId="18807" priority="2352" stopIfTrue="1" operator="equal">
      <formula>"Napkin Hs"</formula>
    </cfRule>
    <cfRule type="cellIs" dxfId="18806" priority="2353" stopIfTrue="1" operator="equal">
      <formula>"Towel"</formula>
    </cfRule>
    <cfRule type="cellIs" dxfId="18805" priority="2354" stopIfTrue="1" operator="equal">
      <formula>"Napkin Hs"</formula>
    </cfRule>
    <cfRule type="cellIs" dxfId="18804" priority="2355" stopIfTrue="1" operator="equal">
      <formula>"Towel"</formula>
    </cfRule>
    <cfRule type="cellIs" dxfId="18803" priority="2356" stopIfTrue="1" operator="equal">
      <formula>"Napkin Hs"</formula>
    </cfRule>
    <cfRule type="cellIs" dxfId="18802" priority="2357" stopIfTrue="1" operator="equal">
      <formula>"Towel"</formula>
    </cfRule>
    <cfRule type="cellIs" dxfId="18801" priority="2358" stopIfTrue="1" operator="equal">
      <formula>"Napkin Hs"</formula>
    </cfRule>
    <cfRule type="cellIs" dxfId="18800" priority="2361" stopIfTrue="1" operator="equal">
      <formula>"Towel"</formula>
    </cfRule>
    <cfRule type="cellIs" dxfId="18799" priority="2362" stopIfTrue="1" operator="equal">
      <formula>"Napkin Hs"</formula>
    </cfRule>
    <cfRule type="cellIs" dxfId="18798" priority="2363" stopIfTrue="1" operator="equal">
      <formula>"Towel"</formula>
    </cfRule>
    <cfRule type="cellIs" dxfId="18797" priority="2364" stopIfTrue="1" operator="equal">
      <formula>"Napkin Hs"</formula>
    </cfRule>
    <cfRule type="cellIs" dxfId="18796" priority="2367" stopIfTrue="1" operator="equal">
      <formula>"Towel"</formula>
    </cfRule>
    <cfRule type="cellIs" dxfId="18795" priority="2368" stopIfTrue="1" operator="equal">
      <formula>"Napkin Hs"</formula>
    </cfRule>
    <cfRule type="cellIs" dxfId="18794" priority="2369" stopIfTrue="1" operator="equal">
      <formula>"Towel"</formula>
    </cfRule>
    <cfRule type="cellIs" dxfId="18793" priority="2370" stopIfTrue="1" operator="equal">
      <formula>"Napkin Hs"</formula>
    </cfRule>
    <cfRule type="cellIs" dxfId="18792" priority="2375" stopIfTrue="1" operator="equal">
      <formula>"Towel"</formula>
    </cfRule>
    <cfRule type="cellIs" dxfId="18791" priority="2376" stopIfTrue="1" operator="equal">
      <formula>"Napkin Hs"</formula>
    </cfRule>
    <cfRule type="cellIs" dxfId="18790" priority="2377" stopIfTrue="1" operator="equal">
      <formula>"Towel"</formula>
    </cfRule>
    <cfRule type="cellIs" dxfId="18789" priority="2378" stopIfTrue="1" operator="equal">
      <formula>"Napkin Hs"</formula>
    </cfRule>
    <cfRule type="cellIs" dxfId="18788" priority="2381" stopIfTrue="1" operator="equal">
      <formula>"Towel"</formula>
    </cfRule>
    <cfRule type="cellIs" dxfId="18787" priority="2382" stopIfTrue="1" operator="equal">
      <formula>"Napkin Hs"</formula>
    </cfRule>
    <cfRule type="cellIs" dxfId="18786" priority="2383" stopIfTrue="1" operator="equal">
      <formula>"Towel"</formula>
    </cfRule>
    <cfRule type="cellIs" dxfId="18785" priority="2384" stopIfTrue="1" operator="equal">
      <formula>"Napkin Hs"</formula>
    </cfRule>
    <cfRule type="cellIs" dxfId="18784" priority="2385" stopIfTrue="1" operator="equal">
      <formula>"Towel"</formula>
    </cfRule>
    <cfRule type="cellIs" dxfId="18783" priority="2386" stopIfTrue="1" operator="equal">
      <formula>"Napkin Hs"</formula>
    </cfRule>
    <cfRule type="cellIs" dxfId="18782" priority="2387" stopIfTrue="1" operator="equal">
      <formula>"Towel"</formula>
    </cfRule>
    <cfRule type="cellIs" dxfId="18781" priority="2388" stopIfTrue="1" operator="equal">
      <formula>"Napkin Hs"</formula>
    </cfRule>
    <cfRule type="cellIs" dxfId="18780" priority="2391" stopIfTrue="1" operator="equal">
      <formula>"Towel"</formula>
    </cfRule>
    <cfRule type="cellIs" dxfId="18779" priority="2392" stopIfTrue="1" operator="equal">
      <formula>"Napkin Hs"</formula>
    </cfRule>
    <cfRule type="cellIs" dxfId="18778" priority="2393" stopIfTrue="1" operator="equal">
      <formula>"Towel"</formula>
    </cfRule>
    <cfRule type="cellIs" dxfId="18777" priority="2394" stopIfTrue="1" operator="equal">
      <formula>"Napkin Hs"</formula>
    </cfRule>
    <cfRule type="cellIs" dxfId="18776" priority="2399" stopIfTrue="1" operator="equal">
      <formula>"Towel"</formula>
    </cfRule>
    <cfRule type="cellIs" dxfId="18775" priority="2400" stopIfTrue="1" operator="equal">
      <formula>"Napkin Hs"</formula>
    </cfRule>
    <cfRule type="cellIs" dxfId="18774" priority="2401" stopIfTrue="1" operator="equal">
      <formula>"Towel"</formula>
    </cfRule>
    <cfRule type="cellIs" dxfId="18773" priority="2402" stopIfTrue="1" operator="equal">
      <formula>"Napkin Hs"</formula>
    </cfRule>
    <cfRule type="cellIs" dxfId="18772" priority="2405" stopIfTrue="1" operator="equal">
      <formula>"Towel"</formula>
    </cfRule>
    <cfRule type="cellIs" dxfId="18771" priority="2406" stopIfTrue="1" operator="equal">
      <formula>"Napkin Hs"</formula>
    </cfRule>
    <cfRule type="cellIs" dxfId="18770" priority="2407" stopIfTrue="1" operator="equal">
      <formula>"Towel"</formula>
    </cfRule>
    <cfRule type="cellIs" dxfId="18769" priority="2408" stopIfTrue="1" operator="equal">
      <formula>"Napkin Hs"</formula>
    </cfRule>
    <cfRule type="cellIs" dxfId="18768" priority="2409" stopIfTrue="1" operator="equal">
      <formula>"Towel"</formula>
    </cfRule>
    <cfRule type="cellIs" dxfId="18767" priority="2410" stopIfTrue="1" operator="equal">
      <formula>"Napkin Hs"</formula>
    </cfRule>
    <cfRule type="cellIs" dxfId="18766" priority="2411" stopIfTrue="1" operator="equal">
      <formula>"Towel"</formula>
    </cfRule>
    <cfRule type="cellIs" dxfId="18765" priority="2412" stopIfTrue="1" operator="equal">
      <formula>"Napkin Hs"</formula>
    </cfRule>
    <cfRule type="cellIs" dxfId="18764" priority="2417" stopIfTrue="1" operator="equal">
      <formula>"Towel"</formula>
    </cfRule>
    <cfRule type="cellIs" dxfId="18763" priority="2418" stopIfTrue="1" operator="equal">
      <formula>"Napkin Hs"</formula>
    </cfRule>
    <cfRule type="cellIs" dxfId="18762" priority="2419" stopIfTrue="1" operator="equal">
      <formula>"Towel"</formula>
    </cfRule>
    <cfRule type="cellIs" dxfId="18761" priority="2420" stopIfTrue="1" operator="equal">
      <formula>"Napkin Hs"</formula>
    </cfRule>
    <cfRule type="cellIs" dxfId="18760" priority="2423" stopIfTrue="1" operator="equal">
      <formula>"Towel"</formula>
    </cfRule>
    <cfRule type="cellIs" dxfId="18759" priority="2424" stopIfTrue="1" operator="equal">
      <formula>"Napkin Hs"</formula>
    </cfRule>
    <cfRule type="cellIs" dxfId="18758" priority="2425" stopIfTrue="1" operator="equal">
      <formula>"Towel"</formula>
    </cfRule>
    <cfRule type="cellIs" dxfId="18757" priority="2426" stopIfTrue="1" operator="equal">
      <formula>"Napkin Hs"</formula>
    </cfRule>
    <cfRule type="cellIs" dxfId="18756" priority="2427" stopIfTrue="1" operator="equal">
      <formula>"Towel"</formula>
    </cfRule>
    <cfRule type="cellIs" dxfId="18755" priority="2428" stopIfTrue="1" operator="equal">
      <formula>"Napkin Hs"</formula>
    </cfRule>
    <cfRule type="cellIs" dxfId="18754" priority="2429" stopIfTrue="1" operator="equal">
      <formula>"Towel"</formula>
    </cfRule>
    <cfRule type="cellIs" dxfId="18753" priority="2430" stopIfTrue="1" operator="equal">
      <formula>"Napkin Hs"</formula>
    </cfRule>
    <cfRule type="cellIs" dxfId="18752" priority="2435" stopIfTrue="1" operator="equal">
      <formula>"Towel"</formula>
    </cfRule>
    <cfRule type="cellIs" dxfId="18751" priority="2436" stopIfTrue="1" operator="equal">
      <formula>"Napkin Hs"</formula>
    </cfRule>
    <cfRule type="cellIs" dxfId="18750" priority="2437" stopIfTrue="1" operator="equal">
      <formula>"Towel"</formula>
    </cfRule>
    <cfRule type="cellIs" dxfId="18749" priority="2438" stopIfTrue="1" operator="equal">
      <formula>"Napkin Hs"</formula>
    </cfRule>
    <cfRule type="cellIs" dxfId="18748" priority="2441" stopIfTrue="1" operator="equal">
      <formula>"Towel"</formula>
    </cfRule>
    <cfRule type="cellIs" dxfId="18747" priority="2442" stopIfTrue="1" operator="equal">
      <formula>"Napkin Hs"</formula>
    </cfRule>
    <cfRule type="cellIs" dxfId="18746" priority="2443" stopIfTrue="1" operator="equal">
      <formula>"Towel"</formula>
    </cfRule>
    <cfRule type="cellIs" dxfId="18745" priority="2444" stopIfTrue="1" operator="equal">
      <formula>"Napkin Hs"</formula>
    </cfRule>
  </conditionalFormatting>
  <conditionalFormatting sqref="C132">
    <cfRule type="cellIs" dxfId="18744" priority="2348" stopIfTrue="1" operator="equal">
      <formula>"Napkin Hs"</formula>
    </cfRule>
  </conditionalFormatting>
  <conditionalFormatting sqref="C132">
    <cfRule type="cellIs" dxfId="18743" priority="2347" stopIfTrue="1" operator="equal">
      <formula>"Napkin Hs"</formula>
    </cfRule>
  </conditionalFormatting>
  <conditionalFormatting sqref="C132">
    <cfRule type="cellIs" dxfId="18742" priority="2346" stopIfTrue="1" operator="equal">
      <formula>"Napkin Hs"</formula>
    </cfRule>
  </conditionalFormatting>
  <conditionalFormatting sqref="C132">
    <cfRule type="cellIs" dxfId="18741" priority="2345" stopIfTrue="1" operator="equal">
      <formula>"Napkin Hs"</formula>
    </cfRule>
  </conditionalFormatting>
  <conditionalFormatting sqref="C132">
    <cfRule type="cellIs" dxfId="18740" priority="2344" stopIfTrue="1" operator="equal">
      <formula>"Napkin Hs"</formula>
    </cfRule>
  </conditionalFormatting>
  <conditionalFormatting sqref="C132">
    <cfRule type="cellIs" dxfId="18739" priority="2343" stopIfTrue="1" operator="equal">
      <formula>"Napkin Hs"</formula>
    </cfRule>
  </conditionalFormatting>
  <conditionalFormatting sqref="C132">
    <cfRule type="cellIs" dxfId="18738" priority="2339" stopIfTrue="1" operator="equal">
      <formula>"Towel"</formula>
    </cfRule>
    <cfRule type="cellIs" dxfId="18737" priority="2340" stopIfTrue="1" operator="equal">
      <formula>"Napkin Hs"</formula>
    </cfRule>
  </conditionalFormatting>
  <conditionalFormatting sqref="C132">
    <cfRule type="cellIs" dxfId="18736" priority="2341" stopIfTrue="1" operator="equal">
      <formula>"Towel"</formula>
    </cfRule>
    <cfRule type="cellIs" dxfId="18735" priority="2342" stopIfTrue="1" operator="equal">
      <formula>"Napkin Hs"</formula>
    </cfRule>
  </conditionalFormatting>
  <conditionalFormatting sqref="C132">
    <cfRule type="cellIs" dxfId="18734" priority="2335" stopIfTrue="1" operator="equal">
      <formula>"Towel"</formula>
    </cfRule>
    <cfRule type="cellIs" dxfId="18733" priority="2336" stopIfTrue="1" operator="equal">
      <formula>"Napkin Hs"</formula>
    </cfRule>
  </conditionalFormatting>
  <conditionalFormatting sqref="C132">
    <cfRule type="cellIs" dxfId="18732" priority="2337" stopIfTrue="1" operator="equal">
      <formula>"Towel"</formula>
    </cfRule>
    <cfRule type="cellIs" dxfId="18731" priority="2338" stopIfTrue="1" operator="equal">
      <formula>"Napkin Hs"</formula>
    </cfRule>
  </conditionalFormatting>
  <conditionalFormatting sqref="B132">
    <cfRule type="cellIs" dxfId="18730" priority="2334" stopIfTrue="1" operator="equal">
      <formula>"Napkin Hs"</formula>
    </cfRule>
  </conditionalFormatting>
  <conditionalFormatting sqref="B132">
    <cfRule type="cellIs" dxfId="18729" priority="2333" stopIfTrue="1" operator="equal">
      <formula>"Napkin Hs"</formula>
    </cfRule>
  </conditionalFormatting>
  <conditionalFormatting sqref="B132">
    <cfRule type="cellIs" dxfId="18728" priority="2332" stopIfTrue="1" operator="equal">
      <formula>"Napkin Hs"</formula>
    </cfRule>
  </conditionalFormatting>
  <conditionalFormatting sqref="B141:C141">
    <cfRule type="cellIs" dxfId="18727" priority="2330" stopIfTrue="1" operator="equal">
      <formula>"Towel"</formula>
    </cfRule>
    <cfRule type="cellIs" dxfId="18726" priority="2331" stopIfTrue="1" operator="equal">
      <formula>"Napkin Hs"</formula>
    </cfRule>
  </conditionalFormatting>
  <conditionalFormatting sqref="C141">
    <cfRule type="cellIs" dxfId="18725" priority="2329" stopIfTrue="1" operator="equal">
      <formula>"Napkin Hs"</formula>
    </cfRule>
  </conditionalFormatting>
  <conditionalFormatting sqref="C141">
    <cfRule type="cellIs" dxfId="18724" priority="2328" stopIfTrue="1" operator="equal">
      <formula>"Towel"</formula>
    </cfRule>
  </conditionalFormatting>
  <conditionalFormatting sqref="C141">
    <cfRule type="cellIs" dxfId="18723" priority="2326" stopIfTrue="1" operator="equal">
      <formula>"Towel"</formula>
    </cfRule>
    <cfRule type="cellIs" dxfId="18722" priority="2327" stopIfTrue="1" operator="equal">
      <formula>"Napkin Hs"</formula>
    </cfRule>
  </conditionalFormatting>
  <conditionalFormatting sqref="C140">
    <cfRule type="cellIs" dxfId="18721" priority="2318" stopIfTrue="1" operator="equal">
      <formula>"Towel"</formula>
    </cfRule>
    <cfRule type="cellIs" dxfId="18720" priority="2319" stopIfTrue="1" operator="equal">
      <formula>"Napkin Hs"</formula>
    </cfRule>
  </conditionalFormatting>
  <conditionalFormatting sqref="B140:C140">
    <cfRule type="cellIs" dxfId="18719" priority="2320" stopIfTrue="1" operator="equal">
      <formula>"Towel"</formula>
    </cfRule>
    <cfRule type="cellIs" dxfId="18718" priority="2321" stopIfTrue="1" operator="equal">
      <formula>"Napkin Hs"</formula>
    </cfRule>
  </conditionalFormatting>
  <conditionalFormatting sqref="C140">
    <cfRule type="cellIs" dxfId="18717" priority="2316" stopIfTrue="1" operator="equal">
      <formula>"Towel"</formula>
    </cfRule>
    <cfRule type="cellIs" dxfId="18716" priority="2317" stopIfTrue="1" operator="equal">
      <formula>"Napkin Hs"</formula>
    </cfRule>
  </conditionalFormatting>
  <conditionalFormatting sqref="B140:C140">
    <cfRule type="cellIs" dxfId="18715" priority="2314" stopIfTrue="1" operator="equal">
      <formula>"Towel"</formula>
    </cfRule>
    <cfRule type="cellIs" dxfId="18714" priority="2315" stopIfTrue="1" operator="equal">
      <formula>"Napkin Hs"</formula>
    </cfRule>
  </conditionalFormatting>
  <conditionalFormatting sqref="C140">
    <cfRule type="cellIs" dxfId="18713" priority="2322" stopIfTrue="1" operator="equal">
      <formula>"Towel"</formula>
    </cfRule>
    <cfRule type="cellIs" dxfId="18712" priority="2323" stopIfTrue="1" operator="equal">
      <formula>"Napkin Hs"</formula>
    </cfRule>
  </conditionalFormatting>
  <conditionalFormatting sqref="C140">
    <cfRule type="cellIs" dxfId="18711" priority="2324" stopIfTrue="1" operator="equal">
      <formula>"Towel"</formula>
    </cfRule>
    <cfRule type="cellIs" dxfId="18710" priority="2325" stopIfTrue="1" operator="equal">
      <formula>"Napkin Hs"</formula>
    </cfRule>
  </conditionalFormatting>
  <conditionalFormatting sqref="C140">
    <cfRule type="cellIs" dxfId="18709" priority="2310" stopIfTrue="1" operator="equal">
      <formula>"Towel"</formula>
    </cfRule>
    <cfRule type="cellIs" dxfId="18708" priority="2311" stopIfTrue="1" operator="equal">
      <formula>"Napkin Hs"</formula>
    </cfRule>
  </conditionalFormatting>
  <conditionalFormatting sqref="C140">
    <cfRule type="cellIs" dxfId="18707" priority="2312" stopIfTrue="1" operator="equal">
      <formula>"Towel"</formula>
    </cfRule>
    <cfRule type="cellIs" dxfId="18706" priority="2313" stopIfTrue="1" operator="equal">
      <formula>"Napkin Hs"</formula>
    </cfRule>
  </conditionalFormatting>
  <conditionalFormatting sqref="C140">
    <cfRule type="cellIs" dxfId="18705" priority="2308" stopIfTrue="1" operator="equal">
      <formula>"Towel"</formula>
    </cfRule>
    <cfRule type="cellIs" dxfId="18704" priority="2309" stopIfTrue="1" operator="equal">
      <formula>"Napkin Hs"</formula>
    </cfRule>
  </conditionalFormatting>
  <conditionalFormatting sqref="B140">
    <cfRule type="cellIs" dxfId="18703" priority="2306" stopIfTrue="1" operator="equal">
      <formula>"Towel"</formula>
    </cfRule>
    <cfRule type="cellIs" dxfId="18702" priority="2307" stopIfTrue="1" operator="equal">
      <formula>"Napkin Hs"</formula>
    </cfRule>
  </conditionalFormatting>
  <conditionalFormatting sqref="C140">
    <cfRule type="cellIs" dxfId="18701" priority="2300" stopIfTrue="1" operator="equal">
      <formula>"Towel"</formula>
    </cfRule>
    <cfRule type="cellIs" dxfId="18700" priority="2301" stopIfTrue="1" operator="equal">
      <formula>"Napkin Hs"</formula>
    </cfRule>
  </conditionalFormatting>
  <conditionalFormatting sqref="C140">
    <cfRule type="cellIs" dxfId="18699" priority="2304" stopIfTrue="1" operator="equal">
      <formula>"Towel"</formula>
    </cfRule>
    <cfRule type="cellIs" dxfId="18698" priority="2305" stopIfTrue="1" operator="equal">
      <formula>"Napkin Hs"</formula>
    </cfRule>
  </conditionalFormatting>
  <conditionalFormatting sqref="C140">
    <cfRule type="cellIs" dxfId="18697" priority="2302" stopIfTrue="1" operator="equal">
      <formula>"Towel"</formula>
    </cfRule>
    <cfRule type="cellIs" dxfId="18696" priority="2303" stopIfTrue="1" operator="equal">
      <formula>"Napkin Hs"</formula>
    </cfRule>
  </conditionalFormatting>
  <conditionalFormatting sqref="C140">
    <cfRule type="cellIs" dxfId="18695" priority="2294" stopIfTrue="1" operator="equal">
      <formula>"Towel"</formula>
    </cfRule>
    <cfRule type="cellIs" dxfId="18694" priority="2295" stopIfTrue="1" operator="equal">
      <formula>"Napkin Hs"</formula>
    </cfRule>
  </conditionalFormatting>
  <conditionalFormatting sqref="C140">
    <cfRule type="cellIs" dxfId="18693" priority="2296" stopIfTrue="1" operator="equal">
      <formula>"Towel"</formula>
    </cfRule>
    <cfRule type="cellIs" dxfId="18692" priority="2297" stopIfTrue="1" operator="equal">
      <formula>"Napkin Hs"</formula>
    </cfRule>
  </conditionalFormatting>
  <conditionalFormatting sqref="C140">
    <cfRule type="cellIs" dxfId="18691" priority="2298" stopIfTrue="1" operator="equal">
      <formula>"Towel"</formula>
    </cfRule>
    <cfRule type="cellIs" dxfId="18690" priority="2299" stopIfTrue="1" operator="equal">
      <formula>"Napkin Hs"</formula>
    </cfRule>
  </conditionalFormatting>
  <conditionalFormatting sqref="B140:C140">
    <cfRule type="cellIs" dxfId="18689" priority="2292" stopIfTrue="1" operator="equal">
      <formula>"Towel"</formula>
    </cfRule>
    <cfRule type="cellIs" dxfId="18688" priority="2293" stopIfTrue="1" operator="equal">
      <formula>"Napkin Hs"</formula>
    </cfRule>
  </conditionalFormatting>
  <conditionalFormatting sqref="B140:C140">
    <cfRule type="cellIs" dxfId="18687" priority="2290" stopIfTrue="1" operator="equal">
      <formula>"Towel"</formula>
    </cfRule>
    <cfRule type="cellIs" dxfId="18686" priority="2291" stopIfTrue="1" operator="equal">
      <formula>"Napkin Hs"</formula>
    </cfRule>
  </conditionalFormatting>
  <conditionalFormatting sqref="B140:C140">
    <cfRule type="cellIs" dxfId="18685" priority="2266" stopIfTrue="1" operator="equal">
      <formula>"Towel"</formula>
    </cfRule>
  </conditionalFormatting>
  <conditionalFormatting sqref="B140:C140">
    <cfRule type="cellIs" dxfId="18684" priority="2267" stopIfTrue="1" operator="equal">
      <formula>"Napkin Hs"</formula>
    </cfRule>
    <cfRule type="cellIs" dxfId="18683" priority="2272" stopIfTrue="1" operator="equal">
      <formula>"Towel"</formula>
    </cfRule>
    <cfRule type="cellIs" dxfId="18682" priority="2273" stopIfTrue="1" operator="equal">
      <formula>"Napkin Hs"</formula>
    </cfRule>
    <cfRule type="cellIs" dxfId="18681" priority="2282" stopIfTrue="1" operator="equal">
      <formula>"Towel"</formula>
    </cfRule>
    <cfRule type="cellIs" dxfId="18680" priority="2283" stopIfTrue="1" operator="equal">
      <formula>"Napkin Hs"</formula>
    </cfRule>
    <cfRule type="cellIs" dxfId="18679" priority="2288" stopIfTrue="1" operator="equal">
      <formula>"Towel"</formula>
    </cfRule>
    <cfRule type="cellIs" dxfId="18678" priority="2289" stopIfTrue="1" operator="equal">
      <formula>"Napkin Hs"</formula>
    </cfRule>
  </conditionalFormatting>
  <conditionalFormatting sqref="C140">
    <cfRule type="cellIs" dxfId="18677" priority="2268" stopIfTrue="1" operator="equal">
      <formula>"Towel"</formula>
    </cfRule>
    <cfRule type="cellIs" dxfId="18676" priority="2269" stopIfTrue="1" operator="equal">
      <formula>"Napkin Hs"</formula>
    </cfRule>
    <cfRule type="cellIs" dxfId="18675" priority="2270" stopIfTrue="1" operator="equal">
      <formula>"Towel"</formula>
    </cfRule>
    <cfRule type="cellIs" dxfId="18674" priority="2271" stopIfTrue="1" operator="equal">
      <formula>"Napkin Hs"</formula>
    </cfRule>
    <cfRule type="cellIs" dxfId="18673" priority="2274" stopIfTrue="1" operator="equal">
      <formula>"Towel"</formula>
    </cfRule>
    <cfRule type="cellIs" dxfId="18672" priority="2275" stopIfTrue="1" operator="equal">
      <formula>"Napkin Hs"</formula>
    </cfRule>
    <cfRule type="cellIs" dxfId="18671" priority="2276" stopIfTrue="1" operator="equal">
      <formula>"Towel"</formula>
    </cfRule>
    <cfRule type="cellIs" dxfId="18670" priority="2277" stopIfTrue="1" operator="equal">
      <formula>"Napkin Hs"</formula>
    </cfRule>
    <cfRule type="cellIs" dxfId="18669" priority="2278" stopIfTrue="1" operator="equal">
      <formula>"Towel"</formula>
    </cfRule>
    <cfRule type="cellIs" dxfId="18668" priority="2279" stopIfTrue="1" operator="equal">
      <formula>"Napkin Hs"</formula>
    </cfRule>
    <cfRule type="cellIs" dxfId="18667" priority="2280" stopIfTrue="1" operator="equal">
      <formula>"Towel"</formula>
    </cfRule>
    <cfRule type="cellIs" dxfId="18666" priority="2281" stopIfTrue="1" operator="equal">
      <formula>"Napkin Hs"</formula>
    </cfRule>
    <cfRule type="cellIs" dxfId="18665" priority="2284" stopIfTrue="1" operator="equal">
      <formula>"Towel"</formula>
    </cfRule>
    <cfRule type="cellIs" dxfId="18664" priority="2285" stopIfTrue="1" operator="equal">
      <formula>"Napkin Hs"</formula>
    </cfRule>
    <cfRule type="cellIs" dxfId="18663" priority="2287" stopIfTrue="1" operator="equal">
      <formula>"Napkin Hs"</formula>
    </cfRule>
  </conditionalFormatting>
  <conditionalFormatting sqref="C140">
    <cfRule type="cellIs" dxfId="18662" priority="2286" stopIfTrue="1" operator="equal">
      <formula>"Towel"</formula>
    </cfRule>
  </conditionalFormatting>
  <conditionalFormatting sqref="B140:C140">
    <cfRule type="cellIs" dxfId="18661" priority="2264" stopIfTrue="1" operator="equal">
      <formula>"Towel"</formula>
    </cfRule>
    <cfRule type="cellIs" dxfId="18660" priority="2265" stopIfTrue="1" operator="equal">
      <formula>"Napkin Hs"</formula>
    </cfRule>
  </conditionalFormatting>
  <conditionalFormatting sqref="C140">
    <cfRule type="cellIs" dxfId="18659" priority="2263" stopIfTrue="1" operator="equal">
      <formula>"Napkin Hs"</formula>
    </cfRule>
  </conditionalFormatting>
  <conditionalFormatting sqref="C140">
    <cfRule type="cellIs" dxfId="18658" priority="2262" stopIfTrue="1" operator="equal">
      <formula>"Towel"</formula>
    </cfRule>
  </conditionalFormatting>
  <conditionalFormatting sqref="C140">
    <cfRule type="cellIs" dxfId="18657" priority="2260" stopIfTrue="1" operator="equal">
      <formula>"Towel"</formula>
    </cfRule>
  </conditionalFormatting>
  <conditionalFormatting sqref="C140">
    <cfRule type="cellIs" dxfId="18656" priority="2261" stopIfTrue="1" operator="equal">
      <formula>"Napkin Hs"</formula>
    </cfRule>
  </conditionalFormatting>
  <conditionalFormatting sqref="B140">
    <cfRule type="cellIs" dxfId="18655" priority="2164" stopIfTrue="1" operator="equal">
      <formula>"Napkin Hs"</formula>
    </cfRule>
  </conditionalFormatting>
  <conditionalFormatting sqref="B140:C140">
    <cfRule type="cellIs" dxfId="18654" priority="2163" stopIfTrue="1" operator="equal">
      <formula>"Towel"</formula>
    </cfRule>
  </conditionalFormatting>
  <conditionalFormatting sqref="B140:C140">
    <cfRule type="cellIs" dxfId="18653" priority="2174" stopIfTrue="1" operator="equal">
      <formula>"Towel"</formula>
    </cfRule>
    <cfRule type="cellIs" dxfId="18652" priority="2175" stopIfTrue="1" operator="equal">
      <formula>"Napkin Hs"</formula>
    </cfRule>
    <cfRule type="cellIs" dxfId="18651" priority="2180" stopIfTrue="1" operator="equal">
      <formula>"Towel"</formula>
    </cfRule>
    <cfRule type="cellIs" dxfId="18650" priority="2181" stopIfTrue="1" operator="equal">
      <formula>"Napkin Hs"</formula>
    </cfRule>
    <cfRule type="cellIs" dxfId="18649" priority="2186" stopIfTrue="1" operator="equal">
      <formula>"Towel"</formula>
    </cfRule>
    <cfRule type="cellIs" dxfId="18648" priority="2187" stopIfTrue="1" operator="equal">
      <formula>"Napkin Hs"</formula>
    </cfRule>
    <cfRule type="cellIs" dxfId="18647" priority="2188" stopIfTrue="1" operator="equal">
      <formula>"Towel"</formula>
    </cfRule>
    <cfRule type="cellIs" dxfId="18646" priority="2189" stopIfTrue="1" operator="equal">
      <formula>"Napkin Hs"</formula>
    </cfRule>
    <cfRule type="cellIs" dxfId="18645" priority="2194" stopIfTrue="1" operator="equal">
      <formula>"Towel"</formula>
    </cfRule>
    <cfRule type="cellIs" dxfId="18644" priority="2195" stopIfTrue="1" operator="equal">
      <formula>"Napkin Hs"</formula>
    </cfRule>
    <cfRule type="cellIs" dxfId="18643" priority="2204" stopIfTrue="1" operator="equal">
      <formula>"Towel"</formula>
    </cfRule>
    <cfRule type="cellIs" dxfId="18642" priority="2205" stopIfTrue="1" operator="equal">
      <formula>"Napkin Hs"</formula>
    </cfRule>
    <cfRule type="cellIs" dxfId="18641" priority="2210" stopIfTrue="1" operator="equal">
      <formula>"Towel"</formula>
    </cfRule>
    <cfRule type="cellIs" dxfId="18640" priority="2211" stopIfTrue="1" operator="equal">
      <formula>"Napkin Hs"</formula>
    </cfRule>
    <cfRule type="cellIs" dxfId="18639" priority="2212" stopIfTrue="1" operator="equal">
      <formula>"Towel"</formula>
    </cfRule>
    <cfRule type="cellIs" dxfId="18638" priority="2213" stopIfTrue="1" operator="equal">
      <formula>"Napkin Hs"</formula>
    </cfRule>
    <cfRule type="cellIs" dxfId="18637" priority="2218" stopIfTrue="1" operator="equal">
      <formula>"Towel"</formula>
    </cfRule>
    <cfRule type="cellIs" dxfId="18636" priority="2219" stopIfTrue="1" operator="equal">
      <formula>"Napkin Hs"</formula>
    </cfRule>
    <cfRule type="cellIs" dxfId="18635" priority="2228" stopIfTrue="1" operator="equal">
      <formula>"Towel"</formula>
    </cfRule>
    <cfRule type="cellIs" dxfId="18634" priority="2229" stopIfTrue="1" operator="equal">
      <formula>"Napkin Hs"</formula>
    </cfRule>
    <cfRule type="cellIs" dxfId="18633" priority="2230" stopIfTrue="1" operator="equal">
      <formula>"Towel"</formula>
    </cfRule>
    <cfRule type="cellIs" dxfId="18632" priority="2231" stopIfTrue="1" operator="equal">
      <formula>"Napkin Hs"</formula>
    </cfRule>
    <cfRule type="cellIs" dxfId="18631" priority="2236" stopIfTrue="1" operator="equal">
      <formula>"Towel"</formula>
    </cfRule>
    <cfRule type="cellIs" dxfId="18630" priority="2237" stopIfTrue="1" operator="equal">
      <formula>"Napkin Hs"</formula>
    </cfRule>
    <cfRule type="cellIs" dxfId="18629" priority="2246" stopIfTrue="1" operator="equal">
      <formula>"Towel"</formula>
    </cfRule>
    <cfRule type="cellIs" dxfId="18628" priority="2247" stopIfTrue="1" operator="equal">
      <formula>"Napkin Hs"</formula>
    </cfRule>
    <cfRule type="cellIs" dxfId="18627" priority="2248" stopIfTrue="1" operator="equal">
      <formula>"Towel"</formula>
    </cfRule>
    <cfRule type="cellIs" dxfId="18626" priority="2249" stopIfTrue="1" operator="equal">
      <formula>"Napkin Hs"</formula>
    </cfRule>
    <cfRule type="cellIs" dxfId="18625" priority="2255" stopIfTrue="1" operator="equal">
      <formula>"Napkin Hs"</formula>
    </cfRule>
  </conditionalFormatting>
  <conditionalFormatting sqref="B140:C140">
    <cfRule type="cellIs" dxfId="18624" priority="2254" stopIfTrue="1" operator="equal">
      <formula>"Towel"</formula>
    </cfRule>
  </conditionalFormatting>
  <conditionalFormatting sqref="C140">
    <cfRule type="cellIs" dxfId="18623" priority="2165" stopIfTrue="1" operator="equal">
      <formula>"Napkin Hs"</formula>
    </cfRule>
    <cfRule type="cellIs" dxfId="18622" priority="2166" stopIfTrue="1" operator="equal">
      <formula>"Towel"</formula>
    </cfRule>
    <cfRule type="cellIs" dxfId="18621" priority="2167" stopIfTrue="1" operator="equal">
      <formula>"Napkin Hs"</formula>
    </cfRule>
    <cfRule type="cellIs" dxfId="18620" priority="2168" stopIfTrue="1" operator="equal">
      <formula>"Towel"</formula>
    </cfRule>
    <cfRule type="cellIs" dxfId="18619" priority="2169" stopIfTrue="1" operator="equal">
      <formula>"Napkin Hs"</formula>
    </cfRule>
    <cfRule type="cellIs" dxfId="18618" priority="2170" stopIfTrue="1" operator="equal">
      <formula>"Towel"</formula>
    </cfRule>
    <cfRule type="cellIs" dxfId="18617" priority="2171" stopIfTrue="1" operator="equal">
      <formula>"Napkin Hs"</formula>
    </cfRule>
    <cfRule type="cellIs" dxfId="18616" priority="2172" stopIfTrue="1" operator="equal">
      <formula>"Towel"</formula>
    </cfRule>
    <cfRule type="cellIs" dxfId="18615" priority="2173" stopIfTrue="1" operator="equal">
      <formula>"Napkin Hs"</formula>
    </cfRule>
    <cfRule type="cellIs" dxfId="18614" priority="2176" stopIfTrue="1" operator="equal">
      <formula>"Towel"</formula>
    </cfRule>
    <cfRule type="cellIs" dxfId="18613" priority="2177" stopIfTrue="1" operator="equal">
      <formula>"Napkin Hs"</formula>
    </cfRule>
    <cfRule type="cellIs" dxfId="18612" priority="2178" stopIfTrue="1" operator="equal">
      <formula>"Towel"</formula>
    </cfRule>
    <cfRule type="cellIs" dxfId="18611" priority="2179" stopIfTrue="1" operator="equal">
      <formula>"Napkin Hs"</formula>
    </cfRule>
    <cfRule type="cellIs" dxfId="18610" priority="2182" stopIfTrue="1" operator="equal">
      <formula>"Towel"</formula>
    </cfRule>
    <cfRule type="cellIs" dxfId="18609" priority="2183" stopIfTrue="1" operator="equal">
      <formula>"Napkin Hs"</formula>
    </cfRule>
    <cfRule type="cellIs" dxfId="18608" priority="2184" stopIfTrue="1" operator="equal">
      <formula>"Towel"</formula>
    </cfRule>
    <cfRule type="cellIs" dxfId="18607" priority="2185" stopIfTrue="1" operator="equal">
      <formula>"Napkin Hs"</formula>
    </cfRule>
    <cfRule type="cellIs" dxfId="18606" priority="2190" stopIfTrue="1" operator="equal">
      <formula>"Towel"</formula>
    </cfRule>
    <cfRule type="cellIs" dxfId="18605" priority="2191" stopIfTrue="1" operator="equal">
      <formula>"Napkin Hs"</formula>
    </cfRule>
    <cfRule type="cellIs" dxfId="18604" priority="2192" stopIfTrue="1" operator="equal">
      <formula>"Towel"</formula>
    </cfRule>
    <cfRule type="cellIs" dxfId="18603" priority="2193" stopIfTrue="1" operator="equal">
      <formula>"Napkin Hs"</formula>
    </cfRule>
    <cfRule type="cellIs" dxfId="18602" priority="2196" stopIfTrue="1" operator="equal">
      <formula>"Towel"</formula>
    </cfRule>
    <cfRule type="cellIs" dxfId="18601" priority="2197" stopIfTrue="1" operator="equal">
      <formula>"Napkin Hs"</formula>
    </cfRule>
    <cfRule type="cellIs" dxfId="18600" priority="2198" stopIfTrue="1" operator="equal">
      <formula>"Towel"</formula>
    </cfRule>
    <cfRule type="cellIs" dxfId="18599" priority="2199" stopIfTrue="1" operator="equal">
      <formula>"Napkin Hs"</formula>
    </cfRule>
    <cfRule type="cellIs" dxfId="18598" priority="2200" stopIfTrue="1" operator="equal">
      <formula>"Towel"</formula>
    </cfRule>
    <cfRule type="cellIs" dxfId="18597" priority="2201" stopIfTrue="1" operator="equal">
      <formula>"Napkin Hs"</formula>
    </cfRule>
    <cfRule type="cellIs" dxfId="18596" priority="2202" stopIfTrue="1" operator="equal">
      <formula>"Towel"</formula>
    </cfRule>
    <cfRule type="cellIs" dxfId="18595" priority="2203" stopIfTrue="1" operator="equal">
      <formula>"Napkin Hs"</formula>
    </cfRule>
    <cfRule type="cellIs" dxfId="18594" priority="2206" stopIfTrue="1" operator="equal">
      <formula>"Towel"</formula>
    </cfRule>
    <cfRule type="cellIs" dxfId="18593" priority="2207" stopIfTrue="1" operator="equal">
      <formula>"Napkin Hs"</formula>
    </cfRule>
    <cfRule type="cellIs" dxfId="18592" priority="2208" stopIfTrue="1" operator="equal">
      <formula>"Towel"</formula>
    </cfRule>
    <cfRule type="cellIs" dxfId="18591" priority="2209" stopIfTrue="1" operator="equal">
      <formula>"Napkin Hs"</formula>
    </cfRule>
    <cfRule type="cellIs" dxfId="18590" priority="2214" stopIfTrue="1" operator="equal">
      <formula>"Towel"</formula>
    </cfRule>
    <cfRule type="cellIs" dxfId="18589" priority="2215" stopIfTrue="1" operator="equal">
      <formula>"Napkin Hs"</formula>
    </cfRule>
    <cfRule type="cellIs" dxfId="18588" priority="2216" stopIfTrue="1" operator="equal">
      <formula>"Towel"</formula>
    </cfRule>
    <cfRule type="cellIs" dxfId="18587" priority="2217" stopIfTrue="1" operator="equal">
      <formula>"Napkin Hs"</formula>
    </cfRule>
    <cfRule type="cellIs" dxfId="18586" priority="2220" stopIfTrue="1" operator="equal">
      <formula>"Towel"</formula>
    </cfRule>
    <cfRule type="cellIs" dxfId="18585" priority="2221" stopIfTrue="1" operator="equal">
      <formula>"Napkin Hs"</formula>
    </cfRule>
    <cfRule type="cellIs" dxfId="18584" priority="2222" stopIfTrue="1" operator="equal">
      <formula>"Towel"</formula>
    </cfRule>
    <cfRule type="cellIs" dxfId="18583" priority="2223" stopIfTrue="1" operator="equal">
      <formula>"Napkin Hs"</formula>
    </cfRule>
    <cfRule type="cellIs" dxfId="18582" priority="2224" stopIfTrue="1" operator="equal">
      <formula>"Towel"</formula>
    </cfRule>
    <cfRule type="cellIs" dxfId="18581" priority="2225" stopIfTrue="1" operator="equal">
      <formula>"Napkin Hs"</formula>
    </cfRule>
    <cfRule type="cellIs" dxfId="18580" priority="2226" stopIfTrue="1" operator="equal">
      <formula>"Towel"</formula>
    </cfRule>
    <cfRule type="cellIs" dxfId="18579" priority="2227" stopIfTrue="1" operator="equal">
      <formula>"Napkin Hs"</formula>
    </cfRule>
    <cfRule type="cellIs" dxfId="18578" priority="2232" stopIfTrue="1" operator="equal">
      <formula>"Towel"</formula>
    </cfRule>
    <cfRule type="cellIs" dxfId="18577" priority="2233" stopIfTrue="1" operator="equal">
      <formula>"Napkin Hs"</formula>
    </cfRule>
    <cfRule type="cellIs" dxfId="18576" priority="2234" stopIfTrue="1" operator="equal">
      <formula>"Towel"</formula>
    </cfRule>
    <cfRule type="cellIs" dxfId="18575" priority="2235" stopIfTrue="1" operator="equal">
      <formula>"Napkin Hs"</formula>
    </cfRule>
    <cfRule type="cellIs" dxfId="18574" priority="2238" stopIfTrue="1" operator="equal">
      <formula>"Towel"</formula>
    </cfRule>
    <cfRule type="cellIs" dxfId="18573" priority="2239" stopIfTrue="1" operator="equal">
      <formula>"Napkin Hs"</formula>
    </cfRule>
    <cfRule type="cellIs" dxfId="18572" priority="2240" stopIfTrue="1" operator="equal">
      <formula>"Towel"</formula>
    </cfRule>
    <cfRule type="cellIs" dxfId="18571" priority="2241" stopIfTrue="1" operator="equal">
      <formula>"Napkin Hs"</formula>
    </cfRule>
    <cfRule type="cellIs" dxfId="18570" priority="2242" stopIfTrue="1" operator="equal">
      <formula>"Towel"</formula>
    </cfRule>
    <cfRule type="cellIs" dxfId="18569" priority="2243" stopIfTrue="1" operator="equal">
      <formula>"Napkin Hs"</formula>
    </cfRule>
    <cfRule type="cellIs" dxfId="18568" priority="2244" stopIfTrue="1" operator="equal">
      <formula>"Towel"</formula>
    </cfRule>
    <cfRule type="cellIs" dxfId="18567" priority="2245" stopIfTrue="1" operator="equal">
      <formula>"Napkin Hs"</formula>
    </cfRule>
    <cfRule type="cellIs" dxfId="18566" priority="2250" stopIfTrue="1" operator="equal">
      <formula>"Towel"</formula>
    </cfRule>
    <cfRule type="cellIs" dxfId="18565" priority="2251" stopIfTrue="1" operator="equal">
      <formula>"Napkin Hs"</formula>
    </cfRule>
    <cfRule type="cellIs" dxfId="18564" priority="2252" stopIfTrue="1" operator="equal">
      <formula>"Towel"</formula>
    </cfRule>
    <cfRule type="cellIs" dxfId="18563" priority="2253" stopIfTrue="1" operator="equal">
      <formula>"Napkin Hs"</formula>
    </cfRule>
    <cfRule type="cellIs" dxfId="18562" priority="2256" stopIfTrue="1" operator="equal">
      <formula>"Towel"</formula>
    </cfRule>
    <cfRule type="cellIs" dxfId="18561" priority="2257" stopIfTrue="1" operator="equal">
      <formula>"Napkin Hs"</formula>
    </cfRule>
    <cfRule type="cellIs" dxfId="18560" priority="2258" stopIfTrue="1" operator="equal">
      <formula>"Towel"</formula>
    </cfRule>
    <cfRule type="cellIs" dxfId="18559" priority="2259" stopIfTrue="1" operator="equal">
      <formula>"Napkin Hs"</formula>
    </cfRule>
  </conditionalFormatting>
  <conditionalFormatting sqref="C140">
    <cfRule type="cellIs" dxfId="18558" priority="2162" stopIfTrue="1" operator="equal">
      <formula>"Napkin Hs"</formula>
    </cfRule>
  </conditionalFormatting>
  <conditionalFormatting sqref="C140">
    <cfRule type="cellIs" dxfId="18557" priority="2161" stopIfTrue="1" operator="equal">
      <formula>"Napkin Hs"</formula>
    </cfRule>
  </conditionalFormatting>
  <conditionalFormatting sqref="B140">
    <cfRule type="cellIs" dxfId="18556" priority="2160" stopIfTrue="1" operator="equal">
      <formula>"Napkin Hs"</formula>
    </cfRule>
  </conditionalFormatting>
  <conditionalFormatting sqref="C140">
    <cfRule type="cellIs" dxfId="18555" priority="2159" stopIfTrue="1" operator="equal">
      <formula>"Napkin Hs"</formula>
    </cfRule>
  </conditionalFormatting>
  <conditionalFormatting sqref="C140">
    <cfRule type="cellIs" dxfId="18554" priority="2158" stopIfTrue="1" operator="equal">
      <formula>"Napkin Hs"</formula>
    </cfRule>
  </conditionalFormatting>
  <conditionalFormatting sqref="C140">
    <cfRule type="cellIs" dxfId="18553" priority="2157" stopIfTrue="1" operator="equal">
      <formula>"Napkin Hs"</formula>
    </cfRule>
  </conditionalFormatting>
  <conditionalFormatting sqref="C140">
    <cfRule type="cellIs" dxfId="18552" priority="2156" stopIfTrue="1" operator="equal">
      <formula>"Napkin Hs"</formula>
    </cfRule>
  </conditionalFormatting>
  <conditionalFormatting sqref="B140">
    <cfRule type="cellIs" dxfId="18551" priority="2155" stopIfTrue="1" operator="equal">
      <formula>"Napkin Hs"</formula>
    </cfRule>
  </conditionalFormatting>
  <conditionalFormatting sqref="B140">
    <cfRule type="cellIs" dxfId="18550" priority="2154" stopIfTrue="1" operator="equal">
      <formula>"Napkin Hs"</formula>
    </cfRule>
  </conditionalFormatting>
  <conditionalFormatting sqref="C140">
    <cfRule type="cellIs" dxfId="18549" priority="2150" stopIfTrue="1" operator="equal">
      <formula>"Towel"</formula>
    </cfRule>
    <cfRule type="cellIs" dxfId="18548" priority="2151" stopIfTrue="1" operator="equal">
      <formula>"Napkin Hs"</formula>
    </cfRule>
  </conditionalFormatting>
  <conditionalFormatting sqref="C140">
    <cfRule type="cellIs" dxfId="18547" priority="2152" stopIfTrue="1" operator="equal">
      <formula>"Towel"</formula>
    </cfRule>
    <cfRule type="cellIs" dxfId="18546" priority="2153" stopIfTrue="1" operator="equal">
      <formula>"Napkin Hs"</formula>
    </cfRule>
  </conditionalFormatting>
  <conditionalFormatting sqref="C140">
    <cfRule type="cellIs" dxfId="18545" priority="2146" stopIfTrue="1" operator="equal">
      <formula>"Towel"</formula>
    </cfRule>
    <cfRule type="cellIs" dxfId="18544" priority="2147" stopIfTrue="1" operator="equal">
      <formula>"Napkin Hs"</formula>
    </cfRule>
  </conditionalFormatting>
  <conditionalFormatting sqref="C140">
    <cfRule type="cellIs" dxfId="18543" priority="2148" stopIfTrue="1" operator="equal">
      <formula>"Towel"</formula>
    </cfRule>
    <cfRule type="cellIs" dxfId="18542" priority="2149" stopIfTrue="1" operator="equal">
      <formula>"Napkin Hs"</formula>
    </cfRule>
  </conditionalFormatting>
  <conditionalFormatting sqref="C139">
    <cfRule type="cellIs" dxfId="18541" priority="2144" stopIfTrue="1" operator="equal">
      <formula>"Towel"</formula>
    </cfRule>
    <cfRule type="cellIs" dxfId="18540" priority="2145" stopIfTrue="1" operator="equal">
      <formula>"Napkin Hs"</formula>
    </cfRule>
  </conditionalFormatting>
  <conditionalFormatting sqref="C139">
    <cfRule type="cellIs" dxfId="18539" priority="2140" stopIfTrue="1" operator="equal">
      <formula>"Towel"</formula>
    </cfRule>
    <cfRule type="cellIs" dxfId="18538" priority="2141" stopIfTrue="1" operator="equal">
      <formula>"Napkin Hs"</formula>
    </cfRule>
  </conditionalFormatting>
  <conditionalFormatting sqref="C139">
    <cfRule type="cellIs" dxfId="18537" priority="2142" stopIfTrue="1" operator="equal">
      <formula>"Towel"</formula>
    </cfRule>
    <cfRule type="cellIs" dxfId="18536" priority="2143" stopIfTrue="1" operator="equal">
      <formula>"Napkin Hs"</formula>
    </cfRule>
  </conditionalFormatting>
  <conditionalFormatting sqref="C139">
    <cfRule type="cellIs" dxfId="18535" priority="2136" stopIfTrue="1" operator="equal">
      <formula>"Towel"</formula>
    </cfRule>
    <cfRule type="cellIs" dxfId="18534" priority="2137" stopIfTrue="1" operator="equal">
      <formula>"Napkin Hs"</formula>
    </cfRule>
  </conditionalFormatting>
  <conditionalFormatting sqref="C139">
    <cfRule type="cellIs" dxfId="18533" priority="2138" stopIfTrue="1" operator="equal">
      <formula>"Towel"</formula>
    </cfRule>
    <cfRule type="cellIs" dxfId="18532" priority="2139" stopIfTrue="1" operator="equal">
      <formula>"Napkin Hs"</formula>
    </cfRule>
  </conditionalFormatting>
  <conditionalFormatting sqref="C139">
    <cfRule type="cellIs" dxfId="18531" priority="2134" stopIfTrue="1" operator="equal">
      <formula>"Towel"</formula>
    </cfRule>
    <cfRule type="cellIs" dxfId="18530" priority="2135" stopIfTrue="1" operator="equal">
      <formula>"Napkin Hs"</formula>
    </cfRule>
  </conditionalFormatting>
  <conditionalFormatting sqref="C139">
    <cfRule type="cellIs" dxfId="18529" priority="2128" stopIfTrue="1" operator="equal">
      <formula>"Towel"</formula>
    </cfRule>
    <cfRule type="cellIs" dxfId="18528" priority="2129" stopIfTrue="1" operator="equal">
      <formula>"Napkin Hs"</formula>
    </cfRule>
  </conditionalFormatting>
  <conditionalFormatting sqref="C139">
    <cfRule type="cellIs" dxfId="18527" priority="2132" stopIfTrue="1" operator="equal">
      <formula>"Towel"</formula>
    </cfRule>
    <cfRule type="cellIs" dxfId="18526" priority="2133" stopIfTrue="1" operator="equal">
      <formula>"Napkin Hs"</formula>
    </cfRule>
  </conditionalFormatting>
  <conditionalFormatting sqref="C139">
    <cfRule type="cellIs" dxfId="18525" priority="2130" stopIfTrue="1" operator="equal">
      <formula>"Towel"</formula>
    </cfRule>
    <cfRule type="cellIs" dxfId="18524" priority="2131" stopIfTrue="1" operator="equal">
      <formula>"Napkin Hs"</formula>
    </cfRule>
  </conditionalFormatting>
  <conditionalFormatting sqref="C139">
    <cfRule type="cellIs" dxfId="18523" priority="2122" stopIfTrue="1" operator="equal">
      <formula>"Towel"</formula>
    </cfRule>
    <cfRule type="cellIs" dxfId="18522" priority="2123" stopIfTrue="1" operator="equal">
      <formula>"Napkin Hs"</formula>
    </cfRule>
  </conditionalFormatting>
  <conditionalFormatting sqref="C139">
    <cfRule type="cellIs" dxfId="18521" priority="2124" stopIfTrue="1" operator="equal">
      <formula>"Towel"</formula>
    </cfRule>
    <cfRule type="cellIs" dxfId="18520" priority="2125" stopIfTrue="1" operator="equal">
      <formula>"Napkin Hs"</formula>
    </cfRule>
  </conditionalFormatting>
  <conditionalFormatting sqref="C139">
    <cfRule type="cellIs" dxfId="18519" priority="2126" stopIfTrue="1" operator="equal">
      <formula>"Towel"</formula>
    </cfRule>
    <cfRule type="cellIs" dxfId="18518" priority="2127" stopIfTrue="1" operator="equal">
      <formula>"Napkin Hs"</formula>
    </cfRule>
  </conditionalFormatting>
  <conditionalFormatting sqref="C139">
    <cfRule type="cellIs" dxfId="18517" priority="2120" stopIfTrue="1" operator="equal">
      <formula>"Towel"</formula>
    </cfRule>
    <cfRule type="cellIs" dxfId="18516" priority="2121" stopIfTrue="1" operator="equal">
      <formula>"Napkin Hs"</formula>
    </cfRule>
  </conditionalFormatting>
  <conditionalFormatting sqref="C139">
    <cfRule type="cellIs" dxfId="18515" priority="2118" stopIfTrue="1" operator="equal">
      <formula>"Towel"</formula>
    </cfRule>
    <cfRule type="cellIs" dxfId="18514" priority="2119" stopIfTrue="1" operator="equal">
      <formula>"Napkin Hs"</formula>
    </cfRule>
  </conditionalFormatting>
  <conditionalFormatting sqref="C139">
    <cfRule type="cellIs" dxfId="18513" priority="2094" stopIfTrue="1" operator="equal">
      <formula>"Towel"</formula>
    </cfRule>
  </conditionalFormatting>
  <conditionalFormatting sqref="C139">
    <cfRule type="cellIs" dxfId="18512" priority="2095" stopIfTrue="1" operator="equal">
      <formula>"Napkin Hs"</formula>
    </cfRule>
    <cfRule type="cellIs" dxfId="18511" priority="2100" stopIfTrue="1" operator="equal">
      <formula>"Towel"</formula>
    </cfRule>
    <cfRule type="cellIs" dxfId="18510" priority="2101" stopIfTrue="1" operator="equal">
      <formula>"Napkin Hs"</formula>
    </cfRule>
    <cfRule type="cellIs" dxfId="18509" priority="2110" stopIfTrue="1" operator="equal">
      <formula>"Towel"</formula>
    </cfRule>
    <cfRule type="cellIs" dxfId="18508" priority="2111" stopIfTrue="1" operator="equal">
      <formula>"Napkin Hs"</formula>
    </cfRule>
    <cfRule type="cellIs" dxfId="18507" priority="2116" stopIfTrue="1" operator="equal">
      <formula>"Towel"</formula>
    </cfRule>
    <cfRule type="cellIs" dxfId="18506" priority="2117" stopIfTrue="1" operator="equal">
      <formula>"Napkin Hs"</formula>
    </cfRule>
  </conditionalFormatting>
  <conditionalFormatting sqref="C139">
    <cfRule type="cellIs" dxfId="18505" priority="2096" stopIfTrue="1" operator="equal">
      <formula>"Towel"</formula>
    </cfRule>
    <cfRule type="cellIs" dxfId="18504" priority="2097" stopIfTrue="1" operator="equal">
      <formula>"Napkin Hs"</formula>
    </cfRule>
    <cfRule type="cellIs" dxfId="18503" priority="2098" stopIfTrue="1" operator="equal">
      <formula>"Towel"</formula>
    </cfRule>
    <cfRule type="cellIs" dxfId="18502" priority="2099" stopIfTrue="1" operator="equal">
      <formula>"Napkin Hs"</formula>
    </cfRule>
    <cfRule type="cellIs" dxfId="18501" priority="2102" stopIfTrue="1" operator="equal">
      <formula>"Towel"</formula>
    </cfRule>
    <cfRule type="cellIs" dxfId="18500" priority="2103" stopIfTrue="1" operator="equal">
      <formula>"Napkin Hs"</formula>
    </cfRule>
    <cfRule type="cellIs" dxfId="18499" priority="2104" stopIfTrue="1" operator="equal">
      <formula>"Towel"</formula>
    </cfRule>
    <cfRule type="cellIs" dxfId="18498" priority="2105" stopIfTrue="1" operator="equal">
      <formula>"Napkin Hs"</formula>
    </cfRule>
    <cfRule type="cellIs" dxfId="18497" priority="2106" stopIfTrue="1" operator="equal">
      <formula>"Towel"</formula>
    </cfRule>
    <cfRule type="cellIs" dxfId="18496" priority="2107" stopIfTrue="1" operator="equal">
      <formula>"Napkin Hs"</formula>
    </cfRule>
    <cfRule type="cellIs" dxfId="18495" priority="2108" stopIfTrue="1" operator="equal">
      <formula>"Towel"</formula>
    </cfRule>
    <cfRule type="cellIs" dxfId="18494" priority="2109" stopIfTrue="1" operator="equal">
      <formula>"Napkin Hs"</formula>
    </cfRule>
    <cfRule type="cellIs" dxfId="18493" priority="2112" stopIfTrue="1" operator="equal">
      <formula>"Towel"</formula>
    </cfRule>
    <cfRule type="cellIs" dxfId="18492" priority="2113" stopIfTrue="1" operator="equal">
      <formula>"Napkin Hs"</formula>
    </cfRule>
    <cfRule type="cellIs" dxfId="18491" priority="2115" stopIfTrue="1" operator="equal">
      <formula>"Napkin Hs"</formula>
    </cfRule>
  </conditionalFormatting>
  <conditionalFormatting sqref="C139">
    <cfRule type="cellIs" dxfId="18490" priority="2114" stopIfTrue="1" operator="equal">
      <formula>"Towel"</formula>
    </cfRule>
  </conditionalFormatting>
  <conditionalFormatting sqref="C139">
    <cfRule type="cellIs" dxfId="18489" priority="2092" stopIfTrue="1" operator="equal">
      <formula>"Towel"</formula>
    </cfRule>
    <cfRule type="cellIs" dxfId="18488" priority="2093" stopIfTrue="1" operator="equal">
      <formula>"Napkin Hs"</formula>
    </cfRule>
  </conditionalFormatting>
  <conditionalFormatting sqref="C139">
    <cfRule type="cellIs" dxfId="18487" priority="2091" stopIfTrue="1" operator="equal">
      <formula>"Napkin Hs"</formula>
    </cfRule>
  </conditionalFormatting>
  <conditionalFormatting sqref="C139">
    <cfRule type="cellIs" dxfId="18486" priority="2090" stopIfTrue="1" operator="equal">
      <formula>"Towel"</formula>
    </cfRule>
  </conditionalFormatting>
  <conditionalFormatting sqref="C139">
    <cfRule type="cellIs" dxfId="18485" priority="2088" stopIfTrue="1" operator="equal">
      <formula>"Towel"</formula>
    </cfRule>
  </conditionalFormatting>
  <conditionalFormatting sqref="C139">
    <cfRule type="cellIs" dxfId="18484" priority="2089" stopIfTrue="1" operator="equal">
      <formula>"Napkin Hs"</formula>
    </cfRule>
  </conditionalFormatting>
  <conditionalFormatting sqref="C139">
    <cfRule type="cellIs" dxfId="18483" priority="1992" stopIfTrue="1" operator="equal">
      <formula>"Towel"</formula>
    </cfRule>
  </conditionalFormatting>
  <conditionalFormatting sqref="C139">
    <cfRule type="cellIs" dxfId="18482" priority="2002" stopIfTrue="1" operator="equal">
      <formula>"Towel"</formula>
    </cfRule>
    <cfRule type="cellIs" dxfId="18481" priority="2003" stopIfTrue="1" operator="equal">
      <formula>"Napkin Hs"</formula>
    </cfRule>
    <cfRule type="cellIs" dxfId="18480" priority="2008" stopIfTrue="1" operator="equal">
      <formula>"Towel"</formula>
    </cfRule>
    <cfRule type="cellIs" dxfId="18479" priority="2009" stopIfTrue="1" operator="equal">
      <formula>"Napkin Hs"</formula>
    </cfRule>
    <cfRule type="cellIs" dxfId="18478" priority="2014" stopIfTrue="1" operator="equal">
      <formula>"Towel"</formula>
    </cfRule>
    <cfRule type="cellIs" dxfId="18477" priority="2015" stopIfTrue="1" operator="equal">
      <formula>"Napkin Hs"</formula>
    </cfRule>
    <cfRule type="cellIs" dxfId="18476" priority="2016" stopIfTrue="1" operator="equal">
      <formula>"Towel"</formula>
    </cfRule>
    <cfRule type="cellIs" dxfId="18475" priority="2017" stopIfTrue="1" operator="equal">
      <formula>"Napkin Hs"</formula>
    </cfRule>
    <cfRule type="cellIs" dxfId="18474" priority="2022" stopIfTrue="1" operator="equal">
      <formula>"Towel"</formula>
    </cfRule>
    <cfRule type="cellIs" dxfId="18473" priority="2023" stopIfTrue="1" operator="equal">
      <formula>"Napkin Hs"</formula>
    </cfRule>
    <cfRule type="cellIs" dxfId="18472" priority="2032" stopIfTrue="1" operator="equal">
      <formula>"Towel"</formula>
    </cfRule>
    <cfRule type="cellIs" dxfId="18471" priority="2033" stopIfTrue="1" operator="equal">
      <formula>"Napkin Hs"</formula>
    </cfRule>
    <cfRule type="cellIs" dxfId="18470" priority="2038" stopIfTrue="1" operator="equal">
      <formula>"Towel"</formula>
    </cfRule>
    <cfRule type="cellIs" dxfId="18469" priority="2039" stopIfTrue="1" operator="equal">
      <formula>"Napkin Hs"</formula>
    </cfRule>
    <cfRule type="cellIs" dxfId="18468" priority="2040" stopIfTrue="1" operator="equal">
      <formula>"Towel"</formula>
    </cfRule>
    <cfRule type="cellIs" dxfId="18467" priority="2041" stopIfTrue="1" operator="equal">
      <formula>"Napkin Hs"</formula>
    </cfRule>
    <cfRule type="cellIs" dxfId="18466" priority="2046" stopIfTrue="1" operator="equal">
      <formula>"Towel"</formula>
    </cfRule>
    <cfRule type="cellIs" dxfId="18465" priority="2047" stopIfTrue="1" operator="equal">
      <formula>"Napkin Hs"</formula>
    </cfRule>
    <cfRule type="cellIs" dxfId="18464" priority="2056" stopIfTrue="1" operator="equal">
      <formula>"Towel"</formula>
    </cfRule>
    <cfRule type="cellIs" dxfId="18463" priority="2057" stopIfTrue="1" operator="equal">
      <formula>"Napkin Hs"</formula>
    </cfRule>
    <cfRule type="cellIs" dxfId="18462" priority="2058" stopIfTrue="1" operator="equal">
      <formula>"Towel"</formula>
    </cfRule>
    <cfRule type="cellIs" dxfId="18461" priority="2059" stopIfTrue="1" operator="equal">
      <formula>"Napkin Hs"</formula>
    </cfRule>
    <cfRule type="cellIs" dxfId="18460" priority="2064" stopIfTrue="1" operator="equal">
      <formula>"Towel"</formula>
    </cfRule>
    <cfRule type="cellIs" dxfId="18459" priority="2065" stopIfTrue="1" operator="equal">
      <formula>"Napkin Hs"</formula>
    </cfRule>
    <cfRule type="cellIs" dxfId="18458" priority="2074" stopIfTrue="1" operator="equal">
      <formula>"Towel"</formula>
    </cfRule>
    <cfRule type="cellIs" dxfId="18457" priority="2075" stopIfTrue="1" operator="equal">
      <formula>"Napkin Hs"</formula>
    </cfRule>
    <cfRule type="cellIs" dxfId="18456" priority="2076" stopIfTrue="1" operator="equal">
      <formula>"Towel"</formula>
    </cfRule>
    <cfRule type="cellIs" dxfId="18455" priority="2077" stopIfTrue="1" operator="equal">
      <formula>"Napkin Hs"</formula>
    </cfRule>
    <cfRule type="cellIs" dxfId="18454" priority="2083" stopIfTrue="1" operator="equal">
      <formula>"Napkin Hs"</formula>
    </cfRule>
  </conditionalFormatting>
  <conditionalFormatting sqref="C139">
    <cfRule type="cellIs" dxfId="18453" priority="2082" stopIfTrue="1" operator="equal">
      <formula>"Towel"</formula>
    </cfRule>
  </conditionalFormatting>
  <conditionalFormatting sqref="C139">
    <cfRule type="cellIs" dxfId="18452" priority="1993" stopIfTrue="1" operator="equal">
      <formula>"Napkin Hs"</formula>
    </cfRule>
    <cfRule type="cellIs" dxfId="18451" priority="1994" stopIfTrue="1" operator="equal">
      <formula>"Towel"</formula>
    </cfRule>
    <cfRule type="cellIs" dxfId="18450" priority="1995" stopIfTrue="1" operator="equal">
      <formula>"Napkin Hs"</formula>
    </cfRule>
    <cfRule type="cellIs" dxfId="18449" priority="1996" stopIfTrue="1" operator="equal">
      <formula>"Towel"</formula>
    </cfRule>
    <cfRule type="cellIs" dxfId="18448" priority="1997" stopIfTrue="1" operator="equal">
      <formula>"Napkin Hs"</formula>
    </cfRule>
    <cfRule type="cellIs" dxfId="18447" priority="1998" stopIfTrue="1" operator="equal">
      <formula>"Towel"</formula>
    </cfRule>
    <cfRule type="cellIs" dxfId="18446" priority="1999" stopIfTrue="1" operator="equal">
      <formula>"Napkin Hs"</formula>
    </cfRule>
    <cfRule type="cellIs" dxfId="18445" priority="2000" stopIfTrue="1" operator="equal">
      <formula>"Towel"</formula>
    </cfRule>
    <cfRule type="cellIs" dxfId="18444" priority="2001" stopIfTrue="1" operator="equal">
      <formula>"Napkin Hs"</formula>
    </cfRule>
    <cfRule type="cellIs" dxfId="18443" priority="2004" stopIfTrue="1" operator="equal">
      <formula>"Towel"</formula>
    </cfRule>
    <cfRule type="cellIs" dxfId="18442" priority="2005" stopIfTrue="1" operator="equal">
      <formula>"Napkin Hs"</formula>
    </cfRule>
    <cfRule type="cellIs" dxfId="18441" priority="2006" stopIfTrue="1" operator="equal">
      <formula>"Towel"</formula>
    </cfRule>
    <cfRule type="cellIs" dxfId="18440" priority="2007" stopIfTrue="1" operator="equal">
      <formula>"Napkin Hs"</formula>
    </cfRule>
    <cfRule type="cellIs" dxfId="18439" priority="2010" stopIfTrue="1" operator="equal">
      <formula>"Towel"</formula>
    </cfRule>
    <cfRule type="cellIs" dxfId="18438" priority="2011" stopIfTrue="1" operator="equal">
      <formula>"Napkin Hs"</formula>
    </cfRule>
    <cfRule type="cellIs" dxfId="18437" priority="2012" stopIfTrue="1" operator="equal">
      <formula>"Towel"</formula>
    </cfRule>
    <cfRule type="cellIs" dxfId="18436" priority="2013" stopIfTrue="1" operator="equal">
      <formula>"Napkin Hs"</formula>
    </cfRule>
    <cfRule type="cellIs" dxfId="18435" priority="2018" stopIfTrue="1" operator="equal">
      <formula>"Towel"</formula>
    </cfRule>
    <cfRule type="cellIs" dxfId="18434" priority="2019" stopIfTrue="1" operator="equal">
      <formula>"Napkin Hs"</formula>
    </cfRule>
    <cfRule type="cellIs" dxfId="18433" priority="2020" stopIfTrue="1" operator="equal">
      <formula>"Towel"</formula>
    </cfRule>
    <cfRule type="cellIs" dxfId="18432" priority="2021" stopIfTrue="1" operator="equal">
      <formula>"Napkin Hs"</formula>
    </cfRule>
    <cfRule type="cellIs" dxfId="18431" priority="2024" stopIfTrue="1" operator="equal">
      <formula>"Towel"</formula>
    </cfRule>
    <cfRule type="cellIs" dxfId="18430" priority="2025" stopIfTrue="1" operator="equal">
      <formula>"Napkin Hs"</formula>
    </cfRule>
    <cfRule type="cellIs" dxfId="18429" priority="2026" stopIfTrue="1" operator="equal">
      <formula>"Towel"</formula>
    </cfRule>
    <cfRule type="cellIs" dxfId="18428" priority="2027" stopIfTrue="1" operator="equal">
      <formula>"Napkin Hs"</formula>
    </cfRule>
    <cfRule type="cellIs" dxfId="18427" priority="2028" stopIfTrue="1" operator="equal">
      <formula>"Towel"</formula>
    </cfRule>
    <cfRule type="cellIs" dxfId="18426" priority="2029" stopIfTrue="1" operator="equal">
      <formula>"Napkin Hs"</formula>
    </cfRule>
    <cfRule type="cellIs" dxfId="18425" priority="2030" stopIfTrue="1" operator="equal">
      <formula>"Towel"</formula>
    </cfRule>
    <cfRule type="cellIs" dxfId="18424" priority="2031" stopIfTrue="1" operator="equal">
      <formula>"Napkin Hs"</formula>
    </cfRule>
    <cfRule type="cellIs" dxfId="18423" priority="2034" stopIfTrue="1" operator="equal">
      <formula>"Towel"</formula>
    </cfRule>
    <cfRule type="cellIs" dxfId="18422" priority="2035" stopIfTrue="1" operator="equal">
      <formula>"Napkin Hs"</formula>
    </cfRule>
    <cfRule type="cellIs" dxfId="18421" priority="2036" stopIfTrue="1" operator="equal">
      <formula>"Towel"</formula>
    </cfRule>
    <cfRule type="cellIs" dxfId="18420" priority="2037" stopIfTrue="1" operator="equal">
      <formula>"Napkin Hs"</formula>
    </cfRule>
    <cfRule type="cellIs" dxfId="18419" priority="2042" stopIfTrue="1" operator="equal">
      <formula>"Towel"</formula>
    </cfRule>
    <cfRule type="cellIs" dxfId="18418" priority="2043" stopIfTrue="1" operator="equal">
      <formula>"Napkin Hs"</formula>
    </cfRule>
    <cfRule type="cellIs" dxfId="18417" priority="2044" stopIfTrue="1" operator="equal">
      <formula>"Towel"</formula>
    </cfRule>
    <cfRule type="cellIs" dxfId="18416" priority="2045" stopIfTrue="1" operator="equal">
      <formula>"Napkin Hs"</formula>
    </cfRule>
    <cfRule type="cellIs" dxfId="18415" priority="2048" stopIfTrue="1" operator="equal">
      <formula>"Towel"</formula>
    </cfRule>
    <cfRule type="cellIs" dxfId="18414" priority="2049" stopIfTrue="1" operator="equal">
      <formula>"Napkin Hs"</formula>
    </cfRule>
    <cfRule type="cellIs" dxfId="18413" priority="2050" stopIfTrue="1" operator="equal">
      <formula>"Towel"</formula>
    </cfRule>
    <cfRule type="cellIs" dxfId="18412" priority="2051" stopIfTrue="1" operator="equal">
      <formula>"Napkin Hs"</formula>
    </cfRule>
    <cfRule type="cellIs" dxfId="18411" priority="2052" stopIfTrue="1" operator="equal">
      <formula>"Towel"</formula>
    </cfRule>
    <cfRule type="cellIs" dxfId="18410" priority="2053" stopIfTrue="1" operator="equal">
      <formula>"Napkin Hs"</formula>
    </cfRule>
    <cfRule type="cellIs" dxfId="18409" priority="2054" stopIfTrue="1" operator="equal">
      <formula>"Towel"</formula>
    </cfRule>
    <cfRule type="cellIs" dxfId="18408" priority="2055" stopIfTrue="1" operator="equal">
      <formula>"Napkin Hs"</formula>
    </cfRule>
    <cfRule type="cellIs" dxfId="18407" priority="2060" stopIfTrue="1" operator="equal">
      <formula>"Towel"</formula>
    </cfRule>
    <cfRule type="cellIs" dxfId="18406" priority="2061" stopIfTrue="1" operator="equal">
      <formula>"Napkin Hs"</formula>
    </cfRule>
    <cfRule type="cellIs" dxfId="18405" priority="2062" stopIfTrue="1" operator="equal">
      <formula>"Towel"</formula>
    </cfRule>
    <cfRule type="cellIs" dxfId="18404" priority="2063" stopIfTrue="1" operator="equal">
      <formula>"Napkin Hs"</formula>
    </cfRule>
    <cfRule type="cellIs" dxfId="18403" priority="2066" stopIfTrue="1" operator="equal">
      <formula>"Towel"</formula>
    </cfRule>
    <cfRule type="cellIs" dxfId="18402" priority="2067" stopIfTrue="1" operator="equal">
      <formula>"Napkin Hs"</formula>
    </cfRule>
    <cfRule type="cellIs" dxfId="18401" priority="2068" stopIfTrue="1" operator="equal">
      <formula>"Towel"</formula>
    </cfRule>
    <cfRule type="cellIs" dxfId="18400" priority="2069" stopIfTrue="1" operator="equal">
      <formula>"Napkin Hs"</formula>
    </cfRule>
    <cfRule type="cellIs" dxfId="18399" priority="2070" stopIfTrue="1" operator="equal">
      <formula>"Towel"</formula>
    </cfRule>
    <cfRule type="cellIs" dxfId="18398" priority="2071" stopIfTrue="1" operator="equal">
      <formula>"Napkin Hs"</formula>
    </cfRule>
    <cfRule type="cellIs" dxfId="18397" priority="2072" stopIfTrue="1" operator="equal">
      <formula>"Towel"</formula>
    </cfRule>
    <cfRule type="cellIs" dxfId="18396" priority="2073" stopIfTrue="1" operator="equal">
      <formula>"Napkin Hs"</formula>
    </cfRule>
    <cfRule type="cellIs" dxfId="18395" priority="2078" stopIfTrue="1" operator="equal">
      <formula>"Towel"</formula>
    </cfRule>
    <cfRule type="cellIs" dxfId="18394" priority="2079" stopIfTrue="1" operator="equal">
      <formula>"Napkin Hs"</formula>
    </cfRule>
    <cfRule type="cellIs" dxfId="18393" priority="2080" stopIfTrue="1" operator="equal">
      <formula>"Towel"</formula>
    </cfRule>
    <cfRule type="cellIs" dxfId="18392" priority="2081" stopIfTrue="1" operator="equal">
      <formula>"Napkin Hs"</formula>
    </cfRule>
    <cfRule type="cellIs" dxfId="18391" priority="2084" stopIfTrue="1" operator="equal">
      <formula>"Towel"</formula>
    </cfRule>
    <cfRule type="cellIs" dxfId="18390" priority="2085" stopIfTrue="1" operator="equal">
      <formula>"Napkin Hs"</formula>
    </cfRule>
    <cfRule type="cellIs" dxfId="18389" priority="2086" stopIfTrue="1" operator="equal">
      <formula>"Towel"</formula>
    </cfRule>
    <cfRule type="cellIs" dxfId="18388" priority="2087" stopIfTrue="1" operator="equal">
      <formula>"Napkin Hs"</formula>
    </cfRule>
  </conditionalFormatting>
  <conditionalFormatting sqref="C139">
    <cfRule type="cellIs" dxfId="18387" priority="1991" stopIfTrue="1" operator="equal">
      <formula>"Napkin Hs"</formula>
    </cfRule>
  </conditionalFormatting>
  <conditionalFormatting sqref="C139">
    <cfRule type="cellIs" dxfId="18386" priority="1990" stopIfTrue="1" operator="equal">
      <formula>"Napkin Hs"</formula>
    </cfRule>
  </conditionalFormatting>
  <conditionalFormatting sqref="C139">
    <cfRule type="cellIs" dxfId="18385" priority="1989" stopIfTrue="1" operator="equal">
      <formula>"Napkin Hs"</formula>
    </cfRule>
  </conditionalFormatting>
  <conditionalFormatting sqref="C139">
    <cfRule type="cellIs" dxfId="18384" priority="1988" stopIfTrue="1" operator="equal">
      <formula>"Napkin Hs"</formula>
    </cfRule>
  </conditionalFormatting>
  <conditionalFormatting sqref="C139">
    <cfRule type="cellIs" dxfId="18383" priority="1987" stopIfTrue="1" operator="equal">
      <formula>"Napkin Hs"</formula>
    </cfRule>
  </conditionalFormatting>
  <conditionalFormatting sqref="C139">
    <cfRule type="cellIs" dxfId="18382" priority="1986" stopIfTrue="1" operator="equal">
      <formula>"Napkin Hs"</formula>
    </cfRule>
  </conditionalFormatting>
  <conditionalFormatting sqref="C139">
    <cfRule type="cellIs" dxfId="18381" priority="1982" stopIfTrue="1" operator="equal">
      <formula>"Towel"</formula>
    </cfRule>
    <cfRule type="cellIs" dxfId="18380" priority="1983" stopIfTrue="1" operator="equal">
      <formula>"Napkin Hs"</formula>
    </cfRule>
  </conditionalFormatting>
  <conditionalFormatting sqref="C139">
    <cfRule type="cellIs" dxfId="18379" priority="1984" stopIfTrue="1" operator="equal">
      <formula>"Towel"</formula>
    </cfRule>
    <cfRule type="cellIs" dxfId="18378" priority="1985" stopIfTrue="1" operator="equal">
      <formula>"Napkin Hs"</formula>
    </cfRule>
  </conditionalFormatting>
  <conditionalFormatting sqref="C139">
    <cfRule type="cellIs" dxfId="18377" priority="1978" stopIfTrue="1" operator="equal">
      <formula>"Towel"</formula>
    </cfRule>
    <cfRule type="cellIs" dxfId="18376" priority="1979" stopIfTrue="1" operator="equal">
      <formula>"Napkin Hs"</formula>
    </cfRule>
  </conditionalFormatting>
  <conditionalFormatting sqref="C139">
    <cfRule type="cellIs" dxfId="18375" priority="1980" stopIfTrue="1" operator="equal">
      <formula>"Towel"</formula>
    </cfRule>
    <cfRule type="cellIs" dxfId="18374" priority="1981" stopIfTrue="1" operator="equal">
      <formula>"Napkin Hs"</formula>
    </cfRule>
  </conditionalFormatting>
  <conditionalFormatting sqref="C138">
    <cfRule type="cellIs" dxfId="18373" priority="1802" stopIfTrue="1" operator="equal">
      <formula>"Towel"</formula>
    </cfRule>
    <cfRule type="cellIs" dxfId="18372" priority="1803" stopIfTrue="1" operator="equal">
      <formula>"Napkin Hs"</formula>
    </cfRule>
  </conditionalFormatting>
  <conditionalFormatting sqref="C138">
    <cfRule type="cellIs" dxfId="18371" priority="1798" stopIfTrue="1" operator="equal">
      <formula>"Towel"</formula>
    </cfRule>
    <cfRule type="cellIs" dxfId="18370" priority="1799" stopIfTrue="1" operator="equal">
      <formula>"Napkin Hs"</formula>
    </cfRule>
  </conditionalFormatting>
  <conditionalFormatting sqref="C138">
    <cfRule type="cellIs" dxfId="18369" priority="1800" stopIfTrue="1" operator="equal">
      <formula>"Towel"</formula>
    </cfRule>
    <cfRule type="cellIs" dxfId="18368" priority="1801" stopIfTrue="1" operator="equal">
      <formula>"Napkin Hs"</formula>
    </cfRule>
  </conditionalFormatting>
  <conditionalFormatting sqref="C138">
    <cfRule type="cellIs" dxfId="18367" priority="1794" stopIfTrue="1" operator="equal">
      <formula>"Towel"</formula>
    </cfRule>
    <cfRule type="cellIs" dxfId="18366" priority="1795" stopIfTrue="1" operator="equal">
      <formula>"Napkin Hs"</formula>
    </cfRule>
  </conditionalFormatting>
  <conditionalFormatting sqref="C138">
    <cfRule type="cellIs" dxfId="18365" priority="1796" stopIfTrue="1" operator="equal">
      <formula>"Towel"</formula>
    </cfRule>
    <cfRule type="cellIs" dxfId="18364" priority="1797" stopIfTrue="1" operator="equal">
      <formula>"Napkin Hs"</formula>
    </cfRule>
  </conditionalFormatting>
  <conditionalFormatting sqref="C138">
    <cfRule type="cellIs" dxfId="18363" priority="1792" stopIfTrue="1" operator="equal">
      <formula>"Towel"</formula>
    </cfRule>
    <cfRule type="cellIs" dxfId="18362" priority="1793" stopIfTrue="1" operator="equal">
      <formula>"Napkin Hs"</formula>
    </cfRule>
  </conditionalFormatting>
  <conditionalFormatting sqref="C138">
    <cfRule type="cellIs" dxfId="18361" priority="1786" stopIfTrue="1" operator="equal">
      <formula>"Towel"</formula>
    </cfRule>
    <cfRule type="cellIs" dxfId="18360" priority="1787" stopIfTrue="1" operator="equal">
      <formula>"Napkin Hs"</formula>
    </cfRule>
  </conditionalFormatting>
  <conditionalFormatting sqref="C138">
    <cfRule type="cellIs" dxfId="18359" priority="1790" stopIfTrue="1" operator="equal">
      <formula>"Towel"</formula>
    </cfRule>
    <cfRule type="cellIs" dxfId="18358" priority="1791" stopIfTrue="1" operator="equal">
      <formula>"Napkin Hs"</formula>
    </cfRule>
  </conditionalFormatting>
  <conditionalFormatting sqref="C138">
    <cfRule type="cellIs" dxfId="18357" priority="1788" stopIfTrue="1" operator="equal">
      <formula>"Towel"</formula>
    </cfRule>
    <cfRule type="cellIs" dxfId="18356" priority="1789" stopIfTrue="1" operator="equal">
      <formula>"Napkin Hs"</formula>
    </cfRule>
  </conditionalFormatting>
  <conditionalFormatting sqref="C138">
    <cfRule type="cellIs" dxfId="18355" priority="1780" stopIfTrue="1" operator="equal">
      <formula>"Towel"</formula>
    </cfRule>
    <cfRule type="cellIs" dxfId="18354" priority="1781" stopIfTrue="1" operator="equal">
      <formula>"Napkin Hs"</formula>
    </cfRule>
  </conditionalFormatting>
  <conditionalFormatting sqref="C138">
    <cfRule type="cellIs" dxfId="18353" priority="1782" stopIfTrue="1" operator="equal">
      <formula>"Towel"</formula>
    </cfRule>
    <cfRule type="cellIs" dxfId="18352" priority="1783" stopIfTrue="1" operator="equal">
      <formula>"Napkin Hs"</formula>
    </cfRule>
  </conditionalFormatting>
  <conditionalFormatting sqref="C138">
    <cfRule type="cellIs" dxfId="18351" priority="1784" stopIfTrue="1" operator="equal">
      <formula>"Towel"</formula>
    </cfRule>
    <cfRule type="cellIs" dxfId="18350" priority="1785" stopIfTrue="1" operator="equal">
      <formula>"Napkin Hs"</formula>
    </cfRule>
  </conditionalFormatting>
  <conditionalFormatting sqref="C138">
    <cfRule type="cellIs" dxfId="18349" priority="1778" stopIfTrue="1" operator="equal">
      <formula>"Towel"</formula>
    </cfRule>
    <cfRule type="cellIs" dxfId="18348" priority="1779" stopIfTrue="1" operator="equal">
      <formula>"Napkin Hs"</formula>
    </cfRule>
  </conditionalFormatting>
  <conditionalFormatting sqref="C138">
    <cfRule type="cellIs" dxfId="18347" priority="1776" stopIfTrue="1" operator="equal">
      <formula>"Towel"</formula>
    </cfRule>
    <cfRule type="cellIs" dxfId="18346" priority="1777" stopIfTrue="1" operator="equal">
      <formula>"Napkin Hs"</formula>
    </cfRule>
  </conditionalFormatting>
  <conditionalFormatting sqref="C138">
    <cfRule type="cellIs" dxfId="18345" priority="1752" stopIfTrue="1" operator="equal">
      <formula>"Towel"</formula>
    </cfRule>
  </conditionalFormatting>
  <conditionalFormatting sqref="C138">
    <cfRule type="cellIs" dxfId="18344" priority="1753" stopIfTrue="1" operator="equal">
      <formula>"Napkin Hs"</formula>
    </cfRule>
    <cfRule type="cellIs" dxfId="18343" priority="1758" stopIfTrue="1" operator="equal">
      <formula>"Towel"</formula>
    </cfRule>
    <cfRule type="cellIs" dxfId="18342" priority="1759" stopIfTrue="1" operator="equal">
      <formula>"Napkin Hs"</formula>
    </cfRule>
    <cfRule type="cellIs" dxfId="18341" priority="1768" stopIfTrue="1" operator="equal">
      <formula>"Towel"</formula>
    </cfRule>
    <cfRule type="cellIs" dxfId="18340" priority="1769" stopIfTrue="1" operator="equal">
      <formula>"Napkin Hs"</formula>
    </cfRule>
    <cfRule type="cellIs" dxfId="18339" priority="1774" stopIfTrue="1" operator="equal">
      <formula>"Towel"</formula>
    </cfRule>
    <cfRule type="cellIs" dxfId="18338" priority="1775" stopIfTrue="1" operator="equal">
      <formula>"Napkin Hs"</formula>
    </cfRule>
  </conditionalFormatting>
  <conditionalFormatting sqref="C138">
    <cfRule type="cellIs" dxfId="18337" priority="1754" stopIfTrue="1" operator="equal">
      <formula>"Towel"</formula>
    </cfRule>
    <cfRule type="cellIs" dxfId="18336" priority="1755" stopIfTrue="1" operator="equal">
      <formula>"Napkin Hs"</formula>
    </cfRule>
    <cfRule type="cellIs" dxfId="18335" priority="1756" stopIfTrue="1" operator="equal">
      <formula>"Towel"</formula>
    </cfRule>
    <cfRule type="cellIs" dxfId="18334" priority="1757" stopIfTrue="1" operator="equal">
      <formula>"Napkin Hs"</formula>
    </cfRule>
    <cfRule type="cellIs" dxfId="18333" priority="1760" stopIfTrue="1" operator="equal">
      <formula>"Towel"</formula>
    </cfRule>
    <cfRule type="cellIs" dxfId="18332" priority="1761" stopIfTrue="1" operator="equal">
      <formula>"Napkin Hs"</formula>
    </cfRule>
    <cfRule type="cellIs" dxfId="18331" priority="1762" stopIfTrue="1" operator="equal">
      <formula>"Towel"</formula>
    </cfRule>
    <cfRule type="cellIs" dxfId="18330" priority="1763" stopIfTrue="1" operator="equal">
      <formula>"Napkin Hs"</formula>
    </cfRule>
    <cfRule type="cellIs" dxfId="18329" priority="1764" stopIfTrue="1" operator="equal">
      <formula>"Towel"</formula>
    </cfRule>
    <cfRule type="cellIs" dxfId="18328" priority="1765" stopIfTrue="1" operator="equal">
      <formula>"Napkin Hs"</formula>
    </cfRule>
    <cfRule type="cellIs" dxfId="18327" priority="1766" stopIfTrue="1" operator="equal">
      <formula>"Towel"</formula>
    </cfRule>
    <cfRule type="cellIs" dxfId="18326" priority="1767" stopIfTrue="1" operator="equal">
      <formula>"Napkin Hs"</formula>
    </cfRule>
    <cfRule type="cellIs" dxfId="18325" priority="1770" stopIfTrue="1" operator="equal">
      <formula>"Towel"</formula>
    </cfRule>
    <cfRule type="cellIs" dxfId="18324" priority="1771" stopIfTrue="1" operator="equal">
      <formula>"Napkin Hs"</formula>
    </cfRule>
    <cfRule type="cellIs" dxfId="18323" priority="1773" stopIfTrue="1" operator="equal">
      <formula>"Napkin Hs"</formula>
    </cfRule>
  </conditionalFormatting>
  <conditionalFormatting sqref="C138">
    <cfRule type="cellIs" dxfId="18322" priority="1772" stopIfTrue="1" operator="equal">
      <formula>"Towel"</formula>
    </cfRule>
  </conditionalFormatting>
  <conditionalFormatting sqref="C138">
    <cfRule type="cellIs" dxfId="18321" priority="1750" stopIfTrue="1" operator="equal">
      <formula>"Towel"</formula>
    </cfRule>
    <cfRule type="cellIs" dxfId="18320" priority="1751" stopIfTrue="1" operator="equal">
      <formula>"Napkin Hs"</formula>
    </cfRule>
  </conditionalFormatting>
  <conditionalFormatting sqref="C138">
    <cfRule type="cellIs" dxfId="18319" priority="1749" stopIfTrue="1" operator="equal">
      <formula>"Napkin Hs"</formula>
    </cfRule>
  </conditionalFormatting>
  <conditionalFormatting sqref="C138">
    <cfRule type="cellIs" dxfId="18318" priority="1748" stopIfTrue="1" operator="equal">
      <formula>"Towel"</formula>
    </cfRule>
  </conditionalFormatting>
  <conditionalFormatting sqref="C138">
    <cfRule type="cellIs" dxfId="18317" priority="1746" stopIfTrue="1" operator="equal">
      <formula>"Towel"</formula>
    </cfRule>
  </conditionalFormatting>
  <conditionalFormatting sqref="C138">
    <cfRule type="cellIs" dxfId="18316" priority="1747" stopIfTrue="1" operator="equal">
      <formula>"Napkin Hs"</formula>
    </cfRule>
  </conditionalFormatting>
  <conditionalFormatting sqref="C138">
    <cfRule type="cellIs" dxfId="18315" priority="1650" stopIfTrue="1" operator="equal">
      <formula>"Towel"</formula>
    </cfRule>
  </conditionalFormatting>
  <conditionalFormatting sqref="C138">
    <cfRule type="cellIs" dxfId="18314" priority="1660" stopIfTrue="1" operator="equal">
      <formula>"Towel"</formula>
    </cfRule>
    <cfRule type="cellIs" dxfId="18313" priority="1661" stopIfTrue="1" operator="equal">
      <formula>"Napkin Hs"</formula>
    </cfRule>
    <cfRule type="cellIs" dxfId="18312" priority="1666" stopIfTrue="1" operator="equal">
      <formula>"Towel"</formula>
    </cfRule>
    <cfRule type="cellIs" dxfId="18311" priority="1667" stopIfTrue="1" operator="equal">
      <formula>"Napkin Hs"</formula>
    </cfRule>
    <cfRule type="cellIs" dxfId="18310" priority="1672" stopIfTrue="1" operator="equal">
      <formula>"Towel"</formula>
    </cfRule>
    <cfRule type="cellIs" dxfId="18309" priority="1673" stopIfTrue="1" operator="equal">
      <formula>"Napkin Hs"</formula>
    </cfRule>
    <cfRule type="cellIs" dxfId="18308" priority="1674" stopIfTrue="1" operator="equal">
      <formula>"Towel"</formula>
    </cfRule>
    <cfRule type="cellIs" dxfId="18307" priority="1675" stopIfTrue="1" operator="equal">
      <formula>"Napkin Hs"</formula>
    </cfRule>
    <cfRule type="cellIs" dxfId="18306" priority="1680" stopIfTrue="1" operator="equal">
      <formula>"Towel"</formula>
    </cfRule>
    <cfRule type="cellIs" dxfId="18305" priority="1681" stopIfTrue="1" operator="equal">
      <formula>"Napkin Hs"</formula>
    </cfRule>
    <cfRule type="cellIs" dxfId="18304" priority="1690" stopIfTrue="1" operator="equal">
      <formula>"Towel"</formula>
    </cfRule>
    <cfRule type="cellIs" dxfId="18303" priority="1691" stopIfTrue="1" operator="equal">
      <formula>"Napkin Hs"</formula>
    </cfRule>
    <cfRule type="cellIs" dxfId="18302" priority="1696" stopIfTrue="1" operator="equal">
      <formula>"Towel"</formula>
    </cfRule>
    <cfRule type="cellIs" dxfId="18301" priority="1697" stopIfTrue="1" operator="equal">
      <formula>"Napkin Hs"</formula>
    </cfRule>
    <cfRule type="cellIs" dxfId="18300" priority="1698" stopIfTrue="1" operator="equal">
      <formula>"Towel"</formula>
    </cfRule>
    <cfRule type="cellIs" dxfId="18299" priority="1699" stopIfTrue="1" operator="equal">
      <formula>"Napkin Hs"</formula>
    </cfRule>
    <cfRule type="cellIs" dxfId="18298" priority="1704" stopIfTrue="1" operator="equal">
      <formula>"Towel"</formula>
    </cfRule>
    <cfRule type="cellIs" dxfId="18297" priority="1705" stopIfTrue="1" operator="equal">
      <formula>"Napkin Hs"</formula>
    </cfRule>
    <cfRule type="cellIs" dxfId="18296" priority="1714" stopIfTrue="1" operator="equal">
      <formula>"Towel"</formula>
    </cfRule>
    <cfRule type="cellIs" dxfId="18295" priority="1715" stopIfTrue="1" operator="equal">
      <formula>"Napkin Hs"</formula>
    </cfRule>
    <cfRule type="cellIs" dxfId="18294" priority="1716" stopIfTrue="1" operator="equal">
      <formula>"Towel"</formula>
    </cfRule>
    <cfRule type="cellIs" dxfId="18293" priority="1717" stopIfTrue="1" operator="equal">
      <formula>"Napkin Hs"</formula>
    </cfRule>
    <cfRule type="cellIs" dxfId="18292" priority="1722" stopIfTrue="1" operator="equal">
      <formula>"Towel"</formula>
    </cfRule>
    <cfRule type="cellIs" dxfId="18291" priority="1723" stopIfTrue="1" operator="equal">
      <formula>"Napkin Hs"</formula>
    </cfRule>
    <cfRule type="cellIs" dxfId="18290" priority="1732" stopIfTrue="1" operator="equal">
      <formula>"Towel"</formula>
    </cfRule>
    <cfRule type="cellIs" dxfId="18289" priority="1733" stopIfTrue="1" operator="equal">
      <formula>"Napkin Hs"</formula>
    </cfRule>
    <cfRule type="cellIs" dxfId="18288" priority="1734" stopIfTrue="1" operator="equal">
      <formula>"Towel"</formula>
    </cfRule>
    <cfRule type="cellIs" dxfId="18287" priority="1735" stopIfTrue="1" operator="equal">
      <formula>"Napkin Hs"</formula>
    </cfRule>
    <cfRule type="cellIs" dxfId="18286" priority="1741" stopIfTrue="1" operator="equal">
      <formula>"Napkin Hs"</formula>
    </cfRule>
  </conditionalFormatting>
  <conditionalFormatting sqref="C138">
    <cfRule type="cellIs" dxfId="18285" priority="1740" stopIfTrue="1" operator="equal">
      <formula>"Towel"</formula>
    </cfRule>
  </conditionalFormatting>
  <conditionalFormatting sqref="C138">
    <cfRule type="cellIs" dxfId="18284" priority="1651" stopIfTrue="1" operator="equal">
      <formula>"Napkin Hs"</formula>
    </cfRule>
    <cfRule type="cellIs" dxfId="18283" priority="1652" stopIfTrue="1" operator="equal">
      <formula>"Towel"</formula>
    </cfRule>
    <cfRule type="cellIs" dxfId="18282" priority="1653" stopIfTrue="1" operator="equal">
      <formula>"Napkin Hs"</formula>
    </cfRule>
    <cfRule type="cellIs" dxfId="18281" priority="1654" stopIfTrue="1" operator="equal">
      <formula>"Towel"</formula>
    </cfRule>
    <cfRule type="cellIs" dxfId="18280" priority="1655" stopIfTrue="1" operator="equal">
      <formula>"Napkin Hs"</formula>
    </cfRule>
    <cfRule type="cellIs" dxfId="18279" priority="1656" stopIfTrue="1" operator="equal">
      <formula>"Towel"</formula>
    </cfRule>
    <cfRule type="cellIs" dxfId="18278" priority="1657" stopIfTrue="1" operator="equal">
      <formula>"Napkin Hs"</formula>
    </cfRule>
    <cfRule type="cellIs" dxfId="18277" priority="1658" stopIfTrue="1" operator="equal">
      <formula>"Towel"</formula>
    </cfRule>
    <cfRule type="cellIs" dxfId="18276" priority="1659" stopIfTrue="1" operator="equal">
      <formula>"Napkin Hs"</formula>
    </cfRule>
    <cfRule type="cellIs" dxfId="18275" priority="1662" stopIfTrue="1" operator="equal">
      <formula>"Towel"</formula>
    </cfRule>
    <cfRule type="cellIs" dxfId="18274" priority="1663" stopIfTrue="1" operator="equal">
      <formula>"Napkin Hs"</formula>
    </cfRule>
    <cfRule type="cellIs" dxfId="18273" priority="1664" stopIfTrue="1" operator="equal">
      <formula>"Towel"</formula>
    </cfRule>
    <cfRule type="cellIs" dxfId="18272" priority="1665" stopIfTrue="1" operator="equal">
      <formula>"Napkin Hs"</formula>
    </cfRule>
    <cfRule type="cellIs" dxfId="18271" priority="1668" stopIfTrue="1" operator="equal">
      <formula>"Towel"</formula>
    </cfRule>
    <cfRule type="cellIs" dxfId="18270" priority="1669" stopIfTrue="1" operator="equal">
      <formula>"Napkin Hs"</formula>
    </cfRule>
    <cfRule type="cellIs" dxfId="18269" priority="1670" stopIfTrue="1" operator="equal">
      <formula>"Towel"</formula>
    </cfRule>
    <cfRule type="cellIs" dxfId="18268" priority="1671" stopIfTrue="1" operator="equal">
      <formula>"Napkin Hs"</formula>
    </cfRule>
    <cfRule type="cellIs" dxfId="18267" priority="1676" stopIfTrue="1" operator="equal">
      <formula>"Towel"</formula>
    </cfRule>
    <cfRule type="cellIs" dxfId="18266" priority="1677" stopIfTrue="1" operator="equal">
      <formula>"Napkin Hs"</formula>
    </cfRule>
    <cfRule type="cellIs" dxfId="18265" priority="1678" stopIfTrue="1" operator="equal">
      <formula>"Towel"</formula>
    </cfRule>
    <cfRule type="cellIs" dxfId="18264" priority="1679" stopIfTrue="1" operator="equal">
      <formula>"Napkin Hs"</formula>
    </cfRule>
    <cfRule type="cellIs" dxfId="18263" priority="1682" stopIfTrue="1" operator="equal">
      <formula>"Towel"</formula>
    </cfRule>
    <cfRule type="cellIs" dxfId="18262" priority="1683" stopIfTrue="1" operator="equal">
      <formula>"Napkin Hs"</formula>
    </cfRule>
    <cfRule type="cellIs" dxfId="18261" priority="1684" stopIfTrue="1" operator="equal">
      <formula>"Towel"</formula>
    </cfRule>
    <cfRule type="cellIs" dxfId="18260" priority="1685" stopIfTrue="1" operator="equal">
      <formula>"Napkin Hs"</formula>
    </cfRule>
    <cfRule type="cellIs" dxfId="18259" priority="1686" stopIfTrue="1" operator="equal">
      <formula>"Towel"</formula>
    </cfRule>
    <cfRule type="cellIs" dxfId="18258" priority="1687" stopIfTrue="1" operator="equal">
      <formula>"Napkin Hs"</formula>
    </cfRule>
    <cfRule type="cellIs" dxfId="18257" priority="1688" stopIfTrue="1" operator="equal">
      <formula>"Towel"</formula>
    </cfRule>
    <cfRule type="cellIs" dxfId="18256" priority="1689" stopIfTrue="1" operator="equal">
      <formula>"Napkin Hs"</formula>
    </cfRule>
    <cfRule type="cellIs" dxfId="18255" priority="1692" stopIfTrue="1" operator="equal">
      <formula>"Towel"</formula>
    </cfRule>
    <cfRule type="cellIs" dxfId="18254" priority="1693" stopIfTrue="1" operator="equal">
      <formula>"Napkin Hs"</formula>
    </cfRule>
    <cfRule type="cellIs" dxfId="18253" priority="1694" stopIfTrue="1" operator="equal">
      <formula>"Towel"</formula>
    </cfRule>
    <cfRule type="cellIs" dxfId="18252" priority="1695" stopIfTrue="1" operator="equal">
      <formula>"Napkin Hs"</formula>
    </cfRule>
    <cfRule type="cellIs" dxfId="18251" priority="1700" stopIfTrue="1" operator="equal">
      <formula>"Towel"</formula>
    </cfRule>
    <cfRule type="cellIs" dxfId="18250" priority="1701" stopIfTrue="1" operator="equal">
      <formula>"Napkin Hs"</formula>
    </cfRule>
    <cfRule type="cellIs" dxfId="18249" priority="1702" stopIfTrue="1" operator="equal">
      <formula>"Towel"</formula>
    </cfRule>
    <cfRule type="cellIs" dxfId="18248" priority="1703" stopIfTrue="1" operator="equal">
      <formula>"Napkin Hs"</formula>
    </cfRule>
    <cfRule type="cellIs" dxfId="18247" priority="1706" stopIfTrue="1" operator="equal">
      <formula>"Towel"</formula>
    </cfRule>
    <cfRule type="cellIs" dxfId="18246" priority="1707" stopIfTrue="1" operator="equal">
      <formula>"Napkin Hs"</formula>
    </cfRule>
    <cfRule type="cellIs" dxfId="18245" priority="1708" stopIfTrue="1" operator="equal">
      <formula>"Towel"</formula>
    </cfRule>
    <cfRule type="cellIs" dxfId="18244" priority="1709" stopIfTrue="1" operator="equal">
      <formula>"Napkin Hs"</formula>
    </cfRule>
    <cfRule type="cellIs" dxfId="18243" priority="1710" stopIfTrue="1" operator="equal">
      <formula>"Towel"</formula>
    </cfRule>
    <cfRule type="cellIs" dxfId="18242" priority="1711" stopIfTrue="1" operator="equal">
      <formula>"Napkin Hs"</formula>
    </cfRule>
    <cfRule type="cellIs" dxfId="18241" priority="1712" stopIfTrue="1" operator="equal">
      <formula>"Towel"</formula>
    </cfRule>
    <cfRule type="cellIs" dxfId="18240" priority="1713" stopIfTrue="1" operator="equal">
      <formula>"Napkin Hs"</formula>
    </cfRule>
    <cfRule type="cellIs" dxfId="18239" priority="1718" stopIfTrue="1" operator="equal">
      <formula>"Towel"</formula>
    </cfRule>
    <cfRule type="cellIs" dxfId="18238" priority="1719" stopIfTrue="1" operator="equal">
      <formula>"Napkin Hs"</formula>
    </cfRule>
    <cfRule type="cellIs" dxfId="18237" priority="1720" stopIfTrue="1" operator="equal">
      <formula>"Towel"</formula>
    </cfRule>
    <cfRule type="cellIs" dxfId="18236" priority="1721" stopIfTrue="1" operator="equal">
      <formula>"Napkin Hs"</formula>
    </cfRule>
    <cfRule type="cellIs" dxfId="18235" priority="1724" stopIfTrue="1" operator="equal">
      <formula>"Towel"</formula>
    </cfRule>
    <cfRule type="cellIs" dxfId="18234" priority="1725" stopIfTrue="1" operator="equal">
      <formula>"Napkin Hs"</formula>
    </cfRule>
    <cfRule type="cellIs" dxfId="18233" priority="1726" stopIfTrue="1" operator="equal">
      <formula>"Towel"</formula>
    </cfRule>
    <cfRule type="cellIs" dxfId="18232" priority="1727" stopIfTrue="1" operator="equal">
      <formula>"Napkin Hs"</formula>
    </cfRule>
    <cfRule type="cellIs" dxfId="18231" priority="1728" stopIfTrue="1" operator="equal">
      <formula>"Towel"</formula>
    </cfRule>
    <cfRule type="cellIs" dxfId="18230" priority="1729" stopIfTrue="1" operator="equal">
      <formula>"Napkin Hs"</formula>
    </cfRule>
    <cfRule type="cellIs" dxfId="18229" priority="1730" stopIfTrue="1" operator="equal">
      <formula>"Towel"</formula>
    </cfRule>
    <cfRule type="cellIs" dxfId="18228" priority="1731" stopIfTrue="1" operator="equal">
      <formula>"Napkin Hs"</formula>
    </cfRule>
    <cfRule type="cellIs" dxfId="18227" priority="1736" stopIfTrue="1" operator="equal">
      <formula>"Towel"</formula>
    </cfRule>
    <cfRule type="cellIs" dxfId="18226" priority="1737" stopIfTrue="1" operator="equal">
      <formula>"Napkin Hs"</formula>
    </cfRule>
    <cfRule type="cellIs" dxfId="18225" priority="1738" stopIfTrue="1" operator="equal">
      <formula>"Towel"</formula>
    </cfRule>
    <cfRule type="cellIs" dxfId="18224" priority="1739" stopIfTrue="1" operator="equal">
      <formula>"Napkin Hs"</formula>
    </cfRule>
    <cfRule type="cellIs" dxfId="18223" priority="1742" stopIfTrue="1" operator="equal">
      <formula>"Towel"</formula>
    </cfRule>
    <cfRule type="cellIs" dxfId="18222" priority="1743" stopIfTrue="1" operator="equal">
      <formula>"Napkin Hs"</formula>
    </cfRule>
    <cfRule type="cellIs" dxfId="18221" priority="1744" stopIfTrue="1" operator="equal">
      <formula>"Towel"</formula>
    </cfRule>
    <cfRule type="cellIs" dxfId="18220" priority="1745" stopIfTrue="1" operator="equal">
      <formula>"Napkin Hs"</formula>
    </cfRule>
  </conditionalFormatting>
  <conditionalFormatting sqref="C138">
    <cfRule type="cellIs" dxfId="18219" priority="1649" stopIfTrue="1" operator="equal">
      <formula>"Napkin Hs"</formula>
    </cfRule>
  </conditionalFormatting>
  <conditionalFormatting sqref="C138">
    <cfRule type="cellIs" dxfId="18218" priority="1648" stopIfTrue="1" operator="equal">
      <formula>"Napkin Hs"</formula>
    </cfRule>
  </conditionalFormatting>
  <conditionalFormatting sqref="C138">
    <cfRule type="cellIs" dxfId="18217" priority="1647" stopIfTrue="1" operator="equal">
      <formula>"Napkin Hs"</formula>
    </cfRule>
  </conditionalFormatting>
  <conditionalFormatting sqref="C138">
    <cfRule type="cellIs" dxfId="18216" priority="1646" stopIfTrue="1" operator="equal">
      <formula>"Napkin Hs"</formula>
    </cfRule>
  </conditionalFormatting>
  <conditionalFormatting sqref="C138">
    <cfRule type="cellIs" dxfId="18215" priority="1645" stopIfTrue="1" operator="equal">
      <formula>"Napkin Hs"</formula>
    </cfRule>
  </conditionalFormatting>
  <conditionalFormatting sqref="C138">
    <cfRule type="cellIs" dxfId="18214" priority="1644" stopIfTrue="1" operator="equal">
      <formula>"Napkin Hs"</formula>
    </cfRule>
  </conditionalFormatting>
  <conditionalFormatting sqref="C138">
    <cfRule type="cellIs" dxfId="18213" priority="1640" stopIfTrue="1" operator="equal">
      <formula>"Towel"</formula>
    </cfRule>
    <cfRule type="cellIs" dxfId="18212" priority="1641" stopIfTrue="1" operator="equal">
      <formula>"Napkin Hs"</formula>
    </cfRule>
  </conditionalFormatting>
  <conditionalFormatting sqref="C138">
    <cfRule type="cellIs" dxfId="18211" priority="1642" stopIfTrue="1" operator="equal">
      <formula>"Towel"</formula>
    </cfRule>
    <cfRule type="cellIs" dxfId="18210" priority="1643" stopIfTrue="1" operator="equal">
      <formula>"Napkin Hs"</formula>
    </cfRule>
  </conditionalFormatting>
  <conditionalFormatting sqref="C138">
    <cfRule type="cellIs" dxfId="18209" priority="1636" stopIfTrue="1" operator="equal">
      <formula>"Towel"</formula>
    </cfRule>
    <cfRule type="cellIs" dxfId="18208" priority="1637" stopIfTrue="1" operator="equal">
      <formula>"Napkin Hs"</formula>
    </cfRule>
  </conditionalFormatting>
  <conditionalFormatting sqref="C138">
    <cfRule type="cellIs" dxfId="18207" priority="1638" stopIfTrue="1" operator="equal">
      <formula>"Towel"</formula>
    </cfRule>
    <cfRule type="cellIs" dxfId="18206" priority="1639" stopIfTrue="1" operator="equal">
      <formula>"Napkin Hs"</formula>
    </cfRule>
  </conditionalFormatting>
  <conditionalFormatting sqref="B138:B139">
    <cfRule type="cellIs" dxfId="18205" priority="1635" stopIfTrue="1" operator="equal">
      <formula>"Napkin Hs"</formula>
    </cfRule>
  </conditionalFormatting>
  <conditionalFormatting sqref="B138:B139">
    <cfRule type="cellIs" dxfId="18204" priority="1634" stopIfTrue="1" operator="equal">
      <formula>"Napkin Hs"</formula>
    </cfRule>
  </conditionalFormatting>
  <conditionalFormatting sqref="B138:B139">
    <cfRule type="cellIs" dxfId="18203" priority="1633" stopIfTrue="1" operator="equal">
      <formula>"Napkin Hs"</formula>
    </cfRule>
  </conditionalFormatting>
  <conditionalFormatting sqref="B146:C146">
    <cfRule type="cellIs" dxfId="18202" priority="1631" stopIfTrue="1" operator="equal">
      <formula>"Towel"</formula>
    </cfRule>
    <cfRule type="cellIs" dxfId="18201" priority="1632" stopIfTrue="1" operator="equal">
      <formula>"Napkin Hs"</formula>
    </cfRule>
  </conditionalFormatting>
  <conditionalFormatting sqref="C146">
    <cfRule type="cellIs" dxfId="18200" priority="1627" stopIfTrue="1" operator="equal">
      <formula>"Towel"</formula>
    </cfRule>
    <cfRule type="cellIs" dxfId="18199" priority="1628" stopIfTrue="1" operator="equal">
      <formula>"Napkin Hs"</formula>
    </cfRule>
  </conditionalFormatting>
  <conditionalFormatting sqref="C146">
    <cfRule type="cellIs" dxfId="18198" priority="1629" stopIfTrue="1" operator="equal">
      <formula>"Towel"</formula>
    </cfRule>
    <cfRule type="cellIs" dxfId="18197" priority="1630" stopIfTrue="1" operator="equal">
      <formula>"Napkin Hs"</formula>
    </cfRule>
  </conditionalFormatting>
  <conditionalFormatting sqref="B146:C146">
    <cfRule type="cellIs" dxfId="18196" priority="1625" stopIfTrue="1" operator="equal">
      <formula>"Towel"</formula>
    </cfRule>
    <cfRule type="cellIs" dxfId="18195" priority="1626" stopIfTrue="1" operator="equal">
      <formula>"Napkin Hs"</formula>
    </cfRule>
  </conditionalFormatting>
  <conditionalFormatting sqref="C146">
    <cfRule type="cellIs" dxfId="18194" priority="1623" stopIfTrue="1" operator="equal">
      <formula>"Towel"</formula>
    </cfRule>
    <cfRule type="cellIs" dxfId="18193" priority="1624" stopIfTrue="1" operator="equal">
      <formula>"Napkin Hs"</formula>
    </cfRule>
  </conditionalFormatting>
  <conditionalFormatting sqref="C146">
    <cfRule type="cellIs" dxfId="18192" priority="1621" stopIfTrue="1" operator="equal">
      <formula>"Towel"</formula>
    </cfRule>
    <cfRule type="cellIs" dxfId="18191" priority="1622" stopIfTrue="1" operator="equal">
      <formula>"Napkin Hs"</formula>
    </cfRule>
  </conditionalFormatting>
  <conditionalFormatting sqref="C146">
    <cfRule type="cellIs" dxfId="18190" priority="1613" stopIfTrue="1" operator="equal">
      <formula>"Towel"</formula>
    </cfRule>
    <cfRule type="cellIs" dxfId="18189" priority="1614" stopIfTrue="1" operator="equal">
      <formula>"Napkin Hs"</formula>
    </cfRule>
  </conditionalFormatting>
  <conditionalFormatting sqref="B146:C146">
    <cfRule type="cellIs" dxfId="18188" priority="1615" stopIfTrue="1" operator="equal">
      <formula>"Towel"</formula>
    </cfRule>
    <cfRule type="cellIs" dxfId="18187" priority="1616" stopIfTrue="1" operator="equal">
      <formula>"Napkin Hs"</formula>
    </cfRule>
  </conditionalFormatting>
  <conditionalFormatting sqref="C146">
    <cfRule type="cellIs" dxfId="18186" priority="1611" stopIfTrue="1" operator="equal">
      <formula>"Towel"</formula>
    </cfRule>
    <cfRule type="cellIs" dxfId="18185" priority="1612" stopIfTrue="1" operator="equal">
      <formula>"Napkin Hs"</formula>
    </cfRule>
  </conditionalFormatting>
  <conditionalFormatting sqref="B146:C146">
    <cfRule type="cellIs" dxfId="18184" priority="1609" stopIfTrue="1" operator="equal">
      <formula>"Towel"</formula>
    </cfRule>
    <cfRule type="cellIs" dxfId="18183" priority="1610" stopIfTrue="1" operator="equal">
      <formula>"Napkin Hs"</formula>
    </cfRule>
  </conditionalFormatting>
  <conditionalFormatting sqref="C146">
    <cfRule type="cellIs" dxfId="18182" priority="1617" stopIfTrue="1" operator="equal">
      <formula>"Towel"</formula>
    </cfRule>
    <cfRule type="cellIs" dxfId="18181" priority="1618" stopIfTrue="1" operator="equal">
      <formula>"Napkin Hs"</formula>
    </cfRule>
  </conditionalFormatting>
  <conditionalFormatting sqref="C146">
    <cfRule type="cellIs" dxfId="18180" priority="1619" stopIfTrue="1" operator="equal">
      <formula>"Towel"</formula>
    </cfRule>
    <cfRule type="cellIs" dxfId="18179" priority="1620" stopIfTrue="1" operator="equal">
      <formula>"Napkin Hs"</formula>
    </cfRule>
  </conditionalFormatting>
  <conditionalFormatting sqref="B145:C145">
    <cfRule type="cellIs" dxfId="18178" priority="1583" stopIfTrue="1" operator="equal">
      <formula>"Towel"</formula>
    </cfRule>
    <cfRule type="cellIs" dxfId="18177" priority="1584" stopIfTrue="1" operator="equal">
      <formula>"Napkin Hs"</formula>
    </cfRule>
  </conditionalFormatting>
  <conditionalFormatting sqref="C145">
    <cfRule type="cellIs" dxfId="18176" priority="1582" stopIfTrue="1" operator="equal">
      <formula>"Napkin Hs"</formula>
    </cfRule>
  </conditionalFormatting>
  <conditionalFormatting sqref="C145">
    <cfRule type="cellIs" dxfId="18175" priority="1581" stopIfTrue="1" operator="equal">
      <formula>"Towel"</formula>
    </cfRule>
  </conditionalFormatting>
  <conditionalFormatting sqref="C145">
    <cfRule type="cellIs" dxfId="18174" priority="1579" stopIfTrue="1" operator="equal">
      <formula>"Towel"</formula>
    </cfRule>
    <cfRule type="cellIs" dxfId="18173" priority="1580" stopIfTrue="1" operator="equal">
      <formula>"Napkin Hs"</formula>
    </cfRule>
  </conditionalFormatting>
  <conditionalFormatting sqref="C144">
    <cfRule type="cellIs" dxfId="18172" priority="1571" stopIfTrue="1" operator="equal">
      <formula>"Towel"</formula>
    </cfRule>
    <cfRule type="cellIs" dxfId="18171" priority="1572" stopIfTrue="1" operator="equal">
      <formula>"Napkin Hs"</formula>
    </cfRule>
  </conditionalFormatting>
  <conditionalFormatting sqref="B144:C144">
    <cfRule type="cellIs" dxfId="18170" priority="1573" stopIfTrue="1" operator="equal">
      <formula>"Towel"</formula>
    </cfRule>
    <cfRule type="cellIs" dxfId="18169" priority="1574" stopIfTrue="1" operator="equal">
      <formula>"Napkin Hs"</formula>
    </cfRule>
  </conditionalFormatting>
  <conditionalFormatting sqref="C144">
    <cfRule type="cellIs" dxfId="18168" priority="1569" stopIfTrue="1" operator="equal">
      <formula>"Towel"</formula>
    </cfRule>
    <cfRule type="cellIs" dxfId="18167" priority="1570" stopIfTrue="1" operator="equal">
      <formula>"Napkin Hs"</formula>
    </cfRule>
  </conditionalFormatting>
  <conditionalFormatting sqref="B144:C144">
    <cfRule type="cellIs" dxfId="18166" priority="1567" stopIfTrue="1" operator="equal">
      <formula>"Towel"</formula>
    </cfRule>
    <cfRule type="cellIs" dxfId="18165" priority="1568" stopIfTrue="1" operator="equal">
      <formula>"Napkin Hs"</formula>
    </cfRule>
  </conditionalFormatting>
  <conditionalFormatting sqref="C144">
    <cfRule type="cellIs" dxfId="18164" priority="1575" stopIfTrue="1" operator="equal">
      <formula>"Towel"</formula>
    </cfRule>
    <cfRule type="cellIs" dxfId="18163" priority="1576" stopIfTrue="1" operator="equal">
      <formula>"Napkin Hs"</formula>
    </cfRule>
  </conditionalFormatting>
  <conditionalFormatting sqref="C144">
    <cfRule type="cellIs" dxfId="18162" priority="1577" stopIfTrue="1" operator="equal">
      <formula>"Towel"</formula>
    </cfRule>
    <cfRule type="cellIs" dxfId="18161" priority="1578" stopIfTrue="1" operator="equal">
      <formula>"Napkin Hs"</formula>
    </cfRule>
  </conditionalFormatting>
  <conditionalFormatting sqref="C144">
    <cfRule type="cellIs" dxfId="18160" priority="1563" stopIfTrue="1" operator="equal">
      <formula>"Towel"</formula>
    </cfRule>
    <cfRule type="cellIs" dxfId="18159" priority="1564" stopIfTrue="1" operator="equal">
      <formula>"Napkin Hs"</formula>
    </cfRule>
  </conditionalFormatting>
  <conditionalFormatting sqref="C144">
    <cfRule type="cellIs" dxfId="18158" priority="1565" stopIfTrue="1" operator="equal">
      <formula>"Towel"</formula>
    </cfRule>
    <cfRule type="cellIs" dxfId="18157" priority="1566" stopIfTrue="1" operator="equal">
      <formula>"Napkin Hs"</formula>
    </cfRule>
  </conditionalFormatting>
  <conditionalFormatting sqref="C144">
    <cfRule type="cellIs" dxfId="18156" priority="1561" stopIfTrue="1" operator="equal">
      <formula>"Towel"</formula>
    </cfRule>
    <cfRule type="cellIs" dxfId="18155" priority="1562" stopIfTrue="1" operator="equal">
      <formula>"Napkin Hs"</formula>
    </cfRule>
  </conditionalFormatting>
  <conditionalFormatting sqref="B144">
    <cfRule type="cellIs" dxfId="18154" priority="1559" stopIfTrue="1" operator="equal">
      <formula>"Towel"</formula>
    </cfRule>
    <cfRule type="cellIs" dxfId="18153" priority="1560" stopIfTrue="1" operator="equal">
      <formula>"Napkin Hs"</formula>
    </cfRule>
  </conditionalFormatting>
  <conditionalFormatting sqref="C144">
    <cfRule type="cellIs" dxfId="18152" priority="1553" stopIfTrue="1" operator="equal">
      <formula>"Towel"</formula>
    </cfRule>
    <cfRule type="cellIs" dxfId="18151" priority="1554" stopIfTrue="1" operator="equal">
      <formula>"Napkin Hs"</formula>
    </cfRule>
  </conditionalFormatting>
  <conditionalFormatting sqref="C144">
    <cfRule type="cellIs" dxfId="18150" priority="1557" stopIfTrue="1" operator="equal">
      <formula>"Towel"</formula>
    </cfRule>
    <cfRule type="cellIs" dxfId="18149" priority="1558" stopIfTrue="1" operator="equal">
      <formula>"Napkin Hs"</formula>
    </cfRule>
  </conditionalFormatting>
  <conditionalFormatting sqref="C144">
    <cfRule type="cellIs" dxfId="18148" priority="1555" stopIfTrue="1" operator="equal">
      <formula>"Towel"</formula>
    </cfRule>
    <cfRule type="cellIs" dxfId="18147" priority="1556" stopIfTrue="1" operator="equal">
      <formula>"Napkin Hs"</formula>
    </cfRule>
  </conditionalFormatting>
  <conditionalFormatting sqref="C144">
    <cfRule type="cellIs" dxfId="18146" priority="1547" stopIfTrue="1" operator="equal">
      <formula>"Towel"</formula>
    </cfRule>
    <cfRule type="cellIs" dxfId="18145" priority="1548" stopIfTrue="1" operator="equal">
      <formula>"Napkin Hs"</formula>
    </cfRule>
  </conditionalFormatting>
  <conditionalFormatting sqref="C144">
    <cfRule type="cellIs" dxfId="18144" priority="1549" stopIfTrue="1" operator="equal">
      <formula>"Towel"</formula>
    </cfRule>
    <cfRule type="cellIs" dxfId="18143" priority="1550" stopIfTrue="1" operator="equal">
      <formula>"Napkin Hs"</formula>
    </cfRule>
  </conditionalFormatting>
  <conditionalFormatting sqref="C144">
    <cfRule type="cellIs" dxfId="18142" priority="1551" stopIfTrue="1" operator="equal">
      <formula>"Towel"</formula>
    </cfRule>
    <cfRule type="cellIs" dxfId="18141" priority="1552" stopIfTrue="1" operator="equal">
      <formula>"Napkin Hs"</formula>
    </cfRule>
  </conditionalFormatting>
  <conditionalFormatting sqref="B144:C144">
    <cfRule type="cellIs" dxfId="18140" priority="1545" stopIfTrue="1" operator="equal">
      <formula>"Towel"</formula>
    </cfRule>
    <cfRule type="cellIs" dxfId="18139" priority="1546" stopIfTrue="1" operator="equal">
      <formula>"Napkin Hs"</formula>
    </cfRule>
  </conditionalFormatting>
  <conditionalFormatting sqref="B144:C144">
    <cfRule type="cellIs" dxfId="18138" priority="1543" stopIfTrue="1" operator="equal">
      <formula>"Towel"</formula>
    </cfRule>
    <cfRule type="cellIs" dxfId="18137" priority="1544" stopIfTrue="1" operator="equal">
      <formula>"Napkin Hs"</formula>
    </cfRule>
  </conditionalFormatting>
  <conditionalFormatting sqref="B144:C144">
    <cfRule type="cellIs" dxfId="18136" priority="1519" stopIfTrue="1" operator="equal">
      <formula>"Towel"</formula>
    </cfRule>
  </conditionalFormatting>
  <conditionalFormatting sqref="B144:C144">
    <cfRule type="cellIs" dxfId="18135" priority="1520" stopIfTrue="1" operator="equal">
      <formula>"Napkin Hs"</formula>
    </cfRule>
    <cfRule type="cellIs" dxfId="18134" priority="1525" stopIfTrue="1" operator="equal">
      <formula>"Towel"</formula>
    </cfRule>
    <cfRule type="cellIs" dxfId="18133" priority="1526" stopIfTrue="1" operator="equal">
      <formula>"Napkin Hs"</formula>
    </cfRule>
    <cfRule type="cellIs" dxfId="18132" priority="1535" stopIfTrue="1" operator="equal">
      <formula>"Towel"</formula>
    </cfRule>
    <cfRule type="cellIs" dxfId="18131" priority="1536" stopIfTrue="1" operator="equal">
      <formula>"Napkin Hs"</formula>
    </cfRule>
    <cfRule type="cellIs" dxfId="18130" priority="1541" stopIfTrue="1" operator="equal">
      <formula>"Towel"</formula>
    </cfRule>
    <cfRule type="cellIs" dxfId="18129" priority="1542" stopIfTrue="1" operator="equal">
      <formula>"Napkin Hs"</formula>
    </cfRule>
  </conditionalFormatting>
  <conditionalFormatting sqref="C144">
    <cfRule type="cellIs" dxfId="18128" priority="1521" stopIfTrue="1" operator="equal">
      <formula>"Towel"</formula>
    </cfRule>
    <cfRule type="cellIs" dxfId="18127" priority="1522" stopIfTrue="1" operator="equal">
      <formula>"Napkin Hs"</formula>
    </cfRule>
    <cfRule type="cellIs" dxfId="18126" priority="1523" stopIfTrue="1" operator="equal">
      <formula>"Towel"</formula>
    </cfRule>
    <cfRule type="cellIs" dxfId="18125" priority="1524" stopIfTrue="1" operator="equal">
      <formula>"Napkin Hs"</formula>
    </cfRule>
    <cfRule type="cellIs" dxfId="18124" priority="1527" stopIfTrue="1" operator="equal">
      <formula>"Towel"</formula>
    </cfRule>
    <cfRule type="cellIs" dxfId="18123" priority="1528" stopIfTrue="1" operator="equal">
      <formula>"Napkin Hs"</formula>
    </cfRule>
    <cfRule type="cellIs" dxfId="18122" priority="1529" stopIfTrue="1" operator="equal">
      <formula>"Towel"</formula>
    </cfRule>
    <cfRule type="cellIs" dxfId="18121" priority="1530" stopIfTrue="1" operator="equal">
      <formula>"Napkin Hs"</formula>
    </cfRule>
    <cfRule type="cellIs" dxfId="18120" priority="1531" stopIfTrue="1" operator="equal">
      <formula>"Towel"</formula>
    </cfRule>
    <cfRule type="cellIs" dxfId="18119" priority="1532" stopIfTrue="1" operator="equal">
      <formula>"Napkin Hs"</formula>
    </cfRule>
    <cfRule type="cellIs" dxfId="18118" priority="1533" stopIfTrue="1" operator="equal">
      <formula>"Towel"</formula>
    </cfRule>
    <cfRule type="cellIs" dxfId="18117" priority="1534" stopIfTrue="1" operator="equal">
      <formula>"Napkin Hs"</formula>
    </cfRule>
    <cfRule type="cellIs" dxfId="18116" priority="1537" stopIfTrue="1" operator="equal">
      <formula>"Towel"</formula>
    </cfRule>
    <cfRule type="cellIs" dxfId="18115" priority="1538" stopIfTrue="1" operator="equal">
      <formula>"Napkin Hs"</formula>
    </cfRule>
    <cfRule type="cellIs" dxfId="18114" priority="1540" stopIfTrue="1" operator="equal">
      <formula>"Napkin Hs"</formula>
    </cfRule>
  </conditionalFormatting>
  <conditionalFormatting sqref="C144">
    <cfRule type="cellIs" dxfId="18113" priority="1539" stopIfTrue="1" operator="equal">
      <formula>"Towel"</formula>
    </cfRule>
  </conditionalFormatting>
  <conditionalFormatting sqref="B144:C144">
    <cfRule type="cellIs" dxfId="18112" priority="1517" stopIfTrue="1" operator="equal">
      <formula>"Towel"</formula>
    </cfRule>
    <cfRule type="cellIs" dxfId="18111" priority="1518" stopIfTrue="1" operator="equal">
      <formula>"Napkin Hs"</formula>
    </cfRule>
  </conditionalFormatting>
  <conditionalFormatting sqref="C144">
    <cfRule type="cellIs" dxfId="18110" priority="1516" stopIfTrue="1" operator="equal">
      <formula>"Napkin Hs"</formula>
    </cfRule>
  </conditionalFormatting>
  <conditionalFormatting sqref="C144">
    <cfRule type="cellIs" dxfId="18109" priority="1515" stopIfTrue="1" operator="equal">
      <formula>"Towel"</formula>
    </cfRule>
  </conditionalFormatting>
  <conditionalFormatting sqref="C144">
    <cfRule type="cellIs" dxfId="18108" priority="1513" stopIfTrue="1" operator="equal">
      <formula>"Towel"</formula>
    </cfRule>
  </conditionalFormatting>
  <conditionalFormatting sqref="C144">
    <cfRule type="cellIs" dxfId="18107" priority="1514" stopIfTrue="1" operator="equal">
      <formula>"Napkin Hs"</formula>
    </cfRule>
  </conditionalFormatting>
  <conditionalFormatting sqref="B144">
    <cfRule type="cellIs" dxfId="18106" priority="1417" stopIfTrue="1" operator="equal">
      <formula>"Napkin Hs"</formula>
    </cfRule>
  </conditionalFormatting>
  <conditionalFormatting sqref="B144:C144">
    <cfRule type="cellIs" dxfId="18105" priority="1416" stopIfTrue="1" operator="equal">
      <formula>"Towel"</formula>
    </cfRule>
  </conditionalFormatting>
  <conditionalFormatting sqref="B144:C144">
    <cfRule type="cellIs" dxfId="18104" priority="1427" stopIfTrue="1" operator="equal">
      <formula>"Towel"</formula>
    </cfRule>
    <cfRule type="cellIs" dxfId="18103" priority="1428" stopIfTrue="1" operator="equal">
      <formula>"Napkin Hs"</formula>
    </cfRule>
    <cfRule type="cellIs" dxfId="18102" priority="1433" stopIfTrue="1" operator="equal">
      <formula>"Towel"</formula>
    </cfRule>
    <cfRule type="cellIs" dxfId="18101" priority="1434" stopIfTrue="1" operator="equal">
      <formula>"Napkin Hs"</formula>
    </cfRule>
    <cfRule type="cellIs" dxfId="18100" priority="1439" stopIfTrue="1" operator="equal">
      <formula>"Towel"</formula>
    </cfRule>
    <cfRule type="cellIs" dxfId="18099" priority="1440" stopIfTrue="1" operator="equal">
      <formula>"Napkin Hs"</formula>
    </cfRule>
    <cfRule type="cellIs" dxfId="18098" priority="1441" stopIfTrue="1" operator="equal">
      <formula>"Towel"</formula>
    </cfRule>
    <cfRule type="cellIs" dxfId="18097" priority="1442" stopIfTrue="1" operator="equal">
      <formula>"Napkin Hs"</formula>
    </cfRule>
    <cfRule type="cellIs" dxfId="18096" priority="1447" stopIfTrue="1" operator="equal">
      <formula>"Towel"</formula>
    </cfRule>
    <cfRule type="cellIs" dxfId="18095" priority="1448" stopIfTrue="1" operator="equal">
      <formula>"Napkin Hs"</formula>
    </cfRule>
    <cfRule type="cellIs" dxfId="18094" priority="1457" stopIfTrue="1" operator="equal">
      <formula>"Towel"</formula>
    </cfRule>
    <cfRule type="cellIs" dxfId="18093" priority="1458" stopIfTrue="1" operator="equal">
      <formula>"Napkin Hs"</formula>
    </cfRule>
    <cfRule type="cellIs" dxfId="18092" priority="1463" stopIfTrue="1" operator="equal">
      <formula>"Towel"</formula>
    </cfRule>
    <cfRule type="cellIs" dxfId="18091" priority="1464" stopIfTrue="1" operator="equal">
      <formula>"Napkin Hs"</formula>
    </cfRule>
    <cfRule type="cellIs" dxfId="18090" priority="1465" stopIfTrue="1" operator="equal">
      <formula>"Towel"</formula>
    </cfRule>
    <cfRule type="cellIs" dxfId="18089" priority="1466" stopIfTrue="1" operator="equal">
      <formula>"Napkin Hs"</formula>
    </cfRule>
    <cfRule type="cellIs" dxfId="18088" priority="1471" stopIfTrue="1" operator="equal">
      <formula>"Towel"</formula>
    </cfRule>
    <cfRule type="cellIs" dxfId="18087" priority="1472" stopIfTrue="1" operator="equal">
      <formula>"Napkin Hs"</formula>
    </cfRule>
    <cfRule type="cellIs" dxfId="18086" priority="1481" stopIfTrue="1" operator="equal">
      <formula>"Towel"</formula>
    </cfRule>
    <cfRule type="cellIs" dxfId="18085" priority="1482" stopIfTrue="1" operator="equal">
      <formula>"Napkin Hs"</formula>
    </cfRule>
    <cfRule type="cellIs" dxfId="18084" priority="1483" stopIfTrue="1" operator="equal">
      <formula>"Towel"</formula>
    </cfRule>
    <cfRule type="cellIs" dxfId="18083" priority="1484" stopIfTrue="1" operator="equal">
      <formula>"Napkin Hs"</formula>
    </cfRule>
    <cfRule type="cellIs" dxfId="18082" priority="1489" stopIfTrue="1" operator="equal">
      <formula>"Towel"</formula>
    </cfRule>
    <cfRule type="cellIs" dxfId="18081" priority="1490" stopIfTrue="1" operator="equal">
      <formula>"Napkin Hs"</formula>
    </cfRule>
    <cfRule type="cellIs" dxfId="18080" priority="1499" stopIfTrue="1" operator="equal">
      <formula>"Towel"</formula>
    </cfRule>
    <cfRule type="cellIs" dxfId="18079" priority="1500" stopIfTrue="1" operator="equal">
      <formula>"Napkin Hs"</formula>
    </cfRule>
    <cfRule type="cellIs" dxfId="18078" priority="1501" stopIfTrue="1" operator="equal">
      <formula>"Towel"</formula>
    </cfRule>
    <cfRule type="cellIs" dxfId="18077" priority="1502" stopIfTrue="1" operator="equal">
      <formula>"Napkin Hs"</formula>
    </cfRule>
    <cfRule type="cellIs" dxfId="18076" priority="1508" stopIfTrue="1" operator="equal">
      <formula>"Napkin Hs"</formula>
    </cfRule>
  </conditionalFormatting>
  <conditionalFormatting sqref="B144:C144">
    <cfRule type="cellIs" dxfId="18075" priority="1507" stopIfTrue="1" operator="equal">
      <formula>"Towel"</formula>
    </cfRule>
  </conditionalFormatting>
  <conditionalFormatting sqref="C144">
    <cfRule type="cellIs" dxfId="18074" priority="1418" stopIfTrue="1" operator="equal">
      <formula>"Napkin Hs"</formula>
    </cfRule>
    <cfRule type="cellIs" dxfId="18073" priority="1419" stopIfTrue="1" operator="equal">
      <formula>"Towel"</formula>
    </cfRule>
    <cfRule type="cellIs" dxfId="18072" priority="1420" stopIfTrue="1" operator="equal">
      <formula>"Napkin Hs"</formula>
    </cfRule>
    <cfRule type="cellIs" dxfId="18071" priority="1421" stopIfTrue="1" operator="equal">
      <formula>"Towel"</formula>
    </cfRule>
    <cfRule type="cellIs" dxfId="18070" priority="1422" stopIfTrue="1" operator="equal">
      <formula>"Napkin Hs"</formula>
    </cfRule>
    <cfRule type="cellIs" dxfId="18069" priority="1423" stopIfTrue="1" operator="equal">
      <formula>"Towel"</formula>
    </cfRule>
    <cfRule type="cellIs" dxfId="18068" priority="1424" stopIfTrue="1" operator="equal">
      <formula>"Napkin Hs"</formula>
    </cfRule>
    <cfRule type="cellIs" dxfId="18067" priority="1425" stopIfTrue="1" operator="equal">
      <formula>"Towel"</formula>
    </cfRule>
    <cfRule type="cellIs" dxfId="18066" priority="1426" stopIfTrue="1" operator="equal">
      <formula>"Napkin Hs"</formula>
    </cfRule>
    <cfRule type="cellIs" dxfId="18065" priority="1429" stopIfTrue="1" operator="equal">
      <formula>"Towel"</formula>
    </cfRule>
    <cfRule type="cellIs" dxfId="18064" priority="1430" stopIfTrue="1" operator="equal">
      <formula>"Napkin Hs"</formula>
    </cfRule>
    <cfRule type="cellIs" dxfId="18063" priority="1431" stopIfTrue="1" operator="equal">
      <formula>"Towel"</formula>
    </cfRule>
    <cfRule type="cellIs" dxfId="18062" priority="1432" stopIfTrue="1" operator="equal">
      <formula>"Napkin Hs"</formula>
    </cfRule>
    <cfRule type="cellIs" dxfId="18061" priority="1435" stopIfTrue="1" operator="equal">
      <formula>"Towel"</formula>
    </cfRule>
    <cfRule type="cellIs" dxfId="18060" priority="1436" stopIfTrue="1" operator="equal">
      <formula>"Napkin Hs"</formula>
    </cfRule>
    <cfRule type="cellIs" dxfId="18059" priority="1437" stopIfTrue="1" operator="equal">
      <formula>"Towel"</formula>
    </cfRule>
    <cfRule type="cellIs" dxfId="18058" priority="1438" stopIfTrue="1" operator="equal">
      <formula>"Napkin Hs"</formula>
    </cfRule>
    <cfRule type="cellIs" dxfId="18057" priority="1443" stopIfTrue="1" operator="equal">
      <formula>"Towel"</formula>
    </cfRule>
    <cfRule type="cellIs" dxfId="18056" priority="1444" stopIfTrue="1" operator="equal">
      <formula>"Napkin Hs"</formula>
    </cfRule>
    <cfRule type="cellIs" dxfId="18055" priority="1445" stopIfTrue="1" operator="equal">
      <formula>"Towel"</formula>
    </cfRule>
    <cfRule type="cellIs" dxfId="18054" priority="1446" stopIfTrue="1" operator="equal">
      <formula>"Napkin Hs"</formula>
    </cfRule>
    <cfRule type="cellIs" dxfId="18053" priority="1449" stopIfTrue="1" operator="equal">
      <formula>"Towel"</formula>
    </cfRule>
    <cfRule type="cellIs" dxfId="18052" priority="1450" stopIfTrue="1" operator="equal">
      <formula>"Napkin Hs"</formula>
    </cfRule>
    <cfRule type="cellIs" dxfId="18051" priority="1451" stopIfTrue="1" operator="equal">
      <formula>"Towel"</formula>
    </cfRule>
    <cfRule type="cellIs" dxfId="18050" priority="1452" stopIfTrue="1" operator="equal">
      <formula>"Napkin Hs"</formula>
    </cfRule>
    <cfRule type="cellIs" dxfId="18049" priority="1453" stopIfTrue="1" operator="equal">
      <formula>"Towel"</formula>
    </cfRule>
    <cfRule type="cellIs" dxfId="18048" priority="1454" stopIfTrue="1" operator="equal">
      <formula>"Napkin Hs"</formula>
    </cfRule>
    <cfRule type="cellIs" dxfId="18047" priority="1455" stopIfTrue="1" operator="equal">
      <formula>"Towel"</formula>
    </cfRule>
    <cfRule type="cellIs" dxfId="18046" priority="1456" stopIfTrue="1" operator="equal">
      <formula>"Napkin Hs"</formula>
    </cfRule>
    <cfRule type="cellIs" dxfId="18045" priority="1459" stopIfTrue="1" operator="equal">
      <formula>"Towel"</formula>
    </cfRule>
    <cfRule type="cellIs" dxfId="18044" priority="1460" stopIfTrue="1" operator="equal">
      <formula>"Napkin Hs"</formula>
    </cfRule>
    <cfRule type="cellIs" dxfId="18043" priority="1461" stopIfTrue="1" operator="equal">
      <formula>"Towel"</formula>
    </cfRule>
    <cfRule type="cellIs" dxfId="18042" priority="1462" stopIfTrue="1" operator="equal">
      <formula>"Napkin Hs"</formula>
    </cfRule>
    <cfRule type="cellIs" dxfId="18041" priority="1467" stopIfTrue="1" operator="equal">
      <formula>"Towel"</formula>
    </cfRule>
    <cfRule type="cellIs" dxfId="18040" priority="1468" stopIfTrue="1" operator="equal">
      <formula>"Napkin Hs"</formula>
    </cfRule>
    <cfRule type="cellIs" dxfId="18039" priority="1469" stopIfTrue="1" operator="equal">
      <formula>"Towel"</formula>
    </cfRule>
    <cfRule type="cellIs" dxfId="18038" priority="1470" stopIfTrue="1" operator="equal">
      <formula>"Napkin Hs"</formula>
    </cfRule>
    <cfRule type="cellIs" dxfId="18037" priority="1473" stopIfTrue="1" operator="equal">
      <formula>"Towel"</formula>
    </cfRule>
    <cfRule type="cellIs" dxfId="18036" priority="1474" stopIfTrue="1" operator="equal">
      <formula>"Napkin Hs"</formula>
    </cfRule>
    <cfRule type="cellIs" dxfId="18035" priority="1475" stopIfTrue="1" operator="equal">
      <formula>"Towel"</formula>
    </cfRule>
    <cfRule type="cellIs" dxfId="18034" priority="1476" stopIfTrue="1" operator="equal">
      <formula>"Napkin Hs"</formula>
    </cfRule>
    <cfRule type="cellIs" dxfId="18033" priority="1477" stopIfTrue="1" operator="equal">
      <formula>"Towel"</formula>
    </cfRule>
    <cfRule type="cellIs" dxfId="18032" priority="1478" stopIfTrue="1" operator="equal">
      <formula>"Napkin Hs"</formula>
    </cfRule>
    <cfRule type="cellIs" dxfId="18031" priority="1479" stopIfTrue="1" operator="equal">
      <formula>"Towel"</formula>
    </cfRule>
    <cfRule type="cellIs" dxfId="18030" priority="1480" stopIfTrue="1" operator="equal">
      <formula>"Napkin Hs"</formula>
    </cfRule>
    <cfRule type="cellIs" dxfId="18029" priority="1485" stopIfTrue="1" operator="equal">
      <formula>"Towel"</formula>
    </cfRule>
    <cfRule type="cellIs" dxfId="18028" priority="1486" stopIfTrue="1" operator="equal">
      <formula>"Napkin Hs"</formula>
    </cfRule>
    <cfRule type="cellIs" dxfId="18027" priority="1487" stopIfTrue="1" operator="equal">
      <formula>"Towel"</formula>
    </cfRule>
    <cfRule type="cellIs" dxfId="18026" priority="1488" stopIfTrue="1" operator="equal">
      <formula>"Napkin Hs"</formula>
    </cfRule>
    <cfRule type="cellIs" dxfId="18025" priority="1491" stopIfTrue="1" operator="equal">
      <formula>"Towel"</formula>
    </cfRule>
    <cfRule type="cellIs" dxfId="18024" priority="1492" stopIfTrue="1" operator="equal">
      <formula>"Napkin Hs"</formula>
    </cfRule>
    <cfRule type="cellIs" dxfId="18023" priority="1493" stopIfTrue="1" operator="equal">
      <formula>"Towel"</formula>
    </cfRule>
    <cfRule type="cellIs" dxfId="18022" priority="1494" stopIfTrue="1" operator="equal">
      <formula>"Napkin Hs"</formula>
    </cfRule>
    <cfRule type="cellIs" dxfId="18021" priority="1495" stopIfTrue="1" operator="equal">
      <formula>"Towel"</formula>
    </cfRule>
    <cfRule type="cellIs" dxfId="18020" priority="1496" stopIfTrue="1" operator="equal">
      <formula>"Napkin Hs"</formula>
    </cfRule>
    <cfRule type="cellIs" dxfId="18019" priority="1497" stopIfTrue="1" operator="equal">
      <formula>"Towel"</formula>
    </cfRule>
    <cfRule type="cellIs" dxfId="18018" priority="1498" stopIfTrue="1" operator="equal">
      <formula>"Napkin Hs"</formula>
    </cfRule>
    <cfRule type="cellIs" dxfId="18017" priority="1503" stopIfTrue="1" operator="equal">
      <formula>"Towel"</formula>
    </cfRule>
    <cfRule type="cellIs" dxfId="18016" priority="1504" stopIfTrue="1" operator="equal">
      <formula>"Napkin Hs"</formula>
    </cfRule>
    <cfRule type="cellIs" dxfId="18015" priority="1505" stopIfTrue="1" operator="equal">
      <formula>"Towel"</formula>
    </cfRule>
    <cfRule type="cellIs" dxfId="18014" priority="1506" stopIfTrue="1" operator="equal">
      <formula>"Napkin Hs"</formula>
    </cfRule>
    <cfRule type="cellIs" dxfId="18013" priority="1509" stopIfTrue="1" operator="equal">
      <formula>"Towel"</formula>
    </cfRule>
    <cfRule type="cellIs" dxfId="18012" priority="1510" stopIfTrue="1" operator="equal">
      <formula>"Napkin Hs"</formula>
    </cfRule>
    <cfRule type="cellIs" dxfId="18011" priority="1511" stopIfTrue="1" operator="equal">
      <formula>"Towel"</formula>
    </cfRule>
    <cfRule type="cellIs" dxfId="18010" priority="1512" stopIfTrue="1" operator="equal">
      <formula>"Napkin Hs"</formula>
    </cfRule>
  </conditionalFormatting>
  <conditionalFormatting sqref="C144">
    <cfRule type="cellIs" dxfId="18009" priority="1415" stopIfTrue="1" operator="equal">
      <formula>"Napkin Hs"</formula>
    </cfRule>
  </conditionalFormatting>
  <conditionalFormatting sqref="C144">
    <cfRule type="cellIs" dxfId="18008" priority="1414" stopIfTrue="1" operator="equal">
      <formula>"Napkin Hs"</formula>
    </cfRule>
  </conditionalFormatting>
  <conditionalFormatting sqref="B144">
    <cfRule type="cellIs" dxfId="18007" priority="1413" stopIfTrue="1" operator="equal">
      <formula>"Napkin Hs"</formula>
    </cfRule>
  </conditionalFormatting>
  <conditionalFormatting sqref="C144">
    <cfRule type="cellIs" dxfId="18006" priority="1412" stopIfTrue="1" operator="equal">
      <formula>"Napkin Hs"</formula>
    </cfRule>
  </conditionalFormatting>
  <conditionalFormatting sqref="C144">
    <cfRule type="cellIs" dxfId="18005" priority="1411" stopIfTrue="1" operator="equal">
      <formula>"Napkin Hs"</formula>
    </cfRule>
  </conditionalFormatting>
  <conditionalFormatting sqref="C144">
    <cfRule type="cellIs" dxfId="18004" priority="1410" stopIfTrue="1" operator="equal">
      <formula>"Napkin Hs"</formula>
    </cfRule>
  </conditionalFormatting>
  <conditionalFormatting sqref="C144">
    <cfRule type="cellIs" dxfId="18003" priority="1409" stopIfTrue="1" operator="equal">
      <formula>"Napkin Hs"</formula>
    </cfRule>
  </conditionalFormatting>
  <conditionalFormatting sqref="B144">
    <cfRule type="cellIs" dxfId="18002" priority="1408" stopIfTrue="1" operator="equal">
      <formula>"Napkin Hs"</formula>
    </cfRule>
  </conditionalFormatting>
  <conditionalFormatting sqref="B144">
    <cfRule type="cellIs" dxfId="18001" priority="1407" stopIfTrue="1" operator="equal">
      <formula>"Napkin Hs"</formula>
    </cfRule>
  </conditionalFormatting>
  <conditionalFormatting sqref="C144">
    <cfRule type="cellIs" dxfId="18000" priority="1403" stopIfTrue="1" operator="equal">
      <formula>"Towel"</formula>
    </cfRule>
    <cfRule type="cellIs" dxfId="17999" priority="1404" stopIfTrue="1" operator="equal">
      <formula>"Napkin Hs"</formula>
    </cfRule>
  </conditionalFormatting>
  <conditionalFormatting sqref="C144">
    <cfRule type="cellIs" dxfId="17998" priority="1405" stopIfTrue="1" operator="equal">
      <formula>"Towel"</formula>
    </cfRule>
    <cfRule type="cellIs" dxfId="17997" priority="1406" stopIfTrue="1" operator="equal">
      <formula>"Napkin Hs"</formula>
    </cfRule>
  </conditionalFormatting>
  <conditionalFormatting sqref="C144">
    <cfRule type="cellIs" dxfId="17996" priority="1399" stopIfTrue="1" operator="equal">
      <formula>"Towel"</formula>
    </cfRule>
    <cfRule type="cellIs" dxfId="17995" priority="1400" stopIfTrue="1" operator="equal">
      <formula>"Napkin Hs"</formula>
    </cfRule>
  </conditionalFormatting>
  <conditionalFormatting sqref="C144">
    <cfRule type="cellIs" dxfId="17994" priority="1401" stopIfTrue="1" operator="equal">
      <formula>"Towel"</formula>
    </cfRule>
    <cfRule type="cellIs" dxfId="17993" priority="1402" stopIfTrue="1" operator="equal">
      <formula>"Napkin Hs"</formula>
    </cfRule>
  </conditionalFormatting>
  <conditionalFormatting sqref="C143">
    <cfRule type="cellIs" dxfId="17992" priority="1397" stopIfTrue="1" operator="equal">
      <formula>"Towel"</formula>
    </cfRule>
    <cfRule type="cellIs" dxfId="17991" priority="1398" stopIfTrue="1" operator="equal">
      <formula>"Napkin Hs"</formula>
    </cfRule>
  </conditionalFormatting>
  <conditionalFormatting sqref="C143">
    <cfRule type="cellIs" dxfId="17990" priority="1393" stopIfTrue="1" operator="equal">
      <formula>"Towel"</formula>
    </cfRule>
    <cfRule type="cellIs" dxfId="17989" priority="1394" stopIfTrue="1" operator="equal">
      <formula>"Napkin Hs"</formula>
    </cfRule>
  </conditionalFormatting>
  <conditionalFormatting sqref="C143">
    <cfRule type="cellIs" dxfId="17988" priority="1395" stopIfTrue="1" operator="equal">
      <formula>"Towel"</formula>
    </cfRule>
    <cfRule type="cellIs" dxfId="17987" priority="1396" stopIfTrue="1" operator="equal">
      <formula>"Napkin Hs"</formula>
    </cfRule>
  </conditionalFormatting>
  <conditionalFormatting sqref="C143">
    <cfRule type="cellIs" dxfId="17986" priority="1389" stopIfTrue="1" operator="equal">
      <formula>"Towel"</formula>
    </cfRule>
    <cfRule type="cellIs" dxfId="17985" priority="1390" stopIfTrue="1" operator="equal">
      <formula>"Napkin Hs"</formula>
    </cfRule>
  </conditionalFormatting>
  <conditionalFormatting sqref="C143">
    <cfRule type="cellIs" dxfId="17984" priority="1391" stopIfTrue="1" operator="equal">
      <formula>"Towel"</formula>
    </cfRule>
    <cfRule type="cellIs" dxfId="17983" priority="1392" stopIfTrue="1" operator="equal">
      <formula>"Napkin Hs"</formula>
    </cfRule>
  </conditionalFormatting>
  <conditionalFormatting sqref="C143">
    <cfRule type="cellIs" dxfId="17982" priority="1387" stopIfTrue="1" operator="equal">
      <formula>"Towel"</formula>
    </cfRule>
    <cfRule type="cellIs" dxfId="17981" priority="1388" stopIfTrue="1" operator="equal">
      <formula>"Napkin Hs"</formula>
    </cfRule>
  </conditionalFormatting>
  <conditionalFormatting sqref="C143">
    <cfRule type="cellIs" dxfId="17980" priority="1381" stopIfTrue="1" operator="equal">
      <formula>"Towel"</formula>
    </cfRule>
    <cfRule type="cellIs" dxfId="17979" priority="1382" stopIfTrue="1" operator="equal">
      <formula>"Napkin Hs"</formula>
    </cfRule>
  </conditionalFormatting>
  <conditionalFormatting sqref="C143">
    <cfRule type="cellIs" dxfId="17978" priority="1385" stopIfTrue="1" operator="equal">
      <formula>"Towel"</formula>
    </cfRule>
    <cfRule type="cellIs" dxfId="17977" priority="1386" stopIfTrue="1" operator="equal">
      <formula>"Napkin Hs"</formula>
    </cfRule>
  </conditionalFormatting>
  <conditionalFormatting sqref="C143">
    <cfRule type="cellIs" dxfId="17976" priority="1383" stopIfTrue="1" operator="equal">
      <formula>"Towel"</formula>
    </cfRule>
    <cfRule type="cellIs" dxfId="17975" priority="1384" stopIfTrue="1" operator="equal">
      <formula>"Napkin Hs"</formula>
    </cfRule>
  </conditionalFormatting>
  <conditionalFormatting sqref="C143">
    <cfRule type="cellIs" dxfId="17974" priority="1375" stopIfTrue="1" operator="equal">
      <formula>"Towel"</formula>
    </cfRule>
    <cfRule type="cellIs" dxfId="17973" priority="1376" stopIfTrue="1" operator="equal">
      <formula>"Napkin Hs"</formula>
    </cfRule>
  </conditionalFormatting>
  <conditionalFormatting sqref="C143">
    <cfRule type="cellIs" dxfId="17972" priority="1377" stopIfTrue="1" operator="equal">
      <formula>"Towel"</formula>
    </cfRule>
    <cfRule type="cellIs" dxfId="17971" priority="1378" stopIfTrue="1" operator="equal">
      <formula>"Napkin Hs"</formula>
    </cfRule>
  </conditionalFormatting>
  <conditionalFormatting sqref="C143">
    <cfRule type="cellIs" dxfId="17970" priority="1379" stopIfTrue="1" operator="equal">
      <formula>"Towel"</formula>
    </cfRule>
    <cfRule type="cellIs" dxfId="17969" priority="1380" stopIfTrue="1" operator="equal">
      <formula>"Napkin Hs"</formula>
    </cfRule>
  </conditionalFormatting>
  <conditionalFormatting sqref="C143">
    <cfRule type="cellIs" dxfId="17968" priority="1373" stopIfTrue="1" operator="equal">
      <formula>"Towel"</formula>
    </cfRule>
    <cfRule type="cellIs" dxfId="17967" priority="1374" stopIfTrue="1" operator="equal">
      <formula>"Napkin Hs"</formula>
    </cfRule>
  </conditionalFormatting>
  <conditionalFormatting sqref="C143">
    <cfRule type="cellIs" dxfId="17966" priority="1371" stopIfTrue="1" operator="equal">
      <formula>"Towel"</formula>
    </cfRule>
    <cfRule type="cellIs" dxfId="17965" priority="1372" stopIfTrue="1" operator="equal">
      <formula>"Napkin Hs"</formula>
    </cfRule>
  </conditionalFormatting>
  <conditionalFormatting sqref="C143">
    <cfRule type="cellIs" dxfId="17964" priority="1347" stopIfTrue="1" operator="equal">
      <formula>"Towel"</formula>
    </cfRule>
  </conditionalFormatting>
  <conditionalFormatting sqref="C143">
    <cfRule type="cellIs" dxfId="17963" priority="1348" stopIfTrue="1" operator="equal">
      <formula>"Napkin Hs"</formula>
    </cfRule>
    <cfRule type="cellIs" dxfId="17962" priority="1353" stopIfTrue="1" operator="equal">
      <formula>"Towel"</formula>
    </cfRule>
    <cfRule type="cellIs" dxfId="17961" priority="1354" stopIfTrue="1" operator="equal">
      <formula>"Napkin Hs"</formula>
    </cfRule>
    <cfRule type="cellIs" dxfId="17960" priority="1363" stopIfTrue="1" operator="equal">
      <formula>"Towel"</formula>
    </cfRule>
    <cfRule type="cellIs" dxfId="17959" priority="1364" stopIfTrue="1" operator="equal">
      <formula>"Napkin Hs"</formula>
    </cfRule>
    <cfRule type="cellIs" dxfId="17958" priority="1369" stopIfTrue="1" operator="equal">
      <formula>"Towel"</formula>
    </cfRule>
    <cfRule type="cellIs" dxfId="17957" priority="1370" stopIfTrue="1" operator="equal">
      <formula>"Napkin Hs"</formula>
    </cfRule>
  </conditionalFormatting>
  <conditionalFormatting sqref="C143">
    <cfRule type="cellIs" dxfId="17956" priority="1349" stopIfTrue="1" operator="equal">
      <formula>"Towel"</formula>
    </cfRule>
    <cfRule type="cellIs" dxfId="17955" priority="1350" stopIfTrue="1" operator="equal">
      <formula>"Napkin Hs"</formula>
    </cfRule>
    <cfRule type="cellIs" dxfId="17954" priority="1351" stopIfTrue="1" operator="equal">
      <formula>"Towel"</formula>
    </cfRule>
    <cfRule type="cellIs" dxfId="17953" priority="1352" stopIfTrue="1" operator="equal">
      <formula>"Napkin Hs"</formula>
    </cfRule>
    <cfRule type="cellIs" dxfId="17952" priority="1355" stopIfTrue="1" operator="equal">
      <formula>"Towel"</formula>
    </cfRule>
    <cfRule type="cellIs" dxfId="17951" priority="1356" stopIfTrue="1" operator="equal">
      <formula>"Napkin Hs"</formula>
    </cfRule>
    <cfRule type="cellIs" dxfId="17950" priority="1357" stopIfTrue="1" operator="equal">
      <formula>"Towel"</formula>
    </cfRule>
    <cfRule type="cellIs" dxfId="17949" priority="1358" stopIfTrue="1" operator="equal">
      <formula>"Napkin Hs"</formula>
    </cfRule>
    <cfRule type="cellIs" dxfId="17948" priority="1359" stopIfTrue="1" operator="equal">
      <formula>"Towel"</formula>
    </cfRule>
    <cfRule type="cellIs" dxfId="17947" priority="1360" stopIfTrue="1" operator="equal">
      <formula>"Napkin Hs"</formula>
    </cfRule>
    <cfRule type="cellIs" dxfId="17946" priority="1361" stopIfTrue="1" operator="equal">
      <formula>"Towel"</formula>
    </cfRule>
    <cfRule type="cellIs" dxfId="17945" priority="1362" stopIfTrue="1" operator="equal">
      <formula>"Napkin Hs"</formula>
    </cfRule>
    <cfRule type="cellIs" dxfId="17944" priority="1365" stopIfTrue="1" operator="equal">
      <formula>"Towel"</formula>
    </cfRule>
    <cfRule type="cellIs" dxfId="17943" priority="1366" stopIfTrue="1" operator="equal">
      <formula>"Napkin Hs"</formula>
    </cfRule>
    <cfRule type="cellIs" dxfId="17942" priority="1368" stopIfTrue="1" operator="equal">
      <formula>"Napkin Hs"</formula>
    </cfRule>
  </conditionalFormatting>
  <conditionalFormatting sqref="C143">
    <cfRule type="cellIs" dxfId="17941" priority="1367" stopIfTrue="1" operator="equal">
      <formula>"Towel"</formula>
    </cfRule>
  </conditionalFormatting>
  <conditionalFormatting sqref="C143">
    <cfRule type="cellIs" dxfId="17940" priority="1345" stopIfTrue="1" operator="equal">
      <formula>"Towel"</formula>
    </cfRule>
    <cfRule type="cellIs" dxfId="17939" priority="1346" stopIfTrue="1" operator="equal">
      <formula>"Napkin Hs"</formula>
    </cfRule>
  </conditionalFormatting>
  <conditionalFormatting sqref="C143">
    <cfRule type="cellIs" dxfId="17938" priority="1344" stopIfTrue="1" operator="equal">
      <formula>"Napkin Hs"</formula>
    </cfRule>
  </conditionalFormatting>
  <conditionalFormatting sqref="C143">
    <cfRule type="cellIs" dxfId="17937" priority="1343" stopIfTrue="1" operator="equal">
      <formula>"Towel"</formula>
    </cfRule>
  </conditionalFormatting>
  <conditionalFormatting sqref="C143">
    <cfRule type="cellIs" dxfId="17936" priority="1341" stopIfTrue="1" operator="equal">
      <formula>"Towel"</formula>
    </cfRule>
  </conditionalFormatting>
  <conditionalFormatting sqref="C143">
    <cfRule type="cellIs" dxfId="17935" priority="1342" stopIfTrue="1" operator="equal">
      <formula>"Napkin Hs"</formula>
    </cfRule>
  </conditionalFormatting>
  <conditionalFormatting sqref="C143">
    <cfRule type="cellIs" dxfId="17934" priority="1245" stopIfTrue="1" operator="equal">
      <formula>"Towel"</formula>
    </cfRule>
  </conditionalFormatting>
  <conditionalFormatting sqref="C143">
    <cfRule type="cellIs" dxfId="17933" priority="1255" stopIfTrue="1" operator="equal">
      <formula>"Towel"</formula>
    </cfRule>
    <cfRule type="cellIs" dxfId="17932" priority="1256" stopIfTrue="1" operator="equal">
      <formula>"Napkin Hs"</formula>
    </cfRule>
    <cfRule type="cellIs" dxfId="17931" priority="1261" stopIfTrue="1" operator="equal">
      <formula>"Towel"</formula>
    </cfRule>
    <cfRule type="cellIs" dxfId="17930" priority="1262" stopIfTrue="1" operator="equal">
      <formula>"Napkin Hs"</formula>
    </cfRule>
    <cfRule type="cellIs" dxfId="17929" priority="1267" stopIfTrue="1" operator="equal">
      <formula>"Towel"</formula>
    </cfRule>
    <cfRule type="cellIs" dxfId="17928" priority="1268" stopIfTrue="1" operator="equal">
      <formula>"Napkin Hs"</formula>
    </cfRule>
    <cfRule type="cellIs" dxfId="17927" priority="1269" stopIfTrue="1" operator="equal">
      <formula>"Towel"</formula>
    </cfRule>
    <cfRule type="cellIs" dxfId="17926" priority="1270" stopIfTrue="1" operator="equal">
      <formula>"Napkin Hs"</formula>
    </cfRule>
    <cfRule type="cellIs" dxfId="17925" priority="1275" stopIfTrue="1" operator="equal">
      <formula>"Towel"</formula>
    </cfRule>
    <cfRule type="cellIs" dxfId="17924" priority="1276" stopIfTrue="1" operator="equal">
      <formula>"Napkin Hs"</formula>
    </cfRule>
    <cfRule type="cellIs" dxfId="17923" priority="1285" stopIfTrue="1" operator="equal">
      <formula>"Towel"</formula>
    </cfRule>
    <cfRule type="cellIs" dxfId="17922" priority="1286" stopIfTrue="1" operator="equal">
      <formula>"Napkin Hs"</formula>
    </cfRule>
    <cfRule type="cellIs" dxfId="17921" priority="1291" stopIfTrue="1" operator="equal">
      <formula>"Towel"</formula>
    </cfRule>
    <cfRule type="cellIs" dxfId="17920" priority="1292" stopIfTrue="1" operator="equal">
      <formula>"Napkin Hs"</formula>
    </cfRule>
    <cfRule type="cellIs" dxfId="17919" priority="1293" stopIfTrue="1" operator="equal">
      <formula>"Towel"</formula>
    </cfRule>
    <cfRule type="cellIs" dxfId="17918" priority="1294" stopIfTrue="1" operator="equal">
      <formula>"Napkin Hs"</formula>
    </cfRule>
    <cfRule type="cellIs" dxfId="17917" priority="1299" stopIfTrue="1" operator="equal">
      <formula>"Towel"</formula>
    </cfRule>
    <cfRule type="cellIs" dxfId="17916" priority="1300" stopIfTrue="1" operator="equal">
      <formula>"Napkin Hs"</formula>
    </cfRule>
    <cfRule type="cellIs" dxfId="17915" priority="1309" stopIfTrue="1" operator="equal">
      <formula>"Towel"</formula>
    </cfRule>
    <cfRule type="cellIs" dxfId="17914" priority="1310" stopIfTrue="1" operator="equal">
      <formula>"Napkin Hs"</formula>
    </cfRule>
    <cfRule type="cellIs" dxfId="17913" priority="1311" stopIfTrue="1" operator="equal">
      <formula>"Towel"</formula>
    </cfRule>
    <cfRule type="cellIs" dxfId="17912" priority="1312" stopIfTrue="1" operator="equal">
      <formula>"Napkin Hs"</formula>
    </cfRule>
    <cfRule type="cellIs" dxfId="17911" priority="1317" stopIfTrue="1" operator="equal">
      <formula>"Towel"</formula>
    </cfRule>
    <cfRule type="cellIs" dxfId="17910" priority="1318" stopIfTrue="1" operator="equal">
      <formula>"Napkin Hs"</formula>
    </cfRule>
    <cfRule type="cellIs" dxfId="17909" priority="1327" stopIfTrue="1" operator="equal">
      <formula>"Towel"</formula>
    </cfRule>
    <cfRule type="cellIs" dxfId="17908" priority="1328" stopIfTrue="1" operator="equal">
      <formula>"Napkin Hs"</formula>
    </cfRule>
    <cfRule type="cellIs" dxfId="17907" priority="1329" stopIfTrue="1" operator="equal">
      <formula>"Towel"</formula>
    </cfRule>
    <cfRule type="cellIs" dxfId="17906" priority="1330" stopIfTrue="1" operator="equal">
      <formula>"Napkin Hs"</formula>
    </cfRule>
    <cfRule type="cellIs" dxfId="17905" priority="1336" stopIfTrue="1" operator="equal">
      <formula>"Napkin Hs"</formula>
    </cfRule>
  </conditionalFormatting>
  <conditionalFormatting sqref="C143">
    <cfRule type="cellIs" dxfId="17904" priority="1335" stopIfTrue="1" operator="equal">
      <formula>"Towel"</formula>
    </cfRule>
  </conditionalFormatting>
  <conditionalFormatting sqref="C143">
    <cfRule type="cellIs" dxfId="17903" priority="1246" stopIfTrue="1" operator="equal">
      <formula>"Napkin Hs"</formula>
    </cfRule>
    <cfRule type="cellIs" dxfId="17902" priority="1247" stopIfTrue="1" operator="equal">
      <formula>"Towel"</formula>
    </cfRule>
    <cfRule type="cellIs" dxfId="17901" priority="1248" stopIfTrue="1" operator="equal">
      <formula>"Napkin Hs"</formula>
    </cfRule>
    <cfRule type="cellIs" dxfId="17900" priority="1249" stopIfTrue="1" operator="equal">
      <formula>"Towel"</formula>
    </cfRule>
    <cfRule type="cellIs" dxfId="17899" priority="1250" stopIfTrue="1" operator="equal">
      <formula>"Napkin Hs"</formula>
    </cfRule>
    <cfRule type="cellIs" dxfId="17898" priority="1251" stopIfTrue="1" operator="equal">
      <formula>"Towel"</formula>
    </cfRule>
    <cfRule type="cellIs" dxfId="17897" priority="1252" stopIfTrue="1" operator="equal">
      <formula>"Napkin Hs"</formula>
    </cfRule>
    <cfRule type="cellIs" dxfId="17896" priority="1253" stopIfTrue="1" operator="equal">
      <formula>"Towel"</formula>
    </cfRule>
    <cfRule type="cellIs" dxfId="17895" priority="1254" stopIfTrue="1" operator="equal">
      <formula>"Napkin Hs"</formula>
    </cfRule>
    <cfRule type="cellIs" dxfId="17894" priority="1257" stopIfTrue="1" operator="equal">
      <formula>"Towel"</formula>
    </cfRule>
    <cfRule type="cellIs" dxfId="17893" priority="1258" stopIfTrue="1" operator="equal">
      <formula>"Napkin Hs"</formula>
    </cfRule>
    <cfRule type="cellIs" dxfId="17892" priority="1259" stopIfTrue="1" operator="equal">
      <formula>"Towel"</formula>
    </cfRule>
    <cfRule type="cellIs" dxfId="17891" priority="1260" stopIfTrue="1" operator="equal">
      <formula>"Napkin Hs"</formula>
    </cfRule>
    <cfRule type="cellIs" dxfId="17890" priority="1263" stopIfTrue="1" operator="equal">
      <formula>"Towel"</formula>
    </cfRule>
    <cfRule type="cellIs" dxfId="17889" priority="1264" stopIfTrue="1" operator="equal">
      <formula>"Napkin Hs"</formula>
    </cfRule>
    <cfRule type="cellIs" dxfId="17888" priority="1265" stopIfTrue="1" operator="equal">
      <formula>"Towel"</formula>
    </cfRule>
    <cfRule type="cellIs" dxfId="17887" priority="1266" stopIfTrue="1" operator="equal">
      <formula>"Napkin Hs"</formula>
    </cfRule>
    <cfRule type="cellIs" dxfId="17886" priority="1271" stopIfTrue="1" operator="equal">
      <formula>"Towel"</formula>
    </cfRule>
    <cfRule type="cellIs" dxfId="17885" priority="1272" stopIfTrue="1" operator="equal">
      <formula>"Napkin Hs"</formula>
    </cfRule>
    <cfRule type="cellIs" dxfId="17884" priority="1273" stopIfTrue="1" operator="equal">
      <formula>"Towel"</formula>
    </cfRule>
    <cfRule type="cellIs" dxfId="17883" priority="1274" stopIfTrue="1" operator="equal">
      <formula>"Napkin Hs"</formula>
    </cfRule>
    <cfRule type="cellIs" dxfId="17882" priority="1277" stopIfTrue="1" operator="equal">
      <formula>"Towel"</formula>
    </cfRule>
    <cfRule type="cellIs" dxfId="17881" priority="1278" stopIfTrue="1" operator="equal">
      <formula>"Napkin Hs"</formula>
    </cfRule>
    <cfRule type="cellIs" dxfId="17880" priority="1279" stopIfTrue="1" operator="equal">
      <formula>"Towel"</formula>
    </cfRule>
    <cfRule type="cellIs" dxfId="17879" priority="1280" stopIfTrue="1" operator="equal">
      <formula>"Napkin Hs"</formula>
    </cfRule>
    <cfRule type="cellIs" dxfId="17878" priority="1281" stopIfTrue="1" operator="equal">
      <formula>"Towel"</formula>
    </cfRule>
    <cfRule type="cellIs" dxfId="17877" priority="1282" stopIfTrue="1" operator="equal">
      <formula>"Napkin Hs"</formula>
    </cfRule>
    <cfRule type="cellIs" dxfId="17876" priority="1283" stopIfTrue="1" operator="equal">
      <formula>"Towel"</formula>
    </cfRule>
    <cfRule type="cellIs" dxfId="17875" priority="1284" stopIfTrue="1" operator="equal">
      <formula>"Napkin Hs"</formula>
    </cfRule>
    <cfRule type="cellIs" dxfId="17874" priority="1287" stopIfTrue="1" operator="equal">
      <formula>"Towel"</formula>
    </cfRule>
    <cfRule type="cellIs" dxfId="17873" priority="1288" stopIfTrue="1" operator="equal">
      <formula>"Napkin Hs"</formula>
    </cfRule>
    <cfRule type="cellIs" dxfId="17872" priority="1289" stopIfTrue="1" operator="equal">
      <formula>"Towel"</formula>
    </cfRule>
    <cfRule type="cellIs" dxfId="17871" priority="1290" stopIfTrue="1" operator="equal">
      <formula>"Napkin Hs"</formula>
    </cfRule>
    <cfRule type="cellIs" dxfId="17870" priority="1295" stopIfTrue="1" operator="equal">
      <formula>"Towel"</formula>
    </cfRule>
    <cfRule type="cellIs" dxfId="17869" priority="1296" stopIfTrue="1" operator="equal">
      <formula>"Napkin Hs"</formula>
    </cfRule>
    <cfRule type="cellIs" dxfId="17868" priority="1297" stopIfTrue="1" operator="equal">
      <formula>"Towel"</formula>
    </cfRule>
    <cfRule type="cellIs" dxfId="17867" priority="1298" stopIfTrue="1" operator="equal">
      <formula>"Napkin Hs"</formula>
    </cfRule>
    <cfRule type="cellIs" dxfId="17866" priority="1301" stopIfTrue="1" operator="equal">
      <formula>"Towel"</formula>
    </cfRule>
    <cfRule type="cellIs" dxfId="17865" priority="1302" stopIfTrue="1" operator="equal">
      <formula>"Napkin Hs"</formula>
    </cfRule>
    <cfRule type="cellIs" dxfId="17864" priority="1303" stopIfTrue="1" operator="equal">
      <formula>"Towel"</formula>
    </cfRule>
    <cfRule type="cellIs" dxfId="17863" priority="1304" stopIfTrue="1" operator="equal">
      <formula>"Napkin Hs"</formula>
    </cfRule>
    <cfRule type="cellIs" dxfId="17862" priority="1305" stopIfTrue="1" operator="equal">
      <formula>"Towel"</formula>
    </cfRule>
    <cfRule type="cellIs" dxfId="17861" priority="1306" stopIfTrue="1" operator="equal">
      <formula>"Napkin Hs"</formula>
    </cfRule>
    <cfRule type="cellIs" dxfId="17860" priority="1307" stopIfTrue="1" operator="equal">
      <formula>"Towel"</formula>
    </cfRule>
    <cfRule type="cellIs" dxfId="17859" priority="1308" stopIfTrue="1" operator="equal">
      <formula>"Napkin Hs"</formula>
    </cfRule>
    <cfRule type="cellIs" dxfId="17858" priority="1313" stopIfTrue="1" operator="equal">
      <formula>"Towel"</formula>
    </cfRule>
    <cfRule type="cellIs" dxfId="17857" priority="1314" stopIfTrue="1" operator="equal">
      <formula>"Napkin Hs"</formula>
    </cfRule>
    <cfRule type="cellIs" dxfId="17856" priority="1315" stopIfTrue="1" operator="equal">
      <formula>"Towel"</formula>
    </cfRule>
    <cfRule type="cellIs" dxfId="17855" priority="1316" stopIfTrue="1" operator="equal">
      <formula>"Napkin Hs"</formula>
    </cfRule>
    <cfRule type="cellIs" dxfId="17854" priority="1319" stopIfTrue="1" operator="equal">
      <formula>"Towel"</formula>
    </cfRule>
    <cfRule type="cellIs" dxfId="17853" priority="1320" stopIfTrue="1" operator="equal">
      <formula>"Napkin Hs"</formula>
    </cfRule>
    <cfRule type="cellIs" dxfId="17852" priority="1321" stopIfTrue="1" operator="equal">
      <formula>"Towel"</formula>
    </cfRule>
    <cfRule type="cellIs" dxfId="17851" priority="1322" stopIfTrue="1" operator="equal">
      <formula>"Napkin Hs"</formula>
    </cfRule>
    <cfRule type="cellIs" dxfId="17850" priority="1323" stopIfTrue="1" operator="equal">
      <formula>"Towel"</formula>
    </cfRule>
    <cfRule type="cellIs" dxfId="17849" priority="1324" stopIfTrue="1" operator="equal">
      <formula>"Napkin Hs"</formula>
    </cfRule>
    <cfRule type="cellIs" dxfId="17848" priority="1325" stopIfTrue="1" operator="equal">
      <formula>"Towel"</formula>
    </cfRule>
    <cfRule type="cellIs" dxfId="17847" priority="1326" stopIfTrue="1" operator="equal">
      <formula>"Napkin Hs"</formula>
    </cfRule>
    <cfRule type="cellIs" dxfId="17846" priority="1331" stopIfTrue="1" operator="equal">
      <formula>"Towel"</formula>
    </cfRule>
    <cfRule type="cellIs" dxfId="17845" priority="1332" stopIfTrue="1" operator="equal">
      <formula>"Napkin Hs"</formula>
    </cfRule>
    <cfRule type="cellIs" dxfId="17844" priority="1333" stopIfTrue="1" operator="equal">
      <formula>"Towel"</formula>
    </cfRule>
    <cfRule type="cellIs" dxfId="17843" priority="1334" stopIfTrue="1" operator="equal">
      <formula>"Napkin Hs"</formula>
    </cfRule>
    <cfRule type="cellIs" dxfId="17842" priority="1337" stopIfTrue="1" operator="equal">
      <formula>"Towel"</formula>
    </cfRule>
    <cfRule type="cellIs" dxfId="17841" priority="1338" stopIfTrue="1" operator="equal">
      <formula>"Napkin Hs"</formula>
    </cfRule>
    <cfRule type="cellIs" dxfId="17840" priority="1339" stopIfTrue="1" operator="equal">
      <formula>"Towel"</formula>
    </cfRule>
    <cfRule type="cellIs" dxfId="17839" priority="1340" stopIfTrue="1" operator="equal">
      <formula>"Napkin Hs"</formula>
    </cfRule>
  </conditionalFormatting>
  <conditionalFormatting sqref="C143">
    <cfRule type="cellIs" dxfId="17838" priority="1244" stopIfTrue="1" operator="equal">
      <formula>"Napkin Hs"</formula>
    </cfRule>
  </conditionalFormatting>
  <conditionalFormatting sqref="C143">
    <cfRule type="cellIs" dxfId="17837" priority="1243" stopIfTrue="1" operator="equal">
      <formula>"Napkin Hs"</formula>
    </cfRule>
  </conditionalFormatting>
  <conditionalFormatting sqref="C143">
    <cfRule type="cellIs" dxfId="17836" priority="1242" stopIfTrue="1" operator="equal">
      <formula>"Napkin Hs"</formula>
    </cfRule>
  </conditionalFormatting>
  <conditionalFormatting sqref="C143">
    <cfRule type="cellIs" dxfId="17835" priority="1241" stopIfTrue="1" operator="equal">
      <formula>"Napkin Hs"</formula>
    </cfRule>
  </conditionalFormatting>
  <conditionalFormatting sqref="C143">
    <cfRule type="cellIs" dxfId="17834" priority="1240" stopIfTrue="1" operator="equal">
      <formula>"Napkin Hs"</formula>
    </cfRule>
  </conditionalFormatting>
  <conditionalFormatting sqref="C143">
    <cfRule type="cellIs" dxfId="17833" priority="1239" stopIfTrue="1" operator="equal">
      <formula>"Napkin Hs"</formula>
    </cfRule>
  </conditionalFormatting>
  <conditionalFormatting sqref="C143">
    <cfRule type="cellIs" dxfId="17832" priority="1235" stopIfTrue="1" operator="equal">
      <formula>"Towel"</formula>
    </cfRule>
    <cfRule type="cellIs" dxfId="17831" priority="1236" stopIfTrue="1" operator="equal">
      <formula>"Napkin Hs"</formula>
    </cfRule>
  </conditionalFormatting>
  <conditionalFormatting sqref="C143">
    <cfRule type="cellIs" dxfId="17830" priority="1237" stopIfTrue="1" operator="equal">
      <formula>"Towel"</formula>
    </cfRule>
    <cfRule type="cellIs" dxfId="17829" priority="1238" stopIfTrue="1" operator="equal">
      <formula>"Napkin Hs"</formula>
    </cfRule>
  </conditionalFormatting>
  <conditionalFormatting sqref="C143">
    <cfRule type="cellIs" dxfId="17828" priority="1231" stopIfTrue="1" operator="equal">
      <formula>"Towel"</formula>
    </cfRule>
    <cfRule type="cellIs" dxfId="17827" priority="1232" stopIfTrue="1" operator="equal">
      <formula>"Napkin Hs"</formula>
    </cfRule>
  </conditionalFormatting>
  <conditionalFormatting sqref="C143">
    <cfRule type="cellIs" dxfId="17826" priority="1233" stopIfTrue="1" operator="equal">
      <formula>"Towel"</formula>
    </cfRule>
    <cfRule type="cellIs" dxfId="17825" priority="1234" stopIfTrue="1" operator="equal">
      <formula>"Napkin Hs"</formula>
    </cfRule>
  </conditionalFormatting>
  <conditionalFormatting sqref="C142:C146">
    <cfRule type="cellIs" dxfId="17824" priority="1229" stopIfTrue="1" operator="equal">
      <formula>"Towel"</formula>
    </cfRule>
    <cfRule type="cellIs" dxfId="17823" priority="1230" stopIfTrue="1" operator="equal">
      <formula>"Napkin Hs"</formula>
    </cfRule>
  </conditionalFormatting>
  <conditionalFormatting sqref="C142:C146">
    <cfRule type="cellIs" dxfId="17822" priority="1225" stopIfTrue="1" operator="equal">
      <formula>"Towel"</formula>
    </cfRule>
    <cfRule type="cellIs" dxfId="17821" priority="1226" stopIfTrue="1" operator="equal">
      <formula>"Napkin Hs"</formula>
    </cfRule>
  </conditionalFormatting>
  <conditionalFormatting sqref="C142:C146">
    <cfRule type="cellIs" dxfId="17820" priority="1227" stopIfTrue="1" operator="equal">
      <formula>"Towel"</formula>
    </cfRule>
    <cfRule type="cellIs" dxfId="17819" priority="1228" stopIfTrue="1" operator="equal">
      <formula>"Napkin Hs"</formula>
    </cfRule>
  </conditionalFormatting>
  <conditionalFormatting sqref="C142:C146">
    <cfRule type="cellIs" dxfId="17818" priority="1221" stopIfTrue="1" operator="equal">
      <formula>"Towel"</formula>
    </cfRule>
    <cfRule type="cellIs" dxfId="17817" priority="1222" stopIfTrue="1" operator="equal">
      <formula>"Napkin Hs"</formula>
    </cfRule>
  </conditionalFormatting>
  <conditionalFormatting sqref="C142:C146">
    <cfRule type="cellIs" dxfId="17816" priority="1223" stopIfTrue="1" operator="equal">
      <formula>"Towel"</formula>
    </cfRule>
    <cfRule type="cellIs" dxfId="17815" priority="1224" stopIfTrue="1" operator="equal">
      <formula>"Napkin Hs"</formula>
    </cfRule>
  </conditionalFormatting>
  <conditionalFormatting sqref="C142:C146">
    <cfRule type="cellIs" dxfId="17814" priority="1219" stopIfTrue="1" operator="equal">
      <formula>"Towel"</formula>
    </cfRule>
    <cfRule type="cellIs" dxfId="17813" priority="1220" stopIfTrue="1" operator="equal">
      <formula>"Napkin Hs"</formula>
    </cfRule>
  </conditionalFormatting>
  <conditionalFormatting sqref="C142:C146">
    <cfRule type="cellIs" dxfId="17812" priority="1213" stopIfTrue="1" operator="equal">
      <formula>"Towel"</formula>
    </cfRule>
    <cfRule type="cellIs" dxfId="17811" priority="1214" stopIfTrue="1" operator="equal">
      <formula>"Napkin Hs"</formula>
    </cfRule>
  </conditionalFormatting>
  <conditionalFormatting sqref="C142:C146">
    <cfRule type="cellIs" dxfId="17810" priority="1217" stopIfTrue="1" operator="equal">
      <formula>"Towel"</formula>
    </cfRule>
    <cfRule type="cellIs" dxfId="17809" priority="1218" stopIfTrue="1" operator="equal">
      <formula>"Napkin Hs"</formula>
    </cfRule>
  </conditionalFormatting>
  <conditionalFormatting sqref="C142:C146">
    <cfRule type="cellIs" dxfId="17808" priority="1215" stopIfTrue="1" operator="equal">
      <formula>"Towel"</formula>
    </cfRule>
    <cfRule type="cellIs" dxfId="17807" priority="1216" stopIfTrue="1" operator="equal">
      <formula>"Napkin Hs"</formula>
    </cfRule>
  </conditionalFormatting>
  <conditionalFormatting sqref="C142:C146">
    <cfRule type="cellIs" dxfId="17806" priority="1207" stopIfTrue="1" operator="equal">
      <formula>"Towel"</formula>
    </cfRule>
    <cfRule type="cellIs" dxfId="17805" priority="1208" stopIfTrue="1" operator="equal">
      <formula>"Napkin Hs"</formula>
    </cfRule>
  </conditionalFormatting>
  <conditionalFormatting sqref="C142:C146">
    <cfRule type="cellIs" dxfId="17804" priority="1209" stopIfTrue="1" operator="equal">
      <formula>"Towel"</formula>
    </cfRule>
    <cfRule type="cellIs" dxfId="17803" priority="1210" stopIfTrue="1" operator="equal">
      <formula>"Napkin Hs"</formula>
    </cfRule>
  </conditionalFormatting>
  <conditionalFormatting sqref="C142:C146">
    <cfRule type="cellIs" dxfId="17802" priority="1211" stopIfTrue="1" operator="equal">
      <formula>"Towel"</formula>
    </cfRule>
    <cfRule type="cellIs" dxfId="17801" priority="1212" stopIfTrue="1" operator="equal">
      <formula>"Napkin Hs"</formula>
    </cfRule>
  </conditionalFormatting>
  <conditionalFormatting sqref="C142:C146">
    <cfRule type="cellIs" dxfId="17800" priority="1205" stopIfTrue="1" operator="equal">
      <formula>"Towel"</formula>
    </cfRule>
    <cfRule type="cellIs" dxfId="17799" priority="1206" stopIfTrue="1" operator="equal">
      <formula>"Napkin Hs"</formula>
    </cfRule>
  </conditionalFormatting>
  <conditionalFormatting sqref="C142:C146">
    <cfRule type="cellIs" dxfId="17798" priority="1203" stopIfTrue="1" operator="equal">
      <formula>"Towel"</formula>
    </cfRule>
    <cfRule type="cellIs" dxfId="17797" priority="1204" stopIfTrue="1" operator="equal">
      <formula>"Napkin Hs"</formula>
    </cfRule>
  </conditionalFormatting>
  <conditionalFormatting sqref="C142:C146">
    <cfRule type="cellIs" dxfId="17796" priority="1179" stopIfTrue="1" operator="equal">
      <formula>"Towel"</formula>
    </cfRule>
  </conditionalFormatting>
  <conditionalFormatting sqref="C142:C146">
    <cfRule type="cellIs" dxfId="17795" priority="1180" stopIfTrue="1" operator="equal">
      <formula>"Napkin Hs"</formula>
    </cfRule>
    <cfRule type="cellIs" dxfId="17794" priority="1185" stopIfTrue="1" operator="equal">
      <formula>"Towel"</formula>
    </cfRule>
    <cfRule type="cellIs" dxfId="17793" priority="1186" stopIfTrue="1" operator="equal">
      <formula>"Napkin Hs"</formula>
    </cfRule>
    <cfRule type="cellIs" dxfId="17792" priority="1195" stopIfTrue="1" operator="equal">
      <formula>"Towel"</formula>
    </cfRule>
    <cfRule type="cellIs" dxfId="17791" priority="1196" stopIfTrue="1" operator="equal">
      <formula>"Napkin Hs"</formula>
    </cfRule>
    <cfRule type="cellIs" dxfId="17790" priority="1201" stopIfTrue="1" operator="equal">
      <formula>"Towel"</formula>
    </cfRule>
    <cfRule type="cellIs" dxfId="17789" priority="1202" stopIfTrue="1" operator="equal">
      <formula>"Napkin Hs"</formula>
    </cfRule>
  </conditionalFormatting>
  <conditionalFormatting sqref="C142:C146">
    <cfRule type="cellIs" dxfId="17788" priority="1181" stopIfTrue="1" operator="equal">
      <formula>"Towel"</formula>
    </cfRule>
    <cfRule type="cellIs" dxfId="17787" priority="1182" stopIfTrue="1" operator="equal">
      <formula>"Napkin Hs"</formula>
    </cfRule>
    <cfRule type="cellIs" dxfId="17786" priority="1183" stopIfTrue="1" operator="equal">
      <formula>"Towel"</formula>
    </cfRule>
    <cfRule type="cellIs" dxfId="17785" priority="1184" stopIfTrue="1" operator="equal">
      <formula>"Napkin Hs"</formula>
    </cfRule>
    <cfRule type="cellIs" dxfId="17784" priority="1187" stopIfTrue="1" operator="equal">
      <formula>"Towel"</formula>
    </cfRule>
    <cfRule type="cellIs" dxfId="17783" priority="1188" stopIfTrue="1" operator="equal">
      <formula>"Napkin Hs"</formula>
    </cfRule>
    <cfRule type="cellIs" dxfId="17782" priority="1189" stopIfTrue="1" operator="equal">
      <formula>"Towel"</formula>
    </cfRule>
    <cfRule type="cellIs" dxfId="17781" priority="1190" stopIfTrue="1" operator="equal">
      <formula>"Napkin Hs"</formula>
    </cfRule>
    <cfRule type="cellIs" dxfId="17780" priority="1191" stopIfTrue="1" operator="equal">
      <formula>"Towel"</formula>
    </cfRule>
    <cfRule type="cellIs" dxfId="17779" priority="1192" stopIfTrue="1" operator="equal">
      <formula>"Napkin Hs"</formula>
    </cfRule>
    <cfRule type="cellIs" dxfId="17778" priority="1193" stopIfTrue="1" operator="equal">
      <formula>"Towel"</formula>
    </cfRule>
    <cfRule type="cellIs" dxfId="17777" priority="1194" stopIfTrue="1" operator="equal">
      <formula>"Napkin Hs"</formula>
    </cfRule>
    <cfRule type="cellIs" dxfId="17776" priority="1197" stopIfTrue="1" operator="equal">
      <formula>"Towel"</formula>
    </cfRule>
    <cfRule type="cellIs" dxfId="17775" priority="1198" stopIfTrue="1" operator="equal">
      <formula>"Napkin Hs"</formula>
    </cfRule>
    <cfRule type="cellIs" dxfId="17774" priority="1200" stopIfTrue="1" operator="equal">
      <formula>"Napkin Hs"</formula>
    </cfRule>
  </conditionalFormatting>
  <conditionalFormatting sqref="C142:C146">
    <cfRule type="cellIs" dxfId="17773" priority="1199" stopIfTrue="1" operator="equal">
      <formula>"Towel"</formula>
    </cfRule>
  </conditionalFormatting>
  <conditionalFormatting sqref="C142:C146">
    <cfRule type="cellIs" dxfId="17772" priority="1177" stopIfTrue="1" operator="equal">
      <formula>"Towel"</formula>
    </cfRule>
    <cfRule type="cellIs" dxfId="17771" priority="1178" stopIfTrue="1" operator="equal">
      <formula>"Napkin Hs"</formula>
    </cfRule>
  </conditionalFormatting>
  <conditionalFormatting sqref="C142:C146">
    <cfRule type="cellIs" dxfId="17770" priority="1176" stopIfTrue="1" operator="equal">
      <formula>"Napkin Hs"</formula>
    </cfRule>
  </conditionalFormatting>
  <conditionalFormatting sqref="C142:C146">
    <cfRule type="cellIs" dxfId="17769" priority="1175" stopIfTrue="1" operator="equal">
      <formula>"Towel"</formula>
    </cfRule>
  </conditionalFormatting>
  <conditionalFormatting sqref="C142:C146">
    <cfRule type="cellIs" dxfId="17768" priority="1173" stopIfTrue="1" operator="equal">
      <formula>"Towel"</formula>
    </cfRule>
  </conditionalFormatting>
  <conditionalFormatting sqref="C142:C146">
    <cfRule type="cellIs" dxfId="17767" priority="1174" stopIfTrue="1" operator="equal">
      <formula>"Napkin Hs"</formula>
    </cfRule>
  </conditionalFormatting>
  <conditionalFormatting sqref="C142:C146">
    <cfRule type="cellIs" dxfId="17766" priority="1077" stopIfTrue="1" operator="equal">
      <formula>"Towel"</formula>
    </cfRule>
  </conditionalFormatting>
  <conditionalFormatting sqref="C142:C146">
    <cfRule type="cellIs" dxfId="17765" priority="1087" stopIfTrue="1" operator="equal">
      <formula>"Towel"</formula>
    </cfRule>
    <cfRule type="cellIs" dxfId="17764" priority="1088" stopIfTrue="1" operator="equal">
      <formula>"Napkin Hs"</formula>
    </cfRule>
    <cfRule type="cellIs" dxfId="17763" priority="1093" stopIfTrue="1" operator="equal">
      <formula>"Towel"</formula>
    </cfRule>
    <cfRule type="cellIs" dxfId="17762" priority="1094" stopIfTrue="1" operator="equal">
      <formula>"Napkin Hs"</formula>
    </cfRule>
    <cfRule type="cellIs" dxfId="17761" priority="1099" stopIfTrue="1" operator="equal">
      <formula>"Towel"</formula>
    </cfRule>
    <cfRule type="cellIs" dxfId="17760" priority="1100" stopIfTrue="1" operator="equal">
      <formula>"Napkin Hs"</formula>
    </cfRule>
    <cfRule type="cellIs" dxfId="17759" priority="1101" stopIfTrue="1" operator="equal">
      <formula>"Towel"</formula>
    </cfRule>
    <cfRule type="cellIs" dxfId="17758" priority="1102" stopIfTrue="1" operator="equal">
      <formula>"Napkin Hs"</formula>
    </cfRule>
    <cfRule type="cellIs" dxfId="17757" priority="1107" stopIfTrue="1" operator="equal">
      <formula>"Towel"</formula>
    </cfRule>
    <cfRule type="cellIs" dxfId="17756" priority="1108" stopIfTrue="1" operator="equal">
      <formula>"Napkin Hs"</formula>
    </cfRule>
    <cfRule type="cellIs" dxfId="17755" priority="1117" stopIfTrue="1" operator="equal">
      <formula>"Towel"</formula>
    </cfRule>
    <cfRule type="cellIs" dxfId="17754" priority="1118" stopIfTrue="1" operator="equal">
      <formula>"Napkin Hs"</formula>
    </cfRule>
    <cfRule type="cellIs" dxfId="17753" priority="1123" stopIfTrue="1" operator="equal">
      <formula>"Towel"</formula>
    </cfRule>
    <cfRule type="cellIs" dxfId="17752" priority="1124" stopIfTrue="1" operator="equal">
      <formula>"Napkin Hs"</formula>
    </cfRule>
    <cfRule type="cellIs" dxfId="17751" priority="1125" stopIfTrue="1" operator="equal">
      <formula>"Towel"</formula>
    </cfRule>
    <cfRule type="cellIs" dxfId="17750" priority="1126" stopIfTrue="1" operator="equal">
      <formula>"Napkin Hs"</formula>
    </cfRule>
    <cfRule type="cellIs" dxfId="17749" priority="1131" stopIfTrue="1" operator="equal">
      <formula>"Towel"</formula>
    </cfRule>
    <cfRule type="cellIs" dxfId="17748" priority="1132" stopIfTrue="1" operator="equal">
      <formula>"Napkin Hs"</formula>
    </cfRule>
    <cfRule type="cellIs" dxfId="17747" priority="1141" stopIfTrue="1" operator="equal">
      <formula>"Towel"</formula>
    </cfRule>
    <cfRule type="cellIs" dxfId="17746" priority="1142" stopIfTrue="1" operator="equal">
      <formula>"Napkin Hs"</formula>
    </cfRule>
    <cfRule type="cellIs" dxfId="17745" priority="1143" stopIfTrue="1" operator="equal">
      <formula>"Towel"</formula>
    </cfRule>
    <cfRule type="cellIs" dxfId="17744" priority="1144" stopIfTrue="1" operator="equal">
      <formula>"Napkin Hs"</formula>
    </cfRule>
    <cfRule type="cellIs" dxfId="17743" priority="1149" stopIfTrue="1" operator="equal">
      <formula>"Towel"</formula>
    </cfRule>
    <cfRule type="cellIs" dxfId="17742" priority="1150" stopIfTrue="1" operator="equal">
      <formula>"Napkin Hs"</formula>
    </cfRule>
    <cfRule type="cellIs" dxfId="17741" priority="1159" stopIfTrue="1" operator="equal">
      <formula>"Towel"</formula>
    </cfRule>
    <cfRule type="cellIs" dxfId="17740" priority="1160" stopIfTrue="1" operator="equal">
      <formula>"Napkin Hs"</formula>
    </cfRule>
    <cfRule type="cellIs" dxfId="17739" priority="1161" stopIfTrue="1" operator="equal">
      <formula>"Towel"</formula>
    </cfRule>
    <cfRule type="cellIs" dxfId="17738" priority="1162" stopIfTrue="1" operator="equal">
      <formula>"Napkin Hs"</formula>
    </cfRule>
    <cfRule type="cellIs" dxfId="17737" priority="1168" stopIfTrue="1" operator="equal">
      <formula>"Napkin Hs"</formula>
    </cfRule>
  </conditionalFormatting>
  <conditionalFormatting sqref="C142:C146">
    <cfRule type="cellIs" dxfId="17736" priority="1167" stopIfTrue="1" operator="equal">
      <formula>"Towel"</formula>
    </cfRule>
  </conditionalFormatting>
  <conditionalFormatting sqref="C142:C146">
    <cfRule type="cellIs" dxfId="17735" priority="1078" stopIfTrue="1" operator="equal">
      <formula>"Napkin Hs"</formula>
    </cfRule>
    <cfRule type="cellIs" dxfId="17734" priority="1079" stopIfTrue="1" operator="equal">
      <formula>"Towel"</formula>
    </cfRule>
    <cfRule type="cellIs" dxfId="17733" priority="1080" stopIfTrue="1" operator="equal">
      <formula>"Napkin Hs"</formula>
    </cfRule>
    <cfRule type="cellIs" dxfId="17732" priority="1081" stopIfTrue="1" operator="equal">
      <formula>"Towel"</formula>
    </cfRule>
    <cfRule type="cellIs" dxfId="17731" priority="1082" stopIfTrue="1" operator="equal">
      <formula>"Napkin Hs"</formula>
    </cfRule>
    <cfRule type="cellIs" dxfId="17730" priority="1083" stopIfTrue="1" operator="equal">
      <formula>"Towel"</formula>
    </cfRule>
    <cfRule type="cellIs" dxfId="17729" priority="1084" stopIfTrue="1" operator="equal">
      <formula>"Napkin Hs"</formula>
    </cfRule>
    <cfRule type="cellIs" dxfId="17728" priority="1085" stopIfTrue="1" operator="equal">
      <formula>"Towel"</formula>
    </cfRule>
    <cfRule type="cellIs" dxfId="17727" priority="1086" stopIfTrue="1" operator="equal">
      <formula>"Napkin Hs"</formula>
    </cfRule>
    <cfRule type="cellIs" dxfId="17726" priority="1089" stopIfTrue="1" operator="equal">
      <formula>"Towel"</formula>
    </cfRule>
    <cfRule type="cellIs" dxfId="17725" priority="1090" stopIfTrue="1" operator="equal">
      <formula>"Napkin Hs"</formula>
    </cfRule>
    <cfRule type="cellIs" dxfId="17724" priority="1091" stopIfTrue="1" operator="equal">
      <formula>"Towel"</formula>
    </cfRule>
    <cfRule type="cellIs" dxfId="17723" priority="1092" stopIfTrue="1" operator="equal">
      <formula>"Napkin Hs"</formula>
    </cfRule>
    <cfRule type="cellIs" dxfId="17722" priority="1095" stopIfTrue="1" operator="equal">
      <formula>"Towel"</formula>
    </cfRule>
    <cfRule type="cellIs" dxfId="17721" priority="1096" stopIfTrue="1" operator="equal">
      <formula>"Napkin Hs"</formula>
    </cfRule>
    <cfRule type="cellIs" dxfId="17720" priority="1097" stopIfTrue="1" operator="equal">
      <formula>"Towel"</formula>
    </cfRule>
    <cfRule type="cellIs" dxfId="17719" priority="1098" stopIfTrue="1" operator="equal">
      <formula>"Napkin Hs"</formula>
    </cfRule>
    <cfRule type="cellIs" dxfId="17718" priority="1103" stopIfTrue="1" operator="equal">
      <formula>"Towel"</formula>
    </cfRule>
    <cfRule type="cellIs" dxfId="17717" priority="1104" stopIfTrue="1" operator="equal">
      <formula>"Napkin Hs"</formula>
    </cfRule>
    <cfRule type="cellIs" dxfId="17716" priority="1105" stopIfTrue="1" operator="equal">
      <formula>"Towel"</formula>
    </cfRule>
    <cfRule type="cellIs" dxfId="17715" priority="1106" stopIfTrue="1" operator="equal">
      <formula>"Napkin Hs"</formula>
    </cfRule>
    <cfRule type="cellIs" dxfId="17714" priority="1109" stopIfTrue="1" operator="equal">
      <formula>"Towel"</formula>
    </cfRule>
    <cfRule type="cellIs" dxfId="17713" priority="1110" stopIfTrue="1" operator="equal">
      <formula>"Napkin Hs"</formula>
    </cfRule>
    <cfRule type="cellIs" dxfId="17712" priority="1111" stopIfTrue="1" operator="equal">
      <formula>"Towel"</formula>
    </cfRule>
    <cfRule type="cellIs" dxfId="17711" priority="1112" stopIfTrue="1" operator="equal">
      <formula>"Napkin Hs"</formula>
    </cfRule>
    <cfRule type="cellIs" dxfId="17710" priority="1113" stopIfTrue="1" operator="equal">
      <formula>"Towel"</formula>
    </cfRule>
    <cfRule type="cellIs" dxfId="17709" priority="1114" stopIfTrue="1" operator="equal">
      <formula>"Napkin Hs"</formula>
    </cfRule>
    <cfRule type="cellIs" dxfId="17708" priority="1115" stopIfTrue="1" operator="equal">
      <formula>"Towel"</formula>
    </cfRule>
    <cfRule type="cellIs" dxfId="17707" priority="1116" stopIfTrue="1" operator="equal">
      <formula>"Napkin Hs"</formula>
    </cfRule>
    <cfRule type="cellIs" dxfId="17706" priority="1119" stopIfTrue="1" operator="equal">
      <formula>"Towel"</formula>
    </cfRule>
    <cfRule type="cellIs" dxfId="17705" priority="1120" stopIfTrue="1" operator="equal">
      <formula>"Napkin Hs"</formula>
    </cfRule>
    <cfRule type="cellIs" dxfId="17704" priority="1121" stopIfTrue="1" operator="equal">
      <formula>"Towel"</formula>
    </cfRule>
    <cfRule type="cellIs" dxfId="17703" priority="1122" stopIfTrue="1" operator="equal">
      <formula>"Napkin Hs"</formula>
    </cfRule>
    <cfRule type="cellIs" dxfId="17702" priority="1127" stopIfTrue="1" operator="equal">
      <formula>"Towel"</formula>
    </cfRule>
    <cfRule type="cellIs" dxfId="17701" priority="1128" stopIfTrue="1" operator="equal">
      <formula>"Napkin Hs"</formula>
    </cfRule>
    <cfRule type="cellIs" dxfId="17700" priority="1129" stopIfTrue="1" operator="equal">
      <formula>"Towel"</formula>
    </cfRule>
    <cfRule type="cellIs" dxfId="17699" priority="1130" stopIfTrue="1" operator="equal">
      <formula>"Napkin Hs"</formula>
    </cfRule>
    <cfRule type="cellIs" dxfId="17698" priority="1133" stopIfTrue="1" operator="equal">
      <formula>"Towel"</formula>
    </cfRule>
    <cfRule type="cellIs" dxfId="17697" priority="1134" stopIfTrue="1" operator="equal">
      <formula>"Napkin Hs"</formula>
    </cfRule>
    <cfRule type="cellIs" dxfId="17696" priority="1135" stopIfTrue="1" operator="equal">
      <formula>"Towel"</formula>
    </cfRule>
    <cfRule type="cellIs" dxfId="17695" priority="1136" stopIfTrue="1" operator="equal">
      <formula>"Napkin Hs"</formula>
    </cfRule>
    <cfRule type="cellIs" dxfId="17694" priority="1137" stopIfTrue="1" operator="equal">
      <formula>"Towel"</formula>
    </cfRule>
    <cfRule type="cellIs" dxfId="17693" priority="1138" stopIfTrue="1" operator="equal">
      <formula>"Napkin Hs"</formula>
    </cfRule>
    <cfRule type="cellIs" dxfId="17692" priority="1139" stopIfTrue="1" operator="equal">
      <formula>"Towel"</formula>
    </cfRule>
    <cfRule type="cellIs" dxfId="17691" priority="1140" stopIfTrue="1" operator="equal">
      <formula>"Napkin Hs"</formula>
    </cfRule>
    <cfRule type="cellIs" dxfId="17690" priority="1145" stopIfTrue="1" operator="equal">
      <formula>"Towel"</formula>
    </cfRule>
    <cfRule type="cellIs" dxfId="17689" priority="1146" stopIfTrue="1" operator="equal">
      <formula>"Napkin Hs"</formula>
    </cfRule>
    <cfRule type="cellIs" dxfId="17688" priority="1147" stopIfTrue="1" operator="equal">
      <formula>"Towel"</formula>
    </cfRule>
    <cfRule type="cellIs" dxfId="17687" priority="1148" stopIfTrue="1" operator="equal">
      <formula>"Napkin Hs"</formula>
    </cfRule>
    <cfRule type="cellIs" dxfId="17686" priority="1151" stopIfTrue="1" operator="equal">
      <formula>"Towel"</formula>
    </cfRule>
    <cfRule type="cellIs" dxfId="17685" priority="1152" stopIfTrue="1" operator="equal">
      <formula>"Napkin Hs"</formula>
    </cfRule>
    <cfRule type="cellIs" dxfId="17684" priority="1153" stopIfTrue="1" operator="equal">
      <formula>"Towel"</formula>
    </cfRule>
    <cfRule type="cellIs" dxfId="17683" priority="1154" stopIfTrue="1" operator="equal">
      <formula>"Napkin Hs"</formula>
    </cfRule>
    <cfRule type="cellIs" dxfId="17682" priority="1155" stopIfTrue="1" operator="equal">
      <formula>"Towel"</formula>
    </cfRule>
    <cfRule type="cellIs" dxfId="17681" priority="1156" stopIfTrue="1" operator="equal">
      <formula>"Napkin Hs"</formula>
    </cfRule>
    <cfRule type="cellIs" dxfId="17680" priority="1157" stopIfTrue="1" operator="equal">
      <formula>"Towel"</formula>
    </cfRule>
    <cfRule type="cellIs" dxfId="17679" priority="1158" stopIfTrue="1" operator="equal">
      <formula>"Napkin Hs"</formula>
    </cfRule>
    <cfRule type="cellIs" dxfId="17678" priority="1163" stopIfTrue="1" operator="equal">
      <formula>"Towel"</formula>
    </cfRule>
    <cfRule type="cellIs" dxfId="17677" priority="1164" stopIfTrue="1" operator="equal">
      <formula>"Napkin Hs"</formula>
    </cfRule>
    <cfRule type="cellIs" dxfId="17676" priority="1165" stopIfTrue="1" operator="equal">
      <formula>"Towel"</formula>
    </cfRule>
    <cfRule type="cellIs" dxfId="17675" priority="1166" stopIfTrue="1" operator="equal">
      <formula>"Napkin Hs"</formula>
    </cfRule>
    <cfRule type="cellIs" dxfId="17674" priority="1169" stopIfTrue="1" operator="equal">
      <formula>"Towel"</formula>
    </cfRule>
    <cfRule type="cellIs" dxfId="17673" priority="1170" stopIfTrue="1" operator="equal">
      <formula>"Napkin Hs"</formula>
    </cfRule>
    <cfRule type="cellIs" dxfId="17672" priority="1171" stopIfTrue="1" operator="equal">
      <formula>"Towel"</formula>
    </cfRule>
    <cfRule type="cellIs" dxfId="17671" priority="1172" stopIfTrue="1" operator="equal">
      <formula>"Napkin Hs"</formula>
    </cfRule>
  </conditionalFormatting>
  <conditionalFormatting sqref="C142:C146">
    <cfRule type="cellIs" dxfId="17670" priority="1076" stopIfTrue="1" operator="equal">
      <formula>"Napkin Hs"</formula>
    </cfRule>
  </conditionalFormatting>
  <conditionalFormatting sqref="C142:C146">
    <cfRule type="cellIs" dxfId="17669" priority="1075" stopIfTrue="1" operator="equal">
      <formula>"Napkin Hs"</formula>
    </cfRule>
  </conditionalFormatting>
  <conditionalFormatting sqref="C142:C146">
    <cfRule type="cellIs" dxfId="17668" priority="1074" stopIfTrue="1" operator="equal">
      <formula>"Napkin Hs"</formula>
    </cfRule>
  </conditionalFormatting>
  <conditionalFormatting sqref="C142:C146">
    <cfRule type="cellIs" dxfId="17667" priority="1073" stopIfTrue="1" operator="equal">
      <formula>"Napkin Hs"</formula>
    </cfRule>
  </conditionalFormatting>
  <conditionalFormatting sqref="C142:C146">
    <cfRule type="cellIs" dxfId="17666" priority="1072" stopIfTrue="1" operator="equal">
      <formula>"Napkin Hs"</formula>
    </cfRule>
  </conditionalFormatting>
  <conditionalFormatting sqref="C142:C146">
    <cfRule type="cellIs" dxfId="17665" priority="1071" stopIfTrue="1" operator="equal">
      <formula>"Napkin Hs"</formula>
    </cfRule>
  </conditionalFormatting>
  <conditionalFormatting sqref="C142:C146">
    <cfRule type="cellIs" dxfId="17664" priority="1067" stopIfTrue="1" operator="equal">
      <formula>"Towel"</formula>
    </cfRule>
    <cfRule type="cellIs" dxfId="17663" priority="1068" stopIfTrue="1" operator="equal">
      <formula>"Napkin Hs"</formula>
    </cfRule>
  </conditionalFormatting>
  <conditionalFormatting sqref="C142:C146">
    <cfRule type="cellIs" dxfId="17662" priority="1069" stopIfTrue="1" operator="equal">
      <formula>"Towel"</formula>
    </cfRule>
    <cfRule type="cellIs" dxfId="17661" priority="1070" stopIfTrue="1" operator="equal">
      <formula>"Napkin Hs"</formula>
    </cfRule>
  </conditionalFormatting>
  <conditionalFormatting sqref="C142:C146">
    <cfRule type="cellIs" dxfId="17660" priority="1063" stopIfTrue="1" operator="equal">
      <formula>"Towel"</formula>
    </cfRule>
    <cfRule type="cellIs" dxfId="17659" priority="1064" stopIfTrue="1" operator="equal">
      <formula>"Napkin Hs"</formula>
    </cfRule>
  </conditionalFormatting>
  <conditionalFormatting sqref="C142:C146">
    <cfRule type="cellIs" dxfId="17658" priority="1065" stopIfTrue="1" operator="equal">
      <formula>"Towel"</formula>
    </cfRule>
    <cfRule type="cellIs" dxfId="17657" priority="1066" stopIfTrue="1" operator="equal">
      <formula>"Napkin Hs"</formula>
    </cfRule>
  </conditionalFormatting>
  <conditionalFormatting sqref="B142:B146">
    <cfRule type="cellIs" dxfId="17656" priority="1062" stopIfTrue="1" operator="equal">
      <formula>"Napkin Hs"</formula>
    </cfRule>
  </conditionalFormatting>
  <conditionalFormatting sqref="B142:B146">
    <cfRule type="cellIs" dxfId="17655" priority="1061" stopIfTrue="1" operator="equal">
      <formula>"Napkin Hs"</formula>
    </cfRule>
  </conditionalFormatting>
  <conditionalFormatting sqref="B142:B146">
    <cfRule type="cellIs" dxfId="17654" priority="1060" stopIfTrue="1" operator="equal">
      <formula>"Napkin Hs"</formula>
    </cfRule>
  </conditionalFormatting>
  <conditionalFormatting sqref="B150:C150">
    <cfRule type="cellIs" dxfId="17653" priority="1058" stopIfTrue="1" operator="equal">
      <formula>"Towel"</formula>
    </cfRule>
    <cfRule type="cellIs" dxfId="17652" priority="1059" stopIfTrue="1" operator="equal">
      <formula>"Napkin Hs"</formula>
    </cfRule>
  </conditionalFormatting>
  <conditionalFormatting sqref="C150">
    <cfRule type="cellIs" dxfId="17651" priority="1057" stopIfTrue="1" operator="equal">
      <formula>"Napkin Hs"</formula>
    </cfRule>
  </conditionalFormatting>
  <conditionalFormatting sqref="C150">
    <cfRule type="cellIs" dxfId="17650" priority="1056" stopIfTrue="1" operator="equal">
      <formula>"Towel"</formula>
    </cfRule>
  </conditionalFormatting>
  <conditionalFormatting sqref="C150">
    <cfRule type="cellIs" dxfId="17649" priority="1054" stopIfTrue="1" operator="equal">
      <formula>"Towel"</formula>
    </cfRule>
    <cfRule type="cellIs" dxfId="17648" priority="1055" stopIfTrue="1" operator="equal">
      <formula>"Napkin Hs"</formula>
    </cfRule>
  </conditionalFormatting>
  <conditionalFormatting sqref="B149:C150">
    <cfRule type="cellIs" dxfId="17647" priority="1052" stopIfTrue="1" operator="equal">
      <formula>"Towel"</formula>
    </cfRule>
    <cfRule type="cellIs" dxfId="17646" priority="1053" stopIfTrue="1" operator="equal">
      <formula>"Napkin Hs"</formula>
    </cfRule>
  </conditionalFormatting>
  <conditionalFormatting sqref="C149:C150">
    <cfRule type="cellIs" dxfId="17645" priority="1048" stopIfTrue="1" operator="equal">
      <formula>"Towel"</formula>
    </cfRule>
    <cfRule type="cellIs" dxfId="17644" priority="1049" stopIfTrue="1" operator="equal">
      <formula>"Napkin Hs"</formula>
    </cfRule>
  </conditionalFormatting>
  <conditionalFormatting sqref="C149:C150">
    <cfRule type="cellIs" dxfId="17643" priority="1050" stopIfTrue="1" operator="equal">
      <formula>"Towel"</formula>
    </cfRule>
    <cfRule type="cellIs" dxfId="17642" priority="1051" stopIfTrue="1" operator="equal">
      <formula>"Napkin Hs"</formula>
    </cfRule>
  </conditionalFormatting>
  <conditionalFormatting sqref="B149:C150">
    <cfRule type="cellIs" dxfId="17641" priority="1046" stopIfTrue="1" operator="equal">
      <formula>"Towel"</formula>
    </cfRule>
    <cfRule type="cellIs" dxfId="17640" priority="1047" stopIfTrue="1" operator="equal">
      <formula>"Napkin Hs"</formula>
    </cfRule>
  </conditionalFormatting>
  <conditionalFormatting sqref="C149:C150">
    <cfRule type="cellIs" dxfId="17639" priority="1044" stopIfTrue="1" operator="equal">
      <formula>"Towel"</formula>
    </cfRule>
    <cfRule type="cellIs" dxfId="17638" priority="1045" stopIfTrue="1" operator="equal">
      <formula>"Napkin Hs"</formula>
    </cfRule>
  </conditionalFormatting>
  <conditionalFormatting sqref="C149:C150">
    <cfRule type="cellIs" dxfId="17637" priority="1042" stopIfTrue="1" operator="equal">
      <formula>"Towel"</formula>
    </cfRule>
    <cfRule type="cellIs" dxfId="17636" priority="1043" stopIfTrue="1" operator="equal">
      <formula>"Napkin Hs"</formula>
    </cfRule>
  </conditionalFormatting>
  <conditionalFormatting sqref="C149:C150">
    <cfRule type="cellIs" dxfId="17635" priority="1034" stopIfTrue="1" operator="equal">
      <formula>"Towel"</formula>
    </cfRule>
    <cfRule type="cellIs" dxfId="17634" priority="1035" stopIfTrue="1" operator="equal">
      <formula>"Napkin Hs"</formula>
    </cfRule>
  </conditionalFormatting>
  <conditionalFormatting sqref="B149:C150">
    <cfRule type="cellIs" dxfId="17633" priority="1036" stopIfTrue="1" operator="equal">
      <formula>"Towel"</formula>
    </cfRule>
    <cfRule type="cellIs" dxfId="17632" priority="1037" stopIfTrue="1" operator="equal">
      <formula>"Napkin Hs"</formula>
    </cfRule>
  </conditionalFormatting>
  <conditionalFormatting sqref="C149:C150">
    <cfRule type="cellIs" dxfId="17631" priority="1032" stopIfTrue="1" operator="equal">
      <formula>"Towel"</formula>
    </cfRule>
    <cfRule type="cellIs" dxfId="17630" priority="1033" stopIfTrue="1" operator="equal">
      <formula>"Napkin Hs"</formula>
    </cfRule>
  </conditionalFormatting>
  <conditionalFormatting sqref="B149:C150">
    <cfRule type="cellIs" dxfId="17629" priority="1030" stopIfTrue="1" operator="equal">
      <formula>"Towel"</formula>
    </cfRule>
    <cfRule type="cellIs" dxfId="17628" priority="1031" stopIfTrue="1" operator="equal">
      <formula>"Napkin Hs"</formula>
    </cfRule>
  </conditionalFormatting>
  <conditionalFormatting sqref="C149:C150">
    <cfRule type="cellIs" dxfId="17627" priority="1038" stopIfTrue="1" operator="equal">
      <formula>"Towel"</formula>
    </cfRule>
    <cfRule type="cellIs" dxfId="17626" priority="1039" stopIfTrue="1" operator="equal">
      <formula>"Napkin Hs"</formula>
    </cfRule>
  </conditionalFormatting>
  <conditionalFormatting sqref="C149:C150">
    <cfRule type="cellIs" dxfId="17625" priority="1040" stopIfTrue="1" operator="equal">
      <formula>"Towel"</formula>
    </cfRule>
    <cfRule type="cellIs" dxfId="17624" priority="1041" stopIfTrue="1" operator="equal">
      <formula>"Napkin Hs"</formula>
    </cfRule>
  </conditionalFormatting>
  <conditionalFormatting sqref="B149:C149">
    <cfRule type="cellIs" dxfId="17623" priority="1028" stopIfTrue="1" operator="equal">
      <formula>"Towel"</formula>
    </cfRule>
    <cfRule type="cellIs" dxfId="17622" priority="1029" stopIfTrue="1" operator="equal">
      <formula>"Napkin Hs"</formula>
    </cfRule>
  </conditionalFormatting>
  <conditionalFormatting sqref="C149">
    <cfRule type="cellIs" dxfId="17621" priority="1024" stopIfTrue="1" operator="equal">
      <formula>"Towel"</formula>
    </cfRule>
    <cfRule type="cellIs" dxfId="17620" priority="1025" stopIfTrue="1" operator="equal">
      <formula>"Napkin Hs"</formula>
    </cfRule>
  </conditionalFormatting>
  <conditionalFormatting sqref="C149">
    <cfRule type="cellIs" dxfId="17619" priority="1026" stopIfTrue="1" operator="equal">
      <formula>"Towel"</formula>
    </cfRule>
    <cfRule type="cellIs" dxfId="17618" priority="1027" stopIfTrue="1" operator="equal">
      <formula>"Napkin Hs"</formula>
    </cfRule>
  </conditionalFormatting>
  <conditionalFormatting sqref="B149:C149">
    <cfRule type="cellIs" dxfId="17617" priority="1022" stopIfTrue="1" operator="equal">
      <formula>"Towel"</formula>
    </cfRule>
    <cfRule type="cellIs" dxfId="17616" priority="1023" stopIfTrue="1" operator="equal">
      <formula>"Napkin Hs"</formula>
    </cfRule>
  </conditionalFormatting>
  <conditionalFormatting sqref="C149">
    <cfRule type="cellIs" dxfId="17615" priority="1020" stopIfTrue="1" operator="equal">
      <formula>"Towel"</formula>
    </cfRule>
    <cfRule type="cellIs" dxfId="17614" priority="1021" stopIfTrue="1" operator="equal">
      <formula>"Napkin Hs"</formula>
    </cfRule>
  </conditionalFormatting>
  <conditionalFormatting sqref="C149">
    <cfRule type="cellIs" dxfId="17613" priority="1018" stopIfTrue="1" operator="equal">
      <formula>"Towel"</formula>
    </cfRule>
    <cfRule type="cellIs" dxfId="17612" priority="1019" stopIfTrue="1" operator="equal">
      <formula>"Napkin Hs"</formula>
    </cfRule>
  </conditionalFormatting>
  <conditionalFormatting sqref="C149">
    <cfRule type="cellIs" dxfId="17611" priority="1010" stopIfTrue="1" operator="equal">
      <formula>"Towel"</formula>
    </cfRule>
    <cfRule type="cellIs" dxfId="17610" priority="1011" stopIfTrue="1" operator="equal">
      <formula>"Napkin Hs"</formula>
    </cfRule>
  </conditionalFormatting>
  <conditionalFormatting sqref="B149:C149">
    <cfRule type="cellIs" dxfId="17609" priority="1012" stopIfTrue="1" operator="equal">
      <formula>"Towel"</formula>
    </cfRule>
    <cfRule type="cellIs" dxfId="17608" priority="1013" stopIfTrue="1" operator="equal">
      <formula>"Napkin Hs"</formula>
    </cfRule>
  </conditionalFormatting>
  <conditionalFormatting sqref="C149">
    <cfRule type="cellIs" dxfId="17607" priority="1008" stopIfTrue="1" operator="equal">
      <formula>"Towel"</formula>
    </cfRule>
    <cfRule type="cellIs" dxfId="17606" priority="1009" stopIfTrue="1" operator="equal">
      <formula>"Napkin Hs"</formula>
    </cfRule>
  </conditionalFormatting>
  <conditionalFormatting sqref="B149:C149">
    <cfRule type="cellIs" dxfId="17605" priority="1006" stopIfTrue="1" operator="equal">
      <formula>"Towel"</formula>
    </cfRule>
    <cfRule type="cellIs" dxfId="17604" priority="1007" stopIfTrue="1" operator="equal">
      <formula>"Napkin Hs"</formula>
    </cfRule>
  </conditionalFormatting>
  <conditionalFormatting sqref="C149">
    <cfRule type="cellIs" dxfId="17603" priority="1014" stopIfTrue="1" operator="equal">
      <formula>"Towel"</formula>
    </cfRule>
    <cfRule type="cellIs" dxfId="17602" priority="1015" stopIfTrue="1" operator="equal">
      <formula>"Napkin Hs"</formula>
    </cfRule>
  </conditionalFormatting>
  <conditionalFormatting sqref="C149">
    <cfRule type="cellIs" dxfId="17601" priority="1016" stopIfTrue="1" operator="equal">
      <formula>"Towel"</formula>
    </cfRule>
    <cfRule type="cellIs" dxfId="17600" priority="1017" stopIfTrue="1" operator="equal">
      <formula>"Napkin Hs"</formula>
    </cfRule>
  </conditionalFormatting>
  <conditionalFormatting sqref="C150">
    <cfRule type="cellIs" dxfId="17599" priority="998" stopIfTrue="1" operator="equal">
      <formula>"Towel"</formula>
    </cfRule>
    <cfRule type="cellIs" dxfId="17598" priority="999" stopIfTrue="1" operator="equal">
      <formula>"Napkin Hs"</formula>
    </cfRule>
  </conditionalFormatting>
  <conditionalFormatting sqref="B150:C150">
    <cfRule type="cellIs" dxfId="17597" priority="1000" stopIfTrue="1" operator="equal">
      <formula>"Towel"</formula>
    </cfRule>
    <cfRule type="cellIs" dxfId="17596" priority="1001" stopIfTrue="1" operator="equal">
      <formula>"Napkin Hs"</formula>
    </cfRule>
  </conditionalFormatting>
  <conditionalFormatting sqref="C150">
    <cfRule type="cellIs" dxfId="17595" priority="996" stopIfTrue="1" operator="equal">
      <formula>"Towel"</formula>
    </cfRule>
    <cfRule type="cellIs" dxfId="17594" priority="997" stopIfTrue="1" operator="equal">
      <formula>"Napkin Hs"</formula>
    </cfRule>
  </conditionalFormatting>
  <conditionalFormatting sqref="B150:C150">
    <cfRule type="cellIs" dxfId="17593" priority="994" stopIfTrue="1" operator="equal">
      <formula>"Towel"</formula>
    </cfRule>
    <cfRule type="cellIs" dxfId="17592" priority="995" stopIfTrue="1" operator="equal">
      <formula>"Napkin Hs"</formula>
    </cfRule>
  </conditionalFormatting>
  <conditionalFormatting sqref="C150">
    <cfRule type="cellIs" dxfId="17591" priority="1002" stopIfTrue="1" operator="equal">
      <formula>"Towel"</formula>
    </cfRule>
    <cfRule type="cellIs" dxfId="17590" priority="1003" stopIfTrue="1" operator="equal">
      <formula>"Napkin Hs"</formula>
    </cfRule>
  </conditionalFormatting>
  <conditionalFormatting sqref="C150">
    <cfRule type="cellIs" dxfId="17589" priority="1004" stopIfTrue="1" operator="equal">
      <formula>"Towel"</formula>
    </cfRule>
    <cfRule type="cellIs" dxfId="17588" priority="1005" stopIfTrue="1" operator="equal">
      <formula>"Napkin Hs"</formula>
    </cfRule>
  </conditionalFormatting>
  <conditionalFormatting sqref="C150">
    <cfRule type="cellIs" dxfId="17587" priority="990" stopIfTrue="1" operator="equal">
      <formula>"Towel"</formula>
    </cfRule>
    <cfRule type="cellIs" dxfId="17586" priority="991" stopIfTrue="1" operator="equal">
      <formula>"Napkin Hs"</formula>
    </cfRule>
  </conditionalFormatting>
  <conditionalFormatting sqref="C150">
    <cfRule type="cellIs" dxfId="17585" priority="992" stopIfTrue="1" operator="equal">
      <formula>"Towel"</formula>
    </cfRule>
    <cfRule type="cellIs" dxfId="17584" priority="993" stopIfTrue="1" operator="equal">
      <formula>"Napkin Hs"</formula>
    </cfRule>
  </conditionalFormatting>
  <conditionalFormatting sqref="C150">
    <cfRule type="cellIs" dxfId="17583" priority="988" stopIfTrue="1" operator="equal">
      <formula>"Towel"</formula>
    </cfRule>
    <cfRule type="cellIs" dxfId="17582" priority="989" stopIfTrue="1" operator="equal">
      <formula>"Napkin Hs"</formula>
    </cfRule>
  </conditionalFormatting>
  <conditionalFormatting sqref="B150">
    <cfRule type="cellIs" dxfId="17581" priority="986" stopIfTrue="1" operator="equal">
      <formula>"Towel"</formula>
    </cfRule>
    <cfRule type="cellIs" dxfId="17580" priority="987" stopIfTrue="1" operator="equal">
      <formula>"Napkin Hs"</formula>
    </cfRule>
  </conditionalFormatting>
  <conditionalFormatting sqref="C150">
    <cfRule type="cellIs" dxfId="17579" priority="980" stopIfTrue="1" operator="equal">
      <formula>"Towel"</formula>
    </cfRule>
    <cfRule type="cellIs" dxfId="17578" priority="981" stopIfTrue="1" operator="equal">
      <formula>"Napkin Hs"</formula>
    </cfRule>
  </conditionalFormatting>
  <conditionalFormatting sqref="C150">
    <cfRule type="cellIs" dxfId="17577" priority="984" stopIfTrue="1" operator="equal">
      <formula>"Towel"</formula>
    </cfRule>
    <cfRule type="cellIs" dxfId="17576" priority="985" stopIfTrue="1" operator="equal">
      <formula>"Napkin Hs"</formula>
    </cfRule>
  </conditionalFormatting>
  <conditionalFormatting sqref="C150">
    <cfRule type="cellIs" dxfId="17575" priority="982" stopIfTrue="1" operator="equal">
      <formula>"Towel"</formula>
    </cfRule>
    <cfRule type="cellIs" dxfId="17574" priority="983" stopIfTrue="1" operator="equal">
      <formula>"Napkin Hs"</formula>
    </cfRule>
  </conditionalFormatting>
  <conditionalFormatting sqref="C150">
    <cfRule type="cellIs" dxfId="17573" priority="974" stopIfTrue="1" operator="equal">
      <formula>"Towel"</formula>
    </cfRule>
    <cfRule type="cellIs" dxfId="17572" priority="975" stopIfTrue="1" operator="equal">
      <formula>"Napkin Hs"</formula>
    </cfRule>
  </conditionalFormatting>
  <conditionalFormatting sqref="C150">
    <cfRule type="cellIs" dxfId="17571" priority="976" stopIfTrue="1" operator="equal">
      <formula>"Towel"</formula>
    </cfRule>
    <cfRule type="cellIs" dxfId="17570" priority="977" stopIfTrue="1" operator="equal">
      <formula>"Napkin Hs"</formula>
    </cfRule>
  </conditionalFormatting>
  <conditionalFormatting sqref="C150">
    <cfRule type="cellIs" dxfId="17569" priority="978" stopIfTrue="1" operator="equal">
      <formula>"Towel"</formula>
    </cfRule>
    <cfRule type="cellIs" dxfId="17568" priority="979" stopIfTrue="1" operator="equal">
      <formula>"Napkin Hs"</formula>
    </cfRule>
  </conditionalFormatting>
  <conditionalFormatting sqref="B150:C150">
    <cfRule type="cellIs" dxfId="17567" priority="972" stopIfTrue="1" operator="equal">
      <formula>"Towel"</formula>
    </cfRule>
    <cfRule type="cellIs" dxfId="17566" priority="973" stopIfTrue="1" operator="equal">
      <formula>"Napkin Hs"</formula>
    </cfRule>
  </conditionalFormatting>
  <conditionalFormatting sqref="B150:C150">
    <cfRule type="cellIs" dxfId="17565" priority="970" stopIfTrue="1" operator="equal">
      <formula>"Towel"</formula>
    </cfRule>
    <cfRule type="cellIs" dxfId="17564" priority="971" stopIfTrue="1" operator="equal">
      <formula>"Napkin Hs"</formula>
    </cfRule>
  </conditionalFormatting>
  <conditionalFormatting sqref="B150:C150">
    <cfRule type="cellIs" dxfId="17563" priority="946" stopIfTrue="1" operator="equal">
      <formula>"Towel"</formula>
    </cfRule>
  </conditionalFormatting>
  <conditionalFormatting sqref="B150:C150">
    <cfRule type="cellIs" dxfId="17562" priority="947" stopIfTrue="1" operator="equal">
      <formula>"Napkin Hs"</formula>
    </cfRule>
    <cfRule type="cellIs" dxfId="17561" priority="952" stopIfTrue="1" operator="equal">
      <formula>"Towel"</formula>
    </cfRule>
    <cfRule type="cellIs" dxfId="17560" priority="953" stopIfTrue="1" operator="equal">
      <formula>"Napkin Hs"</formula>
    </cfRule>
    <cfRule type="cellIs" dxfId="17559" priority="962" stopIfTrue="1" operator="equal">
      <formula>"Towel"</formula>
    </cfRule>
    <cfRule type="cellIs" dxfId="17558" priority="963" stopIfTrue="1" operator="equal">
      <formula>"Napkin Hs"</formula>
    </cfRule>
    <cfRule type="cellIs" dxfId="17557" priority="968" stopIfTrue="1" operator="equal">
      <formula>"Towel"</formula>
    </cfRule>
    <cfRule type="cellIs" dxfId="17556" priority="969" stopIfTrue="1" operator="equal">
      <formula>"Napkin Hs"</formula>
    </cfRule>
  </conditionalFormatting>
  <conditionalFormatting sqref="C150">
    <cfRule type="cellIs" dxfId="17555" priority="948" stopIfTrue="1" operator="equal">
      <formula>"Towel"</formula>
    </cfRule>
    <cfRule type="cellIs" dxfId="17554" priority="949" stopIfTrue="1" operator="equal">
      <formula>"Napkin Hs"</formula>
    </cfRule>
    <cfRule type="cellIs" dxfId="17553" priority="950" stopIfTrue="1" operator="equal">
      <formula>"Towel"</formula>
    </cfRule>
    <cfRule type="cellIs" dxfId="17552" priority="951" stopIfTrue="1" operator="equal">
      <formula>"Napkin Hs"</formula>
    </cfRule>
    <cfRule type="cellIs" dxfId="17551" priority="954" stopIfTrue="1" operator="equal">
      <formula>"Towel"</formula>
    </cfRule>
    <cfRule type="cellIs" dxfId="17550" priority="955" stopIfTrue="1" operator="equal">
      <formula>"Napkin Hs"</formula>
    </cfRule>
    <cfRule type="cellIs" dxfId="17549" priority="956" stopIfTrue="1" operator="equal">
      <formula>"Towel"</formula>
    </cfRule>
    <cfRule type="cellIs" dxfId="17548" priority="957" stopIfTrue="1" operator="equal">
      <formula>"Napkin Hs"</formula>
    </cfRule>
    <cfRule type="cellIs" dxfId="17547" priority="958" stopIfTrue="1" operator="equal">
      <formula>"Towel"</formula>
    </cfRule>
    <cfRule type="cellIs" dxfId="17546" priority="959" stopIfTrue="1" operator="equal">
      <formula>"Napkin Hs"</formula>
    </cfRule>
    <cfRule type="cellIs" dxfId="17545" priority="960" stopIfTrue="1" operator="equal">
      <formula>"Towel"</formula>
    </cfRule>
    <cfRule type="cellIs" dxfId="17544" priority="961" stopIfTrue="1" operator="equal">
      <formula>"Napkin Hs"</formula>
    </cfRule>
    <cfRule type="cellIs" dxfId="17543" priority="964" stopIfTrue="1" operator="equal">
      <formula>"Towel"</formula>
    </cfRule>
    <cfRule type="cellIs" dxfId="17542" priority="965" stopIfTrue="1" operator="equal">
      <formula>"Napkin Hs"</formula>
    </cfRule>
    <cfRule type="cellIs" dxfId="17541" priority="967" stopIfTrue="1" operator="equal">
      <formula>"Napkin Hs"</formula>
    </cfRule>
  </conditionalFormatting>
  <conditionalFormatting sqref="C150">
    <cfRule type="cellIs" dxfId="17540" priority="966" stopIfTrue="1" operator="equal">
      <formula>"Towel"</formula>
    </cfRule>
  </conditionalFormatting>
  <conditionalFormatting sqref="B150:C150">
    <cfRule type="cellIs" dxfId="17539" priority="944" stopIfTrue="1" operator="equal">
      <formula>"Towel"</formula>
    </cfRule>
    <cfRule type="cellIs" dxfId="17538" priority="945" stopIfTrue="1" operator="equal">
      <formula>"Napkin Hs"</formula>
    </cfRule>
  </conditionalFormatting>
  <conditionalFormatting sqref="C150">
    <cfRule type="cellIs" dxfId="17537" priority="943" stopIfTrue="1" operator="equal">
      <formula>"Napkin Hs"</formula>
    </cfRule>
  </conditionalFormatting>
  <conditionalFormatting sqref="C150">
    <cfRule type="cellIs" dxfId="17536" priority="942" stopIfTrue="1" operator="equal">
      <formula>"Towel"</formula>
    </cfRule>
  </conditionalFormatting>
  <conditionalFormatting sqref="C150">
    <cfRule type="cellIs" dxfId="17535" priority="940" stopIfTrue="1" operator="equal">
      <formula>"Towel"</formula>
    </cfRule>
  </conditionalFormatting>
  <conditionalFormatting sqref="C150">
    <cfRule type="cellIs" dxfId="17534" priority="941" stopIfTrue="1" operator="equal">
      <formula>"Napkin Hs"</formula>
    </cfRule>
  </conditionalFormatting>
  <conditionalFormatting sqref="B150">
    <cfRule type="cellIs" dxfId="17533" priority="844" stopIfTrue="1" operator="equal">
      <formula>"Napkin Hs"</formula>
    </cfRule>
  </conditionalFormatting>
  <conditionalFormatting sqref="B150:C150">
    <cfRule type="cellIs" dxfId="17532" priority="843" stopIfTrue="1" operator="equal">
      <formula>"Towel"</formula>
    </cfRule>
  </conditionalFormatting>
  <conditionalFormatting sqref="B150:C150">
    <cfRule type="cellIs" dxfId="17531" priority="854" stopIfTrue="1" operator="equal">
      <formula>"Towel"</formula>
    </cfRule>
    <cfRule type="cellIs" dxfId="17530" priority="855" stopIfTrue="1" operator="equal">
      <formula>"Napkin Hs"</formula>
    </cfRule>
    <cfRule type="cellIs" dxfId="17529" priority="860" stopIfTrue="1" operator="equal">
      <formula>"Towel"</formula>
    </cfRule>
    <cfRule type="cellIs" dxfId="17528" priority="861" stopIfTrue="1" operator="equal">
      <formula>"Napkin Hs"</formula>
    </cfRule>
    <cfRule type="cellIs" dxfId="17527" priority="866" stopIfTrue="1" operator="equal">
      <formula>"Towel"</formula>
    </cfRule>
    <cfRule type="cellIs" dxfId="17526" priority="867" stopIfTrue="1" operator="equal">
      <formula>"Napkin Hs"</formula>
    </cfRule>
    <cfRule type="cellIs" dxfId="17525" priority="868" stopIfTrue="1" operator="equal">
      <formula>"Towel"</formula>
    </cfRule>
    <cfRule type="cellIs" dxfId="17524" priority="869" stopIfTrue="1" operator="equal">
      <formula>"Napkin Hs"</formula>
    </cfRule>
    <cfRule type="cellIs" dxfId="17523" priority="874" stopIfTrue="1" operator="equal">
      <formula>"Towel"</formula>
    </cfRule>
    <cfRule type="cellIs" dxfId="17522" priority="875" stopIfTrue="1" operator="equal">
      <formula>"Napkin Hs"</formula>
    </cfRule>
    <cfRule type="cellIs" dxfId="17521" priority="884" stopIfTrue="1" operator="equal">
      <formula>"Towel"</formula>
    </cfRule>
    <cfRule type="cellIs" dxfId="17520" priority="885" stopIfTrue="1" operator="equal">
      <formula>"Napkin Hs"</formula>
    </cfRule>
    <cfRule type="cellIs" dxfId="17519" priority="890" stopIfTrue="1" operator="equal">
      <formula>"Towel"</formula>
    </cfRule>
    <cfRule type="cellIs" dxfId="17518" priority="891" stopIfTrue="1" operator="equal">
      <formula>"Napkin Hs"</formula>
    </cfRule>
    <cfRule type="cellIs" dxfId="17517" priority="892" stopIfTrue="1" operator="equal">
      <formula>"Towel"</formula>
    </cfRule>
    <cfRule type="cellIs" dxfId="17516" priority="893" stopIfTrue="1" operator="equal">
      <formula>"Napkin Hs"</formula>
    </cfRule>
    <cfRule type="cellIs" dxfId="17515" priority="898" stopIfTrue="1" operator="equal">
      <formula>"Towel"</formula>
    </cfRule>
    <cfRule type="cellIs" dxfId="17514" priority="899" stopIfTrue="1" operator="equal">
      <formula>"Napkin Hs"</formula>
    </cfRule>
    <cfRule type="cellIs" dxfId="17513" priority="908" stopIfTrue="1" operator="equal">
      <formula>"Towel"</formula>
    </cfRule>
    <cfRule type="cellIs" dxfId="17512" priority="909" stopIfTrue="1" operator="equal">
      <formula>"Napkin Hs"</formula>
    </cfRule>
    <cfRule type="cellIs" dxfId="17511" priority="910" stopIfTrue="1" operator="equal">
      <formula>"Towel"</formula>
    </cfRule>
    <cfRule type="cellIs" dxfId="17510" priority="911" stopIfTrue="1" operator="equal">
      <formula>"Napkin Hs"</formula>
    </cfRule>
    <cfRule type="cellIs" dxfId="17509" priority="916" stopIfTrue="1" operator="equal">
      <formula>"Towel"</formula>
    </cfRule>
    <cfRule type="cellIs" dxfId="17508" priority="917" stopIfTrue="1" operator="equal">
      <formula>"Napkin Hs"</formula>
    </cfRule>
    <cfRule type="cellIs" dxfId="17507" priority="926" stopIfTrue="1" operator="equal">
      <formula>"Towel"</formula>
    </cfRule>
    <cfRule type="cellIs" dxfId="17506" priority="927" stopIfTrue="1" operator="equal">
      <formula>"Napkin Hs"</formula>
    </cfRule>
    <cfRule type="cellIs" dxfId="17505" priority="928" stopIfTrue="1" operator="equal">
      <formula>"Towel"</formula>
    </cfRule>
    <cfRule type="cellIs" dxfId="17504" priority="929" stopIfTrue="1" operator="equal">
      <formula>"Napkin Hs"</formula>
    </cfRule>
    <cfRule type="cellIs" dxfId="17503" priority="935" stopIfTrue="1" operator="equal">
      <formula>"Napkin Hs"</formula>
    </cfRule>
  </conditionalFormatting>
  <conditionalFormatting sqref="B150:C150">
    <cfRule type="cellIs" dxfId="17502" priority="934" stopIfTrue="1" operator="equal">
      <formula>"Towel"</formula>
    </cfRule>
  </conditionalFormatting>
  <conditionalFormatting sqref="C150">
    <cfRule type="cellIs" dxfId="17501" priority="845" stopIfTrue="1" operator="equal">
      <formula>"Napkin Hs"</formula>
    </cfRule>
    <cfRule type="cellIs" dxfId="17500" priority="846" stopIfTrue="1" operator="equal">
      <formula>"Towel"</formula>
    </cfRule>
    <cfRule type="cellIs" dxfId="17499" priority="847" stopIfTrue="1" operator="equal">
      <formula>"Napkin Hs"</formula>
    </cfRule>
    <cfRule type="cellIs" dxfId="17498" priority="848" stopIfTrue="1" operator="equal">
      <formula>"Towel"</formula>
    </cfRule>
    <cfRule type="cellIs" dxfId="17497" priority="849" stopIfTrue="1" operator="equal">
      <formula>"Napkin Hs"</formula>
    </cfRule>
    <cfRule type="cellIs" dxfId="17496" priority="850" stopIfTrue="1" operator="equal">
      <formula>"Towel"</formula>
    </cfRule>
    <cfRule type="cellIs" dxfId="17495" priority="851" stopIfTrue="1" operator="equal">
      <formula>"Napkin Hs"</formula>
    </cfRule>
    <cfRule type="cellIs" dxfId="17494" priority="852" stopIfTrue="1" operator="equal">
      <formula>"Towel"</formula>
    </cfRule>
    <cfRule type="cellIs" dxfId="17493" priority="853" stopIfTrue="1" operator="equal">
      <formula>"Napkin Hs"</formula>
    </cfRule>
    <cfRule type="cellIs" dxfId="17492" priority="856" stopIfTrue="1" operator="equal">
      <formula>"Towel"</formula>
    </cfRule>
    <cfRule type="cellIs" dxfId="17491" priority="857" stopIfTrue="1" operator="equal">
      <formula>"Napkin Hs"</formula>
    </cfRule>
    <cfRule type="cellIs" dxfId="17490" priority="858" stopIfTrue="1" operator="equal">
      <formula>"Towel"</formula>
    </cfRule>
    <cfRule type="cellIs" dxfId="17489" priority="859" stopIfTrue="1" operator="equal">
      <formula>"Napkin Hs"</formula>
    </cfRule>
    <cfRule type="cellIs" dxfId="17488" priority="862" stopIfTrue="1" operator="equal">
      <formula>"Towel"</formula>
    </cfRule>
    <cfRule type="cellIs" dxfId="17487" priority="863" stopIfTrue="1" operator="equal">
      <formula>"Napkin Hs"</formula>
    </cfRule>
    <cfRule type="cellIs" dxfId="17486" priority="864" stopIfTrue="1" operator="equal">
      <formula>"Towel"</formula>
    </cfRule>
    <cfRule type="cellIs" dxfId="17485" priority="865" stopIfTrue="1" operator="equal">
      <formula>"Napkin Hs"</formula>
    </cfRule>
    <cfRule type="cellIs" dxfId="17484" priority="870" stopIfTrue="1" operator="equal">
      <formula>"Towel"</formula>
    </cfRule>
    <cfRule type="cellIs" dxfId="17483" priority="871" stopIfTrue="1" operator="equal">
      <formula>"Napkin Hs"</formula>
    </cfRule>
    <cfRule type="cellIs" dxfId="17482" priority="872" stopIfTrue="1" operator="equal">
      <formula>"Towel"</formula>
    </cfRule>
    <cfRule type="cellIs" dxfId="17481" priority="873" stopIfTrue="1" operator="equal">
      <formula>"Napkin Hs"</formula>
    </cfRule>
    <cfRule type="cellIs" dxfId="17480" priority="876" stopIfTrue="1" operator="equal">
      <formula>"Towel"</formula>
    </cfRule>
    <cfRule type="cellIs" dxfId="17479" priority="877" stopIfTrue="1" operator="equal">
      <formula>"Napkin Hs"</formula>
    </cfRule>
    <cfRule type="cellIs" dxfId="17478" priority="878" stopIfTrue="1" operator="equal">
      <formula>"Towel"</formula>
    </cfRule>
    <cfRule type="cellIs" dxfId="17477" priority="879" stopIfTrue="1" operator="equal">
      <formula>"Napkin Hs"</formula>
    </cfRule>
    <cfRule type="cellIs" dxfId="17476" priority="880" stopIfTrue="1" operator="equal">
      <formula>"Towel"</formula>
    </cfRule>
    <cfRule type="cellIs" dxfId="17475" priority="881" stopIfTrue="1" operator="equal">
      <formula>"Napkin Hs"</formula>
    </cfRule>
    <cfRule type="cellIs" dxfId="17474" priority="882" stopIfTrue="1" operator="equal">
      <formula>"Towel"</formula>
    </cfRule>
    <cfRule type="cellIs" dxfId="17473" priority="883" stopIfTrue="1" operator="equal">
      <formula>"Napkin Hs"</formula>
    </cfRule>
    <cfRule type="cellIs" dxfId="17472" priority="886" stopIfTrue="1" operator="equal">
      <formula>"Towel"</formula>
    </cfRule>
    <cfRule type="cellIs" dxfId="17471" priority="887" stopIfTrue="1" operator="equal">
      <formula>"Napkin Hs"</formula>
    </cfRule>
    <cfRule type="cellIs" dxfId="17470" priority="888" stopIfTrue="1" operator="equal">
      <formula>"Towel"</formula>
    </cfRule>
    <cfRule type="cellIs" dxfId="17469" priority="889" stopIfTrue="1" operator="equal">
      <formula>"Napkin Hs"</formula>
    </cfRule>
    <cfRule type="cellIs" dxfId="17468" priority="894" stopIfTrue="1" operator="equal">
      <formula>"Towel"</formula>
    </cfRule>
    <cfRule type="cellIs" dxfId="17467" priority="895" stopIfTrue="1" operator="equal">
      <formula>"Napkin Hs"</formula>
    </cfRule>
    <cfRule type="cellIs" dxfId="17466" priority="896" stopIfTrue="1" operator="equal">
      <formula>"Towel"</formula>
    </cfRule>
    <cfRule type="cellIs" dxfId="17465" priority="897" stopIfTrue="1" operator="equal">
      <formula>"Napkin Hs"</formula>
    </cfRule>
    <cfRule type="cellIs" dxfId="17464" priority="900" stopIfTrue="1" operator="equal">
      <formula>"Towel"</formula>
    </cfRule>
    <cfRule type="cellIs" dxfId="17463" priority="901" stopIfTrue="1" operator="equal">
      <formula>"Napkin Hs"</formula>
    </cfRule>
    <cfRule type="cellIs" dxfId="17462" priority="902" stopIfTrue="1" operator="equal">
      <formula>"Towel"</formula>
    </cfRule>
    <cfRule type="cellIs" dxfId="17461" priority="903" stopIfTrue="1" operator="equal">
      <formula>"Napkin Hs"</formula>
    </cfRule>
    <cfRule type="cellIs" dxfId="17460" priority="904" stopIfTrue="1" operator="equal">
      <formula>"Towel"</formula>
    </cfRule>
    <cfRule type="cellIs" dxfId="17459" priority="905" stopIfTrue="1" operator="equal">
      <formula>"Napkin Hs"</formula>
    </cfRule>
    <cfRule type="cellIs" dxfId="17458" priority="906" stopIfTrue="1" operator="equal">
      <formula>"Towel"</formula>
    </cfRule>
    <cfRule type="cellIs" dxfId="17457" priority="907" stopIfTrue="1" operator="equal">
      <formula>"Napkin Hs"</formula>
    </cfRule>
    <cfRule type="cellIs" dxfId="17456" priority="912" stopIfTrue="1" operator="equal">
      <formula>"Towel"</formula>
    </cfRule>
    <cfRule type="cellIs" dxfId="17455" priority="913" stopIfTrue="1" operator="equal">
      <formula>"Napkin Hs"</formula>
    </cfRule>
    <cfRule type="cellIs" dxfId="17454" priority="914" stopIfTrue="1" operator="equal">
      <formula>"Towel"</formula>
    </cfRule>
    <cfRule type="cellIs" dxfId="17453" priority="915" stopIfTrue="1" operator="equal">
      <formula>"Napkin Hs"</formula>
    </cfRule>
    <cfRule type="cellIs" dxfId="17452" priority="918" stopIfTrue="1" operator="equal">
      <formula>"Towel"</formula>
    </cfRule>
    <cfRule type="cellIs" dxfId="17451" priority="919" stopIfTrue="1" operator="equal">
      <formula>"Napkin Hs"</formula>
    </cfRule>
    <cfRule type="cellIs" dxfId="17450" priority="920" stopIfTrue="1" operator="equal">
      <formula>"Towel"</formula>
    </cfRule>
    <cfRule type="cellIs" dxfId="17449" priority="921" stopIfTrue="1" operator="equal">
      <formula>"Napkin Hs"</formula>
    </cfRule>
    <cfRule type="cellIs" dxfId="17448" priority="922" stopIfTrue="1" operator="equal">
      <formula>"Towel"</formula>
    </cfRule>
    <cfRule type="cellIs" dxfId="17447" priority="923" stopIfTrue="1" operator="equal">
      <formula>"Napkin Hs"</formula>
    </cfRule>
    <cfRule type="cellIs" dxfId="17446" priority="924" stopIfTrue="1" operator="equal">
      <formula>"Towel"</formula>
    </cfRule>
    <cfRule type="cellIs" dxfId="17445" priority="925" stopIfTrue="1" operator="equal">
      <formula>"Napkin Hs"</formula>
    </cfRule>
    <cfRule type="cellIs" dxfId="17444" priority="930" stopIfTrue="1" operator="equal">
      <formula>"Towel"</formula>
    </cfRule>
    <cfRule type="cellIs" dxfId="17443" priority="931" stopIfTrue="1" operator="equal">
      <formula>"Napkin Hs"</formula>
    </cfRule>
    <cfRule type="cellIs" dxfId="17442" priority="932" stopIfTrue="1" operator="equal">
      <formula>"Towel"</formula>
    </cfRule>
    <cfRule type="cellIs" dxfId="17441" priority="933" stopIfTrue="1" operator="equal">
      <formula>"Napkin Hs"</formula>
    </cfRule>
    <cfRule type="cellIs" dxfId="17440" priority="936" stopIfTrue="1" operator="equal">
      <formula>"Towel"</formula>
    </cfRule>
    <cfRule type="cellIs" dxfId="17439" priority="937" stopIfTrue="1" operator="equal">
      <formula>"Napkin Hs"</formula>
    </cfRule>
    <cfRule type="cellIs" dxfId="17438" priority="938" stopIfTrue="1" operator="equal">
      <formula>"Towel"</formula>
    </cfRule>
    <cfRule type="cellIs" dxfId="17437" priority="939" stopIfTrue="1" operator="equal">
      <formula>"Napkin Hs"</formula>
    </cfRule>
  </conditionalFormatting>
  <conditionalFormatting sqref="C150">
    <cfRule type="cellIs" dxfId="17436" priority="842" stopIfTrue="1" operator="equal">
      <formula>"Napkin Hs"</formula>
    </cfRule>
  </conditionalFormatting>
  <conditionalFormatting sqref="C150">
    <cfRule type="cellIs" dxfId="17435" priority="841" stopIfTrue="1" operator="equal">
      <formula>"Napkin Hs"</formula>
    </cfRule>
  </conditionalFormatting>
  <conditionalFormatting sqref="B150">
    <cfRule type="cellIs" dxfId="17434" priority="840" stopIfTrue="1" operator="equal">
      <formula>"Napkin Hs"</formula>
    </cfRule>
  </conditionalFormatting>
  <conditionalFormatting sqref="C150">
    <cfRule type="cellIs" dxfId="17433" priority="839" stopIfTrue="1" operator="equal">
      <formula>"Napkin Hs"</formula>
    </cfRule>
  </conditionalFormatting>
  <conditionalFormatting sqref="C150">
    <cfRule type="cellIs" dxfId="17432" priority="838" stopIfTrue="1" operator="equal">
      <formula>"Napkin Hs"</formula>
    </cfRule>
  </conditionalFormatting>
  <conditionalFormatting sqref="C150">
    <cfRule type="cellIs" dxfId="17431" priority="837" stopIfTrue="1" operator="equal">
      <formula>"Napkin Hs"</formula>
    </cfRule>
  </conditionalFormatting>
  <conditionalFormatting sqref="C150">
    <cfRule type="cellIs" dxfId="17430" priority="836" stopIfTrue="1" operator="equal">
      <formula>"Napkin Hs"</formula>
    </cfRule>
  </conditionalFormatting>
  <conditionalFormatting sqref="B150">
    <cfRule type="cellIs" dxfId="17429" priority="835" stopIfTrue="1" operator="equal">
      <formula>"Napkin Hs"</formula>
    </cfRule>
  </conditionalFormatting>
  <conditionalFormatting sqref="B150">
    <cfRule type="cellIs" dxfId="17428" priority="834" stopIfTrue="1" operator="equal">
      <formula>"Napkin Hs"</formula>
    </cfRule>
  </conditionalFormatting>
  <conditionalFormatting sqref="C150">
    <cfRule type="cellIs" dxfId="17427" priority="830" stopIfTrue="1" operator="equal">
      <formula>"Towel"</formula>
    </cfRule>
    <cfRule type="cellIs" dxfId="17426" priority="831" stopIfTrue="1" operator="equal">
      <formula>"Napkin Hs"</formula>
    </cfRule>
  </conditionalFormatting>
  <conditionalFormatting sqref="C150">
    <cfRule type="cellIs" dxfId="17425" priority="832" stopIfTrue="1" operator="equal">
      <formula>"Towel"</formula>
    </cfRule>
    <cfRule type="cellIs" dxfId="17424" priority="833" stopIfTrue="1" operator="equal">
      <formula>"Napkin Hs"</formula>
    </cfRule>
  </conditionalFormatting>
  <conditionalFormatting sqref="C150">
    <cfRule type="cellIs" dxfId="17423" priority="826" stopIfTrue="1" operator="equal">
      <formula>"Towel"</formula>
    </cfRule>
    <cfRule type="cellIs" dxfId="17422" priority="827" stopIfTrue="1" operator="equal">
      <formula>"Napkin Hs"</formula>
    </cfRule>
  </conditionalFormatting>
  <conditionalFormatting sqref="C150">
    <cfRule type="cellIs" dxfId="17421" priority="828" stopIfTrue="1" operator="equal">
      <formula>"Towel"</formula>
    </cfRule>
    <cfRule type="cellIs" dxfId="17420" priority="829" stopIfTrue="1" operator="equal">
      <formula>"Napkin Hs"</formula>
    </cfRule>
  </conditionalFormatting>
  <conditionalFormatting sqref="C149">
    <cfRule type="cellIs" dxfId="17419" priority="824" stopIfTrue="1" operator="equal">
      <formula>"Towel"</formula>
    </cfRule>
    <cfRule type="cellIs" dxfId="17418" priority="825" stopIfTrue="1" operator="equal">
      <formula>"Napkin Hs"</formula>
    </cfRule>
  </conditionalFormatting>
  <conditionalFormatting sqref="C149">
    <cfRule type="cellIs" dxfId="17417" priority="820" stopIfTrue="1" operator="equal">
      <formula>"Towel"</formula>
    </cfRule>
    <cfRule type="cellIs" dxfId="17416" priority="821" stopIfTrue="1" operator="equal">
      <formula>"Napkin Hs"</formula>
    </cfRule>
  </conditionalFormatting>
  <conditionalFormatting sqref="C149">
    <cfRule type="cellIs" dxfId="17415" priority="822" stopIfTrue="1" operator="equal">
      <formula>"Towel"</formula>
    </cfRule>
    <cfRule type="cellIs" dxfId="17414" priority="823" stopIfTrue="1" operator="equal">
      <formula>"Napkin Hs"</formula>
    </cfRule>
  </conditionalFormatting>
  <conditionalFormatting sqref="C149">
    <cfRule type="cellIs" dxfId="17413" priority="816" stopIfTrue="1" operator="equal">
      <formula>"Towel"</formula>
    </cfRule>
    <cfRule type="cellIs" dxfId="17412" priority="817" stopIfTrue="1" operator="equal">
      <formula>"Napkin Hs"</formula>
    </cfRule>
  </conditionalFormatting>
  <conditionalFormatting sqref="C149">
    <cfRule type="cellIs" dxfId="17411" priority="818" stopIfTrue="1" operator="equal">
      <formula>"Towel"</formula>
    </cfRule>
    <cfRule type="cellIs" dxfId="17410" priority="819" stopIfTrue="1" operator="equal">
      <formula>"Napkin Hs"</formula>
    </cfRule>
  </conditionalFormatting>
  <conditionalFormatting sqref="C149">
    <cfRule type="cellIs" dxfId="17409" priority="814" stopIfTrue="1" operator="equal">
      <formula>"Towel"</formula>
    </cfRule>
    <cfRule type="cellIs" dxfId="17408" priority="815" stopIfTrue="1" operator="equal">
      <formula>"Napkin Hs"</formula>
    </cfRule>
  </conditionalFormatting>
  <conditionalFormatting sqref="C149">
    <cfRule type="cellIs" dxfId="17407" priority="808" stopIfTrue="1" operator="equal">
      <formula>"Towel"</formula>
    </cfRule>
    <cfRule type="cellIs" dxfId="17406" priority="809" stopIfTrue="1" operator="equal">
      <formula>"Napkin Hs"</formula>
    </cfRule>
  </conditionalFormatting>
  <conditionalFormatting sqref="C149">
    <cfRule type="cellIs" dxfId="17405" priority="812" stopIfTrue="1" operator="equal">
      <formula>"Towel"</formula>
    </cfRule>
    <cfRule type="cellIs" dxfId="17404" priority="813" stopIfTrue="1" operator="equal">
      <formula>"Napkin Hs"</formula>
    </cfRule>
  </conditionalFormatting>
  <conditionalFormatting sqref="C149">
    <cfRule type="cellIs" dxfId="17403" priority="810" stopIfTrue="1" operator="equal">
      <formula>"Towel"</formula>
    </cfRule>
    <cfRule type="cellIs" dxfId="17402" priority="811" stopIfTrue="1" operator="equal">
      <formula>"Napkin Hs"</formula>
    </cfRule>
  </conditionalFormatting>
  <conditionalFormatting sqref="C149">
    <cfRule type="cellIs" dxfId="17401" priority="802" stopIfTrue="1" operator="equal">
      <formula>"Towel"</formula>
    </cfRule>
    <cfRule type="cellIs" dxfId="17400" priority="803" stopIfTrue="1" operator="equal">
      <formula>"Napkin Hs"</formula>
    </cfRule>
  </conditionalFormatting>
  <conditionalFormatting sqref="C149">
    <cfRule type="cellIs" dxfId="17399" priority="804" stopIfTrue="1" operator="equal">
      <formula>"Towel"</formula>
    </cfRule>
    <cfRule type="cellIs" dxfId="17398" priority="805" stopIfTrue="1" operator="equal">
      <formula>"Napkin Hs"</formula>
    </cfRule>
  </conditionalFormatting>
  <conditionalFormatting sqref="C149">
    <cfRule type="cellIs" dxfId="17397" priority="806" stopIfTrue="1" operator="equal">
      <formula>"Towel"</formula>
    </cfRule>
    <cfRule type="cellIs" dxfId="17396" priority="807" stopIfTrue="1" operator="equal">
      <formula>"Napkin Hs"</formula>
    </cfRule>
  </conditionalFormatting>
  <conditionalFormatting sqref="C149">
    <cfRule type="cellIs" dxfId="17395" priority="800" stopIfTrue="1" operator="equal">
      <formula>"Towel"</formula>
    </cfRule>
    <cfRule type="cellIs" dxfId="17394" priority="801" stopIfTrue="1" operator="equal">
      <formula>"Napkin Hs"</formula>
    </cfRule>
  </conditionalFormatting>
  <conditionalFormatting sqref="C149">
    <cfRule type="cellIs" dxfId="17393" priority="798" stopIfTrue="1" operator="equal">
      <formula>"Towel"</formula>
    </cfRule>
    <cfRule type="cellIs" dxfId="17392" priority="799" stopIfTrue="1" operator="equal">
      <formula>"Napkin Hs"</formula>
    </cfRule>
  </conditionalFormatting>
  <conditionalFormatting sqref="C149">
    <cfRule type="cellIs" dxfId="17391" priority="774" stopIfTrue="1" operator="equal">
      <formula>"Towel"</formula>
    </cfRule>
  </conditionalFormatting>
  <conditionalFormatting sqref="C149">
    <cfRule type="cellIs" dxfId="17390" priority="775" stopIfTrue="1" operator="equal">
      <formula>"Napkin Hs"</formula>
    </cfRule>
    <cfRule type="cellIs" dxfId="17389" priority="780" stopIfTrue="1" operator="equal">
      <formula>"Towel"</formula>
    </cfRule>
    <cfRule type="cellIs" dxfId="17388" priority="781" stopIfTrue="1" operator="equal">
      <formula>"Napkin Hs"</formula>
    </cfRule>
    <cfRule type="cellIs" dxfId="17387" priority="790" stopIfTrue="1" operator="equal">
      <formula>"Towel"</formula>
    </cfRule>
    <cfRule type="cellIs" dxfId="17386" priority="791" stopIfTrue="1" operator="equal">
      <formula>"Napkin Hs"</formula>
    </cfRule>
    <cfRule type="cellIs" dxfId="17385" priority="796" stopIfTrue="1" operator="equal">
      <formula>"Towel"</formula>
    </cfRule>
    <cfRule type="cellIs" dxfId="17384" priority="797" stopIfTrue="1" operator="equal">
      <formula>"Napkin Hs"</formula>
    </cfRule>
  </conditionalFormatting>
  <conditionalFormatting sqref="C149">
    <cfRule type="cellIs" dxfId="17383" priority="776" stopIfTrue="1" operator="equal">
      <formula>"Towel"</formula>
    </cfRule>
    <cfRule type="cellIs" dxfId="17382" priority="777" stopIfTrue="1" operator="equal">
      <formula>"Napkin Hs"</formula>
    </cfRule>
    <cfRule type="cellIs" dxfId="17381" priority="778" stopIfTrue="1" operator="equal">
      <formula>"Towel"</formula>
    </cfRule>
    <cfRule type="cellIs" dxfId="17380" priority="779" stopIfTrue="1" operator="equal">
      <formula>"Napkin Hs"</formula>
    </cfRule>
    <cfRule type="cellIs" dxfId="17379" priority="782" stopIfTrue="1" operator="equal">
      <formula>"Towel"</formula>
    </cfRule>
    <cfRule type="cellIs" dxfId="17378" priority="783" stopIfTrue="1" operator="equal">
      <formula>"Napkin Hs"</formula>
    </cfRule>
    <cfRule type="cellIs" dxfId="17377" priority="784" stopIfTrue="1" operator="equal">
      <formula>"Towel"</formula>
    </cfRule>
    <cfRule type="cellIs" dxfId="17376" priority="785" stopIfTrue="1" operator="equal">
      <formula>"Napkin Hs"</formula>
    </cfRule>
    <cfRule type="cellIs" dxfId="17375" priority="786" stopIfTrue="1" operator="equal">
      <formula>"Towel"</formula>
    </cfRule>
    <cfRule type="cellIs" dxfId="17374" priority="787" stopIfTrue="1" operator="equal">
      <formula>"Napkin Hs"</formula>
    </cfRule>
    <cfRule type="cellIs" dxfId="17373" priority="788" stopIfTrue="1" operator="equal">
      <formula>"Towel"</formula>
    </cfRule>
    <cfRule type="cellIs" dxfId="17372" priority="789" stopIfTrue="1" operator="equal">
      <formula>"Napkin Hs"</formula>
    </cfRule>
    <cfRule type="cellIs" dxfId="17371" priority="792" stopIfTrue="1" operator="equal">
      <formula>"Towel"</formula>
    </cfRule>
    <cfRule type="cellIs" dxfId="17370" priority="793" stopIfTrue="1" operator="equal">
      <formula>"Napkin Hs"</formula>
    </cfRule>
    <cfRule type="cellIs" dxfId="17369" priority="795" stopIfTrue="1" operator="equal">
      <formula>"Napkin Hs"</formula>
    </cfRule>
  </conditionalFormatting>
  <conditionalFormatting sqref="C149">
    <cfRule type="cellIs" dxfId="17368" priority="794" stopIfTrue="1" operator="equal">
      <formula>"Towel"</formula>
    </cfRule>
  </conditionalFormatting>
  <conditionalFormatting sqref="C149">
    <cfRule type="cellIs" dxfId="17367" priority="772" stopIfTrue="1" operator="equal">
      <formula>"Towel"</formula>
    </cfRule>
    <cfRule type="cellIs" dxfId="17366" priority="773" stopIfTrue="1" operator="equal">
      <formula>"Napkin Hs"</formula>
    </cfRule>
  </conditionalFormatting>
  <conditionalFormatting sqref="C149">
    <cfRule type="cellIs" dxfId="17365" priority="771" stopIfTrue="1" operator="equal">
      <formula>"Napkin Hs"</formula>
    </cfRule>
  </conditionalFormatting>
  <conditionalFormatting sqref="C149">
    <cfRule type="cellIs" dxfId="17364" priority="770" stopIfTrue="1" operator="equal">
      <formula>"Towel"</formula>
    </cfRule>
  </conditionalFormatting>
  <conditionalFormatting sqref="C149">
    <cfRule type="cellIs" dxfId="17363" priority="768" stopIfTrue="1" operator="equal">
      <formula>"Towel"</formula>
    </cfRule>
  </conditionalFormatting>
  <conditionalFormatting sqref="C149">
    <cfRule type="cellIs" dxfId="17362" priority="769" stopIfTrue="1" operator="equal">
      <formula>"Napkin Hs"</formula>
    </cfRule>
  </conditionalFormatting>
  <conditionalFormatting sqref="C149">
    <cfRule type="cellIs" dxfId="17361" priority="672" stopIfTrue="1" operator="equal">
      <formula>"Towel"</formula>
    </cfRule>
  </conditionalFormatting>
  <conditionalFormatting sqref="C149">
    <cfRule type="cellIs" dxfId="17360" priority="682" stopIfTrue="1" operator="equal">
      <formula>"Towel"</formula>
    </cfRule>
    <cfRule type="cellIs" dxfId="17359" priority="683" stopIfTrue="1" operator="equal">
      <formula>"Napkin Hs"</formula>
    </cfRule>
    <cfRule type="cellIs" dxfId="17358" priority="688" stopIfTrue="1" operator="equal">
      <formula>"Towel"</formula>
    </cfRule>
    <cfRule type="cellIs" dxfId="17357" priority="689" stopIfTrue="1" operator="equal">
      <formula>"Napkin Hs"</formula>
    </cfRule>
    <cfRule type="cellIs" dxfId="17356" priority="694" stopIfTrue="1" operator="equal">
      <formula>"Towel"</formula>
    </cfRule>
    <cfRule type="cellIs" dxfId="17355" priority="695" stopIfTrue="1" operator="equal">
      <formula>"Napkin Hs"</formula>
    </cfRule>
    <cfRule type="cellIs" dxfId="17354" priority="696" stopIfTrue="1" operator="equal">
      <formula>"Towel"</formula>
    </cfRule>
    <cfRule type="cellIs" dxfId="17353" priority="697" stopIfTrue="1" operator="equal">
      <formula>"Napkin Hs"</formula>
    </cfRule>
    <cfRule type="cellIs" dxfId="17352" priority="702" stopIfTrue="1" operator="equal">
      <formula>"Towel"</formula>
    </cfRule>
    <cfRule type="cellIs" dxfId="17351" priority="703" stopIfTrue="1" operator="equal">
      <formula>"Napkin Hs"</formula>
    </cfRule>
    <cfRule type="cellIs" dxfId="17350" priority="712" stopIfTrue="1" operator="equal">
      <formula>"Towel"</formula>
    </cfRule>
    <cfRule type="cellIs" dxfId="17349" priority="713" stopIfTrue="1" operator="equal">
      <formula>"Napkin Hs"</formula>
    </cfRule>
    <cfRule type="cellIs" dxfId="17348" priority="718" stopIfTrue="1" operator="equal">
      <formula>"Towel"</formula>
    </cfRule>
    <cfRule type="cellIs" dxfId="17347" priority="719" stopIfTrue="1" operator="equal">
      <formula>"Napkin Hs"</formula>
    </cfRule>
    <cfRule type="cellIs" dxfId="17346" priority="720" stopIfTrue="1" operator="equal">
      <formula>"Towel"</formula>
    </cfRule>
    <cfRule type="cellIs" dxfId="17345" priority="721" stopIfTrue="1" operator="equal">
      <formula>"Napkin Hs"</formula>
    </cfRule>
    <cfRule type="cellIs" dxfId="17344" priority="726" stopIfTrue="1" operator="equal">
      <formula>"Towel"</formula>
    </cfRule>
    <cfRule type="cellIs" dxfId="17343" priority="727" stopIfTrue="1" operator="equal">
      <formula>"Napkin Hs"</formula>
    </cfRule>
    <cfRule type="cellIs" dxfId="17342" priority="736" stopIfTrue="1" operator="equal">
      <formula>"Towel"</formula>
    </cfRule>
    <cfRule type="cellIs" dxfId="17341" priority="737" stopIfTrue="1" operator="equal">
      <formula>"Napkin Hs"</formula>
    </cfRule>
    <cfRule type="cellIs" dxfId="17340" priority="738" stopIfTrue="1" operator="equal">
      <formula>"Towel"</formula>
    </cfRule>
    <cfRule type="cellIs" dxfId="17339" priority="739" stopIfTrue="1" operator="equal">
      <formula>"Napkin Hs"</formula>
    </cfRule>
    <cfRule type="cellIs" dxfId="17338" priority="744" stopIfTrue="1" operator="equal">
      <formula>"Towel"</formula>
    </cfRule>
    <cfRule type="cellIs" dxfId="17337" priority="745" stopIfTrue="1" operator="equal">
      <formula>"Napkin Hs"</formula>
    </cfRule>
    <cfRule type="cellIs" dxfId="17336" priority="754" stopIfTrue="1" operator="equal">
      <formula>"Towel"</formula>
    </cfRule>
    <cfRule type="cellIs" dxfId="17335" priority="755" stopIfTrue="1" operator="equal">
      <formula>"Napkin Hs"</formula>
    </cfRule>
    <cfRule type="cellIs" dxfId="17334" priority="756" stopIfTrue="1" operator="equal">
      <formula>"Towel"</formula>
    </cfRule>
    <cfRule type="cellIs" dxfId="17333" priority="757" stopIfTrue="1" operator="equal">
      <formula>"Napkin Hs"</formula>
    </cfRule>
    <cfRule type="cellIs" dxfId="17332" priority="763" stopIfTrue="1" operator="equal">
      <formula>"Napkin Hs"</formula>
    </cfRule>
  </conditionalFormatting>
  <conditionalFormatting sqref="C149">
    <cfRule type="cellIs" dxfId="17331" priority="762" stopIfTrue="1" operator="equal">
      <formula>"Towel"</formula>
    </cfRule>
  </conditionalFormatting>
  <conditionalFormatting sqref="C149">
    <cfRule type="cellIs" dxfId="17330" priority="673" stopIfTrue="1" operator="equal">
      <formula>"Napkin Hs"</formula>
    </cfRule>
    <cfRule type="cellIs" dxfId="17329" priority="674" stopIfTrue="1" operator="equal">
      <formula>"Towel"</formula>
    </cfRule>
    <cfRule type="cellIs" dxfId="17328" priority="675" stopIfTrue="1" operator="equal">
      <formula>"Napkin Hs"</formula>
    </cfRule>
    <cfRule type="cellIs" dxfId="17327" priority="676" stopIfTrue="1" operator="equal">
      <formula>"Towel"</formula>
    </cfRule>
    <cfRule type="cellIs" dxfId="17326" priority="677" stopIfTrue="1" operator="equal">
      <formula>"Napkin Hs"</formula>
    </cfRule>
    <cfRule type="cellIs" dxfId="17325" priority="678" stopIfTrue="1" operator="equal">
      <formula>"Towel"</formula>
    </cfRule>
    <cfRule type="cellIs" dxfId="17324" priority="679" stopIfTrue="1" operator="equal">
      <formula>"Napkin Hs"</formula>
    </cfRule>
    <cfRule type="cellIs" dxfId="17323" priority="680" stopIfTrue="1" operator="equal">
      <formula>"Towel"</formula>
    </cfRule>
    <cfRule type="cellIs" dxfId="17322" priority="681" stopIfTrue="1" operator="equal">
      <formula>"Napkin Hs"</formula>
    </cfRule>
    <cfRule type="cellIs" dxfId="17321" priority="684" stopIfTrue="1" operator="equal">
      <formula>"Towel"</formula>
    </cfRule>
    <cfRule type="cellIs" dxfId="17320" priority="685" stopIfTrue="1" operator="equal">
      <formula>"Napkin Hs"</formula>
    </cfRule>
    <cfRule type="cellIs" dxfId="17319" priority="686" stopIfTrue="1" operator="equal">
      <formula>"Towel"</formula>
    </cfRule>
    <cfRule type="cellIs" dxfId="17318" priority="687" stopIfTrue="1" operator="equal">
      <formula>"Napkin Hs"</formula>
    </cfRule>
    <cfRule type="cellIs" dxfId="17317" priority="690" stopIfTrue="1" operator="equal">
      <formula>"Towel"</formula>
    </cfRule>
    <cfRule type="cellIs" dxfId="17316" priority="691" stopIfTrue="1" operator="equal">
      <formula>"Napkin Hs"</formula>
    </cfRule>
    <cfRule type="cellIs" dxfId="17315" priority="692" stopIfTrue="1" operator="equal">
      <formula>"Towel"</formula>
    </cfRule>
    <cfRule type="cellIs" dxfId="17314" priority="693" stopIfTrue="1" operator="equal">
      <formula>"Napkin Hs"</formula>
    </cfRule>
    <cfRule type="cellIs" dxfId="17313" priority="698" stopIfTrue="1" operator="equal">
      <formula>"Towel"</formula>
    </cfRule>
    <cfRule type="cellIs" dxfId="17312" priority="699" stopIfTrue="1" operator="equal">
      <formula>"Napkin Hs"</formula>
    </cfRule>
    <cfRule type="cellIs" dxfId="17311" priority="700" stopIfTrue="1" operator="equal">
      <formula>"Towel"</formula>
    </cfRule>
    <cfRule type="cellIs" dxfId="17310" priority="701" stopIfTrue="1" operator="equal">
      <formula>"Napkin Hs"</formula>
    </cfRule>
    <cfRule type="cellIs" dxfId="17309" priority="704" stopIfTrue="1" operator="equal">
      <formula>"Towel"</formula>
    </cfRule>
    <cfRule type="cellIs" dxfId="17308" priority="705" stopIfTrue="1" operator="equal">
      <formula>"Napkin Hs"</formula>
    </cfRule>
    <cfRule type="cellIs" dxfId="17307" priority="706" stopIfTrue="1" operator="equal">
      <formula>"Towel"</formula>
    </cfRule>
    <cfRule type="cellIs" dxfId="17306" priority="707" stopIfTrue="1" operator="equal">
      <formula>"Napkin Hs"</formula>
    </cfRule>
    <cfRule type="cellIs" dxfId="17305" priority="708" stopIfTrue="1" operator="equal">
      <formula>"Towel"</formula>
    </cfRule>
    <cfRule type="cellIs" dxfId="17304" priority="709" stopIfTrue="1" operator="equal">
      <formula>"Napkin Hs"</formula>
    </cfRule>
    <cfRule type="cellIs" dxfId="17303" priority="710" stopIfTrue="1" operator="equal">
      <formula>"Towel"</formula>
    </cfRule>
    <cfRule type="cellIs" dxfId="17302" priority="711" stopIfTrue="1" operator="equal">
      <formula>"Napkin Hs"</formula>
    </cfRule>
    <cfRule type="cellIs" dxfId="17301" priority="714" stopIfTrue="1" operator="equal">
      <formula>"Towel"</formula>
    </cfRule>
    <cfRule type="cellIs" dxfId="17300" priority="715" stopIfTrue="1" operator="equal">
      <formula>"Napkin Hs"</formula>
    </cfRule>
    <cfRule type="cellIs" dxfId="17299" priority="716" stopIfTrue="1" operator="equal">
      <formula>"Towel"</formula>
    </cfRule>
    <cfRule type="cellIs" dxfId="17298" priority="717" stopIfTrue="1" operator="equal">
      <formula>"Napkin Hs"</formula>
    </cfRule>
    <cfRule type="cellIs" dxfId="17297" priority="722" stopIfTrue="1" operator="equal">
      <formula>"Towel"</formula>
    </cfRule>
    <cfRule type="cellIs" dxfId="17296" priority="723" stopIfTrue="1" operator="equal">
      <formula>"Napkin Hs"</formula>
    </cfRule>
    <cfRule type="cellIs" dxfId="17295" priority="724" stopIfTrue="1" operator="equal">
      <formula>"Towel"</formula>
    </cfRule>
    <cfRule type="cellIs" dxfId="17294" priority="725" stopIfTrue="1" operator="equal">
      <formula>"Napkin Hs"</formula>
    </cfRule>
    <cfRule type="cellIs" dxfId="17293" priority="728" stopIfTrue="1" operator="equal">
      <formula>"Towel"</formula>
    </cfRule>
    <cfRule type="cellIs" dxfId="17292" priority="729" stopIfTrue="1" operator="equal">
      <formula>"Napkin Hs"</formula>
    </cfRule>
    <cfRule type="cellIs" dxfId="17291" priority="730" stopIfTrue="1" operator="equal">
      <formula>"Towel"</formula>
    </cfRule>
    <cfRule type="cellIs" dxfId="17290" priority="731" stopIfTrue="1" operator="equal">
      <formula>"Napkin Hs"</formula>
    </cfRule>
    <cfRule type="cellIs" dxfId="17289" priority="732" stopIfTrue="1" operator="equal">
      <formula>"Towel"</formula>
    </cfRule>
    <cfRule type="cellIs" dxfId="17288" priority="733" stopIfTrue="1" operator="equal">
      <formula>"Napkin Hs"</formula>
    </cfRule>
    <cfRule type="cellIs" dxfId="17287" priority="734" stopIfTrue="1" operator="equal">
      <formula>"Towel"</formula>
    </cfRule>
    <cfRule type="cellIs" dxfId="17286" priority="735" stopIfTrue="1" operator="equal">
      <formula>"Napkin Hs"</formula>
    </cfRule>
    <cfRule type="cellIs" dxfId="17285" priority="740" stopIfTrue="1" operator="equal">
      <formula>"Towel"</formula>
    </cfRule>
    <cfRule type="cellIs" dxfId="17284" priority="741" stopIfTrue="1" operator="equal">
      <formula>"Napkin Hs"</formula>
    </cfRule>
    <cfRule type="cellIs" dxfId="17283" priority="742" stopIfTrue="1" operator="equal">
      <formula>"Towel"</formula>
    </cfRule>
    <cfRule type="cellIs" dxfId="17282" priority="743" stopIfTrue="1" operator="equal">
      <formula>"Napkin Hs"</formula>
    </cfRule>
    <cfRule type="cellIs" dxfId="17281" priority="746" stopIfTrue="1" operator="equal">
      <formula>"Towel"</formula>
    </cfRule>
    <cfRule type="cellIs" dxfId="17280" priority="747" stopIfTrue="1" operator="equal">
      <formula>"Napkin Hs"</formula>
    </cfRule>
    <cfRule type="cellIs" dxfId="17279" priority="748" stopIfTrue="1" operator="equal">
      <formula>"Towel"</formula>
    </cfRule>
    <cfRule type="cellIs" dxfId="17278" priority="749" stopIfTrue="1" operator="equal">
      <formula>"Napkin Hs"</formula>
    </cfRule>
    <cfRule type="cellIs" dxfId="17277" priority="750" stopIfTrue="1" operator="equal">
      <formula>"Towel"</formula>
    </cfRule>
    <cfRule type="cellIs" dxfId="17276" priority="751" stopIfTrue="1" operator="equal">
      <formula>"Napkin Hs"</formula>
    </cfRule>
    <cfRule type="cellIs" dxfId="17275" priority="752" stopIfTrue="1" operator="equal">
      <formula>"Towel"</formula>
    </cfRule>
    <cfRule type="cellIs" dxfId="17274" priority="753" stopIfTrue="1" operator="equal">
      <formula>"Napkin Hs"</formula>
    </cfRule>
    <cfRule type="cellIs" dxfId="17273" priority="758" stopIfTrue="1" operator="equal">
      <formula>"Towel"</formula>
    </cfRule>
    <cfRule type="cellIs" dxfId="17272" priority="759" stopIfTrue="1" operator="equal">
      <formula>"Napkin Hs"</formula>
    </cfRule>
    <cfRule type="cellIs" dxfId="17271" priority="760" stopIfTrue="1" operator="equal">
      <formula>"Towel"</formula>
    </cfRule>
    <cfRule type="cellIs" dxfId="17270" priority="761" stopIfTrue="1" operator="equal">
      <formula>"Napkin Hs"</formula>
    </cfRule>
    <cfRule type="cellIs" dxfId="17269" priority="764" stopIfTrue="1" operator="equal">
      <formula>"Towel"</formula>
    </cfRule>
    <cfRule type="cellIs" dxfId="17268" priority="765" stopIfTrue="1" operator="equal">
      <formula>"Napkin Hs"</formula>
    </cfRule>
    <cfRule type="cellIs" dxfId="17267" priority="766" stopIfTrue="1" operator="equal">
      <formula>"Towel"</formula>
    </cfRule>
    <cfRule type="cellIs" dxfId="17266" priority="767" stopIfTrue="1" operator="equal">
      <formula>"Napkin Hs"</formula>
    </cfRule>
  </conditionalFormatting>
  <conditionalFormatting sqref="C149">
    <cfRule type="cellIs" dxfId="17265" priority="671" stopIfTrue="1" operator="equal">
      <formula>"Napkin Hs"</formula>
    </cfRule>
  </conditionalFormatting>
  <conditionalFormatting sqref="C149">
    <cfRule type="cellIs" dxfId="17264" priority="670" stopIfTrue="1" operator="equal">
      <formula>"Napkin Hs"</formula>
    </cfRule>
  </conditionalFormatting>
  <conditionalFormatting sqref="C149">
    <cfRule type="cellIs" dxfId="17263" priority="669" stopIfTrue="1" operator="equal">
      <formula>"Napkin Hs"</formula>
    </cfRule>
  </conditionalFormatting>
  <conditionalFormatting sqref="C149">
    <cfRule type="cellIs" dxfId="17262" priority="668" stopIfTrue="1" operator="equal">
      <formula>"Napkin Hs"</formula>
    </cfRule>
  </conditionalFormatting>
  <conditionalFormatting sqref="C149">
    <cfRule type="cellIs" dxfId="17261" priority="667" stopIfTrue="1" operator="equal">
      <formula>"Napkin Hs"</formula>
    </cfRule>
  </conditionalFormatting>
  <conditionalFormatting sqref="C149">
    <cfRule type="cellIs" dxfId="17260" priority="666" stopIfTrue="1" operator="equal">
      <formula>"Napkin Hs"</formula>
    </cfRule>
  </conditionalFormatting>
  <conditionalFormatting sqref="C149">
    <cfRule type="cellIs" dxfId="17259" priority="662" stopIfTrue="1" operator="equal">
      <formula>"Towel"</formula>
    </cfRule>
    <cfRule type="cellIs" dxfId="17258" priority="663" stopIfTrue="1" operator="equal">
      <formula>"Napkin Hs"</formula>
    </cfRule>
  </conditionalFormatting>
  <conditionalFormatting sqref="C149">
    <cfRule type="cellIs" dxfId="17257" priority="664" stopIfTrue="1" operator="equal">
      <formula>"Towel"</formula>
    </cfRule>
    <cfRule type="cellIs" dxfId="17256" priority="665" stopIfTrue="1" operator="equal">
      <formula>"Napkin Hs"</formula>
    </cfRule>
  </conditionalFormatting>
  <conditionalFormatting sqref="C149">
    <cfRule type="cellIs" dxfId="17255" priority="658" stopIfTrue="1" operator="equal">
      <formula>"Towel"</formula>
    </cfRule>
    <cfRule type="cellIs" dxfId="17254" priority="659" stopIfTrue="1" operator="equal">
      <formula>"Napkin Hs"</formula>
    </cfRule>
  </conditionalFormatting>
  <conditionalFormatting sqref="C149">
    <cfRule type="cellIs" dxfId="17253" priority="660" stopIfTrue="1" operator="equal">
      <formula>"Towel"</formula>
    </cfRule>
    <cfRule type="cellIs" dxfId="17252" priority="661" stopIfTrue="1" operator="equal">
      <formula>"Napkin Hs"</formula>
    </cfRule>
  </conditionalFormatting>
  <conditionalFormatting sqref="C149:C150">
    <cfRule type="cellIs" dxfId="17251" priority="656" stopIfTrue="1" operator="equal">
      <formula>"Towel"</formula>
    </cfRule>
    <cfRule type="cellIs" dxfId="17250" priority="657" stopIfTrue="1" operator="equal">
      <formula>"Napkin Hs"</formula>
    </cfRule>
  </conditionalFormatting>
  <conditionalFormatting sqref="C149:C150">
    <cfRule type="cellIs" dxfId="17249" priority="652" stopIfTrue="1" operator="equal">
      <formula>"Towel"</formula>
    </cfRule>
    <cfRule type="cellIs" dxfId="17248" priority="653" stopIfTrue="1" operator="equal">
      <formula>"Napkin Hs"</formula>
    </cfRule>
  </conditionalFormatting>
  <conditionalFormatting sqref="C149:C150">
    <cfRule type="cellIs" dxfId="17247" priority="654" stopIfTrue="1" operator="equal">
      <formula>"Towel"</formula>
    </cfRule>
    <cfRule type="cellIs" dxfId="17246" priority="655" stopIfTrue="1" operator="equal">
      <formula>"Napkin Hs"</formula>
    </cfRule>
  </conditionalFormatting>
  <conditionalFormatting sqref="C149:C150">
    <cfRule type="cellIs" dxfId="17245" priority="648" stopIfTrue="1" operator="equal">
      <formula>"Towel"</formula>
    </cfRule>
    <cfRule type="cellIs" dxfId="17244" priority="649" stopIfTrue="1" operator="equal">
      <formula>"Napkin Hs"</formula>
    </cfRule>
  </conditionalFormatting>
  <conditionalFormatting sqref="C149:C150">
    <cfRule type="cellIs" dxfId="17243" priority="650" stopIfTrue="1" operator="equal">
      <formula>"Towel"</formula>
    </cfRule>
    <cfRule type="cellIs" dxfId="17242" priority="651" stopIfTrue="1" operator="equal">
      <formula>"Napkin Hs"</formula>
    </cfRule>
  </conditionalFormatting>
  <conditionalFormatting sqref="C149:C150">
    <cfRule type="cellIs" dxfId="17241" priority="646" stopIfTrue="1" operator="equal">
      <formula>"Towel"</formula>
    </cfRule>
    <cfRule type="cellIs" dxfId="17240" priority="647" stopIfTrue="1" operator="equal">
      <formula>"Napkin Hs"</formula>
    </cfRule>
  </conditionalFormatting>
  <conditionalFormatting sqref="C149:C150">
    <cfRule type="cellIs" dxfId="17239" priority="640" stopIfTrue="1" operator="equal">
      <formula>"Towel"</formula>
    </cfRule>
    <cfRule type="cellIs" dxfId="17238" priority="641" stopIfTrue="1" operator="equal">
      <formula>"Napkin Hs"</formula>
    </cfRule>
  </conditionalFormatting>
  <conditionalFormatting sqref="C149:C150">
    <cfRule type="cellIs" dxfId="17237" priority="644" stopIfTrue="1" operator="equal">
      <formula>"Towel"</formula>
    </cfRule>
    <cfRule type="cellIs" dxfId="17236" priority="645" stopIfTrue="1" operator="equal">
      <formula>"Napkin Hs"</formula>
    </cfRule>
  </conditionalFormatting>
  <conditionalFormatting sqref="C149:C150">
    <cfRule type="cellIs" dxfId="17235" priority="642" stopIfTrue="1" operator="equal">
      <formula>"Towel"</formula>
    </cfRule>
    <cfRule type="cellIs" dxfId="17234" priority="643" stopIfTrue="1" operator="equal">
      <formula>"Napkin Hs"</formula>
    </cfRule>
  </conditionalFormatting>
  <conditionalFormatting sqref="C149:C150">
    <cfRule type="cellIs" dxfId="17233" priority="634" stopIfTrue="1" operator="equal">
      <formula>"Towel"</formula>
    </cfRule>
    <cfRule type="cellIs" dxfId="17232" priority="635" stopIfTrue="1" operator="equal">
      <formula>"Napkin Hs"</formula>
    </cfRule>
  </conditionalFormatting>
  <conditionalFormatting sqref="C149:C150">
    <cfRule type="cellIs" dxfId="17231" priority="636" stopIfTrue="1" operator="equal">
      <formula>"Towel"</formula>
    </cfRule>
    <cfRule type="cellIs" dxfId="17230" priority="637" stopIfTrue="1" operator="equal">
      <formula>"Napkin Hs"</formula>
    </cfRule>
  </conditionalFormatting>
  <conditionalFormatting sqref="C149:C150">
    <cfRule type="cellIs" dxfId="17229" priority="638" stopIfTrue="1" operator="equal">
      <formula>"Towel"</formula>
    </cfRule>
    <cfRule type="cellIs" dxfId="17228" priority="639" stopIfTrue="1" operator="equal">
      <formula>"Napkin Hs"</formula>
    </cfRule>
  </conditionalFormatting>
  <conditionalFormatting sqref="C149:C150">
    <cfRule type="cellIs" dxfId="17227" priority="632" stopIfTrue="1" operator="equal">
      <formula>"Towel"</formula>
    </cfRule>
    <cfRule type="cellIs" dxfId="17226" priority="633" stopIfTrue="1" operator="equal">
      <formula>"Napkin Hs"</formula>
    </cfRule>
  </conditionalFormatting>
  <conditionalFormatting sqref="C149:C150">
    <cfRule type="cellIs" dxfId="17225" priority="630" stopIfTrue="1" operator="equal">
      <formula>"Towel"</formula>
    </cfRule>
    <cfRule type="cellIs" dxfId="17224" priority="631" stopIfTrue="1" operator="equal">
      <formula>"Napkin Hs"</formula>
    </cfRule>
  </conditionalFormatting>
  <conditionalFormatting sqref="C149:C150">
    <cfRule type="cellIs" dxfId="17223" priority="606" stopIfTrue="1" operator="equal">
      <formula>"Towel"</formula>
    </cfRule>
  </conditionalFormatting>
  <conditionalFormatting sqref="C149:C150">
    <cfRule type="cellIs" dxfId="17222" priority="607" stopIfTrue="1" operator="equal">
      <formula>"Napkin Hs"</formula>
    </cfRule>
    <cfRule type="cellIs" dxfId="17221" priority="612" stopIfTrue="1" operator="equal">
      <formula>"Towel"</formula>
    </cfRule>
    <cfRule type="cellIs" dxfId="17220" priority="613" stopIfTrue="1" operator="equal">
      <formula>"Napkin Hs"</formula>
    </cfRule>
    <cfRule type="cellIs" dxfId="17219" priority="622" stopIfTrue="1" operator="equal">
      <formula>"Towel"</formula>
    </cfRule>
    <cfRule type="cellIs" dxfId="17218" priority="623" stopIfTrue="1" operator="equal">
      <formula>"Napkin Hs"</formula>
    </cfRule>
    <cfRule type="cellIs" dxfId="17217" priority="628" stopIfTrue="1" operator="equal">
      <formula>"Towel"</formula>
    </cfRule>
    <cfRule type="cellIs" dxfId="17216" priority="629" stopIfTrue="1" operator="equal">
      <formula>"Napkin Hs"</formula>
    </cfRule>
  </conditionalFormatting>
  <conditionalFormatting sqref="C149:C150">
    <cfRule type="cellIs" dxfId="17215" priority="608" stopIfTrue="1" operator="equal">
      <formula>"Towel"</formula>
    </cfRule>
    <cfRule type="cellIs" dxfId="17214" priority="609" stopIfTrue="1" operator="equal">
      <formula>"Napkin Hs"</formula>
    </cfRule>
    <cfRule type="cellIs" dxfId="17213" priority="610" stopIfTrue="1" operator="equal">
      <formula>"Towel"</formula>
    </cfRule>
    <cfRule type="cellIs" dxfId="17212" priority="611" stopIfTrue="1" operator="equal">
      <formula>"Napkin Hs"</formula>
    </cfRule>
    <cfRule type="cellIs" dxfId="17211" priority="614" stopIfTrue="1" operator="equal">
      <formula>"Towel"</formula>
    </cfRule>
    <cfRule type="cellIs" dxfId="17210" priority="615" stopIfTrue="1" operator="equal">
      <formula>"Napkin Hs"</formula>
    </cfRule>
    <cfRule type="cellIs" dxfId="17209" priority="616" stopIfTrue="1" operator="equal">
      <formula>"Towel"</formula>
    </cfRule>
    <cfRule type="cellIs" dxfId="17208" priority="617" stopIfTrue="1" operator="equal">
      <formula>"Napkin Hs"</formula>
    </cfRule>
    <cfRule type="cellIs" dxfId="17207" priority="618" stopIfTrue="1" operator="equal">
      <formula>"Towel"</formula>
    </cfRule>
    <cfRule type="cellIs" dxfId="17206" priority="619" stopIfTrue="1" operator="equal">
      <formula>"Napkin Hs"</formula>
    </cfRule>
    <cfRule type="cellIs" dxfId="17205" priority="620" stopIfTrue="1" operator="equal">
      <formula>"Towel"</formula>
    </cfRule>
    <cfRule type="cellIs" dxfId="17204" priority="621" stopIfTrue="1" operator="equal">
      <formula>"Napkin Hs"</formula>
    </cfRule>
    <cfRule type="cellIs" dxfId="17203" priority="624" stopIfTrue="1" operator="equal">
      <formula>"Towel"</formula>
    </cfRule>
    <cfRule type="cellIs" dxfId="17202" priority="625" stopIfTrue="1" operator="equal">
      <formula>"Napkin Hs"</formula>
    </cfRule>
    <cfRule type="cellIs" dxfId="17201" priority="627" stopIfTrue="1" operator="equal">
      <formula>"Napkin Hs"</formula>
    </cfRule>
  </conditionalFormatting>
  <conditionalFormatting sqref="C149:C150">
    <cfRule type="cellIs" dxfId="17200" priority="626" stopIfTrue="1" operator="equal">
      <formula>"Towel"</formula>
    </cfRule>
  </conditionalFormatting>
  <conditionalFormatting sqref="C149:C150">
    <cfRule type="cellIs" dxfId="17199" priority="604" stopIfTrue="1" operator="equal">
      <formula>"Towel"</formula>
    </cfRule>
    <cfRule type="cellIs" dxfId="17198" priority="605" stopIfTrue="1" operator="equal">
      <formula>"Napkin Hs"</formula>
    </cfRule>
  </conditionalFormatting>
  <conditionalFormatting sqref="C149:C150">
    <cfRule type="cellIs" dxfId="17197" priority="603" stopIfTrue="1" operator="equal">
      <formula>"Napkin Hs"</formula>
    </cfRule>
  </conditionalFormatting>
  <conditionalFormatting sqref="C149:C150">
    <cfRule type="cellIs" dxfId="17196" priority="602" stopIfTrue="1" operator="equal">
      <formula>"Towel"</formula>
    </cfRule>
  </conditionalFormatting>
  <conditionalFormatting sqref="C149:C150">
    <cfRule type="cellIs" dxfId="17195" priority="600" stopIfTrue="1" operator="equal">
      <formula>"Towel"</formula>
    </cfRule>
  </conditionalFormatting>
  <conditionalFormatting sqref="C149:C150">
    <cfRule type="cellIs" dxfId="17194" priority="601" stopIfTrue="1" operator="equal">
      <formula>"Napkin Hs"</formula>
    </cfRule>
  </conditionalFormatting>
  <conditionalFormatting sqref="C149:C150">
    <cfRule type="cellIs" dxfId="17193" priority="504" stopIfTrue="1" operator="equal">
      <formula>"Towel"</formula>
    </cfRule>
  </conditionalFormatting>
  <conditionalFormatting sqref="C149:C150">
    <cfRule type="cellIs" dxfId="17192" priority="514" stopIfTrue="1" operator="equal">
      <formula>"Towel"</formula>
    </cfRule>
    <cfRule type="cellIs" dxfId="17191" priority="515" stopIfTrue="1" operator="equal">
      <formula>"Napkin Hs"</formula>
    </cfRule>
    <cfRule type="cellIs" dxfId="17190" priority="520" stopIfTrue="1" operator="equal">
      <formula>"Towel"</formula>
    </cfRule>
    <cfRule type="cellIs" dxfId="17189" priority="521" stopIfTrue="1" operator="equal">
      <formula>"Napkin Hs"</formula>
    </cfRule>
    <cfRule type="cellIs" dxfId="17188" priority="526" stopIfTrue="1" operator="equal">
      <formula>"Towel"</formula>
    </cfRule>
    <cfRule type="cellIs" dxfId="17187" priority="527" stopIfTrue="1" operator="equal">
      <formula>"Napkin Hs"</formula>
    </cfRule>
    <cfRule type="cellIs" dxfId="17186" priority="528" stopIfTrue="1" operator="equal">
      <formula>"Towel"</formula>
    </cfRule>
    <cfRule type="cellIs" dxfId="17185" priority="529" stopIfTrue="1" operator="equal">
      <formula>"Napkin Hs"</formula>
    </cfRule>
    <cfRule type="cellIs" dxfId="17184" priority="534" stopIfTrue="1" operator="equal">
      <formula>"Towel"</formula>
    </cfRule>
    <cfRule type="cellIs" dxfId="17183" priority="535" stopIfTrue="1" operator="equal">
      <formula>"Napkin Hs"</formula>
    </cfRule>
    <cfRule type="cellIs" dxfId="17182" priority="544" stopIfTrue="1" operator="equal">
      <formula>"Towel"</formula>
    </cfRule>
    <cfRule type="cellIs" dxfId="17181" priority="545" stopIfTrue="1" operator="equal">
      <formula>"Napkin Hs"</formula>
    </cfRule>
    <cfRule type="cellIs" dxfId="17180" priority="550" stopIfTrue="1" operator="equal">
      <formula>"Towel"</formula>
    </cfRule>
    <cfRule type="cellIs" dxfId="17179" priority="551" stopIfTrue="1" operator="equal">
      <formula>"Napkin Hs"</formula>
    </cfRule>
    <cfRule type="cellIs" dxfId="17178" priority="552" stopIfTrue="1" operator="equal">
      <formula>"Towel"</formula>
    </cfRule>
    <cfRule type="cellIs" dxfId="17177" priority="553" stopIfTrue="1" operator="equal">
      <formula>"Napkin Hs"</formula>
    </cfRule>
    <cfRule type="cellIs" dxfId="17176" priority="558" stopIfTrue="1" operator="equal">
      <formula>"Towel"</formula>
    </cfRule>
    <cfRule type="cellIs" dxfId="17175" priority="559" stopIfTrue="1" operator="equal">
      <formula>"Napkin Hs"</formula>
    </cfRule>
    <cfRule type="cellIs" dxfId="17174" priority="568" stopIfTrue="1" operator="equal">
      <formula>"Towel"</formula>
    </cfRule>
    <cfRule type="cellIs" dxfId="17173" priority="569" stopIfTrue="1" operator="equal">
      <formula>"Napkin Hs"</formula>
    </cfRule>
    <cfRule type="cellIs" dxfId="17172" priority="570" stopIfTrue="1" operator="equal">
      <formula>"Towel"</formula>
    </cfRule>
    <cfRule type="cellIs" dxfId="17171" priority="571" stopIfTrue="1" operator="equal">
      <formula>"Napkin Hs"</formula>
    </cfRule>
    <cfRule type="cellIs" dxfId="17170" priority="576" stopIfTrue="1" operator="equal">
      <formula>"Towel"</formula>
    </cfRule>
    <cfRule type="cellIs" dxfId="17169" priority="577" stopIfTrue="1" operator="equal">
      <formula>"Napkin Hs"</formula>
    </cfRule>
    <cfRule type="cellIs" dxfId="17168" priority="586" stopIfTrue="1" operator="equal">
      <formula>"Towel"</formula>
    </cfRule>
    <cfRule type="cellIs" dxfId="17167" priority="587" stopIfTrue="1" operator="equal">
      <formula>"Napkin Hs"</formula>
    </cfRule>
    <cfRule type="cellIs" dxfId="17166" priority="588" stopIfTrue="1" operator="equal">
      <formula>"Towel"</formula>
    </cfRule>
    <cfRule type="cellIs" dxfId="17165" priority="589" stopIfTrue="1" operator="equal">
      <formula>"Napkin Hs"</formula>
    </cfRule>
    <cfRule type="cellIs" dxfId="17164" priority="595" stopIfTrue="1" operator="equal">
      <formula>"Napkin Hs"</formula>
    </cfRule>
  </conditionalFormatting>
  <conditionalFormatting sqref="C149:C150">
    <cfRule type="cellIs" dxfId="17163" priority="594" stopIfTrue="1" operator="equal">
      <formula>"Towel"</formula>
    </cfRule>
  </conditionalFormatting>
  <conditionalFormatting sqref="C149:C150">
    <cfRule type="cellIs" dxfId="17162" priority="505" stopIfTrue="1" operator="equal">
      <formula>"Napkin Hs"</formula>
    </cfRule>
    <cfRule type="cellIs" dxfId="17161" priority="506" stopIfTrue="1" operator="equal">
      <formula>"Towel"</formula>
    </cfRule>
    <cfRule type="cellIs" dxfId="17160" priority="507" stopIfTrue="1" operator="equal">
      <formula>"Napkin Hs"</formula>
    </cfRule>
    <cfRule type="cellIs" dxfId="17159" priority="508" stopIfTrue="1" operator="equal">
      <formula>"Towel"</formula>
    </cfRule>
    <cfRule type="cellIs" dxfId="17158" priority="509" stopIfTrue="1" operator="equal">
      <formula>"Napkin Hs"</formula>
    </cfRule>
    <cfRule type="cellIs" dxfId="17157" priority="510" stopIfTrue="1" operator="equal">
      <formula>"Towel"</formula>
    </cfRule>
    <cfRule type="cellIs" dxfId="17156" priority="511" stopIfTrue="1" operator="equal">
      <formula>"Napkin Hs"</formula>
    </cfRule>
    <cfRule type="cellIs" dxfId="17155" priority="512" stopIfTrue="1" operator="equal">
      <formula>"Towel"</formula>
    </cfRule>
    <cfRule type="cellIs" dxfId="17154" priority="513" stopIfTrue="1" operator="equal">
      <formula>"Napkin Hs"</formula>
    </cfRule>
    <cfRule type="cellIs" dxfId="17153" priority="516" stopIfTrue="1" operator="equal">
      <formula>"Towel"</formula>
    </cfRule>
    <cfRule type="cellIs" dxfId="17152" priority="517" stopIfTrue="1" operator="equal">
      <formula>"Napkin Hs"</formula>
    </cfRule>
    <cfRule type="cellIs" dxfId="17151" priority="518" stopIfTrue="1" operator="equal">
      <formula>"Towel"</formula>
    </cfRule>
    <cfRule type="cellIs" dxfId="17150" priority="519" stopIfTrue="1" operator="equal">
      <formula>"Napkin Hs"</formula>
    </cfRule>
    <cfRule type="cellIs" dxfId="17149" priority="522" stopIfTrue="1" operator="equal">
      <formula>"Towel"</formula>
    </cfRule>
    <cfRule type="cellIs" dxfId="17148" priority="523" stopIfTrue="1" operator="equal">
      <formula>"Napkin Hs"</formula>
    </cfRule>
    <cfRule type="cellIs" dxfId="17147" priority="524" stopIfTrue="1" operator="equal">
      <formula>"Towel"</formula>
    </cfRule>
    <cfRule type="cellIs" dxfId="17146" priority="525" stopIfTrue="1" operator="equal">
      <formula>"Napkin Hs"</formula>
    </cfRule>
    <cfRule type="cellIs" dxfId="17145" priority="530" stopIfTrue="1" operator="equal">
      <formula>"Towel"</formula>
    </cfRule>
    <cfRule type="cellIs" dxfId="17144" priority="531" stopIfTrue="1" operator="equal">
      <formula>"Napkin Hs"</formula>
    </cfRule>
    <cfRule type="cellIs" dxfId="17143" priority="532" stopIfTrue="1" operator="equal">
      <formula>"Towel"</formula>
    </cfRule>
    <cfRule type="cellIs" dxfId="17142" priority="533" stopIfTrue="1" operator="equal">
      <formula>"Napkin Hs"</formula>
    </cfRule>
    <cfRule type="cellIs" dxfId="17141" priority="536" stopIfTrue="1" operator="equal">
      <formula>"Towel"</formula>
    </cfRule>
    <cfRule type="cellIs" dxfId="17140" priority="537" stopIfTrue="1" operator="equal">
      <formula>"Napkin Hs"</formula>
    </cfRule>
    <cfRule type="cellIs" dxfId="17139" priority="538" stopIfTrue="1" operator="equal">
      <formula>"Towel"</formula>
    </cfRule>
    <cfRule type="cellIs" dxfId="17138" priority="539" stopIfTrue="1" operator="equal">
      <formula>"Napkin Hs"</formula>
    </cfRule>
    <cfRule type="cellIs" dxfId="17137" priority="540" stopIfTrue="1" operator="equal">
      <formula>"Towel"</formula>
    </cfRule>
    <cfRule type="cellIs" dxfId="17136" priority="541" stopIfTrue="1" operator="equal">
      <formula>"Napkin Hs"</formula>
    </cfRule>
    <cfRule type="cellIs" dxfId="17135" priority="542" stopIfTrue="1" operator="equal">
      <formula>"Towel"</formula>
    </cfRule>
    <cfRule type="cellIs" dxfId="17134" priority="543" stopIfTrue="1" operator="equal">
      <formula>"Napkin Hs"</formula>
    </cfRule>
    <cfRule type="cellIs" dxfId="17133" priority="546" stopIfTrue="1" operator="equal">
      <formula>"Towel"</formula>
    </cfRule>
    <cfRule type="cellIs" dxfId="17132" priority="547" stopIfTrue="1" operator="equal">
      <formula>"Napkin Hs"</formula>
    </cfRule>
    <cfRule type="cellIs" dxfId="17131" priority="548" stopIfTrue="1" operator="equal">
      <formula>"Towel"</formula>
    </cfRule>
    <cfRule type="cellIs" dxfId="17130" priority="549" stopIfTrue="1" operator="equal">
      <formula>"Napkin Hs"</formula>
    </cfRule>
    <cfRule type="cellIs" dxfId="17129" priority="554" stopIfTrue="1" operator="equal">
      <formula>"Towel"</formula>
    </cfRule>
    <cfRule type="cellIs" dxfId="17128" priority="555" stopIfTrue="1" operator="equal">
      <formula>"Napkin Hs"</formula>
    </cfRule>
    <cfRule type="cellIs" dxfId="17127" priority="556" stopIfTrue="1" operator="equal">
      <formula>"Towel"</formula>
    </cfRule>
    <cfRule type="cellIs" dxfId="17126" priority="557" stopIfTrue="1" operator="equal">
      <formula>"Napkin Hs"</formula>
    </cfRule>
    <cfRule type="cellIs" dxfId="17125" priority="560" stopIfTrue="1" operator="equal">
      <formula>"Towel"</formula>
    </cfRule>
    <cfRule type="cellIs" dxfId="17124" priority="561" stopIfTrue="1" operator="equal">
      <formula>"Napkin Hs"</formula>
    </cfRule>
    <cfRule type="cellIs" dxfId="17123" priority="562" stopIfTrue="1" operator="equal">
      <formula>"Towel"</formula>
    </cfRule>
    <cfRule type="cellIs" dxfId="17122" priority="563" stopIfTrue="1" operator="equal">
      <formula>"Napkin Hs"</formula>
    </cfRule>
    <cfRule type="cellIs" dxfId="17121" priority="564" stopIfTrue="1" operator="equal">
      <formula>"Towel"</formula>
    </cfRule>
    <cfRule type="cellIs" dxfId="17120" priority="565" stopIfTrue="1" operator="equal">
      <formula>"Napkin Hs"</formula>
    </cfRule>
    <cfRule type="cellIs" dxfId="17119" priority="566" stopIfTrue="1" operator="equal">
      <formula>"Towel"</formula>
    </cfRule>
    <cfRule type="cellIs" dxfId="17118" priority="567" stopIfTrue="1" operator="equal">
      <formula>"Napkin Hs"</formula>
    </cfRule>
    <cfRule type="cellIs" dxfId="17117" priority="572" stopIfTrue="1" operator="equal">
      <formula>"Towel"</formula>
    </cfRule>
    <cfRule type="cellIs" dxfId="17116" priority="573" stopIfTrue="1" operator="equal">
      <formula>"Napkin Hs"</formula>
    </cfRule>
    <cfRule type="cellIs" dxfId="17115" priority="574" stopIfTrue="1" operator="equal">
      <formula>"Towel"</formula>
    </cfRule>
    <cfRule type="cellIs" dxfId="17114" priority="575" stopIfTrue="1" operator="equal">
      <formula>"Napkin Hs"</formula>
    </cfRule>
    <cfRule type="cellIs" dxfId="17113" priority="578" stopIfTrue="1" operator="equal">
      <formula>"Towel"</formula>
    </cfRule>
    <cfRule type="cellIs" dxfId="17112" priority="579" stopIfTrue="1" operator="equal">
      <formula>"Napkin Hs"</formula>
    </cfRule>
    <cfRule type="cellIs" dxfId="17111" priority="580" stopIfTrue="1" operator="equal">
      <formula>"Towel"</formula>
    </cfRule>
    <cfRule type="cellIs" dxfId="17110" priority="581" stopIfTrue="1" operator="equal">
      <formula>"Napkin Hs"</formula>
    </cfRule>
    <cfRule type="cellIs" dxfId="17109" priority="582" stopIfTrue="1" operator="equal">
      <formula>"Towel"</formula>
    </cfRule>
    <cfRule type="cellIs" dxfId="17108" priority="583" stopIfTrue="1" operator="equal">
      <formula>"Napkin Hs"</formula>
    </cfRule>
    <cfRule type="cellIs" dxfId="17107" priority="584" stopIfTrue="1" operator="equal">
      <formula>"Towel"</formula>
    </cfRule>
    <cfRule type="cellIs" dxfId="17106" priority="585" stopIfTrue="1" operator="equal">
      <formula>"Napkin Hs"</formula>
    </cfRule>
    <cfRule type="cellIs" dxfId="17105" priority="590" stopIfTrue="1" operator="equal">
      <formula>"Towel"</formula>
    </cfRule>
    <cfRule type="cellIs" dxfId="17104" priority="591" stopIfTrue="1" operator="equal">
      <formula>"Napkin Hs"</formula>
    </cfRule>
    <cfRule type="cellIs" dxfId="17103" priority="592" stopIfTrue="1" operator="equal">
      <formula>"Towel"</formula>
    </cfRule>
    <cfRule type="cellIs" dxfId="17102" priority="593" stopIfTrue="1" operator="equal">
      <formula>"Napkin Hs"</formula>
    </cfRule>
    <cfRule type="cellIs" dxfId="17101" priority="596" stopIfTrue="1" operator="equal">
      <formula>"Towel"</formula>
    </cfRule>
    <cfRule type="cellIs" dxfId="17100" priority="597" stopIfTrue="1" operator="equal">
      <formula>"Napkin Hs"</formula>
    </cfRule>
    <cfRule type="cellIs" dxfId="17099" priority="598" stopIfTrue="1" operator="equal">
      <formula>"Towel"</formula>
    </cfRule>
    <cfRule type="cellIs" dxfId="17098" priority="599" stopIfTrue="1" operator="equal">
      <formula>"Napkin Hs"</formula>
    </cfRule>
  </conditionalFormatting>
  <conditionalFormatting sqref="C149:C150">
    <cfRule type="cellIs" dxfId="17097" priority="503" stopIfTrue="1" operator="equal">
      <formula>"Napkin Hs"</formula>
    </cfRule>
  </conditionalFormatting>
  <conditionalFormatting sqref="C149:C150">
    <cfRule type="cellIs" dxfId="17096" priority="502" stopIfTrue="1" operator="equal">
      <formula>"Napkin Hs"</formula>
    </cfRule>
  </conditionalFormatting>
  <conditionalFormatting sqref="C149:C150">
    <cfRule type="cellIs" dxfId="17095" priority="501" stopIfTrue="1" operator="equal">
      <formula>"Napkin Hs"</formula>
    </cfRule>
  </conditionalFormatting>
  <conditionalFormatting sqref="C149:C150">
    <cfRule type="cellIs" dxfId="17094" priority="500" stopIfTrue="1" operator="equal">
      <formula>"Napkin Hs"</formula>
    </cfRule>
  </conditionalFormatting>
  <conditionalFormatting sqref="C149:C150">
    <cfRule type="cellIs" dxfId="17093" priority="499" stopIfTrue="1" operator="equal">
      <formula>"Napkin Hs"</formula>
    </cfRule>
  </conditionalFormatting>
  <conditionalFormatting sqref="C149:C150">
    <cfRule type="cellIs" dxfId="17092" priority="498" stopIfTrue="1" operator="equal">
      <formula>"Napkin Hs"</formula>
    </cfRule>
  </conditionalFormatting>
  <conditionalFormatting sqref="C149:C150">
    <cfRule type="cellIs" dxfId="17091" priority="494" stopIfTrue="1" operator="equal">
      <formula>"Towel"</formula>
    </cfRule>
    <cfRule type="cellIs" dxfId="17090" priority="495" stopIfTrue="1" operator="equal">
      <formula>"Napkin Hs"</formula>
    </cfRule>
  </conditionalFormatting>
  <conditionalFormatting sqref="C149:C150">
    <cfRule type="cellIs" dxfId="17089" priority="496" stopIfTrue="1" operator="equal">
      <formula>"Towel"</formula>
    </cfRule>
    <cfRule type="cellIs" dxfId="17088" priority="497" stopIfTrue="1" operator="equal">
      <formula>"Napkin Hs"</formula>
    </cfRule>
  </conditionalFormatting>
  <conditionalFormatting sqref="C149:C150">
    <cfRule type="cellIs" dxfId="17087" priority="490" stopIfTrue="1" operator="equal">
      <formula>"Towel"</formula>
    </cfRule>
    <cfRule type="cellIs" dxfId="17086" priority="491" stopIfTrue="1" operator="equal">
      <formula>"Napkin Hs"</formula>
    </cfRule>
  </conditionalFormatting>
  <conditionalFormatting sqref="C149:C150">
    <cfRule type="cellIs" dxfId="17085" priority="492" stopIfTrue="1" operator="equal">
      <formula>"Towel"</formula>
    </cfRule>
    <cfRule type="cellIs" dxfId="17084" priority="493" stopIfTrue="1" operator="equal">
      <formula>"Napkin Hs"</formula>
    </cfRule>
  </conditionalFormatting>
  <conditionalFormatting sqref="B149:B150">
    <cfRule type="cellIs" dxfId="17083" priority="489" stopIfTrue="1" operator="equal">
      <formula>"Napkin Hs"</formula>
    </cfRule>
  </conditionalFormatting>
  <conditionalFormatting sqref="B149:B150">
    <cfRule type="cellIs" dxfId="17082" priority="488" stopIfTrue="1" operator="equal">
      <formula>"Napkin Hs"</formula>
    </cfRule>
  </conditionalFormatting>
  <conditionalFormatting sqref="B149:B150">
    <cfRule type="cellIs" dxfId="17081" priority="487" stopIfTrue="1" operator="equal">
      <formula>"Napkin Hs"</formula>
    </cfRule>
  </conditionalFormatting>
  <conditionalFormatting sqref="B147:C147">
    <cfRule type="cellIs" dxfId="17080" priority="485" stopIfTrue="1" operator="equal">
      <formula>"Towel"</formula>
    </cfRule>
    <cfRule type="cellIs" dxfId="17079" priority="486" stopIfTrue="1" operator="equal">
      <formula>"Napkin Hs"</formula>
    </cfRule>
  </conditionalFormatting>
  <conditionalFormatting sqref="C147">
    <cfRule type="cellIs" dxfId="17078" priority="481" stopIfTrue="1" operator="equal">
      <formula>"Towel"</formula>
    </cfRule>
    <cfRule type="cellIs" dxfId="17077" priority="482" stopIfTrue="1" operator="equal">
      <formula>"Napkin Hs"</formula>
    </cfRule>
  </conditionalFormatting>
  <conditionalFormatting sqref="C147">
    <cfRule type="cellIs" dxfId="17076" priority="483" stopIfTrue="1" operator="equal">
      <formula>"Towel"</formula>
    </cfRule>
    <cfRule type="cellIs" dxfId="17075" priority="484" stopIfTrue="1" operator="equal">
      <formula>"Napkin Hs"</formula>
    </cfRule>
  </conditionalFormatting>
  <conditionalFormatting sqref="B147:C147">
    <cfRule type="cellIs" dxfId="17074" priority="479" stopIfTrue="1" operator="equal">
      <formula>"Towel"</formula>
    </cfRule>
    <cfRule type="cellIs" dxfId="17073" priority="480" stopIfTrue="1" operator="equal">
      <formula>"Napkin Hs"</formula>
    </cfRule>
  </conditionalFormatting>
  <conditionalFormatting sqref="C147">
    <cfRule type="cellIs" dxfId="17072" priority="477" stopIfTrue="1" operator="equal">
      <formula>"Towel"</formula>
    </cfRule>
    <cfRule type="cellIs" dxfId="17071" priority="478" stopIfTrue="1" operator="equal">
      <formula>"Napkin Hs"</formula>
    </cfRule>
  </conditionalFormatting>
  <conditionalFormatting sqref="C147">
    <cfRule type="cellIs" dxfId="17070" priority="475" stopIfTrue="1" operator="equal">
      <formula>"Towel"</formula>
    </cfRule>
    <cfRule type="cellIs" dxfId="17069" priority="476" stopIfTrue="1" operator="equal">
      <formula>"Napkin Hs"</formula>
    </cfRule>
  </conditionalFormatting>
  <conditionalFormatting sqref="C147">
    <cfRule type="cellIs" dxfId="17068" priority="467" stopIfTrue="1" operator="equal">
      <formula>"Towel"</formula>
    </cfRule>
    <cfRule type="cellIs" dxfId="17067" priority="468" stopIfTrue="1" operator="equal">
      <formula>"Napkin Hs"</formula>
    </cfRule>
  </conditionalFormatting>
  <conditionalFormatting sqref="B147:C147">
    <cfRule type="cellIs" dxfId="17066" priority="469" stopIfTrue="1" operator="equal">
      <formula>"Towel"</formula>
    </cfRule>
    <cfRule type="cellIs" dxfId="17065" priority="470" stopIfTrue="1" operator="equal">
      <formula>"Napkin Hs"</formula>
    </cfRule>
  </conditionalFormatting>
  <conditionalFormatting sqref="C147">
    <cfRule type="cellIs" dxfId="17064" priority="465" stopIfTrue="1" operator="equal">
      <formula>"Towel"</formula>
    </cfRule>
    <cfRule type="cellIs" dxfId="17063" priority="466" stopIfTrue="1" operator="equal">
      <formula>"Napkin Hs"</formula>
    </cfRule>
  </conditionalFormatting>
  <conditionalFormatting sqref="B147:C147">
    <cfRule type="cellIs" dxfId="17062" priority="463" stopIfTrue="1" operator="equal">
      <formula>"Towel"</formula>
    </cfRule>
    <cfRule type="cellIs" dxfId="17061" priority="464" stopIfTrue="1" operator="equal">
      <formula>"Napkin Hs"</formula>
    </cfRule>
  </conditionalFormatting>
  <conditionalFormatting sqref="C147">
    <cfRule type="cellIs" dxfId="17060" priority="471" stopIfTrue="1" operator="equal">
      <formula>"Towel"</formula>
    </cfRule>
    <cfRule type="cellIs" dxfId="17059" priority="472" stopIfTrue="1" operator="equal">
      <formula>"Napkin Hs"</formula>
    </cfRule>
  </conditionalFormatting>
  <conditionalFormatting sqref="C147">
    <cfRule type="cellIs" dxfId="17058" priority="473" stopIfTrue="1" operator="equal">
      <formula>"Towel"</formula>
    </cfRule>
    <cfRule type="cellIs" dxfId="17057" priority="474" stopIfTrue="1" operator="equal">
      <formula>"Napkin Hs"</formula>
    </cfRule>
  </conditionalFormatting>
  <conditionalFormatting sqref="B147:C147">
    <cfRule type="cellIs" dxfId="17056" priority="461" stopIfTrue="1" operator="equal">
      <formula>"Towel"</formula>
    </cfRule>
    <cfRule type="cellIs" dxfId="17055" priority="462" stopIfTrue="1" operator="equal">
      <formula>"Napkin Hs"</formula>
    </cfRule>
  </conditionalFormatting>
  <conditionalFormatting sqref="C147">
    <cfRule type="cellIs" dxfId="17054" priority="457" stopIfTrue="1" operator="equal">
      <formula>"Towel"</formula>
    </cfRule>
    <cfRule type="cellIs" dxfId="17053" priority="458" stopIfTrue="1" operator="equal">
      <formula>"Napkin Hs"</formula>
    </cfRule>
  </conditionalFormatting>
  <conditionalFormatting sqref="C147">
    <cfRule type="cellIs" dxfId="17052" priority="459" stopIfTrue="1" operator="equal">
      <formula>"Towel"</formula>
    </cfRule>
    <cfRule type="cellIs" dxfId="17051" priority="460" stopIfTrue="1" operator="equal">
      <formula>"Napkin Hs"</formula>
    </cfRule>
  </conditionalFormatting>
  <conditionalFormatting sqref="B147:C147">
    <cfRule type="cellIs" dxfId="17050" priority="455" stopIfTrue="1" operator="equal">
      <formula>"Towel"</formula>
    </cfRule>
    <cfRule type="cellIs" dxfId="17049" priority="456" stopIfTrue="1" operator="equal">
      <formula>"Napkin Hs"</formula>
    </cfRule>
  </conditionalFormatting>
  <conditionalFormatting sqref="C147">
    <cfRule type="cellIs" dxfId="17048" priority="453" stopIfTrue="1" operator="equal">
      <formula>"Towel"</formula>
    </cfRule>
    <cfRule type="cellIs" dxfId="17047" priority="454" stopIfTrue="1" operator="equal">
      <formula>"Napkin Hs"</formula>
    </cfRule>
  </conditionalFormatting>
  <conditionalFormatting sqref="C147">
    <cfRule type="cellIs" dxfId="17046" priority="451" stopIfTrue="1" operator="equal">
      <formula>"Towel"</formula>
    </cfRule>
    <cfRule type="cellIs" dxfId="17045" priority="452" stopIfTrue="1" operator="equal">
      <formula>"Napkin Hs"</formula>
    </cfRule>
  </conditionalFormatting>
  <conditionalFormatting sqref="C147">
    <cfRule type="cellIs" dxfId="17044" priority="443" stopIfTrue="1" operator="equal">
      <formula>"Towel"</formula>
    </cfRule>
    <cfRule type="cellIs" dxfId="17043" priority="444" stopIfTrue="1" operator="equal">
      <formula>"Napkin Hs"</formula>
    </cfRule>
  </conditionalFormatting>
  <conditionalFormatting sqref="B147:C147">
    <cfRule type="cellIs" dxfId="17042" priority="445" stopIfTrue="1" operator="equal">
      <formula>"Towel"</formula>
    </cfRule>
    <cfRule type="cellIs" dxfId="17041" priority="446" stopIfTrue="1" operator="equal">
      <formula>"Napkin Hs"</formula>
    </cfRule>
  </conditionalFormatting>
  <conditionalFormatting sqref="C147">
    <cfRule type="cellIs" dxfId="17040" priority="441" stopIfTrue="1" operator="equal">
      <formula>"Towel"</formula>
    </cfRule>
    <cfRule type="cellIs" dxfId="17039" priority="442" stopIfTrue="1" operator="equal">
      <formula>"Napkin Hs"</formula>
    </cfRule>
  </conditionalFormatting>
  <conditionalFormatting sqref="B147:C147">
    <cfRule type="cellIs" dxfId="17038" priority="439" stopIfTrue="1" operator="equal">
      <formula>"Towel"</formula>
    </cfRule>
    <cfRule type="cellIs" dxfId="17037" priority="440" stopIfTrue="1" operator="equal">
      <formula>"Napkin Hs"</formula>
    </cfRule>
  </conditionalFormatting>
  <conditionalFormatting sqref="C147">
    <cfRule type="cellIs" dxfId="17036" priority="447" stopIfTrue="1" operator="equal">
      <formula>"Towel"</formula>
    </cfRule>
    <cfRule type="cellIs" dxfId="17035" priority="448" stopIfTrue="1" operator="equal">
      <formula>"Napkin Hs"</formula>
    </cfRule>
  </conditionalFormatting>
  <conditionalFormatting sqref="C147">
    <cfRule type="cellIs" dxfId="17034" priority="449" stopIfTrue="1" operator="equal">
      <formula>"Towel"</formula>
    </cfRule>
    <cfRule type="cellIs" dxfId="17033" priority="450" stopIfTrue="1" operator="equal">
      <formula>"Napkin Hs"</formula>
    </cfRule>
  </conditionalFormatting>
  <conditionalFormatting sqref="B147:C147">
    <cfRule type="cellIs" dxfId="17032" priority="437" stopIfTrue="1" operator="equal">
      <formula>"Towel"</formula>
    </cfRule>
    <cfRule type="cellIs" dxfId="17031" priority="438" stopIfTrue="1" operator="equal">
      <formula>"Napkin Hs"</formula>
    </cfRule>
  </conditionalFormatting>
  <conditionalFormatting sqref="C147">
    <cfRule type="cellIs" dxfId="17030" priority="433" stopIfTrue="1" operator="equal">
      <formula>"Towel"</formula>
    </cfRule>
    <cfRule type="cellIs" dxfId="17029" priority="434" stopIfTrue="1" operator="equal">
      <formula>"Napkin Hs"</formula>
    </cfRule>
  </conditionalFormatting>
  <conditionalFormatting sqref="C147">
    <cfRule type="cellIs" dxfId="17028" priority="435" stopIfTrue="1" operator="equal">
      <formula>"Towel"</formula>
    </cfRule>
    <cfRule type="cellIs" dxfId="17027" priority="436" stopIfTrue="1" operator="equal">
      <formula>"Napkin Hs"</formula>
    </cfRule>
  </conditionalFormatting>
  <conditionalFormatting sqref="B147:C147">
    <cfRule type="cellIs" dxfId="17026" priority="431" stopIfTrue="1" operator="equal">
      <formula>"Towel"</formula>
    </cfRule>
    <cfRule type="cellIs" dxfId="17025" priority="432" stopIfTrue="1" operator="equal">
      <formula>"Napkin Hs"</formula>
    </cfRule>
  </conditionalFormatting>
  <conditionalFormatting sqref="C147">
    <cfRule type="cellIs" dxfId="17024" priority="429" stopIfTrue="1" operator="equal">
      <formula>"Towel"</formula>
    </cfRule>
    <cfRule type="cellIs" dxfId="17023" priority="430" stopIfTrue="1" operator="equal">
      <formula>"Napkin Hs"</formula>
    </cfRule>
  </conditionalFormatting>
  <conditionalFormatting sqref="C147">
    <cfRule type="cellIs" dxfId="17022" priority="427" stopIfTrue="1" operator="equal">
      <formula>"Towel"</formula>
    </cfRule>
    <cfRule type="cellIs" dxfId="17021" priority="428" stopIfTrue="1" operator="equal">
      <formula>"Napkin Hs"</formula>
    </cfRule>
  </conditionalFormatting>
  <conditionalFormatting sqref="C147">
    <cfRule type="cellIs" dxfId="17020" priority="419" stopIfTrue="1" operator="equal">
      <formula>"Towel"</formula>
    </cfRule>
    <cfRule type="cellIs" dxfId="17019" priority="420" stopIfTrue="1" operator="equal">
      <formula>"Napkin Hs"</formula>
    </cfRule>
  </conditionalFormatting>
  <conditionalFormatting sqref="B147:C147">
    <cfRule type="cellIs" dxfId="17018" priority="421" stopIfTrue="1" operator="equal">
      <formula>"Towel"</formula>
    </cfRule>
    <cfRule type="cellIs" dxfId="17017" priority="422" stopIfTrue="1" operator="equal">
      <formula>"Napkin Hs"</formula>
    </cfRule>
  </conditionalFormatting>
  <conditionalFormatting sqref="C147">
    <cfRule type="cellIs" dxfId="17016" priority="417" stopIfTrue="1" operator="equal">
      <formula>"Towel"</formula>
    </cfRule>
    <cfRule type="cellIs" dxfId="17015" priority="418" stopIfTrue="1" operator="equal">
      <formula>"Napkin Hs"</formula>
    </cfRule>
  </conditionalFormatting>
  <conditionalFormatting sqref="B147:C147">
    <cfRule type="cellIs" dxfId="17014" priority="415" stopIfTrue="1" operator="equal">
      <formula>"Towel"</formula>
    </cfRule>
    <cfRule type="cellIs" dxfId="17013" priority="416" stopIfTrue="1" operator="equal">
      <formula>"Napkin Hs"</formula>
    </cfRule>
  </conditionalFormatting>
  <conditionalFormatting sqref="C147">
    <cfRule type="cellIs" dxfId="17012" priority="423" stopIfTrue="1" operator="equal">
      <formula>"Towel"</formula>
    </cfRule>
    <cfRule type="cellIs" dxfId="17011" priority="424" stopIfTrue="1" operator="equal">
      <formula>"Napkin Hs"</formula>
    </cfRule>
  </conditionalFormatting>
  <conditionalFormatting sqref="C147">
    <cfRule type="cellIs" dxfId="17010" priority="425" stopIfTrue="1" operator="equal">
      <formula>"Towel"</formula>
    </cfRule>
    <cfRule type="cellIs" dxfId="17009" priority="426" stopIfTrue="1" operator="equal">
      <formula>"Napkin Hs"</formula>
    </cfRule>
  </conditionalFormatting>
  <conditionalFormatting sqref="C147">
    <cfRule type="cellIs" dxfId="17008" priority="413" stopIfTrue="1" operator="equal">
      <formula>"Towel"</formula>
    </cfRule>
    <cfRule type="cellIs" dxfId="17007" priority="414" stopIfTrue="1" operator="equal">
      <formula>"Napkin Hs"</formula>
    </cfRule>
  </conditionalFormatting>
  <conditionalFormatting sqref="C147">
    <cfRule type="cellIs" dxfId="17006" priority="409" stopIfTrue="1" operator="equal">
      <formula>"Towel"</formula>
    </cfRule>
    <cfRule type="cellIs" dxfId="17005" priority="410" stopIfTrue="1" operator="equal">
      <formula>"Napkin Hs"</formula>
    </cfRule>
  </conditionalFormatting>
  <conditionalFormatting sqref="C147">
    <cfRule type="cellIs" dxfId="17004" priority="411" stopIfTrue="1" operator="equal">
      <formula>"Towel"</formula>
    </cfRule>
    <cfRule type="cellIs" dxfId="17003" priority="412" stopIfTrue="1" operator="equal">
      <formula>"Napkin Hs"</formula>
    </cfRule>
  </conditionalFormatting>
  <conditionalFormatting sqref="C147">
    <cfRule type="cellIs" dxfId="17002" priority="405" stopIfTrue="1" operator="equal">
      <formula>"Towel"</formula>
    </cfRule>
    <cfRule type="cellIs" dxfId="17001" priority="406" stopIfTrue="1" operator="equal">
      <formula>"Napkin Hs"</formula>
    </cfRule>
  </conditionalFormatting>
  <conditionalFormatting sqref="C147">
    <cfRule type="cellIs" dxfId="17000" priority="407" stopIfTrue="1" operator="equal">
      <formula>"Towel"</formula>
    </cfRule>
    <cfRule type="cellIs" dxfId="16999" priority="408" stopIfTrue="1" operator="equal">
      <formula>"Napkin Hs"</formula>
    </cfRule>
  </conditionalFormatting>
  <conditionalFormatting sqref="C147">
    <cfRule type="cellIs" dxfId="16998" priority="403" stopIfTrue="1" operator="equal">
      <formula>"Towel"</formula>
    </cfRule>
    <cfRule type="cellIs" dxfId="16997" priority="404" stopIfTrue="1" operator="equal">
      <formula>"Napkin Hs"</formula>
    </cfRule>
  </conditionalFormatting>
  <conditionalFormatting sqref="C147">
    <cfRule type="cellIs" dxfId="16996" priority="397" stopIfTrue="1" operator="equal">
      <formula>"Towel"</formula>
    </cfRule>
    <cfRule type="cellIs" dxfId="16995" priority="398" stopIfTrue="1" operator="equal">
      <formula>"Napkin Hs"</formula>
    </cfRule>
  </conditionalFormatting>
  <conditionalFormatting sqref="C147">
    <cfRule type="cellIs" dxfId="16994" priority="401" stopIfTrue="1" operator="equal">
      <formula>"Towel"</formula>
    </cfRule>
    <cfRule type="cellIs" dxfId="16993" priority="402" stopIfTrue="1" operator="equal">
      <formula>"Napkin Hs"</formula>
    </cfRule>
  </conditionalFormatting>
  <conditionalFormatting sqref="C147">
    <cfRule type="cellIs" dxfId="16992" priority="399" stopIfTrue="1" operator="equal">
      <formula>"Towel"</formula>
    </cfRule>
    <cfRule type="cellIs" dxfId="16991" priority="400" stopIfTrue="1" operator="equal">
      <formula>"Napkin Hs"</formula>
    </cfRule>
  </conditionalFormatting>
  <conditionalFormatting sqref="C147">
    <cfRule type="cellIs" dxfId="16990" priority="391" stopIfTrue="1" operator="equal">
      <formula>"Towel"</formula>
    </cfRule>
    <cfRule type="cellIs" dxfId="16989" priority="392" stopIfTrue="1" operator="equal">
      <formula>"Napkin Hs"</formula>
    </cfRule>
  </conditionalFormatting>
  <conditionalFormatting sqref="C147">
    <cfRule type="cellIs" dxfId="16988" priority="393" stopIfTrue="1" operator="equal">
      <formula>"Towel"</formula>
    </cfRule>
    <cfRule type="cellIs" dxfId="16987" priority="394" stopIfTrue="1" operator="equal">
      <formula>"Napkin Hs"</formula>
    </cfRule>
  </conditionalFormatting>
  <conditionalFormatting sqref="C147">
    <cfRule type="cellIs" dxfId="16986" priority="395" stopIfTrue="1" operator="equal">
      <formula>"Towel"</formula>
    </cfRule>
    <cfRule type="cellIs" dxfId="16985" priority="396" stopIfTrue="1" operator="equal">
      <formula>"Napkin Hs"</formula>
    </cfRule>
  </conditionalFormatting>
  <conditionalFormatting sqref="C147">
    <cfRule type="cellIs" dxfId="16984" priority="389" stopIfTrue="1" operator="equal">
      <formula>"Towel"</formula>
    </cfRule>
    <cfRule type="cellIs" dxfId="16983" priority="390" stopIfTrue="1" operator="equal">
      <formula>"Napkin Hs"</formula>
    </cfRule>
  </conditionalFormatting>
  <conditionalFormatting sqref="C147">
    <cfRule type="cellIs" dxfId="16982" priority="387" stopIfTrue="1" operator="equal">
      <formula>"Towel"</formula>
    </cfRule>
    <cfRule type="cellIs" dxfId="16981" priority="388" stopIfTrue="1" operator="equal">
      <formula>"Napkin Hs"</formula>
    </cfRule>
  </conditionalFormatting>
  <conditionalFormatting sqref="C147">
    <cfRule type="cellIs" dxfId="16980" priority="363" stopIfTrue="1" operator="equal">
      <formula>"Towel"</formula>
    </cfRule>
  </conditionalFormatting>
  <conditionalFormatting sqref="C147">
    <cfRule type="cellIs" dxfId="16979" priority="364" stopIfTrue="1" operator="equal">
      <formula>"Napkin Hs"</formula>
    </cfRule>
    <cfRule type="cellIs" dxfId="16978" priority="369" stopIfTrue="1" operator="equal">
      <formula>"Towel"</formula>
    </cfRule>
    <cfRule type="cellIs" dxfId="16977" priority="370" stopIfTrue="1" operator="equal">
      <formula>"Napkin Hs"</formula>
    </cfRule>
    <cfRule type="cellIs" dxfId="16976" priority="379" stopIfTrue="1" operator="equal">
      <formula>"Towel"</formula>
    </cfRule>
    <cfRule type="cellIs" dxfId="16975" priority="380" stopIfTrue="1" operator="equal">
      <formula>"Napkin Hs"</formula>
    </cfRule>
    <cfRule type="cellIs" dxfId="16974" priority="385" stopIfTrue="1" operator="equal">
      <formula>"Towel"</formula>
    </cfRule>
    <cfRule type="cellIs" dxfId="16973" priority="386" stopIfTrue="1" operator="equal">
      <formula>"Napkin Hs"</formula>
    </cfRule>
  </conditionalFormatting>
  <conditionalFormatting sqref="C147">
    <cfRule type="cellIs" dxfId="16972" priority="365" stopIfTrue="1" operator="equal">
      <formula>"Towel"</formula>
    </cfRule>
    <cfRule type="cellIs" dxfId="16971" priority="366" stopIfTrue="1" operator="equal">
      <formula>"Napkin Hs"</formula>
    </cfRule>
    <cfRule type="cellIs" dxfId="16970" priority="367" stopIfTrue="1" operator="equal">
      <formula>"Towel"</formula>
    </cfRule>
    <cfRule type="cellIs" dxfId="16969" priority="368" stopIfTrue="1" operator="equal">
      <formula>"Napkin Hs"</formula>
    </cfRule>
    <cfRule type="cellIs" dxfId="16968" priority="371" stopIfTrue="1" operator="equal">
      <formula>"Towel"</formula>
    </cfRule>
    <cfRule type="cellIs" dxfId="16967" priority="372" stopIfTrue="1" operator="equal">
      <formula>"Napkin Hs"</formula>
    </cfRule>
    <cfRule type="cellIs" dxfId="16966" priority="373" stopIfTrue="1" operator="equal">
      <formula>"Towel"</formula>
    </cfRule>
    <cfRule type="cellIs" dxfId="16965" priority="374" stopIfTrue="1" operator="equal">
      <formula>"Napkin Hs"</formula>
    </cfRule>
    <cfRule type="cellIs" dxfId="16964" priority="375" stopIfTrue="1" operator="equal">
      <formula>"Towel"</formula>
    </cfRule>
    <cfRule type="cellIs" dxfId="16963" priority="376" stopIfTrue="1" operator="equal">
      <formula>"Napkin Hs"</formula>
    </cfRule>
    <cfRule type="cellIs" dxfId="16962" priority="377" stopIfTrue="1" operator="equal">
      <formula>"Towel"</formula>
    </cfRule>
    <cfRule type="cellIs" dxfId="16961" priority="378" stopIfTrue="1" operator="equal">
      <formula>"Napkin Hs"</formula>
    </cfRule>
    <cfRule type="cellIs" dxfId="16960" priority="381" stopIfTrue="1" operator="equal">
      <formula>"Towel"</formula>
    </cfRule>
    <cfRule type="cellIs" dxfId="16959" priority="382" stopIfTrue="1" operator="equal">
      <formula>"Napkin Hs"</formula>
    </cfRule>
    <cfRule type="cellIs" dxfId="16958" priority="384" stopIfTrue="1" operator="equal">
      <formula>"Napkin Hs"</formula>
    </cfRule>
  </conditionalFormatting>
  <conditionalFormatting sqref="C147">
    <cfRule type="cellIs" dxfId="16957" priority="383" stopIfTrue="1" operator="equal">
      <formula>"Towel"</formula>
    </cfRule>
  </conditionalFormatting>
  <conditionalFormatting sqref="C147">
    <cfRule type="cellIs" dxfId="16956" priority="361" stopIfTrue="1" operator="equal">
      <formula>"Towel"</formula>
    </cfRule>
    <cfRule type="cellIs" dxfId="16955" priority="362" stopIfTrue="1" operator="equal">
      <formula>"Napkin Hs"</formula>
    </cfRule>
  </conditionalFormatting>
  <conditionalFormatting sqref="C147">
    <cfRule type="cellIs" dxfId="16954" priority="360" stopIfTrue="1" operator="equal">
      <formula>"Napkin Hs"</formula>
    </cfRule>
  </conditionalFormatting>
  <conditionalFormatting sqref="C147">
    <cfRule type="cellIs" dxfId="16953" priority="359" stopIfTrue="1" operator="equal">
      <formula>"Towel"</formula>
    </cfRule>
  </conditionalFormatting>
  <conditionalFormatting sqref="C147">
    <cfRule type="cellIs" dxfId="16952" priority="357" stopIfTrue="1" operator="equal">
      <formula>"Towel"</formula>
    </cfRule>
  </conditionalFormatting>
  <conditionalFormatting sqref="C147">
    <cfRule type="cellIs" dxfId="16951" priority="358" stopIfTrue="1" operator="equal">
      <formula>"Napkin Hs"</formula>
    </cfRule>
  </conditionalFormatting>
  <conditionalFormatting sqref="C147">
    <cfRule type="cellIs" dxfId="16950" priority="261" stopIfTrue="1" operator="equal">
      <formula>"Towel"</formula>
    </cfRule>
  </conditionalFormatting>
  <conditionalFormatting sqref="C147">
    <cfRule type="cellIs" dxfId="16949" priority="271" stopIfTrue="1" operator="equal">
      <formula>"Towel"</formula>
    </cfRule>
    <cfRule type="cellIs" dxfId="16948" priority="272" stopIfTrue="1" operator="equal">
      <formula>"Napkin Hs"</formula>
    </cfRule>
    <cfRule type="cellIs" dxfId="16947" priority="277" stopIfTrue="1" operator="equal">
      <formula>"Towel"</formula>
    </cfRule>
    <cfRule type="cellIs" dxfId="16946" priority="278" stopIfTrue="1" operator="equal">
      <formula>"Napkin Hs"</formula>
    </cfRule>
    <cfRule type="cellIs" dxfId="16945" priority="283" stopIfTrue="1" operator="equal">
      <formula>"Towel"</formula>
    </cfRule>
    <cfRule type="cellIs" dxfId="16944" priority="284" stopIfTrue="1" operator="equal">
      <formula>"Napkin Hs"</formula>
    </cfRule>
    <cfRule type="cellIs" dxfId="16943" priority="285" stopIfTrue="1" operator="equal">
      <formula>"Towel"</formula>
    </cfRule>
    <cfRule type="cellIs" dxfId="16942" priority="286" stopIfTrue="1" operator="equal">
      <formula>"Napkin Hs"</formula>
    </cfRule>
    <cfRule type="cellIs" dxfId="16941" priority="291" stopIfTrue="1" operator="equal">
      <formula>"Towel"</formula>
    </cfRule>
    <cfRule type="cellIs" dxfId="16940" priority="292" stopIfTrue="1" operator="equal">
      <formula>"Napkin Hs"</formula>
    </cfRule>
    <cfRule type="cellIs" dxfId="16939" priority="301" stopIfTrue="1" operator="equal">
      <formula>"Towel"</formula>
    </cfRule>
    <cfRule type="cellIs" dxfId="16938" priority="302" stopIfTrue="1" operator="equal">
      <formula>"Napkin Hs"</formula>
    </cfRule>
    <cfRule type="cellIs" dxfId="16937" priority="307" stopIfTrue="1" operator="equal">
      <formula>"Towel"</formula>
    </cfRule>
    <cfRule type="cellIs" dxfId="16936" priority="308" stopIfTrue="1" operator="equal">
      <formula>"Napkin Hs"</formula>
    </cfRule>
    <cfRule type="cellIs" dxfId="16935" priority="309" stopIfTrue="1" operator="equal">
      <formula>"Towel"</formula>
    </cfRule>
    <cfRule type="cellIs" dxfId="16934" priority="310" stopIfTrue="1" operator="equal">
      <formula>"Napkin Hs"</formula>
    </cfRule>
    <cfRule type="cellIs" dxfId="16933" priority="315" stopIfTrue="1" operator="equal">
      <formula>"Towel"</formula>
    </cfRule>
    <cfRule type="cellIs" dxfId="16932" priority="316" stopIfTrue="1" operator="equal">
      <formula>"Napkin Hs"</formula>
    </cfRule>
    <cfRule type="cellIs" dxfId="16931" priority="325" stopIfTrue="1" operator="equal">
      <formula>"Towel"</formula>
    </cfRule>
    <cfRule type="cellIs" dxfId="16930" priority="326" stopIfTrue="1" operator="equal">
      <formula>"Napkin Hs"</formula>
    </cfRule>
    <cfRule type="cellIs" dxfId="16929" priority="327" stopIfTrue="1" operator="equal">
      <formula>"Towel"</formula>
    </cfRule>
    <cfRule type="cellIs" dxfId="16928" priority="328" stopIfTrue="1" operator="equal">
      <formula>"Napkin Hs"</formula>
    </cfRule>
    <cfRule type="cellIs" dxfId="16927" priority="333" stopIfTrue="1" operator="equal">
      <formula>"Towel"</formula>
    </cfRule>
    <cfRule type="cellIs" dxfId="16926" priority="334" stopIfTrue="1" operator="equal">
      <formula>"Napkin Hs"</formula>
    </cfRule>
    <cfRule type="cellIs" dxfId="16925" priority="343" stopIfTrue="1" operator="equal">
      <formula>"Towel"</formula>
    </cfRule>
    <cfRule type="cellIs" dxfId="16924" priority="344" stopIfTrue="1" operator="equal">
      <formula>"Napkin Hs"</formula>
    </cfRule>
    <cfRule type="cellIs" dxfId="16923" priority="345" stopIfTrue="1" operator="equal">
      <formula>"Towel"</formula>
    </cfRule>
    <cfRule type="cellIs" dxfId="16922" priority="346" stopIfTrue="1" operator="equal">
      <formula>"Napkin Hs"</formula>
    </cfRule>
    <cfRule type="cellIs" dxfId="16921" priority="352" stopIfTrue="1" operator="equal">
      <formula>"Napkin Hs"</formula>
    </cfRule>
  </conditionalFormatting>
  <conditionalFormatting sqref="C147">
    <cfRule type="cellIs" dxfId="16920" priority="351" stopIfTrue="1" operator="equal">
      <formula>"Towel"</formula>
    </cfRule>
  </conditionalFormatting>
  <conditionalFormatting sqref="C147">
    <cfRule type="cellIs" dxfId="16919" priority="262" stopIfTrue="1" operator="equal">
      <formula>"Napkin Hs"</formula>
    </cfRule>
    <cfRule type="cellIs" dxfId="16918" priority="263" stopIfTrue="1" operator="equal">
      <formula>"Towel"</formula>
    </cfRule>
    <cfRule type="cellIs" dxfId="16917" priority="264" stopIfTrue="1" operator="equal">
      <formula>"Napkin Hs"</formula>
    </cfRule>
    <cfRule type="cellIs" dxfId="16916" priority="265" stopIfTrue="1" operator="equal">
      <formula>"Towel"</formula>
    </cfRule>
    <cfRule type="cellIs" dxfId="16915" priority="266" stopIfTrue="1" operator="equal">
      <formula>"Napkin Hs"</formula>
    </cfRule>
    <cfRule type="cellIs" dxfId="16914" priority="267" stopIfTrue="1" operator="equal">
      <formula>"Towel"</formula>
    </cfRule>
    <cfRule type="cellIs" dxfId="16913" priority="268" stopIfTrue="1" operator="equal">
      <formula>"Napkin Hs"</formula>
    </cfRule>
    <cfRule type="cellIs" dxfId="16912" priority="269" stopIfTrue="1" operator="equal">
      <formula>"Towel"</formula>
    </cfRule>
    <cfRule type="cellIs" dxfId="16911" priority="270" stopIfTrue="1" operator="equal">
      <formula>"Napkin Hs"</formula>
    </cfRule>
    <cfRule type="cellIs" dxfId="16910" priority="273" stopIfTrue="1" operator="equal">
      <formula>"Towel"</formula>
    </cfRule>
    <cfRule type="cellIs" dxfId="16909" priority="274" stopIfTrue="1" operator="equal">
      <formula>"Napkin Hs"</formula>
    </cfRule>
    <cfRule type="cellIs" dxfId="16908" priority="275" stopIfTrue="1" operator="equal">
      <formula>"Towel"</formula>
    </cfRule>
    <cfRule type="cellIs" dxfId="16907" priority="276" stopIfTrue="1" operator="equal">
      <formula>"Napkin Hs"</formula>
    </cfRule>
    <cfRule type="cellIs" dxfId="16906" priority="279" stopIfTrue="1" operator="equal">
      <formula>"Towel"</formula>
    </cfRule>
    <cfRule type="cellIs" dxfId="16905" priority="280" stopIfTrue="1" operator="equal">
      <formula>"Napkin Hs"</formula>
    </cfRule>
    <cfRule type="cellIs" dxfId="16904" priority="281" stopIfTrue="1" operator="equal">
      <formula>"Towel"</formula>
    </cfRule>
    <cfRule type="cellIs" dxfId="16903" priority="282" stopIfTrue="1" operator="equal">
      <formula>"Napkin Hs"</formula>
    </cfRule>
    <cfRule type="cellIs" dxfId="16902" priority="287" stopIfTrue="1" operator="equal">
      <formula>"Towel"</formula>
    </cfRule>
    <cfRule type="cellIs" dxfId="16901" priority="288" stopIfTrue="1" operator="equal">
      <formula>"Napkin Hs"</formula>
    </cfRule>
    <cfRule type="cellIs" dxfId="16900" priority="289" stopIfTrue="1" operator="equal">
      <formula>"Towel"</formula>
    </cfRule>
    <cfRule type="cellIs" dxfId="16899" priority="290" stopIfTrue="1" operator="equal">
      <formula>"Napkin Hs"</formula>
    </cfRule>
    <cfRule type="cellIs" dxfId="16898" priority="293" stopIfTrue="1" operator="equal">
      <formula>"Towel"</formula>
    </cfRule>
    <cfRule type="cellIs" dxfId="16897" priority="294" stopIfTrue="1" operator="equal">
      <formula>"Napkin Hs"</formula>
    </cfRule>
    <cfRule type="cellIs" dxfId="16896" priority="295" stopIfTrue="1" operator="equal">
      <formula>"Towel"</formula>
    </cfRule>
    <cfRule type="cellIs" dxfId="16895" priority="296" stopIfTrue="1" operator="equal">
      <formula>"Napkin Hs"</formula>
    </cfRule>
    <cfRule type="cellIs" dxfId="16894" priority="297" stopIfTrue="1" operator="equal">
      <formula>"Towel"</formula>
    </cfRule>
    <cfRule type="cellIs" dxfId="16893" priority="298" stopIfTrue="1" operator="equal">
      <formula>"Napkin Hs"</formula>
    </cfRule>
    <cfRule type="cellIs" dxfId="16892" priority="299" stopIfTrue="1" operator="equal">
      <formula>"Towel"</formula>
    </cfRule>
    <cfRule type="cellIs" dxfId="16891" priority="300" stopIfTrue="1" operator="equal">
      <formula>"Napkin Hs"</formula>
    </cfRule>
    <cfRule type="cellIs" dxfId="16890" priority="303" stopIfTrue="1" operator="equal">
      <formula>"Towel"</formula>
    </cfRule>
    <cfRule type="cellIs" dxfId="16889" priority="304" stopIfTrue="1" operator="equal">
      <formula>"Napkin Hs"</formula>
    </cfRule>
    <cfRule type="cellIs" dxfId="16888" priority="305" stopIfTrue="1" operator="equal">
      <formula>"Towel"</formula>
    </cfRule>
    <cfRule type="cellIs" dxfId="16887" priority="306" stopIfTrue="1" operator="equal">
      <formula>"Napkin Hs"</formula>
    </cfRule>
    <cfRule type="cellIs" dxfId="16886" priority="311" stopIfTrue="1" operator="equal">
      <formula>"Towel"</formula>
    </cfRule>
    <cfRule type="cellIs" dxfId="16885" priority="312" stopIfTrue="1" operator="equal">
      <formula>"Napkin Hs"</formula>
    </cfRule>
    <cfRule type="cellIs" dxfId="16884" priority="313" stopIfTrue="1" operator="equal">
      <formula>"Towel"</formula>
    </cfRule>
    <cfRule type="cellIs" dxfId="16883" priority="314" stopIfTrue="1" operator="equal">
      <formula>"Napkin Hs"</formula>
    </cfRule>
    <cfRule type="cellIs" dxfId="16882" priority="317" stopIfTrue="1" operator="equal">
      <formula>"Towel"</formula>
    </cfRule>
    <cfRule type="cellIs" dxfId="16881" priority="318" stopIfTrue="1" operator="equal">
      <formula>"Napkin Hs"</formula>
    </cfRule>
    <cfRule type="cellIs" dxfId="16880" priority="319" stopIfTrue="1" operator="equal">
      <formula>"Towel"</formula>
    </cfRule>
    <cfRule type="cellIs" dxfId="16879" priority="320" stopIfTrue="1" operator="equal">
      <formula>"Napkin Hs"</formula>
    </cfRule>
    <cfRule type="cellIs" dxfId="16878" priority="321" stopIfTrue="1" operator="equal">
      <formula>"Towel"</formula>
    </cfRule>
    <cfRule type="cellIs" dxfId="16877" priority="322" stopIfTrue="1" operator="equal">
      <formula>"Napkin Hs"</formula>
    </cfRule>
    <cfRule type="cellIs" dxfId="16876" priority="323" stopIfTrue="1" operator="equal">
      <formula>"Towel"</formula>
    </cfRule>
    <cfRule type="cellIs" dxfId="16875" priority="324" stopIfTrue="1" operator="equal">
      <formula>"Napkin Hs"</formula>
    </cfRule>
    <cfRule type="cellIs" dxfId="16874" priority="329" stopIfTrue="1" operator="equal">
      <formula>"Towel"</formula>
    </cfRule>
    <cfRule type="cellIs" dxfId="16873" priority="330" stopIfTrue="1" operator="equal">
      <formula>"Napkin Hs"</formula>
    </cfRule>
    <cfRule type="cellIs" dxfId="16872" priority="331" stopIfTrue="1" operator="equal">
      <formula>"Towel"</formula>
    </cfRule>
    <cfRule type="cellIs" dxfId="16871" priority="332" stopIfTrue="1" operator="equal">
      <formula>"Napkin Hs"</formula>
    </cfRule>
    <cfRule type="cellIs" dxfId="16870" priority="335" stopIfTrue="1" operator="equal">
      <formula>"Towel"</formula>
    </cfRule>
    <cfRule type="cellIs" dxfId="16869" priority="336" stopIfTrue="1" operator="equal">
      <formula>"Napkin Hs"</formula>
    </cfRule>
    <cfRule type="cellIs" dxfId="16868" priority="337" stopIfTrue="1" operator="equal">
      <formula>"Towel"</formula>
    </cfRule>
    <cfRule type="cellIs" dxfId="16867" priority="338" stopIfTrue="1" operator="equal">
      <formula>"Napkin Hs"</formula>
    </cfRule>
    <cfRule type="cellIs" dxfId="16866" priority="339" stopIfTrue="1" operator="equal">
      <formula>"Towel"</formula>
    </cfRule>
    <cfRule type="cellIs" dxfId="16865" priority="340" stopIfTrue="1" operator="equal">
      <formula>"Napkin Hs"</formula>
    </cfRule>
    <cfRule type="cellIs" dxfId="16864" priority="341" stopIfTrue="1" operator="equal">
      <formula>"Towel"</formula>
    </cfRule>
    <cfRule type="cellIs" dxfId="16863" priority="342" stopIfTrue="1" operator="equal">
      <formula>"Napkin Hs"</formula>
    </cfRule>
    <cfRule type="cellIs" dxfId="16862" priority="347" stopIfTrue="1" operator="equal">
      <formula>"Towel"</formula>
    </cfRule>
    <cfRule type="cellIs" dxfId="16861" priority="348" stopIfTrue="1" operator="equal">
      <formula>"Napkin Hs"</formula>
    </cfRule>
    <cfRule type="cellIs" dxfId="16860" priority="349" stopIfTrue="1" operator="equal">
      <formula>"Towel"</formula>
    </cfRule>
    <cfRule type="cellIs" dxfId="16859" priority="350" stopIfTrue="1" operator="equal">
      <formula>"Napkin Hs"</formula>
    </cfRule>
    <cfRule type="cellIs" dxfId="16858" priority="353" stopIfTrue="1" operator="equal">
      <formula>"Towel"</formula>
    </cfRule>
    <cfRule type="cellIs" dxfId="16857" priority="354" stopIfTrue="1" operator="equal">
      <formula>"Napkin Hs"</formula>
    </cfRule>
    <cfRule type="cellIs" dxfId="16856" priority="355" stopIfTrue="1" operator="equal">
      <formula>"Towel"</formula>
    </cfRule>
    <cfRule type="cellIs" dxfId="16855" priority="356" stopIfTrue="1" operator="equal">
      <formula>"Napkin Hs"</formula>
    </cfRule>
  </conditionalFormatting>
  <conditionalFormatting sqref="C147">
    <cfRule type="cellIs" dxfId="16854" priority="260" stopIfTrue="1" operator="equal">
      <formula>"Napkin Hs"</formula>
    </cfRule>
  </conditionalFormatting>
  <conditionalFormatting sqref="C147">
    <cfRule type="cellIs" dxfId="16853" priority="259" stopIfTrue="1" operator="equal">
      <formula>"Napkin Hs"</formula>
    </cfRule>
  </conditionalFormatting>
  <conditionalFormatting sqref="C147">
    <cfRule type="cellIs" dxfId="16852" priority="258" stopIfTrue="1" operator="equal">
      <formula>"Napkin Hs"</formula>
    </cfRule>
  </conditionalFormatting>
  <conditionalFormatting sqref="C147">
    <cfRule type="cellIs" dxfId="16851" priority="257" stopIfTrue="1" operator="equal">
      <formula>"Napkin Hs"</formula>
    </cfRule>
  </conditionalFormatting>
  <conditionalFormatting sqref="C147">
    <cfRule type="cellIs" dxfId="16850" priority="256" stopIfTrue="1" operator="equal">
      <formula>"Napkin Hs"</formula>
    </cfRule>
  </conditionalFormatting>
  <conditionalFormatting sqref="C147">
    <cfRule type="cellIs" dxfId="16849" priority="255" stopIfTrue="1" operator="equal">
      <formula>"Napkin Hs"</formula>
    </cfRule>
  </conditionalFormatting>
  <conditionalFormatting sqref="C147">
    <cfRule type="cellIs" dxfId="16848" priority="251" stopIfTrue="1" operator="equal">
      <formula>"Towel"</formula>
    </cfRule>
    <cfRule type="cellIs" dxfId="16847" priority="252" stopIfTrue="1" operator="equal">
      <formula>"Napkin Hs"</formula>
    </cfRule>
  </conditionalFormatting>
  <conditionalFormatting sqref="C147">
    <cfRule type="cellIs" dxfId="16846" priority="253" stopIfTrue="1" operator="equal">
      <formula>"Towel"</formula>
    </cfRule>
    <cfRule type="cellIs" dxfId="16845" priority="254" stopIfTrue="1" operator="equal">
      <formula>"Napkin Hs"</formula>
    </cfRule>
  </conditionalFormatting>
  <conditionalFormatting sqref="C147">
    <cfRule type="cellIs" dxfId="16844" priority="247" stopIfTrue="1" operator="equal">
      <formula>"Towel"</formula>
    </cfRule>
    <cfRule type="cellIs" dxfId="16843" priority="248" stopIfTrue="1" operator="equal">
      <formula>"Napkin Hs"</formula>
    </cfRule>
  </conditionalFormatting>
  <conditionalFormatting sqref="C147">
    <cfRule type="cellIs" dxfId="16842" priority="249" stopIfTrue="1" operator="equal">
      <formula>"Towel"</formula>
    </cfRule>
    <cfRule type="cellIs" dxfId="16841" priority="250" stopIfTrue="1" operator="equal">
      <formula>"Napkin Hs"</formula>
    </cfRule>
  </conditionalFormatting>
  <conditionalFormatting sqref="B147">
    <cfRule type="cellIs" dxfId="16840" priority="246" stopIfTrue="1" operator="equal">
      <formula>"Napkin Hs"</formula>
    </cfRule>
  </conditionalFormatting>
  <conditionalFormatting sqref="B147">
    <cfRule type="cellIs" dxfId="16839" priority="245" stopIfTrue="1" operator="equal">
      <formula>"Napkin Hs"</formula>
    </cfRule>
  </conditionalFormatting>
  <conditionalFormatting sqref="B147">
    <cfRule type="cellIs" dxfId="16838" priority="244" stopIfTrue="1" operator="equal">
      <formula>"Napkin Hs"</formula>
    </cfRule>
  </conditionalFormatting>
  <conditionalFormatting sqref="B148:C148">
    <cfRule type="cellIs" dxfId="16837" priority="242" stopIfTrue="1" operator="equal">
      <formula>"Towel"</formula>
    </cfRule>
    <cfRule type="cellIs" dxfId="16836" priority="243" stopIfTrue="1" operator="equal">
      <formula>"Napkin Hs"</formula>
    </cfRule>
  </conditionalFormatting>
  <conditionalFormatting sqref="C148">
    <cfRule type="cellIs" dxfId="16835" priority="238" stopIfTrue="1" operator="equal">
      <formula>"Towel"</formula>
    </cfRule>
    <cfRule type="cellIs" dxfId="16834" priority="239" stopIfTrue="1" operator="equal">
      <formula>"Napkin Hs"</formula>
    </cfRule>
  </conditionalFormatting>
  <conditionalFormatting sqref="C148">
    <cfRule type="cellIs" dxfId="16833" priority="240" stopIfTrue="1" operator="equal">
      <formula>"Towel"</formula>
    </cfRule>
    <cfRule type="cellIs" dxfId="16832" priority="241" stopIfTrue="1" operator="equal">
      <formula>"Napkin Hs"</formula>
    </cfRule>
  </conditionalFormatting>
  <conditionalFormatting sqref="B148:C148">
    <cfRule type="cellIs" dxfId="16831" priority="236" stopIfTrue="1" operator="equal">
      <formula>"Towel"</formula>
    </cfRule>
    <cfRule type="cellIs" dxfId="16830" priority="237" stopIfTrue="1" operator="equal">
      <formula>"Napkin Hs"</formula>
    </cfRule>
  </conditionalFormatting>
  <conditionalFormatting sqref="C148">
    <cfRule type="cellIs" dxfId="16829" priority="234" stopIfTrue="1" operator="equal">
      <formula>"Towel"</formula>
    </cfRule>
    <cfRule type="cellIs" dxfId="16828" priority="235" stopIfTrue="1" operator="equal">
      <formula>"Napkin Hs"</formula>
    </cfRule>
  </conditionalFormatting>
  <conditionalFormatting sqref="C148">
    <cfRule type="cellIs" dxfId="16827" priority="232" stopIfTrue="1" operator="equal">
      <formula>"Towel"</formula>
    </cfRule>
    <cfRule type="cellIs" dxfId="16826" priority="233" stopIfTrue="1" operator="equal">
      <formula>"Napkin Hs"</formula>
    </cfRule>
  </conditionalFormatting>
  <conditionalFormatting sqref="C148">
    <cfRule type="cellIs" dxfId="16825" priority="224" stopIfTrue="1" operator="equal">
      <formula>"Towel"</formula>
    </cfRule>
    <cfRule type="cellIs" dxfId="16824" priority="225" stopIfTrue="1" operator="equal">
      <formula>"Napkin Hs"</formula>
    </cfRule>
  </conditionalFormatting>
  <conditionalFormatting sqref="B148:C148">
    <cfRule type="cellIs" dxfId="16823" priority="226" stopIfTrue="1" operator="equal">
      <formula>"Towel"</formula>
    </cfRule>
    <cfRule type="cellIs" dxfId="16822" priority="227" stopIfTrue="1" operator="equal">
      <formula>"Napkin Hs"</formula>
    </cfRule>
  </conditionalFormatting>
  <conditionalFormatting sqref="C148">
    <cfRule type="cellIs" dxfId="16821" priority="222" stopIfTrue="1" operator="equal">
      <formula>"Towel"</formula>
    </cfRule>
    <cfRule type="cellIs" dxfId="16820" priority="223" stopIfTrue="1" operator="equal">
      <formula>"Napkin Hs"</formula>
    </cfRule>
  </conditionalFormatting>
  <conditionalFormatting sqref="B148:C148">
    <cfRule type="cellIs" dxfId="16819" priority="220" stopIfTrue="1" operator="equal">
      <formula>"Towel"</formula>
    </cfRule>
    <cfRule type="cellIs" dxfId="16818" priority="221" stopIfTrue="1" operator="equal">
      <formula>"Napkin Hs"</formula>
    </cfRule>
  </conditionalFormatting>
  <conditionalFormatting sqref="C148">
    <cfRule type="cellIs" dxfId="16817" priority="228" stopIfTrue="1" operator="equal">
      <formula>"Towel"</formula>
    </cfRule>
    <cfRule type="cellIs" dxfId="16816" priority="229" stopIfTrue="1" operator="equal">
      <formula>"Napkin Hs"</formula>
    </cfRule>
  </conditionalFormatting>
  <conditionalFormatting sqref="C148">
    <cfRule type="cellIs" dxfId="16815" priority="230" stopIfTrue="1" operator="equal">
      <formula>"Towel"</formula>
    </cfRule>
    <cfRule type="cellIs" dxfId="16814" priority="231" stopIfTrue="1" operator="equal">
      <formula>"Napkin Hs"</formula>
    </cfRule>
  </conditionalFormatting>
  <conditionalFormatting sqref="B148:C148">
    <cfRule type="cellIs" dxfId="16813" priority="218" stopIfTrue="1" operator="equal">
      <formula>"Towel"</formula>
    </cfRule>
    <cfRule type="cellIs" dxfId="16812" priority="219" stopIfTrue="1" operator="equal">
      <formula>"Napkin Hs"</formula>
    </cfRule>
  </conditionalFormatting>
  <conditionalFormatting sqref="C148">
    <cfRule type="cellIs" dxfId="16811" priority="214" stopIfTrue="1" operator="equal">
      <formula>"Towel"</formula>
    </cfRule>
    <cfRule type="cellIs" dxfId="16810" priority="215" stopIfTrue="1" operator="equal">
      <formula>"Napkin Hs"</formula>
    </cfRule>
  </conditionalFormatting>
  <conditionalFormatting sqref="C148">
    <cfRule type="cellIs" dxfId="16809" priority="216" stopIfTrue="1" operator="equal">
      <formula>"Towel"</formula>
    </cfRule>
    <cfRule type="cellIs" dxfId="16808" priority="217" stopIfTrue="1" operator="equal">
      <formula>"Napkin Hs"</formula>
    </cfRule>
  </conditionalFormatting>
  <conditionalFormatting sqref="B148:C148">
    <cfRule type="cellIs" dxfId="16807" priority="212" stopIfTrue="1" operator="equal">
      <formula>"Towel"</formula>
    </cfRule>
    <cfRule type="cellIs" dxfId="16806" priority="213" stopIfTrue="1" operator="equal">
      <formula>"Napkin Hs"</formula>
    </cfRule>
  </conditionalFormatting>
  <conditionalFormatting sqref="C148">
    <cfRule type="cellIs" dxfId="16805" priority="210" stopIfTrue="1" operator="equal">
      <formula>"Towel"</formula>
    </cfRule>
    <cfRule type="cellIs" dxfId="16804" priority="211" stopIfTrue="1" operator="equal">
      <formula>"Napkin Hs"</formula>
    </cfRule>
  </conditionalFormatting>
  <conditionalFormatting sqref="C148">
    <cfRule type="cellIs" dxfId="16803" priority="208" stopIfTrue="1" operator="equal">
      <formula>"Towel"</formula>
    </cfRule>
    <cfRule type="cellIs" dxfId="16802" priority="209" stopIfTrue="1" operator="equal">
      <formula>"Napkin Hs"</formula>
    </cfRule>
  </conditionalFormatting>
  <conditionalFormatting sqref="C148">
    <cfRule type="cellIs" dxfId="16801" priority="200" stopIfTrue="1" operator="equal">
      <formula>"Towel"</formula>
    </cfRule>
    <cfRule type="cellIs" dxfId="16800" priority="201" stopIfTrue="1" operator="equal">
      <formula>"Napkin Hs"</formula>
    </cfRule>
  </conditionalFormatting>
  <conditionalFormatting sqref="B148:C148">
    <cfRule type="cellIs" dxfId="16799" priority="202" stopIfTrue="1" operator="equal">
      <formula>"Towel"</formula>
    </cfRule>
    <cfRule type="cellIs" dxfId="16798" priority="203" stopIfTrue="1" operator="equal">
      <formula>"Napkin Hs"</formula>
    </cfRule>
  </conditionalFormatting>
  <conditionalFormatting sqref="C148">
    <cfRule type="cellIs" dxfId="16797" priority="198" stopIfTrue="1" operator="equal">
      <formula>"Towel"</formula>
    </cfRule>
    <cfRule type="cellIs" dxfId="16796" priority="199" stopIfTrue="1" operator="equal">
      <formula>"Napkin Hs"</formula>
    </cfRule>
  </conditionalFormatting>
  <conditionalFormatting sqref="B148:C148">
    <cfRule type="cellIs" dxfId="16795" priority="196" stopIfTrue="1" operator="equal">
      <formula>"Towel"</formula>
    </cfRule>
    <cfRule type="cellIs" dxfId="16794" priority="197" stopIfTrue="1" operator="equal">
      <formula>"Napkin Hs"</formula>
    </cfRule>
  </conditionalFormatting>
  <conditionalFormatting sqref="C148">
    <cfRule type="cellIs" dxfId="16793" priority="204" stopIfTrue="1" operator="equal">
      <formula>"Towel"</formula>
    </cfRule>
    <cfRule type="cellIs" dxfId="16792" priority="205" stopIfTrue="1" operator="equal">
      <formula>"Napkin Hs"</formula>
    </cfRule>
  </conditionalFormatting>
  <conditionalFormatting sqref="C148">
    <cfRule type="cellIs" dxfId="16791" priority="206" stopIfTrue="1" operator="equal">
      <formula>"Towel"</formula>
    </cfRule>
    <cfRule type="cellIs" dxfId="16790" priority="207" stopIfTrue="1" operator="equal">
      <formula>"Napkin Hs"</formula>
    </cfRule>
  </conditionalFormatting>
  <conditionalFormatting sqref="B148:C148">
    <cfRule type="cellIs" dxfId="16789" priority="194" stopIfTrue="1" operator="equal">
      <formula>"Towel"</formula>
    </cfRule>
    <cfRule type="cellIs" dxfId="16788" priority="195" stopIfTrue="1" operator="equal">
      <formula>"Napkin Hs"</formula>
    </cfRule>
  </conditionalFormatting>
  <conditionalFormatting sqref="C148">
    <cfRule type="cellIs" dxfId="16787" priority="190" stopIfTrue="1" operator="equal">
      <formula>"Towel"</formula>
    </cfRule>
    <cfRule type="cellIs" dxfId="16786" priority="191" stopIfTrue="1" operator="equal">
      <formula>"Napkin Hs"</formula>
    </cfRule>
  </conditionalFormatting>
  <conditionalFormatting sqref="C148">
    <cfRule type="cellIs" dxfId="16785" priority="192" stopIfTrue="1" operator="equal">
      <formula>"Towel"</formula>
    </cfRule>
    <cfRule type="cellIs" dxfId="16784" priority="193" stopIfTrue="1" operator="equal">
      <formula>"Napkin Hs"</formula>
    </cfRule>
  </conditionalFormatting>
  <conditionalFormatting sqref="B148:C148">
    <cfRule type="cellIs" dxfId="16783" priority="188" stopIfTrue="1" operator="equal">
      <formula>"Towel"</formula>
    </cfRule>
    <cfRule type="cellIs" dxfId="16782" priority="189" stopIfTrue="1" operator="equal">
      <formula>"Napkin Hs"</formula>
    </cfRule>
  </conditionalFormatting>
  <conditionalFormatting sqref="C148">
    <cfRule type="cellIs" dxfId="16781" priority="186" stopIfTrue="1" operator="equal">
      <formula>"Towel"</formula>
    </cfRule>
    <cfRule type="cellIs" dxfId="16780" priority="187" stopIfTrue="1" operator="equal">
      <formula>"Napkin Hs"</formula>
    </cfRule>
  </conditionalFormatting>
  <conditionalFormatting sqref="C148">
    <cfRule type="cellIs" dxfId="16779" priority="184" stopIfTrue="1" operator="equal">
      <formula>"Towel"</formula>
    </cfRule>
    <cfRule type="cellIs" dxfId="16778" priority="185" stopIfTrue="1" operator="equal">
      <formula>"Napkin Hs"</formula>
    </cfRule>
  </conditionalFormatting>
  <conditionalFormatting sqref="C148">
    <cfRule type="cellIs" dxfId="16777" priority="176" stopIfTrue="1" operator="equal">
      <formula>"Towel"</formula>
    </cfRule>
    <cfRule type="cellIs" dxfId="16776" priority="177" stopIfTrue="1" operator="equal">
      <formula>"Napkin Hs"</formula>
    </cfRule>
  </conditionalFormatting>
  <conditionalFormatting sqref="B148:C148">
    <cfRule type="cellIs" dxfId="16775" priority="178" stopIfTrue="1" operator="equal">
      <formula>"Towel"</formula>
    </cfRule>
    <cfRule type="cellIs" dxfId="16774" priority="179" stopIfTrue="1" operator="equal">
      <formula>"Napkin Hs"</formula>
    </cfRule>
  </conditionalFormatting>
  <conditionalFormatting sqref="C148">
    <cfRule type="cellIs" dxfId="16773" priority="174" stopIfTrue="1" operator="equal">
      <formula>"Towel"</formula>
    </cfRule>
    <cfRule type="cellIs" dxfId="16772" priority="175" stopIfTrue="1" operator="equal">
      <formula>"Napkin Hs"</formula>
    </cfRule>
  </conditionalFormatting>
  <conditionalFormatting sqref="B148:C148">
    <cfRule type="cellIs" dxfId="16771" priority="172" stopIfTrue="1" operator="equal">
      <formula>"Towel"</formula>
    </cfRule>
    <cfRule type="cellIs" dxfId="16770" priority="173" stopIfTrue="1" operator="equal">
      <formula>"Napkin Hs"</formula>
    </cfRule>
  </conditionalFormatting>
  <conditionalFormatting sqref="C148">
    <cfRule type="cellIs" dxfId="16769" priority="180" stopIfTrue="1" operator="equal">
      <formula>"Towel"</formula>
    </cfRule>
    <cfRule type="cellIs" dxfId="16768" priority="181" stopIfTrue="1" operator="equal">
      <formula>"Napkin Hs"</formula>
    </cfRule>
  </conditionalFormatting>
  <conditionalFormatting sqref="C148">
    <cfRule type="cellIs" dxfId="16767" priority="182" stopIfTrue="1" operator="equal">
      <formula>"Towel"</formula>
    </cfRule>
    <cfRule type="cellIs" dxfId="16766" priority="183" stopIfTrue="1" operator="equal">
      <formula>"Napkin Hs"</formula>
    </cfRule>
  </conditionalFormatting>
  <conditionalFormatting sqref="C148">
    <cfRule type="cellIs" dxfId="16765" priority="170" stopIfTrue="1" operator="equal">
      <formula>"Towel"</formula>
    </cfRule>
    <cfRule type="cellIs" dxfId="16764" priority="171" stopIfTrue="1" operator="equal">
      <formula>"Napkin Hs"</formula>
    </cfRule>
  </conditionalFormatting>
  <conditionalFormatting sqref="C148">
    <cfRule type="cellIs" dxfId="16763" priority="166" stopIfTrue="1" operator="equal">
      <formula>"Towel"</formula>
    </cfRule>
    <cfRule type="cellIs" dxfId="16762" priority="167" stopIfTrue="1" operator="equal">
      <formula>"Napkin Hs"</formula>
    </cfRule>
  </conditionalFormatting>
  <conditionalFormatting sqref="C148">
    <cfRule type="cellIs" dxfId="16761" priority="168" stopIfTrue="1" operator="equal">
      <formula>"Towel"</formula>
    </cfRule>
    <cfRule type="cellIs" dxfId="16760" priority="169" stopIfTrue="1" operator="equal">
      <formula>"Napkin Hs"</formula>
    </cfRule>
  </conditionalFormatting>
  <conditionalFormatting sqref="C148">
    <cfRule type="cellIs" dxfId="16759" priority="162" stopIfTrue="1" operator="equal">
      <formula>"Towel"</formula>
    </cfRule>
    <cfRule type="cellIs" dxfId="16758" priority="163" stopIfTrue="1" operator="equal">
      <formula>"Napkin Hs"</formula>
    </cfRule>
  </conditionalFormatting>
  <conditionalFormatting sqref="C148">
    <cfRule type="cellIs" dxfId="16757" priority="164" stopIfTrue="1" operator="equal">
      <formula>"Towel"</formula>
    </cfRule>
    <cfRule type="cellIs" dxfId="16756" priority="165" stopIfTrue="1" operator="equal">
      <formula>"Napkin Hs"</formula>
    </cfRule>
  </conditionalFormatting>
  <conditionalFormatting sqref="C148">
    <cfRule type="cellIs" dxfId="16755" priority="160" stopIfTrue="1" operator="equal">
      <formula>"Towel"</formula>
    </cfRule>
    <cfRule type="cellIs" dxfId="16754" priority="161" stopIfTrue="1" operator="equal">
      <formula>"Napkin Hs"</formula>
    </cfRule>
  </conditionalFormatting>
  <conditionalFormatting sqref="C148">
    <cfRule type="cellIs" dxfId="16753" priority="154" stopIfTrue="1" operator="equal">
      <formula>"Towel"</formula>
    </cfRule>
    <cfRule type="cellIs" dxfId="16752" priority="155" stopIfTrue="1" operator="equal">
      <formula>"Napkin Hs"</formula>
    </cfRule>
  </conditionalFormatting>
  <conditionalFormatting sqref="C148">
    <cfRule type="cellIs" dxfId="16751" priority="158" stopIfTrue="1" operator="equal">
      <formula>"Towel"</formula>
    </cfRule>
    <cfRule type="cellIs" dxfId="16750" priority="159" stopIfTrue="1" operator="equal">
      <formula>"Napkin Hs"</formula>
    </cfRule>
  </conditionalFormatting>
  <conditionalFormatting sqref="C148">
    <cfRule type="cellIs" dxfId="16749" priority="156" stopIfTrue="1" operator="equal">
      <formula>"Towel"</formula>
    </cfRule>
    <cfRule type="cellIs" dxfId="16748" priority="157" stopIfTrue="1" operator="equal">
      <formula>"Napkin Hs"</formula>
    </cfRule>
  </conditionalFormatting>
  <conditionalFormatting sqref="C148">
    <cfRule type="cellIs" dxfId="16747" priority="148" stopIfTrue="1" operator="equal">
      <formula>"Towel"</formula>
    </cfRule>
    <cfRule type="cellIs" dxfId="16746" priority="149" stopIfTrue="1" operator="equal">
      <formula>"Napkin Hs"</formula>
    </cfRule>
  </conditionalFormatting>
  <conditionalFormatting sqref="C148">
    <cfRule type="cellIs" dxfId="16745" priority="150" stopIfTrue="1" operator="equal">
      <formula>"Towel"</formula>
    </cfRule>
    <cfRule type="cellIs" dxfId="16744" priority="151" stopIfTrue="1" operator="equal">
      <formula>"Napkin Hs"</formula>
    </cfRule>
  </conditionalFormatting>
  <conditionalFormatting sqref="C148">
    <cfRule type="cellIs" dxfId="16743" priority="152" stopIfTrue="1" operator="equal">
      <formula>"Towel"</formula>
    </cfRule>
    <cfRule type="cellIs" dxfId="16742" priority="153" stopIfTrue="1" operator="equal">
      <formula>"Napkin Hs"</formula>
    </cfRule>
  </conditionalFormatting>
  <conditionalFormatting sqref="C148">
    <cfRule type="cellIs" dxfId="16741" priority="146" stopIfTrue="1" operator="equal">
      <formula>"Towel"</formula>
    </cfRule>
    <cfRule type="cellIs" dxfId="16740" priority="147" stopIfTrue="1" operator="equal">
      <formula>"Napkin Hs"</formula>
    </cfRule>
  </conditionalFormatting>
  <conditionalFormatting sqref="C148">
    <cfRule type="cellIs" dxfId="16739" priority="144" stopIfTrue="1" operator="equal">
      <formula>"Towel"</formula>
    </cfRule>
    <cfRule type="cellIs" dxfId="16738" priority="145" stopIfTrue="1" operator="equal">
      <formula>"Napkin Hs"</formula>
    </cfRule>
  </conditionalFormatting>
  <conditionalFormatting sqref="C148">
    <cfRule type="cellIs" dxfId="16737" priority="120" stopIfTrue="1" operator="equal">
      <formula>"Towel"</formula>
    </cfRule>
  </conditionalFormatting>
  <conditionalFormatting sqref="C148">
    <cfRule type="cellIs" dxfId="16736" priority="121" stopIfTrue="1" operator="equal">
      <formula>"Napkin Hs"</formula>
    </cfRule>
    <cfRule type="cellIs" dxfId="16735" priority="126" stopIfTrue="1" operator="equal">
      <formula>"Towel"</formula>
    </cfRule>
    <cfRule type="cellIs" dxfId="16734" priority="127" stopIfTrue="1" operator="equal">
      <formula>"Napkin Hs"</formula>
    </cfRule>
    <cfRule type="cellIs" dxfId="16733" priority="136" stopIfTrue="1" operator="equal">
      <formula>"Towel"</formula>
    </cfRule>
    <cfRule type="cellIs" dxfId="16732" priority="137" stopIfTrue="1" operator="equal">
      <formula>"Napkin Hs"</formula>
    </cfRule>
    <cfRule type="cellIs" dxfId="16731" priority="142" stopIfTrue="1" operator="equal">
      <formula>"Towel"</formula>
    </cfRule>
    <cfRule type="cellIs" dxfId="16730" priority="143" stopIfTrue="1" operator="equal">
      <formula>"Napkin Hs"</formula>
    </cfRule>
  </conditionalFormatting>
  <conditionalFormatting sqref="C148">
    <cfRule type="cellIs" dxfId="16729" priority="122" stopIfTrue="1" operator="equal">
      <formula>"Towel"</formula>
    </cfRule>
    <cfRule type="cellIs" dxfId="16728" priority="123" stopIfTrue="1" operator="equal">
      <formula>"Napkin Hs"</formula>
    </cfRule>
    <cfRule type="cellIs" dxfId="16727" priority="124" stopIfTrue="1" operator="equal">
      <formula>"Towel"</formula>
    </cfRule>
    <cfRule type="cellIs" dxfId="16726" priority="125" stopIfTrue="1" operator="equal">
      <formula>"Napkin Hs"</formula>
    </cfRule>
    <cfRule type="cellIs" dxfId="16725" priority="128" stopIfTrue="1" operator="equal">
      <formula>"Towel"</formula>
    </cfRule>
    <cfRule type="cellIs" dxfId="16724" priority="129" stopIfTrue="1" operator="equal">
      <formula>"Napkin Hs"</formula>
    </cfRule>
    <cfRule type="cellIs" dxfId="16723" priority="130" stopIfTrue="1" operator="equal">
      <formula>"Towel"</formula>
    </cfRule>
    <cfRule type="cellIs" dxfId="16722" priority="131" stopIfTrue="1" operator="equal">
      <formula>"Napkin Hs"</formula>
    </cfRule>
    <cfRule type="cellIs" dxfId="16721" priority="132" stopIfTrue="1" operator="equal">
      <formula>"Towel"</formula>
    </cfRule>
    <cfRule type="cellIs" dxfId="16720" priority="133" stopIfTrue="1" operator="equal">
      <formula>"Napkin Hs"</formula>
    </cfRule>
    <cfRule type="cellIs" dxfId="16719" priority="134" stopIfTrue="1" operator="equal">
      <formula>"Towel"</formula>
    </cfRule>
    <cfRule type="cellIs" dxfId="16718" priority="135" stopIfTrue="1" operator="equal">
      <formula>"Napkin Hs"</formula>
    </cfRule>
    <cfRule type="cellIs" dxfId="16717" priority="138" stopIfTrue="1" operator="equal">
      <formula>"Towel"</formula>
    </cfRule>
    <cfRule type="cellIs" dxfId="16716" priority="139" stopIfTrue="1" operator="equal">
      <formula>"Napkin Hs"</formula>
    </cfRule>
    <cfRule type="cellIs" dxfId="16715" priority="141" stopIfTrue="1" operator="equal">
      <formula>"Napkin Hs"</formula>
    </cfRule>
  </conditionalFormatting>
  <conditionalFormatting sqref="C148">
    <cfRule type="cellIs" dxfId="16714" priority="140" stopIfTrue="1" operator="equal">
      <formula>"Towel"</formula>
    </cfRule>
  </conditionalFormatting>
  <conditionalFormatting sqref="C148">
    <cfRule type="cellIs" dxfId="16713" priority="118" stopIfTrue="1" operator="equal">
      <formula>"Towel"</formula>
    </cfRule>
    <cfRule type="cellIs" dxfId="16712" priority="119" stopIfTrue="1" operator="equal">
      <formula>"Napkin Hs"</formula>
    </cfRule>
  </conditionalFormatting>
  <conditionalFormatting sqref="C148">
    <cfRule type="cellIs" dxfId="16711" priority="117" stopIfTrue="1" operator="equal">
      <formula>"Napkin Hs"</formula>
    </cfRule>
  </conditionalFormatting>
  <conditionalFormatting sqref="C148">
    <cfRule type="cellIs" dxfId="16710" priority="116" stopIfTrue="1" operator="equal">
      <formula>"Towel"</formula>
    </cfRule>
  </conditionalFormatting>
  <conditionalFormatting sqref="C148">
    <cfRule type="cellIs" dxfId="16709" priority="114" stopIfTrue="1" operator="equal">
      <formula>"Towel"</formula>
    </cfRule>
  </conditionalFormatting>
  <conditionalFormatting sqref="C148">
    <cfRule type="cellIs" dxfId="16708" priority="115" stopIfTrue="1" operator="equal">
      <formula>"Napkin Hs"</formula>
    </cfRule>
  </conditionalFormatting>
  <conditionalFormatting sqref="C148">
    <cfRule type="cellIs" dxfId="16707" priority="18" stopIfTrue="1" operator="equal">
      <formula>"Towel"</formula>
    </cfRule>
  </conditionalFormatting>
  <conditionalFormatting sqref="C148">
    <cfRule type="cellIs" dxfId="16706" priority="28" stopIfTrue="1" operator="equal">
      <formula>"Towel"</formula>
    </cfRule>
    <cfRule type="cellIs" dxfId="16705" priority="29" stopIfTrue="1" operator="equal">
      <formula>"Napkin Hs"</formula>
    </cfRule>
    <cfRule type="cellIs" dxfId="16704" priority="34" stopIfTrue="1" operator="equal">
      <formula>"Towel"</formula>
    </cfRule>
    <cfRule type="cellIs" dxfId="16703" priority="35" stopIfTrue="1" operator="equal">
      <formula>"Napkin Hs"</formula>
    </cfRule>
    <cfRule type="cellIs" dxfId="16702" priority="40" stopIfTrue="1" operator="equal">
      <formula>"Towel"</formula>
    </cfRule>
    <cfRule type="cellIs" dxfId="16701" priority="41" stopIfTrue="1" operator="equal">
      <formula>"Napkin Hs"</formula>
    </cfRule>
    <cfRule type="cellIs" dxfId="16700" priority="42" stopIfTrue="1" operator="equal">
      <formula>"Towel"</formula>
    </cfRule>
    <cfRule type="cellIs" dxfId="16699" priority="43" stopIfTrue="1" operator="equal">
      <formula>"Napkin Hs"</formula>
    </cfRule>
    <cfRule type="cellIs" dxfId="16698" priority="48" stopIfTrue="1" operator="equal">
      <formula>"Towel"</formula>
    </cfRule>
    <cfRule type="cellIs" dxfId="16697" priority="49" stopIfTrue="1" operator="equal">
      <formula>"Napkin Hs"</formula>
    </cfRule>
    <cfRule type="cellIs" dxfId="16696" priority="58" stopIfTrue="1" operator="equal">
      <formula>"Towel"</formula>
    </cfRule>
    <cfRule type="cellIs" dxfId="16695" priority="59" stopIfTrue="1" operator="equal">
      <formula>"Napkin Hs"</formula>
    </cfRule>
    <cfRule type="cellIs" dxfId="16694" priority="64" stopIfTrue="1" operator="equal">
      <formula>"Towel"</formula>
    </cfRule>
    <cfRule type="cellIs" dxfId="16693" priority="65" stopIfTrue="1" operator="equal">
      <formula>"Napkin Hs"</formula>
    </cfRule>
    <cfRule type="cellIs" dxfId="16692" priority="66" stopIfTrue="1" operator="equal">
      <formula>"Towel"</formula>
    </cfRule>
    <cfRule type="cellIs" dxfId="16691" priority="67" stopIfTrue="1" operator="equal">
      <formula>"Napkin Hs"</formula>
    </cfRule>
    <cfRule type="cellIs" dxfId="16690" priority="72" stopIfTrue="1" operator="equal">
      <formula>"Towel"</formula>
    </cfRule>
    <cfRule type="cellIs" dxfId="16689" priority="73" stopIfTrue="1" operator="equal">
      <formula>"Napkin Hs"</formula>
    </cfRule>
    <cfRule type="cellIs" dxfId="16688" priority="82" stopIfTrue="1" operator="equal">
      <formula>"Towel"</formula>
    </cfRule>
    <cfRule type="cellIs" dxfId="16687" priority="83" stopIfTrue="1" operator="equal">
      <formula>"Napkin Hs"</formula>
    </cfRule>
    <cfRule type="cellIs" dxfId="16686" priority="84" stopIfTrue="1" operator="equal">
      <formula>"Towel"</formula>
    </cfRule>
    <cfRule type="cellIs" dxfId="16685" priority="85" stopIfTrue="1" operator="equal">
      <formula>"Napkin Hs"</formula>
    </cfRule>
    <cfRule type="cellIs" dxfId="16684" priority="90" stopIfTrue="1" operator="equal">
      <formula>"Towel"</formula>
    </cfRule>
    <cfRule type="cellIs" dxfId="16683" priority="91" stopIfTrue="1" operator="equal">
      <formula>"Napkin Hs"</formula>
    </cfRule>
    <cfRule type="cellIs" dxfId="16682" priority="100" stopIfTrue="1" operator="equal">
      <formula>"Towel"</formula>
    </cfRule>
    <cfRule type="cellIs" dxfId="16681" priority="101" stopIfTrue="1" operator="equal">
      <formula>"Napkin Hs"</formula>
    </cfRule>
    <cfRule type="cellIs" dxfId="16680" priority="102" stopIfTrue="1" operator="equal">
      <formula>"Towel"</formula>
    </cfRule>
    <cfRule type="cellIs" dxfId="16679" priority="103" stopIfTrue="1" operator="equal">
      <formula>"Napkin Hs"</formula>
    </cfRule>
    <cfRule type="cellIs" dxfId="16678" priority="109" stopIfTrue="1" operator="equal">
      <formula>"Napkin Hs"</formula>
    </cfRule>
  </conditionalFormatting>
  <conditionalFormatting sqref="C148">
    <cfRule type="cellIs" dxfId="16677" priority="108" stopIfTrue="1" operator="equal">
      <formula>"Towel"</formula>
    </cfRule>
  </conditionalFormatting>
  <conditionalFormatting sqref="C148">
    <cfRule type="cellIs" dxfId="16676" priority="19" stopIfTrue="1" operator="equal">
      <formula>"Napkin Hs"</formula>
    </cfRule>
    <cfRule type="cellIs" dxfId="16675" priority="20" stopIfTrue="1" operator="equal">
      <formula>"Towel"</formula>
    </cfRule>
    <cfRule type="cellIs" dxfId="16674" priority="21" stopIfTrue="1" operator="equal">
      <formula>"Napkin Hs"</formula>
    </cfRule>
    <cfRule type="cellIs" dxfId="16673" priority="22" stopIfTrue="1" operator="equal">
      <formula>"Towel"</formula>
    </cfRule>
    <cfRule type="cellIs" dxfId="16672" priority="23" stopIfTrue="1" operator="equal">
      <formula>"Napkin Hs"</formula>
    </cfRule>
    <cfRule type="cellIs" dxfId="16671" priority="24" stopIfTrue="1" operator="equal">
      <formula>"Towel"</formula>
    </cfRule>
    <cfRule type="cellIs" dxfId="16670" priority="25" stopIfTrue="1" operator="equal">
      <formula>"Napkin Hs"</formula>
    </cfRule>
    <cfRule type="cellIs" dxfId="16669" priority="26" stopIfTrue="1" operator="equal">
      <formula>"Towel"</formula>
    </cfRule>
    <cfRule type="cellIs" dxfId="16668" priority="27" stopIfTrue="1" operator="equal">
      <formula>"Napkin Hs"</formula>
    </cfRule>
    <cfRule type="cellIs" dxfId="16667" priority="30" stopIfTrue="1" operator="equal">
      <formula>"Towel"</formula>
    </cfRule>
    <cfRule type="cellIs" dxfId="16666" priority="31" stopIfTrue="1" operator="equal">
      <formula>"Napkin Hs"</formula>
    </cfRule>
    <cfRule type="cellIs" dxfId="16665" priority="32" stopIfTrue="1" operator="equal">
      <formula>"Towel"</formula>
    </cfRule>
    <cfRule type="cellIs" dxfId="16664" priority="33" stopIfTrue="1" operator="equal">
      <formula>"Napkin Hs"</formula>
    </cfRule>
    <cfRule type="cellIs" dxfId="16663" priority="36" stopIfTrue="1" operator="equal">
      <formula>"Towel"</formula>
    </cfRule>
    <cfRule type="cellIs" dxfId="16662" priority="37" stopIfTrue="1" operator="equal">
      <formula>"Napkin Hs"</formula>
    </cfRule>
    <cfRule type="cellIs" dxfId="16661" priority="38" stopIfTrue="1" operator="equal">
      <formula>"Towel"</formula>
    </cfRule>
    <cfRule type="cellIs" dxfId="16660" priority="39" stopIfTrue="1" operator="equal">
      <formula>"Napkin Hs"</formula>
    </cfRule>
    <cfRule type="cellIs" dxfId="16659" priority="44" stopIfTrue="1" operator="equal">
      <formula>"Towel"</formula>
    </cfRule>
    <cfRule type="cellIs" dxfId="16658" priority="45" stopIfTrue="1" operator="equal">
      <formula>"Napkin Hs"</formula>
    </cfRule>
    <cfRule type="cellIs" dxfId="16657" priority="46" stopIfTrue="1" operator="equal">
      <formula>"Towel"</formula>
    </cfRule>
    <cfRule type="cellIs" dxfId="16656" priority="47" stopIfTrue="1" operator="equal">
      <formula>"Napkin Hs"</formula>
    </cfRule>
    <cfRule type="cellIs" dxfId="16655" priority="50" stopIfTrue="1" operator="equal">
      <formula>"Towel"</formula>
    </cfRule>
    <cfRule type="cellIs" dxfId="16654" priority="51" stopIfTrue="1" operator="equal">
      <formula>"Napkin Hs"</formula>
    </cfRule>
    <cfRule type="cellIs" dxfId="16653" priority="52" stopIfTrue="1" operator="equal">
      <formula>"Towel"</formula>
    </cfRule>
    <cfRule type="cellIs" dxfId="16652" priority="53" stopIfTrue="1" operator="equal">
      <formula>"Napkin Hs"</formula>
    </cfRule>
    <cfRule type="cellIs" dxfId="16651" priority="54" stopIfTrue="1" operator="equal">
      <formula>"Towel"</formula>
    </cfRule>
    <cfRule type="cellIs" dxfId="16650" priority="55" stopIfTrue="1" operator="equal">
      <formula>"Napkin Hs"</formula>
    </cfRule>
    <cfRule type="cellIs" dxfId="16649" priority="56" stopIfTrue="1" operator="equal">
      <formula>"Towel"</formula>
    </cfRule>
    <cfRule type="cellIs" dxfId="16648" priority="57" stopIfTrue="1" operator="equal">
      <formula>"Napkin Hs"</formula>
    </cfRule>
    <cfRule type="cellIs" dxfId="16647" priority="60" stopIfTrue="1" operator="equal">
      <formula>"Towel"</formula>
    </cfRule>
    <cfRule type="cellIs" dxfId="16646" priority="61" stopIfTrue="1" operator="equal">
      <formula>"Napkin Hs"</formula>
    </cfRule>
    <cfRule type="cellIs" dxfId="16645" priority="62" stopIfTrue="1" operator="equal">
      <formula>"Towel"</formula>
    </cfRule>
    <cfRule type="cellIs" dxfId="16644" priority="63" stopIfTrue="1" operator="equal">
      <formula>"Napkin Hs"</formula>
    </cfRule>
    <cfRule type="cellIs" dxfId="16643" priority="68" stopIfTrue="1" operator="equal">
      <formula>"Towel"</formula>
    </cfRule>
    <cfRule type="cellIs" dxfId="16642" priority="69" stopIfTrue="1" operator="equal">
      <formula>"Napkin Hs"</formula>
    </cfRule>
    <cfRule type="cellIs" dxfId="16641" priority="70" stopIfTrue="1" operator="equal">
      <formula>"Towel"</formula>
    </cfRule>
    <cfRule type="cellIs" dxfId="16640" priority="71" stopIfTrue="1" operator="equal">
      <formula>"Napkin Hs"</formula>
    </cfRule>
    <cfRule type="cellIs" dxfId="16639" priority="74" stopIfTrue="1" operator="equal">
      <formula>"Towel"</formula>
    </cfRule>
    <cfRule type="cellIs" dxfId="16638" priority="75" stopIfTrue="1" operator="equal">
      <formula>"Napkin Hs"</formula>
    </cfRule>
    <cfRule type="cellIs" dxfId="16637" priority="76" stopIfTrue="1" operator="equal">
      <formula>"Towel"</formula>
    </cfRule>
    <cfRule type="cellIs" dxfId="16636" priority="77" stopIfTrue="1" operator="equal">
      <formula>"Napkin Hs"</formula>
    </cfRule>
    <cfRule type="cellIs" dxfId="16635" priority="78" stopIfTrue="1" operator="equal">
      <formula>"Towel"</formula>
    </cfRule>
    <cfRule type="cellIs" dxfId="16634" priority="79" stopIfTrue="1" operator="equal">
      <formula>"Napkin Hs"</formula>
    </cfRule>
    <cfRule type="cellIs" dxfId="16633" priority="80" stopIfTrue="1" operator="equal">
      <formula>"Towel"</formula>
    </cfRule>
    <cfRule type="cellIs" dxfId="16632" priority="81" stopIfTrue="1" operator="equal">
      <formula>"Napkin Hs"</formula>
    </cfRule>
    <cfRule type="cellIs" dxfId="16631" priority="86" stopIfTrue="1" operator="equal">
      <formula>"Towel"</formula>
    </cfRule>
    <cfRule type="cellIs" dxfId="16630" priority="87" stopIfTrue="1" operator="equal">
      <formula>"Napkin Hs"</formula>
    </cfRule>
    <cfRule type="cellIs" dxfId="16629" priority="88" stopIfTrue="1" operator="equal">
      <formula>"Towel"</formula>
    </cfRule>
    <cfRule type="cellIs" dxfId="16628" priority="89" stopIfTrue="1" operator="equal">
      <formula>"Napkin Hs"</formula>
    </cfRule>
    <cfRule type="cellIs" dxfId="16627" priority="92" stopIfTrue="1" operator="equal">
      <formula>"Towel"</formula>
    </cfRule>
    <cfRule type="cellIs" dxfId="16626" priority="93" stopIfTrue="1" operator="equal">
      <formula>"Napkin Hs"</formula>
    </cfRule>
    <cfRule type="cellIs" dxfId="16625" priority="94" stopIfTrue="1" operator="equal">
      <formula>"Towel"</formula>
    </cfRule>
    <cfRule type="cellIs" dxfId="16624" priority="95" stopIfTrue="1" operator="equal">
      <formula>"Napkin Hs"</formula>
    </cfRule>
    <cfRule type="cellIs" dxfId="16623" priority="96" stopIfTrue="1" operator="equal">
      <formula>"Towel"</formula>
    </cfRule>
    <cfRule type="cellIs" dxfId="16622" priority="97" stopIfTrue="1" operator="equal">
      <formula>"Napkin Hs"</formula>
    </cfRule>
    <cfRule type="cellIs" dxfId="16621" priority="98" stopIfTrue="1" operator="equal">
      <formula>"Towel"</formula>
    </cfRule>
    <cfRule type="cellIs" dxfId="16620" priority="99" stopIfTrue="1" operator="equal">
      <formula>"Napkin Hs"</formula>
    </cfRule>
    <cfRule type="cellIs" dxfId="16619" priority="104" stopIfTrue="1" operator="equal">
      <formula>"Towel"</formula>
    </cfRule>
    <cfRule type="cellIs" dxfId="16618" priority="105" stopIfTrue="1" operator="equal">
      <formula>"Napkin Hs"</formula>
    </cfRule>
    <cfRule type="cellIs" dxfId="16617" priority="106" stopIfTrue="1" operator="equal">
      <formula>"Towel"</formula>
    </cfRule>
    <cfRule type="cellIs" dxfId="16616" priority="107" stopIfTrue="1" operator="equal">
      <formula>"Napkin Hs"</formula>
    </cfRule>
    <cfRule type="cellIs" dxfId="16615" priority="110" stopIfTrue="1" operator="equal">
      <formula>"Towel"</formula>
    </cfRule>
    <cfRule type="cellIs" dxfId="16614" priority="111" stopIfTrue="1" operator="equal">
      <formula>"Napkin Hs"</formula>
    </cfRule>
    <cfRule type="cellIs" dxfId="16613" priority="112" stopIfTrue="1" operator="equal">
      <formula>"Towel"</formula>
    </cfRule>
    <cfRule type="cellIs" dxfId="16612" priority="113" stopIfTrue="1" operator="equal">
      <formula>"Napkin Hs"</formula>
    </cfRule>
  </conditionalFormatting>
  <conditionalFormatting sqref="C148">
    <cfRule type="cellIs" dxfId="16611" priority="17" stopIfTrue="1" operator="equal">
      <formula>"Napkin Hs"</formula>
    </cfRule>
  </conditionalFormatting>
  <conditionalFormatting sqref="C148">
    <cfRule type="cellIs" dxfId="16610" priority="16" stopIfTrue="1" operator="equal">
      <formula>"Napkin Hs"</formula>
    </cfRule>
  </conditionalFormatting>
  <conditionalFormatting sqref="C148">
    <cfRule type="cellIs" dxfId="16609" priority="15" stopIfTrue="1" operator="equal">
      <formula>"Napkin Hs"</formula>
    </cfRule>
  </conditionalFormatting>
  <conditionalFormatting sqref="C148">
    <cfRule type="cellIs" dxfId="16608" priority="14" stopIfTrue="1" operator="equal">
      <formula>"Napkin Hs"</formula>
    </cfRule>
  </conditionalFormatting>
  <conditionalFormatting sqref="C148">
    <cfRule type="cellIs" dxfId="16607" priority="13" stopIfTrue="1" operator="equal">
      <formula>"Napkin Hs"</formula>
    </cfRule>
  </conditionalFormatting>
  <conditionalFormatting sqref="C148">
    <cfRule type="cellIs" dxfId="16606" priority="12" stopIfTrue="1" operator="equal">
      <formula>"Napkin Hs"</formula>
    </cfRule>
  </conditionalFormatting>
  <conditionalFormatting sqref="C148">
    <cfRule type="cellIs" dxfId="16605" priority="8" stopIfTrue="1" operator="equal">
      <formula>"Towel"</formula>
    </cfRule>
    <cfRule type="cellIs" dxfId="16604" priority="9" stopIfTrue="1" operator="equal">
      <formula>"Napkin Hs"</formula>
    </cfRule>
  </conditionalFormatting>
  <conditionalFormatting sqref="C148">
    <cfRule type="cellIs" dxfId="16603" priority="10" stopIfTrue="1" operator="equal">
      <formula>"Towel"</formula>
    </cfRule>
    <cfRule type="cellIs" dxfId="16602" priority="11" stopIfTrue="1" operator="equal">
      <formula>"Napkin Hs"</formula>
    </cfRule>
  </conditionalFormatting>
  <conditionalFormatting sqref="C148">
    <cfRule type="cellIs" dxfId="16601" priority="4" stopIfTrue="1" operator="equal">
      <formula>"Towel"</formula>
    </cfRule>
    <cfRule type="cellIs" dxfId="16600" priority="5" stopIfTrue="1" operator="equal">
      <formula>"Napkin Hs"</formula>
    </cfRule>
  </conditionalFormatting>
  <conditionalFormatting sqref="C148">
    <cfRule type="cellIs" dxfId="16599" priority="6" stopIfTrue="1" operator="equal">
      <formula>"Towel"</formula>
    </cfRule>
    <cfRule type="cellIs" dxfId="16598" priority="7" stopIfTrue="1" operator="equal">
      <formula>"Napkin Hs"</formula>
    </cfRule>
  </conditionalFormatting>
  <conditionalFormatting sqref="B148">
    <cfRule type="cellIs" dxfId="16597" priority="3" stopIfTrue="1" operator="equal">
      <formula>"Napkin Hs"</formula>
    </cfRule>
  </conditionalFormatting>
  <conditionalFormatting sqref="B148">
    <cfRule type="cellIs" dxfId="16596" priority="2" stopIfTrue="1" operator="equal">
      <formula>"Napkin Hs"</formula>
    </cfRule>
  </conditionalFormatting>
  <conditionalFormatting sqref="B148">
    <cfRule type="cellIs" dxfId="16595" priority="1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S231"/>
  <sheetViews>
    <sheetView zoomScale="90" zoomScaleNormal="90" workbookViewId="0">
      <pane xSplit="6" ySplit="6" topLeftCell="O144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P162" sqref="P162"/>
    </sheetView>
  </sheetViews>
  <sheetFormatPr defaultColWidth="10.28515625" defaultRowHeight="12"/>
  <cols>
    <col min="1" max="1" width="12.28515625" style="32" customWidth="1"/>
    <col min="2" max="2" width="14.140625" style="32" customWidth="1"/>
    <col min="3" max="3" width="10.140625" style="32" customWidth="1"/>
    <col min="4" max="4" width="10.28515625" style="32" customWidth="1"/>
    <col min="5" max="5" width="7.5703125" style="32" bestFit="1" customWidth="1"/>
    <col min="6" max="6" width="7" style="57" customWidth="1"/>
    <col min="7" max="9" width="10.28515625" style="32" customWidth="1"/>
    <col min="10" max="11" width="10.28515625" style="86" customWidth="1"/>
    <col min="12" max="13" width="12.7109375" style="58" customWidth="1"/>
    <col min="14" max="15" width="10.28515625" style="32" customWidth="1"/>
    <col min="16" max="16" width="16.85546875" style="32" bestFit="1" customWidth="1"/>
    <col min="17" max="17" width="12.7109375" style="382" customWidth="1"/>
    <col min="18" max="19" width="10.28515625" style="32" customWidth="1"/>
    <col min="20" max="20" width="10.7109375" style="32" customWidth="1"/>
    <col min="21" max="21" width="10.28515625" style="32" customWidth="1"/>
    <col min="22" max="22" width="12.28515625" style="32" customWidth="1"/>
    <col min="23" max="23" width="13" style="32" customWidth="1"/>
    <col min="24" max="24" width="10.28515625" style="32" customWidth="1"/>
    <col min="25" max="25" width="10.140625" style="32" customWidth="1"/>
    <col min="26" max="28" width="10.28515625" style="32" customWidth="1"/>
    <col min="29" max="29" width="12" style="32" customWidth="1"/>
    <col min="30" max="30" width="11.42578125" style="32" bestFit="1" customWidth="1"/>
    <col min="31" max="31" width="41.42578125" style="32" customWidth="1"/>
    <col min="32" max="38" width="10.28515625" style="32" customWidth="1"/>
    <col min="39" max="39" width="11.7109375" style="32" customWidth="1"/>
    <col min="40" max="41" width="10.28515625" style="32" customWidth="1"/>
    <col min="42" max="43" width="12.42578125" style="32" customWidth="1"/>
    <col min="44" max="44" width="29.7109375" style="32" bestFit="1" customWidth="1"/>
    <col min="45" max="16384" width="10.28515625" style="32"/>
  </cols>
  <sheetData>
    <row r="1" spans="1:58" s="25" customFormat="1" ht="15.75" customHeight="1">
      <c r="A1" s="24" t="s">
        <v>388</v>
      </c>
      <c r="G1" s="26"/>
      <c r="H1" s="26"/>
      <c r="I1" s="26"/>
      <c r="J1" s="83"/>
      <c r="K1" s="83"/>
      <c r="L1" s="27"/>
      <c r="M1" s="27"/>
      <c r="O1" s="26"/>
      <c r="P1" s="28"/>
      <c r="Q1" s="26"/>
      <c r="R1" s="28"/>
      <c r="S1" s="28"/>
      <c r="W1" s="28"/>
      <c r="X1" s="29"/>
      <c r="Y1" s="29"/>
      <c r="Z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</row>
    <row r="2" spans="1:58" s="25" customFormat="1">
      <c r="A2" s="93"/>
      <c r="G2" s="26"/>
      <c r="H2" s="26"/>
      <c r="I2" s="26"/>
      <c r="J2" s="83"/>
      <c r="K2" s="83"/>
      <c r="L2" s="27"/>
      <c r="M2" s="27"/>
      <c r="O2" s="26"/>
      <c r="P2" s="28"/>
      <c r="Q2" s="26"/>
      <c r="R2" s="28"/>
      <c r="S2" s="28"/>
      <c r="W2" s="28"/>
      <c r="X2" s="29"/>
      <c r="Y2" s="29"/>
      <c r="Z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</row>
    <row r="3" spans="1:58" ht="24" customHeight="1">
      <c r="A3" s="658" t="s">
        <v>9</v>
      </c>
      <c r="B3" s="658" t="s">
        <v>10</v>
      </c>
      <c r="C3" s="658" t="s">
        <v>199</v>
      </c>
      <c r="D3" s="658" t="s">
        <v>93</v>
      </c>
      <c r="E3" s="658" t="s">
        <v>94</v>
      </c>
      <c r="F3" s="658" t="s">
        <v>95</v>
      </c>
      <c r="G3" s="663" t="s">
        <v>96</v>
      </c>
      <c r="H3" s="664"/>
      <c r="I3" s="664"/>
      <c r="J3" s="664"/>
      <c r="K3" s="665"/>
      <c r="L3" s="669" t="s">
        <v>97</v>
      </c>
      <c r="M3" s="670"/>
      <c r="N3" s="671"/>
      <c r="O3" s="675" t="s">
        <v>98</v>
      </c>
      <c r="P3" s="660" t="s">
        <v>110</v>
      </c>
      <c r="Q3" s="675" t="s">
        <v>99</v>
      </c>
      <c r="R3" s="677" t="s">
        <v>100</v>
      </c>
      <c r="S3" s="677" t="s">
        <v>101</v>
      </c>
      <c r="T3" s="658" t="s">
        <v>154</v>
      </c>
      <c r="U3" s="658" t="s">
        <v>153</v>
      </c>
      <c r="V3" s="658" t="s">
        <v>155</v>
      </c>
      <c r="W3" s="677" t="s">
        <v>145</v>
      </c>
      <c r="X3" s="686" t="s">
        <v>103</v>
      </c>
      <c r="Y3" s="686" t="s">
        <v>291</v>
      </c>
      <c r="Z3" s="677" t="s">
        <v>104</v>
      </c>
      <c r="AA3" s="658" t="s">
        <v>156</v>
      </c>
      <c r="AB3" s="658" t="s">
        <v>167</v>
      </c>
      <c r="AC3" s="658" t="s">
        <v>165</v>
      </c>
      <c r="AD3" s="658" t="s">
        <v>128</v>
      </c>
      <c r="AE3" s="658" t="s">
        <v>129</v>
      </c>
      <c r="AF3" s="679" t="s">
        <v>130</v>
      </c>
      <c r="AG3" s="679"/>
      <c r="AH3" s="679"/>
      <c r="AI3" s="679"/>
      <c r="AJ3" s="679"/>
      <c r="AK3" s="679"/>
      <c r="AL3" s="679"/>
      <c r="AM3" s="700" t="s">
        <v>131</v>
      </c>
      <c r="AN3" s="709" t="s">
        <v>105</v>
      </c>
      <c r="AO3" s="709"/>
      <c r="AP3" s="709"/>
      <c r="AQ3" s="709"/>
      <c r="AR3" s="709"/>
      <c r="AS3" s="710" t="s">
        <v>106</v>
      </c>
      <c r="AT3" s="705" t="s">
        <v>200</v>
      </c>
      <c r="AU3" s="706"/>
      <c r="AV3" s="712" t="s">
        <v>132</v>
      </c>
      <c r="AW3" s="713"/>
      <c r="AX3" s="681" t="s">
        <v>132</v>
      </c>
      <c r="AY3" s="682"/>
      <c r="AZ3" s="683" t="s">
        <v>305</v>
      </c>
      <c r="BA3" s="703" t="s">
        <v>107</v>
      </c>
      <c r="BB3" s="698" t="s">
        <v>108</v>
      </c>
      <c r="BC3" s="698" t="s">
        <v>109</v>
      </c>
      <c r="BD3" s="692" t="s">
        <v>374</v>
      </c>
      <c r="BE3" s="695" t="s">
        <v>375</v>
      </c>
      <c r="BF3" s="698" t="s">
        <v>376</v>
      </c>
    </row>
    <row r="4" spans="1:58" ht="12" customHeight="1">
      <c r="A4" s="659"/>
      <c r="B4" s="659"/>
      <c r="C4" s="659"/>
      <c r="D4" s="659"/>
      <c r="E4" s="659"/>
      <c r="F4" s="659"/>
      <c r="G4" s="666"/>
      <c r="H4" s="667"/>
      <c r="I4" s="667"/>
      <c r="J4" s="667"/>
      <c r="K4" s="668"/>
      <c r="L4" s="672"/>
      <c r="M4" s="673"/>
      <c r="N4" s="674"/>
      <c r="O4" s="676"/>
      <c r="P4" s="661"/>
      <c r="Q4" s="676"/>
      <c r="R4" s="678"/>
      <c r="S4" s="678"/>
      <c r="T4" s="659"/>
      <c r="U4" s="659"/>
      <c r="V4" s="659"/>
      <c r="W4" s="678"/>
      <c r="X4" s="687"/>
      <c r="Y4" s="687"/>
      <c r="Z4" s="678"/>
      <c r="AA4" s="659"/>
      <c r="AB4" s="659"/>
      <c r="AC4" s="659"/>
      <c r="AD4" s="659"/>
      <c r="AE4" s="659"/>
      <c r="AF4" s="689" t="s">
        <v>133</v>
      </c>
      <c r="AG4" s="690"/>
      <c r="AH4" s="691"/>
      <c r="AI4" s="661" t="s">
        <v>201</v>
      </c>
      <c r="AJ4" s="661" t="s">
        <v>16</v>
      </c>
      <c r="AK4" s="661" t="s">
        <v>134</v>
      </c>
      <c r="AL4" s="661" t="s">
        <v>19</v>
      </c>
      <c r="AM4" s="701"/>
      <c r="AN4" s="704" t="s">
        <v>111</v>
      </c>
      <c r="AO4" s="704" t="s">
        <v>16</v>
      </c>
      <c r="AP4" s="704" t="s">
        <v>112</v>
      </c>
      <c r="AQ4" s="704" t="s">
        <v>19</v>
      </c>
      <c r="AR4" s="703" t="s">
        <v>113</v>
      </c>
      <c r="AS4" s="710"/>
      <c r="AT4" s="707"/>
      <c r="AU4" s="708"/>
      <c r="AV4" s="532" t="s">
        <v>7</v>
      </c>
      <c r="AW4" s="532" t="s">
        <v>135</v>
      </c>
      <c r="AX4" s="533" t="s">
        <v>7</v>
      </c>
      <c r="AY4" s="534" t="s">
        <v>135</v>
      </c>
      <c r="AZ4" s="684"/>
      <c r="BA4" s="703"/>
      <c r="BB4" s="698"/>
      <c r="BC4" s="698"/>
      <c r="BD4" s="693"/>
      <c r="BE4" s="696"/>
      <c r="BF4" s="698"/>
    </row>
    <row r="5" spans="1:58" s="35" customFormat="1" ht="48">
      <c r="A5" s="659"/>
      <c r="B5" s="659"/>
      <c r="C5" s="680"/>
      <c r="D5" s="659"/>
      <c r="E5" s="659"/>
      <c r="F5" s="659"/>
      <c r="G5" s="610" t="s">
        <v>114</v>
      </c>
      <c r="H5" s="609" t="s">
        <v>115</v>
      </c>
      <c r="I5" s="33" t="s">
        <v>116</v>
      </c>
      <c r="J5" s="84" t="s">
        <v>117</v>
      </c>
      <c r="K5" s="84" t="s">
        <v>102</v>
      </c>
      <c r="L5" s="34" t="s">
        <v>118</v>
      </c>
      <c r="M5" s="34" t="s">
        <v>119</v>
      </c>
      <c r="N5" s="609" t="s">
        <v>120</v>
      </c>
      <c r="O5" s="676"/>
      <c r="P5" s="662"/>
      <c r="Q5" s="676"/>
      <c r="R5" s="678"/>
      <c r="S5" s="678"/>
      <c r="T5" s="659"/>
      <c r="U5" s="659"/>
      <c r="V5" s="659"/>
      <c r="W5" s="678"/>
      <c r="X5" s="687"/>
      <c r="Y5" s="688"/>
      <c r="Z5" s="678"/>
      <c r="AA5" s="659"/>
      <c r="AB5" s="680"/>
      <c r="AC5" s="659"/>
      <c r="AD5" s="680"/>
      <c r="AE5" s="659"/>
      <c r="AF5" s="471" t="s">
        <v>292</v>
      </c>
      <c r="AG5" s="550" t="s">
        <v>293</v>
      </c>
      <c r="AH5" s="550" t="s">
        <v>294</v>
      </c>
      <c r="AI5" s="662"/>
      <c r="AJ5" s="662"/>
      <c r="AK5" s="662"/>
      <c r="AL5" s="662"/>
      <c r="AM5" s="702"/>
      <c r="AN5" s="660"/>
      <c r="AO5" s="660"/>
      <c r="AP5" s="660"/>
      <c r="AQ5" s="660"/>
      <c r="AR5" s="677"/>
      <c r="AS5" s="711"/>
      <c r="AT5" s="551" t="s">
        <v>288</v>
      </c>
      <c r="AU5" s="551" t="s">
        <v>289</v>
      </c>
      <c r="AV5" s="535" t="s">
        <v>290</v>
      </c>
      <c r="AW5" s="535" t="s">
        <v>290</v>
      </c>
      <c r="AX5" s="533" t="s">
        <v>18</v>
      </c>
      <c r="AY5" s="533" t="s">
        <v>18</v>
      </c>
      <c r="AZ5" s="685"/>
      <c r="BA5" s="677"/>
      <c r="BB5" s="658"/>
      <c r="BC5" s="658"/>
      <c r="BD5" s="694"/>
      <c r="BE5" s="697"/>
      <c r="BF5" s="699"/>
    </row>
    <row r="6" spans="1:58" ht="12.95" customHeight="1">
      <c r="A6" s="43">
        <f>+Report1!A9</f>
        <v>45870</v>
      </c>
      <c r="B6" s="44" t="s">
        <v>8</v>
      </c>
      <c r="C6" s="460">
        <f>(M6*E6*O6*Q6)/100000000</f>
        <v>46.623973333333332</v>
      </c>
      <c r="D6" s="44" t="s">
        <v>384</v>
      </c>
      <c r="E6" s="45">
        <v>38</v>
      </c>
      <c r="F6" s="45">
        <v>1</v>
      </c>
      <c r="G6" s="511">
        <v>430</v>
      </c>
      <c r="H6" s="47">
        <v>0.12</v>
      </c>
      <c r="I6" s="48">
        <v>0.88</v>
      </c>
      <c r="J6" s="85">
        <f>E6*G6*(1-H6)*1440/1000000*3.4</f>
        <v>70.400563199999993</v>
      </c>
      <c r="K6" s="85">
        <f>(IF(G6&lt;L6,L6,G6)*(1-IF(H6&lt;N6,H6,N6))*E6*O6*Q6)/100000000</f>
        <v>46.623973333333332</v>
      </c>
      <c r="L6" s="38">
        <v>500</v>
      </c>
      <c r="M6" s="38">
        <f>+L6-L6*0.12</f>
        <v>440</v>
      </c>
      <c r="N6" s="49">
        <f>1-(M6/L6)</f>
        <v>0.12</v>
      </c>
      <c r="O6" s="50">
        <f>+'Trim Rwd'!H4</f>
        <v>328.06060606060606</v>
      </c>
      <c r="P6" s="51">
        <f>O6*(Q6-R6-S6)</f>
        <v>275898.96969696973</v>
      </c>
      <c r="Q6" s="50">
        <v>850</v>
      </c>
      <c r="R6" s="512">
        <v>0</v>
      </c>
      <c r="S6" s="512">
        <v>9</v>
      </c>
      <c r="T6" s="40">
        <f>E6*M6*O6*Q6/100000000</f>
        <v>46.623973333333332</v>
      </c>
      <c r="U6" s="40">
        <f>E6*M6*O6*(Q6-R6-S6)/100000000</f>
        <v>46.130307733333332</v>
      </c>
      <c r="V6" s="40">
        <f>E6*G6*(1-N6)*O6/100*(R6+S6)/1000000</f>
        <v>0.42455241600000004</v>
      </c>
      <c r="W6" s="40">
        <f>+'1'!K7/1000</f>
        <v>53.722000000000001</v>
      </c>
      <c r="X6" s="513">
        <f>SUM(W6:W9)/SUM(K6:K9)</f>
        <v>1.0736612946546025</v>
      </c>
      <c r="Y6" s="214">
        <v>0</v>
      </c>
      <c r="Z6" s="40">
        <f>+'1'!D7/1000</f>
        <v>0.22</v>
      </c>
      <c r="AA6" s="52">
        <f>SUM(U6:U9)-SUM(W6:W9)-SUM(Z6:Z9)-SUM(Y6:Y9)</f>
        <v>-6.4990676680784398</v>
      </c>
      <c r="AB6" s="52">
        <f>(SUM(K6:K9)-SUM(W6:W9)-SUM(Y6:Y9)-SUM(Z6:Z9)-SUM(AC6:AC9)-SUM(V6:V9))-AA6</f>
        <v>6.9113184000011429E-2</v>
      </c>
      <c r="AC6" s="40">
        <f>K6-T6</f>
        <v>0</v>
      </c>
      <c r="AD6" s="40">
        <f>+AM6+BA6</f>
        <v>0</v>
      </c>
      <c r="AE6" s="233" t="s">
        <v>391</v>
      </c>
      <c r="AF6" s="40">
        <v>0</v>
      </c>
      <c r="AG6" s="40"/>
      <c r="AH6" s="40"/>
      <c r="AI6" s="514"/>
      <c r="AJ6" s="40"/>
      <c r="AK6" s="40"/>
      <c r="AL6" s="40"/>
      <c r="AM6" s="40">
        <f>SUM(AF6:AL6)+AT6+AV6+AX6</f>
        <v>0</v>
      </c>
      <c r="AN6" s="40"/>
      <c r="AO6" s="40"/>
      <c r="AP6" s="40"/>
      <c r="AQ6" s="40"/>
      <c r="AR6" s="40">
        <f>SUM(AN6:AQ6)</f>
        <v>0</v>
      </c>
      <c r="AS6" s="40"/>
      <c r="AT6" s="40"/>
      <c r="AU6" s="40"/>
      <c r="AV6" s="40"/>
      <c r="AW6" s="40"/>
      <c r="AX6" s="40"/>
      <c r="AY6" s="40"/>
      <c r="AZ6" s="40"/>
      <c r="BA6" s="40">
        <f>+AR6+AS6+AU6+AW6+AY6+AZ6</f>
        <v>0</v>
      </c>
      <c r="BB6" s="36">
        <v>0</v>
      </c>
      <c r="BC6" s="54"/>
      <c r="BD6" s="54"/>
      <c r="BE6" s="36"/>
      <c r="BF6" s="54"/>
    </row>
    <row r="7" spans="1:58" ht="12.95" customHeight="1">
      <c r="A7" s="43"/>
      <c r="B7" s="44" t="s">
        <v>8</v>
      </c>
      <c r="C7" s="460">
        <f>(M7*E7*O7*Q7)/100000000</f>
        <v>28.044826221176471</v>
      </c>
      <c r="D7" s="44" t="s">
        <v>384</v>
      </c>
      <c r="E7" s="45">
        <v>36</v>
      </c>
      <c r="F7" s="45">
        <v>1</v>
      </c>
      <c r="G7" s="511">
        <v>455</v>
      </c>
      <c r="H7" s="47">
        <v>0.12</v>
      </c>
      <c r="I7" s="48">
        <v>0.88</v>
      </c>
      <c r="J7" s="85">
        <f>E7*G7*(1-H7)*1440/1000000*3.4</f>
        <v>70.572902400000004</v>
      </c>
      <c r="K7" s="85">
        <f>(IF(G7&lt;L7,L7,G7)*(1-IF(H7&lt;N7,H7,N7))*E7*O7*Q7)/100000000</f>
        <v>28.044826221176471</v>
      </c>
      <c r="L7" s="38">
        <v>455</v>
      </c>
      <c r="M7" s="38">
        <f>+L7-L7*0.12</f>
        <v>400.4</v>
      </c>
      <c r="N7" s="49">
        <f>1-(M7/L7)</f>
        <v>0.12</v>
      </c>
      <c r="O7" s="50">
        <f>+'Trim Rwd'!H6</f>
        <v>329.76470588235293</v>
      </c>
      <c r="P7" s="51">
        <f>O7*(Q7-R7-S7)</f>
        <v>192582.5882352941</v>
      </c>
      <c r="Q7" s="50">
        <v>590</v>
      </c>
      <c r="R7" s="512">
        <v>0</v>
      </c>
      <c r="S7" s="512">
        <v>6</v>
      </c>
      <c r="T7" s="40">
        <f>E7*M7*O7*Q7/100000000</f>
        <v>28.044826221176471</v>
      </c>
      <c r="U7" s="40">
        <f>E7*M7*O7*(Q7-R7-S7)/100000000</f>
        <v>27.759624598588232</v>
      </c>
      <c r="V7" s="40">
        <f>E7*G7*(1-N7)*O7/100*(R7+S7)/1000000</f>
        <v>0.28520162258823528</v>
      </c>
      <c r="W7" s="40">
        <f>+'1'!K8/1000</f>
        <v>26.446999999999999</v>
      </c>
      <c r="X7" s="41"/>
      <c r="Y7" s="214"/>
      <c r="Z7" s="40"/>
      <c r="AA7" s="40"/>
      <c r="AB7" s="40"/>
      <c r="AC7" s="40">
        <f>K7-T7</f>
        <v>0</v>
      </c>
      <c r="AD7" s="40">
        <f>+AM7+BA7</f>
        <v>6</v>
      </c>
      <c r="AE7" s="233" t="s">
        <v>390</v>
      </c>
      <c r="AF7" s="40"/>
      <c r="AG7" s="40">
        <v>6</v>
      </c>
      <c r="AH7" s="40"/>
      <c r="AI7" s="514"/>
      <c r="AJ7" s="40"/>
      <c r="AK7" s="40"/>
      <c r="AL7" s="40"/>
      <c r="AM7" s="40">
        <f>SUM(AF7:AL7)+AT7+AV7+AX7</f>
        <v>6</v>
      </c>
      <c r="AN7" s="86"/>
      <c r="AO7" s="40"/>
      <c r="AP7" s="40"/>
      <c r="AQ7" s="40"/>
      <c r="AR7" s="40">
        <f>SUM(AN7:AQ7)</f>
        <v>0</v>
      </c>
      <c r="AS7" s="40"/>
      <c r="AT7" s="40"/>
      <c r="AU7" s="40"/>
      <c r="AV7" s="40"/>
      <c r="AW7" s="40"/>
      <c r="AX7" s="40"/>
      <c r="AY7" s="40"/>
      <c r="AZ7" s="40"/>
      <c r="BA7" s="40">
        <f>+AR7+AS7+AU7+AW7+AY7+AZ7</f>
        <v>0</v>
      </c>
      <c r="BB7" s="53"/>
      <c r="BC7" s="54">
        <v>3</v>
      </c>
      <c r="BD7" s="54"/>
      <c r="BE7" s="53"/>
      <c r="BF7" s="54"/>
    </row>
    <row r="8" spans="1:58" ht="12.95" customHeight="1">
      <c r="A8" s="43"/>
      <c r="B8" s="44"/>
      <c r="C8" s="460"/>
      <c r="D8" s="44"/>
      <c r="E8" s="45"/>
      <c r="F8" s="45"/>
      <c r="G8" s="511"/>
      <c r="H8" s="47"/>
      <c r="I8" s="48"/>
      <c r="J8" s="85"/>
      <c r="K8" s="85"/>
      <c r="L8" s="38"/>
      <c r="M8" s="38"/>
      <c r="N8" s="49"/>
      <c r="O8" s="50"/>
      <c r="P8" s="51"/>
      <c r="Q8" s="50"/>
      <c r="R8" s="512"/>
      <c r="S8" s="512"/>
      <c r="T8" s="40"/>
      <c r="U8" s="40"/>
      <c r="V8" s="40"/>
      <c r="W8" s="40"/>
      <c r="X8" s="41"/>
      <c r="Y8" s="214"/>
      <c r="Z8" s="40"/>
      <c r="AA8" s="40"/>
      <c r="AB8" s="40"/>
      <c r="AC8" s="40"/>
      <c r="AD8" s="40">
        <f>+AM8+BA8</f>
        <v>9</v>
      </c>
      <c r="AE8" s="233" t="s">
        <v>226</v>
      </c>
      <c r="AF8" s="36"/>
      <c r="AG8" s="36"/>
      <c r="AH8" s="36">
        <v>9</v>
      </c>
      <c r="AJ8" s="40"/>
      <c r="AK8" s="40"/>
      <c r="AL8" s="40"/>
      <c r="AM8" s="40">
        <f>SUM(AF8:AL8)+AT8+AV8+AX8</f>
        <v>9</v>
      </c>
      <c r="AN8" s="40"/>
      <c r="AO8" s="40"/>
      <c r="AP8" s="40"/>
      <c r="AQ8" s="40"/>
      <c r="AR8" s="40">
        <f>SUM(AN8:AQ8)</f>
        <v>0</v>
      </c>
      <c r="AS8" s="40"/>
      <c r="AT8" s="40"/>
      <c r="AU8" s="40"/>
      <c r="AV8" s="40"/>
      <c r="AW8" s="40"/>
      <c r="AX8" s="40"/>
      <c r="AY8" s="40"/>
      <c r="AZ8" s="40"/>
      <c r="BA8" s="40">
        <f>+AR8+AS8+AU8+AW8+AY8+AZ8</f>
        <v>0</v>
      </c>
      <c r="BB8" s="36"/>
      <c r="BC8" s="515"/>
      <c r="BD8" s="515"/>
      <c r="BE8" s="36"/>
      <c r="BF8" s="515"/>
    </row>
    <row r="9" spans="1:58" ht="12.95" customHeight="1">
      <c r="A9" s="43"/>
      <c r="B9" s="44"/>
      <c r="C9" s="460"/>
      <c r="D9" s="44"/>
      <c r="E9" s="45"/>
      <c r="F9" s="45"/>
      <c r="G9" s="511"/>
      <c r="H9" s="47"/>
      <c r="I9" s="48"/>
      <c r="J9" s="85"/>
      <c r="K9" s="85"/>
      <c r="L9" s="38"/>
      <c r="M9" s="38"/>
      <c r="N9" s="49"/>
      <c r="O9" s="50"/>
      <c r="P9" s="51"/>
      <c r="Q9" s="37"/>
      <c r="R9" s="512"/>
      <c r="S9" s="512"/>
      <c r="T9" s="40"/>
      <c r="U9" s="40"/>
      <c r="V9" s="40"/>
      <c r="W9" s="40"/>
      <c r="X9" s="513"/>
      <c r="Y9" s="214"/>
      <c r="Z9" s="40"/>
      <c r="AA9" s="52"/>
      <c r="AB9" s="52"/>
      <c r="AC9" s="40"/>
      <c r="AD9" s="40"/>
      <c r="AE9" s="592"/>
      <c r="AF9" s="40"/>
      <c r="AG9" s="40"/>
      <c r="AH9" s="40"/>
      <c r="AI9" s="514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53"/>
      <c r="BC9" s="54"/>
      <c r="BD9" s="54"/>
      <c r="BE9" s="53"/>
      <c r="BF9" s="54"/>
    </row>
    <row r="10" spans="1:58" ht="12.95" customHeight="1">
      <c r="A10" s="43">
        <v>45871</v>
      </c>
      <c r="B10" s="44" t="s">
        <v>8</v>
      </c>
      <c r="C10" s="460">
        <f>(M10*E10*O10*Q10)/100000000</f>
        <v>9.4846751999999981</v>
      </c>
      <c r="D10" s="44" t="s">
        <v>384</v>
      </c>
      <c r="E10" s="45">
        <v>36</v>
      </c>
      <c r="F10" s="45">
        <v>1</v>
      </c>
      <c r="G10" s="511">
        <v>455</v>
      </c>
      <c r="H10" s="47">
        <v>0.12</v>
      </c>
      <c r="I10" s="48">
        <v>0.88</v>
      </c>
      <c r="J10" s="85">
        <f>E10*G10*(1-H10)*1440/1000000*3.4</f>
        <v>70.572902400000004</v>
      </c>
      <c r="K10" s="85">
        <f>(IF(G10&lt;L10,L10,G10)*(1-IF(H10&lt;N10,H10,N10))*E10*O10*Q10)/100000000</f>
        <v>9.4846751999999981</v>
      </c>
      <c r="L10" s="38">
        <v>455</v>
      </c>
      <c r="M10" s="38">
        <f>+L10-L10*0.12</f>
        <v>400.4</v>
      </c>
      <c r="N10" s="49">
        <f>1-(M10/L10)</f>
        <v>0.12</v>
      </c>
      <c r="O10" s="50">
        <f>+'Trim Rwd'!H9</f>
        <v>329</v>
      </c>
      <c r="P10" s="51">
        <f>O10*(Q10-R10-S10)</f>
        <v>62510</v>
      </c>
      <c r="Q10" s="50">
        <v>200</v>
      </c>
      <c r="R10" s="512">
        <v>0</v>
      </c>
      <c r="S10" s="512">
        <v>10</v>
      </c>
      <c r="T10" s="40">
        <f>E10*M10*O10*Q10/100000000</f>
        <v>9.4846751999999981</v>
      </c>
      <c r="U10" s="40">
        <f>E10*M10*O10*(Q10-R10-S10)/100000000</f>
        <v>9.0104414399999992</v>
      </c>
      <c r="V10" s="40">
        <f>E10*G10*(1-N10)*O10/100*(R10+S10)/1000000</f>
        <v>0.47423375999999995</v>
      </c>
      <c r="W10" s="40">
        <f>+'2'!K8/1000</f>
        <v>19.303000000000001</v>
      </c>
      <c r="X10" s="513">
        <f>SUM(W10:W14)/SUM(K10:K14)</f>
        <v>1.0084006925939923</v>
      </c>
      <c r="Y10" s="214">
        <v>0</v>
      </c>
      <c r="Z10" s="40">
        <v>0</v>
      </c>
      <c r="AA10" s="52">
        <f>SUM(U10:U14)-SUM(W10:W14)-SUM(Z10:Z14)-SUM(Y10:Y14)</f>
        <v>-6.9600843600000148</v>
      </c>
      <c r="AB10" s="52">
        <f>(SUM(K10:K14)-SUM(W10:W14)-SUM(Y10:Y14)-SUM(Z10:Z14)-SUM(AC10:AC14)-SUM(V10:V14))-AA10</f>
        <v>-9.870047999999354E-2</v>
      </c>
      <c r="AC10" s="40">
        <f>K10-T10</f>
        <v>0</v>
      </c>
      <c r="AD10" s="40">
        <f>+AM10+BA10</f>
        <v>5</v>
      </c>
      <c r="AE10" s="233" t="s">
        <v>436</v>
      </c>
      <c r="AF10" s="40">
        <v>5</v>
      </c>
      <c r="AG10" s="40"/>
      <c r="AH10" s="40"/>
      <c r="AI10" s="514"/>
      <c r="AJ10" s="40"/>
      <c r="AK10" s="40"/>
      <c r="AL10" s="40"/>
      <c r="AM10" s="40">
        <f>SUM(AF10:AL10)+AT10+AV10+AX10</f>
        <v>5</v>
      </c>
      <c r="AN10" s="40"/>
      <c r="AO10" s="40"/>
      <c r="AP10" s="40"/>
      <c r="AQ10" s="40"/>
      <c r="AR10" s="40">
        <f>SUM(AN10:AQ10)</f>
        <v>0</v>
      </c>
      <c r="AS10" s="40"/>
      <c r="AT10" s="40"/>
      <c r="AU10" s="40"/>
      <c r="AV10" s="40"/>
      <c r="AW10" s="40"/>
      <c r="AX10" s="40"/>
      <c r="AY10" s="40"/>
      <c r="AZ10" s="40"/>
      <c r="BA10" s="40">
        <f>+AR10+AS10+AU10+AW10+AY10+AZ10</f>
        <v>0</v>
      </c>
      <c r="BB10" s="36">
        <v>2</v>
      </c>
      <c r="BC10" s="54"/>
      <c r="BD10" s="54"/>
      <c r="BE10" s="36"/>
      <c r="BF10" s="54"/>
    </row>
    <row r="11" spans="1:58" ht="12.95" customHeight="1">
      <c r="A11" s="43"/>
      <c r="B11" s="44" t="s">
        <v>8</v>
      </c>
      <c r="C11" s="460">
        <f>(M11*E11*O11*Q11)/100000000</f>
        <v>16.350681599999998</v>
      </c>
      <c r="D11" s="44" t="s">
        <v>384</v>
      </c>
      <c r="E11" s="45">
        <v>34</v>
      </c>
      <c r="F11" s="45">
        <v>1</v>
      </c>
      <c r="G11" s="511">
        <v>480</v>
      </c>
      <c r="H11" s="47">
        <v>0.12</v>
      </c>
      <c r="I11" s="48">
        <v>0.88</v>
      </c>
      <c r="J11" s="85">
        <f>E11*G11*(1-H11)*1440/1000000*3.4</f>
        <v>70.314393599999988</v>
      </c>
      <c r="K11" s="85">
        <f>(IF(G11&lt;L11,L11,G11)*(1-IF(H11&lt;N11,H11,N11))*E11*O11*Q11)/100000000</f>
        <v>16.350681599999998</v>
      </c>
      <c r="L11" s="38">
        <v>480</v>
      </c>
      <c r="M11" s="38">
        <f>+L11-L11*0.12</f>
        <v>422.4</v>
      </c>
      <c r="N11" s="49">
        <f>1-(M11/L11)</f>
        <v>0.12</v>
      </c>
      <c r="O11" s="50">
        <f>+'Trim Rwd'!H10</f>
        <v>330</v>
      </c>
      <c r="P11" s="51">
        <f>O11*(Q11-R11-S11)</f>
        <v>110550</v>
      </c>
      <c r="Q11" s="50">
        <v>345</v>
      </c>
      <c r="R11" s="512">
        <v>0</v>
      </c>
      <c r="S11" s="512">
        <v>10</v>
      </c>
      <c r="T11" s="40">
        <f>E11*M11*O11*Q11/100000000</f>
        <v>16.350681599999998</v>
      </c>
      <c r="U11" s="40">
        <f>E11*M11*O11*(Q11-R11-S11)/100000000</f>
        <v>15.876748799999998</v>
      </c>
      <c r="V11" s="40">
        <f>E11*G11*(1-N11)*O11/100*(R11+S11)/1000000</f>
        <v>0.47393279999999999</v>
      </c>
      <c r="W11" s="40">
        <f>+'2'!K9/1000</f>
        <v>19.925999999999998</v>
      </c>
      <c r="X11" s="41"/>
      <c r="Y11" s="214"/>
      <c r="Z11" s="40">
        <v>0</v>
      </c>
      <c r="AA11" s="40"/>
      <c r="AB11" s="40"/>
      <c r="AC11" s="40">
        <f>K11-T11</f>
        <v>0</v>
      </c>
      <c r="AD11" s="40">
        <f>+AM11+BA11</f>
        <v>10</v>
      </c>
      <c r="AE11" s="233" t="s">
        <v>446</v>
      </c>
      <c r="AF11" s="40"/>
      <c r="AG11" s="40">
        <v>10</v>
      </c>
      <c r="AH11" s="40"/>
      <c r="AI11" s="514"/>
      <c r="AJ11" s="40"/>
      <c r="AK11" s="40"/>
      <c r="AL11" s="40"/>
      <c r="AM11" s="40">
        <f>SUM(AF11:AL11)+AT11+AV11+AX11</f>
        <v>10</v>
      </c>
      <c r="AN11" s="86"/>
      <c r="AO11" s="40"/>
      <c r="AP11" s="40"/>
      <c r="AQ11" s="40"/>
      <c r="AR11" s="40">
        <f>SUM(AN11:AQ11)</f>
        <v>0</v>
      </c>
      <c r="AS11" s="40"/>
      <c r="AT11" s="40"/>
      <c r="AU11" s="40"/>
      <c r="AV11" s="40"/>
      <c r="AW11" s="40"/>
      <c r="AX11" s="40"/>
      <c r="AY11" s="40"/>
      <c r="AZ11" s="40"/>
      <c r="BA11" s="40">
        <f>+AR11+AS11+AU11+AW11+AY11+AZ11</f>
        <v>0</v>
      </c>
      <c r="BB11" s="53"/>
      <c r="BC11" s="54">
        <v>5</v>
      </c>
      <c r="BD11" s="54"/>
      <c r="BE11" s="53"/>
      <c r="BF11" s="54"/>
    </row>
    <row r="12" spans="1:58" ht="12.95" customHeight="1">
      <c r="A12" s="43"/>
      <c r="B12" s="44" t="s">
        <v>8</v>
      </c>
      <c r="C12" s="460">
        <f>(M12*E12*O12*Q12)/100000000</f>
        <v>9.5629842000000007</v>
      </c>
      <c r="D12" s="44" t="s">
        <v>384</v>
      </c>
      <c r="E12" s="45">
        <v>30</v>
      </c>
      <c r="F12" s="45">
        <v>1</v>
      </c>
      <c r="G12" s="511">
        <v>545</v>
      </c>
      <c r="H12" s="47">
        <v>0.12</v>
      </c>
      <c r="I12" s="48">
        <v>0.88</v>
      </c>
      <c r="J12" s="85">
        <f>E12*G12*(1-H12)*1440/1000000*3.4</f>
        <v>70.443647999999996</v>
      </c>
      <c r="K12" s="85">
        <f>(IF(G12&lt;L12,L12,G12)*(1-IF(H12&lt;N12,H12,N12))*E12*O12*Q12)/100000000</f>
        <v>9.5629842000000007</v>
      </c>
      <c r="L12" s="38">
        <v>545</v>
      </c>
      <c r="M12" s="38">
        <f>+L12-L12*0.12</f>
        <v>479.6</v>
      </c>
      <c r="N12" s="49">
        <f>1-(M12/L12)</f>
        <v>0.12</v>
      </c>
      <c r="O12" s="50">
        <f>+'Trim Rwd'!H11</f>
        <v>315</v>
      </c>
      <c r="P12" s="51">
        <f>O12*(Q12-R12-S12)</f>
        <v>63315</v>
      </c>
      <c r="Q12" s="50">
        <v>211</v>
      </c>
      <c r="R12" s="512">
        <v>0</v>
      </c>
      <c r="S12" s="512">
        <v>10</v>
      </c>
      <c r="T12" s="40">
        <f>E12*M12*O12*Q12/100000000</f>
        <v>9.5629842000000007</v>
      </c>
      <c r="U12" s="40">
        <f>E12*M12*O12*(Q12-R12-S12)/100000000</f>
        <v>9.1097622000000005</v>
      </c>
      <c r="V12" s="40">
        <f>E12*G12*(1-N12)*O12/100*(R12+S12)/1000000</f>
        <v>0.45322200000000001</v>
      </c>
      <c r="W12" s="40">
        <f>+'2'!K10/1000</f>
        <v>11.016999999999999</v>
      </c>
      <c r="X12" s="41"/>
      <c r="Y12" s="214"/>
      <c r="Z12" s="40">
        <v>0</v>
      </c>
      <c r="AA12" s="40"/>
      <c r="AB12" s="40"/>
      <c r="AC12" s="40">
        <f>K12-T12</f>
        <v>0</v>
      </c>
      <c r="AD12" s="40">
        <f>+AM12+BA12</f>
        <v>11</v>
      </c>
      <c r="AE12" s="233" t="s">
        <v>226</v>
      </c>
      <c r="AF12" s="36"/>
      <c r="AG12" s="36"/>
      <c r="AH12" s="36">
        <v>11</v>
      </c>
      <c r="AJ12" s="40"/>
      <c r="AK12" s="40"/>
      <c r="AL12" s="40"/>
      <c r="AM12" s="40">
        <f>SUM(AF12:AL12)+AT12+AV12+AX12</f>
        <v>11</v>
      </c>
      <c r="AN12" s="40"/>
      <c r="AO12" s="40"/>
      <c r="AP12" s="40"/>
      <c r="AQ12" s="40"/>
      <c r="AR12" s="40">
        <f>SUM(AN12:AQ12)</f>
        <v>0</v>
      </c>
      <c r="AS12" s="40"/>
      <c r="AT12" s="40"/>
      <c r="AU12" s="40"/>
      <c r="AV12" s="40"/>
      <c r="AW12" s="40"/>
      <c r="AX12" s="40"/>
      <c r="AY12" s="40"/>
      <c r="AZ12" s="40"/>
      <c r="BA12" s="40">
        <f>+AR12+AS12+AU12+AW12+AY12+AZ12</f>
        <v>0</v>
      </c>
      <c r="BB12" s="36"/>
      <c r="BC12" s="515"/>
      <c r="BD12" s="515"/>
      <c r="BE12" s="36"/>
      <c r="BF12" s="515"/>
    </row>
    <row r="13" spans="1:58" ht="12.95" customHeight="1">
      <c r="A13" s="43"/>
      <c r="B13" s="44" t="s">
        <v>8</v>
      </c>
      <c r="C13" s="460">
        <f>(M13*E13*O13*Q13)/100000000</f>
        <v>20.161152000000001</v>
      </c>
      <c r="D13" s="44" t="s">
        <v>384</v>
      </c>
      <c r="E13" s="45">
        <v>20</v>
      </c>
      <c r="F13" s="45">
        <v>1</v>
      </c>
      <c r="G13" s="511">
        <v>830</v>
      </c>
      <c r="H13" s="47">
        <v>0.14000000000000001</v>
      </c>
      <c r="I13" s="48">
        <v>0.88</v>
      </c>
      <c r="J13" s="85">
        <f>E13*G13*(1-H13)*1440/1000000*3.4</f>
        <v>69.895296000000002</v>
      </c>
      <c r="K13" s="85">
        <f>(IF(G13&lt;L13,L13,G13)*(1-IF(H13&lt;N13,H13,N13))*E13*O13*Q13)/100000000</f>
        <v>20.917195199999998</v>
      </c>
      <c r="L13" s="38">
        <v>800</v>
      </c>
      <c r="M13" s="38">
        <v>688</v>
      </c>
      <c r="N13" s="49">
        <f>1-(M13/L13)</f>
        <v>0.14000000000000001</v>
      </c>
      <c r="O13" s="50">
        <f>+'Trim Rwd'!H12</f>
        <v>330</v>
      </c>
      <c r="P13" s="51">
        <f>O13*(Q13-R13-S13)</f>
        <v>128370</v>
      </c>
      <c r="Q13" s="50">
        <v>444</v>
      </c>
      <c r="R13" s="512">
        <v>50</v>
      </c>
      <c r="S13" s="512">
        <v>5</v>
      </c>
      <c r="T13" s="40">
        <f>E13*M13*O13*Q13/100000000</f>
        <v>20.161152000000001</v>
      </c>
      <c r="U13" s="40">
        <f>E13*M13*O13*(Q13-R13-S13)/100000000</f>
        <v>17.663712</v>
      </c>
      <c r="V13" s="40">
        <f>E13*G13*(1-N13)*O13/100*(R13+S13)/1000000</f>
        <v>2.591094</v>
      </c>
      <c r="W13" s="40">
        <f>+'2'!K11/1000</f>
        <v>13.885</v>
      </c>
      <c r="X13" s="513"/>
      <c r="Y13" s="214"/>
      <c r="Z13" s="40">
        <f>+'2'!D18/1000</f>
        <v>0.4</v>
      </c>
      <c r="AA13" s="52"/>
      <c r="AB13" s="52"/>
      <c r="AC13" s="40">
        <f>K13-T13</f>
        <v>0.75604319999999703</v>
      </c>
      <c r="AD13" s="40">
        <f>+AM13+BA13</f>
        <v>12</v>
      </c>
      <c r="AE13" s="236" t="s">
        <v>447</v>
      </c>
      <c r="AF13" s="40"/>
      <c r="AG13" s="40"/>
      <c r="AH13" s="40"/>
      <c r="AI13" s="514">
        <v>12</v>
      </c>
      <c r="AJ13" s="40"/>
      <c r="AK13" s="40"/>
      <c r="AL13" s="40"/>
      <c r="AM13" s="40">
        <f>SUM(AF13:AL13)+AT13+AV13+AX13</f>
        <v>12</v>
      </c>
      <c r="AN13" s="40"/>
      <c r="AO13" s="40"/>
      <c r="AP13" s="40"/>
      <c r="AQ13" s="40"/>
      <c r="AR13" s="40">
        <f>SUM(AN13:AQ13)</f>
        <v>0</v>
      </c>
      <c r="AS13" s="40"/>
      <c r="AT13" s="40"/>
      <c r="AU13" s="40"/>
      <c r="AV13" s="40"/>
      <c r="AW13" s="40"/>
      <c r="AX13" s="40"/>
      <c r="AY13" s="40"/>
      <c r="AZ13" s="40"/>
      <c r="BA13" s="40">
        <f>+AR13+AS13+AU13+AW13+AY13+AZ13</f>
        <v>0</v>
      </c>
      <c r="BB13" s="36"/>
      <c r="BC13" s="515"/>
      <c r="BD13" s="515"/>
      <c r="BE13" s="36"/>
      <c r="BF13" s="515"/>
    </row>
    <row r="14" spans="1:58" ht="12.95" customHeight="1">
      <c r="A14" s="43"/>
      <c r="B14" s="44" t="s">
        <v>445</v>
      </c>
      <c r="C14" s="460">
        <f>(M14*E14*O14*Q14)/100000000</f>
        <v>10.765824</v>
      </c>
      <c r="D14" s="44" t="s">
        <v>384</v>
      </c>
      <c r="E14" s="45">
        <v>20</v>
      </c>
      <c r="F14" s="45">
        <v>1</v>
      </c>
      <c r="G14" s="511">
        <v>830</v>
      </c>
      <c r="H14" s="47">
        <v>0.14000000000000001</v>
      </c>
      <c r="I14" s="48">
        <v>0.88</v>
      </c>
      <c r="J14" s="85">
        <f>E14*G14*(1-H14)*1440/1000000*3.4</f>
        <v>69.895296000000002</v>
      </c>
      <c r="K14" s="85">
        <f>(IF(G14&lt;L14,L14,G14)*(1-IF(H14&lt;N14,H14,N14))*E14*O14*Q14)/100000000</f>
        <v>11.169542399999999</v>
      </c>
      <c r="L14" s="38">
        <v>800</v>
      </c>
      <c r="M14" s="38">
        <v>688</v>
      </c>
      <c r="N14" s="49">
        <f>1-(M14/L14)</f>
        <v>0.14000000000000001</v>
      </c>
      <c r="O14" s="50">
        <f>+'Trim Rwd'!H13</f>
        <v>326</v>
      </c>
      <c r="P14" s="51">
        <f>O14*(Q14-R14-S14)</f>
        <v>77262</v>
      </c>
      <c r="Q14" s="50">
        <v>240</v>
      </c>
      <c r="R14" s="512">
        <v>0</v>
      </c>
      <c r="S14" s="512">
        <v>3</v>
      </c>
      <c r="T14" s="40">
        <f>E14*M14*O14*Q14/100000000</f>
        <v>10.765824</v>
      </c>
      <c r="U14" s="40">
        <f>E14*M14*O14*(Q14-R14-S14)/100000000</f>
        <v>10.631251199999999</v>
      </c>
      <c r="V14" s="40">
        <f>E14*G14*(1-N14)*O14/100*(R14+S14)/1000000</f>
        <v>0.13961928000000001</v>
      </c>
      <c r="W14" s="40">
        <f>+'2'!K12/1000</f>
        <v>3.9209999999999998</v>
      </c>
      <c r="X14" s="41"/>
      <c r="Y14" s="214"/>
      <c r="Z14" s="40">
        <f>+'2'!D26/1000</f>
        <v>0.8</v>
      </c>
      <c r="AA14" s="40"/>
      <c r="AB14" s="40"/>
      <c r="AC14" s="40">
        <f>K14-T14</f>
        <v>0.40371839999999892</v>
      </c>
      <c r="AD14" s="40">
        <f>+AM14+BA14</f>
        <v>50</v>
      </c>
      <c r="AE14" s="236" t="s">
        <v>438</v>
      </c>
      <c r="AF14" s="40"/>
      <c r="AG14" s="40"/>
      <c r="AH14" s="40"/>
      <c r="AI14" s="514"/>
      <c r="AJ14" s="40"/>
      <c r="AK14" s="40"/>
      <c r="AL14" s="40"/>
      <c r="AM14" s="40">
        <f>SUM(AF14:AL14)+AT14+AV14+AX14</f>
        <v>0</v>
      </c>
      <c r="AN14" s="40"/>
      <c r="AO14" s="40"/>
      <c r="AP14" s="40">
        <v>50</v>
      </c>
      <c r="AQ14" s="40"/>
      <c r="AR14" s="40">
        <f>SUM(AN14:AQ14)</f>
        <v>50</v>
      </c>
      <c r="AS14" s="40"/>
      <c r="AT14" s="40"/>
      <c r="AU14" s="40"/>
      <c r="AV14" s="40"/>
      <c r="AW14" s="40"/>
      <c r="AX14" s="40"/>
      <c r="AY14" s="40"/>
      <c r="AZ14" s="40"/>
      <c r="BA14" s="40">
        <f>+AR14+AS14+AU14+AW14+AY14+AZ14</f>
        <v>50</v>
      </c>
      <c r="BB14" s="36"/>
      <c r="BC14" s="515"/>
      <c r="BD14" s="515"/>
      <c r="BE14" s="36"/>
      <c r="BF14" s="515"/>
    </row>
    <row r="15" spans="1:58" ht="12.95" customHeight="1">
      <c r="A15" s="43"/>
      <c r="B15" s="44"/>
      <c r="C15" s="460"/>
      <c r="D15" s="44"/>
      <c r="E15" s="45"/>
      <c r="F15" s="45"/>
      <c r="G15" s="46"/>
      <c r="H15" s="47"/>
      <c r="I15" s="48"/>
      <c r="J15" s="85"/>
      <c r="K15" s="85"/>
      <c r="L15" s="38"/>
      <c r="M15" s="38"/>
      <c r="N15" s="49"/>
      <c r="O15" s="50"/>
      <c r="P15" s="51"/>
      <c r="Q15" s="37"/>
      <c r="R15" s="512"/>
      <c r="S15" s="512"/>
      <c r="T15" s="40"/>
      <c r="U15" s="40"/>
      <c r="V15" s="40"/>
      <c r="W15" s="40"/>
      <c r="X15" s="41"/>
      <c r="Y15" s="214"/>
      <c r="Z15" s="40"/>
      <c r="AA15" s="40"/>
      <c r="AB15" s="40"/>
      <c r="AC15" s="40"/>
      <c r="AD15" s="40"/>
      <c r="AE15" s="236"/>
      <c r="AF15" s="40"/>
      <c r="AG15" s="40"/>
      <c r="AH15" s="40"/>
      <c r="AI15" s="514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53"/>
      <c r="BC15" s="54"/>
      <c r="BD15" s="54"/>
      <c r="BE15" s="53"/>
      <c r="BF15" s="54"/>
    </row>
    <row r="16" spans="1:58" ht="12.95" customHeight="1">
      <c r="A16" s="43">
        <v>45872</v>
      </c>
      <c r="B16" s="44" t="s">
        <v>445</v>
      </c>
      <c r="C16" s="460">
        <f>(M16*E16*O16*Q16)/100000000</f>
        <v>4.0371839999999999</v>
      </c>
      <c r="D16" s="44" t="s">
        <v>384</v>
      </c>
      <c r="E16" s="45">
        <v>20</v>
      </c>
      <c r="F16" s="45">
        <v>1</v>
      </c>
      <c r="G16" s="511">
        <v>830</v>
      </c>
      <c r="H16" s="47">
        <v>0.14000000000000001</v>
      </c>
      <c r="I16" s="48">
        <v>0.88</v>
      </c>
      <c r="J16" s="85">
        <f>E16*G16*(1-H16)*1440/1000000*3.4</f>
        <v>69.895296000000002</v>
      </c>
      <c r="K16" s="85">
        <f>(IF(G16&lt;L16,L16,G16)*(1-IF(H16&lt;N16,H16,N16))*E16*O16*Q16)/100000000</f>
        <v>4.1885783999999999</v>
      </c>
      <c r="L16" s="38">
        <v>800</v>
      </c>
      <c r="M16" s="38">
        <v>688</v>
      </c>
      <c r="N16" s="49">
        <f>1-(M16/L16)</f>
        <v>0.14000000000000001</v>
      </c>
      <c r="O16" s="50">
        <f>+'Trim Rwd'!H15</f>
        <v>326</v>
      </c>
      <c r="P16" s="51">
        <f>O16*(Q16-R16-S16)</f>
        <v>28362</v>
      </c>
      <c r="Q16" s="50">
        <v>90</v>
      </c>
      <c r="R16" s="512">
        <v>0</v>
      </c>
      <c r="S16" s="512">
        <v>3</v>
      </c>
      <c r="T16" s="40">
        <f>E16*M16*O16*Q16/100000000</f>
        <v>4.0371839999999999</v>
      </c>
      <c r="U16" s="40">
        <f>E16*M16*O16*(Q16-R16-S16)/100000000</f>
        <v>3.9026111999999999</v>
      </c>
      <c r="V16" s="40">
        <f>E16*G16*(1-N16)*O16/100*(R16+S16)/1000000</f>
        <v>0.13961928000000001</v>
      </c>
      <c r="W16" s="40">
        <f>+'3'!K12/1000</f>
        <v>12.262</v>
      </c>
      <c r="X16" s="513">
        <f>SUM(W16:W19)/SUM(K16:K19)</f>
        <v>0.91110339907076565</v>
      </c>
      <c r="Y16" s="214">
        <v>0</v>
      </c>
      <c r="Z16" s="40">
        <f>+'3'!D7/1000</f>
        <v>0.85</v>
      </c>
      <c r="AA16" s="52">
        <f>SUM(U16:U19)-SUM(W16:W19)-SUM(Z16:Z19)-SUM(Y16:Y19)</f>
        <v>1.1303348</v>
      </c>
      <c r="AB16" s="52">
        <f>(SUM(K16:K19)-SUM(W16:W19)-SUM(Y16:Y19)-SUM(Z16:Z19)-SUM(AC16:AC19)-SUM(V16:V19))-AA16</f>
        <v>-3.5482095000006986E-2</v>
      </c>
      <c r="AC16" s="40">
        <f>K16-T16</f>
        <v>0.15139440000000004</v>
      </c>
      <c r="AD16" s="40">
        <f>+AM16+BA16</f>
        <v>3</v>
      </c>
      <c r="AE16" s="233" t="s">
        <v>436</v>
      </c>
      <c r="AF16" s="40">
        <v>3</v>
      </c>
      <c r="AG16" s="40"/>
      <c r="AH16" s="40"/>
      <c r="AI16" s="514"/>
      <c r="AJ16" s="40"/>
      <c r="AK16" s="40"/>
      <c r="AL16" s="40"/>
      <c r="AM16" s="40">
        <f>SUM(AF16:AL16)+AT16+AV16+AX16</f>
        <v>3</v>
      </c>
      <c r="AN16" s="40"/>
      <c r="AO16" s="40"/>
      <c r="AP16" s="40"/>
      <c r="AQ16" s="40"/>
      <c r="AR16" s="40">
        <f>SUM(AN16:AQ16)</f>
        <v>0</v>
      </c>
      <c r="AS16" s="40"/>
      <c r="AT16" s="40"/>
      <c r="AU16" s="40"/>
      <c r="AV16" s="40"/>
      <c r="AW16" s="40"/>
      <c r="AX16" s="40"/>
      <c r="AY16" s="40"/>
      <c r="AZ16" s="40"/>
      <c r="BA16" s="40">
        <f>+AR16+AS16+AU16+AW16+AY16+AZ16</f>
        <v>0</v>
      </c>
      <c r="BB16" s="36">
        <v>2</v>
      </c>
      <c r="BC16" s="54"/>
      <c r="BD16" s="54"/>
      <c r="BE16" s="36"/>
      <c r="BF16" s="54"/>
    </row>
    <row r="17" spans="1:58" ht="12.95" customHeight="1">
      <c r="A17" s="43"/>
      <c r="B17" s="44" t="s">
        <v>445</v>
      </c>
      <c r="C17" s="460">
        <f>(M17*E17*O17*Q17)/100000000</f>
        <v>52.175339999999998</v>
      </c>
      <c r="D17" s="44" t="s">
        <v>384</v>
      </c>
      <c r="E17" s="45">
        <v>17.5</v>
      </c>
      <c r="F17" s="45">
        <v>1</v>
      </c>
      <c r="G17" s="511">
        <v>830</v>
      </c>
      <c r="H17" s="47">
        <v>0.14000000000000001</v>
      </c>
      <c r="I17" s="48">
        <v>0.88</v>
      </c>
      <c r="J17" s="85">
        <f>E17*G17*(1-H17)*1440/1000000*3.4</f>
        <v>61.158384000000005</v>
      </c>
      <c r="K17" s="85">
        <f>(IF(G17&lt;L17,L17,G17)*(1-IF(H17&lt;N17,H17,N17))*E17*O17*Q17)/100000000</f>
        <v>54.131915249999999</v>
      </c>
      <c r="L17" s="38">
        <v>800</v>
      </c>
      <c r="M17" s="38">
        <v>688</v>
      </c>
      <c r="N17" s="49">
        <f>1-(M17/L17)</f>
        <v>0.14000000000000001</v>
      </c>
      <c r="O17" s="50">
        <f>+'Trim Rwd'!H16</f>
        <v>321</v>
      </c>
      <c r="P17" s="51">
        <f>O17*(Q17-R17-S17)</f>
        <v>426609</v>
      </c>
      <c r="Q17" s="50">
        <v>1350</v>
      </c>
      <c r="R17" s="512">
        <v>0</v>
      </c>
      <c r="S17" s="512">
        <v>21</v>
      </c>
      <c r="T17" s="40">
        <f>E17*M17*O17*Q17/100000000</f>
        <v>52.175339999999998</v>
      </c>
      <c r="U17" s="40">
        <f>E17*M17*O17*(Q17-R17-S17)/100000000</f>
        <v>51.3637236</v>
      </c>
      <c r="V17" s="40">
        <f>E17*G17*(1-N17)*O17/100*(R17+S17)/1000000</f>
        <v>0.84205201499999993</v>
      </c>
      <c r="W17" s="40">
        <f>+'3'!K13/1000</f>
        <v>40.874000000000002</v>
      </c>
      <c r="X17" s="41"/>
      <c r="Y17" s="214"/>
      <c r="Z17" s="40">
        <f>+'3'!D16/1000</f>
        <v>0.15</v>
      </c>
      <c r="AA17" s="40"/>
      <c r="AB17" s="40"/>
      <c r="AC17" s="40">
        <f>K17-T17</f>
        <v>1.9565752500000002</v>
      </c>
      <c r="AD17" s="40">
        <f>+AM17+BA17</f>
        <v>11</v>
      </c>
      <c r="AE17" s="233" t="s">
        <v>448</v>
      </c>
      <c r="AF17" s="40"/>
      <c r="AG17" s="40">
        <v>11</v>
      </c>
      <c r="AH17" s="40"/>
      <c r="AI17" s="514"/>
      <c r="AJ17" s="40"/>
      <c r="AK17" s="40"/>
      <c r="AL17" s="40"/>
      <c r="AM17" s="40">
        <f>SUM(AF17:AL17)+AT17+AV17+AX17</f>
        <v>11</v>
      </c>
      <c r="AN17" s="86"/>
      <c r="AO17" s="40"/>
      <c r="AP17" s="40"/>
      <c r="AQ17" s="40"/>
      <c r="AR17" s="40">
        <f>SUM(AN17:AQ17)</f>
        <v>0</v>
      </c>
      <c r="AS17" s="40"/>
      <c r="AT17" s="40"/>
      <c r="AU17" s="40"/>
      <c r="AV17" s="40"/>
      <c r="AW17" s="40"/>
      <c r="AX17" s="40"/>
      <c r="AY17" s="40"/>
      <c r="AZ17" s="40"/>
      <c r="BA17" s="40">
        <f>+AR17+AS17+AU17+AW17+AY17+AZ17</f>
        <v>0</v>
      </c>
      <c r="BB17" s="53"/>
      <c r="BC17" s="54">
        <v>6</v>
      </c>
      <c r="BD17" s="54"/>
      <c r="BE17" s="53"/>
      <c r="BF17" s="54"/>
    </row>
    <row r="18" spans="1:58" ht="12.95" customHeight="1">
      <c r="A18" s="43"/>
      <c r="B18" s="44"/>
      <c r="C18" s="460"/>
      <c r="D18" s="44"/>
      <c r="E18" s="45"/>
      <c r="F18" s="45"/>
      <c r="G18" s="511"/>
      <c r="H18" s="47"/>
      <c r="I18" s="48"/>
      <c r="J18" s="85"/>
      <c r="K18" s="85"/>
      <c r="L18" s="38"/>
      <c r="M18" s="38"/>
      <c r="N18" s="49"/>
      <c r="O18" s="50"/>
      <c r="P18" s="51"/>
      <c r="Q18" s="50"/>
      <c r="R18" s="512"/>
      <c r="S18" s="512"/>
      <c r="T18" s="40"/>
      <c r="U18" s="40"/>
      <c r="V18" s="40"/>
      <c r="W18" s="40"/>
      <c r="X18" s="41"/>
      <c r="Y18" s="214"/>
      <c r="Z18" s="40"/>
      <c r="AA18" s="40"/>
      <c r="AB18" s="40"/>
      <c r="AC18" s="40"/>
      <c r="AD18" s="40">
        <f>+AM18+BA18</f>
        <v>10</v>
      </c>
      <c r="AE18" s="233" t="s">
        <v>226</v>
      </c>
      <c r="AF18" s="36"/>
      <c r="AG18" s="36"/>
      <c r="AH18" s="36">
        <v>10</v>
      </c>
      <c r="AJ18" s="40"/>
      <c r="AK18" s="40"/>
      <c r="AL18" s="40"/>
      <c r="AM18" s="40">
        <f>SUM(AF18:AL18)+AT18+AV18+AX18</f>
        <v>10</v>
      </c>
      <c r="AN18" s="40"/>
      <c r="AO18" s="40"/>
      <c r="AP18" s="40"/>
      <c r="AQ18" s="40"/>
      <c r="AR18" s="40">
        <f>SUM(AN18:AQ18)</f>
        <v>0</v>
      </c>
      <c r="AS18" s="40"/>
      <c r="AT18" s="40"/>
      <c r="AU18" s="40"/>
      <c r="AV18" s="40"/>
      <c r="AW18" s="40"/>
      <c r="AX18" s="40"/>
      <c r="AY18" s="40"/>
      <c r="AZ18" s="40"/>
      <c r="BA18" s="40">
        <f>+AR18+AS18+AU18+AW18+AY18+AZ18</f>
        <v>0</v>
      </c>
      <c r="BB18" s="36"/>
      <c r="BC18" s="515"/>
      <c r="BD18" s="515"/>
      <c r="BE18" s="36"/>
      <c r="BF18" s="515"/>
    </row>
    <row r="19" spans="1:58" ht="12.95" customHeight="1">
      <c r="A19" s="43"/>
      <c r="B19" s="44"/>
      <c r="C19" s="460"/>
      <c r="D19" s="44"/>
      <c r="E19" s="45"/>
      <c r="F19" s="45"/>
      <c r="G19" s="46"/>
      <c r="H19" s="47"/>
      <c r="I19" s="48"/>
      <c r="J19" s="85"/>
      <c r="K19" s="85"/>
      <c r="L19" s="38"/>
      <c r="M19" s="38"/>
      <c r="N19" s="49"/>
      <c r="O19" s="50"/>
      <c r="P19" s="51"/>
      <c r="Q19" s="37"/>
      <c r="R19" s="512"/>
      <c r="S19" s="512"/>
      <c r="T19" s="40"/>
      <c r="U19" s="40"/>
      <c r="V19" s="40"/>
      <c r="W19" s="40"/>
      <c r="X19" s="41"/>
      <c r="Y19" s="214"/>
      <c r="Z19" s="40"/>
      <c r="AA19" s="40"/>
      <c r="AB19" s="40"/>
      <c r="AC19" s="40"/>
      <c r="AD19" s="40"/>
      <c r="AE19" s="233"/>
      <c r="AF19" s="36"/>
      <c r="AG19" s="36"/>
      <c r="AH19" s="36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36"/>
      <c r="BC19" s="515"/>
      <c r="BD19" s="515"/>
      <c r="BE19" s="36"/>
      <c r="BF19" s="515"/>
    </row>
    <row r="20" spans="1:58" ht="12.95" customHeight="1">
      <c r="A20" s="43">
        <v>45873</v>
      </c>
      <c r="B20" s="44" t="s">
        <v>445</v>
      </c>
      <c r="C20" s="460">
        <f>(M20*E20*O20*Q20)/100000000</f>
        <v>17.005296000000001</v>
      </c>
      <c r="D20" s="44" t="s">
        <v>384</v>
      </c>
      <c r="E20" s="45">
        <v>17.5</v>
      </c>
      <c r="F20" s="45">
        <v>1</v>
      </c>
      <c r="G20" s="511">
        <v>830</v>
      </c>
      <c r="H20" s="47">
        <v>0.14000000000000001</v>
      </c>
      <c r="I20" s="48">
        <v>0.88</v>
      </c>
      <c r="J20" s="85">
        <f>E20*G20*(1-H20)*1440/1000000*3.4</f>
        <v>61.158384000000005</v>
      </c>
      <c r="K20" s="85">
        <f>(IF(G20&lt;L20,L20,G20)*(1-IF(H20&lt;N20,H20,N20))*E20*O20*Q20)/100000000</f>
        <v>17.642994600000002</v>
      </c>
      <c r="L20" s="38">
        <v>800</v>
      </c>
      <c r="M20" s="38">
        <v>688</v>
      </c>
      <c r="N20" s="49">
        <f>1-(M20/L20)</f>
        <v>0.14000000000000001</v>
      </c>
      <c r="O20" s="50">
        <f>+'Trim Rwd'!H18</f>
        <v>321</v>
      </c>
      <c r="P20" s="51">
        <f>O20*(Q20-R20-S20)</f>
        <v>130005</v>
      </c>
      <c r="Q20" s="50">
        <v>440</v>
      </c>
      <c r="R20" s="512">
        <v>0</v>
      </c>
      <c r="S20" s="512">
        <v>35</v>
      </c>
      <c r="T20" s="40">
        <f>E20*M20*O20*Q20/100000000</f>
        <v>17.005296000000001</v>
      </c>
      <c r="U20" s="40">
        <f>E20*M20*O20*(Q20-R20-S20)/100000000</f>
        <v>15.652602</v>
      </c>
      <c r="V20" s="40">
        <f>E20*G20*(1-N20)*O20/100*(R20+S20)/1000000</f>
        <v>1.403420025</v>
      </c>
      <c r="W20" s="40">
        <f>+'4'!K13/1000</f>
        <v>21.013999999999999</v>
      </c>
      <c r="X20" s="513">
        <f>SUM(W20:W23)/SUM(K20:K23)</f>
        <v>0.80052628435133455</v>
      </c>
      <c r="Y20" s="214">
        <v>0</v>
      </c>
      <c r="Z20" s="40">
        <f>+'4'!D7/1000</f>
        <v>0.3</v>
      </c>
      <c r="AA20" s="52">
        <f>SUM(U20:U23)-SUM(W20:W23)-SUM(Z20:Z23)-SUM(Y20:Y23)</f>
        <v>4.8308035999999976</v>
      </c>
      <c r="AB20" s="52">
        <f>(SUM(K20:K23)-SUM(W20:W23)-SUM(Y20:Y23)-SUM(Z20:Z23)-SUM(AC20:AC23)-SUM(V20:V23))-AA20</f>
        <v>-0.11594842500000446</v>
      </c>
      <c r="AC20" s="40">
        <f>K20-T20</f>
        <v>0.63769860000000023</v>
      </c>
      <c r="AD20" s="40">
        <f>+AM20+BA20</f>
        <v>35</v>
      </c>
      <c r="AE20" s="233" t="s">
        <v>470</v>
      </c>
      <c r="AF20" s="40">
        <v>35</v>
      </c>
      <c r="AG20" s="40"/>
      <c r="AH20" s="40"/>
      <c r="AI20" s="514"/>
      <c r="AJ20" s="40"/>
      <c r="AK20" s="40"/>
      <c r="AL20" s="40"/>
      <c r="AM20" s="40">
        <f>SUM(AF20:AL20)+AT20+AV20+AX20</f>
        <v>35</v>
      </c>
      <c r="AN20" s="40"/>
      <c r="AO20" s="40"/>
      <c r="AP20" s="40"/>
      <c r="AQ20" s="40"/>
      <c r="AR20" s="40">
        <f>SUM(AN20:AQ20)</f>
        <v>0</v>
      </c>
      <c r="AS20" s="40"/>
      <c r="AT20" s="40"/>
      <c r="AU20" s="40"/>
      <c r="AV20" s="40"/>
      <c r="AW20" s="40"/>
      <c r="AX20" s="40"/>
      <c r="AY20" s="40"/>
      <c r="AZ20" s="40"/>
      <c r="BA20" s="40">
        <f>+AR20+AS20+AU20+AW20+AY20+AZ20</f>
        <v>0</v>
      </c>
      <c r="BB20" s="36">
        <v>14</v>
      </c>
      <c r="BC20" s="54"/>
      <c r="BD20" s="54"/>
      <c r="BE20" s="36"/>
      <c r="BF20" s="54"/>
    </row>
    <row r="21" spans="1:58" ht="12.95" customHeight="1">
      <c r="A21" s="43"/>
      <c r="B21" s="44" t="s">
        <v>445</v>
      </c>
      <c r="C21" s="460">
        <f>(M21*E21*O21*Q21)/100000000</f>
        <v>33.741721599999998</v>
      </c>
      <c r="D21" s="44" t="s">
        <v>384</v>
      </c>
      <c r="E21" s="45">
        <v>16</v>
      </c>
      <c r="F21" s="45">
        <v>1</v>
      </c>
      <c r="G21" s="511">
        <v>830</v>
      </c>
      <c r="H21" s="47">
        <v>0.14000000000000001</v>
      </c>
      <c r="I21" s="48">
        <v>0.88</v>
      </c>
      <c r="J21" s="85">
        <f>E21*G21*(1-H21)*1440/1000000*3.4</f>
        <v>55.916236799999993</v>
      </c>
      <c r="K21" s="85">
        <f>(IF(G21&lt;L21,L21,G21)*(1-IF(H21&lt;N21,H21,N21))*E21*O21*Q21)/100000000</f>
        <v>35.007036159999998</v>
      </c>
      <c r="L21" s="38">
        <v>800</v>
      </c>
      <c r="M21" s="38">
        <v>688</v>
      </c>
      <c r="N21" s="49">
        <f>1-(M21/L21)</f>
        <v>0.14000000000000001</v>
      </c>
      <c r="O21" s="50">
        <f>+'Trim Rwd'!H19</f>
        <v>316</v>
      </c>
      <c r="P21" s="51">
        <f>O21*(Q21-R21-S21)</f>
        <v>290720</v>
      </c>
      <c r="Q21" s="50">
        <v>970</v>
      </c>
      <c r="R21" s="512">
        <v>0</v>
      </c>
      <c r="S21" s="512">
        <v>50</v>
      </c>
      <c r="T21" s="40">
        <f>E21*M21*O21*Q21/100000000</f>
        <v>33.741721599999998</v>
      </c>
      <c r="U21" s="40">
        <f>E21*M21*O21*(Q21-R21-S21)/100000000</f>
        <v>32.0024576</v>
      </c>
      <c r="V21" s="40">
        <f>E21*G21*(1-N21)*O21/100*(R21+S21)/1000000</f>
        <v>1.8044863999999996</v>
      </c>
      <c r="W21" s="40">
        <f>+'4'!K14/1000</f>
        <v>21.984000000000002</v>
      </c>
      <c r="X21" s="41"/>
      <c r="Y21" s="214"/>
      <c r="Z21" s="40">
        <f>+('4'!D17+'4'!D25)/1000</f>
        <v>0.55000000000000004</v>
      </c>
      <c r="AA21" s="40"/>
      <c r="AB21" s="40"/>
      <c r="AC21" s="40">
        <f>K21-T21</f>
        <v>1.2653145600000002</v>
      </c>
      <c r="AD21" s="40">
        <f>+AM21+BA21</f>
        <v>22</v>
      </c>
      <c r="AE21" s="233" t="s">
        <v>471</v>
      </c>
      <c r="AF21" s="40"/>
      <c r="AG21" s="40">
        <v>22</v>
      </c>
      <c r="AH21" s="40"/>
      <c r="AI21" s="514"/>
      <c r="AJ21" s="40"/>
      <c r="AK21" s="40"/>
      <c r="AL21" s="40"/>
      <c r="AM21" s="40">
        <f>SUM(AF21:AL21)+AT21+AV21+AX21</f>
        <v>22</v>
      </c>
      <c r="AN21" s="86"/>
      <c r="AO21" s="40"/>
      <c r="AP21" s="40"/>
      <c r="AQ21" s="40"/>
      <c r="AR21" s="40">
        <f>SUM(AN21:AQ21)</f>
        <v>0</v>
      </c>
      <c r="AS21" s="40"/>
      <c r="AT21" s="40"/>
      <c r="AU21" s="40"/>
      <c r="AV21" s="40"/>
      <c r="AW21" s="40"/>
      <c r="AX21" s="40"/>
      <c r="AY21" s="40"/>
      <c r="AZ21" s="40"/>
      <c r="BA21" s="40">
        <f>+AR21+AS21+AU21+AW21+AY21+AZ21</f>
        <v>0</v>
      </c>
      <c r="BB21" s="53"/>
      <c r="BC21" s="54">
        <v>9</v>
      </c>
      <c r="BD21" s="54"/>
      <c r="BE21" s="53"/>
      <c r="BF21" s="54"/>
    </row>
    <row r="22" spans="1:58" ht="12.95" customHeight="1">
      <c r="A22" s="43"/>
      <c r="B22" s="44" t="s">
        <v>445</v>
      </c>
      <c r="C22" s="460">
        <f>(M22*E22*O22*Q22)/100000000</f>
        <v>1.023744</v>
      </c>
      <c r="D22" s="44" t="s">
        <v>384</v>
      </c>
      <c r="E22" s="45">
        <v>15.5</v>
      </c>
      <c r="F22" s="45">
        <v>1</v>
      </c>
      <c r="G22" s="511">
        <v>830</v>
      </c>
      <c r="H22" s="47">
        <v>0.14000000000000001</v>
      </c>
      <c r="I22" s="48">
        <v>0.88</v>
      </c>
      <c r="J22" s="85">
        <f>E22*G22*(1-H22)*1440/1000000*3.4</f>
        <v>54.168854400000001</v>
      </c>
      <c r="K22" s="85">
        <f>(IF(G22&lt;L22,L22,G22)*(1-IF(H22&lt;N22,H22,N22))*E22*O22*Q22)/100000000</f>
        <v>1.0621343999999999</v>
      </c>
      <c r="L22" s="38">
        <v>800</v>
      </c>
      <c r="M22" s="38">
        <v>688</v>
      </c>
      <c r="N22" s="49">
        <f>1-(M22/L22)</f>
        <v>0.14000000000000001</v>
      </c>
      <c r="O22" s="50">
        <f>+'Trim Rwd'!H20</f>
        <v>320</v>
      </c>
      <c r="P22" s="51">
        <f>O22*(Q22-R22-S22)</f>
        <v>9600</v>
      </c>
      <c r="Q22" s="50">
        <v>30</v>
      </c>
      <c r="R22" s="512">
        <v>0</v>
      </c>
      <c r="S22" s="512">
        <v>0</v>
      </c>
      <c r="T22" s="40">
        <f>E22*M22*O22*Q22/100000000</f>
        <v>1.023744</v>
      </c>
      <c r="U22" s="40">
        <f>E22*M22*O22*(Q22-R22-S22)/100000000</f>
        <v>1.023744</v>
      </c>
      <c r="V22" s="40">
        <f>E22*G22*(1-N22)*O22/100*(R22+S22)/1000000</f>
        <v>0</v>
      </c>
      <c r="W22" s="40">
        <f>+'4'!K15/1000</f>
        <v>0</v>
      </c>
      <c r="X22" s="41"/>
      <c r="Y22" s="214"/>
      <c r="Z22" s="40"/>
      <c r="AA22" s="40"/>
      <c r="AB22" s="40"/>
      <c r="AC22" s="40">
        <f>K22-T22</f>
        <v>3.8390399999999936E-2</v>
      </c>
      <c r="AD22" s="40">
        <f>+AM22+BA22</f>
        <v>25</v>
      </c>
      <c r="AE22" s="233" t="s">
        <v>226</v>
      </c>
      <c r="AF22" s="36"/>
      <c r="AG22" s="36"/>
      <c r="AH22" s="36">
        <v>25</v>
      </c>
      <c r="AJ22" s="40"/>
      <c r="AK22" s="40"/>
      <c r="AL22" s="40"/>
      <c r="AM22" s="40">
        <f>SUM(AF22:AL22)+AT22+AV22+AX22</f>
        <v>25</v>
      </c>
      <c r="AN22" s="40"/>
      <c r="AO22" s="40"/>
      <c r="AP22" s="40"/>
      <c r="AQ22" s="40"/>
      <c r="AR22" s="40">
        <f>SUM(AN22:AQ22)</f>
        <v>0</v>
      </c>
      <c r="AS22" s="40"/>
      <c r="AT22" s="40"/>
      <c r="AU22" s="40"/>
      <c r="AV22" s="40"/>
      <c r="AW22" s="40"/>
      <c r="AX22" s="40"/>
      <c r="AY22" s="40"/>
      <c r="AZ22" s="40"/>
      <c r="BA22" s="40">
        <f>+AR22+AS22+AU22+AW22+AY22+AZ22</f>
        <v>0</v>
      </c>
      <c r="BB22" s="36"/>
      <c r="BC22" s="515"/>
      <c r="BD22" s="515"/>
      <c r="BE22" s="36"/>
      <c r="BF22" s="515"/>
    </row>
    <row r="23" spans="1:58" ht="12.95" customHeight="1">
      <c r="A23" s="43"/>
      <c r="B23" s="44"/>
      <c r="C23" s="460"/>
      <c r="D23" s="44"/>
      <c r="E23" s="45"/>
      <c r="F23" s="45"/>
      <c r="G23" s="46"/>
      <c r="H23" s="47"/>
      <c r="I23" s="48"/>
      <c r="J23" s="85"/>
      <c r="K23" s="85"/>
      <c r="L23" s="38"/>
      <c r="M23" s="38"/>
      <c r="N23" s="49"/>
      <c r="O23" s="50"/>
      <c r="P23" s="51"/>
      <c r="Q23" s="37"/>
      <c r="R23" s="512"/>
      <c r="S23" s="512"/>
      <c r="T23" s="40"/>
      <c r="U23" s="40"/>
      <c r="V23" s="40"/>
      <c r="W23" s="40"/>
      <c r="X23" s="41"/>
      <c r="Y23" s="214"/>
      <c r="Z23" s="40"/>
      <c r="AA23" s="40"/>
      <c r="AB23" s="40"/>
      <c r="AC23" s="40">
        <f>K23-T23</f>
        <v>0</v>
      </c>
      <c r="AD23" s="40">
        <f>+AM23+BA23</f>
        <v>3</v>
      </c>
      <c r="AE23" s="236" t="s">
        <v>447</v>
      </c>
      <c r="AF23" s="40"/>
      <c r="AG23" s="40"/>
      <c r="AH23" s="40"/>
      <c r="AI23" s="514">
        <v>3</v>
      </c>
      <c r="AJ23" s="40"/>
      <c r="AK23" s="40"/>
      <c r="AL23" s="40"/>
      <c r="AM23" s="40">
        <f>SUM(AF23:AL23)+AT23+AV23+AX23</f>
        <v>3</v>
      </c>
      <c r="AN23" s="40"/>
      <c r="AO23" s="40"/>
      <c r="AP23" s="40"/>
      <c r="AQ23" s="40"/>
      <c r="AR23" s="40">
        <f>SUM(AN23:AQ23)</f>
        <v>0</v>
      </c>
      <c r="AS23" s="40"/>
      <c r="AT23" s="40"/>
      <c r="AU23" s="40"/>
      <c r="AV23" s="40"/>
      <c r="AW23" s="40"/>
      <c r="AX23" s="40"/>
      <c r="AY23" s="40"/>
      <c r="AZ23" s="40"/>
      <c r="BA23" s="40">
        <f>+AR23+AS23+AU23+AW23+AY23+AZ23</f>
        <v>0</v>
      </c>
      <c r="BB23" s="36"/>
      <c r="BC23" s="515"/>
      <c r="BD23" s="515"/>
      <c r="BE23" s="36"/>
      <c r="BF23" s="515"/>
    </row>
    <row r="24" spans="1:58" ht="12.95" customHeight="1">
      <c r="A24" s="43"/>
      <c r="B24" s="44"/>
      <c r="C24" s="460"/>
      <c r="D24" s="44"/>
      <c r="E24" s="45"/>
      <c r="F24" s="45"/>
      <c r="G24" s="46"/>
      <c r="H24" s="47"/>
      <c r="I24" s="48"/>
      <c r="J24" s="85"/>
      <c r="K24" s="85"/>
      <c r="L24" s="38"/>
      <c r="M24" s="38"/>
      <c r="N24" s="49"/>
      <c r="O24" s="50"/>
      <c r="P24" s="51"/>
      <c r="Q24" s="37"/>
      <c r="R24" s="512"/>
      <c r="S24" s="512"/>
      <c r="T24" s="40"/>
      <c r="U24" s="40"/>
      <c r="V24" s="40"/>
      <c r="W24" s="40"/>
      <c r="X24" s="41"/>
      <c r="Y24" s="214"/>
      <c r="Z24" s="40"/>
      <c r="AA24" s="40"/>
      <c r="AB24" s="40"/>
      <c r="AC24" s="40"/>
      <c r="AD24" s="40"/>
      <c r="AE24" s="588"/>
      <c r="AF24" s="40"/>
      <c r="AG24" s="40"/>
      <c r="AH24" s="40"/>
      <c r="AI24" s="514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53"/>
      <c r="BC24" s="54"/>
      <c r="BD24" s="54"/>
      <c r="BE24" s="53"/>
      <c r="BF24" s="54"/>
    </row>
    <row r="25" spans="1:58" ht="12.95" customHeight="1">
      <c r="A25" s="43">
        <v>45874</v>
      </c>
      <c r="B25" s="44" t="s">
        <v>445</v>
      </c>
      <c r="C25" s="460">
        <f>(M25*E25*O25*Q25)/100000000</f>
        <v>4.1742336</v>
      </c>
      <c r="D25" s="44" t="s">
        <v>384</v>
      </c>
      <c r="E25" s="45">
        <v>16</v>
      </c>
      <c r="F25" s="45">
        <v>1</v>
      </c>
      <c r="G25" s="511">
        <v>830</v>
      </c>
      <c r="H25" s="47">
        <v>0.14000000000000001</v>
      </c>
      <c r="I25" s="48">
        <v>0.88</v>
      </c>
      <c r="J25" s="85">
        <f>E25*G25*(1-H25)*1440/1000000*3.4</f>
        <v>55.916236799999993</v>
      </c>
      <c r="K25" s="85">
        <f>(IF(G25&lt;L25,L25,G25)*(1-IF(H25&lt;N25,H25,N25))*E25*O25*Q25)/100000000</f>
        <v>4.3307673600000003</v>
      </c>
      <c r="L25" s="38">
        <v>800</v>
      </c>
      <c r="M25" s="38">
        <v>688</v>
      </c>
      <c r="N25" s="49">
        <f>1-(M25/L25)</f>
        <v>0.14000000000000001</v>
      </c>
      <c r="O25" s="50">
        <f>+'Trim Rwd'!H22</f>
        <v>316</v>
      </c>
      <c r="P25" s="51">
        <f>O25*(Q25-R25-S25)</f>
        <v>31600</v>
      </c>
      <c r="Q25" s="50">
        <f>1376-1256</f>
        <v>120</v>
      </c>
      <c r="R25" s="512">
        <f>1256-1256</f>
        <v>0</v>
      </c>
      <c r="S25" s="512">
        <v>20</v>
      </c>
      <c r="T25" s="40">
        <f>E25*M25*O25*Q25/100000000</f>
        <v>4.1742336</v>
      </c>
      <c r="U25" s="40">
        <f>E25*M25*O25*(Q25-R25-S25)/100000000</f>
        <v>3.4785279999999998</v>
      </c>
      <c r="V25" s="40">
        <f>E25*G25*(1-N25)*O25/100*(R25+S25)/1000000</f>
        <v>0.72179455999999997</v>
      </c>
      <c r="W25" s="40">
        <f>+'5'!K14/1000</f>
        <v>2.3740000000000001</v>
      </c>
      <c r="X25" s="513">
        <f>SUM(W25:W28)/SUM(K25:K28)</f>
        <v>0.34593654160131782</v>
      </c>
      <c r="Y25" s="214">
        <v>0</v>
      </c>
      <c r="Z25" s="40">
        <f>+'5'!D14/1000</f>
        <v>0.436</v>
      </c>
      <c r="AA25" s="52">
        <f>SUM(U25:U28)-SUM(W25:W28)-SUM(Z25:Z28)-SUM(Y25:Y28)</f>
        <v>2.8037497599999992</v>
      </c>
      <c r="AB25" s="52">
        <f>(SUM(K25:K28)-SUM(W25:W28)-SUM(Y25:Y28)-SUM(Z25:Z28)-SUM(AC25:AC28)-SUM(V25:V28))-AA25</f>
        <v>-2.6088959999999606E-2</v>
      </c>
      <c r="AC25" s="40">
        <f>K25-T25</f>
        <v>0.1565337600000003</v>
      </c>
      <c r="AD25" s="40">
        <f>+AM25+BA25</f>
        <v>0</v>
      </c>
      <c r="AE25" s="233" t="s">
        <v>391</v>
      </c>
      <c r="AF25" s="40">
        <v>0</v>
      </c>
      <c r="AG25" s="40"/>
      <c r="AH25" s="40"/>
      <c r="AI25" s="514"/>
      <c r="AJ25" s="40"/>
      <c r="AK25" s="40"/>
      <c r="AL25" s="40"/>
      <c r="AM25" s="40">
        <f>SUM(AF25:AL25)+AT25+AV25+AX25</f>
        <v>0</v>
      </c>
      <c r="AN25" s="40"/>
      <c r="AO25" s="40"/>
      <c r="AP25" s="40"/>
      <c r="AQ25" s="40"/>
      <c r="AR25" s="40">
        <f>SUM(AN25:AQ25)</f>
        <v>0</v>
      </c>
      <c r="AS25" s="40"/>
      <c r="AT25" s="40"/>
      <c r="AU25" s="40"/>
      <c r="AV25" s="40"/>
      <c r="AW25" s="40"/>
      <c r="AX25" s="40"/>
      <c r="AY25" s="40"/>
      <c r="AZ25" s="40"/>
      <c r="BA25" s="40">
        <f>+AR25+AS25+AU25+AW25+AY25+AZ25</f>
        <v>0</v>
      </c>
      <c r="BB25" s="36">
        <v>0</v>
      </c>
      <c r="BC25" s="54"/>
      <c r="BD25" s="54"/>
      <c r="BE25" s="36"/>
      <c r="BF25" s="54"/>
    </row>
    <row r="26" spans="1:58" ht="12.95" customHeight="1">
      <c r="A26" s="43"/>
      <c r="B26" s="44" t="s">
        <v>445</v>
      </c>
      <c r="C26" s="460">
        <f>(M26*E26*O26*Q26)/100000000</f>
        <v>2.1352217599999999</v>
      </c>
      <c r="D26" s="44" t="s">
        <v>487</v>
      </c>
      <c r="E26" s="45">
        <v>17</v>
      </c>
      <c r="F26" s="45">
        <v>1</v>
      </c>
      <c r="G26" s="511">
        <v>830</v>
      </c>
      <c r="H26" s="47">
        <v>0.14000000000000001</v>
      </c>
      <c r="I26" s="48">
        <v>0.88</v>
      </c>
      <c r="J26" s="85">
        <f>E26*G26*(1-H26)*1440/1000000*3.4</f>
        <v>59.411001599999999</v>
      </c>
      <c r="K26" s="85">
        <f>(IF(G26&lt;L26,L26,G26)*(1-IF(H26&lt;N26,H26,N26))*E26*O26*Q26)/100000000</f>
        <v>2.5317629439999996</v>
      </c>
      <c r="L26" s="38">
        <v>700</v>
      </c>
      <c r="M26" s="38">
        <v>602</v>
      </c>
      <c r="N26" s="49">
        <f>1-(M26/L26)</f>
        <v>0.14000000000000001</v>
      </c>
      <c r="O26" s="50">
        <f>+'Trim Rwd'!H23</f>
        <v>326</v>
      </c>
      <c r="P26" s="51">
        <f>O26*(Q26-R26-S26)</f>
        <v>20864</v>
      </c>
      <c r="Q26" s="50">
        <v>64</v>
      </c>
      <c r="R26" s="512">
        <v>0</v>
      </c>
      <c r="S26" s="512">
        <v>0</v>
      </c>
      <c r="T26" s="40">
        <f>E26*M26*O26*Q26/100000000</f>
        <v>2.1352217599999999</v>
      </c>
      <c r="U26" s="40">
        <f>E26*M26*O26*(Q26-R26-S26)/100000000</f>
        <v>2.1352217599999999</v>
      </c>
      <c r="V26" s="40">
        <f>E26*G26*(1-N26)*O26/100*(R26+S26)/1000000</f>
        <v>0</v>
      </c>
      <c r="W26" s="40">
        <f>+'5'!K16/1000</f>
        <v>0</v>
      </c>
      <c r="X26" s="41"/>
      <c r="Y26" s="214"/>
      <c r="Z26" s="40"/>
      <c r="AA26" s="40"/>
      <c r="AB26" s="40"/>
      <c r="AC26" s="40">
        <f>K26-T26</f>
        <v>0.39654118399999971</v>
      </c>
      <c r="AD26" s="40">
        <f>+AM26+BA26</f>
        <v>10</v>
      </c>
      <c r="AE26" s="233" t="s">
        <v>434</v>
      </c>
      <c r="AF26" s="40"/>
      <c r="AG26" s="40">
        <v>10</v>
      </c>
      <c r="AH26" s="40"/>
      <c r="AI26" s="514"/>
      <c r="AJ26" s="40"/>
      <c r="AK26" s="40"/>
      <c r="AL26" s="40"/>
      <c r="AM26" s="40">
        <f>SUM(AF26:AL26)+AT26+AV26+AX26</f>
        <v>10</v>
      </c>
      <c r="AN26" s="86"/>
      <c r="AO26" s="40"/>
      <c r="AP26" s="40"/>
      <c r="AQ26" s="40"/>
      <c r="AR26" s="40">
        <f>SUM(AN26:AQ26)</f>
        <v>0</v>
      </c>
      <c r="AS26" s="40"/>
      <c r="AT26" s="40"/>
      <c r="AU26" s="40"/>
      <c r="AV26" s="40"/>
      <c r="AW26" s="40"/>
      <c r="AX26" s="40"/>
      <c r="AY26" s="40"/>
      <c r="AZ26" s="40"/>
      <c r="BA26" s="40">
        <f>+AR26+AS26+AU26+AW26+AY26+AZ26</f>
        <v>0</v>
      </c>
      <c r="BB26" s="53"/>
      <c r="BC26" s="54">
        <v>2</v>
      </c>
      <c r="BD26" s="54"/>
      <c r="BE26" s="53"/>
      <c r="BF26" s="54"/>
    </row>
    <row r="27" spans="1:58" ht="12.95" customHeight="1">
      <c r="A27" s="43"/>
      <c r="B27" s="44"/>
      <c r="C27" s="460"/>
      <c r="D27" s="44"/>
      <c r="E27" s="45"/>
      <c r="F27" s="45"/>
      <c r="G27" s="511"/>
      <c r="H27" s="47"/>
      <c r="I27" s="48"/>
      <c r="J27" s="85"/>
      <c r="K27" s="85"/>
      <c r="L27" s="38"/>
      <c r="M27" s="38"/>
      <c r="N27" s="49"/>
      <c r="O27" s="50"/>
      <c r="P27" s="51"/>
      <c r="Q27" s="50"/>
      <c r="R27" s="512"/>
      <c r="S27" s="512"/>
      <c r="T27" s="40"/>
      <c r="U27" s="40"/>
      <c r="V27" s="40"/>
      <c r="W27" s="40"/>
      <c r="X27" s="41"/>
      <c r="Y27" s="214"/>
      <c r="Z27" s="40"/>
      <c r="AA27" s="40"/>
      <c r="AB27" s="40"/>
      <c r="AC27" s="40"/>
      <c r="AD27" s="40">
        <f>+AM27+BA27</f>
        <v>10</v>
      </c>
      <c r="AE27" s="233" t="s">
        <v>226</v>
      </c>
      <c r="AF27" s="36"/>
      <c r="AG27" s="36"/>
      <c r="AH27" s="36">
        <v>10</v>
      </c>
      <c r="AJ27" s="40"/>
      <c r="AK27" s="40"/>
      <c r="AL27" s="40"/>
      <c r="AM27" s="40">
        <f>SUM(AF27:AL27)+AT27+AV27+AX27</f>
        <v>10</v>
      </c>
      <c r="AN27" s="40"/>
      <c r="AO27" s="40"/>
      <c r="AP27" s="40"/>
      <c r="AQ27" s="40"/>
      <c r="AR27" s="40">
        <f>SUM(AN27:AQ27)</f>
        <v>0</v>
      </c>
      <c r="AS27" s="40"/>
      <c r="AT27" s="40"/>
      <c r="AU27" s="40"/>
      <c r="AV27" s="40"/>
      <c r="AW27" s="40"/>
      <c r="AX27" s="40"/>
      <c r="AY27" s="40"/>
      <c r="AZ27" s="40"/>
      <c r="BA27" s="40">
        <f>+AR27+AS27+AU27+AW27+AY27+AZ27</f>
        <v>0</v>
      </c>
      <c r="BB27" s="36"/>
      <c r="BC27" s="515"/>
      <c r="BD27" s="515"/>
      <c r="BE27" s="36"/>
      <c r="BF27" s="515"/>
    </row>
    <row r="28" spans="1:58" ht="12.95" customHeight="1">
      <c r="A28" s="43"/>
      <c r="B28" s="44"/>
      <c r="C28" s="460"/>
      <c r="D28" s="44"/>
      <c r="E28" s="45"/>
      <c r="F28" s="45"/>
      <c r="G28" s="46"/>
      <c r="H28" s="47"/>
      <c r="I28" s="48"/>
      <c r="J28" s="85"/>
      <c r="K28" s="85"/>
      <c r="L28" s="38"/>
      <c r="M28" s="38"/>
      <c r="N28" s="49"/>
      <c r="O28" s="50"/>
      <c r="P28" s="51"/>
      <c r="Q28" s="37"/>
      <c r="R28" s="512"/>
      <c r="S28" s="512"/>
      <c r="T28" s="40"/>
      <c r="U28" s="40"/>
      <c r="V28" s="40"/>
      <c r="W28" s="40"/>
      <c r="X28" s="41"/>
      <c r="Y28" s="214"/>
      <c r="Z28" s="40"/>
      <c r="AA28" s="40"/>
      <c r="AB28" s="40"/>
      <c r="AC28" s="40"/>
      <c r="AD28" s="40">
        <f>+AM28+BA28</f>
        <v>0</v>
      </c>
      <c r="AE28" s="236" t="s">
        <v>488</v>
      </c>
      <c r="AF28" s="40"/>
      <c r="AG28" s="40"/>
      <c r="AH28" s="40"/>
      <c r="AI28" s="514"/>
      <c r="AJ28" s="40"/>
      <c r="AK28" s="40"/>
      <c r="AL28" s="40"/>
      <c r="AM28" s="40">
        <f>SUM(AF28:AL28)+AT28+AV28+AX28</f>
        <v>0</v>
      </c>
      <c r="AN28" s="40"/>
      <c r="AO28" s="40"/>
      <c r="AP28" s="40"/>
      <c r="AQ28" s="40"/>
      <c r="AR28" s="40">
        <f>SUM(AN28:AQ28)</f>
        <v>0</v>
      </c>
      <c r="AS28" s="40"/>
      <c r="AT28" s="40"/>
      <c r="AU28" s="40">
        <f>1256-1256</f>
        <v>0</v>
      </c>
      <c r="AV28" s="40"/>
      <c r="AW28" s="40"/>
      <c r="AX28" s="40"/>
      <c r="AY28" s="40"/>
      <c r="AZ28" s="40"/>
      <c r="BA28" s="40">
        <f>+AR28+AS28+AU28+AW28+AY28+AZ28</f>
        <v>0</v>
      </c>
      <c r="BB28" s="36"/>
      <c r="BC28" s="515"/>
      <c r="BD28" s="515"/>
      <c r="BE28" s="36"/>
      <c r="BF28" s="515"/>
    </row>
    <row r="29" spans="1:58" ht="12.95" customHeight="1">
      <c r="A29" s="43"/>
      <c r="B29" s="44"/>
      <c r="C29" s="460"/>
      <c r="D29" s="44"/>
      <c r="E29" s="45"/>
      <c r="F29" s="45"/>
      <c r="G29" s="46"/>
      <c r="H29" s="47"/>
      <c r="I29" s="48"/>
      <c r="J29" s="85"/>
      <c r="K29" s="85"/>
      <c r="L29" s="38"/>
      <c r="M29" s="38"/>
      <c r="N29" s="49"/>
      <c r="O29" s="50"/>
      <c r="P29" s="51"/>
      <c r="Q29" s="37"/>
      <c r="R29" s="512"/>
      <c r="S29" s="512"/>
      <c r="T29" s="40"/>
      <c r="U29" s="40"/>
      <c r="V29" s="40"/>
      <c r="W29" s="40"/>
      <c r="X29" s="41"/>
      <c r="Y29" s="214"/>
      <c r="Z29" s="40"/>
      <c r="AA29" s="40"/>
      <c r="AB29" s="40"/>
      <c r="AC29" s="40"/>
      <c r="AD29" s="40"/>
      <c r="AE29" s="588"/>
      <c r="AF29" s="40"/>
      <c r="AG29" s="40"/>
      <c r="AH29" s="40"/>
      <c r="AI29" s="514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53"/>
      <c r="BC29" s="54"/>
      <c r="BD29" s="54"/>
      <c r="BE29" s="53"/>
      <c r="BF29" s="54"/>
    </row>
    <row r="30" spans="1:58" ht="12.95" customHeight="1">
      <c r="A30" s="43">
        <v>45875</v>
      </c>
      <c r="B30" s="44" t="s">
        <v>445</v>
      </c>
      <c r="C30" s="460">
        <f>(M30*E30*O30*Q30)/100000000</f>
        <v>15.026436</v>
      </c>
      <c r="D30" s="44" t="s">
        <v>491</v>
      </c>
      <c r="E30" s="45">
        <v>17</v>
      </c>
      <c r="F30" s="45">
        <v>1</v>
      </c>
      <c r="G30" s="511">
        <v>830</v>
      </c>
      <c r="H30" s="47">
        <v>0.14000000000000001</v>
      </c>
      <c r="I30" s="48">
        <v>0.88</v>
      </c>
      <c r="J30" s="85">
        <f>E30*G30*(1-H30)*1440/1000000*3.4</f>
        <v>59.411001599999999</v>
      </c>
      <c r="K30" s="85">
        <f>(IF(G30&lt;L30,L30,G30)*(1-IF(H30&lt;N30,H30,N30))*E30*O30*Q30)/100000000</f>
        <v>17.817059828571423</v>
      </c>
      <c r="L30" s="38">
        <v>700</v>
      </c>
      <c r="M30" s="38">
        <v>602</v>
      </c>
      <c r="N30" s="49">
        <f>1-(M30/L30)</f>
        <v>0.14000000000000001</v>
      </c>
      <c r="O30" s="50">
        <f>+'Trim Rwd'!H25</f>
        <v>326.28571428571428</v>
      </c>
      <c r="P30" s="51">
        <f>O30*(Q30-R30-S30)</f>
        <v>133777.14285714284</v>
      </c>
      <c r="Q30" s="50">
        <f>600-150</f>
        <v>450</v>
      </c>
      <c r="R30" s="512">
        <v>0</v>
      </c>
      <c r="S30" s="512">
        <f>190-150</f>
        <v>40</v>
      </c>
      <c r="T30" s="40">
        <f>E30*M30*O30*Q30/100000000</f>
        <v>15.026436</v>
      </c>
      <c r="U30" s="40">
        <f>E30*M30*O30*(Q30-R30-S30)/100000000</f>
        <v>13.6907528</v>
      </c>
      <c r="V30" s="40">
        <f>E30*G30*(1-N30)*O30/100*(R30+S30)/1000000</f>
        <v>1.5837386514285716</v>
      </c>
      <c r="W30" s="40">
        <f>+'6'!K16/1000</f>
        <v>14.37</v>
      </c>
      <c r="X30" s="513">
        <f>SUM(W30:W33)/SUM(K30:K33)</f>
        <v>0.67266853480307953</v>
      </c>
      <c r="Y30" s="214">
        <v>0</v>
      </c>
      <c r="Z30" s="40">
        <v>0</v>
      </c>
      <c r="AA30" s="52">
        <f>SUM(U30:U33)-SUM(W30:W33)-SUM(Z30:Z33)-SUM(Y30:Y33)</f>
        <v>8.0035688</v>
      </c>
      <c r="AB30" s="52">
        <f>(SUM(K30:K33)-SUM(W30:W33)-SUM(Y30:Y33)-SUM(Z30:Z33)-SUM(AC30:AC33)-SUM(V30:V33))-AA30</f>
        <v>-0.3590918335941744</v>
      </c>
      <c r="AC30" s="40">
        <f>K30-T30</f>
        <v>2.7906238285714231</v>
      </c>
      <c r="AD30" s="40">
        <f t="shared" ref="AD30:AD35" si="0">+AM30+BA30</f>
        <v>10</v>
      </c>
      <c r="AE30" s="233" t="s">
        <v>436</v>
      </c>
      <c r="AF30" s="40">
        <v>10</v>
      </c>
      <c r="AG30" s="40"/>
      <c r="AH30" s="40"/>
      <c r="AI30" s="514"/>
      <c r="AJ30" s="40"/>
      <c r="AK30" s="40"/>
      <c r="AL30" s="40"/>
      <c r="AM30" s="40">
        <f t="shared" ref="AM30:AM35" si="1">SUM(AF30:AL30)+AT30+AV30+AX30</f>
        <v>10</v>
      </c>
      <c r="AN30" s="40"/>
      <c r="AO30" s="40"/>
      <c r="AP30" s="40"/>
      <c r="AQ30" s="40"/>
      <c r="AR30" s="40">
        <f t="shared" ref="AR30:AR35" si="2">SUM(AN30:AQ30)</f>
        <v>0</v>
      </c>
      <c r="AS30" s="40"/>
      <c r="AT30" s="40"/>
      <c r="AU30" s="40"/>
      <c r="AV30" s="40"/>
      <c r="AW30" s="40"/>
      <c r="AX30" s="40"/>
      <c r="AY30" s="40"/>
      <c r="AZ30" s="40"/>
      <c r="BA30" s="40">
        <f t="shared" ref="BA30:BA35" si="3">+AR30+AS30+AU30+AW30+AY30+AZ30</f>
        <v>0</v>
      </c>
      <c r="BB30" s="36">
        <v>2</v>
      </c>
      <c r="BC30" s="54"/>
      <c r="BD30" s="54"/>
      <c r="BE30" s="36"/>
      <c r="BF30" s="54"/>
    </row>
    <row r="31" spans="1:58" ht="12.95" customHeight="1">
      <c r="A31" s="43"/>
      <c r="B31" s="44" t="s">
        <v>445</v>
      </c>
      <c r="C31" s="460">
        <f>(M31*E31*O31*Q31)/100000000</f>
        <v>29.582784</v>
      </c>
      <c r="D31" s="44" t="s">
        <v>491</v>
      </c>
      <c r="E31" s="45">
        <v>16</v>
      </c>
      <c r="F31" s="45">
        <v>1</v>
      </c>
      <c r="G31" s="511">
        <v>830</v>
      </c>
      <c r="H31" s="47">
        <v>0.15</v>
      </c>
      <c r="I31" s="48">
        <v>0.88</v>
      </c>
      <c r="J31" s="85">
        <f>E31*G31*(1-H31)*1440/1000000*3.4</f>
        <v>55.266047999999998</v>
      </c>
      <c r="K31" s="85">
        <f>(IF(G31&lt;L31,L31,G31)*(1-IF(H31&lt;N31,H31,N31))*E31*O31*Q31)/100000000</f>
        <v>31.290336</v>
      </c>
      <c r="L31" s="38">
        <v>785</v>
      </c>
      <c r="M31" s="38">
        <v>667</v>
      </c>
      <c r="N31" s="49">
        <f>1-(M31/L31)</f>
        <v>0.15031847133757958</v>
      </c>
      <c r="O31" s="50">
        <f>+'Trim Rwd'!H27</f>
        <v>330</v>
      </c>
      <c r="P31" s="51">
        <f>O31*(Q31-R31-S31)</f>
        <v>259050</v>
      </c>
      <c r="Q31" s="50">
        <v>840</v>
      </c>
      <c r="R31" s="512">
        <v>0</v>
      </c>
      <c r="S31" s="512">
        <f>40+15</f>
        <v>55</v>
      </c>
      <c r="T31" s="40">
        <f>E31*M31*O31*Q31/100000000</f>
        <v>29.582784</v>
      </c>
      <c r="U31" s="40">
        <f>E31*M31*O31*(Q31-R31-S31)/100000000</f>
        <v>27.645816</v>
      </c>
      <c r="V31" s="40">
        <f>E31*G31*(1-N31)*O31/100*(R31+S31)/1000000</f>
        <v>2.0480043821656051</v>
      </c>
      <c r="W31" s="40">
        <f>+'6'!K17/1000</f>
        <v>18.663</v>
      </c>
      <c r="X31" s="41"/>
      <c r="Y31" s="214"/>
      <c r="Z31" s="40">
        <f>+'6'!D17/1000</f>
        <v>0.3</v>
      </c>
      <c r="AA31" s="40"/>
      <c r="AB31" s="40"/>
      <c r="AC31" s="40">
        <f>K31-T31</f>
        <v>1.7075519999999997</v>
      </c>
      <c r="AD31" s="40">
        <f t="shared" si="0"/>
        <v>30</v>
      </c>
      <c r="AE31" s="233" t="s">
        <v>448</v>
      </c>
      <c r="AF31" s="40"/>
      <c r="AG31" s="40">
        <v>30</v>
      </c>
      <c r="AH31" s="40"/>
      <c r="AI31" s="514"/>
      <c r="AJ31" s="40"/>
      <c r="AK31" s="40"/>
      <c r="AL31" s="40"/>
      <c r="AM31" s="40">
        <f t="shared" si="1"/>
        <v>30</v>
      </c>
      <c r="AN31" s="86"/>
      <c r="AO31" s="40"/>
      <c r="AP31" s="40"/>
      <c r="AQ31" s="40"/>
      <c r="AR31" s="40">
        <f t="shared" si="2"/>
        <v>0</v>
      </c>
      <c r="AS31" s="40"/>
      <c r="AT31" s="40"/>
      <c r="AU31" s="40"/>
      <c r="AV31" s="40"/>
      <c r="AW31" s="40"/>
      <c r="AX31" s="40"/>
      <c r="AY31" s="40"/>
      <c r="AZ31" s="40"/>
      <c r="BA31" s="40">
        <f t="shared" si="3"/>
        <v>0</v>
      </c>
      <c r="BB31" s="53"/>
      <c r="BC31" s="54">
        <v>6</v>
      </c>
      <c r="BD31" s="54"/>
      <c r="BE31" s="53"/>
      <c r="BF31" s="54"/>
    </row>
    <row r="32" spans="1:58" ht="12.95" customHeight="1">
      <c r="A32" s="43"/>
      <c r="B32" s="44"/>
      <c r="C32" s="460"/>
      <c r="D32" s="44"/>
      <c r="E32" s="45"/>
      <c r="F32" s="45"/>
      <c r="G32" s="511"/>
      <c r="H32" s="47"/>
      <c r="I32" s="48"/>
      <c r="J32" s="85"/>
      <c r="K32" s="85"/>
      <c r="L32" s="38"/>
      <c r="M32" s="38"/>
      <c r="N32" s="49"/>
      <c r="O32" s="50"/>
      <c r="P32" s="51"/>
      <c r="Q32" s="50"/>
      <c r="R32" s="512"/>
      <c r="S32" s="512"/>
      <c r="T32" s="40"/>
      <c r="U32" s="40"/>
      <c r="V32" s="40"/>
      <c r="W32" s="40"/>
      <c r="X32" s="41"/>
      <c r="Y32" s="214"/>
      <c r="Z32" s="40"/>
      <c r="AA32" s="40"/>
      <c r="AB32" s="40"/>
      <c r="AC32" s="40"/>
      <c r="AD32" s="40">
        <f t="shared" si="0"/>
        <v>30</v>
      </c>
      <c r="AE32" s="233" t="s">
        <v>226</v>
      </c>
      <c r="AF32" s="36"/>
      <c r="AG32" s="36"/>
      <c r="AH32" s="36">
        <v>30</v>
      </c>
      <c r="AJ32" s="40"/>
      <c r="AK32" s="40"/>
      <c r="AL32" s="40"/>
      <c r="AM32" s="40">
        <f t="shared" si="1"/>
        <v>30</v>
      </c>
      <c r="AN32" s="40"/>
      <c r="AO32" s="40"/>
      <c r="AP32" s="40"/>
      <c r="AQ32" s="40"/>
      <c r="AR32" s="40">
        <f t="shared" si="2"/>
        <v>0</v>
      </c>
      <c r="AS32" s="40"/>
      <c r="AT32" s="40"/>
      <c r="AU32" s="40"/>
      <c r="AV32" s="40"/>
      <c r="AW32" s="40"/>
      <c r="AX32" s="40"/>
      <c r="AY32" s="40"/>
      <c r="AZ32" s="40"/>
      <c r="BA32" s="40">
        <f t="shared" si="3"/>
        <v>0</v>
      </c>
      <c r="BB32" s="36"/>
      <c r="BC32" s="515"/>
      <c r="BD32" s="515"/>
      <c r="BE32" s="36"/>
      <c r="BF32" s="515"/>
    </row>
    <row r="33" spans="1:58" ht="12.95" customHeight="1">
      <c r="A33" s="43"/>
      <c r="B33" s="44"/>
      <c r="C33" s="460"/>
      <c r="D33" s="44"/>
      <c r="E33" s="45"/>
      <c r="F33" s="45"/>
      <c r="G33" s="46"/>
      <c r="H33" s="47"/>
      <c r="I33" s="48"/>
      <c r="J33" s="85"/>
      <c r="K33" s="85"/>
      <c r="L33" s="38"/>
      <c r="M33" s="38"/>
      <c r="N33" s="49"/>
      <c r="O33" s="50"/>
      <c r="P33" s="51"/>
      <c r="Q33" s="37"/>
      <c r="R33" s="512"/>
      <c r="S33" s="512"/>
      <c r="T33" s="40"/>
      <c r="U33" s="40"/>
      <c r="V33" s="40"/>
      <c r="W33" s="40"/>
      <c r="X33" s="41"/>
      <c r="Y33" s="214"/>
      <c r="Z33" s="40"/>
      <c r="AA33" s="40"/>
      <c r="AB33" s="40"/>
      <c r="AC33" s="40"/>
      <c r="AD33" s="40">
        <f t="shared" si="0"/>
        <v>10</v>
      </c>
      <c r="AE33" s="233" t="s">
        <v>447</v>
      </c>
      <c r="AF33" s="40"/>
      <c r="AG33" s="40"/>
      <c r="AH33" s="40"/>
      <c r="AI33" s="514">
        <v>10</v>
      </c>
      <c r="AJ33" s="40"/>
      <c r="AK33" s="40"/>
      <c r="AL33" s="40"/>
      <c r="AM33" s="40">
        <f t="shared" si="1"/>
        <v>10</v>
      </c>
      <c r="AN33" s="40"/>
      <c r="AO33" s="40"/>
      <c r="AP33" s="40"/>
      <c r="AQ33" s="40"/>
      <c r="AR33" s="40">
        <f t="shared" si="2"/>
        <v>0</v>
      </c>
      <c r="AS33" s="40"/>
      <c r="AT33" s="40"/>
      <c r="AU33" s="40"/>
      <c r="AV33" s="40"/>
      <c r="AW33" s="40"/>
      <c r="AX33" s="40"/>
      <c r="AY33" s="40"/>
      <c r="AZ33" s="40"/>
      <c r="BA33" s="40">
        <f t="shared" si="3"/>
        <v>0</v>
      </c>
      <c r="BB33" s="36"/>
      <c r="BC33" s="515"/>
      <c r="BD33" s="515"/>
      <c r="BE33" s="36"/>
      <c r="BF33" s="515"/>
    </row>
    <row r="34" spans="1:58" ht="12.95" customHeight="1">
      <c r="A34" s="43"/>
      <c r="B34" s="44"/>
      <c r="C34" s="460"/>
      <c r="D34" s="44"/>
      <c r="E34" s="45"/>
      <c r="F34" s="45"/>
      <c r="G34" s="46"/>
      <c r="H34" s="47"/>
      <c r="I34" s="48"/>
      <c r="J34" s="85"/>
      <c r="K34" s="85"/>
      <c r="L34" s="38"/>
      <c r="M34" s="38"/>
      <c r="N34" s="49"/>
      <c r="O34" s="50"/>
      <c r="P34" s="51"/>
      <c r="Q34" s="50"/>
      <c r="R34" s="512"/>
      <c r="S34" s="512"/>
      <c r="T34" s="40"/>
      <c r="U34" s="40"/>
      <c r="V34" s="40"/>
      <c r="W34" s="40"/>
      <c r="X34" s="41"/>
      <c r="Y34" s="214"/>
      <c r="Z34" s="40"/>
      <c r="AA34" s="40"/>
      <c r="AB34" s="40"/>
      <c r="AC34" s="40"/>
      <c r="AD34" s="40">
        <f t="shared" si="0"/>
        <v>15</v>
      </c>
      <c r="AE34" s="236" t="s">
        <v>498</v>
      </c>
      <c r="AF34" s="40">
        <v>15</v>
      </c>
      <c r="AG34" s="40"/>
      <c r="AH34" s="40"/>
      <c r="AI34" s="40"/>
      <c r="AJ34" s="40"/>
      <c r="AK34" s="40"/>
      <c r="AL34" s="40"/>
      <c r="AM34" s="40">
        <f t="shared" si="1"/>
        <v>15</v>
      </c>
      <c r="AN34" s="40"/>
      <c r="AO34" s="40"/>
      <c r="AP34" s="40"/>
      <c r="AQ34" s="40"/>
      <c r="AR34" s="40">
        <f t="shared" si="2"/>
        <v>0</v>
      </c>
      <c r="AS34" s="40"/>
      <c r="AT34" s="40"/>
      <c r="AU34" s="40"/>
      <c r="AV34" s="40"/>
      <c r="AW34" s="40"/>
      <c r="AX34" s="40"/>
      <c r="AY34" s="40"/>
      <c r="AZ34" s="40"/>
      <c r="BA34" s="40">
        <f t="shared" si="3"/>
        <v>0</v>
      </c>
      <c r="BB34" s="36"/>
      <c r="BC34" s="515"/>
      <c r="BD34" s="515"/>
      <c r="BE34" s="36"/>
      <c r="BF34" s="515"/>
    </row>
    <row r="35" spans="1:58" ht="12.95" customHeight="1">
      <c r="A35" s="43"/>
      <c r="B35" s="44"/>
      <c r="C35" s="460"/>
      <c r="D35" s="44"/>
      <c r="E35" s="45"/>
      <c r="F35" s="45"/>
      <c r="G35" s="511"/>
      <c r="H35" s="47"/>
      <c r="I35" s="48"/>
      <c r="J35" s="85"/>
      <c r="K35" s="85"/>
      <c r="L35" s="38"/>
      <c r="M35" s="38"/>
      <c r="N35" s="49"/>
      <c r="O35" s="50"/>
      <c r="P35" s="51"/>
      <c r="Q35" s="50"/>
      <c r="R35" s="512"/>
      <c r="S35" s="512"/>
      <c r="T35" s="40"/>
      <c r="U35" s="40"/>
      <c r="V35" s="40"/>
      <c r="W35" s="40"/>
      <c r="X35" s="513"/>
      <c r="Y35" s="214"/>
      <c r="Z35" s="40"/>
      <c r="AA35" s="52"/>
      <c r="AB35" s="52"/>
      <c r="AC35" s="40"/>
      <c r="AD35" s="40">
        <f t="shared" si="0"/>
        <v>0</v>
      </c>
      <c r="AE35" s="236" t="s">
        <v>511</v>
      </c>
      <c r="AF35" s="40"/>
      <c r="AG35" s="40"/>
      <c r="AH35" s="40"/>
      <c r="AI35" s="40"/>
      <c r="AJ35" s="40"/>
      <c r="AK35" s="40"/>
      <c r="AL35" s="40"/>
      <c r="AM35" s="40">
        <f t="shared" si="1"/>
        <v>0</v>
      </c>
      <c r="AN35" s="40"/>
      <c r="AO35" s="40"/>
      <c r="AP35" s="40"/>
      <c r="AQ35" s="40"/>
      <c r="AR35" s="40">
        <f t="shared" si="2"/>
        <v>0</v>
      </c>
      <c r="AS35" s="40"/>
      <c r="AT35" s="40">
        <f>150-150</f>
        <v>0</v>
      </c>
      <c r="AU35" s="40"/>
      <c r="AV35" s="40"/>
      <c r="AW35" s="40"/>
      <c r="AX35" s="40"/>
      <c r="AY35" s="40"/>
      <c r="AZ35" s="40"/>
      <c r="BA35" s="40">
        <f t="shared" si="3"/>
        <v>0</v>
      </c>
      <c r="BB35" s="36"/>
      <c r="BC35" s="515"/>
      <c r="BD35" s="515"/>
      <c r="BE35" s="36"/>
      <c r="BF35" s="515"/>
    </row>
    <row r="36" spans="1:58" ht="12.95" customHeight="1">
      <c r="A36" s="43"/>
      <c r="B36" s="44"/>
      <c r="C36" s="460"/>
      <c r="D36" s="44"/>
      <c r="E36" s="45"/>
      <c r="F36" s="45"/>
      <c r="G36" s="511"/>
      <c r="H36" s="47"/>
      <c r="I36" s="48"/>
      <c r="J36" s="85"/>
      <c r="K36" s="85"/>
      <c r="L36" s="38"/>
      <c r="M36" s="38"/>
      <c r="N36" s="49"/>
      <c r="O36" s="50"/>
      <c r="P36" s="51"/>
      <c r="Q36" s="50"/>
      <c r="R36" s="512"/>
      <c r="S36" s="512"/>
      <c r="T36" s="40"/>
      <c r="U36" s="40"/>
      <c r="V36" s="40"/>
      <c r="W36" s="40"/>
      <c r="X36" s="513"/>
      <c r="Y36" s="214"/>
      <c r="Z36" s="40"/>
      <c r="AA36" s="52"/>
      <c r="AB36" s="52"/>
      <c r="AC36" s="40"/>
      <c r="AD36" s="40"/>
      <c r="AE36" s="233"/>
      <c r="AF36" s="40"/>
      <c r="AG36" s="40"/>
      <c r="AH36" s="40"/>
      <c r="AI36" s="514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36"/>
      <c r="BC36" s="54"/>
      <c r="BD36" s="54"/>
      <c r="BE36" s="54"/>
      <c r="BF36" s="54"/>
    </row>
    <row r="37" spans="1:58" ht="12.95" customHeight="1">
      <c r="A37" s="43">
        <v>45876</v>
      </c>
      <c r="B37" s="44" t="s">
        <v>445</v>
      </c>
      <c r="C37" s="460">
        <f>(M37*E37*O37*Q37)/100000000</f>
        <v>36.940608000000005</v>
      </c>
      <c r="D37" s="44" t="s">
        <v>491</v>
      </c>
      <c r="E37" s="45">
        <v>16</v>
      </c>
      <c r="F37" s="45">
        <v>1</v>
      </c>
      <c r="G37" s="511">
        <v>830</v>
      </c>
      <c r="H37" s="47">
        <v>0.14000000000000001</v>
      </c>
      <c r="I37" s="48">
        <v>0.88</v>
      </c>
      <c r="J37" s="85">
        <f>E37*G37*(1-H37)*1440/1000000*3.4</f>
        <v>55.916236799999993</v>
      </c>
      <c r="K37" s="85">
        <f>(IF(G37&lt;L37,L37,G37)*(1-IF(H37&lt;N37,H37,N37))*E37*O37*Q37)/100000000</f>
        <v>37.254805151883353</v>
      </c>
      <c r="L37" s="38">
        <v>823</v>
      </c>
      <c r="M37" s="38">
        <v>708</v>
      </c>
      <c r="N37" s="49">
        <f>1-(M37/L37)</f>
        <v>0.13973268529769134</v>
      </c>
      <c r="O37" s="50">
        <f>+'Trim Rwd'!H29</f>
        <v>326.10000000000002</v>
      </c>
      <c r="P37" s="51">
        <f>O37*(Q37-R37-S37)</f>
        <v>174463.5</v>
      </c>
      <c r="Q37" s="50">
        <f>560+440</f>
        <v>1000</v>
      </c>
      <c r="R37" s="512">
        <v>440</v>
      </c>
      <c r="S37" s="512">
        <v>25</v>
      </c>
      <c r="T37" s="40">
        <f>E37*M37*O37*Q37/100000000</f>
        <v>36.940608000000005</v>
      </c>
      <c r="U37" s="40">
        <f>E37*M37*O37*(Q37-R37-S37)/100000000</f>
        <v>19.763225280000004</v>
      </c>
      <c r="V37" s="40">
        <f>E37*G37*(1-N37)*O37/100*(R37+S37)/1000000</f>
        <v>17.323484395625758</v>
      </c>
      <c r="W37" s="40">
        <f>+'7'!K17/1000</f>
        <v>19.510999999999999</v>
      </c>
      <c r="X37" s="513">
        <f>SUM(W37:W40)/SUM(K37:K40)</f>
        <v>0.55646883810175429</v>
      </c>
      <c r="Y37" s="214">
        <v>0</v>
      </c>
      <c r="Z37" s="40">
        <f>+'7'!D16/1000</f>
        <v>0.70499999999999996</v>
      </c>
      <c r="AA37" s="52">
        <f>SUM(U37:U40)-SUM(W37:W40)-SUM(Z37:Z40)-SUM(Y37:Y40)</f>
        <v>4.1242144800000027</v>
      </c>
      <c r="AB37" s="52">
        <f>(SUM(K37:K40)-SUM(W37:W40)-SUM(Y37:Y40)-SUM(Z37:Z40)-SUM(AC37:AC40)-SUM(V37:V40))-AA37</f>
        <v>-0.14610167562575427</v>
      </c>
      <c r="AC37" s="40">
        <f>K37-T37</f>
        <v>0.31419715188334862</v>
      </c>
      <c r="AD37" s="40">
        <f>+AM37+BA37</f>
        <v>13</v>
      </c>
      <c r="AE37" s="233" t="s">
        <v>469</v>
      </c>
      <c r="AF37" s="40">
        <v>13</v>
      </c>
      <c r="AG37" s="40"/>
      <c r="AH37" s="40"/>
      <c r="AI37" s="514"/>
      <c r="AJ37" s="40"/>
      <c r="AK37" s="40"/>
      <c r="AL37" s="40"/>
      <c r="AM37" s="40">
        <f>SUM(AF37:AL37)+AT37+AV37+AX37</f>
        <v>13</v>
      </c>
      <c r="AN37" s="40"/>
      <c r="AO37" s="40"/>
      <c r="AP37" s="40"/>
      <c r="AQ37" s="40"/>
      <c r="AR37" s="40">
        <f>SUM(AN37:AQ37)</f>
        <v>0</v>
      </c>
      <c r="AS37" s="40"/>
      <c r="AT37" s="40"/>
      <c r="AU37" s="40"/>
      <c r="AV37" s="40"/>
      <c r="AW37" s="40"/>
      <c r="AX37" s="40"/>
      <c r="AY37" s="40"/>
      <c r="AZ37" s="40"/>
      <c r="BA37" s="40">
        <f>+AR37+AS37+AU37+AW37+AY37+AZ37</f>
        <v>0</v>
      </c>
      <c r="BB37" s="36">
        <v>4</v>
      </c>
      <c r="BC37" s="54"/>
      <c r="BD37" s="54"/>
      <c r="BE37" s="36"/>
      <c r="BF37" s="54"/>
    </row>
    <row r="38" spans="1:58" ht="12.95" customHeight="1">
      <c r="A38" s="43"/>
      <c r="B38" s="44" t="s">
        <v>445</v>
      </c>
      <c r="C38" s="460">
        <f>(M38*E38*O38*Q38)/100000000</f>
        <v>19.312603200000002</v>
      </c>
      <c r="D38" s="44" t="s">
        <v>491</v>
      </c>
      <c r="E38" s="45">
        <v>19</v>
      </c>
      <c r="F38" s="45">
        <v>1</v>
      </c>
      <c r="G38" s="511">
        <v>830</v>
      </c>
      <c r="H38" s="47">
        <v>0.15</v>
      </c>
      <c r="I38" s="48">
        <v>0.88</v>
      </c>
      <c r="J38" s="85">
        <f>E38*G38*(1-H38)*1440/1000000*3.4</f>
        <v>65.628431999999989</v>
      </c>
      <c r="K38" s="85">
        <f>(IF(G38&lt;L38,L38,G38)*(1-IF(H38&lt;N38,H38,N38))*E38*O38*Q38)/100000000</f>
        <v>19.312603200000002</v>
      </c>
      <c r="L38" s="38">
        <v>830</v>
      </c>
      <c r="M38" s="38">
        <v>713</v>
      </c>
      <c r="N38" s="49">
        <f>1-(M38/L38)</f>
        <v>0.14096385542168677</v>
      </c>
      <c r="O38" s="50">
        <f>+'Trim Rwd'!H31</f>
        <v>324</v>
      </c>
      <c r="P38" s="51">
        <f>O38*(Q38-R38-S38)</f>
        <v>126360</v>
      </c>
      <c r="Q38" s="50">
        <v>440</v>
      </c>
      <c r="R38" s="512">
        <v>0</v>
      </c>
      <c r="S38" s="512">
        <v>50</v>
      </c>
      <c r="T38" s="40">
        <f>E38*M38*O38*Q38/100000000</f>
        <v>19.312603200000002</v>
      </c>
      <c r="U38" s="40">
        <f>E38*M38*O38*(Q38-R38-S38)/100000000</f>
        <v>17.1179892</v>
      </c>
      <c r="V38" s="40">
        <f>E38*G38*(1-N38)*O38/100*(R38+S38)/1000000</f>
        <v>2.1946140000000001</v>
      </c>
      <c r="W38" s="40">
        <f>+'7'!K18/1000</f>
        <v>11.967000000000001</v>
      </c>
      <c r="X38" s="41"/>
      <c r="Y38" s="214"/>
      <c r="Z38" s="40">
        <f>+'7'!D25/1000</f>
        <v>0.57399999999999995</v>
      </c>
      <c r="AA38" s="40"/>
      <c r="AB38" s="40"/>
      <c r="AC38" s="40">
        <f>K38-T38</f>
        <v>0</v>
      </c>
      <c r="AD38" s="40">
        <f>+AM38+BA38</f>
        <v>25</v>
      </c>
      <c r="AE38" s="233" t="s">
        <v>527</v>
      </c>
      <c r="AF38" s="40"/>
      <c r="AG38" s="40">
        <v>25</v>
      </c>
      <c r="AH38" s="40"/>
      <c r="AI38" s="514"/>
      <c r="AJ38" s="40"/>
      <c r="AK38" s="40"/>
      <c r="AL38" s="40"/>
      <c r="AM38" s="40">
        <f>SUM(AF38:AL38)+AT38+AV38+AX38</f>
        <v>25</v>
      </c>
      <c r="AN38" s="86"/>
      <c r="AO38" s="40"/>
      <c r="AP38" s="40"/>
      <c r="AQ38" s="40"/>
      <c r="AR38" s="40">
        <f>SUM(AN38:AQ38)</f>
        <v>0</v>
      </c>
      <c r="AS38" s="40"/>
      <c r="AT38" s="40"/>
      <c r="AU38" s="40"/>
      <c r="AV38" s="40"/>
      <c r="AW38" s="40"/>
      <c r="AX38" s="40"/>
      <c r="AY38" s="40"/>
      <c r="AZ38" s="40"/>
      <c r="BA38" s="40">
        <f>+AR38+AS38+AU38+AW38+AY38+AZ38</f>
        <v>0</v>
      </c>
      <c r="BB38" s="53"/>
      <c r="BC38" s="54">
        <v>4</v>
      </c>
      <c r="BD38" s="54"/>
      <c r="BE38" s="53"/>
      <c r="BF38" s="54"/>
    </row>
    <row r="39" spans="1:58" ht="12.95" customHeight="1">
      <c r="A39" s="43"/>
      <c r="B39" s="44"/>
      <c r="C39" s="460"/>
      <c r="D39" s="44"/>
      <c r="E39" s="45"/>
      <c r="F39" s="45"/>
      <c r="G39" s="511"/>
      <c r="H39" s="47"/>
      <c r="I39" s="48"/>
      <c r="J39" s="85"/>
      <c r="K39" s="85"/>
      <c r="L39" s="38"/>
      <c r="M39" s="38"/>
      <c r="N39" s="49"/>
      <c r="O39" s="50"/>
      <c r="P39" s="51"/>
      <c r="Q39" s="50"/>
      <c r="R39" s="512"/>
      <c r="S39" s="512"/>
      <c r="T39" s="40"/>
      <c r="U39" s="40"/>
      <c r="V39" s="40"/>
      <c r="W39" s="40"/>
      <c r="X39" s="41"/>
      <c r="Y39" s="214"/>
      <c r="Z39" s="40"/>
      <c r="AA39" s="40"/>
      <c r="AB39" s="40"/>
      <c r="AC39" s="40"/>
      <c r="AD39" s="40">
        <f>+AM39+BA39</f>
        <v>37</v>
      </c>
      <c r="AE39" s="233" t="s">
        <v>226</v>
      </c>
      <c r="AF39" s="36"/>
      <c r="AG39" s="36"/>
      <c r="AH39" s="36">
        <v>37</v>
      </c>
      <c r="AJ39" s="40"/>
      <c r="AK39" s="40"/>
      <c r="AL39" s="40"/>
      <c r="AM39" s="40">
        <f>SUM(AF39:AL39)+AT39+AV39+AX39</f>
        <v>37</v>
      </c>
      <c r="AN39" s="40"/>
      <c r="AO39" s="40"/>
      <c r="AP39" s="40"/>
      <c r="AQ39" s="40"/>
      <c r="AR39" s="40">
        <f>SUM(AN39:AQ39)</f>
        <v>0</v>
      </c>
      <c r="AS39" s="40"/>
      <c r="AT39" s="40"/>
      <c r="AU39" s="40"/>
      <c r="AV39" s="40"/>
      <c r="AW39" s="40"/>
      <c r="AX39" s="40"/>
      <c r="AY39" s="40"/>
      <c r="AZ39" s="40"/>
      <c r="BA39" s="40">
        <f>+AR39+AS39+AU39+AW39+AY39+AZ39</f>
        <v>0</v>
      </c>
      <c r="BB39" s="36"/>
      <c r="BC39" s="515"/>
      <c r="BD39" s="515"/>
      <c r="BE39" s="36"/>
      <c r="BF39" s="515"/>
    </row>
    <row r="40" spans="1:58" ht="12.95" customHeight="1">
      <c r="A40" s="43"/>
      <c r="B40" s="44"/>
      <c r="C40" s="460"/>
      <c r="D40" s="44"/>
      <c r="E40" s="45"/>
      <c r="F40" s="45"/>
      <c r="G40" s="46"/>
      <c r="H40" s="47"/>
      <c r="I40" s="48"/>
      <c r="J40" s="85"/>
      <c r="K40" s="85"/>
      <c r="L40" s="38"/>
      <c r="M40" s="38"/>
      <c r="N40" s="49"/>
      <c r="O40" s="50"/>
      <c r="P40" s="51"/>
      <c r="Q40" s="37"/>
      <c r="R40" s="512"/>
      <c r="S40" s="512"/>
      <c r="T40" s="40"/>
      <c r="U40" s="40"/>
      <c r="V40" s="40"/>
      <c r="W40" s="40"/>
      <c r="X40" s="41"/>
      <c r="Y40" s="214"/>
      <c r="Z40" s="40"/>
      <c r="AA40" s="40"/>
      <c r="AB40" s="40"/>
      <c r="AC40" s="40"/>
      <c r="AD40" s="40">
        <f>+AM40+BA40</f>
        <v>440</v>
      </c>
      <c r="AE40" s="233" t="s">
        <v>528</v>
      </c>
      <c r="AF40" s="40"/>
      <c r="AG40" s="40"/>
      <c r="AH40" s="40"/>
      <c r="AI40" s="514"/>
      <c r="AJ40" s="40"/>
      <c r="AK40" s="40"/>
      <c r="AL40" s="40"/>
      <c r="AM40" s="40">
        <f>SUM(AF40:AL40)+AT40+AV40+AX40</f>
        <v>0</v>
      </c>
      <c r="AN40" s="40"/>
      <c r="AO40" s="40"/>
      <c r="AP40" s="40">
        <v>440</v>
      </c>
      <c r="AQ40" s="40"/>
      <c r="AR40" s="40">
        <f>SUM(AN40:AQ40)</f>
        <v>440</v>
      </c>
      <c r="AS40" s="40"/>
      <c r="AT40" s="40"/>
      <c r="AU40" s="40"/>
      <c r="AV40" s="40"/>
      <c r="AW40" s="40"/>
      <c r="AX40" s="40"/>
      <c r="AY40" s="40"/>
      <c r="AZ40" s="40"/>
      <c r="BA40" s="40">
        <f>+AR40+AS40+AU40+AW40+AY40+AZ40</f>
        <v>440</v>
      </c>
      <c r="BB40" s="36"/>
      <c r="BC40" s="515"/>
      <c r="BD40" s="515"/>
      <c r="BE40" s="36"/>
      <c r="BF40" s="515"/>
    </row>
    <row r="41" spans="1:58" ht="12.95" customHeight="1">
      <c r="A41" s="43"/>
      <c r="B41" s="44"/>
      <c r="C41" s="460"/>
      <c r="D41" s="44"/>
      <c r="E41" s="45"/>
      <c r="F41" s="45"/>
      <c r="G41" s="511"/>
      <c r="H41" s="47"/>
      <c r="I41" s="48"/>
      <c r="J41" s="85"/>
      <c r="K41" s="85"/>
      <c r="L41" s="38"/>
      <c r="M41" s="38"/>
      <c r="N41" s="49"/>
      <c r="O41" s="50"/>
      <c r="P41" s="51"/>
      <c r="Q41" s="50"/>
      <c r="R41" s="512"/>
      <c r="S41" s="512"/>
      <c r="T41" s="40"/>
      <c r="U41" s="40"/>
      <c r="V41" s="40"/>
      <c r="W41" s="40"/>
      <c r="X41" s="513"/>
      <c r="Y41" s="214"/>
      <c r="Z41" s="40"/>
      <c r="AA41" s="52"/>
      <c r="AB41" s="52"/>
      <c r="AC41" s="40"/>
      <c r="AD41" s="40"/>
      <c r="AE41" s="233"/>
      <c r="AF41" s="40"/>
      <c r="AG41" s="40"/>
      <c r="AH41" s="40"/>
      <c r="AI41" s="514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36"/>
      <c r="BC41" s="54"/>
      <c r="BD41" s="54"/>
      <c r="BE41" s="54"/>
      <c r="BF41" s="54"/>
    </row>
    <row r="42" spans="1:58" ht="12.95" customHeight="1">
      <c r="A42" s="43">
        <v>45877</v>
      </c>
      <c r="B42" s="44" t="s">
        <v>445</v>
      </c>
      <c r="C42" s="460">
        <f>(M42*E42*O42*Q42)/100000000</f>
        <v>10.545966719999999</v>
      </c>
      <c r="D42" s="44" t="s">
        <v>491</v>
      </c>
      <c r="E42" s="45">
        <v>19</v>
      </c>
      <c r="F42" s="45">
        <v>1</v>
      </c>
      <c r="G42" s="511">
        <v>830</v>
      </c>
      <c r="H42" s="47">
        <v>0.15</v>
      </c>
      <c r="I42" s="48">
        <v>0.88</v>
      </c>
      <c r="J42" s="85">
        <f>E42*G42*(1-H42)*1440/1000000*3.4</f>
        <v>65.628431999999989</v>
      </c>
      <c r="K42" s="85">
        <f>(IF(G42&lt;L42,L42,G42)*(1-IF(H42&lt;N42,H42,N42))*E42*O42*Q42)/100000000</f>
        <v>10.545966719999999</v>
      </c>
      <c r="L42" s="38">
        <v>830</v>
      </c>
      <c r="M42" s="38">
        <v>713.8</v>
      </c>
      <c r="N42" s="49">
        <f>1-(M42/L42)</f>
        <v>0.14000000000000001</v>
      </c>
      <c r="O42" s="50">
        <f>+'Trim Rwd'!H33</f>
        <v>324</v>
      </c>
      <c r="P42" s="51">
        <f>O42*(Q42-R42-S42)</f>
        <v>73224</v>
      </c>
      <c r="Q42" s="50">
        <v>240</v>
      </c>
      <c r="R42" s="512">
        <v>0</v>
      </c>
      <c r="S42" s="512">
        <v>14</v>
      </c>
      <c r="T42" s="40">
        <f>E42*M42*O42*Q42/100000000</f>
        <v>10.545966719999999</v>
      </c>
      <c r="U42" s="40">
        <f>E42*M42*O42*(Q42-R42-S42)/100000000</f>
        <v>9.9307853279999989</v>
      </c>
      <c r="V42" s="40">
        <f>E42*G42*(1-N42)*O42/100*(R42+S42)/1000000</f>
        <v>0.61518139199999999</v>
      </c>
      <c r="W42" s="40">
        <f>+'8'!K18/1000</f>
        <v>12.082000000000001</v>
      </c>
      <c r="X42" s="513">
        <f>SUM(W42:W45)/SUM(K42:K45)</f>
        <v>0.86040660712842132</v>
      </c>
      <c r="Y42" s="214">
        <v>0</v>
      </c>
      <c r="Z42" s="40">
        <v>0</v>
      </c>
      <c r="AA42" s="52">
        <f>SUM(U42:U45)-SUM(W42:W45)-SUM(Z42:Z45)-SUM(Y42:Y45)</f>
        <v>2.7662413279999951</v>
      </c>
      <c r="AB42" s="52">
        <f>(SUM(K42:K45)-SUM(W42:W45)-SUM(Y42:Y45)-SUM(Z42:Z45)-SUM(AC42:AC45)-SUM(V42:V45))-AA42</f>
        <v>-0.16021800000000397</v>
      </c>
      <c r="AC42" s="40">
        <f>K42-T42</f>
        <v>0</v>
      </c>
      <c r="AD42" s="40">
        <f>+AM42+BA42</f>
        <v>30</v>
      </c>
      <c r="AE42" s="233" t="s">
        <v>549</v>
      </c>
      <c r="AF42" s="40">
        <v>30</v>
      </c>
      <c r="AG42" s="40"/>
      <c r="AH42" s="40"/>
      <c r="AI42" s="514"/>
      <c r="AJ42" s="40"/>
      <c r="AK42" s="40"/>
      <c r="AL42" s="40"/>
      <c r="AM42" s="40">
        <f>SUM(AF42:AL42)+AT42+AV42+AX42</f>
        <v>30</v>
      </c>
      <c r="AN42" s="40"/>
      <c r="AO42" s="40"/>
      <c r="AP42" s="40"/>
      <c r="AQ42" s="40"/>
      <c r="AR42" s="40">
        <f>SUM(AN42:AQ42)</f>
        <v>0</v>
      </c>
      <c r="AS42" s="40"/>
      <c r="AT42" s="40"/>
      <c r="AU42" s="40"/>
      <c r="AV42" s="40"/>
      <c r="AW42" s="40"/>
      <c r="AX42" s="40"/>
      <c r="AY42" s="40"/>
      <c r="AZ42" s="40"/>
      <c r="BA42" s="40">
        <f>+AR42+AS42+AU42+AW42+AY42+AZ42</f>
        <v>0</v>
      </c>
      <c r="BB42" s="36">
        <v>4</v>
      </c>
      <c r="BC42" s="54"/>
      <c r="BD42" s="54"/>
      <c r="BE42" s="36"/>
      <c r="BF42" s="54"/>
    </row>
    <row r="43" spans="1:58" ht="12.95" customHeight="1">
      <c r="A43" s="43"/>
      <c r="B43" s="44" t="s">
        <v>445</v>
      </c>
      <c r="C43" s="460">
        <f>(M43*E43*O43*Q43)/100000000</f>
        <v>65.536128000000005</v>
      </c>
      <c r="D43" s="44" t="s">
        <v>491</v>
      </c>
      <c r="E43" s="45">
        <v>25</v>
      </c>
      <c r="F43" s="45">
        <v>1</v>
      </c>
      <c r="G43" s="511">
        <v>830</v>
      </c>
      <c r="H43" s="47">
        <v>0.15</v>
      </c>
      <c r="I43" s="48">
        <v>0.88</v>
      </c>
      <c r="J43" s="85">
        <f>E43*G43*(1-H43)*1440/1000000*3.4</f>
        <v>86.353200000000001</v>
      </c>
      <c r="K43" s="85">
        <f>(IF(G43&lt;L43,L43,G43)*(1-IF(H43&lt;N43,H43,N43))*E43*O43*Q43)/100000000</f>
        <v>69.381360000000001</v>
      </c>
      <c r="L43" s="38">
        <v>784</v>
      </c>
      <c r="M43" s="38">
        <v>674.24</v>
      </c>
      <c r="N43" s="49">
        <f>1-(M43/L43)</f>
        <v>0.14000000000000001</v>
      </c>
      <c r="O43" s="50">
        <f>+'Trim Rwd'!H34</f>
        <v>324</v>
      </c>
      <c r="P43" s="51">
        <f>O43*(Q43-R43-S43)</f>
        <v>372600</v>
      </c>
      <c r="Q43" s="50">
        <v>1200</v>
      </c>
      <c r="R43" s="512">
        <v>0</v>
      </c>
      <c r="S43" s="512">
        <v>50</v>
      </c>
      <c r="T43" s="40">
        <f>E43*M43*O43*Q43/100000000</f>
        <v>65.536128000000005</v>
      </c>
      <c r="U43" s="40">
        <f>E43*M43*O43*(Q43-R43-S43)/100000000</f>
        <v>62.805456</v>
      </c>
      <c r="V43" s="40">
        <f>E43*G43*(1-N43)*O43/100*(R43+S43)/1000000</f>
        <v>2.8908900000000002</v>
      </c>
      <c r="W43" s="40">
        <f>+'8'!K19/1000</f>
        <v>56.688000000000002</v>
      </c>
      <c r="X43" s="41"/>
      <c r="Y43" s="214"/>
      <c r="Z43" s="40">
        <f>+'8'!D16/1000</f>
        <v>1.2</v>
      </c>
      <c r="AA43" s="40"/>
      <c r="AB43" s="40"/>
      <c r="AC43" s="40">
        <f>K43-T43</f>
        <v>3.8452319999999958</v>
      </c>
      <c r="AD43" s="40">
        <f>+AM43+BA43</f>
        <v>17</v>
      </c>
      <c r="AE43" s="233" t="s">
        <v>550</v>
      </c>
      <c r="AF43" s="40"/>
      <c r="AG43" s="40">
        <v>17</v>
      </c>
      <c r="AH43" s="40"/>
      <c r="AI43" s="514"/>
      <c r="AJ43" s="40"/>
      <c r="AK43" s="40"/>
      <c r="AL43" s="40"/>
      <c r="AM43" s="40">
        <f>SUM(AF43:AL43)+AT43+AV43+AX43</f>
        <v>17</v>
      </c>
      <c r="AN43" s="86"/>
      <c r="AO43" s="40"/>
      <c r="AP43" s="40"/>
      <c r="AQ43" s="40"/>
      <c r="AR43" s="40">
        <f>SUM(AN43:AQ43)</f>
        <v>0</v>
      </c>
      <c r="AS43" s="40"/>
      <c r="AT43" s="40"/>
      <c r="AU43" s="40"/>
      <c r="AV43" s="40"/>
      <c r="AW43" s="40"/>
      <c r="AX43" s="40"/>
      <c r="AY43" s="40"/>
      <c r="AZ43" s="40"/>
      <c r="BA43" s="40">
        <f>+AR43+AS43+AU43+AW43+AY43+AZ43</f>
        <v>0</v>
      </c>
      <c r="BB43" s="53"/>
      <c r="BC43" s="54">
        <v>4</v>
      </c>
      <c r="BD43" s="54"/>
      <c r="BE43" s="53"/>
      <c r="BF43" s="54"/>
    </row>
    <row r="44" spans="1:58" ht="12.95" customHeight="1">
      <c r="A44" s="43"/>
      <c r="B44" s="44"/>
      <c r="C44" s="460"/>
      <c r="D44" s="44"/>
      <c r="E44" s="45"/>
      <c r="F44" s="45"/>
      <c r="G44" s="511"/>
      <c r="H44" s="47"/>
      <c r="I44" s="48"/>
      <c r="J44" s="85"/>
      <c r="K44" s="85"/>
      <c r="L44" s="38"/>
      <c r="M44" s="38"/>
      <c r="N44" s="49"/>
      <c r="O44" s="50"/>
      <c r="P44" s="51"/>
      <c r="Q44" s="50"/>
      <c r="R44" s="512"/>
      <c r="S44" s="512"/>
      <c r="T44" s="40"/>
      <c r="U44" s="40"/>
      <c r="V44" s="40"/>
      <c r="W44" s="40"/>
      <c r="X44" s="41"/>
      <c r="Y44" s="214"/>
      <c r="Z44" s="40"/>
      <c r="AA44" s="40"/>
      <c r="AB44" s="40"/>
      <c r="AC44" s="40"/>
      <c r="AD44" s="40">
        <f>+AM44+BA44</f>
        <v>17</v>
      </c>
      <c r="AE44" s="233" t="s">
        <v>226</v>
      </c>
      <c r="AF44" s="36"/>
      <c r="AG44" s="36"/>
      <c r="AH44" s="36">
        <v>17</v>
      </c>
      <c r="AJ44" s="40"/>
      <c r="AK44" s="40"/>
      <c r="AL44" s="40"/>
      <c r="AM44" s="40">
        <f>SUM(AF44:AL44)+AT44+AV44+AX44</f>
        <v>17</v>
      </c>
      <c r="AN44" s="40"/>
      <c r="AO44" s="40"/>
      <c r="AP44" s="40"/>
      <c r="AQ44" s="40"/>
      <c r="AR44" s="40">
        <f>SUM(AN44:AQ44)</f>
        <v>0</v>
      </c>
      <c r="AS44" s="40"/>
      <c r="AT44" s="40"/>
      <c r="AU44" s="40"/>
      <c r="AV44" s="40"/>
      <c r="AW44" s="40"/>
      <c r="AX44" s="40"/>
      <c r="AY44" s="40"/>
      <c r="AZ44" s="40"/>
      <c r="BA44" s="40">
        <f>+AR44+AS44+AU44+AW44+AY44+AZ44</f>
        <v>0</v>
      </c>
      <c r="BB44" s="36"/>
      <c r="BC44" s="515"/>
      <c r="BD44" s="515"/>
      <c r="BE44" s="36"/>
      <c r="BF44" s="515"/>
    </row>
    <row r="45" spans="1:58" ht="12.95" customHeight="1">
      <c r="A45" s="43"/>
      <c r="B45" s="44"/>
      <c r="C45" s="460"/>
      <c r="D45" s="44"/>
      <c r="E45" s="45"/>
      <c r="F45" s="45"/>
      <c r="G45" s="511"/>
      <c r="H45" s="47"/>
      <c r="I45" s="48"/>
      <c r="J45" s="85"/>
      <c r="K45" s="85"/>
      <c r="L45" s="38"/>
      <c r="M45" s="38"/>
      <c r="N45" s="49"/>
      <c r="O45" s="50"/>
      <c r="P45" s="51"/>
      <c r="Q45" s="50"/>
      <c r="R45" s="512"/>
      <c r="S45" s="512"/>
      <c r="T45" s="40"/>
      <c r="U45" s="40"/>
      <c r="V45" s="40"/>
      <c r="W45" s="40"/>
      <c r="X45" s="513"/>
      <c r="Y45" s="214"/>
      <c r="Z45" s="40"/>
      <c r="AA45" s="52"/>
      <c r="AB45" s="52"/>
      <c r="AC45" s="40"/>
      <c r="AD45" s="40"/>
      <c r="AE45" s="233"/>
      <c r="AF45" s="40"/>
      <c r="AG45" s="40"/>
      <c r="AH45" s="40"/>
      <c r="AI45" s="514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36"/>
      <c r="BC45" s="54"/>
      <c r="BD45" s="54"/>
      <c r="BE45" s="53"/>
      <c r="BF45" s="54"/>
    </row>
    <row r="46" spans="1:58" ht="12.95" customHeight="1">
      <c r="A46" s="43">
        <v>45878</v>
      </c>
      <c r="B46" s="44" t="s">
        <v>445</v>
      </c>
      <c r="C46" s="460">
        <f>(M46*E46*O46*Q46)/100000000</f>
        <v>60.8056248358209</v>
      </c>
      <c r="D46" s="44" t="s">
        <v>491</v>
      </c>
      <c r="E46" s="45">
        <v>25</v>
      </c>
      <c r="F46" s="45">
        <v>1</v>
      </c>
      <c r="G46" s="511">
        <v>830</v>
      </c>
      <c r="H46" s="47">
        <v>0.15</v>
      </c>
      <c r="I46" s="48">
        <v>0.88</v>
      </c>
      <c r="J46" s="85">
        <f>E46*G46*(1-H46)*1440/1000000*3.4</f>
        <v>86.353200000000001</v>
      </c>
      <c r="K46" s="85">
        <f>(IF(G46&lt;L46,L46,G46)*(1-IF(H46&lt;N46,H46,N46))*E46*O46*Q46)/100000000</f>
        <v>61.286867999999998</v>
      </c>
      <c r="L46" s="38">
        <v>823.48258706467664</v>
      </c>
      <c r="M46" s="38">
        <v>708.19502487562193</v>
      </c>
      <c r="N46" s="49">
        <f>1-(M46/L46)</f>
        <v>0.14000000000000001</v>
      </c>
      <c r="O46" s="50">
        <f>+'Trim Rwd'!H36</f>
        <v>324</v>
      </c>
      <c r="P46" s="51">
        <f>O46*(Q46-R46-S46)</f>
        <v>304560</v>
      </c>
      <c r="Q46" s="50">
        <v>1060</v>
      </c>
      <c r="R46" s="512">
        <v>55</v>
      </c>
      <c r="S46" s="512">
        <v>65</v>
      </c>
      <c r="T46" s="40">
        <f>E46*M46*O46*Q46/100000000</f>
        <v>60.8056248358209</v>
      </c>
      <c r="U46" s="40">
        <f>E46*M46*O46*(Q46-R46-S46)/100000000</f>
        <v>53.921969194029856</v>
      </c>
      <c r="V46" s="40">
        <f>E46*G46*(1-N46)*O46/100*(R46+S46)/1000000</f>
        <v>6.9381360000000001</v>
      </c>
      <c r="W46" s="40">
        <f>+'9'!K19/1000</f>
        <v>58.109000000000002</v>
      </c>
      <c r="X46" s="513">
        <f>SUM(W46:W49)/SUM(K46:K49)</f>
        <v>0.83020675659207965</v>
      </c>
      <c r="Y46" s="214">
        <v>0</v>
      </c>
      <c r="Z46" s="40">
        <v>0</v>
      </c>
      <c r="AA46" s="52">
        <f>SUM(U46:U49)-SUM(W46:W49)-SUM(Z46:Z49)-SUM(Y46:Y49)</f>
        <v>4.3616536740298528</v>
      </c>
      <c r="AB46" s="52">
        <f>(SUM(K46:K49)-SUM(W46:W49)-SUM(Y46:Y49)-SUM(Z46:Z49)-SUM(AC46:AC49)-SUM(V46:V49))-AA46</f>
        <v>-5.4480358208946811E-2</v>
      </c>
      <c r="AC46" s="40">
        <f>K46-T46</f>
        <v>0.48124316417909796</v>
      </c>
      <c r="AD46" s="40">
        <f>+AM46+BA46</f>
        <v>4</v>
      </c>
      <c r="AE46" s="233" t="s">
        <v>436</v>
      </c>
      <c r="AF46" s="40">
        <v>4</v>
      </c>
      <c r="AG46" s="40"/>
      <c r="AH46" s="40"/>
      <c r="AI46" s="514"/>
      <c r="AJ46" s="40"/>
      <c r="AK46" s="40"/>
      <c r="AL46" s="40"/>
      <c r="AM46" s="40">
        <f>SUM(AF46:AL46)+AT46+AV46+AX46</f>
        <v>4</v>
      </c>
      <c r="AN46" s="40"/>
      <c r="AO46" s="40"/>
      <c r="AP46" s="40"/>
      <c r="AQ46" s="40"/>
      <c r="AR46" s="40">
        <f>SUM(AN46:AQ46)</f>
        <v>0</v>
      </c>
      <c r="AS46" s="40"/>
      <c r="AT46" s="40"/>
      <c r="AU46" s="40"/>
      <c r="AV46" s="40"/>
      <c r="AW46" s="40"/>
      <c r="AX46" s="40"/>
      <c r="AY46" s="40"/>
      <c r="AZ46" s="40"/>
      <c r="BA46" s="40">
        <f>+AR46+AS46+AU46+AW46+AY46+AZ46</f>
        <v>0</v>
      </c>
      <c r="BB46" s="36">
        <v>4</v>
      </c>
      <c r="BC46" s="54"/>
      <c r="BD46" s="54"/>
      <c r="BE46" s="36"/>
      <c r="BF46" s="54"/>
    </row>
    <row r="47" spans="1:58" ht="12.95" customHeight="1">
      <c r="A47" s="43"/>
      <c r="B47" s="44" t="s">
        <v>445</v>
      </c>
      <c r="C47" s="460">
        <f>(M47*E47*O47*Q47)/100000000</f>
        <v>20.462647359999998</v>
      </c>
      <c r="D47" s="44" t="s">
        <v>491</v>
      </c>
      <c r="E47" s="45">
        <v>23</v>
      </c>
      <c r="F47" s="45">
        <v>1</v>
      </c>
      <c r="G47" s="511">
        <v>830</v>
      </c>
      <c r="H47" s="47">
        <v>0.15</v>
      </c>
      <c r="I47" s="48">
        <v>0.88</v>
      </c>
      <c r="J47" s="85">
        <f>E47*G47*(1-H47)*1440/1000000*3.4</f>
        <v>79.444944000000007</v>
      </c>
      <c r="K47" s="85">
        <f>(IF(G47&lt;L47,L47,G47)*(1-IF(H47&lt;N47,H47,N47))*E47*O47*Q47)/100000000</f>
        <v>20.462647359999998</v>
      </c>
      <c r="L47" s="38">
        <v>830</v>
      </c>
      <c r="M47" s="38">
        <v>713.8</v>
      </c>
      <c r="N47" s="49">
        <f>1-(M47/L47)</f>
        <v>0.14000000000000001</v>
      </c>
      <c r="O47" s="50">
        <f>+'Trim Rwd'!H37</f>
        <v>328</v>
      </c>
      <c r="P47" s="51">
        <f>O47*(Q47-R47-S47)</f>
        <v>111520</v>
      </c>
      <c r="Q47" s="50">
        <v>380</v>
      </c>
      <c r="R47" s="512">
        <v>0</v>
      </c>
      <c r="S47" s="512">
        <f>105-S46</f>
        <v>40</v>
      </c>
      <c r="T47" s="40">
        <f>E47*M47*O47*Q47/100000000</f>
        <v>20.462647359999998</v>
      </c>
      <c r="U47" s="40">
        <f>E47*M47*O47*(Q47-R47-S47)/100000000</f>
        <v>18.308684479999997</v>
      </c>
      <c r="V47" s="40">
        <f>E47*G47*(1-N47)*O47/100*(R47+S47)/1000000</f>
        <v>2.1539628799999999</v>
      </c>
      <c r="W47" s="40">
        <f>+'9'!K20/1000</f>
        <v>9.76</v>
      </c>
      <c r="X47" s="41"/>
      <c r="Y47" s="214"/>
      <c r="Z47" s="40">
        <f>+'8'!D20/1000</f>
        <v>0</v>
      </c>
      <c r="AA47" s="40"/>
      <c r="AB47" s="40"/>
      <c r="AC47" s="40">
        <f>K47-T47</f>
        <v>0</v>
      </c>
      <c r="AD47" s="40">
        <f>+AM47+BA47</f>
        <v>28</v>
      </c>
      <c r="AE47" s="233" t="s">
        <v>550</v>
      </c>
      <c r="AF47" s="40"/>
      <c r="AG47" s="40">
        <v>28</v>
      </c>
      <c r="AH47" s="40"/>
      <c r="AI47" s="514"/>
      <c r="AJ47" s="40"/>
      <c r="AK47" s="40"/>
      <c r="AL47" s="40"/>
      <c r="AM47" s="40">
        <f>SUM(AF47:AL47)+AT47+AV47+AX47</f>
        <v>28</v>
      </c>
      <c r="AN47" s="86"/>
      <c r="AO47" s="40"/>
      <c r="AP47" s="40"/>
      <c r="AQ47" s="40"/>
      <c r="AR47" s="40">
        <f>SUM(AN47:AQ47)</f>
        <v>0</v>
      </c>
      <c r="AS47" s="40"/>
      <c r="AT47" s="40"/>
      <c r="AU47" s="40"/>
      <c r="AV47" s="40"/>
      <c r="AW47" s="40"/>
      <c r="AX47" s="40"/>
      <c r="AY47" s="40"/>
      <c r="AZ47" s="40"/>
      <c r="BA47" s="40">
        <f>+AR47+AS47+AU47+AW47+AY47+AZ47</f>
        <v>0</v>
      </c>
      <c r="BB47" s="53"/>
      <c r="BC47" s="54">
        <v>4</v>
      </c>
      <c r="BD47" s="54"/>
      <c r="BE47" s="53"/>
      <c r="BF47" s="54"/>
    </row>
    <row r="48" spans="1:58" ht="12.95" customHeight="1">
      <c r="A48" s="43"/>
      <c r="B48" s="44"/>
      <c r="C48" s="460"/>
      <c r="D48" s="44"/>
      <c r="E48" s="45"/>
      <c r="F48" s="45"/>
      <c r="G48" s="511"/>
      <c r="H48" s="47"/>
      <c r="I48" s="48"/>
      <c r="J48" s="85"/>
      <c r="K48" s="85"/>
      <c r="L48" s="38"/>
      <c r="M48" s="38"/>
      <c r="N48" s="49"/>
      <c r="O48" s="50"/>
      <c r="P48" s="51"/>
      <c r="Q48" s="50"/>
      <c r="R48" s="512"/>
      <c r="S48" s="512"/>
      <c r="T48" s="40"/>
      <c r="U48" s="40"/>
      <c r="V48" s="40"/>
      <c r="W48" s="40"/>
      <c r="X48" s="41"/>
      <c r="Y48" s="214"/>
      <c r="Z48" s="40"/>
      <c r="AA48" s="40"/>
      <c r="AB48" s="40"/>
      <c r="AC48" s="40"/>
      <c r="AD48" s="40">
        <f>+AM48+BA48</f>
        <v>28</v>
      </c>
      <c r="AE48" s="233" t="s">
        <v>226</v>
      </c>
      <c r="AF48" s="36"/>
      <c r="AG48" s="36"/>
      <c r="AH48" s="36">
        <v>28</v>
      </c>
      <c r="AJ48" s="40"/>
      <c r="AK48" s="40"/>
      <c r="AL48" s="40"/>
      <c r="AM48" s="40">
        <f>SUM(AF48:AL48)+AT48+AV48+AX48</f>
        <v>28</v>
      </c>
      <c r="AN48" s="40"/>
      <c r="AO48" s="40"/>
      <c r="AP48" s="40"/>
      <c r="AQ48" s="40"/>
      <c r="AR48" s="40">
        <f>SUM(AN48:AQ48)</f>
        <v>0</v>
      </c>
      <c r="AS48" s="40"/>
      <c r="AT48" s="40"/>
      <c r="AU48" s="40"/>
      <c r="AV48" s="40"/>
      <c r="AW48" s="40"/>
      <c r="AX48" s="40"/>
      <c r="AY48" s="40"/>
      <c r="AZ48" s="40"/>
      <c r="BA48" s="40">
        <f>+AR48+AS48+AU48+AW48+AY48+AZ48</f>
        <v>0</v>
      </c>
      <c r="BB48" s="36"/>
      <c r="BC48" s="515"/>
      <c r="BD48" s="515"/>
      <c r="BE48" s="36"/>
      <c r="BF48" s="515"/>
    </row>
    <row r="49" spans="1:58" ht="12.95" customHeight="1">
      <c r="A49" s="43"/>
      <c r="B49" s="44"/>
      <c r="C49" s="460"/>
      <c r="D49" s="44"/>
      <c r="E49" s="45"/>
      <c r="F49" s="45"/>
      <c r="G49" s="511"/>
      <c r="H49" s="47"/>
      <c r="I49" s="48"/>
      <c r="J49" s="85"/>
      <c r="K49" s="85"/>
      <c r="L49" s="38"/>
      <c r="M49" s="38"/>
      <c r="N49" s="49"/>
      <c r="O49" s="50"/>
      <c r="P49" s="51"/>
      <c r="Q49" s="50"/>
      <c r="R49" s="512"/>
      <c r="S49" s="512"/>
      <c r="T49" s="40"/>
      <c r="U49" s="40"/>
      <c r="V49" s="40"/>
      <c r="W49" s="40"/>
      <c r="X49" s="41"/>
      <c r="Y49" s="214"/>
      <c r="Z49" s="40"/>
      <c r="AA49" s="40"/>
      <c r="AB49" s="40"/>
      <c r="AC49" s="40"/>
      <c r="AD49" s="40">
        <f>+AM49+BA49</f>
        <v>55</v>
      </c>
      <c r="AE49" s="233" t="s">
        <v>576</v>
      </c>
      <c r="AF49" s="36"/>
      <c r="AG49" s="36"/>
      <c r="AH49" s="36"/>
      <c r="AJ49" s="40"/>
      <c r="AK49" s="40"/>
      <c r="AL49" s="40"/>
      <c r="AM49" s="40">
        <f>SUM(AF49:AL49)+AT49+AV49+AX49</f>
        <v>0</v>
      </c>
      <c r="AN49" s="40"/>
      <c r="AO49" s="40"/>
      <c r="AP49" s="40">
        <v>55</v>
      </c>
      <c r="AQ49" s="40"/>
      <c r="AR49" s="40">
        <f>SUM(AN49:AQ49)</f>
        <v>55</v>
      </c>
      <c r="AS49" s="40"/>
      <c r="AT49" s="40"/>
      <c r="AU49" s="40"/>
      <c r="AV49" s="40"/>
      <c r="AW49" s="40"/>
      <c r="AX49" s="40"/>
      <c r="AY49" s="40"/>
      <c r="AZ49" s="40"/>
      <c r="BA49" s="40">
        <f>+AR49+AS49+AU49+AW49+AY49+AZ49</f>
        <v>55</v>
      </c>
      <c r="BB49" s="36"/>
      <c r="BC49" s="515"/>
      <c r="BD49" s="515"/>
      <c r="BE49" s="36"/>
      <c r="BF49" s="515"/>
    </row>
    <row r="50" spans="1:58" ht="12.95" customHeight="1">
      <c r="A50" s="43"/>
      <c r="B50" s="44"/>
      <c r="C50" s="460"/>
      <c r="D50" s="44"/>
      <c r="E50" s="45"/>
      <c r="F50" s="45"/>
      <c r="G50" s="511"/>
      <c r="H50" s="47"/>
      <c r="I50" s="48"/>
      <c r="J50" s="85"/>
      <c r="K50" s="85"/>
      <c r="L50" s="38"/>
      <c r="M50" s="38"/>
      <c r="N50" s="49"/>
      <c r="O50" s="50"/>
      <c r="P50" s="51"/>
      <c r="Q50" s="50"/>
      <c r="R50" s="512"/>
      <c r="S50" s="512"/>
      <c r="T50" s="40"/>
      <c r="U50" s="40"/>
      <c r="V50" s="40"/>
      <c r="W50" s="40"/>
      <c r="X50" s="41"/>
      <c r="Y50" s="214"/>
      <c r="Z50" s="40"/>
      <c r="AA50" s="40"/>
      <c r="AB50" s="40"/>
      <c r="AC50" s="40"/>
      <c r="AD50" s="40">
        <f>+AM50+BA50</f>
        <v>45</v>
      </c>
      <c r="AE50" s="236" t="s">
        <v>561</v>
      </c>
      <c r="AF50" s="36"/>
      <c r="AG50" s="36"/>
      <c r="AH50" s="36"/>
      <c r="AJ50" s="40"/>
      <c r="AK50" s="40">
        <v>45</v>
      </c>
      <c r="AL50" s="40"/>
      <c r="AM50" s="40">
        <f>SUM(AF50:AL50)+AT50+AV50+AX50</f>
        <v>45</v>
      </c>
      <c r="AN50" s="40"/>
      <c r="AO50" s="40"/>
      <c r="AP50" s="40"/>
      <c r="AQ50" s="40"/>
      <c r="AR50" s="40">
        <f>SUM(AN50:AQ50)</f>
        <v>0</v>
      </c>
      <c r="AS50" s="40"/>
      <c r="AT50" s="40"/>
      <c r="AU50" s="40"/>
      <c r="AV50" s="40"/>
      <c r="AW50" s="40"/>
      <c r="AX50" s="40"/>
      <c r="AY50" s="40"/>
      <c r="AZ50" s="40"/>
      <c r="BA50" s="40">
        <f>+AR50+AS50+AU50+AW50+AY50+AZ50</f>
        <v>0</v>
      </c>
      <c r="BB50" s="36"/>
      <c r="BC50" s="515"/>
      <c r="BD50" s="515"/>
      <c r="BE50" s="36"/>
      <c r="BF50" s="515"/>
    </row>
    <row r="51" spans="1:58" ht="12.95" customHeight="1">
      <c r="A51" s="43"/>
      <c r="B51" s="44"/>
      <c r="C51" s="460"/>
      <c r="D51" s="44"/>
      <c r="E51" s="45"/>
      <c r="F51" s="45"/>
      <c r="G51" s="601"/>
      <c r="H51" s="602"/>
      <c r="I51" s="48"/>
      <c r="J51" s="85"/>
      <c r="K51" s="85"/>
      <c r="L51" s="38"/>
      <c r="M51" s="38"/>
      <c r="N51" s="49"/>
      <c r="O51" s="50"/>
      <c r="P51" s="51"/>
      <c r="Q51" s="50"/>
      <c r="R51" s="512"/>
      <c r="S51" s="512"/>
      <c r="T51" s="40"/>
      <c r="U51" s="40"/>
      <c r="V51" s="40"/>
      <c r="W51" s="40"/>
      <c r="X51" s="41"/>
      <c r="Y51" s="214"/>
      <c r="Z51" s="40"/>
      <c r="AA51" s="40"/>
      <c r="AB51" s="40"/>
      <c r="AC51" s="40"/>
      <c r="AD51" s="40"/>
      <c r="AE51" s="233"/>
      <c r="AF51" s="40"/>
      <c r="AG51" s="40"/>
      <c r="AH51" s="40"/>
      <c r="AI51" s="514"/>
      <c r="AJ51" s="40"/>
      <c r="AK51" s="40"/>
      <c r="AL51" s="40"/>
      <c r="AM51" s="40"/>
      <c r="AN51" s="86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53"/>
      <c r="BC51" s="54"/>
      <c r="BD51" s="54"/>
      <c r="BE51" s="36"/>
      <c r="BF51" s="54"/>
    </row>
    <row r="52" spans="1:58" ht="12.95" customHeight="1">
      <c r="A52" s="43">
        <v>45879</v>
      </c>
      <c r="B52" s="44" t="s">
        <v>445</v>
      </c>
      <c r="C52" s="460">
        <f>(M52*E52*O52*Q52)/100000000</f>
        <v>0.53849071999999998</v>
      </c>
      <c r="D52" s="44" t="s">
        <v>491</v>
      </c>
      <c r="E52" s="45">
        <v>23</v>
      </c>
      <c r="F52" s="45">
        <v>1</v>
      </c>
      <c r="G52" s="511">
        <v>830</v>
      </c>
      <c r="H52" s="47">
        <v>0.15</v>
      </c>
      <c r="I52" s="48">
        <v>0.88</v>
      </c>
      <c r="J52" s="85">
        <f>E52*G52*(1-H52)*1440/1000000*3.4</f>
        <v>79.444944000000007</v>
      </c>
      <c r="K52" s="85">
        <f>(IF(G52&lt;L52,L52,G52)*(1-IF(H52&lt;N52,H52,N52))*E52*O52*Q52)/100000000</f>
        <v>0.53849071999999998</v>
      </c>
      <c r="L52" s="38">
        <v>830</v>
      </c>
      <c r="M52" s="38">
        <v>713.8</v>
      </c>
      <c r="N52" s="49">
        <f>1-(M52/L52)</f>
        <v>0.14000000000000001</v>
      </c>
      <c r="O52" s="50">
        <f>164*2</f>
        <v>328</v>
      </c>
      <c r="P52" s="51">
        <f>O52*(Q52-R52-S52)</f>
        <v>1640</v>
      </c>
      <c r="Q52" s="50">
        <v>10</v>
      </c>
      <c r="R52" s="512">
        <v>0</v>
      </c>
      <c r="S52" s="512">
        <v>5</v>
      </c>
      <c r="T52" s="40">
        <f>E52*M52*O52*Q52/100000000</f>
        <v>0.53849071999999998</v>
      </c>
      <c r="U52" s="40">
        <f>E52*M52*O52*(Q52-R52-S52)/100000000</f>
        <v>0.26924535999999999</v>
      </c>
      <c r="V52" s="40">
        <f>E52*G52*(1-N52)*O52/100*(R52+S52)/1000000</f>
        <v>0.26924535999999999</v>
      </c>
      <c r="W52" s="40">
        <f>+'8'!K28/1000</f>
        <v>0</v>
      </c>
      <c r="X52" s="513">
        <f>SUM(W52:W55)/SUM(K52:K55)</f>
        <v>0.9720304898436728</v>
      </c>
      <c r="Y52" s="214">
        <v>0</v>
      </c>
      <c r="Z52" s="40">
        <v>0</v>
      </c>
      <c r="AA52" s="52">
        <f>SUM(U52:U55)-SUM(W52:W55)-SUM(Z52:Z55)-SUM(Y52:Y55)</f>
        <v>0.28969017000000874</v>
      </c>
      <c r="AB52" s="52">
        <f>(SUM(K52:K55)-SUM(W52:W55)-SUM(Y52:Y55)-SUM(Z52:Z55)-SUM(AC52:AC55)-SUM(V52:V55))-AA52</f>
        <v>-9.9920072216264089E-15</v>
      </c>
      <c r="AC52" s="40">
        <f>K52-T52</f>
        <v>0</v>
      </c>
      <c r="AD52" s="40">
        <f>+AM52+BA52</f>
        <v>0</v>
      </c>
      <c r="AE52" s="233" t="s">
        <v>391</v>
      </c>
      <c r="AF52" s="40">
        <v>0</v>
      </c>
      <c r="AG52" s="40"/>
      <c r="AH52" s="40"/>
      <c r="AI52" s="514"/>
      <c r="AJ52" s="40"/>
      <c r="AK52" s="40"/>
      <c r="AL52" s="40"/>
      <c r="AM52" s="40">
        <f>SUM(AF52:AL52)+AT52+AV52+AX52</f>
        <v>0</v>
      </c>
      <c r="AN52" s="40"/>
      <c r="AO52" s="40"/>
      <c r="AP52" s="40"/>
      <c r="AQ52" s="40"/>
      <c r="AR52" s="40">
        <f>SUM(AN52:AQ52)</f>
        <v>0</v>
      </c>
      <c r="AS52" s="40"/>
      <c r="AT52" s="40"/>
      <c r="AU52" s="40"/>
      <c r="AV52" s="40"/>
      <c r="AW52" s="40"/>
      <c r="AX52" s="40"/>
      <c r="AY52" s="40"/>
      <c r="AZ52" s="40"/>
      <c r="BA52" s="40">
        <f>+AR52+AS52+AU52+AW52+AY52+AZ52</f>
        <v>0</v>
      </c>
      <c r="BB52" s="36">
        <v>4</v>
      </c>
      <c r="BC52" s="54"/>
      <c r="BD52" s="54"/>
      <c r="BE52" s="36"/>
      <c r="BF52" s="54"/>
    </row>
    <row r="53" spans="1:58" ht="12.95" customHeight="1">
      <c r="A53" s="43"/>
      <c r="B53" s="44" t="s">
        <v>8</v>
      </c>
      <c r="C53" s="460">
        <f>(M53*E53*O53*Q53)/100000000</f>
        <v>75.927191519999994</v>
      </c>
      <c r="D53" s="44" t="s">
        <v>491</v>
      </c>
      <c r="E53" s="45">
        <v>23</v>
      </c>
      <c r="F53" s="45">
        <v>1</v>
      </c>
      <c r="G53" s="511">
        <v>830</v>
      </c>
      <c r="H53" s="47">
        <v>0.15</v>
      </c>
      <c r="I53" s="48">
        <v>0.88</v>
      </c>
      <c r="J53" s="85">
        <f>E53*G53*(1-H53)*1440/1000000*3.4</f>
        <v>79.444944000000007</v>
      </c>
      <c r="K53" s="85">
        <f>(IF(G53&lt;L53,L53,G53)*(1-IF(H53&lt;N53,H53,N53))*E53*O53*Q53)/100000000</f>
        <v>75.927191519999994</v>
      </c>
      <c r="L53" s="38">
        <v>830</v>
      </c>
      <c r="M53" s="38">
        <v>713.8</v>
      </c>
      <c r="N53" s="49">
        <f>1-(M53/L53)</f>
        <v>0.14000000000000001</v>
      </c>
      <c r="O53" s="50">
        <f>+'Trim Rwd'!H40</f>
        <v>328</v>
      </c>
      <c r="P53" s="51">
        <f>O53*(Q53-R53-S53)</f>
        <v>457560</v>
      </c>
      <c r="Q53" s="50">
        <v>1410</v>
      </c>
      <c r="R53" s="512">
        <v>0</v>
      </c>
      <c r="S53" s="512">
        <v>15</v>
      </c>
      <c r="T53" s="40">
        <f>E53*M53*O53*Q53/100000000</f>
        <v>75.927191519999994</v>
      </c>
      <c r="U53" s="40">
        <f>E53*M53*O53*(Q53-R53-S53)/100000000</f>
        <v>75.119455439999996</v>
      </c>
      <c r="V53" s="40">
        <f>E53*G53*(1-N53)*O53/100*(R53+S53)/1000000</f>
        <v>0.80773607999999997</v>
      </c>
      <c r="W53" s="40">
        <f>+'10'!K21/1000</f>
        <v>75.066999999999993</v>
      </c>
      <c r="X53" s="41"/>
      <c r="Y53" s="214"/>
      <c r="Z53" s="40">
        <f>+'10'!D25/1000</f>
        <v>0.60299999999999998</v>
      </c>
      <c r="AA53" s="40"/>
      <c r="AB53" s="40"/>
      <c r="AC53" s="40">
        <f>K53-T53</f>
        <v>0</v>
      </c>
      <c r="AD53" s="40">
        <f>+AM53+BA53</f>
        <v>9</v>
      </c>
      <c r="AE53" s="233" t="s">
        <v>527</v>
      </c>
      <c r="AF53" s="40"/>
      <c r="AG53" s="40">
        <v>9</v>
      </c>
      <c r="AH53" s="40"/>
      <c r="AI53" s="514"/>
      <c r="AJ53" s="40"/>
      <c r="AK53" s="40"/>
      <c r="AL53" s="40"/>
      <c r="AM53" s="40">
        <f>SUM(AF53:AL53)+AT53+AV53+AX53</f>
        <v>9</v>
      </c>
      <c r="AN53" s="86"/>
      <c r="AO53" s="40"/>
      <c r="AP53" s="40"/>
      <c r="AQ53" s="40"/>
      <c r="AR53" s="40">
        <f>SUM(AN53:AQ53)</f>
        <v>0</v>
      </c>
      <c r="AS53" s="40"/>
      <c r="AT53" s="40"/>
      <c r="AU53" s="40"/>
      <c r="AV53" s="40"/>
      <c r="AW53" s="40"/>
      <c r="AX53" s="40"/>
      <c r="AY53" s="40"/>
      <c r="AZ53" s="40"/>
      <c r="BA53" s="40">
        <f>+AR53+AS53+AU53+AW53+AY53+AZ53</f>
        <v>0</v>
      </c>
      <c r="BB53" s="53"/>
      <c r="BC53" s="54">
        <v>4</v>
      </c>
      <c r="BD53" s="54"/>
      <c r="BE53" s="53"/>
      <c r="BF53" s="54"/>
    </row>
    <row r="54" spans="1:58" ht="12.95" customHeight="1">
      <c r="A54" s="43"/>
      <c r="B54" s="44" t="s">
        <v>445</v>
      </c>
      <c r="C54" s="460">
        <f>(M54*E54*O54*Q54)/100000000</f>
        <v>0.76131915999999999</v>
      </c>
      <c r="D54" s="44" t="s">
        <v>491</v>
      </c>
      <c r="E54" s="45">
        <v>17</v>
      </c>
      <c r="F54" s="45">
        <v>1</v>
      </c>
      <c r="G54" s="511">
        <v>830</v>
      </c>
      <c r="H54" s="47">
        <v>0.18</v>
      </c>
      <c r="I54" s="48">
        <v>0.88</v>
      </c>
      <c r="J54" s="85">
        <f>E54*G54*(1-H54)*1440/1000000*3.4</f>
        <v>56.647699200000005</v>
      </c>
      <c r="K54" s="85">
        <f>(IF(G54&lt;L54,L54,G54)*(1-IF(H54&lt;N54,H54,N54))*E54*O54*Q54)/100000000</f>
        <v>0.76131915999999999</v>
      </c>
      <c r="L54" s="38">
        <v>830</v>
      </c>
      <c r="M54" s="38">
        <f>+L54-L54*0.18</f>
        <v>680.6</v>
      </c>
      <c r="N54" s="49">
        <f>1-(M54/L54)</f>
        <v>0.17999999999999994</v>
      </c>
      <c r="O54" s="50">
        <f>+'Trim Rwd'!H41</f>
        <v>329</v>
      </c>
      <c r="P54" s="51">
        <f>O54*(Q54-R54-S54)</f>
        <v>4935</v>
      </c>
      <c r="Q54" s="50">
        <v>20</v>
      </c>
      <c r="R54" s="512">
        <v>0</v>
      </c>
      <c r="S54" s="512">
        <v>5</v>
      </c>
      <c r="T54" s="40">
        <f>E54*M54*O54*Q54/100000000</f>
        <v>0.76131915999999999</v>
      </c>
      <c r="U54" s="40">
        <f>E54*M54*O54*(Q54-R54-S54)/100000000</f>
        <v>0.57098937000000005</v>
      </c>
      <c r="V54" s="40">
        <f>E54*G54*(1-N54)*O54/100*(R54+S54)/1000000</f>
        <v>0.19032979000000003</v>
      </c>
      <c r="W54" s="40">
        <f>+'8'!K30/1000</f>
        <v>0</v>
      </c>
      <c r="X54" s="41"/>
      <c r="Y54" s="214"/>
      <c r="Z54" s="40"/>
      <c r="AA54" s="40"/>
      <c r="AB54" s="40"/>
      <c r="AC54" s="40"/>
      <c r="AD54" s="40">
        <f>+AM54+BA54</f>
        <v>11</v>
      </c>
      <c r="AE54" s="233" t="s">
        <v>226</v>
      </c>
      <c r="AF54" s="36"/>
      <c r="AG54" s="36"/>
      <c r="AH54" s="36">
        <v>11</v>
      </c>
      <c r="AJ54" s="40"/>
      <c r="AK54" s="40"/>
      <c r="AL54" s="40"/>
      <c r="AM54" s="40">
        <f>SUM(AF54:AL54)+AT54+AV54+AX54</f>
        <v>11</v>
      </c>
      <c r="AN54" s="40"/>
      <c r="AO54" s="40"/>
      <c r="AP54" s="40"/>
      <c r="AQ54" s="40"/>
      <c r="AR54" s="40">
        <f>SUM(AN54:AQ54)</f>
        <v>0</v>
      </c>
      <c r="AS54" s="40"/>
      <c r="AT54" s="40"/>
      <c r="AU54" s="40"/>
      <c r="AV54" s="40"/>
      <c r="AW54" s="40"/>
      <c r="AX54" s="40"/>
      <c r="AY54" s="40"/>
      <c r="AZ54" s="40"/>
      <c r="BA54" s="40">
        <f>+AR54+AS54+AU54+AW54+AY54+AZ54</f>
        <v>0</v>
      </c>
      <c r="BB54" s="36"/>
      <c r="BC54" s="515"/>
      <c r="BD54" s="515"/>
      <c r="BE54" s="36"/>
      <c r="BF54" s="515"/>
    </row>
    <row r="55" spans="1:58" ht="12.95" customHeight="1">
      <c r="A55" s="43"/>
      <c r="B55" s="44"/>
      <c r="C55" s="460"/>
      <c r="D55" s="44"/>
      <c r="E55" s="45"/>
      <c r="F55" s="45"/>
      <c r="G55" s="511"/>
      <c r="H55" s="47"/>
      <c r="I55" s="48"/>
      <c r="J55" s="85"/>
      <c r="K55" s="85"/>
      <c r="L55" s="38"/>
      <c r="M55" s="38"/>
      <c r="N55" s="49"/>
      <c r="O55" s="50"/>
      <c r="P55" s="51"/>
      <c r="Q55" s="50"/>
      <c r="R55" s="512"/>
      <c r="S55" s="512"/>
      <c r="T55" s="40"/>
      <c r="U55" s="40"/>
      <c r="V55" s="40"/>
      <c r="W55" s="40"/>
      <c r="X55" s="41"/>
      <c r="Y55" s="214"/>
      <c r="Z55" s="40"/>
      <c r="AA55" s="40"/>
      <c r="AB55" s="40"/>
      <c r="AC55" s="40"/>
      <c r="AD55" s="40">
        <f>+AM55+BA55</f>
        <v>5</v>
      </c>
      <c r="AE55" s="233" t="s">
        <v>577</v>
      </c>
      <c r="AF55" s="36"/>
      <c r="AG55" s="36"/>
      <c r="AH55" s="36"/>
      <c r="AI55" s="32">
        <v>5</v>
      </c>
      <c r="AJ55" s="40"/>
      <c r="AK55" s="40"/>
      <c r="AL55" s="40"/>
      <c r="AM55" s="40">
        <f>SUM(AF55:AL55)+AT55+AV55+AX55</f>
        <v>5</v>
      </c>
      <c r="AN55" s="40"/>
      <c r="AO55" s="40"/>
      <c r="AP55" s="40"/>
      <c r="AQ55" s="40"/>
      <c r="AR55" s="40">
        <f>SUM(AN55:AQ55)</f>
        <v>0</v>
      </c>
      <c r="AS55" s="40"/>
      <c r="AT55" s="40"/>
      <c r="AU55" s="40"/>
      <c r="AV55" s="40"/>
      <c r="AW55" s="40"/>
      <c r="AX55" s="40"/>
      <c r="AY55" s="40"/>
      <c r="AZ55" s="40"/>
      <c r="BA55" s="40">
        <f>+AR55+AS55+AU55+AW55+AY55+AZ55</f>
        <v>0</v>
      </c>
      <c r="BB55" s="36"/>
      <c r="BC55" s="515"/>
      <c r="BD55" s="515"/>
      <c r="BE55" s="36"/>
      <c r="BF55" s="515"/>
    </row>
    <row r="56" spans="1:58" ht="12.95" customHeight="1">
      <c r="A56" s="43"/>
      <c r="B56" s="44"/>
      <c r="C56" s="460"/>
      <c r="D56" s="44"/>
      <c r="E56" s="45"/>
      <c r="F56" s="45"/>
      <c r="G56" s="603"/>
      <c r="H56" s="602"/>
      <c r="I56" s="48"/>
      <c r="J56" s="85"/>
      <c r="K56" s="85"/>
      <c r="L56" s="38"/>
      <c r="M56" s="38"/>
      <c r="N56" s="49"/>
      <c r="O56" s="50"/>
      <c r="P56" s="51"/>
      <c r="Q56" s="50"/>
      <c r="R56" s="512"/>
      <c r="S56" s="512"/>
      <c r="T56" s="40"/>
      <c r="U56" s="40"/>
      <c r="V56" s="40"/>
      <c r="W56" s="40"/>
      <c r="X56" s="41"/>
      <c r="Y56" s="214"/>
      <c r="Z56" s="40"/>
      <c r="AA56" s="52"/>
      <c r="AB56" s="52"/>
      <c r="AC56" s="40"/>
      <c r="AD56" s="40"/>
      <c r="AE56" s="236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36"/>
      <c r="BC56" s="54"/>
      <c r="BD56" s="54"/>
      <c r="BE56" s="53"/>
      <c r="BF56" s="54"/>
    </row>
    <row r="57" spans="1:58" ht="12.95" customHeight="1">
      <c r="A57" s="43">
        <v>45880</v>
      </c>
      <c r="B57" s="44" t="s">
        <v>445</v>
      </c>
      <c r="C57" s="460">
        <f>(M57*E57*O57*Q57)/100000000</f>
        <v>54.747626185531914</v>
      </c>
      <c r="D57" s="44" t="s">
        <v>491</v>
      </c>
      <c r="E57" s="45">
        <v>17</v>
      </c>
      <c r="F57" s="45">
        <v>1</v>
      </c>
      <c r="G57" s="511">
        <v>830</v>
      </c>
      <c r="H57" s="47">
        <v>0.18</v>
      </c>
      <c r="I57" s="48">
        <v>0.88</v>
      </c>
      <c r="J57" s="85">
        <f>E57*G57*(1-H57)*1440/1000000*3.4</f>
        <v>56.647699200000005</v>
      </c>
      <c r="K57" s="85">
        <f>(IF(G57&lt;L57,L57,G57)*(1-IF(H57&lt;N57,H57,N57))*E57*O57*Q57)/100000000</f>
        <v>54.747626185531914</v>
      </c>
      <c r="L57" s="38">
        <v>830</v>
      </c>
      <c r="M57" s="38">
        <f>+L57-L57*0.18</f>
        <v>680.6</v>
      </c>
      <c r="N57" s="49">
        <f>1-(M57/L57)</f>
        <v>0.17999999999999994</v>
      </c>
      <c r="O57" s="50">
        <f>+'Trim Rwd'!H45</f>
        <v>328.59574468085106</v>
      </c>
      <c r="P57" s="51">
        <f>O57*(Q57-R57-S57)</f>
        <v>451161.95744680852</v>
      </c>
      <c r="Q57" s="50">
        <v>1440</v>
      </c>
      <c r="R57" s="512">
        <v>0</v>
      </c>
      <c r="S57" s="512">
        <f>29+16+22</f>
        <v>67</v>
      </c>
      <c r="T57" s="40">
        <f>E57*M57*O57*Q57/100000000</f>
        <v>54.747626185531914</v>
      </c>
      <c r="U57" s="40">
        <f>E57*M57*O57*(Q57-R57-S57)/100000000</f>
        <v>52.200340800510638</v>
      </c>
      <c r="V57" s="40">
        <f>E57*G57*(1-N57)*O57/100*(R57+S57)/1000000</f>
        <v>2.5472853850212767</v>
      </c>
      <c r="W57" s="40">
        <f>+'11'!K16/1000</f>
        <v>44.834000000000003</v>
      </c>
      <c r="X57" s="513">
        <f>SUM(W57:W60)/SUM(K57:K60)</f>
        <v>0.8612793519157379</v>
      </c>
      <c r="Y57" s="214">
        <v>0</v>
      </c>
      <c r="Z57" s="40">
        <f>+'11'!D34/1000</f>
        <v>0.58699999999999997</v>
      </c>
      <c r="AA57" s="52">
        <f>SUM(U57:U60)-SUM(W57:W60)-SUM(Z57:Z60)-SUM(Y57:Y60)</f>
        <v>4.4603408005106324</v>
      </c>
      <c r="AB57" s="52">
        <f>(SUM(K57:K60)-SUM(W57:W60)-SUM(Y57:Y60)-SUM(Z57:Z60)-SUM(AC57:AC60)-SUM(V57:V60))-AA57</f>
        <v>0</v>
      </c>
      <c r="AC57" s="40">
        <f>K57-T57</f>
        <v>0</v>
      </c>
      <c r="AD57" s="40">
        <f>+AM57+BA57</f>
        <v>29</v>
      </c>
      <c r="AE57" s="233" t="s">
        <v>549</v>
      </c>
      <c r="AF57" s="40">
        <v>29</v>
      </c>
      <c r="AG57" s="40"/>
      <c r="AH57" s="40"/>
      <c r="AI57" s="514"/>
      <c r="AJ57" s="40"/>
      <c r="AK57" s="40"/>
      <c r="AL57" s="40"/>
      <c r="AM57" s="40">
        <f>SUM(AF57:AL57)+AT57+AV57+AX57</f>
        <v>29</v>
      </c>
      <c r="AN57" s="40"/>
      <c r="AO57" s="40"/>
      <c r="AP57" s="40"/>
      <c r="AQ57" s="40"/>
      <c r="AR57" s="40">
        <f>SUM(AN57:AQ57)</f>
        <v>0</v>
      </c>
      <c r="AS57" s="40"/>
      <c r="AT57" s="40"/>
      <c r="AU57" s="40"/>
      <c r="AV57" s="40"/>
      <c r="AW57" s="40"/>
      <c r="AX57" s="40"/>
      <c r="AY57" s="40"/>
      <c r="AZ57" s="40"/>
      <c r="BA57" s="40">
        <f>+AR57+AS57+AU57+AW57+AY57+AZ57</f>
        <v>0</v>
      </c>
      <c r="BB57" s="36">
        <v>7</v>
      </c>
      <c r="BC57" s="54"/>
      <c r="BD57" s="54"/>
      <c r="BE57" s="36"/>
      <c r="BF57" s="54"/>
    </row>
    <row r="58" spans="1:58" ht="12.95" customHeight="1">
      <c r="A58" s="43"/>
      <c r="B58" s="44" t="s">
        <v>8</v>
      </c>
      <c r="C58" s="460"/>
      <c r="D58" s="44"/>
      <c r="E58" s="45">
        <v>23</v>
      </c>
      <c r="F58" s="45"/>
      <c r="G58" s="511"/>
      <c r="H58" s="47"/>
      <c r="I58" s="48"/>
      <c r="J58" s="85"/>
      <c r="K58" s="85"/>
      <c r="L58" s="38"/>
      <c r="M58" s="38"/>
      <c r="N58" s="49"/>
      <c r="O58" s="50"/>
      <c r="P58" s="51"/>
      <c r="Q58" s="50"/>
      <c r="R58" s="512"/>
      <c r="S58" s="512"/>
      <c r="T58" s="40"/>
      <c r="U58" s="40"/>
      <c r="V58" s="40"/>
      <c r="W58" s="40">
        <f>+'11'!K21/1000</f>
        <v>2.319</v>
      </c>
      <c r="X58" s="41"/>
      <c r="Y58" s="214"/>
      <c r="Z58" s="40"/>
      <c r="AA58" s="40"/>
      <c r="AB58" s="40"/>
      <c r="AC58" s="40"/>
      <c r="AD58" s="40">
        <f>+AM58+BA58</f>
        <v>16</v>
      </c>
      <c r="AE58" s="233" t="s">
        <v>527</v>
      </c>
      <c r="AF58" s="40"/>
      <c r="AG58" s="40">
        <v>16</v>
      </c>
      <c r="AH58" s="40"/>
      <c r="AI58" s="514"/>
      <c r="AJ58" s="40"/>
      <c r="AK58" s="40"/>
      <c r="AL58" s="40"/>
      <c r="AM58" s="40">
        <f>SUM(AF58:AL58)+AT58+AV58+AX58</f>
        <v>16</v>
      </c>
      <c r="AN58" s="86"/>
      <c r="AO58" s="40"/>
      <c r="AP58" s="40"/>
      <c r="AQ58" s="40"/>
      <c r="AR58" s="40">
        <f>SUM(AN58:AQ58)</f>
        <v>0</v>
      </c>
      <c r="AS58" s="40"/>
      <c r="AT58" s="40"/>
      <c r="AU58" s="40"/>
      <c r="AV58" s="40"/>
      <c r="AW58" s="40"/>
      <c r="AX58" s="40"/>
      <c r="AY58" s="40"/>
      <c r="AZ58" s="40"/>
      <c r="BA58" s="40">
        <f>+AR58+AS58+AU58+AW58+AY58+AZ58</f>
        <v>0</v>
      </c>
      <c r="BB58" s="53"/>
      <c r="BC58" s="54">
        <v>4</v>
      </c>
      <c r="BD58" s="54"/>
      <c r="BE58" s="53"/>
      <c r="BF58" s="54"/>
    </row>
    <row r="59" spans="1:58" ht="12.95" customHeight="1">
      <c r="A59" s="43"/>
      <c r="B59" s="44"/>
      <c r="C59" s="460"/>
      <c r="D59" s="44"/>
      <c r="E59" s="45"/>
      <c r="F59" s="45"/>
      <c r="G59" s="511"/>
      <c r="H59" s="47"/>
      <c r="I59" s="48"/>
      <c r="J59" s="85"/>
      <c r="K59" s="85"/>
      <c r="L59" s="38"/>
      <c r="M59" s="38"/>
      <c r="N59" s="49"/>
      <c r="O59" s="50"/>
      <c r="P59" s="51"/>
      <c r="Q59" s="50"/>
      <c r="R59" s="512"/>
      <c r="S59" s="512"/>
      <c r="T59" s="40"/>
      <c r="U59" s="40"/>
      <c r="V59" s="40"/>
      <c r="W59" s="40"/>
      <c r="X59" s="41"/>
      <c r="Y59" s="214"/>
      <c r="Z59" s="40"/>
      <c r="AA59" s="40"/>
      <c r="AB59" s="40"/>
      <c r="AC59" s="40"/>
      <c r="AD59" s="40">
        <f>+AM59+BA59</f>
        <v>22</v>
      </c>
      <c r="AE59" s="233" t="s">
        <v>226</v>
      </c>
      <c r="AF59" s="36"/>
      <c r="AG59" s="36"/>
      <c r="AH59" s="36">
        <v>22</v>
      </c>
      <c r="AJ59" s="40"/>
      <c r="AK59" s="40"/>
      <c r="AL59" s="40"/>
      <c r="AM59" s="40">
        <f>SUM(AF59:AL59)+AT59+AV59+AX59</f>
        <v>22</v>
      </c>
      <c r="AN59" s="40"/>
      <c r="AO59" s="40"/>
      <c r="AP59" s="40"/>
      <c r="AQ59" s="40"/>
      <c r="AR59" s="40">
        <f>SUM(AN59:AQ59)</f>
        <v>0</v>
      </c>
      <c r="AS59" s="40"/>
      <c r="AT59" s="40"/>
      <c r="AU59" s="40"/>
      <c r="AV59" s="40"/>
      <c r="AW59" s="40"/>
      <c r="AX59" s="40"/>
      <c r="AY59" s="40"/>
      <c r="AZ59" s="40"/>
      <c r="BA59" s="40">
        <f>+AR59+AS59+AU59+AW59+AY59+AZ59</f>
        <v>0</v>
      </c>
      <c r="BB59" s="36"/>
      <c r="BC59" s="515"/>
      <c r="BD59" s="515"/>
      <c r="BE59" s="36"/>
      <c r="BF59" s="515"/>
    </row>
    <row r="60" spans="1:58" ht="12.95" customHeight="1">
      <c r="A60" s="43"/>
      <c r="B60" s="44"/>
      <c r="C60" s="460"/>
      <c r="D60" s="44"/>
      <c r="E60" s="45"/>
      <c r="F60" s="45"/>
      <c r="G60" s="511"/>
      <c r="H60" s="47"/>
      <c r="I60" s="48"/>
      <c r="J60" s="85"/>
      <c r="K60" s="85"/>
      <c r="L60" s="38"/>
      <c r="M60" s="38"/>
      <c r="N60" s="49"/>
      <c r="O60" s="50"/>
      <c r="P60" s="51"/>
      <c r="Q60" s="50"/>
      <c r="R60" s="512"/>
      <c r="S60" s="512"/>
      <c r="T60" s="40"/>
      <c r="U60" s="40"/>
      <c r="V60" s="40"/>
      <c r="W60" s="40"/>
      <c r="X60" s="41"/>
      <c r="Y60" s="214"/>
      <c r="Z60" s="40"/>
      <c r="AA60" s="40"/>
      <c r="AB60" s="40"/>
      <c r="AC60" s="40"/>
      <c r="AD60" s="40"/>
      <c r="AE60" s="233"/>
      <c r="AF60" s="36"/>
      <c r="AG60" s="36"/>
      <c r="AH60" s="36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36"/>
      <c r="BC60" s="515"/>
      <c r="BD60" s="515"/>
      <c r="BE60" s="36"/>
      <c r="BF60" s="515"/>
    </row>
    <row r="61" spans="1:58" ht="12.95" customHeight="1">
      <c r="A61" s="43">
        <v>45881</v>
      </c>
      <c r="B61" s="44" t="s">
        <v>445</v>
      </c>
      <c r="C61" s="460">
        <f>(M61*E61*O61*Q61)/100000000</f>
        <v>3.0360204799999999</v>
      </c>
      <c r="D61" s="44" t="s">
        <v>491</v>
      </c>
      <c r="E61" s="45">
        <v>17</v>
      </c>
      <c r="F61" s="45">
        <v>1</v>
      </c>
      <c r="G61" s="511">
        <v>830</v>
      </c>
      <c r="H61" s="47">
        <v>0.18</v>
      </c>
      <c r="I61" s="48">
        <v>0.88</v>
      </c>
      <c r="J61" s="85">
        <f>E61*G61*(1-H61)*1440/1000000*3.4</f>
        <v>56.647699200000005</v>
      </c>
      <c r="K61" s="85">
        <f>(IF(G61&lt;L61,L61,G61)*(1-IF(H61&lt;N61,H61,N61))*E61*O61*Q61)/100000000</f>
        <v>3.0360204799999999</v>
      </c>
      <c r="L61" s="38">
        <v>830</v>
      </c>
      <c r="M61" s="38">
        <f>+L61-L61*0.18</f>
        <v>680.6</v>
      </c>
      <c r="N61" s="49">
        <f>1-(M61/L61)</f>
        <v>0.17999999999999994</v>
      </c>
      <c r="O61" s="50">
        <f>+'Trim Rwd'!H48</f>
        <v>328</v>
      </c>
      <c r="P61" s="51">
        <f>O61*(Q61-R61-S61)</f>
        <v>26240</v>
      </c>
      <c r="Q61" s="50">
        <v>80</v>
      </c>
      <c r="R61" s="512">
        <v>0</v>
      </c>
      <c r="S61" s="512">
        <v>0</v>
      </c>
      <c r="T61" s="40">
        <f>E61*M61*O61*Q61/100000000</f>
        <v>3.0360204799999999</v>
      </c>
      <c r="U61" s="40">
        <f>E61*M61*O61*(Q61-R61-S61)/100000000</f>
        <v>3.0360204799999999</v>
      </c>
      <c r="V61" s="40">
        <f>E61*G61*(1-N61)*O61/100*(R61+S61)/1000000</f>
        <v>0</v>
      </c>
      <c r="W61" s="40">
        <f>+'12'!K16/1000</f>
        <v>3.7890000000000001</v>
      </c>
      <c r="X61" s="513">
        <f>SUM(W61:W64)/SUM(K61:K64)</f>
        <v>0.91022183735166273</v>
      </c>
      <c r="Y61" s="214">
        <v>0</v>
      </c>
      <c r="Z61" s="40">
        <v>0</v>
      </c>
      <c r="AA61" s="52">
        <f>SUM(U61:U64)-SUM(W61:W64)-SUM(Z61:Z64)-SUM(Y61:Y64)</f>
        <v>3.9386731359999985</v>
      </c>
      <c r="AB61" s="52">
        <f>(SUM(K61:K64)-SUM(W61:W64)-SUM(Y61:Y64)-SUM(Z61:Z64)-SUM(AC61:AC64)-SUM(V61:V64))-AA61</f>
        <v>-4.4408920985006262E-15</v>
      </c>
      <c r="AC61" s="40">
        <f>K61-T61</f>
        <v>0</v>
      </c>
      <c r="AD61" s="40">
        <f>+AM61+BA61</f>
        <v>0</v>
      </c>
      <c r="AE61" s="233" t="s">
        <v>391</v>
      </c>
      <c r="AF61" s="40">
        <v>0</v>
      </c>
      <c r="AG61" s="40"/>
      <c r="AH61" s="40"/>
      <c r="AI61" s="514"/>
      <c r="AJ61" s="40"/>
      <c r="AK61" s="40"/>
      <c r="AL61" s="40"/>
      <c r="AM61" s="40">
        <f>SUM(AF61:AL61)+AT61+AV61+AX61</f>
        <v>0</v>
      </c>
      <c r="AN61" s="40"/>
      <c r="AO61" s="40"/>
      <c r="AP61" s="40"/>
      <c r="AQ61" s="40"/>
      <c r="AR61" s="40">
        <f>SUM(AN61:AQ61)</f>
        <v>0</v>
      </c>
      <c r="AS61" s="40"/>
      <c r="AT61" s="40"/>
      <c r="AU61" s="40"/>
      <c r="AV61" s="40"/>
      <c r="AW61" s="40"/>
      <c r="AX61" s="40"/>
      <c r="AY61" s="40"/>
      <c r="AZ61" s="40"/>
      <c r="BA61" s="40">
        <f>+AR61+AS61+AU61+AW61+AY61+AZ61</f>
        <v>0</v>
      </c>
      <c r="BB61" s="36">
        <v>0</v>
      </c>
      <c r="BC61" s="54"/>
      <c r="BD61" s="54"/>
      <c r="BE61" s="36"/>
      <c r="BF61" s="54"/>
    </row>
    <row r="62" spans="1:58" ht="12.95" customHeight="1">
      <c r="A62" s="43"/>
      <c r="B62" s="44" t="s">
        <v>8</v>
      </c>
      <c r="C62" s="460">
        <f>(M62*E62*O62*Q62)/100000000</f>
        <v>50.82557456</v>
      </c>
      <c r="D62" s="44" t="s">
        <v>491</v>
      </c>
      <c r="E62" s="45">
        <v>17</v>
      </c>
      <c r="F62" s="45">
        <v>1</v>
      </c>
      <c r="G62" s="511">
        <v>830</v>
      </c>
      <c r="H62" s="47">
        <v>0.18</v>
      </c>
      <c r="I62" s="48">
        <v>0.88</v>
      </c>
      <c r="J62" s="85">
        <f>E62*G62*(1-H62)*1440/1000000*3.4</f>
        <v>56.647699200000005</v>
      </c>
      <c r="K62" s="85">
        <f>(IF(G62&lt;L62,L62,G62)*(1-IF(H62&lt;N62,H62,N62))*E62*O62*Q62)/100000000</f>
        <v>50.82557456</v>
      </c>
      <c r="L62" s="38">
        <v>830</v>
      </c>
      <c r="M62" s="38">
        <f>+L62-L62*0.18</f>
        <v>680.6</v>
      </c>
      <c r="N62" s="49">
        <f>1-(M62/L62)</f>
        <v>0.17999999999999994</v>
      </c>
      <c r="O62" s="50">
        <f>+'Trim Rwd'!H49</f>
        <v>323</v>
      </c>
      <c r="P62" s="51">
        <f>O62*(Q62-R62-S62)</f>
        <v>431528</v>
      </c>
      <c r="Q62" s="50">
        <v>1360</v>
      </c>
      <c r="R62" s="512">
        <v>0</v>
      </c>
      <c r="S62" s="512">
        <v>24</v>
      </c>
      <c r="T62" s="40">
        <f>E62*M62*O62*Q62/100000000</f>
        <v>50.82557456</v>
      </c>
      <c r="U62" s="40">
        <f>E62*M62*O62*(Q62-R62-S62)/100000000</f>
        <v>49.928652656000004</v>
      </c>
      <c r="V62" s="40">
        <f>E62*G62*(1-N62)*O62/100*(R62+S62)/1000000</f>
        <v>0.89692190399999994</v>
      </c>
      <c r="W62" s="40">
        <f>+'12'!K22/1000</f>
        <v>45.237000000000002</v>
      </c>
      <c r="X62" s="41"/>
      <c r="Y62" s="214"/>
      <c r="Z62" s="40"/>
      <c r="AA62" s="40"/>
      <c r="AB62" s="40"/>
      <c r="AC62" s="40">
        <f>K62-T62</f>
        <v>0</v>
      </c>
      <c r="AD62" s="40">
        <f>+AM62+BA62</f>
        <v>9</v>
      </c>
      <c r="AE62" s="233" t="s">
        <v>390</v>
      </c>
      <c r="AF62" s="40"/>
      <c r="AG62" s="40">
        <v>9</v>
      </c>
      <c r="AH62" s="40"/>
      <c r="AI62" s="514"/>
      <c r="AJ62" s="40"/>
      <c r="AK62" s="40"/>
      <c r="AL62" s="40"/>
      <c r="AM62" s="40">
        <f>SUM(AF62:AL62)+AT62+AV62+AX62</f>
        <v>9</v>
      </c>
      <c r="AN62" s="86"/>
      <c r="AO62" s="40"/>
      <c r="AP62" s="40"/>
      <c r="AQ62" s="40"/>
      <c r="AR62" s="40">
        <f>SUM(AN62:AQ62)</f>
        <v>0</v>
      </c>
      <c r="AS62" s="40"/>
      <c r="AT62" s="40"/>
      <c r="AU62" s="40"/>
      <c r="AV62" s="40"/>
      <c r="AW62" s="40"/>
      <c r="AX62" s="40"/>
      <c r="AY62" s="40"/>
      <c r="AZ62" s="40"/>
      <c r="BA62" s="40">
        <f>+AR62+AS62+AU62+AW62+AY62+AZ62</f>
        <v>0</v>
      </c>
      <c r="BB62" s="53"/>
      <c r="BC62" s="54">
        <v>3</v>
      </c>
      <c r="BD62" s="54"/>
      <c r="BE62" s="53"/>
      <c r="BF62" s="54"/>
    </row>
    <row r="63" spans="1:58" ht="12.95" customHeight="1">
      <c r="A63" s="43"/>
      <c r="B63" s="44"/>
      <c r="C63" s="460"/>
      <c r="D63" s="44"/>
      <c r="E63" s="45"/>
      <c r="F63" s="45"/>
      <c r="G63" s="511"/>
      <c r="H63" s="47"/>
      <c r="I63" s="48"/>
      <c r="J63" s="85"/>
      <c r="K63" s="85"/>
      <c r="L63" s="38"/>
      <c r="M63" s="38"/>
      <c r="N63" s="49"/>
      <c r="O63" s="50"/>
      <c r="P63" s="51"/>
      <c r="Q63" s="50"/>
      <c r="R63" s="512"/>
      <c r="S63" s="512"/>
      <c r="T63" s="40"/>
      <c r="U63" s="40"/>
      <c r="V63" s="40"/>
      <c r="W63" s="40"/>
      <c r="X63" s="41"/>
      <c r="Y63" s="214"/>
      <c r="Z63" s="40"/>
      <c r="AA63" s="40"/>
      <c r="AB63" s="40"/>
      <c r="AC63" s="40"/>
      <c r="AD63" s="40">
        <f>+AM63+BA63</f>
        <v>15</v>
      </c>
      <c r="AE63" s="233" t="s">
        <v>226</v>
      </c>
      <c r="AF63" s="36"/>
      <c r="AG63" s="36"/>
      <c r="AH63" s="36">
        <v>15</v>
      </c>
      <c r="AI63" s="514"/>
      <c r="AJ63" s="40"/>
      <c r="AK63" s="40"/>
      <c r="AL63" s="40"/>
      <c r="AM63" s="40">
        <f>SUM(AF63:AL63)+AT63+AV63+AX63</f>
        <v>15</v>
      </c>
      <c r="AN63" s="40"/>
      <c r="AO63" s="40"/>
      <c r="AP63" s="40"/>
      <c r="AQ63" s="40"/>
      <c r="AR63" s="40">
        <f>SUM(AN63:AQ63)</f>
        <v>0</v>
      </c>
      <c r="AS63" s="40"/>
      <c r="AT63" s="40"/>
      <c r="AU63" s="40"/>
      <c r="AV63" s="40"/>
      <c r="AW63" s="40"/>
      <c r="AX63" s="40"/>
      <c r="AY63" s="40"/>
      <c r="AZ63" s="40"/>
      <c r="BA63" s="40">
        <f>+AR63+AS63+AU63+AW63+AY63+AZ63</f>
        <v>0</v>
      </c>
      <c r="BB63" s="36"/>
      <c r="BC63" s="515"/>
      <c r="BD63" s="515"/>
      <c r="BE63" s="36"/>
      <c r="BF63" s="515"/>
    </row>
    <row r="64" spans="1:58" ht="12.95" customHeight="1">
      <c r="A64" s="43"/>
      <c r="B64" s="44"/>
      <c r="C64" s="460"/>
      <c r="D64" s="44"/>
      <c r="E64" s="45"/>
      <c r="F64" s="45"/>
      <c r="G64" s="511"/>
      <c r="H64" s="47"/>
      <c r="I64" s="48"/>
      <c r="J64" s="85"/>
      <c r="K64" s="85"/>
      <c r="L64" s="38"/>
      <c r="M64" s="38"/>
      <c r="N64" s="49"/>
      <c r="O64" s="50"/>
      <c r="P64" s="51"/>
      <c r="Q64" s="50"/>
      <c r="R64" s="512"/>
      <c r="S64" s="512"/>
      <c r="T64" s="40"/>
      <c r="U64" s="40"/>
      <c r="V64" s="40"/>
      <c r="W64" s="40"/>
      <c r="X64" s="41"/>
      <c r="Y64" s="214"/>
      <c r="Z64" s="40"/>
      <c r="AA64" s="40"/>
      <c r="AB64" s="40"/>
      <c r="AC64" s="40"/>
      <c r="AD64" s="40"/>
      <c r="AE64" s="233"/>
      <c r="AF64" s="36"/>
      <c r="AG64" s="36"/>
      <c r="AH64" s="36"/>
      <c r="AI64" s="514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36"/>
      <c r="BC64" s="515"/>
      <c r="BD64" s="515"/>
      <c r="BE64" s="36"/>
      <c r="BF64" s="515"/>
    </row>
    <row r="65" spans="1:58" ht="12.95" customHeight="1">
      <c r="A65" s="43">
        <v>45882</v>
      </c>
      <c r="B65" s="44" t="s">
        <v>8</v>
      </c>
      <c r="C65" s="460">
        <f>(M65*E65*O65*Q65)/100000000</f>
        <v>42.603790439999997</v>
      </c>
      <c r="D65" s="44" t="s">
        <v>491</v>
      </c>
      <c r="E65" s="45">
        <v>17</v>
      </c>
      <c r="F65" s="45">
        <v>1</v>
      </c>
      <c r="G65" s="511">
        <v>830</v>
      </c>
      <c r="H65" s="47">
        <v>0.18</v>
      </c>
      <c r="I65" s="48">
        <v>0.88</v>
      </c>
      <c r="J65" s="85">
        <f>E65*G65*(1-H65)*1440/1000000*3.4</f>
        <v>56.647699200000005</v>
      </c>
      <c r="K65" s="85">
        <f>(IF(G65&lt;L65,L65,G65)*(1-IF(H65&lt;N65,H65,N65))*E65*O65*Q65)/100000000</f>
        <v>42.603790439999997</v>
      </c>
      <c r="L65" s="38">
        <v>830</v>
      </c>
      <c r="M65" s="38">
        <v>680.6</v>
      </c>
      <c r="N65" s="49">
        <f>1-(M65/L65)</f>
        <v>0.17999999999999994</v>
      </c>
      <c r="O65" s="50">
        <f>+'Trim Rwd'!H52</f>
        <v>323</v>
      </c>
      <c r="P65" s="51">
        <f>O65*(Q65-R65-S65)</f>
        <v>335920</v>
      </c>
      <c r="Q65" s="50">
        <v>1140</v>
      </c>
      <c r="R65" s="512">
        <v>0</v>
      </c>
      <c r="S65" s="512">
        <v>100</v>
      </c>
      <c r="T65" s="40">
        <f>E65*M65*O65*Q65/100000000</f>
        <v>42.603790439999997</v>
      </c>
      <c r="U65" s="40">
        <f>E65*M65*O65*(Q65-R65-S65)/100000000</f>
        <v>38.866615840000001</v>
      </c>
      <c r="V65" s="40">
        <f>E65*G65*(1-N65)*O65/100*(R65+S65)/1000000</f>
        <v>3.7371745999999999</v>
      </c>
      <c r="W65" s="40">
        <f>+'13'!K22/1000</f>
        <v>36.271000000000001</v>
      </c>
      <c r="X65" s="513">
        <f>SUM(W65:W69)/SUM(K65:K69)</f>
        <v>0.80938961655449282</v>
      </c>
      <c r="Y65" s="214">
        <v>0</v>
      </c>
      <c r="Z65" s="40">
        <f>+'13'!D7/1000</f>
        <v>0.65</v>
      </c>
      <c r="AA65" s="52">
        <f>SUM(U65:U69)-SUM(W65:W69)-SUM(Z65:Z69)-SUM(Y65:Y69)</f>
        <v>5.3688798400000062</v>
      </c>
      <c r="AB65" s="52">
        <f>(SUM(K65:K69)-SUM(W65:W69)-SUM(Y65:Y69)-SUM(Z65:Z69)-SUM(AC65:AC69)-SUM(V65:V69))-AA65</f>
        <v>0</v>
      </c>
      <c r="AC65" s="40">
        <f>K65-T65</f>
        <v>0</v>
      </c>
      <c r="AD65" s="40">
        <f>+AM65+BA65</f>
        <v>17</v>
      </c>
      <c r="AE65" s="233" t="s">
        <v>603</v>
      </c>
      <c r="AF65" s="40">
        <v>17</v>
      </c>
      <c r="AG65" s="40"/>
      <c r="AH65" s="40"/>
      <c r="AI65" s="514"/>
      <c r="AJ65" s="40"/>
      <c r="AK65" s="40"/>
      <c r="AL65" s="40"/>
      <c r="AM65" s="40">
        <f>SUM(AF65:AL65)+AT65+AV65+AX65</f>
        <v>17</v>
      </c>
      <c r="AN65" s="40"/>
      <c r="AO65" s="40"/>
      <c r="AP65" s="40"/>
      <c r="AQ65" s="40"/>
      <c r="AR65" s="40">
        <f>SUM(AN65:AQ65)</f>
        <v>0</v>
      </c>
      <c r="AS65" s="40"/>
      <c r="AT65" s="40"/>
      <c r="AU65" s="40"/>
      <c r="AV65" s="40"/>
      <c r="AW65" s="40"/>
      <c r="AX65" s="40"/>
      <c r="AY65" s="40"/>
      <c r="AZ65" s="40"/>
      <c r="BA65" s="40">
        <f>+AR65+AS65+AU65+AW65+AY65+AZ65</f>
        <v>0</v>
      </c>
      <c r="BB65" s="36">
        <v>6</v>
      </c>
      <c r="BC65" s="54"/>
      <c r="BD65" s="54"/>
      <c r="BE65" s="36"/>
      <c r="BF65" s="54"/>
    </row>
    <row r="66" spans="1:58" ht="12.95" customHeight="1">
      <c r="A66" s="43"/>
      <c r="B66" s="44" t="s">
        <v>445</v>
      </c>
      <c r="C66" s="460">
        <f>(M66*E66*O66*Q66)/100000000</f>
        <v>10.83648</v>
      </c>
      <c r="D66" s="44" t="s">
        <v>491</v>
      </c>
      <c r="E66" s="45">
        <v>16</v>
      </c>
      <c r="F66" s="45">
        <v>1</v>
      </c>
      <c r="G66" s="511">
        <v>830</v>
      </c>
      <c r="H66" s="47">
        <v>0.15</v>
      </c>
      <c r="I66" s="48">
        <v>0.88</v>
      </c>
      <c r="J66" s="85">
        <f>E66*G66*(1-H66)*1440/1000000*3.4</f>
        <v>55.266047999999998</v>
      </c>
      <c r="K66" s="85">
        <f>(IF(G66&lt;L66,L66,G66)*(1-IF(H66&lt;N66,H66,N66))*E66*O66*Q66)/100000000</f>
        <v>10.83648</v>
      </c>
      <c r="L66" s="38">
        <v>830</v>
      </c>
      <c r="M66" s="38">
        <v>705.5</v>
      </c>
      <c r="N66" s="49">
        <f>1-(M66/L66)</f>
        <v>0.15000000000000002</v>
      </c>
      <c r="O66" s="50">
        <f>+'Trim Rwd'!H53</f>
        <v>320</v>
      </c>
      <c r="P66" s="51">
        <f>O66*(Q66-R66-S66)</f>
        <v>92800</v>
      </c>
      <c r="Q66" s="50">
        <v>300</v>
      </c>
      <c r="R66" s="512">
        <v>0</v>
      </c>
      <c r="S66" s="512">
        <v>10</v>
      </c>
      <c r="T66" s="40">
        <f>E66*M66*O66*Q66/100000000</f>
        <v>10.83648</v>
      </c>
      <c r="U66" s="40">
        <f>E66*M66*O66*(Q66-R66-S66)/100000000</f>
        <v>10.475263999999999</v>
      </c>
      <c r="V66" s="40">
        <f>E66*G66*(1-N66)*O66/100*(R66+S66)/1000000</f>
        <v>0.36121599999999998</v>
      </c>
      <c r="W66" s="40">
        <f>+'13'!K17/1000</f>
        <v>6.9829999999999997</v>
      </c>
      <c r="X66" s="41"/>
      <c r="Y66" s="214"/>
      <c r="Z66" s="40">
        <f>+'13'!D26/1000</f>
        <v>6.9000000000000006E-2</v>
      </c>
      <c r="AA66" s="40"/>
      <c r="AB66" s="40"/>
      <c r="AC66" s="40">
        <f>K66-T66</f>
        <v>0</v>
      </c>
      <c r="AD66" s="40">
        <f>+AM66+BA66</f>
        <v>40</v>
      </c>
      <c r="AE66" s="233" t="s">
        <v>448</v>
      </c>
      <c r="AF66" s="40"/>
      <c r="AG66" s="40">
        <v>40</v>
      </c>
      <c r="AH66" s="40"/>
      <c r="AI66" s="514"/>
      <c r="AJ66" s="40"/>
      <c r="AK66" s="40"/>
      <c r="AL66" s="40"/>
      <c r="AM66" s="40">
        <f>SUM(AF66:AL66)+AT66+AV66+AX66</f>
        <v>40</v>
      </c>
      <c r="AN66" s="86"/>
      <c r="AO66" s="40"/>
      <c r="AP66" s="40"/>
      <c r="AQ66" s="40"/>
      <c r="AR66" s="40">
        <f>SUM(AN66:AQ66)</f>
        <v>0</v>
      </c>
      <c r="AS66" s="40"/>
      <c r="AT66" s="40"/>
      <c r="AU66" s="40"/>
      <c r="AV66" s="40"/>
      <c r="AW66" s="40"/>
      <c r="AX66" s="40"/>
      <c r="AY66" s="40"/>
      <c r="AZ66" s="40"/>
      <c r="BA66" s="40">
        <f>+AR66+AS66+AU66+AW66+AY66+AZ66</f>
        <v>0</v>
      </c>
      <c r="BB66" s="53"/>
      <c r="BC66" s="54">
        <v>6</v>
      </c>
      <c r="BD66" s="54"/>
      <c r="BE66" s="53"/>
      <c r="BF66" s="54"/>
    </row>
    <row r="67" spans="1:58" ht="12.95" customHeight="1">
      <c r="A67" s="43"/>
      <c r="B67" s="44"/>
      <c r="C67" s="460"/>
      <c r="D67" s="44"/>
      <c r="E67" s="45"/>
      <c r="F67" s="45"/>
      <c r="G67" s="511"/>
      <c r="H67" s="47"/>
      <c r="I67" s="48"/>
      <c r="J67" s="85"/>
      <c r="K67" s="85"/>
      <c r="L67" s="38"/>
      <c r="M67" s="38"/>
      <c r="N67" s="49"/>
      <c r="O67" s="50"/>
      <c r="P67" s="51"/>
      <c r="Q67" s="50"/>
      <c r="R67" s="512"/>
      <c r="S67" s="512"/>
      <c r="T67" s="40"/>
      <c r="U67" s="40"/>
      <c r="V67" s="40"/>
      <c r="W67" s="40"/>
      <c r="X67" s="41"/>
      <c r="Y67" s="214"/>
      <c r="Z67" s="40"/>
      <c r="AA67" s="40"/>
      <c r="AB67" s="40"/>
      <c r="AC67" s="40"/>
      <c r="AD67" s="40">
        <f>+AM67+BA67</f>
        <v>13</v>
      </c>
      <c r="AE67" s="233" t="s">
        <v>226</v>
      </c>
      <c r="AF67" s="36"/>
      <c r="AG67" s="36"/>
      <c r="AH67" s="36">
        <v>13</v>
      </c>
      <c r="AI67" s="514"/>
      <c r="AJ67" s="40"/>
      <c r="AK67" s="40"/>
      <c r="AL67" s="40"/>
      <c r="AM67" s="40">
        <f>SUM(AF67:AL67)+AT67+AV67+AX67</f>
        <v>13</v>
      </c>
      <c r="AN67" s="40"/>
      <c r="AO67" s="40"/>
      <c r="AP67" s="40"/>
      <c r="AQ67" s="40"/>
      <c r="AR67" s="40">
        <f>SUM(AN67:AQ67)</f>
        <v>0</v>
      </c>
      <c r="AS67" s="40"/>
      <c r="AT67" s="40"/>
      <c r="AU67" s="40"/>
      <c r="AV67" s="40"/>
      <c r="AW67" s="40"/>
      <c r="AX67" s="40"/>
      <c r="AY67" s="40"/>
      <c r="AZ67" s="40"/>
      <c r="BA67" s="40">
        <f>+AR67+AS67+AU67+AW67+AY67+AZ67</f>
        <v>0</v>
      </c>
      <c r="BB67" s="36"/>
      <c r="BC67" s="515"/>
      <c r="BD67" s="515"/>
      <c r="BE67" s="36"/>
      <c r="BF67" s="515"/>
    </row>
    <row r="68" spans="1:58" ht="12.95" customHeight="1">
      <c r="A68" s="43"/>
      <c r="B68" s="44"/>
      <c r="C68" s="460"/>
      <c r="D68" s="44"/>
      <c r="E68" s="45"/>
      <c r="F68" s="45"/>
      <c r="G68" s="511"/>
      <c r="H68" s="47"/>
      <c r="I68" s="48"/>
      <c r="J68" s="85"/>
      <c r="K68" s="85"/>
      <c r="L68" s="38"/>
      <c r="M68" s="38"/>
      <c r="N68" s="49"/>
      <c r="O68" s="50"/>
      <c r="P68" s="51"/>
      <c r="Q68" s="50"/>
      <c r="R68" s="512"/>
      <c r="S68" s="512"/>
      <c r="T68" s="40"/>
      <c r="U68" s="40"/>
      <c r="V68" s="40"/>
      <c r="W68" s="40"/>
      <c r="X68" s="41"/>
      <c r="Y68" s="214"/>
      <c r="Z68" s="40"/>
      <c r="AA68" s="40"/>
      <c r="AB68" s="40"/>
      <c r="AC68" s="40"/>
      <c r="AD68" s="40">
        <f>+AM68+BA68</f>
        <v>40</v>
      </c>
      <c r="AE68" s="236" t="s">
        <v>597</v>
      </c>
      <c r="AF68" s="36"/>
      <c r="AG68" s="36"/>
      <c r="AH68" s="36"/>
      <c r="AI68" s="514">
        <v>40</v>
      </c>
      <c r="AJ68" s="40"/>
      <c r="AK68" s="40"/>
      <c r="AL68" s="40"/>
      <c r="AM68" s="40">
        <f>SUM(AF68:AL68)+AT68+AV68+AX68</f>
        <v>40</v>
      </c>
      <c r="AN68" s="40"/>
      <c r="AO68" s="40"/>
      <c r="AP68" s="40"/>
      <c r="AQ68" s="40"/>
      <c r="AR68" s="40">
        <f>SUM(AN68:AQ68)</f>
        <v>0</v>
      </c>
      <c r="AS68" s="40"/>
      <c r="AT68" s="40"/>
      <c r="AU68" s="40"/>
      <c r="AV68" s="40"/>
      <c r="AW68" s="40"/>
      <c r="AX68" s="40"/>
      <c r="AY68" s="40"/>
      <c r="AZ68" s="40"/>
      <c r="BA68" s="40">
        <f>+AR68+AS68+AU68+AW68+AY68+AZ68</f>
        <v>0</v>
      </c>
      <c r="BB68" s="36"/>
      <c r="BC68" s="515"/>
      <c r="BD68" s="515"/>
      <c r="BE68" s="36"/>
      <c r="BF68" s="515"/>
    </row>
    <row r="69" spans="1:58" ht="12.95" customHeight="1">
      <c r="A69" s="43"/>
      <c r="B69" s="44"/>
      <c r="C69" s="460"/>
      <c r="D69" s="44"/>
      <c r="E69" s="45"/>
      <c r="F69" s="45"/>
      <c r="G69" s="511"/>
      <c r="H69" s="47"/>
      <c r="I69" s="48"/>
      <c r="J69" s="85"/>
      <c r="K69" s="85"/>
      <c r="L69" s="38"/>
      <c r="M69" s="38"/>
      <c r="N69" s="49"/>
      <c r="O69" s="50"/>
      <c r="P69" s="51"/>
      <c r="Q69" s="50"/>
      <c r="R69" s="512"/>
      <c r="S69" s="512"/>
      <c r="T69" s="40"/>
      <c r="U69" s="40"/>
      <c r="V69" s="40"/>
      <c r="W69" s="40"/>
      <c r="X69" s="41"/>
      <c r="Y69" s="214"/>
      <c r="Z69" s="40"/>
      <c r="AA69" s="40"/>
      <c r="AB69" s="40"/>
      <c r="AC69" s="40"/>
      <c r="AD69" s="40"/>
      <c r="AE69" s="233"/>
      <c r="AF69" s="36"/>
      <c r="AG69" s="36"/>
      <c r="AH69" s="36"/>
      <c r="AI69" s="514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36"/>
      <c r="BC69" s="515"/>
      <c r="BD69" s="515"/>
      <c r="BE69" s="36"/>
      <c r="BF69" s="515"/>
    </row>
    <row r="70" spans="1:58" ht="12.95" customHeight="1">
      <c r="A70" s="43">
        <v>45883</v>
      </c>
      <c r="B70" s="44" t="s">
        <v>445</v>
      </c>
      <c r="C70" s="460">
        <f>(M70*E70*O70*Q70)/100000000</f>
        <v>52.015104000000001</v>
      </c>
      <c r="D70" s="44" t="s">
        <v>491</v>
      </c>
      <c r="E70" s="45">
        <v>16</v>
      </c>
      <c r="F70" s="45">
        <v>1</v>
      </c>
      <c r="G70" s="511">
        <v>830</v>
      </c>
      <c r="H70" s="47">
        <v>0.15</v>
      </c>
      <c r="I70" s="48">
        <v>0.88</v>
      </c>
      <c r="J70" s="85">
        <f>E70*G70*(1-H70)*1440/1000000*3.4</f>
        <v>55.266047999999998</v>
      </c>
      <c r="K70" s="85">
        <f>(IF(G70&lt;L70,L70,G70)*(1-IF(H70&lt;N70,H70,N70))*E70*O70*Q70)/100000000</f>
        <v>52.015104000000001</v>
      </c>
      <c r="L70" s="38">
        <v>830</v>
      </c>
      <c r="M70" s="38">
        <v>705.5</v>
      </c>
      <c r="N70" s="49">
        <f>1-(M70/L70)</f>
        <v>0.15000000000000002</v>
      </c>
      <c r="O70" s="50">
        <f>+'Trim Rwd'!H55</f>
        <v>320</v>
      </c>
      <c r="P70" s="51">
        <f>O70*(Q70-R70-S70)</f>
        <v>445120</v>
      </c>
      <c r="Q70" s="50">
        <v>1440</v>
      </c>
      <c r="R70" s="512">
        <v>0</v>
      </c>
      <c r="S70" s="512">
        <v>49</v>
      </c>
      <c r="T70" s="40">
        <f>E70*M70*O70*Q70/100000000</f>
        <v>52.015104000000001</v>
      </c>
      <c r="U70" s="40">
        <f>E70*M70*O70*(Q70-R70-S70)/100000000</f>
        <v>50.245145600000001</v>
      </c>
      <c r="V70" s="40">
        <f>E70*G70*(1-N70)*O70/100*(R70+S70)/1000000</f>
        <v>1.7699583999999999</v>
      </c>
      <c r="W70" s="40">
        <f>+'14'!K34/1000</f>
        <v>45.267000000000003</v>
      </c>
      <c r="X70" s="513">
        <f>SUM(W70:W73)/SUM(K70:K73)</f>
        <v>0.87026645183675888</v>
      </c>
      <c r="Y70" s="214">
        <v>0</v>
      </c>
      <c r="Z70" s="40">
        <f>+'14'!D34/1000</f>
        <v>0.64700000000000002</v>
      </c>
      <c r="AA70" s="52">
        <f>SUM(U70:U73)-SUM(W70:W73)-SUM(Z70:Z73)-SUM(Y70:Y73)</f>
        <v>4.3311455999999975</v>
      </c>
      <c r="AB70" s="52">
        <f>(SUM(K70:K73)-SUM(W70:W73)-SUM(Y70:Y73)-SUM(Z70:Z73)-SUM(AC70:AC73)-SUM(V70:V73))-AA70</f>
        <v>0</v>
      </c>
      <c r="AC70" s="40">
        <f>K70-T70</f>
        <v>0</v>
      </c>
      <c r="AD70" s="40">
        <f>+AM70+BA70</f>
        <v>3</v>
      </c>
      <c r="AE70" s="233" t="s">
        <v>435</v>
      </c>
      <c r="AF70" s="40">
        <v>3</v>
      </c>
      <c r="AG70" s="40"/>
      <c r="AH70" s="40"/>
      <c r="AI70" s="514"/>
      <c r="AJ70" s="40"/>
      <c r="AK70" s="40"/>
      <c r="AL70" s="40"/>
      <c r="AM70" s="40">
        <f>SUM(AF70:AL70)+AT70+AV70+AX70</f>
        <v>3</v>
      </c>
      <c r="AN70" s="40"/>
      <c r="AO70" s="40"/>
      <c r="AP70" s="40"/>
      <c r="AQ70" s="40"/>
      <c r="AR70" s="40">
        <f>SUM(AN70:AQ70)</f>
        <v>0</v>
      </c>
      <c r="AS70" s="40"/>
      <c r="AT70" s="40"/>
      <c r="AU70" s="40"/>
      <c r="AV70" s="40"/>
      <c r="AW70" s="40"/>
      <c r="AX70" s="40"/>
      <c r="AY70" s="40"/>
      <c r="AZ70" s="40"/>
      <c r="BA70" s="40">
        <f>+AR70+AS70+AU70+AW70+AY70+AZ70</f>
        <v>0</v>
      </c>
      <c r="BB70" s="36">
        <v>1</v>
      </c>
      <c r="BC70" s="54"/>
      <c r="BD70" s="54"/>
      <c r="BE70" s="36"/>
      <c r="BF70" s="54"/>
    </row>
    <row r="71" spans="1:58" ht="12.95" customHeight="1">
      <c r="A71" s="43"/>
      <c r="B71" s="44"/>
      <c r="C71" s="460"/>
      <c r="D71" s="44"/>
      <c r="E71" s="45"/>
      <c r="F71" s="45"/>
      <c r="G71" s="511"/>
      <c r="H71" s="47"/>
      <c r="I71" s="48"/>
      <c r="J71" s="85"/>
      <c r="K71" s="85"/>
      <c r="L71" s="38"/>
      <c r="M71" s="38"/>
      <c r="N71" s="49"/>
      <c r="O71" s="50"/>
      <c r="P71" s="51"/>
      <c r="Q71" s="50"/>
      <c r="R71" s="512"/>
      <c r="S71" s="512"/>
      <c r="T71" s="40"/>
      <c r="U71" s="40"/>
      <c r="V71" s="40"/>
      <c r="W71" s="40"/>
      <c r="X71" s="41"/>
      <c r="Y71" s="214"/>
      <c r="Z71" s="40"/>
      <c r="AA71" s="40"/>
      <c r="AB71" s="40"/>
      <c r="AC71" s="40"/>
      <c r="AD71" s="40">
        <f>+AM71+BA71</f>
        <v>28</v>
      </c>
      <c r="AE71" s="233" t="s">
        <v>527</v>
      </c>
      <c r="AF71" s="40"/>
      <c r="AG71" s="40">
        <v>28</v>
      </c>
      <c r="AH71" s="40"/>
      <c r="AI71" s="514"/>
      <c r="AJ71" s="40"/>
      <c r="AK71" s="40"/>
      <c r="AL71" s="40"/>
      <c r="AM71" s="40">
        <f>SUM(AF71:AL71)+AT71+AV71+AX71</f>
        <v>28</v>
      </c>
      <c r="AN71" s="86"/>
      <c r="AO71" s="40"/>
      <c r="AP71" s="40"/>
      <c r="AQ71" s="40"/>
      <c r="AR71" s="40">
        <f>SUM(AN71:AQ71)</f>
        <v>0</v>
      </c>
      <c r="AS71" s="40"/>
      <c r="AT71" s="40"/>
      <c r="AU71" s="40"/>
      <c r="AV71" s="40"/>
      <c r="AW71" s="40"/>
      <c r="AX71" s="40"/>
      <c r="AY71" s="40"/>
      <c r="AZ71" s="40"/>
      <c r="BA71" s="40">
        <f>+AR71+AS71+AU71+AW71+AY71+AZ71</f>
        <v>0</v>
      </c>
      <c r="BB71" s="53"/>
      <c r="BC71" s="54">
        <v>4</v>
      </c>
      <c r="BD71" s="54"/>
      <c r="BE71" s="53"/>
      <c r="BF71" s="54"/>
    </row>
    <row r="72" spans="1:58" ht="12.95" customHeight="1">
      <c r="A72" s="43"/>
      <c r="B72" s="44"/>
      <c r="C72" s="460"/>
      <c r="D72" s="44"/>
      <c r="E72" s="45"/>
      <c r="F72" s="45"/>
      <c r="G72" s="511"/>
      <c r="H72" s="47"/>
      <c r="I72" s="48"/>
      <c r="J72" s="85"/>
      <c r="K72" s="85"/>
      <c r="L72" s="38"/>
      <c r="M72" s="38"/>
      <c r="N72" s="49"/>
      <c r="O72" s="50"/>
      <c r="P72" s="51"/>
      <c r="Q72" s="50"/>
      <c r="R72" s="512"/>
      <c r="S72" s="512"/>
      <c r="T72" s="40"/>
      <c r="U72" s="40"/>
      <c r="V72" s="40"/>
      <c r="W72" s="40"/>
      <c r="X72" s="41"/>
      <c r="Y72" s="214"/>
      <c r="Z72" s="40"/>
      <c r="AA72" s="40"/>
      <c r="AB72" s="40"/>
      <c r="AC72" s="40"/>
      <c r="AD72" s="40">
        <f>+AM72+BA72</f>
        <v>18</v>
      </c>
      <c r="AE72" s="233" t="s">
        <v>226</v>
      </c>
      <c r="AF72" s="36"/>
      <c r="AG72" s="36"/>
      <c r="AH72" s="36">
        <v>18</v>
      </c>
      <c r="AI72" s="514"/>
      <c r="AJ72" s="40"/>
      <c r="AK72" s="40"/>
      <c r="AL72" s="40"/>
      <c r="AM72" s="40">
        <f>SUM(AF72:AL72)+AT72+AV72+AX72</f>
        <v>18</v>
      </c>
      <c r="AN72" s="40"/>
      <c r="AO72" s="40"/>
      <c r="AP72" s="40"/>
      <c r="AQ72" s="40"/>
      <c r="AR72" s="40">
        <f>SUM(AN72:AQ72)</f>
        <v>0</v>
      </c>
      <c r="AS72" s="40"/>
      <c r="AT72" s="40"/>
      <c r="AU72" s="40"/>
      <c r="AV72" s="40"/>
      <c r="AW72" s="40"/>
      <c r="AX72" s="40"/>
      <c r="AY72" s="40"/>
      <c r="AZ72" s="40"/>
      <c r="BA72" s="40">
        <f>+AR72+AS72+AU72+AW72+AY72+AZ72</f>
        <v>0</v>
      </c>
      <c r="BB72" s="36"/>
      <c r="BC72" s="515"/>
      <c r="BD72" s="515"/>
      <c r="BE72" s="36"/>
      <c r="BF72" s="515"/>
    </row>
    <row r="73" spans="1:58" ht="12.95" customHeight="1">
      <c r="A73" s="43"/>
      <c r="B73" s="44"/>
      <c r="C73" s="460"/>
      <c r="D73" s="44"/>
      <c r="E73" s="45"/>
      <c r="F73" s="45"/>
      <c r="G73" s="511"/>
      <c r="H73" s="47"/>
      <c r="I73" s="48"/>
      <c r="J73" s="85"/>
      <c r="K73" s="85"/>
      <c r="L73" s="38"/>
      <c r="M73" s="38"/>
      <c r="N73" s="49"/>
      <c r="O73" s="50"/>
      <c r="P73" s="51"/>
      <c r="Q73" s="50"/>
      <c r="R73" s="512"/>
      <c r="S73" s="512"/>
      <c r="T73" s="40"/>
      <c r="U73" s="40"/>
      <c r="V73" s="40"/>
      <c r="W73" s="40"/>
      <c r="X73" s="41"/>
      <c r="Y73" s="214"/>
      <c r="Z73" s="40"/>
      <c r="AA73" s="40"/>
      <c r="AB73" s="40"/>
      <c r="AC73" s="40"/>
      <c r="AD73" s="40"/>
      <c r="AE73" s="233"/>
      <c r="AF73" s="36"/>
      <c r="AG73" s="36"/>
      <c r="AH73" s="36"/>
      <c r="AI73" s="514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36"/>
      <c r="BC73" s="515"/>
      <c r="BD73" s="515"/>
      <c r="BE73" s="36"/>
      <c r="BF73" s="515"/>
    </row>
    <row r="74" spans="1:58" ht="12.95" customHeight="1">
      <c r="A74" s="43">
        <v>45884</v>
      </c>
      <c r="B74" s="44" t="s">
        <v>445</v>
      </c>
      <c r="C74" s="460">
        <f>(M74*E74*O74*Q74)/100000000</f>
        <v>52.015104000000001</v>
      </c>
      <c r="D74" s="44" t="s">
        <v>491</v>
      </c>
      <c r="E74" s="45">
        <v>16</v>
      </c>
      <c r="F74" s="45">
        <v>1</v>
      </c>
      <c r="G74" s="511">
        <v>830</v>
      </c>
      <c r="H74" s="47">
        <v>0.15</v>
      </c>
      <c r="I74" s="48">
        <v>0.88</v>
      </c>
      <c r="J74" s="85">
        <f>E74*G74*(1-H74)*1440/1000000*3.4</f>
        <v>55.266047999999998</v>
      </c>
      <c r="K74" s="85">
        <f>(IF(G74&lt;L74,L74,G74)*(1-IF(H74&lt;N74,H74,N74))*E74*O74*Q74)/100000000</f>
        <v>52.015104000000001</v>
      </c>
      <c r="L74" s="38">
        <v>830</v>
      </c>
      <c r="M74" s="38">
        <v>705.5</v>
      </c>
      <c r="N74" s="49">
        <f>1-(M74/L74)</f>
        <v>0.15000000000000002</v>
      </c>
      <c r="O74" s="50">
        <f>+'Trim Rwd'!H57</f>
        <v>320</v>
      </c>
      <c r="P74" s="51">
        <f>O74*(Q74-R74-S74)</f>
        <v>449600</v>
      </c>
      <c r="Q74" s="50">
        <v>1440</v>
      </c>
      <c r="R74" s="512">
        <v>0</v>
      </c>
      <c r="S74" s="512">
        <v>35</v>
      </c>
      <c r="T74" s="40">
        <f>E74*M74*O74*Q74/100000000</f>
        <v>52.015104000000001</v>
      </c>
      <c r="U74" s="40">
        <f>E74*M74*O74*(Q74-R74-S74)/100000000</f>
        <v>50.750847999999998</v>
      </c>
      <c r="V74" s="40">
        <f>E74*G74*(1-N74)*O74/100*(R74+S74)/1000000</f>
        <v>1.264256</v>
      </c>
      <c r="W74" s="40">
        <f>+'15'!K34/1000</f>
        <v>48.418999999999997</v>
      </c>
      <c r="X74" s="513">
        <f>SUM(W74:W77)/SUM(K74:K77)</f>
        <v>0.93086423512678151</v>
      </c>
      <c r="Y74" s="214">
        <v>0</v>
      </c>
      <c r="Z74" s="40">
        <f>+'15'!D34/1000</f>
        <v>0.26</v>
      </c>
      <c r="AA74" s="52">
        <f>SUM(U74:U77)-SUM(W74:W77)-SUM(Z74:Z77)-SUM(Y74:Y77)</f>
        <v>2.071848000000001</v>
      </c>
      <c r="AB74" s="52">
        <f>(SUM(K74:K77)-SUM(W74:W77)-SUM(Y74:Y77)-SUM(Z74:Z77)-SUM(AC74:AC77)-SUM(V74:V77))-AA74</f>
        <v>0</v>
      </c>
      <c r="AC74" s="40">
        <f>K74-T74</f>
        <v>0</v>
      </c>
      <c r="AD74" s="40">
        <f>+AM74+BA74</f>
        <v>7</v>
      </c>
      <c r="AE74" s="233" t="s">
        <v>469</v>
      </c>
      <c r="AF74" s="40">
        <v>7</v>
      </c>
      <c r="AG74" s="40"/>
      <c r="AH74" s="40"/>
      <c r="AI74" s="514"/>
      <c r="AJ74" s="40"/>
      <c r="AK74" s="40"/>
      <c r="AL74" s="40"/>
      <c r="AM74" s="40">
        <f>SUM(AF74:AL74)+AT74+AV74+AX74</f>
        <v>7</v>
      </c>
      <c r="AN74" s="40"/>
      <c r="AO74" s="40"/>
      <c r="AP74" s="40"/>
      <c r="AQ74" s="40"/>
      <c r="AR74" s="40">
        <f>SUM(AN74:AQ74)</f>
        <v>0</v>
      </c>
      <c r="AS74" s="40"/>
      <c r="AT74" s="40"/>
      <c r="AU74" s="40"/>
      <c r="AV74" s="40"/>
      <c r="AW74" s="40"/>
      <c r="AX74" s="40"/>
      <c r="AY74" s="40"/>
      <c r="AZ74" s="40"/>
      <c r="BA74" s="40">
        <f>+AR74+AS74+AU74+AW74+AY74+AZ74</f>
        <v>0</v>
      </c>
      <c r="BB74" s="36">
        <v>4</v>
      </c>
      <c r="BC74" s="54"/>
      <c r="BD74" s="54"/>
      <c r="BE74" s="36"/>
      <c r="BF74" s="54"/>
    </row>
    <row r="75" spans="1:58" ht="12.95" customHeight="1">
      <c r="A75" s="43"/>
      <c r="B75" s="44"/>
      <c r="C75" s="460"/>
      <c r="D75" s="44"/>
      <c r="E75" s="45"/>
      <c r="F75" s="45"/>
      <c r="G75" s="511"/>
      <c r="H75" s="47"/>
      <c r="I75" s="48"/>
      <c r="J75" s="85"/>
      <c r="K75" s="85"/>
      <c r="L75" s="38"/>
      <c r="M75" s="38"/>
      <c r="N75" s="49"/>
      <c r="O75" s="50"/>
      <c r="P75" s="51"/>
      <c r="Q75" s="50"/>
      <c r="R75" s="512"/>
      <c r="S75" s="512"/>
      <c r="T75" s="40"/>
      <c r="U75" s="40"/>
      <c r="V75" s="40"/>
      <c r="W75" s="40"/>
      <c r="X75" s="41"/>
      <c r="Y75" s="214"/>
      <c r="Z75" s="40"/>
      <c r="AA75" s="40"/>
      <c r="AB75" s="40"/>
      <c r="AC75" s="40"/>
      <c r="AD75" s="40">
        <f>+AM75+BA75</f>
        <v>10</v>
      </c>
      <c r="AE75" s="233" t="s">
        <v>446</v>
      </c>
      <c r="AF75" s="40"/>
      <c r="AG75" s="40">
        <v>10</v>
      </c>
      <c r="AH75" s="40"/>
      <c r="AI75" s="514"/>
      <c r="AJ75" s="40"/>
      <c r="AK75" s="40"/>
      <c r="AL75" s="40"/>
      <c r="AM75" s="40">
        <f>SUM(AF75:AL75)+AT75+AV75+AX75</f>
        <v>10</v>
      </c>
      <c r="AN75" s="86"/>
      <c r="AO75" s="40"/>
      <c r="AP75" s="40"/>
      <c r="AQ75" s="40"/>
      <c r="AR75" s="40">
        <f>SUM(AN75:AQ75)</f>
        <v>0</v>
      </c>
      <c r="AS75" s="40"/>
      <c r="AT75" s="40"/>
      <c r="AU75" s="40"/>
      <c r="AV75" s="40"/>
      <c r="AW75" s="40"/>
      <c r="AX75" s="40"/>
      <c r="AY75" s="40"/>
      <c r="AZ75" s="40"/>
      <c r="BA75" s="40">
        <f>+AR75+AS75+AU75+AW75+AY75+AZ75</f>
        <v>0</v>
      </c>
      <c r="BB75" s="53"/>
      <c r="BC75" s="54">
        <v>5</v>
      </c>
      <c r="BD75" s="54"/>
      <c r="BE75" s="53"/>
      <c r="BF75" s="54"/>
    </row>
    <row r="76" spans="1:58" ht="12.95" customHeight="1">
      <c r="A76" s="43"/>
      <c r="B76" s="44"/>
      <c r="C76" s="460"/>
      <c r="D76" s="44"/>
      <c r="E76" s="45"/>
      <c r="F76" s="45"/>
      <c r="G76" s="511"/>
      <c r="H76" s="47"/>
      <c r="I76" s="48"/>
      <c r="J76" s="85"/>
      <c r="K76" s="85"/>
      <c r="L76" s="38"/>
      <c r="M76" s="38"/>
      <c r="N76" s="49"/>
      <c r="O76" s="50"/>
      <c r="P76" s="51"/>
      <c r="Q76" s="50"/>
      <c r="R76" s="512"/>
      <c r="S76" s="512"/>
      <c r="T76" s="40"/>
      <c r="U76" s="40"/>
      <c r="V76" s="40"/>
      <c r="W76" s="40"/>
      <c r="X76" s="41"/>
      <c r="Y76" s="214"/>
      <c r="Z76" s="40"/>
      <c r="AA76" s="40"/>
      <c r="AB76" s="40"/>
      <c r="AC76" s="40"/>
      <c r="AD76" s="40">
        <f>+AM76+BA76</f>
        <v>18</v>
      </c>
      <c r="AE76" s="233" t="s">
        <v>226</v>
      </c>
      <c r="AF76" s="36"/>
      <c r="AG76" s="36"/>
      <c r="AH76" s="36">
        <v>18</v>
      </c>
      <c r="AI76" s="514"/>
      <c r="AJ76" s="40"/>
      <c r="AK76" s="40"/>
      <c r="AL76" s="40"/>
      <c r="AM76" s="40">
        <f>SUM(AF76:AL76)+AT76+AV76+AX76</f>
        <v>18</v>
      </c>
      <c r="AN76" s="40"/>
      <c r="AO76" s="40"/>
      <c r="AP76" s="40"/>
      <c r="AQ76" s="40"/>
      <c r="AR76" s="40">
        <f>SUM(AN76:AQ76)</f>
        <v>0</v>
      </c>
      <c r="AS76" s="40"/>
      <c r="AT76" s="40"/>
      <c r="AU76" s="40"/>
      <c r="AV76" s="40"/>
      <c r="AW76" s="40"/>
      <c r="AX76" s="40"/>
      <c r="AY76" s="40"/>
      <c r="AZ76" s="40"/>
      <c r="BA76" s="40">
        <f>+AR76+AS76+AU76+AW76+AY76+AZ76</f>
        <v>0</v>
      </c>
      <c r="BB76" s="36"/>
      <c r="BC76" s="515"/>
      <c r="BD76" s="515"/>
      <c r="BE76" s="36"/>
      <c r="BF76" s="515"/>
    </row>
    <row r="77" spans="1:58" ht="12.95" customHeight="1">
      <c r="A77" s="43"/>
      <c r="B77" s="44"/>
      <c r="C77" s="460"/>
      <c r="D77" s="44"/>
      <c r="E77" s="45"/>
      <c r="F77" s="45"/>
      <c r="G77" s="511"/>
      <c r="H77" s="47"/>
      <c r="I77" s="48"/>
      <c r="J77" s="85"/>
      <c r="K77" s="85"/>
      <c r="L77" s="38"/>
      <c r="M77" s="38"/>
      <c r="N77" s="49"/>
      <c r="O77" s="50"/>
      <c r="P77" s="51"/>
      <c r="Q77" s="50"/>
      <c r="R77" s="512"/>
      <c r="S77" s="512"/>
      <c r="T77" s="40"/>
      <c r="U77" s="40"/>
      <c r="V77" s="40"/>
      <c r="W77" s="40"/>
      <c r="X77" s="41"/>
      <c r="Y77" s="214"/>
      <c r="Z77" s="40"/>
      <c r="AA77" s="40"/>
      <c r="AB77" s="40"/>
      <c r="AC77" s="40"/>
      <c r="AD77" s="40"/>
      <c r="AE77" s="233"/>
      <c r="AF77" s="36"/>
      <c r="AG77" s="36"/>
      <c r="AH77" s="36"/>
      <c r="AI77" s="514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36"/>
      <c r="BC77" s="515"/>
      <c r="BD77" s="515"/>
      <c r="BE77" s="36"/>
      <c r="BF77" s="515"/>
    </row>
    <row r="78" spans="1:58" ht="12.95" customHeight="1">
      <c r="A78" s="43">
        <v>45885</v>
      </c>
      <c r="B78" s="44" t="s">
        <v>445</v>
      </c>
      <c r="C78" s="460">
        <f>(M78*E78*O78*Q78)/100000000</f>
        <v>52.015104000000001</v>
      </c>
      <c r="D78" s="44" t="s">
        <v>491</v>
      </c>
      <c r="E78" s="45">
        <v>16</v>
      </c>
      <c r="F78" s="45">
        <v>1</v>
      </c>
      <c r="G78" s="511">
        <v>830</v>
      </c>
      <c r="H78" s="47">
        <v>0.15</v>
      </c>
      <c r="I78" s="48">
        <v>0.88</v>
      </c>
      <c r="J78" s="85">
        <f>E78*G78*(1-H78)*1440/1000000*3.4</f>
        <v>55.266047999999998</v>
      </c>
      <c r="K78" s="85">
        <f>(IF(G78&lt;L78,L78,G78)*(1-IF(H78&lt;N78,H78,N78))*E78*O78*Q78)/100000000</f>
        <v>52.015104000000001</v>
      </c>
      <c r="L78" s="38">
        <v>830</v>
      </c>
      <c r="M78" s="38">
        <v>705.5</v>
      </c>
      <c r="N78" s="49">
        <f>1-(M78/L78)</f>
        <v>0.15000000000000002</v>
      </c>
      <c r="O78" s="50">
        <f>+'Trim Rwd'!H59</f>
        <v>320</v>
      </c>
      <c r="P78" s="51">
        <f>O78*(Q78-R78-S78)</f>
        <v>446400</v>
      </c>
      <c r="Q78" s="50">
        <v>1440</v>
      </c>
      <c r="R78" s="512">
        <v>0</v>
      </c>
      <c r="S78" s="512">
        <v>45</v>
      </c>
      <c r="T78" s="40">
        <f>E78*M78*O78*Q78/100000000</f>
        <v>52.015104000000001</v>
      </c>
      <c r="U78" s="40">
        <f>E78*M78*O78*(Q78-R78-S78)/100000000</f>
        <v>50.389631999999999</v>
      </c>
      <c r="V78" s="40">
        <f>E78*G78*(1-N78)*O78/100*(R78+S78)/1000000</f>
        <v>1.625472</v>
      </c>
      <c r="W78" s="40">
        <f>+'16'!K34/1000</f>
        <v>48.912999999999997</v>
      </c>
      <c r="X78" s="513">
        <f>SUM(W78:W81)/SUM(K78:K81)</f>
        <v>0.9403614765434285</v>
      </c>
      <c r="Y78" s="214">
        <v>0</v>
      </c>
      <c r="Z78" s="40">
        <f>+'16'!D34/1000</f>
        <v>0.06</v>
      </c>
      <c r="AA78" s="52">
        <f>SUM(U78:U81)-SUM(W78:W81)-SUM(Z78:Z81)-SUM(Y78:Y81)</f>
        <v>1.4166320000000021</v>
      </c>
      <c r="AB78" s="52">
        <f>(SUM(K78:K81)-SUM(W78:W81)-SUM(Y78:Y81)-SUM(Z78:Z81)-SUM(AC78:AC81)-SUM(V78:V81))-AA78</f>
        <v>1.9984014443252818E-15</v>
      </c>
      <c r="AC78" s="40">
        <f>K78-T78</f>
        <v>0</v>
      </c>
      <c r="AD78" s="40">
        <f>+AM78+BA78</f>
        <v>5</v>
      </c>
      <c r="AE78" s="233" t="s">
        <v>436</v>
      </c>
      <c r="AF78" s="40">
        <v>5</v>
      </c>
      <c r="AG78" s="40"/>
      <c r="AH78" s="40"/>
      <c r="AI78" s="514"/>
      <c r="AJ78" s="40"/>
      <c r="AK78" s="40"/>
      <c r="AL78" s="40"/>
      <c r="AM78" s="40">
        <f>SUM(AF78:AL78)+AT78+AV78+AX78</f>
        <v>5</v>
      </c>
      <c r="AN78" s="40"/>
      <c r="AO78" s="40"/>
      <c r="AP78" s="40"/>
      <c r="AQ78" s="40"/>
      <c r="AR78" s="40">
        <f>SUM(AN78:AQ78)</f>
        <v>0</v>
      </c>
      <c r="AS78" s="40"/>
      <c r="AT78" s="40"/>
      <c r="AU78" s="40"/>
      <c r="AV78" s="40"/>
      <c r="AW78" s="40"/>
      <c r="AX78" s="40"/>
      <c r="AY78" s="40"/>
      <c r="AZ78" s="40"/>
      <c r="BA78" s="40">
        <f>+AR78+AS78+AU78+AW78+AY78+AZ78</f>
        <v>0</v>
      </c>
      <c r="BB78" s="36">
        <v>2</v>
      </c>
      <c r="BC78" s="54"/>
      <c r="BD78" s="54"/>
      <c r="BE78" s="36"/>
      <c r="BF78" s="54"/>
    </row>
    <row r="79" spans="1:58" ht="12.95" customHeight="1">
      <c r="A79" s="43"/>
      <c r="B79" s="44"/>
      <c r="C79" s="460"/>
      <c r="D79" s="44"/>
      <c r="E79" s="45"/>
      <c r="F79" s="45"/>
      <c r="G79" s="511"/>
      <c r="H79" s="47"/>
      <c r="I79" s="48"/>
      <c r="J79" s="85"/>
      <c r="K79" s="85"/>
      <c r="L79" s="38"/>
      <c r="M79" s="38"/>
      <c r="N79" s="49"/>
      <c r="O79" s="50"/>
      <c r="P79" s="51"/>
      <c r="Q79" s="50"/>
      <c r="R79" s="512"/>
      <c r="S79" s="512"/>
      <c r="T79" s="40"/>
      <c r="U79" s="40"/>
      <c r="V79" s="40"/>
      <c r="W79" s="40"/>
      <c r="X79" s="41"/>
      <c r="Y79" s="214"/>
      <c r="Z79" s="40"/>
      <c r="AA79" s="40"/>
      <c r="AB79" s="40"/>
      <c r="AC79" s="40"/>
      <c r="AD79" s="40">
        <f>+AM79+BA79</f>
        <v>13</v>
      </c>
      <c r="AE79" s="233" t="s">
        <v>390</v>
      </c>
      <c r="AF79" s="40"/>
      <c r="AG79" s="40">
        <v>13</v>
      </c>
      <c r="AH79" s="40"/>
      <c r="AI79" s="514"/>
      <c r="AJ79" s="40"/>
      <c r="AK79" s="40"/>
      <c r="AL79" s="40"/>
      <c r="AM79" s="40">
        <f>SUM(AF79:AL79)+AT79+AV79+AX79</f>
        <v>13</v>
      </c>
      <c r="AN79" s="86"/>
      <c r="AO79" s="40"/>
      <c r="AP79" s="40"/>
      <c r="AQ79" s="40"/>
      <c r="AR79" s="40">
        <f>SUM(AN79:AQ79)</f>
        <v>0</v>
      </c>
      <c r="AS79" s="40"/>
      <c r="AT79" s="40"/>
      <c r="AU79" s="40"/>
      <c r="AV79" s="40"/>
      <c r="AW79" s="40"/>
      <c r="AX79" s="40"/>
      <c r="AY79" s="40"/>
      <c r="AZ79" s="40"/>
      <c r="BA79" s="40">
        <f>+AR79+AS79+AU79+AW79+AY79+AZ79</f>
        <v>0</v>
      </c>
      <c r="BB79" s="53"/>
      <c r="BC79" s="54">
        <v>3</v>
      </c>
      <c r="BD79" s="54"/>
      <c r="BE79" s="53"/>
      <c r="BF79" s="54"/>
    </row>
    <row r="80" spans="1:58" ht="12.95" customHeight="1">
      <c r="A80" s="43"/>
      <c r="B80" s="44"/>
      <c r="C80" s="460"/>
      <c r="D80" s="44"/>
      <c r="E80" s="45"/>
      <c r="F80" s="45"/>
      <c r="G80" s="511"/>
      <c r="H80" s="47"/>
      <c r="I80" s="48"/>
      <c r="J80" s="85"/>
      <c r="K80" s="85"/>
      <c r="L80" s="38"/>
      <c r="M80" s="38"/>
      <c r="N80" s="49"/>
      <c r="O80" s="50"/>
      <c r="P80" s="51"/>
      <c r="Q80" s="50"/>
      <c r="R80" s="512"/>
      <c r="S80" s="512"/>
      <c r="T80" s="40"/>
      <c r="U80" s="40"/>
      <c r="V80" s="40"/>
      <c r="W80" s="40"/>
      <c r="X80" s="41"/>
      <c r="Y80" s="214"/>
      <c r="Z80" s="40"/>
      <c r="AA80" s="40"/>
      <c r="AB80" s="40"/>
      <c r="AC80" s="40"/>
      <c r="AD80" s="40">
        <f>+AM80+BA80</f>
        <v>27</v>
      </c>
      <c r="AE80" s="233" t="s">
        <v>226</v>
      </c>
      <c r="AF80" s="36"/>
      <c r="AG80" s="36"/>
      <c r="AH80" s="36">
        <v>27</v>
      </c>
      <c r="AI80" s="514"/>
      <c r="AJ80" s="40"/>
      <c r="AK80" s="40"/>
      <c r="AL80" s="40"/>
      <c r="AM80" s="40">
        <f>SUM(AF80:AL80)+AT80+AV80+AX80</f>
        <v>27</v>
      </c>
      <c r="AN80" s="40"/>
      <c r="AO80" s="40"/>
      <c r="AP80" s="40"/>
      <c r="AQ80" s="40"/>
      <c r="AR80" s="40">
        <f>SUM(AN80:AQ80)</f>
        <v>0</v>
      </c>
      <c r="AS80" s="40"/>
      <c r="AT80" s="40"/>
      <c r="AU80" s="40"/>
      <c r="AV80" s="40"/>
      <c r="AW80" s="40"/>
      <c r="AX80" s="40"/>
      <c r="AY80" s="40"/>
      <c r="AZ80" s="40"/>
      <c r="BA80" s="40">
        <f>+AR80+AS80+AU80+AW80+AY80+AZ80</f>
        <v>0</v>
      </c>
      <c r="BB80" s="36"/>
      <c r="BC80" s="515"/>
      <c r="BD80" s="515"/>
      <c r="BE80" s="36"/>
      <c r="BF80" s="515"/>
    </row>
    <row r="81" spans="1:58" ht="12.95" customHeight="1">
      <c r="A81" s="43"/>
      <c r="B81" s="44"/>
      <c r="C81" s="460"/>
      <c r="D81" s="44"/>
      <c r="E81" s="45"/>
      <c r="F81" s="45"/>
      <c r="G81" s="511"/>
      <c r="H81" s="47"/>
      <c r="I81" s="48"/>
      <c r="J81" s="85"/>
      <c r="K81" s="85"/>
      <c r="L81" s="38"/>
      <c r="M81" s="38"/>
      <c r="N81" s="49"/>
      <c r="O81" s="50"/>
      <c r="P81" s="51"/>
      <c r="Q81" s="50"/>
      <c r="R81" s="512"/>
      <c r="S81" s="512"/>
      <c r="T81" s="40"/>
      <c r="U81" s="40"/>
      <c r="V81" s="40"/>
      <c r="W81" s="40"/>
      <c r="X81" s="41"/>
      <c r="Y81" s="214"/>
      <c r="Z81" s="40"/>
      <c r="AA81" s="40"/>
      <c r="AB81" s="40"/>
      <c r="AC81" s="40"/>
      <c r="AD81" s="40"/>
      <c r="AE81" s="233"/>
      <c r="AF81" s="36"/>
      <c r="AG81" s="36"/>
      <c r="AH81" s="36"/>
      <c r="AI81" s="514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36"/>
      <c r="BC81" s="515"/>
      <c r="BD81" s="515"/>
      <c r="BE81" s="36"/>
      <c r="BF81" s="515"/>
    </row>
    <row r="82" spans="1:58" ht="12.95" customHeight="1">
      <c r="A82" s="43">
        <v>45886</v>
      </c>
      <c r="B82" s="44" t="s">
        <v>445</v>
      </c>
      <c r="C82" s="460">
        <f>(M82*E82*O82*Q82)/100000000</f>
        <v>52.015104000000001</v>
      </c>
      <c r="D82" s="44" t="s">
        <v>491</v>
      </c>
      <c r="E82" s="45">
        <v>16</v>
      </c>
      <c r="F82" s="45">
        <v>1</v>
      </c>
      <c r="G82" s="511">
        <v>830</v>
      </c>
      <c r="H82" s="47">
        <v>0.15</v>
      </c>
      <c r="I82" s="48">
        <v>0.88</v>
      </c>
      <c r="J82" s="85">
        <f>E82*G82*(1-H82)*1440/1000000*3.4</f>
        <v>55.266047999999998</v>
      </c>
      <c r="K82" s="85">
        <f>(IF(G82&lt;L82,L82,G82)*(1-IF(H82&lt;N82,H82,N82))*E82*O82*Q82)/100000000</f>
        <v>52.015104000000001</v>
      </c>
      <c r="L82" s="38">
        <v>830</v>
      </c>
      <c r="M82" s="38">
        <v>705.5</v>
      </c>
      <c r="N82" s="49">
        <f>1-(M82/L82)</f>
        <v>0.15000000000000002</v>
      </c>
      <c r="O82" s="50">
        <f>+'Trim Rwd'!H61</f>
        <v>320</v>
      </c>
      <c r="P82" s="51">
        <f>O82*(Q82-R82-S82)</f>
        <v>443200</v>
      </c>
      <c r="Q82" s="50">
        <v>1440</v>
      </c>
      <c r="R82" s="512">
        <v>0</v>
      </c>
      <c r="S82" s="512">
        <v>55</v>
      </c>
      <c r="T82" s="40">
        <f>E82*M82*O82*Q82/100000000</f>
        <v>52.015104000000001</v>
      </c>
      <c r="U82" s="40">
        <f>E82*M82*O82*(Q82-R82-S82)/100000000</f>
        <v>50.028416</v>
      </c>
      <c r="V82" s="40">
        <f>E82*G82*(1-N82)*O82/100*(R82+S82)/1000000</f>
        <v>1.986688</v>
      </c>
      <c r="W82" s="40">
        <f>+'17'!K34/1000</f>
        <v>49.252000000000002</v>
      </c>
      <c r="X82" s="513">
        <f>SUM(W82:W85)/SUM(K82:K85)</f>
        <v>0.94687881427671472</v>
      </c>
      <c r="Y82" s="214">
        <v>0</v>
      </c>
      <c r="Z82" s="40">
        <f>+'17'!D34/1000</f>
        <v>0.64</v>
      </c>
      <c r="AA82" s="52">
        <f>SUM(U82:U85)-SUM(W82:W85)-SUM(Z82:Z85)-SUM(Y82:Y85)</f>
        <v>0.13641599999999754</v>
      </c>
      <c r="AB82" s="52">
        <f>(SUM(K82:K85)-SUM(W82:W85)-SUM(Y82:Y85)-SUM(Z82:Z85)-SUM(AC82:AC85)-SUM(V82:V85))-AA82</f>
        <v>7.7715611723760958E-16</v>
      </c>
      <c r="AC82" s="40">
        <f>K82-T82</f>
        <v>0</v>
      </c>
      <c r="AD82" s="40">
        <f>+AM82+BA82</f>
        <v>7</v>
      </c>
      <c r="AE82" s="233" t="s">
        <v>436</v>
      </c>
      <c r="AF82" s="40">
        <v>7</v>
      </c>
      <c r="AG82" s="40"/>
      <c r="AH82" s="40"/>
      <c r="AI82" s="514"/>
      <c r="AJ82" s="40"/>
      <c r="AK82" s="40"/>
      <c r="AL82" s="40"/>
      <c r="AM82" s="40">
        <f>SUM(AF82:AL82)+AT82+AV82+AX82</f>
        <v>7</v>
      </c>
      <c r="AN82" s="40"/>
      <c r="AO82" s="40"/>
      <c r="AP82" s="40"/>
      <c r="AQ82" s="40"/>
      <c r="AR82" s="40">
        <f>SUM(AN82:AQ82)</f>
        <v>0</v>
      </c>
      <c r="AS82" s="40"/>
      <c r="AT82" s="40"/>
      <c r="AU82" s="40"/>
      <c r="AV82" s="40"/>
      <c r="AW82" s="40"/>
      <c r="AX82" s="40"/>
      <c r="AY82" s="40"/>
      <c r="AZ82" s="40"/>
      <c r="BA82" s="40">
        <f>+AR82+AS82+AU82+AW82+AY82+AZ82</f>
        <v>0</v>
      </c>
      <c r="BB82" s="36">
        <v>2</v>
      </c>
      <c r="BC82" s="54"/>
      <c r="BD82" s="54"/>
      <c r="BE82" s="36"/>
      <c r="BF82" s="54"/>
    </row>
    <row r="83" spans="1:58" ht="12.95" customHeight="1">
      <c r="A83" s="43"/>
      <c r="B83" s="44"/>
      <c r="C83" s="460"/>
      <c r="D83" s="44"/>
      <c r="E83" s="45"/>
      <c r="F83" s="45"/>
      <c r="G83" s="511"/>
      <c r="H83" s="47"/>
      <c r="I83" s="48"/>
      <c r="J83" s="85"/>
      <c r="K83" s="85"/>
      <c r="L83" s="38"/>
      <c r="M83" s="38"/>
      <c r="N83" s="49"/>
      <c r="O83" s="50"/>
      <c r="P83" s="51"/>
      <c r="Q83" s="50"/>
      <c r="R83" s="512"/>
      <c r="S83" s="512"/>
      <c r="T83" s="40"/>
      <c r="U83" s="40"/>
      <c r="V83" s="40"/>
      <c r="W83" s="40"/>
      <c r="X83" s="41"/>
      <c r="Y83" s="214"/>
      <c r="Z83" s="40"/>
      <c r="AA83" s="40"/>
      <c r="AB83" s="40"/>
      <c r="AC83" s="40"/>
      <c r="AD83" s="40">
        <f>+AM83+BA83</f>
        <v>12</v>
      </c>
      <c r="AE83" s="233" t="s">
        <v>527</v>
      </c>
      <c r="AF83" s="40"/>
      <c r="AG83" s="40">
        <v>12</v>
      </c>
      <c r="AH83" s="40"/>
      <c r="AI83" s="514"/>
      <c r="AJ83" s="40"/>
      <c r="AK83" s="40"/>
      <c r="AL83" s="40"/>
      <c r="AM83" s="40">
        <f>SUM(AF83:AL83)+AT83+AV83+AX83</f>
        <v>12</v>
      </c>
      <c r="AN83" s="86"/>
      <c r="AO83" s="40"/>
      <c r="AP83" s="40"/>
      <c r="AQ83" s="40"/>
      <c r="AR83" s="40">
        <f>SUM(AN83:AQ83)</f>
        <v>0</v>
      </c>
      <c r="AS83" s="40"/>
      <c r="AT83" s="40"/>
      <c r="AU83" s="40"/>
      <c r="AV83" s="40"/>
      <c r="AW83" s="40"/>
      <c r="AX83" s="40"/>
      <c r="AY83" s="40"/>
      <c r="AZ83" s="40"/>
      <c r="BA83" s="40">
        <f>+AR83+AS83+AU83+AW83+AY83+AZ83</f>
        <v>0</v>
      </c>
      <c r="BB83" s="53"/>
      <c r="BC83" s="54">
        <v>4</v>
      </c>
      <c r="BD83" s="54"/>
      <c r="BE83" s="53"/>
      <c r="BF83" s="54"/>
    </row>
    <row r="84" spans="1:58" ht="12.95" customHeight="1">
      <c r="A84" s="43"/>
      <c r="B84" s="44"/>
      <c r="C84" s="460"/>
      <c r="D84" s="44"/>
      <c r="E84" s="45"/>
      <c r="F84" s="45"/>
      <c r="G84" s="511"/>
      <c r="H84" s="47"/>
      <c r="I84" s="48"/>
      <c r="J84" s="85"/>
      <c r="K84" s="85"/>
      <c r="L84" s="38"/>
      <c r="M84" s="38"/>
      <c r="N84" s="49"/>
      <c r="O84" s="50"/>
      <c r="P84" s="51"/>
      <c r="Q84" s="50"/>
      <c r="R84" s="512"/>
      <c r="S84" s="512"/>
      <c r="T84" s="40"/>
      <c r="U84" s="40"/>
      <c r="V84" s="40"/>
      <c r="W84" s="40"/>
      <c r="X84" s="41"/>
      <c r="Y84" s="214"/>
      <c r="Z84" s="40"/>
      <c r="AA84" s="40"/>
      <c r="AB84" s="40"/>
      <c r="AC84" s="40"/>
      <c r="AD84" s="40">
        <f>+AM84+BA84</f>
        <v>21</v>
      </c>
      <c r="AE84" s="233" t="s">
        <v>226</v>
      </c>
      <c r="AF84" s="36"/>
      <c r="AG84" s="36"/>
      <c r="AH84" s="36">
        <v>21</v>
      </c>
      <c r="AI84" s="514"/>
      <c r="AJ84" s="40"/>
      <c r="AK84" s="40"/>
      <c r="AL84" s="40"/>
      <c r="AM84" s="40">
        <f>SUM(AF84:AL84)+AT84+AV84+AX84</f>
        <v>21</v>
      </c>
      <c r="AN84" s="40"/>
      <c r="AO84" s="40"/>
      <c r="AP84" s="40"/>
      <c r="AQ84" s="40"/>
      <c r="AR84" s="40">
        <f>SUM(AN84:AQ84)</f>
        <v>0</v>
      </c>
      <c r="AS84" s="40"/>
      <c r="AT84" s="40"/>
      <c r="AU84" s="40"/>
      <c r="AV84" s="40"/>
      <c r="AW84" s="40"/>
      <c r="AX84" s="40"/>
      <c r="AY84" s="40"/>
      <c r="AZ84" s="40"/>
      <c r="BA84" s="40">
        <f>+AR84+AS84+AU84+AW84+AY84+AZ84</f>
        <v>0</v>
      </c>
      <c r="BB84" s="36"/>
      <c r="BC84" s="515"/>
      <c r="BD84" s="515"/>
      <c r="BE84" s="36"/>
      <c r="BF84" s="515"/>
    </row>
    <row r="85" spans="1:58" ht="12.95" customHeight="1">
      <c r="A85" s="43"/>
      <c r="B85" s="44"/>
      <c r="C85" s="460"/>
      <c r="D85" s="44"/>
      <c r="E85" s="45"/>
      <c r="F85" s="45"/>
      <c r="G85" s="511"/>
      <c r="H85" s="47"/>
      <c r="I85" s="48"/>
      <c r="J85" s="85"/>
      <c r="K85" s="85"/>
      <c r="L85" s="38"/>
      <c r="M85" s="38"/>
      <c r="N85" s="49"/>
      <c r="O85" s="50"/>
      <c r="P85" s="51"/>
      <c r="Q85" s="50"/>
      <c r="R85" s="512"/>
      <c r="S85" s="512"/>
      <c r="T85" s="40"/>
      <c r="U85" s="40"/>
      <c r="V85" s="40"/>
      <c r="W85" s="40"/>
      <c r="X85" s="41"/>
      <c r="Y85" s="214"/>
      <c r="Z85" s="40"/>
      <c r="AA85" s="40"/>
      <c r="AB85" s="40"/>
      <c r="AC85" s="40"/>
      <c r="AD85" s="40">
        <f>+AM85+BA85</f>
        <v>15</v>
      </c>
      <c r="AE85" s="236" t="s">
        <v>610</v>
      </c>
      <c r="AF85" s="36"/>
      <c r="AG85" s="36"/>
      <c r="AH85" s="36"/>
      <c r="AI85" s="514">
        <v>15</v>
      </c>
      <c r="AJ85" s="40"/>
      <c r="AK85" s="40"/>
      <c r="AL85" s="40"/>
      <c r="AM85" s="40">
        <f>SUM(AF85:AL85)+AT85+AV85+AX85</f>
        <v>15</v>
      </c>
      <c r="AN85" s="40"/>
      <c r="AO85" s="40"/>
      <c r="AP85" s="40"/>
      <c r="AQ85" s="40"/>
      <c r="AR85" s="40">
        <f>SUM(AN85:AQ85)</f>
        <v>0</v>
      </c>
      <c r="AS85" s="40"/>
      <c r="AT85" s="40"/>
      <c r="AU85" s="40"/>
      <c r="AV85" s="40"/>
      <c r="AW85" s="40"/>
      <c r="AX85" s="40"/>
      <c r="AY85" s="40"/>
      <c r="AZ85" s="40"/>
      <c r="BA85" s="40">
        <f>+AR85+AS85+AU85+AW85+AY85+AZ85</f>
        <v>0</v>
      </c>
      <c r="BB85" s="36"/>
      <c r="BC85" s="515"/>
      <c r="BD85" s="515"/>
      <c r="BE85" s="36"/>
      <c r="BF85" s="515"/>
    </row>
    <row r="86" spans="1:58" ht="12.95" customHeight="1">
      <c r="A86" s="43"/>
      <c r="B86" s="44"/>
      <c r="C86" s="460"/>
      <c r="D86" s="44"/>
      <c r="E86" s="45"/>
      <c r="F86" s="45"/>
      <c r="G86" s="601"/>
      <c r="H86" s="602"/>
      <c r="I86" s="48"/>
      <c r="J86" s="85"/>
      <c r="K86" s="85"/>
      <c r="L86" s="38"/>
      <c r="M86" s="38"/>
      <c r="N86" s="49"/>
      <c r="O86" s="50"/>
      <c r="P86" s="51"/>
      <c r="Q86" s="50"/>
      <c r="R86" s="512"/>
      <c r="S86" s="512"/>
      <c r="T86" s="40"/>
      <c r="U86" s="40"/>
      <c r="V86" s="40"/>
      <c r="W86" s="40"/>
      <c r="X86" s="513"/>
      <c r="Y86" s="214"/>
      <c r="Z86" s="40"/>
      <c r="AA86" s="52"/>
      <c r="AB86" s="52"/>
      <c r="AC86" s="40"/>
      <c r="AD86" s="40"/>
      <c r="AE86" s="233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36"/>
      <c r="BC86" s="54"/>
      <c r="BD86" s="54"/>
      <c r="BE86" s="54"/>
      <c r="BF86" s="54"/>
    </row>
    <row r="87" spans="1:58" ht="12.95" customHeight="1">
      <c r="A87" s="43">
        <v>45887</v>
      </c>
      <c r="B87" s="44" t="s">
        <v>445</v>
      </c>
      <c r="C87" s="460">
        <f>(M87*E87*O87*Q87)/100000000</f>
        <v>24.231385199999998</v>
      </c>
      <c r="D87" s="44" t="s">
        <v>491</v>
      </c>
      <c r="E87" s="45">
        <v>16</v>
      </c>
      <c r="F87" s="45">
        <v>1</v>
      </c>
      <c r="G87" s="511">
        <v>830</v>
      </c>
      <c r="H87" s="47">
        <v>0.15</v>
      </c>
      <c r="I87" s="48">
        <v>0.88</v>
      </c>
      <c r="J87" s="85">
        <f>E87*G87*(1-H87)*1440/1000000*3.4</f>
        <v>55.266047999999998</v>
      </c>
      <c r="K87" s="85">
        <f>(IF(G87&lt;L87,L87,G87)*(1-IF(H87&lt;N87,H87,N87))*E87*O87*Q87)/100000000</f>
        <v>24.231385199999998</v>
      </c>
      <c r="L87" s="38">
        <v>830</v>
      </c>
      <c r="M87" s="38">
        <v>705.5</v>
      </c>
      <c r="N87" s="49">
        <f>1-(M87/L87)</f>
        <v>0.15000000000000002</v>
      </c>
      <c r="O87" s="50">
        <f>+'Trim Rwd'!H63</f>
        <v>325.25</v>
      </c>
      <c r="P87" s="51">
        <f>O87*(Q87-R87-S87)</f>
        <v>207184.25</v>
      </c>
      <c r="Q87" s="50">
        <v>660</v>
      </c>
      <c r="R87" s="512">
        <v>0</v>
      </c>
      <c r="S87" s="512">
        <v>23</v>
      </c>
      <c r="T87" s="40">
        <f>E87*M87*O87*Q87/100000000</f>
        <v>24.231385199999998</v>
      </c>
      <c r="U87" s="40">
        <f>E87*M87*O87*(Q87-R87-S87)/100000000</f>
        <v>23.386958140000001</v>
      </c>
      <c r="V87" s="40">
        <f>E87*G87*(1-N87)*O87/100*(R87+S87)/1000000</f>
        <v>0.84442706000000001</v>
      </c>
      <c r="W87" s="40">
        <f>+'18'!K17/1000</f>
        <v>26.048999999999999</v>
      </c>
      <c r="X87" s="513">
        <f>SUM(W87:W90)/SUM(K87:K90)</f>
        <v>0.93131339103461508</v>
      </c>
      <c r="Y87" s="214">
        <v>0</v>
      </c>
      <c r="Z87" s="40">
        <f>+'18'!D7/1000</f>
        <v>0.66</v>
      </c>
      <c r="AA87" s="52">
        <f>SUM(U87:U90)-SUM(W87:W90)-SUM(Z87:Z90)-SUM(Y87:Y90)</f>
        <v>1.514091515999997</v>
      </c>
      <c r="AB87" s="52">
        <f>(SUM(K87:K90)-SUM(W87:W90)-SUM(Y87:Y90)-SUM(Z87:Z90)-SUM(AC87:AC90)-SUM(V87:V90))-AA87</f>
        <v>0</v>
      </c>
      <c r="AC87" s="40">
        <f>K87-T87</f>
        <v>0</v>
      </c>
      <c r="AD87" s="40">
        <f>+AM87+BA87</f>
        <v>11</v>
      </c>
      <c r="AE87" s="233" t="s">
        <v>523</v>
      </c>
      <c r="AF87" s="40">
        <v>11</v>
      </c>
      <c r="AG87" s="40"/>
      <c r="AH87" s="40"/>
      <c r="AI87" s="514"/>
      <c r="AJ87" s="40"/>
      <c r="AK87" s="40"/>
      <c r="AL87" s="40"/>
      <c r="AM87" s="40">
        <f>SUM(AF87:AL87)+AT87+AV87+AX87</f>
        <v>11</v>
      </c>
      <c r="AN87" s="40"/>
      <c r="AO87" s="40"/>
      <c r="AP87" s="40"/>
      <c r="AQ87" s="40"/>
      <c r="AR87" s="40">
        <f>SUM(AN87:AQ87)</f>
        <v>0</v>
      </c>
      <c r="AS87" s="40"/>
      <c r="AT87" s="40"/>
      <c r="AU87" s="40"/>
      <c r="AV87" s="40"/>
      <c r="AW87" s="40"/>
      <c r="AX87" s="40"/>
      <c r="AY87" s="40"/>
      <c r="AZ87" s="40"/>
      <c r="BA87" s="40">
        <f>+AR87+AS87+AU87+AW87+AY87+AZ87</f>
        <v>0</v>
      </c>
      <c r="BB87" s="36">
        <v>3</v>
      </c>
      <c r="BC87" s="54"/>
      <c r="BD87" s="54"/>
      <c r="BE87" s="36"/>
      <c r="BF87" s="54"/>
    </row>
    <row r="88" spans="1:58" ht="12.95" customHeight="1">
      <c r="A88" s="43"/>
      <c r="B88" s="44" t="s">
        <v>8</v>
      </c>
      <c r="C88" s="460">
        <f>(M88*E88*O88*Q88)/100000000</f>
        <v>42.979073280000001</v>
      </c>
      <c r="D88" s="44" t="s">
        <v>491</v>
      </c>
      <c r="E88" s="45">
        <v>23</v>
      </c>
      <c r="F88" s="45">
        <v>1</v>
      </c>
      <c r="G88" s="511">
        <v>830</v>
      </c>
      <c r="H88" s="47">
        <v>0.12</v>
      </c>
      <c r="I88" s="48">
        <v>0.88</v>
      </c>
      <c r="J88" s="85">
        <f>E88*G88*(1-H88)*1440/1000000*3.4</f>
        <v>82.248883199999995</v>
      </c>
      <c r="K88" s="85">
        <f>(IF(G88&lt;L88,L88,G88)*(1-IF(H88&lt;N88,H88,N88))*E88*O88*Q88)/100000000</f>
        <v>42.979073280000001</v>
      </c>
      <c r="L88" s="38">
        <v>830</v>
      </c>
      <c r="M88" s="38">
        <v>730.4</v>
      </c>
      <c r="N88" s="49">
        <f>1-(M88/L88)</f>
        <v>0.12</v>
      </c>
      <c r="O88" s="50">
        <f>+'Trim Rwd'!H65</f>
        <v>328</v>
      </c>
      <c r="P88" s="51">
        <f>O88*(Q88-R88-S88)</f>
        <v>246328</v>
      </c>
      <c r="Q88" s="50">
        <v>780</v>
      </c>
      <c r="R88" s="512">
        <v>0</v>
      </c>
      <c r="S88" s="512">
        <v>29</v>
      </c>
      <c r="T88" s="40">
        <f>E88*M88*O88*Q88/100000000</f>
        <v>42.979073280000001</v>
      </c>
      <c r="U88" s="40">
        <f>E88*M88*O88*(Q88-R88-S88)/100000000</f>
        <v>41.381133376000001</v>
      </c>
      <c r="V88" s="40">
        <f>E88*G88*(1-N88)*O88/100*(R88+S88)/1000000</f>
        <v>1.5979399040000002</v>
      </c>
      <c r="W88" s="40">
        <f>+'18'!K21/1000</f>
        <v>36.545000000000002</v>
      </c>
      <c r="X88" s="41"/>
      <c r="Y88" s="214"/>
      <c r="Z88" s="40"/>
      <c r="AA88" s="40"/>
      <c r="AB88" s="40"/>
      <c r="AC88" s="40">
        <f>K88-T88</f>
        <v>0</v>
      </c>
      <c r="AD88" s="40">
        <f>+AM88+BA88</f>
        <v>17</v>
      </c>
      <c r="AE88" s="233" t="s">
        <v>527</v>
      </c>
      <c r="AF88" s="40"/>
      <c r="AG88" s="40">
        <v>17</v>
      </c>
      <c r="AH88" s="40"/>
      <c r="AI88" s="514"/>
      <c r="AJ88" s="40"/>
      <c r="AK88" s="40"/>
      <c r="AL88" s="40"/>
      <c r="AM88" s="40">
        <f>SUM(AF88:AL88)+AT88+AV88+AX88</f>
        <v>17</v>
      </c>
      <c r="AN88" s="86"/>
      <c r="AO88" s="40"/>
      <c r="AP88" s="40"/>
      <c r="AQ88" s="40"/>
      <c r="AR88" s="40">
        <f>SUM(AN88:AQ88)</f>
        <v>0</v>
      </c>
      <c r="AS88" s="40"/>
      <c r="AT88" s="40"/>
      <c r="AU88" s="40"/>
      <c r="AV88" s="40"/>
      <c r="AW88" s="40"/>
      <c r="AX88" s="40"/>
      <c r="AY88" s="40"/>
      <c r="AZ88" s="40"/>
      <c r="BA88" s="40">
        <f>+AR88+AS88+AU88+AW88+AY88+AZ88</f>
        <v>0</v>
      </c>
      <c r="BB88" s="53"/>
      <c r="BC88" s="54">
        <v>4</v>
      </c>
      <c r="BD88" s="54"/>
      <c r="BE88" s="53"/>
      <c r="BF88" s="54"/>
    </row>
    <row r="89" spans="1:58" ht="12.95" customHeight="1">
      <c r="A89" s="43"/>
      <c r="B89" s="44"/>
      <c r="C89" s="460"/>
      <c r="D89" s="44"/>
      <c r="E89" s="45"/>
      <c r="F89" s="45"/>
      <c r="G89" s="511"/>
      <c r="H89" s="47"/>
      <c r="I89" s="48"/>
      <c r="J89" s="85"/>
      <c r="K89" s="85"/>
      <c r="L89" s="38"/>
      <c r="M89" s="38"/>
      <c r="N89" s="49"/>
      <c r="O89" s="50"/>
      <c r="P89" s="51"/>
      <c r="Q89" s="50"/>
      <c r="R89" s="512"/>
      <c r="S89" s="512"/>
      <c r="T89" s="40"/>
      <c r="U89" s="40"/>
      <c r="V89" s="40"/>
      <c r="W89" s="40"/>
      <c r="X89" s="41"/>
      <c r="Y89" s="214"/>
      <c r="Z89" s="40"/>
      <c r="AA89" s="40"/>
      <c r="AB89" s="40"/>
      <c r="AC89" s="40"/>
      <c r="AD89" s="40">
        <f>+AM89+BA89</f>
        <v>19</v>
      </c>
      <c r="AE89" s="233" t="s">
        <v>226</v>
      </c>
      <c r="AF89" s="36"/>
      <c r="AG89" s="36"/>
      <c r="AH89" s="36">
        <v>19</v>
      </c>
      <c r="AI89" s="514"/>
      <c r="AJ89" s="40"/>
      <c r="AK89" s="40"/>
      <c r="AL89" s="40"/>
      <c r="AM89" s="40">
        <f>SUM(AF89:AL89)+AT89+AV89+AX89</f>
        <v>19</v>
      </c>
      <c r="AN89" s="40"/>
      <c r="AO89" s="40"/>
      <c r="AP89" s="40"/>
      <c r="AQ89" s="40"/>
      <c r="AR89" s="40">
        <f>SUM(AN89:AQ89)</f>
        <v>0</v>
      </c>
      <c r="AS89" s="40"/>
      <c r="AT89" s="40"/>
      <c r="AU89" s="40"/>
      <c r="AV89" s="40"/>
      <c r="AW89" s="40"/>
      <c r="AX89" s="40"/>
      <c r="AY89" s="40"/>
      <c r="AZ89" s="40"/>
      <c r="BA89" s="40">
        <f>+AR89+AS89+AU89+AW89+AY89+AZ89</f>
        <v>0</v>
      </c>
      <c r="BB89" s="36"/>
      <c r="BC89" s="515"/>
      <c r="BD89" s="515"/>
      <c r="BE89" s="36"/>
      <c r="BF89" s="515"/>
    </row>
    <row r="90" spans="1:58" ht="12.95" customHeight="1">
      <c r="A90" s="43"/>
      <c r="B90" s="44"/>
      <c r="C90" s="460"/>
      <c r="D90" s="44"/>
      <c r="E90" s="45"/>
      <c r="F90" s="45"/>
      <c r="G90" s="511"/>
      <c r="H90" s="47"/>
      <c r="I90" s="48"/>
      <c r="J90" s="85"/>
      <c r="K90" s="85"/>
      <c r="L90" s="38"/>
      <c r="M90" s="38"/>
      <c r="N90" s="49"/>
      <c r="O90" s="50"/>
      <c r="P90" s="51"/>
      <c r="Q90" s="50"/>
      <c r="R90" s="512"/>
      <c r="S90" s="512"/>
      <c r="T90" s="40"/>
      <c r="U90" s="40"/>
      <c r="V90" s="40"/>
      <c r="W90" s="40"/>
      <c r="X90" s="41"/>
      <c r="Y90" s="214"/>
      <c r="Z90" s="40"/>
      <c r="AA90" s="40"/>
      <c r="AB90" s="40"/>
      <c r="AC90" s="40"/>
      <c r="AD90" s="40">
        <f>+AM90+BA90</f>
        <v>5</v>
      </c>
      <c r="AE90" s="233" t="s">
        <v>577</v>
      </c>
      <c r="AF90" s="36"/>
      <c r="AG90" s="36"/>
      <c r="AH90" s="36"/>
      <c r="AI90" s="514">
        <v>5</v>
      </c>
      <c r="AJ90" s="40"/>
      <c r="AK90" s="40"/>
      <c r="AL90" s="40"/>
      <c r="AM90" s="40">
        <f>SUM(AF90:AL90)+AT90+AV90+AX90</f>
        <v>5</v>
      </c>
      <c r="AN90" s="40"/>
      <c r="AO90" s="40"/>
      <c r="AP90" s="40"/>
      <c r="AQ90" s="40"/>
      <c r="AR90" s="40">
        <f>SUM(AN90:AQ90)</f>
        <v>0</v>
      </c>
      <c r="AS90" s="40"/>
      <c r="AT90" s="40"/>
      <c r="AU90" s="40"/>
      <c r="AV90" s="40"/>
      <c r="AW90" s="40"/>
      <c r="AX90" s="40"/>
      <c r="AY90" s="40"/>
      <c r="AZ90" s="40"/>
      <c r="BA90" s="40">
        <f>+AR90+AS90+AU90+AW90+AY90+AZ90</f>
        <v>0</v>
      </c>
      <c r="BB90" s="36"/>
      <c r="BC90" s="515"/>
      <c r="BD90" s="515"/>
      <c r="BE90" s="36"/>
      <c r="BF90" s="515"/>
    </row>
    <row r="91" spans="1:58" ht="12.95" customHeight="1">
      <c r="A91" s="43"/>
      <c r="B91" s="44"/>
      <c r="C91" s="460"/>
      <c r="D91" s="44"/>
      <c r="E91" s="45"/>
      <c r="F91" s="45"/>
      <c r="G91" s="601"/>
      <c r="H91" s="602"/>
      <c r="I91" s="48"/>
      <c r="J91" s="85"/>
      <c r="K91" s="85"/>
      <c r="L91" s="38"/>
      <c r="M91" s="38"/>
      <c r="N91" s="49"/>
      <c r="O91" s="50"/>
      <c r="P91" s="51"/>
      <c r="Q91" s="50"/>
      <c r="R91" s="512"/>
      <c r="S91" s="512"/>
      <c r="T91" s="40"/>
      <c r="U91" s="40"/>
      <c r="V91" s="40"/>
      <c r="W91" s="40"/>
      <c r="X91" s="41"/>
      <c r="Y91" s="41"/>
      <c r="Z91" s="40"/>
      <c r="AA91" s="52"/>
      <c r="AB91" s="52"/>
      <c r="AC91" s="40"/>
      <c r="AD91" s="40"/>
      <c r="AE91" s="23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36"/>
      <c r="BC91" s="54"/>
      <c r="BD91" s="515"/>
      <c r="BE91" s="36"/>
      <c r="BF91" s="515"/>
    </row>
    <row r="92" spans="1:58" ht="12.95" customHeight="1">
      <c r="A92" s="43">
        <v>45888</v>
      </c>
      <c r="B92" s="44" t="s">
        <v>8</v>
      </c>
      <c r="C92" s="460">
        <f>(M92*E92*O92*Q92)/100000000</f>
        <v>46.285155840000002</v>
      </c>
      <c r="D92" s="44" t="s">
        <v>491</v>
      </c>
      <c r="E92" s="45">
        <v>23</v>
      </c>
      <c r="F92" s="45">
        <v>1</v>
      </c>
      <c r="G92" s="511">
        <v>830</v>
      </c>
      <c r="H92" s="47">
        <v>0.12</v>
      </c>
      <c r="I92" s="48">
        <v>0.88</v>
      </c>
      <c r="J92" s="85">
        <f>E92*G92*(1-H92)*1440/1000000*3.4</f>
        <v>82.248883199999995</v>
      </c>
      <c r="K92" s="85">
        <f>(IF(G92&lt;L92,L92,G92)*(1-IF(H92&lt;N92,H92,N92))*E92*O92*Q92)/100000000</f>
        <v>46.285155840000002</v>
      </c>
      <c r="L92" s="38">
        <v>830</v>
      </c>
      <c r="M92" s="38">
        <v>730.4</v>
      </c>
      <c r="N92" s="49">
        <f>1-(M92/L92)</f>
        <v>0.12</v>
      </c>
      <c r="O92" s="50">
        <f>+'Trim Rwd'!H67</f>
        <v>328</v>
      </c>
      <c r="P92" s="51">
        <f>O92*(Q92-R92-S92)</f>
        <v>270600</v>
      </c>
      <c r="Q92" s="50">
        <v>840</v>
      </c>
      <c r="R92" s="512">
        <v>0</v>
      </c>
      <c r="S92" s="512">
        <v>15</v>
      </c>
      <c r="T92" s="40">
        <f>E92*M92*O92*Q92/100000000</f>
        <v>46.285155840000002</v>
      </c>
      <c r="U92" s="40">
        <f>E92*M92*O92*(Q92-R92-S92)/100000000</f>
        <v>45.458635200000003</v>
      </c>
      <c r="V92" s="40">
        <f>E92*G92*(1-N92)*O92/100*(R92+S92)/1000000</f>
        <v>0.82652064000000003</v>
      </c>
      <c r="W92" s="40">
        <f>+'19'!K21/1000</f>
        <v>48.709000000000003</v>
      </c>
      <c r="X92" s="513">
        <f>SUM(W92:W95)/SUM(K92:K95)</f>
        <v>0.89816664940428381</v>
      </c>
      <c r="Y92" s="214">
        <v>0</v>
      </c>
      <c r="Z92" s="40">
        <v>0</v>
      </c>
      <c r="AA92" s="52">
        <f>SUM(U92:U95)-SUM(W92:W95)-SUM(Z92:Z95)-SUM(Y92:Y95)</f>
        <v>5.0957997200000023</v>
      </c>
      <c r="AB92" s="52">
        <f>(SUM(K92:K95)-SUM(W92:W95)-SUM(Y92:Y95)-SUM(Z92:Z95)-SUM(AC92:AC95)-SUM(V92:V95))-AA92</f>
        <v>0</v>
      </c>
      <c r="AC92" s="40">
        <f>K92-T92</f>
        <v>0</v>
      </c>
      <c r="AD92" s="40">
        <f>+AM92+BA92</f>
        <v>4</v>
      </c>
      <c r="AE92" s="233" t="s">
        <v>436</v>
      </c>
      <c r="AF92" s="40">
        <v>4</v>
      </c>
      <c r="AG92" s="40"/>
      <c r="AH92" s="40"/>
      <c r="AI92" s="514"/>
      <c r="AJ92" s="40"/>
      <c r="AK92" s="40"/>
      <c r="AL92" s="40"/>
      <c r="AM92" s="40">
        <f>SUM(AF92:AL92)+AT92+AV92+AX92</f>
        <v>4</v>
      </c>
      <c r="AN92" s="40"/>
      <c r="AO92" s="40"/>
      <c r="AP92" s="40"/>
      <c r="AQ92" s="40"/>
      <c r="AR92" s="40">
        <f>SUM(AN92:AQ92)</f>
        <v>0</v>
      </c>
      <c r="AS92" s="40"/>
      <c r="AT92" s="40"/>
      <c r="AU92" s="40"/>
      <c r="AV92" s="40"/>
      <c r="AW92" s="40"/>
      <c r="AX92" s="40"/>
      <c r="AY92" s="40"/>
      <c r="AZ92" s="40"/>
      <c r="BA92" s="40">
        <f>+AR92+AS92+AU92+AW92+AY92+AZ92</f>
        <v>0</v>
      </c>
      <c r="BB92" s="36">
        <v>2</v>
      </c>
      <c r="BC92" s="54"/>
      <c r="BD92" s="54"/>
      <c r="BE92" s="36"/>
      <c r="BF92" s="54"/>
    </row>
    <row r="93" spans="1:58" ht="12.95" customHeight="1">
      <c r="A93" s="43"/>
      <c r="B93" s="44" t="s">
        <v>8</v>
      </c>
      <c r="C93" s="460">
        <f>(M93*E93*O93*Q93)/100000000</f>
        <v>22.735443000000004</v>
      </c>
      <c r="D93" s="44" t="s">
        <v>491</v>
      </c>
      <c r="E93" s="45">
        <v>17</v>
      </c>
      <c r="F93" s="45">
        <v>1</v>
      </c>
      <c r="G93" s="511">
        <v>830</v>
      </c>
      <c r="H93" s="47">
        <v>0.18</v>
      </c>
      <c r="I93" s="48">
        <v>0.88</v>
      </c>
      <c r="J93" s="85">
        <f>E93*G93*(1-H93)*1440/1000000*3.4</f>
        <v>56.647699200000005</v>
      </c>
      <c r="K93" s="85">
        <f>(IF(G93&lt;L93,L93,G93)*(1-IF(H93&lt;N93,H93,N93))*E93*O93*Q93)/100000000</f>
        <v>22.735443000000004</v>
      </c>
      <c r="L93" s="38">
        <v>830</v>
      </c>
      <c r="M93" s="38">
        <f>+L93-L93*0.18</f>
        <v>680.6</v>
      </c>
      <c r="N93" s="49">
        <f>1-(M93/L93)</f>
        <v>0.17999999999999994</v>
      </c>
      <c r="O93" s="50">
        <f>+'Trim Rwd'!H68</f>
        <v>327.5</v>
      </c>
      <c r="P93" s="51">
        <f>O93*(Q93-R93-S93)</f>
        <v>191260</v>
      </c>
      <c r="Q93" s="50">
        <v>600</v>
      </c>
      <c r="R93" s="512">
        <v>0</v>
      </c>
      <c r="S93" s="512">
        <v>16</v>
      </c>
      <c r="T93" s="40">
        <f>E93*M93*O93*Q93/100000000</f>
        <v>22.735443000000004</v>
      </c>
      <c r="U93" s="40">
        <f>E93*M93*O93*(Q93-R93-S93)/100000000</f>
        <v>22.129164520000003</v>
      </c>
      <c r="V93" s="40">
        <f>E93*G93*(1-N93)*O93/100*(R93+S93)/1000000</f>
        <v>0.60627848000000006</v>
      </c>
      <c r="W93" s="40">
        <f>+'19'!K22/1000</f>
        <v>13.282999999999999</v>
      </c>
      <c r="X93" s="41"/>
      <c r="Y93" s="214"/>
      <c r="Z93" s="40">
        <f>+'19'!D25/1000</f>
        <v>0.5</v>
      </c>
      <c r="AA93" s="40"/>
      <c r="AB93" s="40"/>
      <c r="AC93" s="40">
        <f>K93-T93</f>
        <v>0</v>
      </c>
      <c r="AD93" s="40">
        <f>+AM93+BA93</f>
        <v>10</v>
      </c>
      <c r="AE93" s="233" t="s">
        <v>446</v>
      </c>
      <c r="AF93" s="40"/>
      <c r="AG93" s="40">
        <v>10</v>
      </c>
      <c r="AH93" s="40"/>
      <c r="AI93" s="514"/>
      <c r="AJ93" s="40"/>
      <c r="AK93" s="40"/>
      <c r="AL93" s="40"/>
      <c r="AM93" s="40">
        <f>SUM(AF93:AL93)+AT93+AV93+AX93</f>
        <v>10</v>
      </c>
      <c r="AN93" s="86"/>
      <c r="AO93" s="40"/>
      <c r="AP93" s="40"/>
      <c r="AQ93" s="40"/>
      <c r="AR93" s="40">
        <f>SUM(AN93:AQ93)</f>
        <v>0</v>
      </c>
      <c r="AS93" s="40"/>
      <c r="AT93" s="40"/>
      <c r="AU93" s="40"/>
      <c r="AV93" s="40"/>
      <c r="AW93" s="40"/>
      <c r="AX93" s="40"/>
      <c r="AY93" s="40"/>
      <c r="AZ93" s="40"/>
      <c r="BA93" s="40">
        <f>+AR93+AS93+AU93+AW93+AY93+AZ93</f>
        <v>0</v>
      </c>
      <c r="BB93" s="53"/>
      <c r="BC93" s="54">
        <v>5</v>
      </c>
      <c r="BD93" s="54"/>
      <c r="BE93" s="53"/>
      <c r="BF93" s="54"/>
    </row>
    <row r="94" spans="1:58" ht="12.95" customHeight="1">
      <c r="A94" s="43"/>
      <c r="B94" s="44"/>
      <c r="C94" s="460"/>
      <c r="D94" s="44"/>
      <c r="E94" s="45"/>
      <c r="F94" s="45"/>
      <c r="G94" s="511"/>
      <c r="H94" s="47"/>
      <c r="I94" s="48"/>
      <c r="J94" s="85"/>
      <c r="K94" s="85"/>
      <c r="L94" s="38"/>
      <c r="M94" s="38"/>
      <c r="N94" s="49"/>
      <c r="O94" s="50"/>
      <c r="P94" s="51"/>
      <c r="Q94" s="50"/>
      <c r="R94" s="512"/>
      <c r="S94" s="512"/>
      <c r="T94" s="40"/>
      <c r="U94" s="40"/>
      <c r="V94" s="40"/>
      <c r="W94" s="40"/>
      <c r="X94" s="41"/>
      <c r="Y94" s="214"/>
      <c r="Z94" s="40"/>
      <c r="AA94" s="40"/>
      <c r="AB94" s="40"/>
      <c r="AC94" s="40"/>
      <c r="AD94" s="40">
        <f>+AM94+BA94</f>
        <v>13</v>
      </c>
      <c r="AE94" s="233" t="s">
        <v>226</v>
      </c>
      <c r="AF94" s="36"/>
      <c r="AG94" s="36"/>
      <c r="AH94" s="36">
        <v>13</v>
      </c>
      <c r="AI94" s="514"/>
      <c r="AJ94" s="40"/>
      <c r="AK94" s="40"/>
      <c r="AL94" s="40"/>
      <c r="AM94" s="40">
        <f>SUM(AF94:AL94)+AT94+AV94+AX94</f>
        <v>13</v>
      </c>
      <c r="AN94" s="40"/>
      <c r="AO94" s="40"/>
      <c r="AP94" s="40"/>
      <c r="AQ94" s="40"/>
      <c r="AR94" s="40">
        <f>SUM(AN94:AQ94)</f>
        <v>0</v>
      </c>
      <c r="AS94" s="40"/>
      <c r="AT94" s="40"/>
      <c r="AU94" s="40"/>
      <c r="AV94" s="40"/>
      <c r="AW94" s="40"/>
      <c r="AX94" s="40"/>
      <c r="AY94" s="40"/>
      <c r="AZ94" s="40"/>
      <c r="BA94" s="40">
        <f>+AR94+AS94+AU94+AW94+AY94+AZ94</f>
        <v>0</v>
      </c>
      <c r="BB94" s="36"/>
      <c r="BC94" s="515"/>
      <c r="BD94" s="515"/>
      <c r="BE94" s="36"/>
      <c r="BF94" s="515"/>
    </row>
    <row r="95" spans="1:58" ht="12.95" customHeight="1">
      <c r="A95" s="43"/>
      <c r="B95" s="44"/>
      <c r="C95" s="460"/>
      <c r="D95" s="44"/>
      <c r="E95" s="45"/>
      <c r="F95" s="45"/>
      <c r="G95" s="511"/>
      <c r="H95" s="47"/>
      <c r="I95" s="48"/>
      <c r="J95" s="85"/>
      <c r="K95" s="85"/>
      <c r="L95" s="38"/>
      <c r="M95" s="38"/>
      <c r="N95" s="49"/>
      <c r="O95" s="50"/>
      <c r="P95" s="51"/>
      <c r="Q95" s="50"/>
      <c r="R95" s="512"/>
      <c r="S95" s="512"/>
      <c r="T95" s="40"/>
      <c r="U95" s="40"/>
      <c r="V95" s="40"/>
      <c r="W95" s="40"/>
      <c r="X95" s="41"/>
      <c r="Y95" s="214"/>
      <c r="Z95" s="40"/>
      <c r="AA95" s="40"/>
      <c r="AB95" s="40"/>
      <c r="AC95" s="40"/>
      <c r="AD95" s="40">
        <f>+AM95+BA95</f>
        <v>4</v>
      </c>
      <c r="AE95" s="233" t="s">
        <v>577</v>
      </c>
      <c r="AF95" s="36"/>
      <c r="AG95" s="36"/>
      <c r="AH95" s="36"/>
      <c r="AI95" s="514">
        <v>4</v>
      </c>
      <c r="AJ95" s="40"/>
      <c r="AK95" s="40"/>
      <c r="AL95" s="40"/>
      <c r="AM95" s="40">
        <f>SUM(AF95:AL95)+AT95+AV95+AX95</f>
        <v>4</v>
      </c>
      <c r="AN95" s="40"/>
      <c r="AO95" s="40"/>
      <c r="AP95" s="40"/>
      <c r="AQ95" s="40"/>
      <c r="AR95" s="40">
        <f>SUM(AN95:AQ95)</f>
        <v>0</v>
      </c>
      <c r="AS95" s="40"/>
      <c r="AT95" s="40"/>
      <c r="AU95" s="40"/>
      <c r="AV95" s="40"/>
      <c r="AW95" s="40"/>
      <c r="AX95" s="40"/>
      <c r="AY95" s="40"/>
      <c r="AZ95" s="40"/>
      <c r="BA95" s="40">
        <f>+AR95+AS95+AU95+AW95+AY95+AZ95</f>
        <v>0</v>
      </c>
      <c r="BB95" s="36"/>
      <c r="BC95" s="515"/>
      <c r="BD95" s="515"/>
      <c r="BE95" s="36"/>
      <c r="BF95" s="515"/>
    </row>
    <row r="96" spans="1:58" ht="12.95" customHeight="1">
      <c r="A96" s="43"/>
      <c r="B96" s="44"/>
      <c r="C96" s="460"/>
      <c r="D96" s="44"/>
      <c r="E96" s="45"/>
      <c r="F96" s="45"/>
      <c r="G96" s="601"/>
      <c r="H96" s="602"/>
      <c r="I96" s="48"/>
      <c r="J96" s="85"/>
      <c r="K96" s="85"/>
      <c r="L96" s="38"/>
      <c r="M96" s="38"/>
      <c r="N96" s="49"/>
      <c r="O96" s="50"/>
      <c r="P96" s="51"/>
      <c r="Q96" s="50"/>
      <c r="R96" s="512"/>
      <c r="S96" s="512"/>
      <c r="T96" s="40"/>
      <c r="U96" s="40"/>
      <c r="V96" s="40"/>
      <c r="W96" s="40"/>
      <c r="X96" s="41"/>
      <c r="Y96" s="41"/>
      <c r="Z96" s="40"/>
      <c r="AA96" s="52"/>
      <c r="AB96" s="52"/>
      <c r="AC96" s="40"/>
      <c r="AD96" s="40"/>
      <c r="AE96" s="23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36"/>
      <c r="BC96" s="54"/>
      <c r="BD96" s="515"/>
      <c r="BE96" s="36"/>
      <c r="BF96" s="515"/>
    </row>
    <row r="97" spans="1:58" ht="12.95" customHeight="1">
      <c r="A97" s="43">
        <v>45889</v>
      </c>
      <c r="B97" s="44" t="s">
        <v>8</v>
      </c>
      <c r="C97" s="460">
        <f>(M97*E97*O97*Q97)/100000000</f>
        <v>53.815314239999999</v>
      </c>
      <c r="D97" s="44" t="s">
        <v>491</v>
      </c>
      <c r="E97" s="45">
        <v>17</v>
      </c>
      <c r="F97" s="45">
        <v>1</v>
      </c>
      <c r="G97" s="511">
        <v>830</v>
      </c>
      <c r="H97" s="47">
        <v>0.18</v>
      </c>
      <c r="I97" s="48">
        <v>0.88</v>
      </c>
      <c r="J97" s="85">
        <f>E97*G97*(1-H97)*1440/1000000*3.4</f>
        <v>56.647699200000005</v>
      </c>
      <c r="K97" s="85">
        <f>(IF(G97&lt;L97,L97,G97)*(1-IF(H97&lt;N97,H97,N97))*E97*O97*Q97)/100000000</f>
        <v>53.815314239999999</v>
      </c>
      <c r="L97" s="38">
        <v>830</v>
      </c>
      <c r="M97" s="38">
        <f>+L97-L97*0.18</f>
        <v>680.6</v>
      </c>
      <c r="N97" s="49">
        <f>1-(M97/L97)</f>
        <v>0.17999999999999994</v>
      </c>
      <c r="O97" s="50">
        <f>+'Trim Rwd'!H71</f>
        <v>323</v>
      </c>
      <c r="P97" s="51">
        <f>O97*(Q97-R97-S97)</f>
        <v>455107</v>
      </c>
      <c r="Q97" s="50">
        <v>1440</v>
      </c>
      <c r="R97" s="512">
        <v>0</v>
      </c>
      <c r="S97" s="512">
        <v>31</v>
      </c>
      <c r="T97" s="40">
        <f>E97*M97*O97*Q97/100000000</f>
        <v>53.815314239999999</v>
      </c>
      <c r="U97" s="40">
        <f>E97*M97*O97*(Q97-R97-S97)/100000000</f>
        <v>52.656790114000003</v>
      </c>
      <c r="V97" s="40">
        <f>E97*G97*(1-N97)*O97/100*(R97+S97)/1000000</f>
        <v>1.1585241259999999</v>
      </c>
      <c r="W97" s="40">
        <f>+'20'!K34/1000</f>
        <v>50.192999999999998</v>
      </c>
      <c r="X97" s="513">
        <f>SUM(W97:W100)/SUM(K97:K100)</f>
        <v>0.93268989894130183</v>
      </c>
      <c r="Y97" s="214">
        <v>0</v>
      </c>
      <c r="Z97" s="40">
        <f>+'20'!D34/1000</f>
        <v>0.95</v>
      </c>
      <c r="AA97" s="52">
        <f>SUM(U97:U100)-SUM(W97:W100)-SUM(Z97:Z100)-SUM(Y97:Y100)</f>
        <v>1.5137901140000054</v>
      </c>
      <c r="AB97" s="52">
        <f>(SUM(K97:K100)-SUM(W97:W100)-SUM(Y97:Y100)-SUM(Z97:Z100)-SUM(AC97:AC100)-SUM(V97:V100))-AA97</f>
        <v>-3.9968028886505635E-15</v>
      </c>
      <c r="AC97" s="40">
        <f>K97-T97</f>
        <v>0</v>
      </c>
      <c r="AD97" s="40">
        <f>+AM97+BA97</f>
        <v>6</v>
      </c>
      <c r="AE97" s="233" t="s">
        <v>523</v>
      </c>
      <c r="AF97" s="40">
        <v>6</v>
      </c>
      <c r="AG97" s="40"/>
      <c r="AH97" s="40"/>
      <c r="AI97" s="514"/>
      <c r="AJ97" s="40"/>
      <c r="AK97" s="40"/>
      <c r="AL97" s="40"/>
      <c r="AM97" s="40">
        <f>SUM(AF97:AL97)+AT97+AV97+AX97</f>
        <v>6</v>
      </c>
      <c r="AN97" s="40"/>
      <c r="AO97" s="40"/>
      <c r="AP97" s="40"/>
      <c r="AQ97" s="40"/>
      <c r="AR97" s="40">
        <f>SUM(AN97:AQ97)</f>
        <v>0</v>
      </c>
      <c r="AS97" s="40"/>
      <c r="AT97" s="40"/>
      <c r="AU97" s="40"/>
      <c r="AV97" s="40"/>
      <c r="AW97" s="40"/>
      <c r="AX97" s="40"/>
      <c r="AY97" s="40"/>
      <c r="AZ97" s="40"/>
      <c r="BA97" s="40">
        <f>+AR97+AS97+AU97+AW97+AY97+AZ97</f>
        <v>0</v>
      </c>
      <c r="BB97" s="36">
        <v>3</v>
      </c>
      <c r="BC97" s="54"/>
      <c r="BD97" s="54"/>
      <c r="BE97" s="36"/>
      <c r="BF97" s="54"/>
    </row>
    <row r="98" spans="1:58" ht="12.95" customHeight="1">
      <c r="A98" s="43"/>
      <c r="B98" s="44"/>
      <c r="C98" s="460"/>
      <c r="D98" s="44"/>
      <c r="E98" s="45"/>
      <c r="F98" s="45"/>
      <c r="G98" s="511"/>
      <c r="H98" s="47"/>
      <c r="I98" s="48"/>
      <c r="J98" s="85"/>
      <c r="K98" s="85"/>
      <c r="L98" s="38"/>
      <c r="M98" s="38"/>
      <c r="N98" s="49"/>
      <c r="O98" s="50"/>
      <c r="P98" s="51"/>
      <c r="Q98" s="50"/>
      <c r="R98" s="512"/>
      <c r="S98" s="512"/>
      <c r="T98" s="40"/>
      <c r="U98" s="40"/>
      <c r="V98" s="40"/>
      <c r="W98" s="40"/>
      <c r="X98" s="41"/>
      <c r="Y98" s="214"/>
      <c r="Z98" s="40"/>
      <c r="AA98" s="40"/>
      <c r="AB98" s="40"/>
      <c r="AC98" s="40"/>
      <c r="AD98" s="40">
        <f>+AM98+BA98</f>
        <v>10</v>
      </c>
      <c r="AE98" s="233" t="s">
        <v>390</v>
      </c>
      <c r="AF98" s="40"/>
      <c r="AG98" s="40">
        <v>10</v>
      </c>
      <c r="AH98" s="40"/>
      <c r="AI98" s="514"/>
      <c r="AJ98" s="40"/>
      <c r="AK98" s="40"/>
      <c r="AL98" s="40"/>
      <c r="AM98" s="40">
        <f>SUM(AF98:AL98)+AT98+AV98+AX98</f>
        <v>10</v>
      </c>
      <c r="AN98" s="86"/>
      <c r="AO98" s="40"/>
      <c r="AP98" s="40"/>
      <c r="AQ98" s="40"/>
      <c r="AR98" s="40">
        <f>SUM(AN98:AQ98)</f>
        <v>0</v>
      </c>
      <c r="AS98" s="40"/>
      <c r="AT98" s="40"/>
      <c r="AU98" s="40"/>
      <c r="AV98" s="40"/>
      <c r="AW98" s="40"/>
      <c r="AX98" s="40"/>
      <c r="AY98" s="40"/>
      <c r="AZ98" s="40"/>
      <c r="BA98" s="40">
        <f>+AR98+AS98+AU98+AW98+AY98+AZ98</f>
        <v>0</v>
      </c>
      <c r="BB98" s="53"/>
      <c r="BC98" s="54">
        <v>3</v>
      </c>
      <c r="BD98" s="54"/>
      <c r="BE98" s="53"/>
      <c r="BF98" s="54"/>
    </row>
    <row r="99" spans="1:58" ht="12.95" customHeight="1">
      <c r="A99" s="43"/>
      <c r="B99" s="44"/>
      <c r="C99" s="460"/>
      <c r="D99" s="44"/>
      <c r="E99" s="45"/>
      <c r="F99" s="45"/>
      <c r="G99" s="511"/>
      <c r="H99" s="47"/>
      <c r="I99" s="48"/>
      <c r="J99" s="85"/>
      <c r="K99" s="85"/>
      <c r="L99" s="38"/>
      <c r="M99" s="38"/>
      <c r="N99" s="49"/>
      <c r="O99" s="50"/>
      <c r="P99" s="51"/>
      <c r="Q99" s="50"/>
      <c r="R99" s="512"/>
      <c r="S99" s="512"/>
      <c r="T99" s="40"/>
      <c r="U99" s="40"/>
      <c r="V99" s="40"/>
      <c r="W99" s="40"/>
      <c r="X99" s="41"/>
      <c r="Y99" s="214"/>
      <c r="Z99" s="40"/>
      <c r="AA99" s="40"/>
      <c r="AB99" s="40"/>
      <c r="AC99" s="40"/>
      <c r="AD99" s="40">
        <f>+AM99+BA99</f>
        <v>15</v>
      </c>
      <c r="AE99" s="233" t="s">
        <v>226</v>
      </c>
      <c r="AF99" s="36"/>
      <c r="AG99" s="36"/>
      <c r="AH99" s="36">
        <v>15</v>
      </c>
      <c r="AI99" s="514"/>
      <c r="AJ99" s="40"/>
      <c r="AK99" s="40"/>
      <c r="AL99" s="40"/>
      <c r="AM99" s="40">
        <f>SUM(AF99:AL99)+AT99+AV99+AX99</f>
        <v>15</v>
      </c>
      <c r="AN99" s="40"/>
      <c r="AO99" s="40"/>
      <c r="AP99" s="40"/>
      <c r="AQ99" s="40"/>
      <c r="AR99" s="40">
        <f>SUM(AN99:AQ99)</f>
        <v>0</v>
      </c>
      <c r="AS99" s="40"/>
      <c r="AT99" s="40"/>
      <c r="AU99" s="40"/>
      <c r="AV99" s="40"/>
      <c r="AW99" s="40"/>
      <c r="AX99" s="40"/>
      <c r="AY99" s="40"/>
      <c r="AZ99" s="40"/>
      <c r="BA99" s="40">
        <f>+AR99+AS99+AU99+AW99+AY99+AZ99</f>
        <v>0</v>
      </c>
      <c r="BB99" s="36"/>
      <c r="BC99" s="515"/>
      <c r="BD99" s="515"/>
      <c r="BE99" s="36"/>
      <c r="BF99" s="515"/>
    </row>
    <row r="100" spans="1:58" ht="12.95" customHeight="1">
      <c r="A100" s="43"/>
      <c r="B100" s="44"/>
      <c r="C100" s="460"/>
      <c r="D100" s="44"/>
      <c r="E100" s="45"/>
      <c r="F100" s="45"/>
      <c r="G100" s="511"/>
      <c r="H100" s="47"/>
      <c r="I100" s="48"/>
      <c r="J100" s="85"/>
      <c r="K100" s="85"/>
      <c r="L100" s="38"/>
      <c r="M100" s="38"/>
      <c r="N100" s="49"/>
      <c r="O100" s="50"/>
      <c r="P100" s="51"/>
      <c r="Q100" s="50"/>
      <c r="R100" s="512"/>
      <c r="S100" s="512"/>
      <c r="T100" s="40"/>
      <c r="U100" s="40"/>
      <c r="V100" s="40"/>
      <c r="W100" s="40"/>
      <c r="X100" s="41"/>
      <c r="Y100" s="214"/>
      <c r="Z100" s="40"/>
      <c r="AA100" s="40"/>
      <c r="AB100" s="40"/>
      <c r="AC100" s="40"/>
      <c r="AD100" s="40"/>
      <c r="AE100" s="233"/>
      <c r="AF100" s="36"/>
      <c r="AG100" s="36"/>
      <c r="AH100" s="36"/>
      <c r="AI100" s="514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36"/>
      <c r="BC100" s="515"/>
      <c r="BD100" s="515"/>
      <c r="BE100" s="36"/>
      <c r="BF100" s="515"/>
    </row>
    <row r="101" spans="1:58" ht="12.95" customHeight="1">
      <c r="A101" s="43">
        <v>45890</v>
      </c>
      <c r="B101" s="44" t="s">
        <v>8</v>
      </c>
      <c r="C101" s="460">
        <f>(M101*E101*O101*Q101)/100000000</f>
        <v>53.901951897599993</v>
      </c>
      <c r="D101" s="44" t="s">
        <v>491</v>
      </c>
      <c r="E101" s="45">
        <v>17</v>
      </c>
      <c r="F101" s="45">
        <v>1</v>
      </c>
      <c r="G101" s="511">
        <v>830</v>
      </c>
      <c r="H101" s="47">
        <v>0.18</v>
      </c>
      <c r="I101" s="48">
        <v>0.88</v>
      </c>
      <c r="J101" s="85">
        <f>E101*G101*(1-H101)*1440/1000000*3.4</f>
        <v>56.647699200000005</v>
      </c>
      <c r="K101" s="85">
        <f>(IF(G101&lt;L101,L101,G101)*(1-IF(H101&lt;N101,H101,N101))*E101*O101*Q101)/100000000</f>
        <v>53.901951897599993</v>
      </c>
      <c r="L101" s="38">
        <v>830</v>
      </c>
      <c r="M101" s="38">
        <f>+L101-L101*0.18</f>
        <v>680.6</v>
      </c>
      <c r="N101" s="49">
        <f>1-(M101/L101)</f>
        <v>0.17999999999999994</v>
      </c>
      <c r="O101" s="50">
        <f>+'Trim Rwd'!H73</f>
        <v>323.52</v>
      </c>
      <c r="P101" s="51">
        <f>O101*(Q101-R101-S101)</f>
        <v>452604.48</v>
      </c>
      <c r="Q101" s="50">
        <v>1440</v>
      </c>
      <c r="R101" s="512">
        <v>0</v>
      </c>
      <c r="S101" s="512">
        <v>41</v>
      </c>
      <c r="T101" s="40">
        <f>E101*M101*O101*Q101/100000000</f>
        <v>53.901951897599993</v>
      </c>
      <c r="U101" s="40">
        <f>E101*M101*O101*(Q101-R101-S101)/100000000</f>
        <v>52.36724354495999</v>
      </c>
      <c r="V101" s="40">
        <f>E101*G101*(1-N101)*O101/100*(R101+S101)/1000000</f>
        <v>1.5347083526399998</v>
      </c>
      <c r="W101" s="40">
        <f>+'21'!K34/1000</f>
        <v>49.95</v>
      </c>
      <c r="X101" s="513">
        <f>SUM(W101:W104)/SUM(K101:K104)</f>
        <v>0.92668258275493076</v>
      </c>
      <c r="Y101" s="214">
        <v>0</v>
      </c>
      <c r="Z101" s="40">
        <v>0</v>
      </c>
      <c r="AA101" s="52">
        <f>SUM(U101:U104)-SUM(W101:W104)-SUM(Z101:Z104)-SUM(Y101:Y104)</f>
        <v>2.4172435449599874</v>
      </c>
      <c r="AB101" s="52">
        <f>(SUM(K101:K104)-SUM(W101:W104)-SUM(Y101:Y104)-SUM(Z101:Z104)-SUM(AC101:AC104)-SUM(V101:V104))-AA101</f>
        <v>0</v>
      </c>
      <c r="AC101" s="40">
        <f>K101-T101</f>
        <v>0</v>
      </c>
      <c r="AD101" s="40">
        <f>+AM101+BA101</f>
        <v>12</v>
      </c>
      <c r="AE101" s="233" t="s">
        <v>523</v>
      </c>
      <c r="AF101" s="40">
        <v>12</v>
      </c>
      <c r="AG101" s="40"/>
      <c r="AH101" s="40"/>
      <c r="AI101" s="514"/>
      <c r="AJ101" s="40"/>
      <c r="AK101" s="40"/>
      <c r="AL101" s="40"/>
      <c r="AM101" s="40">
        <f>SUM(AF101:AL101)+AT101+AV101+AX101</f>
        <v>12</v>
      </c>
      <c r="AN101" s="40"/>
      <c r="AO101" s="40"/>
      <c r="AP101" s="40"/>
      <c r="AQ101" s="40"/>
      <c r="AR101" s="40">
        <f>SUM(AN101:AQ101)</f>
        <v>0</v>
      </c>
      <c r="AS101" s="40"/>
      <c r="AT101" s="40"/>
      <c r="AU101" s="40"/>
      <c r="AV101" s="40"/>
      <c r="AW101" s="40"/>
      <c r="AX101" s="40"/>
      <c r="AY101" s="40"/>
      <c r="AZ101" s="40"/>
      <c r="BA101" s="40">
        <f>+AR101+AS101+AU101+AW101+AY101+AZ101</f>
        <v>0</v>
      </c>
      <c r="BB101" s="36">
        <v>3</v>
      </c>
      <c r="BC101" s="54"/>
      <c r="BD101" s="54"/>
      <c r="BE101" s="36"/>
      <c r="BF101" s="54"/>
    </row>
    <row r="102" spans="1:58" ht="12.95" customHeight="1">
      <c r="A102" s="43"/>
      <c r="B102" s="44"/>
      <c r="C102" s="460"/>
      <c r="D102" s="44"/>
      <c r="E102" s="45"/>
      <c r="F102" s="45"/>
      <c r="G102" s="511"/>
      <c r="H102" s="47"/>
      <c r="I102" s="48"/>
      <c r="J102" s="85"/>
      <c r="K102" s="85"/>
      <c r="L102" s="38"/>
      <c r="M102" s="38"/>
      <c r="N102" s="49"/>
      <c r="O102" s="50"/>
      <c r="P102" s="51"/>
      <c r="Q102" s="50"/>
      <c r="R102" s="512"/>
      <c r="S102" s="512"/>
      <c r="T102" s="40"/>
      <c r="U102" s="40"/>
      <c r="V102" s="40"/>
      <c r="W102" s="40"/>
      <c r="X102" s="41"/>
      <c r="Y102" s="214"/>
      <c r="Z102" s="40"/>
      <c r="AA102" s="40"/>
      <c r="AB102" s="40"/>
      <c r="AC102" s="40"/>
      <c r="AD102" s="40">
        <f>+AM102+BA102</f>
        <v>13</v>
      </c>
      <c r="AE102" s="233" t="s">
        <v>434</v>
      </c>
      <c r="AF102" s="40"/>
      <c r="AG102" s="40">
        <v>13</v>
      </c>
      <c r="AH102" s="40"/>
      <c r="AI102" s="514"/>
      <c r="AJ102" s="40"/>
      <c r="AK102" s="40"/>
      <c r="AL102" s="40"/>
      <c r="AM102" s="40">
        <f>SUM(AF102:AL102)+AT102+AV102+AX102</f>
        <v>13</v>
      </c>
      <c r="AN102" s="86"/>
      <c r="AO102" s="40"/>
      <c r="AP102" s="40"/>
      <c r="AQ102" s="40"/>
      <c r="AR102" s="40">
        <f>SUM(AN102:AQ102)</f>
        <v>0</v>
      </c>
      <c r="AS102" s="40"/>
      <c r="AT102" s="40"/>
      <c r="AU102" s="40"/>
      <c r="AV102" s="40"/>
      <c r="AW102" s="40"/>
      <c r="AX102" s="40"/>
      <c r="AY102" s="40"/>
      <c r="AZ102" s="40"/>
      <c r="BA102" s="40">
        <f>+AR102+AS102+AU102+AW102+AY102+AZ102</f>
        <v>0</v>
      </c>
      <c r="BB102" s="53"/>
      <c r="BC102" s="54">
        <v>2</v>
      </c>
      <c r="BD102" s="54"/>
      <c r="BE102" s="53"/>
      <c r="BF102" s="54"/>
    </row>
    <row r="103" spans="1:58" ht="12.95" customHeight="1">
      <c r="A103" s="43"/>
      <c r="B103" s="44"/>
      <c r="C103" s="460"/>
      <c r="D103" s="44"/>
      <c r="E103" s="45"/>
      <c r="F103" s="45"/>
      <c r="G103" s="511"/>
      <c r="H103" s="47"/>
      <c r="I103" s="48"/>
      <c r="J103" s="85"/>
      <c r="K103" s="85"/>
      <c r="L103" s="38"/>
      <c r="M103" s="38"/>
      <c r="N103" s="49"/>
      <c r="O103" s="50"/>
      <c r="P103" s="51"/>
      <c r="Q103" s="50"/>
      <c r="R103" s="512"/>
      <c r="S103" s="512"/>
      <c r="T103" s="40"/>
      <c r="U103" s="40"/>
      <c r="V103" s="40"/>
      <c r="W103" s="40"/>
      <c r="X103" s="41"/>
      <c r="Y103" s="214"/>
      <c r="Z103" s="40"/>
      <c r="AA103" s="40"/>
      <c r="AB103" s="40"/>
      <c r="AC103" s="40"/>
      <c r="AD103" s="40">
        <f>+AM103+BA103</f>
        <v>16</v>
      </c>
      <c r="AE103" s="233" t="s">
        <v>226</v>
      </c>
      <c r="AF103" s="36"/>
      <c r="AG103" s="36"/>
      <c r="AH103" s="36">
        <v>16</v>
      </c>
      <c r="AI103" s="514"/>
      <c r="AJ103" s="40"/>
      <c r="AK103" s="40"/>
      <c r="AL103" s="40"/>
      <c r="AM103" s="40">
        <f>SUM(AF103:AL103)+AT103+AV103+AX103</f>
        <v>16</v>
      </c>
      <c r="AN103" s="40"/>
      <c r="AO103" s="40"/>
      <c r="AP103" s="40"/>
      <c r="AQ103" s="40"/>
      <c r="AR103" s="40">
        <f>SUM(AN103:AQ103)</f>
        <v>0</v>
      </c>
      <c r="AS103" s="40"/>
      <c r="AT103" s="40"/>
      <c r="AU103" s="40"/>
      <c r="AV103" s="40"/>
      <c r="AW103" s="40"/>
      <c r="AX103" s="40"/>
      <c r="AY103" s="40"/>
      <c r="AZ103" s="40"/>
      <c r="BA103" s="40">
        <f>+AR103+AS103+AU103+AW103+AY103+AZ103</f>
        <v>0</v>
      </c>
      <c r="BB103" s="36"/>
      <c r="BC103" s="515"/>
      <c r="BD103" s="515"/>
      <c r="BE103" s="36"/>
      <c r="BF103" s="515"/>
    </row>
    <row r="104" spans="1:58" ht="12.95" customHeight="1">
      <c r="A104" s="43"/>
      <c r="B104" s="44"/>
      <c r="C104" s="460"/>
      <c r="D104" s="44"/>
      <c r="E104" s="45"/>
      <c r="F104" s="45"/>
      <c r="G104" s="511"/>
      <c r="H104" s="47"/>
      <c r="I104" s="48"/>
      <c r="J104" s="85"/>
      <c r="K104" s="85"/>
      <c r="L104" s="38"/>
      <c r="M104" s="38"/>
      <c r="N104" s="49"/>
      <c r="O104" s="50"/>
      <c r="P104" s="51"/>
      <c r="Q104" s="50"/>
      <c r="R104" s="512"/>
      <c r="S104" s="512"/>
      <c r="T104" s="40"/>
      <c r="U104" s="40"/>
      <c r="V104" s="40"/>
      <c r="W104" s="40"/>
      <c r="X104" s="41"/>
      <c r="Y104" s="214"/>
      <c r="Z104" s="40"/>
      <c r="AA104" s="52"/>
      <c r="AB104" s="52"/>
      <c r="AC104" s="40"/>
      <c r="AD104" s="40"/>
      <c r="AE104" s="233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36"/>
      <c r="BC104" s="54"/>
      <c r="BD104" s="54"/>
      <c r="BE104" s="54"/>
      <c r="BF104" s="54"/>
    </row>
    <row r="105" spans="1:58" ht="12.95" customHeight="1">
      <c r="A105" s="43">
        <v>45891</v>
      </c>
      <c r="B105" s="44" t="s">
        <v>8</v>
      </c>
      <c r="C105" s="460">
        <f>(M105*E105*O105*Q105)/100000000</f>
        <v>38.671067280842102</v>
      </c>
      <c r="D105" s="44" t="s">
        <v>491</v>
      </c>
      <c r="E105" s="45">
        <v>17</v>
      </c>
      <c r="F105" s="45">
        <v>1</v>
      </c>
      <c r="G105" s="511">
        <v>830</v>
      </c>
      <c r="H105" s="47">
        <v>0.18</v>
      </c>
      <c r="I105" s="48">
        <v>0.88</v>
      </c>
      <c r="J105" s="85">
        <f>E105*G105*(1-H105)*1440/1000000*3.4</f>
        <v>56.647699200000005</v>
      </c>
      <c r="K105" s="85">
        <f>(IF(G105&lt;L105,L105,G105)*(1-IF(H105&lt;N105,H105,N105))*E105*O105*Q105)/100000000</f>
        <v>38.671067280842102</v>
      </c>
      <c r="L105" s="38">
        <v>830</v>
      </c>
      <c r="M105" s="38">
        <f>+L105-L105*0.18</f>
        <v>680.6</v>
      </c>
      <c r="N105" s="49">
        <f>1-(M105/L105)</f>
        <v>0.17999999999999994</v>
      </c>
      <c r="O105" s="50">
        <f>+'Trim Rwd'!H76</f>
        <v>321.68421052631578</v>
      </c>
      <c r="P105" s="51">
        <f>O105*(Q105-R105-S105)</f>
        <v>324579.36842105264</v>
      </c>
      <c r="Q105" s="50">
        <v>1039</v>
      </c>
      <c r="R105" s="512">
        <v>0</v>
      </c>
      <c r="S105" s="512">
        <v>30</v>
      </c>
      <c r="T105" s="40">
        <f>E105*M105*O105*Q105/100000000</f>
        <v>38.671067280842102</v>
      </c>
      <c r="U105" s="40">
        <f>E105*M105*O105*(Q105-R105-S105)/100000000</f>
        <v>37.554482085052634</v>
      </c>
      <c r="V105" s="40">
        <f>E105*G105*(1-N105)*O105/100*(R105+S105)/1000000</f>
        <v>1.1165851957894737</v>
      </c>
      <c r="W105" s="40">
        <f>+'22'!K22/1000</f>
        <v>37.634999999999998</v>
      </c>
      <c r="X105" s="513">
        <f>SUM(W105:W108)/SUM(K105:K108)</f>
        <v>0.94399890877308856</v>
      </c>
      <c r="Y105" s="214">
        <v>0</v>
      </c>
      <c r="Z105" s="40">
        <v>0</v>
      </c>
      <c r="AA105" s="52">
        <f>SUM(U105:U108)-SUM(W105:W108)-SUM(Z105:Z108)-SUM(Y105:Y108)</f>
        <v>1.5994249330526316</v>
      </c>
      <c r="AB105" s="52">
        <f>(SUM(K105:K108)-SUM(W105:W108)-SUM(Y105:Y108)-SUM(Z105:Z108)-SUM(AC105:AC108)-SUM(V105:V108))-AA105</f>
        <v>-3.3306690738754696E-15</v>
      </c>
      <c r="AC105" s="40">
        <f>K105-T105</f>
        <v>0</v>
      </c>
      <c r="AD105" s="40">
        <f>+AM105+BA105</f>
        <v>7</v>
      </c>
      <c r="AE105" s="233" t="s">
        <v>586</v>
      </c>
      <c r="AF105" s="40">
        <v>7</v>
      </c>
      <c r="AG105" s="40"/>
      <c r="AH105" s="40"/>
      <c r="AI105" s="514"/>
      <c r="AJ105" s="40"/>
      <c r="AK105" s="40"/>
      <c r="AL105" s="40"/>
      <c r="AM105" s="40">
        <f>SUM(AF105:AL105)+AT105+AV105+AX105</f>
        <v>7</v>
      </c>
      <c r="AN105" s="40"/>
      <c r="AO105" s="40"/>
      <c r="AP105" s="40"/>
      <c r="AQ105" s="40"/>
      <c r="AR105" s="40">
        <f>SUM(AN105:AQ105)</f>
        <v>0</v>
      </c>
      <c r="AS105" s="40"/>
      <c r="AT105" s="40"/>
      <c r="AU105" s="40"/>
      <c r="AV105" s="40"/>
      <c r="AW105" s="40"/>
      <c r="AX105" s="40"/>
      <c r="AY105" s="40"/>
      <c r="AZ105" s="40"/>
      <c r="BA105" s="40">
        <f>+AR105+AS105+AU105+AW105+AY105+AZ105</f>
        <v>0</v>
      </c>
      <c r="BB105" s="36">
        <v>5</v>
      </c>
      <c r="BC105" s="54"/>
      <c r="BD105" s="54"/>
      <c r="BE105" s="36"/>
      <c r="BF105" s="54"/>
    </row>
    <row r="106" spans="1:58" ht="12.95" customHeight="1">
      <c r="A106" s="43"/>
      <c r="B106" s="44" t="s">
        <v>8</v>
      </c>
      <c r="C106" s="460">
        <f>(M106*E106*O106*Q106)/100000000</f>
        <v>14.279205792000001</v>
      </c>
      <c r="D106" s="44" t="s">
        <v>491</v>
      </c>
      <c r="E106" s="45">
        <v>16</v>
      </c>
      <c r="F106" s="45">
        <v>1</v>
      </c>
      <c r="G106" s="511">
        <v>830</v>
      </c>
      <c r="H106" s="47">
        <v>0.18</v>
      </c>
      <c r="I106" s="48">
        <v>0.88</v>
      </c>
      <c r="J106" s="85">
        <f>E106*G106*(1-H106)*1440/1000000*3.4</f>
        <v>53.315481599999998</v>
      </c>
      <c r="K106" s="85">
        <f>(IF(G106&lt;L106,L106,G106)*(1-IF(H106&lt;N106,H106,N106))*E106*O106*Q106)/100000000</f>
        <v>14.279205792000001</v>
      </c>
      <c r="L106" s="38">
        <v>830</v>
      </c>
      <c r="M106" s="38">
        <f>+L106-L106*0.18</f>
        <v>680.6</v>
      </c>
      <c r="N106" s="49">
        <f>1-(M106/L106)</f>
        <v>0.17999999999999994</v>
      </c>
      <c r="O106" s="50">
        <f>+'Trim Rwd'!H78</f>
        <v>327</v>
      </c>
      <c r="P106" s="51">
        <f>O106*(Q106-R106-S106)</f>
        <v>128838</v>
      </c>
      <c r="Q106" s="50">
        <v>401</v>
      </c>
      <c r="R106" s="512">
        <v>0</v>
      </c>
      <c r="S106" s="512">
        <v>7</v>
      </c>
      <c r="T106" s="40">
        <f>E106*M106*O106*Q106/100000000</f>
        <v>14.279205792000001</v>
      </c>
      <c r="U106" s="40">
        <f>E106*M106*O106*(Q106-R106-S106)/100000000</f>
        <v>14.029942848000001</v>
      </c>
      <c r="V106" s="40">
        <f>E106*G106*(1-N106)*O106/100*(R106+S106)/1000000</f>
        <v>0.24926294399999999</v>
      </c>
      <c r="W106" s="40">
        <f>+'22'!K23/1000</f>
        <v>12.35</v>
      </c>
      <c r="X106" s="41"/>
      <c r="Y106" s="214"/>
      <c r="Z106" s="40"/>
      <c r="AA106" s="40"/>
      <c r="AB106" s="40"/>
      <c r="AC106" s="40">
        <f>K106-T106</f>
        <v>0</v>
      </c>
      <c r="AD106" s="40">
        <f>+AM106+BA106</f>
        <v>12</v>
      </c>
      <c r="AE106" s="233" t="s">
        <v>390</v>
      </c>
      <c r="AF106" s="40"/>
      <c r="AG106" s="40">
        <v>12</v>
      </c>
      <c r="AH106" s="40"/>
      <c r="AI106" s="514"/>
      <c r="AJ106" s="40"/>
      <c r="AK106" s="40"/>
      <c r="AL106" s="40"/>
      <c r="AM106" s="40">
        <f>SUM(AF106:AL106)+AT106+AV106+AX106</f>
        <v>12</v>
      </c>
      <c r="AN106" s="86"/>
      <c r="AO106" s="40"/>
      <c r="AP106" s="40"/>
      <c r="AQ106" s="40"/>
      <c r="AR106" s="40">
        <f>SUM(AN106:AQ106)</f>
        <v>0</v>
      </c>
      <c r="AS106" s="40"/>
      <c r="AT106" s="40"/>
      <c r="AU106" s="40"/>
      <c r="AV106" s="40"/>
      <c r="AW106" s="40"/>
      <c r="AX106" s="40"/>
      <c r="AY106" s="40"/>
      <c r="AZ106" s="40"/>
      <c r="BA106" s="40">
        <f>+AR106+AS106+AU106+AW106+AY106+AZ106</f>
        <v>0</v>
      </c>
      <c r="BB106" s="53"/>
      <c r="BC106" s="54">
        <v>3</v>
      </c>
      <c r="BD106" s="54"/>
      <c r="BE106" s="53"/>
      <c r="BF106" s="54"/>
    </row>
    <row r="107" spans="1:58" ht="12.95" customHeight="1">
      <c r="A107" s="43"/>
      <c r="B107" s="44"/>
      <c r="C107" s="460"/>
      <c r="D107" s="44"/>
      <c r="E107" s="45"/>
      <c r="F107" s="45"/>
      <c r="G107" s="511"/>
      <c r="H107" s="47"/>
      <c r="I107" s="48"/>
      <c r="J107" s="85"/>
      <c r="K107" s="85"/>
      <c r="L107" s="38"/>
      <c r="M107" s="38"/>
      <c r="N107" s="49"/>
      <c r="O107" s="50"/>
      <c r="P107" s="51"/>
      <c r="Q107" s="50"/>
      <c r="R107" s="512"/>
      <c r="S107" s="512"/>
      <c r="T107" s="40"/>
      <c r="U107" s="40"/>
      <c r="V107" s="40"/>
      <c r="W107" s="40"/>
      <c r="X107" s="41"/>
      <c r="Y107" s="214"/>
      <c r="Z107" s="40"/>
      <c r="AA107" s="40"/>
      <c r="AB107" s="40"/>
      <c r="AC107" s="40"/>
      <c r="AD107" s="40">
        <f>+AM107+BA107</f>
        <v>14</v>
      </c>
      <c r="AE107" s="233" t="s">
        <v>226</v>
      </c>
      <c r="AF107" s="36"/>
      <c r="AG107" s="36"/>
      <c r="AH107" s="36">
        <v>14</v>
      </c>
      <c r="AI107" s="514"/>
      <c r="AJ107" s="40"/>
      <c r="AK107" s="40"/>
      <c r="AL107" s="40"/>
      <c r="AM107" s="40">
        <f>SUM(AF107:AL107)+AT107+AV107+AX107</f>
        <v>14</v>
      </c>
      <c r="AN107" s="40"/>
      <c r="AO107" s="40"/>
      <c r="AP107" s="40"/>
      <c r="AQ107" s="40"/>
      <c r="AR107" s="40">
        <f>SUM(AN107:AQ107)</f>
        <v>0</v>
      </c>
      <c r="AS107" s="40"/>
      <c r="AT107" s="40"/>
      <c r="AU107" s="40"/>
      <c r="AV107" s="40"/>
      <c r="AW107" s="40"/>
      <c r="AX107" s="40"/>
      <c r="AY107" s="40"/>
      <c r="AZ107" s="40"/>
      <c r="BA107" s="40">
        <f>+AR107+AS107+AU107+AW107+AY107+AZ107</f>
        <v>0</v>
      </c>
      <c r="BB107" s="36"/>
      <c r="BC107" s="515"/>
      <c r="BD107" s="515"/>
      <c r="BE107" s="36"/>
      <c r="BF107" s="515"/>
    </row>
    <row r="108" spans="1:58" ht="12.95" customHeight="1">
      <c r="A108" s="43"/>
      <c r="B108" s="44"/>
      <c r="C108" s="460"/>
      <c r="D108" s="44"/>
      <c r="E108" s="45"/>
      <c r="F108" s="45"/>
      <c r="G108" s="511"/>
      <c r="H108" s="47"/>
      <c r="I108" s="48"/>
      <c r="J108" s="85"/>
      <c r="K108" s="85"/>
      <c r="L108" s="38"/>
      <c r="M108" s="38"/>
      <c r="N108" s="49"/>
      <c r="O108" s="50"/>
      <c r="P108" s="51"/>
      <c r="Q108" s="50"/>
      <c r="R108" s="512"/>
      <c r="S108" s="512"/>
      <c r="T108" s="40"/>
      <c r="U108" s="40"/>
      <c r="V108" s="40"/>
      <c r="W108" s="40"/>
      <c r="X108" s="41"/>
      <c r="Y108" s="214"/>
      <c r="Z108" s="40"/>
      <c r="AA108" s="52"/>
      <c r="AB108" s="52"/>
      <c r="AC108" s="40"/>
      <c r="AD108" s="40">
        <f>+AM108+BA108</f>
        <v>4</v>
      </c>
      <c r="AE108" s="233" t="s">
        <v>447</v>
      </c>
      <c r="AF108" s="40"/>
      <c r="AG108" s="40"/>
      <c r="AH108" s="40"/>
      <c r="AI108" s="40">
        <v>4</v>
      </c>
      <c r="AJ108" s="40"/>
      <c r="AK108" s="40"/>
      <c r="AL108" s="40"/>
      <c r="AM108" s="40">
        <f>SUM(AF108:AL108)+AT108+AV108+AX108</f>
        <v>4</v>
      </c>
      <c r="AN108" s="40"/>
      <c r="AO108" s="40"/>
      <c r="AP108" s="40"/>
      <c r="AQ108" s="40"/>
      <c r="AR108" s="40">
        <f>SUM(AN108:AQ108)</f>
        <v>0</v>
      </c>
      <c r="AS108" s="40"/>
      <c r="AT108" s="40"/>
      <c r="AU108" s="40"/>
      <c r="AV108" s="40"/>
      <c r="AW108" s="40"/>
      <c r="AX108" s="40"/>
      <c r="AY108" s="40"/>
      <c r="AZ108" s="40"/>
      <c r="BA108" s="40">
        <f>+AR108+AS108+AU108+AW108+AY108+AZ108</f>
        <v>0</v>
      </c>
      <c r="BB108" s="36"/>
      <c r="BC108" s="515"/>
      <c r="BD108" s="515"/>
      <c r="BE108" s="36"/>
      <c r="BF108" s="515"/>
    </row>
    <row r="109" spans="1:58" ht="12.95" customHeight="1">
      <c r="A109" s="43"/>
      <c r="B109" s="44"/>
      <c r="C109" s="460"/>
      <c r="D109" s="44"/>
      <c r="E109" s="45"/>
      <c r="F109" s="45"/>
      <c r="G109" s="511"/>
      <c r="H109" s="47"/>
      <c r="I109" s="48"/>
      <c r="J109" s="85"/>
      <c r="K109" s="85"/>
      <c r="L109" s="38"/>
      <c r="M109" s="38"/>
      <c r="N109" s="49"/>
      <c r="O109" s="50"/>
      <c r="P109" s="51"/>
      <c r="Q109" s="50"/>
      <c r="R109" s="512"/>
      <c r="S109" s="512"/>
      <c r="T109" s="40"/>
      <c r="U109" s="40"/>
      <c r="V109" s="40"/>
      <c r="W109" s="40"/>
      <c r="X109" s="513"/>
      <c r="Y109" s="214"/>
      <c r="Z109" s="40"/>
      <c r="AA109" s="52"/>
      <c r="AB109" s="52"/>
      <c r="AC109" s="40"/>
      <c r="AD109" s="40"/>
      <c r="AE109" s="233"/>
      <c r="AF109" s="40"/>
      <c r="AG109" s="40"/>
      <c r="AH109" s="40"/>
      <c r="AI109" s="514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36"/>
      <c r="BC109" s="54"/>
      <c r="BD109" s="54"/>
      <c r="BE109" s="54"/>
      <c r="BF109" s="54"/>
    </row>
    <row r="110" spans="1:58" ht="12.95" customHeight="1">
      <c r="A110" s="43">
        <v>45892</v>
      </c>
      <c r="B110" s="44" t="s">
        <v>8</v>
      </c>
      <c r="C110" s="460">
        <f>(M110*E110*O110*Q110)/100000000</f>
        <v>51.276948480000001</v>
      </c>
      <c r="D110" s="44" t="s">
        <v>491</v>
      </c>
      <c r="E110" s="45">
        <v>16</v>
      </c>
      <c r="F110" s="45">
        <v>1</v>
      </c>
      <c r="G110" s="511">
        <v>830</v>
      </c>
      <c r="H110" s="47">
        <v>0.18</v>
      </c>
      <c r="I110" s="48">
        <v>0.88</v>
      </c>
      <c r="J110" s="85">
        <f>E110*G110*(1-H110)*1440/1000000*3.4</f>
        <v>53.315481599999998</v>
      </c>
      <c r="K110" s="85">
        <f>(IF(G110&lt;L110,L110,G110)*(1-IF(H110&lt;N110,H110,N110))*E110*O110*Q110)/100000000</f>
        <v>51.276948480000001</v>
      </c>
      <c r="L110" s="38">
        <v>830</v>
      </c>
      <c r="M110" s="38">
        <f>+L110-L110*0.18</f>
        <v>680.6</v>
      </c>
      <c r="N110" s="49">
        <f>1-(M110/L110)</f>
        <v>0.17999999999999994</v>
      </c>
      <c r="O110" s="50">
        <f>+'Trim Rwd'!H80</f>
        <v>327</v>
      </c>
      <c r="P110" s="51">
        <f>O110*(Q110-R110-S110)</f>
        <v>461070</v>
      </c>
      <c r="Q110" s="50">
        <v>1440</v>
      </c>
      <c r="R110" s="512">
        <v>0</v>
      </c>
      <c r="S110" s="512">
        <v>30</v>
      </c>
      <c r="T110" s="40">
        <f>E110*M110*O110*Q110/100000000</f>
        <v>51.276948480000001</v>
      </c>
      <c r="U110" s="40">
        <f>E110*M110*O110*(Q110-R110-S110)/100000000</f>
        <v>50.208678720000002</v>
      </c>
      <c r="V110" s="40">
        <f>E110*G110*(1-N110)*O110/100*(R110+S110)/1000000</f>
        <v>1.06826976</v>
      </c>
      <c r="W110" s="40">
        <f>+'23'!K34/1000</f>
        <v>50.241</v>
      </c>
      <c r="X110" s="513">
        <f>SUM(W110:W113)/SUM(K110:K113)</f>
        <v>0.97979699434719558</v>
      </c>
      <c r="Y110" s="214">
        <v>0</v>
      </c>
      <c r="Z110" s="40">
        <f>+'23'!D34/1000</f>
        <v>0.25</v>
      </c>
      <c r="AA110" s="52">
        <f>SUM(U110:U113)-SUM(W110:W113)-SUM(Z110:Z113)-SUM(Y110:Y113)</f>
        <v>-0.2823212799999979</v>
      </c>
      <c r="AB110" s="52">
        <f>(SUM(K110:K113)-SUM(W110:W113)-SUM(Y110:Y113)-SUM(Z110:Z113)-SUM(AC110:AC113)-SUM(V110:V113))-AA110</f>
        <v>0</v>
      </c>
      <c r="AC110" s="40">
        <f>K110-T110</f>
        <v>0</v>
      </c>
      <c r="AD110" s="40">
        <f>+AM110+BA110</f>
        <v>0</v>
      </c>
      <c r="AE110" s="233" t="s">
        <v>391</v>
      </c>
      <c r="AF110" s="40">
        <v>0</v>
      </c>
      <c r="AG110" s="40"/>
      <c r="AH110" s="40"/>
      <c r="AI110" s="514"/>
      <c r="AJ110" s="40"/>
      <c r="AK110" s="40"/>
      <c r="AL110" s="40"/>
      <c r="AM110" s="40">
        <f>SUM(AF110:AL110)+AT110+AV110+AX110</f>
        <v>0</v>
      </c>
      <c r="AN110" s="40"/>
      <c r="AO110" s="40"/>
      <c r="AP110" s="40"/>
      <c r="AQ110" s="40"/>
      <c r="AR110" s="40">
        <f>SUM(AN110:AQ110)</f>
        <v>0</v>
      </c>
      <c r="AS110" s="40"/>
      <c r="AT110" s="40"/>
      <c r="AU110" s="40"/>
      <c r="AV110" s="40"/>
      <c r="AW110" s="40"/>
      <c r="AX110" s="40"/>
      <c r="AY110" s="40"/>
      <c r="AZ110" s="40"/>
      <c r="BA110" s="40">
        <f>+AR110+AS110+AU110+AW110+AY110+AZ110</f>
        <v>0</v>
      </c>
      <c r="BB110" s="36">
        <v>0</v>
      </c>
      <c r="BC110" s="54"/>
      <c r="BD110" s="54"/>
      <c r="BE110" s="36"/>
      <c r="BF110" s="54"/>
    </row>
    <row r="111" spans="1:58" ht="12.95" customHeight="1">
      <c r="A111" s="43"/>
      <c r="B111" s="44"/>
      <c r="C111" s="460"/>
      <c r="D111" s="44"/>
      <c r="E111" s="45"/>
      <c r="F111" s="45"/>
      <c r="G111" s="511"/>
      <c r="H111" s="47"/>
      <c r="I111" s="48"/>
      <c r="J111" s="85"/>
      <c r="K111" s="85"/>
      <c r="L111" s="38"/>
      <c r="M111" s="38"/>
      <c r="N111" s="49"/>
      <c r="O111" s="50"/>
      <c r="P111" s="51"/>
      <c r="Q111" s="50"/>
      <c r="R111" s="512"/>
      <c r="S111" s="512"/>
      <c r="T111" s="40"/>
      <c r="U111" s="40"/>
      <c r="V111" s="40"/>
      <c r="W111" s="40"/>
      <c r="X111" s="41"/>
      <c r="Y111" s="214"/>
      <c r="Z111" s="40"/>
      <c r="AA111" s="40"/>
      <c r="AB111" s="40"/>
      <c r="AC111" s="40"/>
      <c r="AD111" s="40">
        <f>+AM111+BA111</f>
        <v>15</v>
      </c>
      <c r="AE111" s="233" t="s">
        <v>446</v>
      </c>
      <c r="AF111" s="40"/>
      <c r="AG111" s="40">
        <v>15</v>
      </c>
      <c r="AH111" s="40"/>
      <c r="AI111" s="514"/>
      <c r="AJ111" s="40"/>
      <c r="AK111" s="40"/>
      <c r="AL111" s="40"/>
      <c r="AM111" s="40">
        <f>SUM(AF111:AL111)+AT111+AV111+AX111</f>
        <v>15</v>
      </c>
      <c r="AN111" s="86"/>
      <c r="AO111" s="40"/>
      <c r="AP111" s="40"/>
      <c r="AQ111" s="40"/>
      <c r="AR111" s="40">
        <f>SUM(AN111:AQ111)</f>
        <v>0</v>
      </c>
      <c r="AS111" s="40"/>
      <c r="AT111" s="40"/>
      <c r="AU111" s="40"/>
      <c r="AV111" s="40"/>
      <c r="AW111" s="40"/>
      <c r="AX111" s="40"/>
      <c r="AY111" s="40"/>
      <c r="AZ111" s="40"/>
      <c r="BA111" s="40">
        <f>+AR111+AS111+AU111+AW111+AY111+AZ111</f>
        <v>0</v>
      </c>
      <c r="BB111" s="53"/>
      <c r="BC111" s="54">
        <v>5</v>
      </c>
      <c r="BD111" s="54"/>
      <c r="BE111" s="53"/>
      <c r="BF111" s="54"/>
    </row>
    <row r="112" spans="1:58" ht="12.95" customHeight="1">
      <c r="A112" s="43"/>
      <c r="B112" s="44"/>
      <c r="C112" s="460"/>
      <c r="D112" s="44"/>
      <c r="E112" s="45"/>
      <c r="F112" s="45"/>
      <c r="G112" s="511"/>
      <c r="H112" s="47"/>
      <c r="I112" s="48"/>
      <c r="J112" s="85"/>
      <c r="K112" s="85"/>
      <c r="L112" s="38"/>
      <c r="M112" s="38"/>
      <c r="N112" s="49"/>
      <c r="O112" s="50"/>
      <c r="P112" s="51"/>
      <c r="Q112" s="50"/>
      <c r="R112" s="512"/>
      <c r="S112" s="512"/>
      <c r="T112" s="40"/>
      <c r="U112" s="40"/>
      <c r="V112" s="40"/>
      <c r="W112" s="40"/>
      <c r="X112" s="41"/>
      <c r="Y112" s="214"/>
      <c r="Z112" s="40"/>
      <c r="AA112" s="40"/>
      <c r="AB112" s="40"/>
      <c r="AC112" s="40"/>
      <c r="AD112" s="40">
        <f>+AM112+BA112</f>
        <v>15</v>
      </c>
      <c r="AE112" s="233" t="s">
        <v>226</v>
      </c>
      <c r="AF112" s="36"/>
      <c r="AG112" s="36"/>
      <c r="AH112" s="36">
        <v>15</v>
      </c>
      <c r="AI112" s="514"/>
      <c r="AJ112" s="40"/>
      <c r="AK112" s="40"/>
      <c r="AL112" s="40"/>
      <c r="AM112" s="40">
        <f>SUM(AF112:AL112)+AT112+AV112+AX112</f>
        <v>15</v>
      </c>
      <c r="AN112" s="40"/>
      <c r="AO112" s="40"/>
      <c r="AP112" s="40"/>
      <c r="AQ112" s="40"/>
      <c r="AR112" s="40">
        <f>SUM(AN112:AQ112)</f>
        <v>0</v>
      </c>
      <c r="AS112" s="40"/>
      <c r="AT112" s="40"/>
      <c r="AU112" s="40"/>
      <c r="AV112" s="40"/>
      <c r="AW112" s="40"/>
      <c r="AX112" s="40"/>
      <c r="AY112" s="40"/>
      <c r="AZ112" s="40"/>
      <c r="BA112" s="40">
        <f>+AR112+AS112+AU112+AW112+AY112+AZ112</f>
        <v>0</v>
      </c>
      <c r="BB112" s="36"/>
      <c r="BC112" s="515"/>
      <c r="BD112" s="515"/>
      <c r="BE112" s="36"/>
      <c r="BF112" s="515"/>
    </row>
    <row r="113" spans="1:58" ht="12.95" customHeight="1">
      <c r="A113" s="43"/>
      <c r="B113" s="44"/>
      <c r="C113" s="460"/>
      <c r="D113" s="44"/>
      <c r="E113" s="45"/>
      <c r="F113" s="45"/>
      <c r="G113" s="511"/>
      <c r="H113" s="47"/>
      <c r="I113" s="48"/>
      <c r="J113" s="85"/>
      <c r="K113" s="85"/>
      <c r="L113" s="38"/>
      <c r="M113" s="38"/>
      <c r="N113" s="49"/>
      <c r="O113" s="50"/>
      <c r="P113" s="51"/>
      <c r="Q113" s="50"/>
      <c r="R113" s="512"/>
      <c r="S113" s="512"/>
      <c r="T113" s="40"/>
      <c r="U113" s="40"/>
      <c r="V113" s="40"/>
      <c r="W113" s="40"/>
      <c r="X113" s="41"/>
      <c r="Y113" s="214"/>
      <c r="Z113" s="40"/>
      <c r="AA113" s="52"/>
      <c r="AB113" s="52"/>
      <c r="AC113" s="40"/>
      <c r="AD113" s="40"/>
      <c r="AE113" s="233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36"/>
      <c r="BC113" s="515"/>
      <c r="BD113" s="515"/>
      <c r="BE113" s="36"/>
      <c r="BF113" s="515"/>
    </row>
    <row r="114" spans="1:58" ht="12.95" customHeight="1">
      <c r="A114" s="43">
        <v>45893</v>
      </c>
      <c r="B114" s="44" t="s">
        <v>8</v>
      </c>
      <c r="C114" s="460">
        <f>(M114*E114*O114*Q114)/100000000</f>
        <v>51.355353600000001</v>
      </c>
      <c r="D114" s="44" t="s">
        <v>491</v>
      </c>
      <c r="E114" s="45">
        <v>16</v>
      </c>
      <c r="F114" s="45">
        <v>1</v>
      </c>
      <c r="G114" s="511">
        <v>830</v>
      </c>
      <c r="H114" s="47">
        <v>0.18</v>
      </c>
      <c r="I114" s="48">
        <v>0.88</v>
      </c>
      <c r="J114" s="85">
        <f>E114*G114*(1-H114)*1440/1000000*3.4</f>
        <v>53.315481599999998</v>
      </c>
      <c r="K114" s="85">
        <f>(IF(G114&lt;L114,L114,G114)*(1-IF(H114&lt;N114,H114,N114))*E114*O114*Q114)/100000000</f>
        <v>51.355353600000001</v>
      </c>
      <c r="L114" s="38">
        <v>830</v>
      </c>
      <c r="M114" s="38">
        <f>+L114-L114*0.18</f>
        <v>680.6</v>
      </c>
      <c r="N114" s="49">
        <f>1-(M114/L114)</f>
        <v>0.17999999999999994</v>
      </c>
      <c r="O114" s="50">
        <f>+'Trim Rwd'!H82</f>
        <v>327.5</v>
      </c>
      <c r="P114" s="51">
        <f>O114*(Q114-R114-S114)</f>
        <v>465705</v>
      </c>
      <c r="Q114" s="50">
        <v>1440</v>
      </c>
      <c r="R114" s="512">
        <v>0</v>
      </c>
      <c r="S114" s="512">
        <v>18</v>
      </c>
      <c r="T114" s="40">
        <f>E114*M114*O114*Q114/100000000</f>
        <v>51.355353600000001</v>
      </c>
      <c r="U114" s="40">
        <f>E114*M114*O114*(Q114-R114-S114)/100000000</f>
        <v>50.71341168</v>
      </c>
      <c r="V114" s="40">
        <f>E114*G114*(1-N114)*O114/100*(R114+S114)/1000000</f>
        <v>0.64194192000000005</v>
      </c>
      <c r="W114" s="40">
        <f>+'24'!K34/1000</f>
        <v>51.228999999999999</v>
      </c>
      <c r="X114" s="513">
        <f>SUM(W114:W117)/SUM(K114:K117)</f>
        <v>0.99753962165299936</v>
      </c>
      <c r="Y114" s="214">
        <v>0</v>
      </c>
      <c r="Z114" s="40">
        <v>0</v>
      </c>
      <c r="AA114" s="52">
        <f>SUM(U114:U117)-SUM(W114:W117)-SUM(Z114:Z117)-SUM(Y114:Y117)</f>
        <v>-0.5155883199999991</v>
      </c>
      <c r="AB114" s="52">
        <f>(SUM(K114:K117)-SUM(W114:W117)-SUM(Y114:Y117)-SUM(Z114:Z117)-SUM(AC114:AC117)-SUM(V114:V117))-AA114</f>
        <v>0</v>
      </c>
      <c r="AC114" s="40">
        <f>K114-T114</f>
        <v>0</v>
      </c>
      <c r="AD114" s="40">
        <f>+AM114+BA114</f>
        <v>0</v>
      </c>
      <c r="AE114" s="233" t="s">
        <v>391</v>
      </c>
      <c r="AF114" s="40">
        <v>0</v>
      </c>
      <c r="AG114" s="40"/>
      <c r="AH114" s="40"/>
      <c r="AI114" s="514"/>
      <c r="AJ114" s="40"/>
      <c r="AK114" s="40"/>
      <c r="AL114" s="40"/>
      <c r="AM114" s="40">
        <f>SUM(AF114:AL114)+AT114+AV114+AX114</f>
        <v>0</v>
      </c>
      <c r="AN114" s="40"/>
      <c r="AO114" s="40"/>
      <c r="AP114" s="40"/>
      <c r="AQ114" s="40"/>
      <c r="AR114" s="40">
        <f>SUM(AN114:AQ114)</f>
        <v>0</v>
      </c>
      <c r="AS114" s="40"/>
      <c r="AT114" s="40"/>
      <c r="AU114" s="40"/>
      <c r="AV114" s="40"/>
      <c r="AW114" s="40"/>
      <c r="AX114" s="40"/>
      <c r="AY114" s="40"/>
      <c r="AZ114" s="40"/>
      <c r="BA114" s="40">
        <f>+AR114+AS114+AU114+AW114+AY114+AZ114</f>
        <v>0</v>
      </c>
      <c r="BB114" s="36">
        <v>0</v>
      </c>
      <c r="BC114" s="54"/>
      <c r="BD114" s="54"/>
      <c r="BE114" s="36"/>
      <c r="BF114" s="54"/>
    </row>
    <row r="115" spans="1:58" ht="12.95" customHeight="1">
      <c r="A115" s="43"/>
      <c r="B115" s="44"/>
      <c r="C115" s="460"/>
      <c r="D115" s="44"/>
      <c r="E115" s="45"/>
      <c r="F115" s="45"/>
      <c r="G115" s="511"/>
      <c r="H115" s="47"/>
      <c r="I115" s="48"/>
      <c r="J115" s="85"/>
      <c r="K115" s="85"/>
      <c r="L115" s="38"/>
      <c r="M115" s="38"/>
      <c r="N115" s="49"/>
      <c r="O115" s="50"/>
      <c r="P115" s="51"/>
      <c r="Q115" s="50"/>
      <c r="R115" s="512"/>
      <c r="S115" s="512"/>
      <c r="T115" s="40"/>
      <c r="U115" s="40"/>
      <c r="V115" s="40"/>
      <c r="W115" s="40"/>
      <c r="X115" s="41"/>
      <c r="Y115" s="214"/>
      <c r="Z115" s="40"/>
      <c r="AA115" s="40"/>
      <c r="AB115" s="40"/>
      <c r="AC115" s="40"/>
      <c r="AD115" s="40">
        <f>+AM115+BA115</f>
        <v>5</v>
      </c>
      <c r="AE115" s="233" t="s">
        <v>434</v>
      </c>
      <c r="AF115" s="40"/>
      <c r="AG115" s="40">
        <v>5</v>
      </c>
      <c r="AH115" s="40"/>
      <c r="AI115" s="514"/>
      <c r="AJ115" s="40"/>
      <c r="AK115" s="40"/>
      <c r="AL115" s="40"/>
      <c r="AM115" s="40">
        <f>SUM(AF115:AL115)+AT115+AV115+AX115</f>
        <v>5</v>
      </c>
      <c r="AN115" s="86"/>
      <c r="AO115" s="40"/>
      <c r="AP115" s="40"/>
      <c r="AQ115" s="40"/>
      <c r="AR115" s="40">
        <f>SUM(AN115:AQ115)</f>
        <v>0</v>
      </c>
      <c r="AS115" s="40"/>
      <c r="AT115" s="40"/>
      <c r="AU115" s="40"/>
      <c r="AV115" s="40"/>
      <c r="AW115" s="40"/>
      <c r="AX115" s="40"/>
      <c r="AY115" s="40"/>
      <c r="AZ115" s="40"/>
      <c r="BA115" s="40">
        <f>+AR115+AS115+AU115+AW115+AY115+AZ115</f>
        <v>0</v>
      </c>
      <c r="BB115" s="53"/>
      <c r="BC115" s="54">
        <v>2</v>
      </c>
      <c r="BD115" s="54"/>
      <c r="BE115" s="53"/>
      <c r="BF115" s="54"/>
    </row>
    <row r="116" spans="1:58" ht="12.95" customHeight="1">
      <c r="A116" s="43"/>
      <c r="B116" s="44"/>
      <c r="C116" s="460"/>
      <c r="D116" s="44"/>
      <c r="E116" s="45"/>
      <c r="F116" s="45"/>
      <c r="G116" s="511"/>
      <c r="H116" s="47"/>
      <c r="I116" s="48"/>
      <c r="J116" s="85"/>
      <c r="K116" s="85"/>
      <c r="L116" s="38"/>
      <c r="M116" s="38"/>
      <c r="N116" s="49"/>
      <c r="O116" s="50"/>
      <c r="P116" s="51"/>
      <c r="Q116" s="50"/>
      <c r="R116" s="512"/>
      <c r="S116" s="512"/>
      <c r="T116" s="40"/>
      <c r="U116" s="40"/>
      <c r="V116" s="40"/>
      <c r="W116" s="40"/>
      <c r="X116" s="41"/>
      <c r="Y116" s="214"/>
      <c r="Z116" s="40"/>
      <c r="AA116" s="40"/>
      <c r="AB116" s="40"/>
      <c r="AC116" s="40"/>
      <c r="AD116" s="40">
        <f>+AM116+BA116</f>
        <v>13</v>
      </c>
      <c r="AE116" s="233" t="s">
        <v>226</v>
      </c>
      <c r="AF116" s="36"/>
      <c r="AG116" s="36"/>
      <c r="AH116" s="36">
        <v>13</v>
      </c>
      <c r="AI116" s="514"/>
      <c r="AJ116" s="40"/>
      <c r="AK116" s="40"/>
      <c r="AL116" s="40"/>
      <c r="AM116" s="40">
        <f>SUM(AF116:AL116)+AT116+AV116+AX116</f>
        <v>13</v>
      </c>
      <c r="AN116" s="40"/>
      <c r="AO116" s="40"/>
      <c r="AP116" s="40"/>
      <c r="AQ116" s="40"/>
      <c r="AR116" s="40">
        <f>SUM(AN116:AQ116)</f>
        <v>0</v>
      </c>
      <c r="AS116" s="40"/>
      <c r="AT116" s="40"/>
      <c r="AU116" s="40"/>
      <c r="AV116" s="40"/>
      <c r="AW116" s="40"/>
      <c r="AX116" s="40"/>
      <c r="AY116" s="40"/>
      <c r="AZ116" s="40"/>
      <c r="BA116" s="40">
        <f>+AR116+AS116+AU116+AW116+AY116+AZ116</f>
        <v>0</v>
      </c>
      <c r="BB116" s="36"/>
      <c r="BC116" s="515"/>
      <c r="BD116" s="515"/>
      <c r="BE116" s="36"/>
      <c r="BF116" s="515"/>
    </row>
    <row r="117" spans="1:58" ht="12.95" customHeight="1">
      <c r="A117" s="43"/>
      <c r="B117" s="44"/>
      <c r="C117" s="460"/>
      <c r="D117" s="44"/>
      <c r="E117" s="45"/>
      <c r="F117" s="45"/>
      <c r="G117" s="511"/>
      <c r="H117" s="47"/>
      <c r="I117" s="48"/>
      <c r="J117" s="85"/>
      <c r="K117" s="85"/>
      <c r="L117" s="38"/>
      <c r="M117" s="38"/>
      <c r="N117" s="49"/>
      <c r="O117" s="50"/>
      <c r="P117" s="51"/>
      <c r="Q117" s="50"/>
      <c r="R117" s="512"/>
      <c r="S117" s="512"/>
      <c r="T117" s="40"/>
      <c r="U117" s="40"/>
      <c r="V117" s="40"/>
      <c r="W117" s="40"/>
      <c r="X117" s="41"/>
      <c r="Y117" s="214"/>
      <c r="Z117" s="40"/>
      <c r="AA117" s="52"/>
      <c r="AB117" s="52"/>
      <c r="AC117" s="40"/>
      <c r="AD117" s="40"/>
      <c r="AE117" s="233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36"/>
      <c r="BC117" s="515"/>
      <c r="BD117" s="515"/>
      <c r="BE117" s="36"/>
      <c r="BF117" s="515"/>
    </row>
    <row r="118" spans="1:58" ht="12.95" customHeight="1">
      <c r="A118" s="43">
        <v>45894</v>
      </c>
      <c r="B118" s="44" t="s">
        <v>8</v>
      </c>
      <c r="C118" s="460">
        <f>(M118*E118*O118*Q118)/100000000</f>
        <v>15.001512959999999</v>
      </c>
      <c r="D118" s="44" t="s">
        <v>491</v>
      </c>
      <c r="E118" s="45">
        <v>16</v>
      </c>
      <c r="F118" s="45">
        <v>1</v>
      </c>
      <c r="G118" s="511">
        <v>830</v>
      </c>
      <c r="H118" s="47">
        <v>0.18</v>
      </c>
      <c r="I118" s="48">
        <v>0.88</v>
      </c>
      <c r="J118" s="85">
        <f>E118*G118*(1-H118)*1440/1000000*3.4</f>
        <v>53.315481599999998</v>
      </c>
      <c r="K118" s="85">
        <f>(IF(G118&lt;L118,L118,G118)*(1-IF(H118&lt;N118,H118,N118))*E118*O118*Q118)/100000000</f>
        <v>15.001512959999999</v>
      </c>
      <c r="L118" s="38">
        <v>830</v>
      </c>
      <c r="M118" s="38">
        <f>+L118-L118*0.18</f>
        <v>680.6</v>
      </c>
      <c r="N118" s="49">
        <f>1-(M118/L118)</f>
        <v>0.17999999999999994</v>
      </c>
      <c r="O118" s="50">
        <f>+'Trim Rwd'!H85</f>
        <v>328</v>
      </c>
      <c r="P118" s="51">
        <f>O118*(Q118-R118-S118)</f>
        <v>134152</v>
      </c>
      <c r="Q118" s="50">
        <v>420</v>
      </c>
      <c r="R118" s="512">
        <v>0</v>
      </c>
      <c r="S118" s="512">
        <v>11</v>
      </c>
      <c r="T118" s="40">
        <f>E118*M118*O118*Q118/100000000</f>
        <v>15.001512959999999</v>
      </c>
      <c r="U118" s="40">
        <f>E118*M118*O118*(Q118-R118-S118)/100000000</f>
        <v>14.608616192000001</v>
      </c>
      <c r="V118" s="40">
        <f>E118*G118*(1-N118)*O118/100*(R118+S118)/1000000</f>
        <v>0.39289676800000006</v>
      </c>
      <c r="W118" s="40">
        <f>+'25'!K23/1000</f>
        <v>16.791</v>
      </c>
      <c r="X118" s="513">
        <f>SUM(W118:W121)/SUM(K118:K121)</f>
        <v>0.95069706337270021</v>
      </c>
      <c r="Y118" s="214">
        <v>0</v>
      </c>
      <c r="Z118" s="40">
        <v>0</v>
      </c>
      <c r="AA118" s="52">
        <f>SUM(U118:U121)-SUM(W118:W121)-SUM(Z118:Z121)-SUM(Y118:Y121)</f>
        <v>1.9923722479999952</v>
      </c>
      <c r="AB118" s="52">
        <f>(SUM(K118:K121)-SUM(W118:W121)-SUM(Y118:Y121)-SUM(Z118:Z121)-SUM(AC118:AC121)-SUM(V118:V121))-AA118</f>
        <v>2.6645352591003757E-15</v>
      </c>
      <c r="AC118" s="40">
        <f>K118-T118</f>
        <v>0</v>
      </c>
      <c r="AD118" s="40">
        <f>+AM118+BA118</f>
        <v>3</v>
      </c>
      <c r="AE118" s="233" t="s">
        <v>435</v>
      </c>
      <c r="AF118" s="40">
        <v>3</v>
      </c>
      <c r="AG118" s="40"/>
      <c r="AH118" s="40"/>
      <c r="AI118" s="514"/>
      <c r="AJ118" s="40"/>
      <c r="AK118" s="40"/>
      <c r="AL118" s="40"/>
      <c r="AM118" s="40">
        <f>SUM(AF118:AL118)+AT118+AV118+AX118</f>
        <v>3</v>
      </c>
      <c r="AN118" s="40"/>
      <c r="AO118" s="40"/>
      <c r="AP118" s="40"/>
      <c r="AQ118" s="40"/>
      <c r="AR118" s="40">
        <f>SUM(AN118:AQ118)</f>
        <v>0</v>
      </c>
      <c r="AS118" s="40"/>
      <c r="AT118" s="40"/>
      <c r="AU118" s="40"/>
      <c r="AV118" s="40"/>
      <c r="AW118" s="40"/>
      <c r="AX118" s="40"/>
      <c r="AY118" s="40"/>
      <c r="AZ118" s="40"/>
      <c r="BA118" s="40">
        <f>+AR118+AS118+AU118+AW118+AY118+AZ118</f>
        <v>0</v>
      </c>
      <c r="BB118" s="36">
        <v>1</v>
      </c>
      <c r="BC118" s="54"/>
      <c r="BD118" s="54"/>
      <c r="BE118" s="36"/>
      <c r="BF118" s="54"/>
    </row>
    <row r="119" spans="1:58" ht="12.95" customHeight="1">
      <c r="A119" s="43"/>
      <c r="B119" s="44" t="s">
        <v>8</v>
      </c>
      <c r="C119" s="460">
        <f>(M119*E119*O119*Q119)/100000000</f>
        <v>42.723499680000003</v>
      </c>
      <c r="D119" s="44" t="s">
        <v>491</v>
      </c>
      <c r="E119" s="45">
        <v>18</v>
      </c>
      <c r="F119" s="45">
        <v>1</v>
      </c>
      <c r="G119" s="511">
        <v>830</v>
      </c>
      <c r="H119" s="47">
        <v>0.14000000000000001</v>
      </c>
      <c r="I119" s="48">
        <v>0.88</v>
      </c>
      <c r="J119" s="85">
        <f>E119*G119*(1-H119)*1440/1000000*3.4</f>
        <v>62.905766399999997</v>
      </c>
      <c r="K119" s="85">
        <f>(IF(G119&lt;L119,L119,G119)*(1-IF(H119&lt;N119,H119,N119))*E119*O119*Q119)/100000000</f>
        <v>42.723499680000003</v>
      </c>
      <c r="L119" s="38">
        <v>830</v>
      </c>
      <c r="M119" s="38">
        <f>+L119-L119*0.14</f>
        <v>713.8</v>
      </c>
      <c r="N119" s="49">
        <f>1-(M119/L119)</f>
        <v>0.14000000000000001</v>
      </c>
      <c r="O119" s="50">
        <f>+'Trim Rwd'!H86</f>
        <v>326</v>
      </c>
      <c r="P119" s="51">
        <f>O119*(Q119-R119-S119)</f>
        <v>328934</v>
      </c>
      <c r="Q119" s="50">
        <v>1020</v>
      </c>
      <c r="R119" s="512">
        <v>0</v>
      </c>
      <c r="S119" s="512">
        <v>11</v>
      </c>
      <c r="T119" s="40">
        <f>E119*M119*O119*Q119/100000000</f>
        <v>42.723499680000003</v>
      </c>
      <c r="U119" s="40">
        <f>E119*M119*O119*(Q119-R119-S119)/100000000</f>
        <v>42.262756056000001</v>
      </c>
      <c r="V119" s="40">
        <f>E119*G119*(1-N119)*O119/100*(R119+S119)/1000000</f>
        <v>0.46074362400000002</v>
      </c>
      <c r="W119" s="40">
        <f>+'25'!K24/1000</f>
        <v>38.088000000000001</v>
      </c>
      <c r="X119" s="41"/>
      <c r="Y119" s="214"/>
      <c r="Z119" s="40"/>
      <c r="AA119" s="40"/>
      <c r="AB119" s="40"/>
      <c r="AC119" s="40">
        <f>K119-T119</f>
        <v>0</v>
      </c>
      <c r="AD119" s="40">
        <f>+AM119+BA119</f>
        <v>5</v>
      </c>
      <c r="AE119" s="233" t="s">
        <v>434</v>
      </c>
      <c r="AF119" s="40"/>
      <c r="AG119" s="40">
        <v>5</v>
      </c>
      <c r="AH119" s="40"/>
      <c r="AI119" s="514"/>
      <c r="AJ119" s="40"/>
      <c r="AK119" s="40"/>
      <c r="AL119" s="40"/>
      <c r="AM119" s="40">
        <f>SUM(AF119:AL119)+AT119+AV119+AX119</f>
        <v>5</v>
      </c>
      <c r="AN119" s="86"/>
      <c r="AO119" s="40"/>
      <c r="AP119" s="40"/>
      <c r="AQ119" s="40"/>
      <c r="AR119" s="40">
        <f>SUM(AN119:AQ119)</f>
        <v>0</v>
      </c>
      <c r="AS119" s="40"/>
      <c r="AT119" s="40"/>
      <c r="AU119" s="40"/>
      <c r="AV119" s="40"/>
      <c r="AW119" s="40"/>
      <c r="AX119" s="40"/>
      <c r="AY119" s="40"/>
      <c r="AZ119" s="40"/>
      <c r="BA119" s="40">
        <f>+AR119+AS119+AU119+AW119+AY119+AZ119</f>
        <v>0</v>
      </c>
      <c r="BB119" s="53"/>
      <c r="BC119" s="54">
        <v>2</v>
      </c>
      <c r="BD119" s="54"/>
      <c r="BE119" s="53"/>
      <c r="BF119" s="54"/>
    </row>
    <row r="120" spans="1:58" ht="12.95" customHeight="1">
      <c r="A120" s="43"/>
      <c r="B120" s="44"/>
      <c r="C120" s="460"/>
      <c r="D120" s="44"/>
      <c r="E120" s="45"/>
      <c r="F120" s="45"/>
      <c r="G120" s="511"/>
      <c r="H120" s="47"/>
      <c r="I120" s="48"/>
      <c r="J120" s="85"/>
      <c r="K120" s="85"/>
      <c r="L120" s="38"/>
      <c r="M120" s="38"/>
      <c r="N120" s="49"/>
      <c r="O120" s="50"/>
      <c r="P120" s="51"/>
      <c r="Q120" s="50"/>
      <c r="R120" s="512"/>
      <c r="S120" s="512"/>
      <c r="T120" s="40"/>
      <c r="U120" s="40"/>
      <c r="V120" s="40"/>
      <c r="W120" s="40"/>
      <c r="X120" s="41"/>
      <c r="Y120" s="214"/>
      <c r="Z120" s="40"/>
      <c r="AA120" s="40"/>
      <c r="AB120" s="40"/>
      <c r="AC120" s="40"/>
      <c r="AD120" s="40">
        <f>+AM120+BA120</f>
        <v>9</v>
      </c>
      <c r="AE120" s="233" t="s">
        <v>226</v>
      </c>
      <c r="AF120" s="36"/>
      <c r="AG120" s="36"/>
      <c r="AH120" s="36">
        <v>9</v>
      </c>
      <c r="AI120" s="514"/>
      <c r="AJ120" s="40"/>
      <c r="AK120" s="40"/>
      <c r="AL120" s="40"/>
      <c r="AM120" s="40">
        <f>SUM(AF120:AL120)+AT120+AV120+AX120</f>
        <v>9</v>
      </c>
      <c r="AN120" s="40"/>
      <c r="AO120" s="40"/>
      <c r="AP120" s="40"/>
      <c r="AQ120" s="40"/>
      <c r="AR120" s="40">
        <f>SUM(AN120:AQ120)</f>
        <v>0</v>
      </c>
      <c r="AS120" s="40"/>
      <c r="AT120" s="40"/>
      <c r="AU120" s="40"/>
      <c r="AV120" s="40"/>
      <c r="AW120" s="40"/>
      <c r="AX120" s="40"/>
      <c r="AY120" s="40"/>
      <c r="AZ120" s="40"/>
      <c r="BA120" s="40">
        <f>+AR120+AS120+AU120+AW120+AY120+AZ120</f>
        <v>0</v>
      </c>
      <c r="BB120" s="36"/>
      <c r="BC120" s="515"/>
      <c r="BD120" s="515"/>
      <c r="BE120" s="36"/>
      <c r="BF120" s="515"/>
    </row>
    <row r="121" spans="1:58" ht="12.95" customHeight="1">
      <c r="A121" s="43"/>
      <c r="B121" s="44"/>
      <c r="C121" s="460"/>
      <c r="D121" s="44"/>
      <c r="E121" s="45"/>
      <c r="F121" s="45"/>
      <c r="G121" s="511"/>
      <c r="H121" s="47"/>
      <c r="I121" s="48"/>
      <c r="J121" s="85"/>
      <c r="K121" s="85"/>
      <c r="L121" s="38"/>
      <c r="M121" s="38"/>
      <c r="N121" s="49"/>
      <c r="O121" s="50"/>
      <c r="P121" s="51"/>
      <c r="Q121" s="50"/>
      <c r="R121" s="512"/>
      <c r="S121" s="512"/>
      <c r="T121" s="40"/>
      <c r="U121" s="40"/>
      <c r="V121" s="40"/>
      <c r="W121" s="40"/>
      <c r="X121" s="41"/>
      <c r="Y121" s="214"/>
      <c r="Z121" s="40"/>
      <c r="AA121" s="40"/>
      <c r="AB121" s="40"/>
      <c r="AC121" s="40"/>
      <c r="AD121" s="40">
        <f>+AM121+BA121</f>
        <v>5</v>
      </c>
      <c r="AE121" s="233" t="s">
        <v>447</v>
      </c>
      <c r="AF121" s="40"/>
      <c r="AG121" s="40"/>
      <c r="AH121" s="40"/>
      <c r="AI121" s="514">
        <v>5</v>
      </c>
      <c r="AJ121" s="40"/>
      <c r="AK121" s="40"/>
      <c r="AL121" s="40"/>
      <c r="AM121" s="40">
        <f>SUM(AF121:AL121)+AT121+AV121+AX121</f>
        <v>5</v>
      </c>
      <c r="AN121" s="40"/>
      <c r="AO121" s="40"/>
      <c r="AP121" s="40"/>
      <c r="AQ121" s="40"/>
      <c r="AR121" s="40">
        <f>SUM(AN121:AQ121)</f>
        <v>0</v>
      </c>
      <c r="AS121" s="40"/>
      <c r="AT121" s="40"/>
      <c r="AU121" s="40"/>
      <c r="AV121" s="40"/>
      <c r="AW121" s="40"/>
      <c r="AX121" s="40"/>
      <c r="AY121" s="40"/>
      <c r="AZ121" s="40"/>
      <c r="BA121" s="40">
        <f>+AR121+AS121+AU121+AW121+AY121+AZ121</f>
        <v>0</v>
      </c>
      <c r="BB121" s="36"/>
      <c r="BC121" s="515"/>
      <c r="BD121" s="515"/>
      <c r="BE121" s="36"/>
      <c r="BF121" s="515"/>
    </row>
    <row r="122" spans="1:58" ht="12.95" customHeight="1">
      <c r="A122" s="43"/>
      <c r="B122" s="44"/>
      <c r="C122" s="460"/>
      <c r="D122" s="44"/>
      <c r="E122" s="45"/>
      <c r="F122" s="45"/>
      <c r="G122" s="511"/>
      <c r="H122" s="47"/>
      <c r="I122" s="48"/>
      <c r="J122" s="85"/>
      <c r="K122" s="85"/>
      <c r="L122" s="38"/>
      <c r="M122" s="38"/>
      <c r="N122" s="49"/>
      <c r="O122" s="50"/>
      <c r="P122" s="51"/>
      <c r="Q122" s="50"/>
      <c r="R122" s="512"/>
      <c r="S122" s="512"/>
      <c r="T122" s="40"/>
      <c r="U122" s="40"/>
      <c r="V122" s="40"/>
      <c r="W122" s="40"/>
      <c r="X122" s="41"/>
      <c r="Y122" s="214"/>
      <c r="Z122" s="40"/>
      <c r="AA122" s="40"/>
      <c r="AB122" s="40"/>
      <c r="AC122" s="40"/>
      <c r="AD122" s="40"/>
      <c r="AE122" s="233"/>
      <c r="AF122" s="36"/>
      <c r="AG122" s="36"/>
      <c r="AH122" s="36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36"/>
      <c r="BC122" s="515"/>
      <c r="BD122" s="54"/>
      <c r="BE122" s="54"/>
      <c r="BF122" s="54"/>
    </row>
    <row r="123" spans="1:58" ht="12.95" customHeight="1">
      <c r="A123" s="43">
        <v>45895</v>
      </c>
      <c r="B123" s="44" t="s">
        <v>8</v>
      </c>
      <c r="C123" s="460">
        <f>(M123*E123*O123*Q123)/100000000</f>
        <v>60.315528960000002</v>
      </c>
      <c r="D123" s="44" t="s">
        <v>491</v>
      </c>
      <c r="E123" s="45">
        <v>18</v>
      </c>
      <c r="F123" s="45">
        <v>1</v>
      </c>
      <c r="G123" s="511">
        <v>830</v>
      </c>
      <c r="H123" s="47">
        <v>0.14000000000000001</v>
      </c>
      <c r="I123" s="48">
        <v>0.88</v>
      </c>
      <c r="J123" s="85">
        <f>E123*G123*(1-H123)*1440/1000000*3.4</f>
        <v>62.905766399999997</v>
      </c>
      <c r="K123" s="85">
        <f>(IF(G123&lt;L123,L123,G123)*(1-IF(H123&lt;N123,H123,N123))*E123*O123*Q123)/100000000</f>
        <v>60.315528960000002</v>
      </c>
      <c r="L123" s="38">
        <v>830</v>
      </c>
      <c r="M123" s="38">
        <f>+L123-L123*0.14</f>
        <v>713.8</v>
      </c>
      <c r="N123" s="49">
        <f>1-(M123/L123)</f>
        <v>0.14000000000000001</v>
      </c>
      <c r="O123" s="50">
        <f>+'Trim Rwd'!H88</f>
        <v>326</v>
      </c>
      <c r="P123" s="51">
        <f>O123*(Q123-R123-S123)</f>
        <v>460312</v>
      </c>
      <c r="Q123" s="50">
        <v>1440</v>
      </c>
      <c r="R123" s="512">
        <v>0</v>
      </c>
      <c r="S123" s="512">
        <v>28</v>
      </c>
      <c r="T123" s="40">
        <f>E123*M123*O123*Q123/100000000</f>
        <v>60.315528960000002</v>
      </c>
      <c r="U123" s="40">
        <f>E123*M123*O123*(Q123-R123-S123)/100000000</f>
        <v>59.142727008000001</v>
      </c>
      <c r="V123" s="40">
        <f>E123*G123*(1-N123)*O123/100*(R123+S123)/1000000</f>
        <v>1.1728019520000001</v>
      </c>
      <c r="W123" s="40">
        <f>+'26'!K34/1000</f>
        <v>57.335000000000001</v>
      </c>
      <c r="X123" s="513">
        <f>SUM(W123:W126)/SUM(K123:K126)</f>
        <v>0.95058438496035369</v>
      </c>
      <c r="Y123" s="214">
        <v>0</v>
      </c>
      <c r="Z123" s="40">
        <v>0</v>
      </c>
      <c r="AA123" s="52">
        <f>SUM(U123:U126)-SUM(W123:W126)-SUM(Z123:Z126)-SUM(Y123:Y126)</f>
        <v>1.8077270080000005</v>
      </c>
      <c r="AB123" s="52">
        <f>(SUM(K123:K126)-SUM(W123:W126)-SUM(Y123:Y126)-SUM(Z123:Z126)-SUM(AC123:AC126)-SUM(V123:V126))-AA123</f>
        <v>0</v>
      </c>
      <c r="AC123" s="40">
        <f>K123-T123</f>
        <v>0</v>
      </c>
      <c r="AD123" s="40">
        <f>+AM123+BA123</f>
        <v>0</v>
      </c>
      <c r="AE123" s="233" t="s">
        <v>391</v>
      </c>
      <c r="AF123" s="40">
        <v>0</v>
      </c>
      <c r="AG123" s="40"/>
      <c r="AH123" s="40"/>
      <c r="AI123" s="514"/>
      <c r="AJ123" s="40"/>
      <c r="AK123" s="40"/>
      <c r="AL123" s="40"/>
      <c r="AM123" s="40">
        <f>SUM(AF123:AL123)+AT123+AV123+AX123</f>
        <v>0</v>
      </c>
      <c r="AN123" s="40"/>
      <c r="AO123" s="40"/>
      <c r="AP123" s="40"/>
      <c r="AQ123" s="40"/>
      <c r="AR123" s="40">
        <f>SUM(AN123:AQ123)</f>
        <v>0</v>
      </c>
      <c r="AS123" s="40"/>
      <c r="AT123" s="40"/>
      <c r="AU123" s="40"/>
      <c r="AV123" s="40"/>
      <c r="AW123" s="40"/>
      <c r="AX123" s="40"/>
      <c r="AY123" s="40"/>
      <c r="AZ123" s="40"/>
      <c r="BA123" s="40">
        <f>+AR123+AS123+AU123+AW123+AY123+AZ123</f>
        <v>0</v>
      </c>
      <c r="BB123" s="36">
        <v>0</v>
      </c>
      <c r="BC123" s="54"/>
      <c r="BD123" s="54"/>
      <c r="BE123" s="36"/>
      <c r="BF123" s="54"/>
    </row>
    <row r="124" spans="1:58" ht="12.95" customHeight="1">
      <c r="A124" s="43"/>
      <c r="B124" s="44"/>
      <c r="C124" s="460"/>
      <c r="D124" s="44"/>
      <c r="E124" s="45"/>
      <c r="F124" s="45"/>
      <c r="G124" s="511"/>
      <c r="H124" s="47"/>
      <c r="I124" s="48"/>
      <c r="J124" s="85"/>
      <c r="K124" s="85"/>
      <c r="L124" s="38"/>
      <c r="M124" s="38"/>
      <c r="N124" s="49"/>
      <c r="O124" s="50"/>
      <c r="P124" s="51"/>
      <c r="Q124" s="50"/>
      <c r="R124" s="512"/>
      <c r="S124" s="512"/>
      <c r="T124" s="40"/>
      <c r="U124" s="40"/>
      <c r="V124" s="40"/>
      <c r="W124" s="40"/>
      <c r="X124" s="41"/>
      <c r="Y124" s="214"/>
      <c r="Z124" s="40"/>
      <c r="AA124" s="40"/>
      <c r="AB124" s="40"/>
      <c r="AC124" s="40"/>
      <c r="AD124" s="40">
        <f>+AM124+BA124</f>
        <v>12</v>
      </c>
      <c r="AE124" s="233" t="s">
        <v>527</v>
      </c>
      <c r="AF124" s="40"/>
      <c r="AG124" s="40">
        <v>12</v>
      </c>
      <c r="AH124" s="40"/>
      <c r="AI124" s="514"/>
      <c r="AJ124" s="40"/>
      <c r="AK124" s="40"/>
      <c r="AL124" s="40"/>
      <c r="AM124" s="40">
        <f>SUM(AF124:AL124)+AT124+AV124+AX124</f>
        <v>12</v>
      </c>
      <c r="AN124" s="86"/>
      <c r="AO124" s="40"/>
      <c r="AP124" s="40"/>
      <c r="AQ124" s="40"/>
      <c r="AR124" s="40">
        <f>SUM(AN124:AQ124)</f>
        <v>0</v>
      </c>
      <c r="AS124" s="40"/>
      <c r="AT124" s="40"/>
      <c r="AU124" s="40"/>
      <c r="AV124" s="40"/>
      <c r="AW124" s="40"/>
      <c r="AX124" s="40"/>
      <c r="AY124" s="40"/>
      <c r="AZ124" s="40"/>
      <c r="BA124" s="40">
        <f>+AR124+AS124+AU124+AW124+AY124+AZ124</f>
        <v>0</v>
      </c>
      <c r="BB124" s="53"/>
      <c r="BC124" s="54">
        <v>4</v>
      </c>
      <c r="BD124" s="54"/>
      <c r="BE124" s="53"/>
      <c r="BF124" s="54"/>
    </row>
    <row r="125" spans="1:58" ht="12.95" customHeight="1">
      <c r="A125" s="43"/>
      <c r="B125" s="44"/>
      <c r="C125" s="460"/>
      <c r="D125" s="44"/>
      <c r="E125" s="45"/>
      <c r="F125" s="45"/>
      <c r="G125" s="511"/>
      <c r="H125" s="47"/>
      <c r="I125" s="48"/>
      <c r="J125" s="85"/>
      <c r="K125" s="85"/>
      <c r="L125" s="38"/>
      <c r="M125" s="38"/>
      <c r="N125" s="49"/>
      <c r="O125" s="50"/>
      <c r="P125" s="51"/>
      <c r="Q125" s="50"/>
      <c r="R125" s="512"/>
      <c r="S125" s="512"/>
      <c r="T125" s="40"/>
      <c r="U125" s="40"/>
      <c r="V125" s="40"/>
      <c r="W125" s="40"/>
      <c r="X125" s="41"/>
      <c r="Y125" s="214"/>
      <c r="Z125" s="40"/>
      <c r="AA125" s="40"/>
      <c r="AB125" s="40"/>
      <c r="AC125" s="40"/>
      <c r="AD125" s="40">
        <f>+AM125+BA125</f>
        <v>16</v>
      </c>
      <c r="AE125" s="233" t="s">
        <v>226</v>
      </c>
      <c r="AF125" s="36"/>
      <c r="AG125" s="36"/>
      <c r="AH125" s="36">
        <v>16</v>
      </c>
      <c r="AI125" s="514"/>
      <c r="AJ125" s="40"/>
      <c r="AK125" s="40"/>
      <c r="AL125" s="40"/>
      <c r="AM125" s="40">
        <f>SUM(AF125:AL125)+AT125+AV125+AX125</f>
        <v>16</v>
      </c>
      <c r="AN125" s="40"/>
      <c r="AO125" s="40"/>
      <c r="AP125" s="40"/>
      <c r="AQ125" s="40"/>
      <c r="AR125" s="40">
        <f>SUM(AN125:AQ125)</f>
        <v>0</v>
      </c>
      <c r="AS125" s="40"/>
      <c r="AT125" s="40"/>
      <c r="AU125" s="40"/>
      <c r="AV125" s="40"/>
      <c r="AW125" s="40"/>
      <c r="AX125" s="40"/>
      <c r="AY125" s="40"/>
      <c r="AZ125" s="40"/>
      <c r="BA125" s="40">
        <f>+AR125+AS125+AU125+AW125+AY125+AZ125</f>
        <v>0</v>
      </c>
      <c r="BB125" s="36"/>
      <c r="BC125" s="515"/>
      <c r="BD125" s="515"/>
      <c r="BE125" s="36"/>
      <c r="BF125" s="515"/>
    </row>
    <row r="126" spans="1:58" ht="12.95" customHeight="1">
      <c r="A126" s="43"/>
      <c r="B126" s="44"/>
      <c r="C126" s="460"/>
      <c r="D126" s="44"/>
      <c r="E126" s="45"/>
      <c r="F126" s="45"/>
      <c r="G126" s="511"/>
      <c r="H126" s="47"/>
      <c r="I126" s="48"/>
      <c r="J126" s="85"/>
      <c r="K126" s="85"/>
      <c r="L126" s="38"/>
      <c r="M126" s="38"/>
      <c r="N126" s="49"/>
      <c r="O126" s="50"/>
      <c r="P126" s="51"/>
      <c r="Q126" s="50"/>
      <c r="R126" s="512"/>
      <c r="S126" s="512"/>
      <c r="T126" s="40"/>
      <c r="U126" s="40"/>
      <c r="V126" s="40"/>
      <c r="W126" s="40"/>
      <c r="X126" s="41"/>
      <c r="Y126" s="214"/>
      <c r="Z126" s="40"/>
      <c r="AA126" s="40"/>
      <c r="AB126" s="40"/>
      <c r="AC126" s="40"/>
      <c r="AD126" s="40"/>
      <c r="AE126" s="233"/>
      <c r="AF126" s="40"/>
      <c r="AG126" s="40"/>
      <c r="AH126" s="40"/>
      <c r="AI126" s="514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36"/>
      <c r="BC126" s="515"/>
      <c r="BD126" s="515"/>
      <c r="BE126" s="36"/>
      <c r="BF126" s="515"/>
    </row>
    <row r="127" spans="1:58" ht="12.95" customHeight="1">
      <c r="A127" s="43">
        <v>45896</v>
      </c>
      <c r="B127" s="44" t="s">
        <v>445</v>
      </c>
      <c r="C127" s="460">
        <f>(M127*E127*O127*Q127)/100000000</f>
        <v>12.14687736</v>
      </c>
      <c r="D127" s="44" t="s">
        <v>491</v>
      </c>
      <c r="E127" s="45">
        <v>18</v>
      </c>
      <c r="F127" s="45">
        <v>1</v>
      </c>
      <c r="G127" s="511">
        <v>830</v>
      </c>
      <c r="H127" s="47">
        <v>0.14000000000000001</v>
      </c>
      <c r="I127" s="48">
        <v>0.88</v>
      </c>
      <c r="J127" s="85">
        <f>E127*G127*(1-H127)*1440/1000000*3.4</f>
        <v>62.905766399999997</v>
      </c>
      <c r="K127" s="85">
        <f>(IF(G127&lt;L127,L127,G127)*(1-IF(H127&lt;N127,H127,N127))*E127*O127*Q127)/100000000</f>
        <v>12.14687736</v>
      </c>
      <c r="L127" s="38">
        <v>830</v>
      </c>
      <c r="M127" s="38">
        <f>+L127-L127*0.14</f>
        <v>713.8</v>
      </c>
      <c r="N127" s="49">
        <f>1-(M127/L127)</f>
        <v>0.14000000000000001</v>
      </c>
      <c r="O127" s="50">
        <f>+'Trim Rwd'!H90</f>
        <v>326</v>
      </c>
      <c r="P127" s="51">
        <f>O127*(Q127-R127-S127)</f>
        <v>90954</v>
      </c>
      <c r="Q127" s="50">
        <v>290</v>
      </c>
      <c r="R127" s="512">
        <v>0</v>
      </c>
      <c r="S127" s="512">
        <v>11</v>
      </c>
      <c r="T127" s="40">
        <f>E127*M127*O127*Q127/100000000</f>
        <v>12.14687736</v>
      </c>
      <c r="U127" s="40">
        <f>E127*M127*O127*(Q127-R127-S127)/100000000</f>
        <v>11.686133735999999</v>
      </c>
      <c r="V127" s="40">
        <f>E127*G127*(1-N127)*O127/100*(R127+S127)/1000000</f>
        <v>0.46074362400000002</v>
      </c>
      <c r="W127" s="40">
        <f>+'27'!K24/1000</f>
        <v>13.09</v>
      </c>
      <c r="X127" s="513">
        <f>SUM(W127:W130)/SUM(K127:K130)</f>
        <v>0.93832882483777569</v>
      </c>
      <c r="Y127" s="214">
        <v>0</v>
      </c>
      <c r="Z127" s="40">
        <v>0</v>
      </c>
      <c r="AA127" s="52">
        <f>SUM(U127:U130)-SUM(W127:W130)-SUM(Z127:Z130)-SUM(Y127:Y130)</f>
        <v>3.1113349360000058</v>
      </c>
      <c r="AB127" s="52">
        <f>(SUM(K127:K130)-SUM(W127:W130)-SUM(Y127:Y130)-SUM(Z127:Z130)-SUM(AC127:AC130)-SUM(V127:V130))-AA127</f>
        <v>0</v>
      </c>
      <c r="AC127" s="40">
        <f>K127-T127</f>
        <v>0</v>
      </c>
      <c r="AD127" s="40">
        <f>+AM127+BA127</f>
        <v>2</v>
      </c>
      <c r="AE127" s="233" t="s">
        <v>435</v>
      </c>
      <c r="AF127" s="40">
        <v>2</v>
      </c>
      <c r="AG127" s="40"/>
      <c r="AH127" s="40"/>
      <c r="AI127" s="514"/>
      <c r="AJ127" s="40"/>
      <c r="AK127" s="40"/>
      <c r="AL127" s="40"/>
      <c r="AM127" s="40">
        <f>SUM(AF127:AL127)+AT127+AV127+AX127</f>
        <v>2</v>
      </c>
      <c r="AN127" s="40"/>
      <c r="AO127" s="40"/>
      <c r="AP127" s="40"/>
      <c r="AQ127" s="40"/>
      <c r="AR127" s="40">
        <f>SUM(AN127:AQ127)</f>
        <v>0</v>
      </c>
      <c r="AS127" s="40"/>
      <c r="AT127" s="40"/>
      <c r="AU127" s="40"/>
      <c r="AV127" s="40"/>
      <c r="AW127" s="40"/>
      <c r="AX127" s="40"/>
      <c r="AY127" s="40"/>
      <c r="AZ127" s="40"/>
      <c r="BA127" s="40">
        <f>+AR127+AS127+AU127+AW127+AY127+AZ127</f>
        <v>0</v>
      </c>
      <c r="BB127" s="36">
        <v>1</v>
      </c>
      <c r="BC127" s="54"/>
      <c r="BD127" s="54"/>
      <c r="BE127" s="36"/>
      <c r="BF127" s="54"/>
    </row>
    <row r="128" spans="1:58" ht="12.95" customHeight="1">
      <c r="A128" s="43"/>
      <c r="B128" s="44" t="s">
        <v>445</v>
      </c>
      <c r="C128" s="460">
        <f>(M128*E128*O128*Q128)/100000000</f>
        <v>54.177419999999998</v>
      </c>
      <c r="D128" s="44" t="s">
        <v>659</v>
      </c>
      <c r="E128" s="45">
        <v>20</v>
      </c>
      <c r="F128" s="45">
        <v>1</v>
      </c>
      <c r="G128" s="511">
        <v>830</v>
      </c>
      <c r="H128" s="47">
        <v>0.14000000000000001</v>
      </c>
      <c r="I128" s="48">
        <v>0.88</v>
      </c>
      <c r="J128" s="85">
        <f>E128*G128*(1-H128)*1440/1000000*3.4</f>
        <v>69.895296000000002</v>
      </c>
      <c r="K128" s="85">
        <f>(IF(G128&lt;L128,L128,G128)*(1-IF(H128&lt;N128,H128,N128))*E128*O128*Q128)/100000000</f>
        <v>54.177419999999998</v>
      </c>
      <c r="L128" s="38">
        <v>830</v>
      </c>
      <c r="M128" s="38">
        <f>+L128-L128*0.14</f>
        <v>713.8</v>
      </c>
      <c r="N128" s="49">
        <f>1-(M128/L128)</f>
        <v>0.14000000000000001</v>
      </c>
      <c r="O128" s="50">
        <f>+'Trim Rwd'!H91</f>
        <v>330</v>
      </c>
      <c r="P128" s="51">
        <f>O128*(Q128-R128-S128)</f>
        <v>375870</v>
      </c>
      <c r="Q128" s="50">
        <v>1150</v>
      </c>
      <c r="R128" s="512">
        <v>0</v>
      </c>
      <c r="S128" s="512">
        <v>11</v>
      </c>
      <c r="T128" s="40">
        <f>E128*M128*O128*Q128/100000000</f>
        <v>54.177419999999998</v>
      </c>
      <c r="U128" s="40">
        <f>E128*M128*O128*(Q128-R128-S128)/100000000</f>
        <v>53.659201199999998</v>
      </c>
      <c r="V128" s="40">
        <f>E128*G128*(1-N128)*O128/100*(R128+S128)/1000000</f>
        <v>0.51821880000000009</v>
      </c>
      <c r="W128" s="40">
        <f>+'27'!K25/1000</f>
        <v>49.143999999999998</v>
      </c>
      <c r="X128" s="41"/>
      <c r="Y128" s="214"/>
      <c r="Z128" s="40"/>
      <c r="AA128" s="40"/>
      <c r="AB128" s="40"/>
      <c r="AC128" s="40">
        <f>K128-T128</f>
        <v>0</v>
      </c>
      <c r="AD128" s="40">
        <f>+AM128+BA128</f>
        <v>5</v>
      </c>
      <c r="AE128" s="233" t="s">
        <v>390</v>
      </c>
      <c r="AF128" s="40"/>
      <c r="AG128" s="40">
        <v>5</v>
      </c>
      <c r="AH128" s="40"/>
      <c r="AI128" s="514"/>
      <c r="AJ128" s="40"/>
      <c r="AK128" s="40"/>
      <c r="AL128" s="40"/>
      <c r="AM128" s="40">
        <f>SUM(AF128:AL128)+AT128+AV128+AX128</f>
        <v>5</v>
      </c>
      <c r="AN128" s="86"/>
      <c r="AO128" s="40"/>
      <c r="AP128" s="40"/>
      <c r="AQ128" s="40"/>
      <c r="AR128" s="40">
        <f>SUM(AN128:AQ128)</f>
        <v>0</v>
      </c>
      <c r="AS128" s="40"/>
      <c r="AT128" s="40"/>
      <c r="AU128" s="40"/>
      <c r="AV128" s="40"/>
      <c r="AW128" s="40"/>
      <c r="AX128" s="40"/>
      <c r="AY128" s="40"/>
      <c r="AZ128" s="40"/>
      <c r="BA128" s="40">
        <f>+AR128+AS128+AU128+AW128+AY128+AZ128</f>
        <v>0</v>
      </c>
      <c r="BB128" s="53"/>
      <c r="BC128" s="54">
        <v>3</v>
      </c>
      <c r="BD128" s="54"/>
      <c r="BE128" s="53"/>
      <c r="BF128" s="54"/>
    </row>
    <row r="129" spans="1:58" ht="12.95" customHeight="1">
      <c r="A129" s="43"/>
      <c r="B129" s="44"/>
      <c r="C129" s="460"/>
      <c r="D129" s="44"/>
      <c r="E129" s="45"/>
      <c r="F129" s="45"/>
      <c r="G129" s="511"/>
      <c r="H129" s="47"/>
      <c r="I129" s="48"/>
      <c r="J129" s="85"/>
      <c r="K129" s="85"/>
      <c r="L129" s="38"/>
      <c r="M129" s="38"/>
      <c r="N129" s="49"/>
      <c r="O129" s="50"/>
      <c r="P129" s="51"/>
      <c r="Q129" s="50"/>
      <c r="R129" s="512"/>
      <c r="S129" s="512"/>
      <c r="T129" s="40"/>
      <c r="U129" s="40"/>
      <c r="V129" s="40"/>
      <c r="W129" s="40"/>
      <c r="X129" s="41"/>
      <c r="Y129" s="214"/>
      <c r="Z129" s="40"/>
      <c r="AA129" s="40"/>
      <c r="AB129" s="40"/>
      <c r="AC129" s="40"/>
      <c r="AD129" s="40">
        <f>+AM129+BA129</f>
        <v>11</v>
      </c>
      <c r="AE129" s="233" t="s">
        <v>226</v>
      </c>
      <c r="AF129" s="36"/>
      <c r="AG129" s="36"/>
      <c r="AH129" s="36">
        <v>11</v>
      </c>
      <c r="AI129" s="514"/>
      <c r="AJ129" s="40"/>
      <c r="AK129" s="40"/>
      <c r="AL129" s="40"/>
      <c r="AM129" s="40">
        <f>SUM(AF129:AL129)+AT129+AV129+AX129</f>
        <v>11</v>
      </c>
      <c r="AN129" s="40"/>
      <c r="AO129" s="40"/>
      <c r="AP129" s="40"/>
      <c r="AQ129" s="40"/>
      <c r="AR129" s="40">
        <f>SUM(AN129:AQ129)</f>
        <v>0</v>
      </c>
      <c r="AS129" s="40"/>
      <c r="AT129" s="40"/>
      <c r="AU129" s="40"/>
      <c r="AV129" s="40"/>
      <c r="AW129" s="40"/>
      <c r="AX129" s="40"/>
      <c r="AY129" s="40"/>
      <c r="AZ129" s="40"/>
      <c r="BA129" s="40">
        <f>+AR129+AS129+AU129+AW129+AY129+AZ129</f>
        <v>0</v>
      </c>
      <c r="BB129" s="36"/>
      <c r="BC129" s="515"/>
      <c r="BD129" s="515"/>
      <c r="BE129" s="36"/>
      <c r="BF129" s="515"/>
    </row>
    <row r="130" spans="1:58" ht="12.95" customHeight="1">
      <c r="A130" s="43"/>
      <c r="B130" s="44"/>
      <c r="C130" s="460"/>
      <c r="D130" s="44"/>
      <c r="E130" s="45"/>
      <c r="F130" s="45"/>
      <c r="G130" s="511"/>
      <c r="H130" s="47"/>
      <c r="I130" s="48"/>
      <c r="J130" s="85"/>
      <c r="K130" s="85"/>
      <c r="L130" s="38"/>
      <c r="M130" s="38"/>
      <c r="N130" s="49"/>
      <c r="O130" s="50"/>
      <c r="P130" s="51"/>
      <c r="Q130" s="50"/>
      <c r="R130" s="512"/>
      <c r="S130" s="512"/>
      <c r="T130" s="40"/>
      <c r="U130" s="40"/>
      <c r="V130" s="40"/>
      <c r="W130" s="40"/>
      <c r="X130" s="41"/>
      <c r="Y130" s="214"/>
      <c r="Z130" s="40"/>
      <c r="AA130" s="40"/>
      <c r="AB130" s="40"/>
      <c r="AC130" s="40"/>
      <c r="AD130" s="40">
        <f>+AM130+BA130</f>
        <v>4</v>
      </c>
      <c r="AE130" s="233" t="s">
        <v>447</v>
      </c>
      <c r="AF130" s="40"/>
      <c r="AG130" s="40"/>
      <c r="AH130" s="40"/>
      <c r="AI130" s="514">
        <v>4</v>
      </c>
      <c r="AJ130" s="40"/>
      <c r="AK130" s="40"/>
      <c r="AL130" s="40"/>
      <c r="AM130" s="40">
        <f>SUM(AF130:AL130)+AT130+AV130+AX130</f>
        <v>4</v>
      </c>
      <c r="AN130" s="40"/>
      <c r="AO130" s="40"/>
      <c r="AP130" s="40"/>
      <c r="AQ130" s="40"/>
      <c r="AR130" s="40">
        <f>SUM(AN130:AQ130)</f>
        <v>0</v>
      </c>
      <c r="AS130" s="40"/>
      <c r="AT130" s="40"/>
      <c r="AU130" s="40"/>
      <c r="AV130" s="40"/>
      <c r="AW130" s="40"/>
      <c r="AX130" s="40"/>
      <c r="AY130" s="40"/>
      <c r="AZ130" s="40"/>
      <c r="BA130" s="40">
        <f>+AR130+AS130+AU130+AW130+AY130+AZ130</f>
        <v>0</v>
      </c>
      <c r="BB130" s="36"/>
      <c r="BC130" s="515"/>
      <c r="BD130" s="515"/>
      <c r="BE130" s="36"/>
      <c r="BF130" s="515"/>
    </row>
    <row r="131" spans="1:58" ht="12.95" customHeight="1">
      <c r="A131" s="43"/>
      <c r="B131" s="44"/>
      <c r="C131" s="460"/>
      <c r="D131" s="44"/>
      <c r="E131" s="45"/>
      <c r="F131" s="45"/>
      <c r="G131" s="511"/>
      <c r="H131" s="47"/>
      <c r="I131" s="48"/>
      <c r="J131" s="85"/>
      <c r="K131" s="85"/>
      <c r="L131" s="38"/>
      <c r="M131" s="38"/>
      <c r="N131" s="49"/>
      <c r="O131" s="50"/>
      <c r="P131" s="51"/>
      <c r="Q131" s="50"/>
      <c r="R131" s="512"/>
      <c r="S131" s="512"/>
      <c r="T131" s="40"/>
      <c r="U131" s="40"/>
      <c r="V131" s="40"/>
      <c r="W131" s="40"/>
      <c r="X131" s="513"/>
      <c r="Y131" s="214"/>
      <c r="Z131" s="40"/>
      <c r="AA131" s="52"/>
      <c r="AB131" s="52"/>
      <c r="AC131" s="40"/>
      <c r="AD131" s="40"/>
      <c r="AE131" s="233"/>
      <c r="AF131" s="40"/>
      <c r="AG131" s="40"/>
      <c r="AH131" s="40"/>
      <c r="AI131" s="514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36"/>
      <c r="BC131" s="54"/>
      <c r="BD131" s="54"/>
      <c r="BE131" s="54"/>
      <c r="BF131" s="54"/>
    </row>
    <row r="132" spans="1:58" ht="12.95" customHeight="1">
      <c r="A132" s="43">
        <v>45897</v>
      </c>
      <c r="B132" s="44" t="s">
        <v>445</v>
      </c>
      <c r="C132" s="460">
        <f>(M132*E132*O132*Q132)/100000000</f>
        <v>25.239075749999994</v>
      </c>
      <c r="D132" s="44" t="s">
        <v>659</v>
      </c>
      <c r="E132" s="45">
        <v>20</v>
      </c>
      <c r="F132" s="45">
        <v>1</v>
      </c>
      <c r="G132" s="511">
        <v>830</v>
      </c>
      <c r="H132" s="47">
        <v>0.14000000000000001</v>
      </c>
      <c r="I132" s="48">
        <v>0.88</v>
      </c>
      <c r="J132" s="85">
        <f>E132*G132*(1-H132)*1440/1000000*3.4</f>
        <v>69.895296000000002</v>
      </c>
      <c r="K132" s="85">
        <f>(IF(G132&lt;L132,L132,G132)*(1-IF(H132&lt;N132,H132,N132))*E132*O132*Q132)/100000000</f>
        <v>25.239075749999994</v>
      </c>
      <c r="L132" s="38">
        <v>830</v>
      </c>
      <c r="M132" s="38">
        <f>+L132-L132*0.14</f>
        <v>713.8</v>
      </c>
      <c r="N132" s="49">
        <f>1-(M132/L132)</f>
        <v>0.14000000000000001</v>
      </c>
      <c r="O132" s="50">
        <f>+'Trim Rwd'!H93</f>
        <v>327.39583333333331</v>
      </c>
      <c r="P132" s="51">
        <f>O132*(Q132-R132-S132)</f>
        <v>173519.79166666666</v>
      </c>
      <c r="Q132" s="50">
        <v>540</v>
      </c>
      <c r="R132" s="512">
        <v>0</v>
      </c>
      <c r="S132" s="512">
        <v>10</v>
      </c>
      <c r="T132" s="40">
        <f>E132*M132*O132*Q132/100000000</f>
        <v>25.239075749999994</v>
      </c>
      <c r="U132" s="40">
        <f>E132*M132*O132*(Q132-R132-S132)/100000000</f>
        <v>24.77168545833333</v>
      </c>
      <c r="V132" s="40">
        <f>E132*G132*(1-N132)*O132/100*(R132+S132)/1000000</f>
        <v>0.46739029166666662</v>
      </c>
      <c r="W132" s="40">
        <f>+'28'!K25/1000</f>
        <v>25.061</v>
      </c>
      <c r="X132" s="513">
        <f>SUM(W132:W135)/SUM(K132:K135)</f>
        <v>0.95200122713825619</v>
      </c>
      <c r="Y132" s="214">
        <v>0</v>
      </c>
      <c r="Z132" s="40">
        <f>+'28'!D34/1000</f>
        <v>1.76</v>
      </c>
      <c r="AA132" s="52">
        <f>SUM(U132:U135)-SUM(W132:W135)-SUM(Z132:Z135)-SUM(Y132:Y135)</f>
        <v>-1.0525865416666724</v>
      </c>
      <c r="AB132" s="52">
        <f>(SUM(K132:K135)-SUM(W132:W135)-SUM(Y132:Y135)-SUM(Z132:Z135)-SUM(AC132:AC135)-SUM(V132:V135))-AA132</f>
        <v>1.8295199999996736E-2</v>
      </c>
      <c r="AC132" s="40">
        <f>K132-T132</f>
        <v>0</v>
      </c>
      <c r="AD132" s="40">
        <f>+AM132+BA132</f>
        <v>0</v>
      </c>
      <c r="AE132" s="233" t="s">
        <v>391</v>
      </c>
      <c r="AF132" s="40">
        <v>0</v>
      </c>
      <c r="AG132" s="40"/>
      <c r="AH132" s="40"/>
      <c r="AI132" s="514"/>
      <c r="AJ132" s="40"/>
      <c r="AK132" s="40"/>
      <c r="AL132" s="40"/>
      <c r="AM132" s="40">
        <f>SUM(AF132:AL132)+AT132+AV132+AX132</f>
        <v>0</v>
      </c>
      <c r="AN132" s="40"/>
      <c r="AO132" s="40"/>
      <c r="AP132" s="40"/>
      <c r="AQ132" s="40"/>
      <c r="AR132" s="40">
        <f>SUM(AN132:AQ132)</f>
        <v>0</v>
      </c>
      <c r="AS132" s="40"/>
      <c r="AT132" s="40"/>
      <c r="AU132" s="40"/>
      <c r="AV132" s="40"/>
      <c r="AW132" s="40"/>
      <c r="AX132" s="40"/>
      <c r="AY132" s="40"/>
      <c r="AZ132" s="40"/>
      <c r="BA132" s="40">
        <f>+AR132+AS132+AU132+AW132+AY132+AZ132</f>
        <v>0</v>
      </c>
      <c r="BB132" s="36">
        <v>0</v>
      </c>
      <c r="BC132" s="54"/>
      <c r="BD132" s="54"/>
      <c r="BE132" s="36"/>
      <c r="BF132" s="54"/>
    </row>
    <row r="133" spans="1:58" ht="12.95" customHeight="1">
      <c r="A133" s="43"/>
      <c r="B133" s="44" t="s">
        <v>8</v>
      </c>
      <c r="C133" s="460">
        <f>(M133*E133*O133*Q133)/100000000</f>
        <v>41.164200000000001</v>
      </c>
      <c r="D133" s="44" t="s">
        <v>659</v>
      </c>
      <c r="E133" s="45">
        <v>30</v>
      </c>
      <c r="F133" s="45">
        <v>1</v>
      </c>
      <c r="G133" s="511">
        <v>545</v>
      </c>
      <c r="H133" s="47">
        <v>0.12</v>
      </c>
      <c r="I133" s="48">
        <v>0.88</v>
      </c>
      <c r="J133" s="85">
        <f>E133*G133*(1-H133)*1440/1000000*3.4</f>
        <v>70.443647999999996</v>
      </c>
      <c r="K133" s="85">
        <f>(IF(G133&lt;L133,L133,G133)*(1-IF(H133&lt;N133,H133,N133))*E133*O133*Q133)/100000000</f>
        <v>41.164200000000001</v>
      </c>
      <c r="L133" s="38">
        <v>550</v>
      </c>
      <c r="M133" s="38">
        <v>484</v>
      </c>
      <c r="N133" s="49">
        <f>1-(M133/L133)</f>
        <v>0.12</v>
      </c>
      <c r="O133" s="50">
        <f>+'Trim Rwd'!H95</f>
        <v>315</v>
      </c>
      <c r="P133" s="51">
        <f>O133*(Q133-R133-S133)</f>
        <v>269640</v>
      </c>
      <c r="Q133" s="50">
        <v>900</v>
      </c>
      <c r="R133" s="512">
        <v>34</v>
      </c>
      <c r="S133" s="512">
        <v>10</v>
      </c>
      <c r="T133" s="40">
        <f>E133*M133*O133*Q133/100000000</f>
        <v>41.164200000000001</v>
      </c>
      <c r="U133" s="40">
        <f>E133*M133*O133*(Q133-R133-S133)/100000000</f>
        <v>39.151727999999999</v>
      </c>
      <c r="V133" s="40">
        <f>E133*G133*(1-N133)*O133/100*(R133+S133)/1000000</f>
        <v>1.9941767999999997</v>
      </c>
      <c r="W133" s="40">
        <f>+'28'!K26/1000</f>
        <v>38.155000000000001</v>
      </c>
      <c r="X133" s="41"/>
      <c r="Y133" s="214"/>
      <c r="Z133" s="40"/>
      <c r="AA133" s="40"/>
      <c r="AB133" s="40"/>
      <c r="AC133" s="40">
        <f>K133-T133</f>
        <v>0</v>
      </c>
      <c r="AD133" s="40">
        <f>+AM133+BA133</f>
        <v>5</v>
      </c>
      <c r="AE133" s="233" t="s">
        <v>434</v>
      </c>
      <c r="AF133" s="40"/>
      <c r="AG133" s="40">
        <v>5</v>
      </c>
      <c r="AH133" s="40"/>
      <c r="AI133" s="514"/>
      <c r="AJ133" s="40"/>
      <c r="AK133" s="40"/>
      <c r="AL133" s="40"/>
      <c r="AM133" s="40">
        <f>SUM(AF133:AL133)+AT133+AV133+AX133</f>
        <v>5</v>
      </c>
      <c r="AN133" s="86"/>
      <c r="AO133" s="40"/>
      <c r="AP133" s="40"/>
      <c r="AQ133" s="40"/>
      <c r="AR133" s="40">
        <f>SUM(AN133:AQ133)</f>
        <v>0</v>
      </c>
      <c r="AS133" s="40"/>
      <c r="AT133" s="40"/>
      <c r="AU133" s="40"/>
      <c r="AV133" s="40"/>
      <c r="AW133" s="40"/>
      <c r="AX133" s="40"/>
      <c r="AY133" s="40"/>
      <c r="AZ133" s="40"/>
      <c r="BA133" s="40">
        <f>+AR133+AS133+AU133+AW133+AY133+AZ133</f>
        <v>0</v>
      </c>
      <c r="BB133" s="53"/>
      <c r="BC133" s="54">
        <v>2</v>
      </c>
      <c r="BD133" s="54"/>
      <c r="BE133" s="53"/>
      <c r="BF133" s="54"/>
    </row>
    <row r="134" spans="1:58" ht="12.95" customHeight="1">
      <c r="A134" s="43"/>
      <c r="B134" s="44"/>
      <c r="C134" s="460"/>
      <c r="D134" s="44"/>
      <c r="E134" s="45"/>
      <c r="F134" s="45"/>
      <c r="G134" s="511"/>
      <c r="H134" s="47"/>
      <c r="I134" s="48"/>
      <c r="J134" s="85"/>
      <c r="K134" s="85"/>
      <c r="L134" s="38"/>
      <c r="M134" s="38"/>
      <c r="N134" s="49"/>
      <c r="O134" s="50"/>
      <c r="P134" s="51"/>
      <c r="Q134" s="50"/>
      <c r="R134" s="512"/>
      <c r="S134" s="512"/>
      <c r="T134" s="40"/>
      <c r="U134" s="40"/>
      <c r="V134" s="40"/>
      <c r="W134" s="40"/>
      <c r="X134" s="41"/>
      <c r="Y134" s="214"/>
      <c r="Z134" s="40"/>
      <c r="AA134" s="40"/>
      <c r="AB134" s="40"/>
      <c r="AC134" s="40"/>
      <c r="AD134" s="40">
        <f>+AM134+BA134</f>
        <v>10</v>
      </c>
      <c r="AE134" s="233" t="s">
        <v>226</v>
      </c>
      <c r="AF134" s="36"/>
      <c r="AG134" s="36"/>
      <c r="AH134" s="36">
        <v>10</v>
      </c>
      <c r="AI134" s="514"/>
      <c r="AJ134" s="40"/>
      <c r="AK134" s="40"/>
      <c r="AL134" s="40"/>
      <c r="AM134" s="40">
        <f>SUM(AF134:AL134)+AT134+AV134+AX134</f>
        <v>10</v>
      </c>
      <c r="AN134" s="40"/>
      <c r="AO134" s="40"/>
      <c r="AP134" s="40"/>
      <c r="AQ134" s="40"/>
      <c r="AR134" s="40">
        <f>SUM(AN134:AQ134)</f>
        <v>0</v>
      </c>
      <c r="AS134" s="40"/>
      <c r="AT134" s="40"/>
      <c r="AU134" s="40"/>
      <c r="AV134" s="40"/>
      <c r="AW134" s="40"/>
      <c r="AX134" s="40"/>
      <c r="AY134" s="40"/>
      <c r="AZ134" s="40"/>
      <c r="BA134" s="40">
        <f>+AR134+AS134+AU134+AW134+AY134+AZ134</f>
        <v>0</v>
      </c>
      <c r="BB134" s="36"/>
      <c r="BC134" s="515"/>
      <c r="BD134" s="515"/>
      <c r="BE134" s="36"/>
      <c r="BF134" s="515"/>
    </row>
    <row r="135" spans="1:58" ht="12.95" customHeight="1">
      <c r="A135" s="43"/>
      <c r="B135" s="44"/>
      <c r="C135" s="460"/>
      <c r="D135" s="44"/>
      <c r="E135" s="45"/>
      <c r="F135" s="45"/>
      <c r="G135" s="46"/>
      <c r="H135" s="47"/>
      <c r="I135" s="48"/>
      <c r="J135" s="85"/>
      <c r="K135" s="85"/>
      <c r="L135" s="38"/>
      <c r="M135" s="38"/>
      <c r="N135" s="49"/>
      <c r="O135" s="50"/>
      <c r="P135" s="51"/>
      <c r="Q135" s="50"/>
      <c r="R135" s="512"/>
      <c r="S135" s="512"/>
      <c r="T135" s="40"/>
      <c r="U135" s="40"/>
      <c r="V135" s="40"/>
      <c r="W135" s="40"/>
      <c r="X135" s="513"/>
      <c r="Y135" s="214"/>
      <c r="Z135" s="40"/>
      <c r="AA135" s="52"/>
      <c r="AB135" s="52"/>
      <c r="AC135" s="40"/>
      <c r="AD135" s="40">
        <f>+AM135+BA135</f>
        <v>5</v>
      </c>
      <c r="AE135" s="233" t="s">
        <v>447</v>
      </c>
      <c r="AF135" s="40"/>
      <c r="AG135" s="40"/>
      <c r="AH135" s="40"/>
      <c r="AI135" s="514">
        <v>5</v>
      </c>
      <c r="AJ135" s="40"/>
      <c r="AK135" s="40"/>
      <c r="AL135" s="40"/>
      <c r="AM135" s="40">
        <f>SUM(AF135:AL135)+AT135+AV135+AX135</f>
        <v>5</v>
      </c>
      <c r="AN135" s="40"/>
      <c r="AO135" s="40"/>
      <c r="AP135" s="40"/>
      <c r="AQ135" s="40"/>
      <c r="AR135" s="40">
        <f>SUM(AN135:AQ135)</f>
        <v>0</v>
      </c>
      <c r="AS135" s="40"/>
      <c r="AT135" s="40"/>
      <c r="AU135" s="40"/>
      <c r="AV135" s="40"/>
      <c r="AW135" s="40"/>
      <c r="AX135" s="40"/>
      <c r="AY135" s="40"/>
      <c r="AZ135" s="40"/>
      <c r="BA135" s="40">
        <f>+AR135+AS135+AU135+AW135+AY135+AZ135</f>
        <v>0</v>
      </c>
      <c r="BB135" s="36"/>
      <c r="BC135" s="515"/>
      <c r="BD135" s="515"/>
      <c r="BE135" s="36"/>
      <c r="BF135" s="515"/>
    </row>
    <row r="136" spans="1:58" ht="12.95" customHeight="1">
      <c r="A136" s="43"/>
      <c r="B136" s="44"/>
      <c r="C136" s="460"/>
      <c r="D136" s="44"/>
      <c r="E136" s="45"/>
      <c r="F136" s="45"/>
      <c r="G136" s="511"/>
      <c r="H136" s="47"/>
      <c r="I136" s="48"/>
      <c r="J136" s="85"/>
      <c r="K136" s="85"/>
      <c r="L136" s="38"/>
      <c r="M136" s="38"/>
      <c r="N136" s="49"/>
      <c r="O136" s="50"/>
      <c r="P136" s="51"/>
      <c r="Q136" s="50"/>
      <c r="R136" s="512"/>
      <c r="S136" s="512"/>
      <c r="T136" s="40"/>
      <c r="U136" s="40"/>
      <c r="V136" s="40"/>
      <c r="W136" s="40"/>
      <c r="X136" s="513"/>
      <c r="Y136" s="214"/>
      <c r="Z136" s="40"/>
      <c r="AA136" s="52"/>
      <c r="AB136" s="52"/>
      <c r="AC136" s="40"/>
      <c r="AD136" s="40">
        <f>+AM136+BA136</f>
        <v>34</v>
      </c>
      <c r="AE136" s="233" t="s">
        <v>666</v>
      </c>
      <c r="AF136" s="40"/>
      <c r="AG136" s="40"/>
      <c r="AH136" s="40"/>
      <c r="AI136" s="514"/>
      <c r="AJ136" s="40"/>
      <c r="AK136" s="40"/>
      <c r="AL136" s="40"/>
      <c r="AM136" s="40">
        <f>SUM(AF136:AL136)+AT136+AV136+AX136</f>
        <v>0</v>
      </c>
      <c r="AN136" s="40"/>
      <c r="AO136" s="40"/>
      <c r="AP136" s="40">
        <v>34</v>
      </c>
      <c r="AQ136" s="40"/>
      <c r="AR136" s="40">
        <f>SUM(AN136:AQ136)</f>
        <v>34</v>
      </c>
      <c r="AS136" s="40"/>
      <c r="AT136" s="40"/>
      <c r="AU136" s="40"/>
      <c r="AV136" s="40"/>
      <c r="AW136" s="40"/>
      <c r="AX136" s="40"/>
      <c r="AY136" s="40"/>
      <c r="AZ136" s="40"/>
      <c r="BA136" s="40">
        <f>+AR136+AS136+AU136+AW136+AY136+AZ136</f>
        <v>34</v>
      </c>
      <c r="BB136" s="36"/>
      <c r="BC136" s="515"/>
      <c r="BD136" s="515"/>
      <c r="BE136" s="36"/>
      <c r="BF136" s="515"/>
    </row>
    <row r="137" spans="1:58" ht="12.95" customHeight="1">
      <c r="A137" s="43"/>
      <c r="B137" s="44"/>
      <c r="C137" s="460"/>
      <c r="D137" s="44"/>
      <c r="E137" s="45"/>
      <c r="F137" s="45"/>
      <c r="G137" s="511"/>
      <c r="H137" s="47"/>
      <c r="I137" s="48"/>
      <c r="J137" s="85"/>
      <c r="K137" s="85"/>
      <c r="L137" s="38"/>
      <c r="M137" s="38"/>
      <c r="N137" s="49"/>
      <c r="O137" s="50"/>
      <c r="P137" s="51"/>
      <c r="Q137" s="50"/>
      <c r="R137" s="512"/>
      <c r="S137" s="512"/>
      <c r="T137" s="40"/>
      <c r="U137" s="40"/>
      <c r="V137" s="40"/>
      <c r="W137" s="40"/>
      <c r="X137" s="41"/>
      <c r="Y137" s="214"/>
      <c r="Z137" s="40"/>
      <c r="AA137" s="40"/>
      <c r="AB137" s="40"/>
      <c r="AC137" s="40"/>
      <c r="AD137" s="40"/>
      <c r="AE137" s="233"/>
      <c r="AF137" s="40"/>
      <c r="AG137" s="40"/>
      <c r="AH137" s="40"/>
      <c r="AI137" s="514"/>
      <c r="AJ137" s="40"/>
      <c r="AK137" s="40"/>
      <c r="AL137" s="40"/>
      <c r="AM137" s="40"/>
      <c r="AN137" s="86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53"/>
      <c r="BC137" s="54"/>
      <c r="BD137" s="54"/>
      <c r="BE137" s="54"/>
      <c r="BF137" s="54"/>
    </row>
    <row r="138" spans="1:58" ht="12.95" customHeight="1">
      <c r="A138" s="43">
        <v>45898</v>
      </c>
      <c r="B138" s="44" t="s">
        <v>8</v>
      </c>
      <c r="C138" s="460">
        <f>(M138*E138*O138*Q138)/100000000</f>
        <v>65.862719999999996</v>
      </c>
      <c r="D138" s="44" t="s">
        <v>659</v>
      </c>
      <c r="E138" s="45">
        <v>30</v>
      </c>
      <c r="F138" s="45">
        <v>1</v>
      </c>
      <c r="G138" s="511">
        <v>545</v>
      </c>
      <c r="H138" s="47">
        <v>0.12</v>
      </c>
      <c r="I138" s="48">
        <v>0.88</v>
      </c>
      <c r="J138" s="85">
        <f>E138*G138*(1-H138)*1440/1000000*3.4</f>
        <v>70.443647999999996</v>
      </c>
      <c r="K138" s="85">
        <f>(IF(G138&lt;L138,L138,G138)*(1-IF(H138&lt;N138,H138,N138))*E138*O138*Q138)/100000000</f>
        <v>65.862719999999996</v>
      </c>
      <c r="L138" s="38">
        <v>550</v>
      </c>
      <c r="M138" s="38">
        <v>484</v>
      </c>
      <c r="N138" s="49">
        <f>1-(M138/L138)</f>
        <v>0.12</v>
      </c>
      <c r="O138" s="50">
        <f>+'Trim Rwd'!H97</f>
        <v>315</v>
      </c>
      <c r="P138" s="51">
        <f>O138*(Q138-R138-S138)</f>
        <v>446985</v>
      </c>
      <c r="Q138" s="50">
        <v>1440</v>
      </c>
      <c r="R138" s="512">
        <v>0</v>
      </c>
      <c r="S138" s="512">
        <v>21</v>
      </c>
      <c r="T138" s="40">
        <f>E138*M138*O138*Q138/100000000</f>
        <v>65.862719999999996</v>
      </c>
      <c r="U138" s="40">
        <f>E138*M138*O138*(Q138-R138-S138)/100000000</f>
        <v>64.902221999999995</v>
      </c>
      <c r="V138" s="40">
        <f>E138*G138*(1-N138)*O138/100*(R138+S138)/1000000</f>
        <v>0.95176620000000001</v>
      </c>
      <c r="W138" s="40">
        <f>+'29'!K26/1000</f>
        <v>68.724999999999994</v>
      </c>
      <c r="X138" s="513">
        <f>SUM(W138:W141)/SUM(K138:K141)</f>
        <v>1.0434582719936254</v>
      </c>
      <c r="Y138" s="214">
        <v>0</v>
      </c>
      <c r="Z138" s="40">
        <f>+'29'!D34/1000</f>
        <v>0.85</v>
      </c>
      <c r="AA138" s="52">
        <f>SUM(U138:U141)-SUM(W138:W141)-SUM(Z138:Z141)-SUM(Y138:Y141)</f>
        <v>-4.6727779999999992</v>
      </c>
      <c r="AB138" s="52">
        <f>(SUM(K138:K141)-SUM(W138:W141)-SUM(Y138:Y141)-SUM(Z138:Z141)-SUM(AC138:AC141)-SUM(V138:V141))-AA138</f>
        <v>8.7318000000005114E-3</v>
      </c>
      <c r="AC138" s="40">
        <f>K138-T138</f>
        <v>0</v>
      </c>
      <c r="AD138" s="40">
        <f>+AM138+BA138</f>
        <v>2</v>
      </c>
      <c r="AE138" s="233" t="s">
        <v>435</v>
      </c>
      <c r="AF138" s="40">
        <v>2</v>
      </c>
      <c r="AG138" s="40"/>
      <c r="AH138" s="40"/>
      <c r="AI138" s="514"/>
      <c r="AJ138" s="40"/>
      <c r="AK138" s="40"/>
      <c r="AL138" s="40"/>
      <c r="AM138" s="40">
        <f>SUM(AF138:AL138)+AT138+AV138+AX138</f>
        <v>2</v>
      </c>
      <c r="AN138" s="40"/>
      <c r="AO138" s="40"/>
      <c r="AP138" s="40"/>
      <c r="AQ138" s="40"/>
      <c r="AR138" s="40">
        <f>SUM(AN138:AQ138)</f>
        <v>0</v>
      </c>
      <c r="AS138" s="40"/>
      <c r="AT138" s="40"/>
      <c r="AU138" s="40"/>
      <c r="AV138" s="40"/>
      <c r="AW138" s="40"/>
      <c r="AX138" s="40"/>
      <c r="AY138" s="40"/>
      <c r="AZ138" s="40"/>
      <c r="BA138" s="40">
        <f>+AR138+AS138+AU138+AW138+AY138+AZ138</f>
        <v>0</v>
      </c>
      <c r="BB138" s="36">
        <v>1</v>
      </c>
      <c r="BC138" s="54"/>
      <c r="BD138" s="54"/>
      <c r="BE138" s="36"/>
      <c r="BF138" s="54"/>
    </row>
    <row r="139" spans="1:58" ht="12.95" customHeight="1">
      <c r="A139" s="43"/>
      <c r="B139" s="44"/>
      <c r="C139" s="460"/>
      <c r="D139" s="44"/>
      <c r="E139" s="45"/>
      <c r="F139" s="45"/>
      <c r="G139" s="511"/>
      <c r="H139" s="47"/>
      <c r="I139" s="48"/>
      <c r="J139" s="85"/>
      <c r="K139" s="85"/>
      <c r="L139" s="38"/>
      <c r="M139" s="38"/>
      <c r="N139" s="49"/>
      <c r="O139" s="50"/>
      <c r="P139" s="51"/>
      <c r="Q139" s="50"/>
      <c r="R139" s="512"/>
      <c r="S139" s="512"/>
      <c r="T139" s="40"/>
      <c r="U139" s="40"/>
      <c r="V139" s="40"/>
      <c r="W139" s="40"/>
      <c r="X139" s="41"/>
      <c r="Y139" s="214"/>
      <c r="Z139" s="40"/>
      <c r="AA139" s="40"/>
      <c r="AB139" s="40"/>
      <c r="AC139" s="40"/>
      <c r="AD139" s="40">
        <f>+AM139+BA139</f>
        <v>9</v>
      </c>
      <c r="AE139" s="233" t="s">
        <v>434</v>
      </c>
      <c r="AF139" s="40"/>
      <c r="AG139" s="40">
        <v>9</v>
      </c>
      <c r="AH139" s="40"/>
      <c r="AI139" s="514"/>
      <c r="AJ139" s="40"/>
      <c r="AK139" s="40"/>
      <c r="AL139" s="40"/>
      <c r="AM139" s="40">
        <f>SUM(AF139:AL139)+AT139+AV139+AX139</f>
        <v>9</v>
      </c>
      <c r="AN139" s="86"/>
      <c r="AO139" s="40"/>
      <c r="AP139" s="40"/>
      <c r="AQ139" s="40"/>
      <c r="AR139" s="40">
        <f>SUM(AN139:AQ139)</f>
        <v>0</v>
      </c>
      <c r="AS139" s="40"/>
      <c r="AT139" s="40"/>
      <c r="AU139" s="40"/>
      <c r="AV139" s="40"/>
      <c r="AW139" s="40"/>
      <c r="AX139" s="40"/>
      <c r="AY139" s="40"/>
      <c r="AZ139" s="40"/>
      <c r="BA139" s="40">
        <f>+AR139+AS139+AU139+AW139+AY139+AZ139</f>
        <v>0</v>
      </c>
      <c r="BB139" s="53"/>
      <c r="BC139" s="54">
        <v>2</v>
      </c>
      <c r="BD139" s="54"/>
      <c r="BE139" s="53"/>
      <c r="BF139" s="54"/>
    </row>
    <row r="140" spans="1:58" ht="12.95" customHeight="1">
      <c r="A140" s="43"/>
      <c r="B140" s="44"/>
      <c r="C140" s="460"/>
      <c r="D140" s="44"/>
      <c r="E140" s="45"/>
      <c r="F140" s="45"/>
      <c r="G140" s="511"/>
      <c r="H140" s="47"/>
      <c r="I140" s="48"/>
      <c r="J140" s="85"/>
      <c r="K140" s="85"/>
      <c r="L140" s="38"/>
      <c r="M140" s="38"/>
      <c r="N140" s="49"/>
      <c r="O140" s="50"/>
      <c r="P140" s="51"/>
      <c r="Q140" s="50"/>
      <c r="R140" s="512"/>
      <c r="S140" s="512"/>
      <c r="T140" s="40"/>
      <c r="U140" s="40"/>
      <c r="V140" s="40"/>
      <c r="W140" s="40"/>
      <c r="X140" s="41"/>
      <c r="Y140" s="214"/>
      <c r="Z140" s="40"/>
      <c r="AA140" s="40"/>
      <c r="AB140" s="40"/>
      <c r="AC140" s="40"/>
      <c r="AD140" s="40">
        <f>+AM140+BA140</f>
        <v>10</v>
      </c>
      <c r="AE140" s="233" t="s">
        <v>226</v>
      </c>
      <c r="AF140" s="36"/>
      <c r="AG140" s="36"/>
      <c r="AH140" s="36">
        <v>10</v>
      </c>
      <c r="AI140" s="514"/>
      <c r="AJ140" s="40"/>
      <c r="AK140" s="40"/>
      <c r="AL140" s="40"/>
      <c r="AM140" s="40">
        <f>SUM(AF140:AL140)+AT140+AV140+AX140</f>
        <v>10</v>
      </c>
      <c r="AN140" s="40"/>
      <c r="AO140" s="40"/>
      <c r="AP140" s="40"/>
      <c r="AQ140" s="40"/>
      <c r="AR140" s="40">
        <f>SUM(AN140:AQ140)</f>
        <v>0</v>
      </c>
      <c r="AS140" s="40"/>
      <c r="AT140" s="40"/>
      <c r="AU140" s="40"/>
      <c r="AV140" s="40"/>
      <c r="AW140" s="40"/>
      <c r="AX140" s="40"/>
      <c r="AY140" s="40"/>
      <c r="AZ140" s="40"/>
      <c r="BA140" s="40">
        <f>+AR140+AS140+AU140+AW140+AY140+AZ140</f>
        <v>0</v>
      </c>
      <c r="BB140" s="36"/>
      <c r="BC140" s="515"/>
      <c r="BD140" s="515"/>
      <c r="BE140" s="36"/>
      <c r="BF140" s="515"/>
    </row>
    <row r="141" spans="1:58" ht="12.95" customHeight="1">
      <c r="A141" s="43"/>
      <c r="B141" s="44"/>
      <c r="C141" s="460"/>
      <c r="D141" s="44"/>
      <c r="E141" s="45"/>
      <c r="F141" s="45"/>
      <c r="G141" s="46"/>
      <c r="H141" s="47"/>
      <c r="I141" s="48"/>
      <c r="J141" s="85"/>
      <c r="K141" s="85"/>
      <c r="L141" s="38"/>
      <c r="M141" s="38"/>
      <c r="N141" s="49"/>
      <c r="O141" s="50"/>
      <c r="P141" s="51"/>
      <c r="Q141" s="50"/>
      <c r="R141" s="512"/>
      <c r="S141" s="512"/>
      <c r="T141" s="40"/>
      <c r="U141" s="40"/>
      <c r="V141" s="40"/>
      <c r="W141" s="40"/>
      <c r="X141" s="513"/>
      <c r="Y141" s="214"/>
      <c r="Z141" s="40"/>
      <c r="AA141" s="52"/>
      <c r="AB141" s="52"/>
      <c r="AC141" s="40"/>
      <c r="AD141" s="40"/>
      <c r="AE141" s="233"/>
      <c r="AF141" s="40"/>
      <c r="AG141" s="40"/>
      <c r="AH141" s="40"/>
      <c r="AI141" s="514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36"/>
      <c r="BC141" s="515"/>
      <c r="BD141" s="515"/>
      <c r="BE141" s="36"/>
      <c r="BF141" s="515"/>
    </row>
    <row r="142" spans="1:58" ht="12.95" customHeight="1">
      <c r="A142" s="43">
        <v>45899</v>
      </c>
      <c r="B142" s="44" t="s">
        <v>8</v>
      </c>
      <c r="C142" s="460">
        <f>(M142*E142*O142*Q142)/100000000</f>
        <v>5.7380399999999998</v>
      </c>
      <c r="D142" s="44" t="s">
        <v>659</v>
      </c>
      <c r="E142" s="45">
        <v>30</v>
      </c>
      <c r="F142" s="45">
        <v>1</v>
      </c>
      <c r="G142" s="511">
        <v>545</v>
      </c>
      <c r="H142" s="47">
        <v>0.12</v>
      </c>
      <c r="I142" s="48">
        <v>0.88</v>
      </c>
      <c r="J142" s="85">
        <f>E142*G142*(1-H142)*1440/1000000*3.4</f>
        <v>70.443647999999996</v>
      </c>
      <c r="K142" s="85">
        <f>(IF(G142&lt;L142,L142,G142)*(1-IF(H142&lt;N142,H142,N142))*E142*O142*Q142)/100000000</f>
        <v>5.7380399999999998</v>
      </c>
      <c r="L142" s="38">
        <v>600</v>
      </c>
      <c r="M142" s="38">
        <f t="shared" ref="M142:M146" si="4">+L142-L142*0.12</f>
        <v>528</v>
      </c>
      <c r="N142" s="49">
        <f>1-(M142/L142)</f>
        <v>0.12</v>
      </c>
      <c r="O142" s="50">
        <f>+'Trim Rwd'!H99</f>
        <v>315</v>
      </c>
      <c r="P142" s="51">
        <f>O142*(Q142-R142-S142)</f>
        <v>34965</v>
      </c>
      <c r="Q142" s="50">
        <v>115</v>
      </c>
      <c r="R142" s="512">
        <v>0</v>
      </c>
      <c r="S142" s="512">
        <v>4</v>
      </c>
      <c r="T142" s="40">
        <f>E142*M142*O142*Q142/100000000</f>
        <v>5.7380399999999998</v>
      </c>
      <c r="U142" s="40">
        <f>E142*M142*O142*(Q142-R142-S142)/100000000</f>
        <v>5.538456</v>
      </c>
      <c r="V142" s="40">
        <f>E142*G142*(1-N142)*O142/100*(R142+S142)/1000000</f>
        <v>0.1812888</v>
      </c>
      <c r="W142" s="40">
        <f>+'30'!K26/1000</f>
        <v>6.673</v>
      </c>
      <c r="X142" s="513">
        <f>SUM(W142:W146)/SUM(K142:K146)</f>
        <v>0.91878251905884101</v>
      </c>
      <c r="Y142" s="214">
        <v>0</v>
      </c>
      <c r="Z142" s="40">
        <v>0</v>
      </c>
      <c r="AA142" s="52">
        <f>SUM(U142:U146)-SUM(W142:W146)-SUM(Z142:Z146)-SUM(Y142:Y146)</f>
        <v>3.2702270440000132</v>
      </c>
      <c r="AB142" s="52">
        <f>(SUM(K142:K146)-SUM(W142:W146)-SUM(Y142:Y146)-SUM(Z142:Z146)-SUM(AC142:AC146)-SUM(V142:V146))-AA142</f>
        <v>0.17100283199999167</v>
      </c>
      <c r="AC142" s="40">
        <f>K142-T142</f>
        <v>0</v>
      </c>
      <c r="AD142" s="40">
        <f>+AM142+BA142</f>
        <v>8</v>
      </c>
      <c r="AE142" s="233" t="s">
        <v>436</v>
      </c>
      <c r="AF142" s="40">
        <v>8</v>
      </c>
      <c r="AG142" s="40"/>
      <c r="AH142" s="40"/>
      <c r="AI142" s="514"/>
      <c r="AJ142" s="40"/>
      <c r="AK142" s="40"/>
      <c r="AL142" s="40"/>
      <c r="AM142" s="40">
        <f>SUM(AF142:AL142)+AT142+AV142+AX142</f>
        <v>8</v>
      </c>
      <c r="AN142" s="40"/>
      <c r="AO142" s="40"/>
      <c r="AP142" s="40"/>
      <c r="AQ142" s="40"/>
      <c r="AR142" s="40">
        <f>SUM(AN142:AQ142)</f>
        <v>0</v>
      </c>
      <c r="AS142" s="40"/>
      <c r="AT142" s="40"/>
      <c r="AU142" s="40"/>
      <c r="AV142" s="40"/>
      <c r="AW142" s="40"/>
      <c r="AX142" s="40"/>
      <c r="AY142" s="40"/>
      <c r="AZ142" s="40"/>
      <c r="BA142" s="40">
        <f>+AR142+AS142+AU142+AW142+AY142+AZ142</f>
        <v>0</v>
      </c>
      <c r="BB142" s="36">
        <v>2</v>
      </c>
      <c r="BC142" s="54"/>
      <c r="BD142" s="54"/>
      <c r="BE142" s="36"/>
      <c r="BF142" s="54"/>
    </row>
    <row r="143" spans="1:58" ht="12.95" customHeight="1">
      <c r="A143" s="43"/>
      <c r="B143" s="44" t="s">
        <v>8</v>
      </c>
      <c r="C143" s="460">
        <f t="shared" ref="C143:C146" si="5">(M143*E143*O143*Q143)/100000000</f>
        <v>16.740107999999999</v>
      </c>
      <c r="D143" s="44" t="s">
        <v>659</v>
      </c>
      <c r="E143" s="45">
        <v>31.5</v>
      </c>
      <c r="F143" s="45">
        <v>1</v>
      </c>
      <c r="G143" s="511">
        <v>520</v>
      </c>
      <c r="H143" s="47">
        <v>0.12</v>
      </c>
      <c r="I143" s="48">
        <v>0.88</v>
      </c>
      <c r="J143" s="85">
        <f t="shared" ref="J143:J146" si="6">E143*G143*(1-H143)*1440/1000000*3.4</f>
        <v>70.572902400000004</v>
      </c>
      <c r="K143" s="85">
        <f t="shared" ref="K143:K146" si="7">(IF(G143&lt;L143,L143,G143)*(1-IF(H143&lt;N143,H143,N143))*E143*O143*Q143)/100000000</f>
        <v>16.740107999999999</v>
      </c>
      <c r="L143" s="38">
        <v>600</v>
      </c>
      <c r="M143" s="38">
        <f t="shared" si="4"/>
        <v>528</v>
      </c>
      <c r="N143" s="49">
        <f t="shared" ref="N143:N146" si="8">1-(M143/L143)</f>
        <v>0.12</v>
      </c>
      <c r="O143" s="50">
        <f>+'Trim Rwd'!H100</f>
        <v>330</v>
      </c>
      <c r="P143" s="51">
        <f t="shared" ref="P143:P146" si="9">O143*(Q143-R143-S143)</f>
        <v>98670</v>
      </c>
      <c r="Q143" s="50">
        <v>305</v>
      </c>
      <c r="R143" s="512">
        <v>0</v>
      </c>
      <c r="S143" s="512">
        <v>6</v>
      </c>
      <c r="T143" s="40">
        <f t="shared" ref="T143:T146" si="10">E143*M143*O143*Q143/100000000</f>
        <v>16.740107999999999</v>
      </c>
      <c r="U143" s="40">
        <f t="shared" ref="U143:U146" si="11">E143*M143*O143*(Q143-R143-S143)/100000000</f>
        <v>16.4107944</v>
      </c>
      <c r="V143" s="40">
        <f t="shared" ref="V143:V146" si="12">E143*G143*(1-N143)*O143/100*(R143+S143)/1000000</f>
        <v>0.28540512000000001</v>
      </c>
      <c r="W143" s="40">
        <f>+'30'!K27/1000</f>
        <v>10.807</v>
      </c>
      <c r="X143" s="41"/>
      <c r="Y143" s="214"/>
      <c r="Z143" s="40">
        <f>+'30'!D8/1000</f>
        <v>0.7</v>
      </c>
      <c r="AA143" s="40"/>
      <c r="AB143" s="40"/>
      <c r="AC143" s="40">
        <f t="shared" ref="AC143:AC146" si="13">K143-T143</f>
        <v>0</v>
      </c>
      <c r="AD143" s="40">
        <f>+AM143+BA143</f>
        <v>5</v>
      </c>
      <c r="AE143" s="233" t="s">
        <v>434</v>
      </c>
      <c r="AF143" s="40"/>
      <c r="AG143" s="40">
        <v>5</v>
      </c>
      <c r="AH143" s="40"/>
      <c r="AI143" s="514"/>
      <c r="AJ143" s="40"/>
      <c r="AK143" s="40"/>
      <c r="AL143" s="40"/>
      <c r="AM143" s="40">
        <f>SUM(AF143:AL143)+AT143+AV143+AX143</f>
        <v>5</v>
      </c>
      <c r="AN143" s="86"/>
      <c r="AO143" s="40"/>
      <c r="AP143" s="40"/>
      <c r="AQ143" s="40"/>
      <c r="AR143" s="40">
        <f>SUM(AN143:AQ143)</f>
        <v>0</v>
      </c>
      <c r="AS143" s="40"/>
      <c r="AT143" s="40"/>
      <c r="AU143" s="40"/>
      <c r="AV143" s="40"/>
      <c r="AW143" s="40"/>
      <c r="AX143" s="40"/>
      <c r="AY143" s="40"/>
      <c r="AZ143" s="40"/>
      <c r="BA143" s="40">
        <f>+AR143+AS143+AU143+AW143+AY143+AZ143</f>
        <v>0</v>
      </c>
      <c r="BB143" s="53"/>
      <c r="BC143" s="54">
        <v>2</v>
      </c>
      <c r="BD143" s="54"/>
      <c r="BE143" s="53"/>
      <c r="BF143" s="54"/>
    </row>
    <row r="144" spans="1:58" ht="12.95" customHeight="1">
      <c r="A144" s="43"/>
      <c r="B144" s="44" t="s">
        <v>8</v>
      </c>
      <c r="C144" s="460">
        <f t="shared" si="5"/>
        <v>8.7790703000000008</v>
      </c>
      <c r="D144" s="44" t="s">
        <v>659</v>
      </c>
      <c r="E144" s="45">
        <v>33.5</v>
      </c>
      <c r="F144" s="45">
        <v>1</v>
      </c>
      <c r="G144" s="511">
        <v>490</v>
      </c>
      <c r="H144" s="47">
        <v>0.12</v>
      </c>
      <c r="I144" s="48">
        <v>0.88</v>
      </c>
      <c r="J144" s="85">
        <f t="shared" si="6"/>
        <v>70.723699199999999</v>
      </c>
      <c r="K144" s="85">
        <f t="shared" si="7"/>
        <v>8.7790703000000008</v>
      </c>
      <c r="L144" s="38">
        <v>550</v>
      </c>
      <c r="M144" s="38">
        <f t="shared" si="4"/>
        <v>484</v>
      </c>
      <c r="N144" s="49">
        <f t="shared" si="8"/>
        <v>0.12</v>
      </c>
      <c r="O144" s="50">
        <f>+'Trim Rwd'!H101</f>
        <v>318.5</v>
      </c>
      <c r="P144" s="51">
        <f t="shared" si="9"/>
        <v>52871</v>
      </c>
      <c r="Q144" s="50">
        <v>170</v>
      </c>
      <c r="R144" s="512">
        <v>0</v>
      </c>
      <c r="S144" s="512">
        <v>4</v>
      </c>
      <c r="T144" s="40">
        <f t="shared" si="10"/>
        <v>8.7790703000000008</v>
      </c>
      <c r="U144" s="40">
        <f t="shared" si="11"/>
        <v>8.5725039400000007</v>
      </c>
      <c r="V144" s="40">
        <f t="shared" si="12"/>
        <v>0.184031848</v>
      </c>
      <c r="W144" s="40">
        <f>+'30'!K28/1000</f>
        <v>10.058</v>
      </c>
      <c r="X144" s="41"/>
      <c r="Y144" s="214"/>
      <c r="Z144" s="40">
        <v>0</v>
      </c>
      <c r="AA144" s="40"/>
      <c r="AB144" s="40"/>
      <c r="AC144" s="40">
        <f t="shared" si="13"/>
        <v>0</v>
      </c>
      <c r="AD144" s="40">
        <f>+AM144+BA144</f>
        <v>9</v>
      </c>
      <c r="AE144" s="233" t="s">
        <v>226</v>
      </c>
      <c r="AF144" s="36"/>
      <c r="AG144" s="36"/>
      <c r="AH144" s="36">
        <v>9</v>
      </c>
      <c r="AI144" s="514"/>
      <c r="AJ144" s="40"/>
      <c r="AK144" s="40"/>
      <c r="AL144" s="40"/>
      <c r="AM144" s="40">
        <f>SUM(AF144:AL144)+AT144+AV144+AX144</f>
        <v>9</v>
      </c>
      <c r="AN144" s="40"/>
      <c r="AO144" s="40"/>
      <c r="AP144" s="40"/>
      <c r="AQ144" s="40"/>
      <c r="AR144" s="40">
        <f>SUM(AN144:AQ144)</f>
        <v>0</v>
      </c>
      <c r="AS144" s="40"/>
      <c r="AT144" s="40"/>
      <c r="AU144" s="40"/>
      <c r="AV144" s="40"/>
      <c r="AW144" s="40"/>
      <c r="AX144" s="40"/>
      <c r="AY144" s="40"/>
      <c r="AZ144" s="40"/>
      <c r="BA144" s="40">
        <f>+AR144+AS144+AU144+AW144+AY144+AZ144</f>
        <v>0</v>
      </c>
      <c r="BB144" s="36"/>
      <c r="BC144" s="515"/>
      <c r="BD144" s="515"/>
      <c r="BE144" s="36"/>
      <c r="BF144" s="515"/>
    </row>
    <row r="145" spans="1:97" ht="12.95" customHeight="1">
      <c r="A145" s="43"/>
      <c r="B145" s="44" t="s">
        <v>8</v>
      </c>
      <c r="C145" s="460">
        <f t="shared" si="5"/>
        <v>33.161356800000007</v>
      </c>
      <c r="D145" s="44" t="s">
        <v>659</v>
      </c>
      <c r="E145" s="45">
        <v>36</v>
      </c>
      <c r="F145" s="45">
        <v>1</v>
      </c>
      <c r="G145" s="511">
        <v>455</v>
      </c>
      <c r="H145" s="47">
        <v>0.12</v>
      </c>
      <c r="I145" s="48">
        <v>0.88</v>
      </c>
      <c r="J145" s="85">
        <f t="shared" si="6"/>
        <v>70.572902400000004</v>
      </c>
      <c r="K145" s="85">
        <f t="shared" si="7"/>
        <v>33.161356800000007</v>
      </c>
      <c r="L145" s="38">
        <v>520</v>
      </c>
      <c r="M145" s="38">
        <f t="shared" si="4"/>
        <v>457.6</v>
      </c>
      <c r="N145" s="49">
        <f t="shared" si="8"/>
        <v>0.12</v>
      </c>
      <c r="O145" s="50">
        <f>+'Trim Rwd'!H102</f>
        <v>330</v>
      </c>
      <c r="P145" s="51">
        <f t="shared" si="9"/>
        <v>198660</v>
      </c>
      <c r="Q145" s="50">
        <v>610</v>
      </c>
      <c r="R145" s="512">
        <v>0</v>
      </c>
      <c r="S145" s="512">
        <v>8</v>
      </c>
      <c r="T145" s="40">
        <f t="shared" si="10"/>
        <v>33.161356800000007</v>
      </c>
      <c r="U145" s="40">
        <f t="shared" si="11"/>
        <v>32.726453760000005</v>
      </c>
      <c r="V145" s="40">
        <f t="shared" si="12"/>
        <v>0.38054015999999996</v>
      </c>
      <c r="W145" s="40">
        <f>+'30'!K29/1000</f>
        <v>36.277000000000001</v>
      </c>
      <c r="X145" s="513"/>
      <c r="Y145" s="214"/>
      <c r="Z145" s="40">
        <f>+'30'!D25/1000</f>
        <v>0.78</v>
      </c>
      <c r="AA145" s="52"/>
      <c r="AB145" s="52"/>
      <c r="AC145" s="40">
        <f t="shared" si="13"/>
        <v>0</v>
      </c>
      <c r="AD145" s="40">
        <f>+AM145+BA145</f>
        <v>6</v>
      </c>
      <c r="AE145" s="233" t="s">
        <v>447</v>
      </c>
      <c r="AF145" s="40"/>
      <c r="AG145" s="40"/>
      <c r="AH145" s="40"/>
      <c r="AI145" s="514">
        <v>6</v>
      </c>
      <c r="AJ145" s="40"/>
      <c r="AK145" s="40"/>
      <c r="AL145" s="40"/>
      <c r="AM145" s="40">
        <f>SUM(AF145:AL145)+AT145+AV145+AX145</f>
        <v>6</v>
      </c>
      <c r="AN145" s="40"/>
      <c r="AO145" s="40"/>
      <c r="AP145" s="40"/>
      <c r="AQ145" s="40"/>
      <c r="AR145" s="40">
        <f>SUM(AN145:AQ145)</f>
        <v>0</v>
      </c>
      <c r="AS145" s="40"/>
      <c r="AT145" s="40"/>
      <c r="AU145" s="40"/>
      <c r="AV145" s="40"/>
      <c r="AW145" s="40"/>
      <c r="AX145" s="40"/>
      <c r="AY145" s="40"/>
      <c r="AZ145" s="40"/>
      <c r="BA145" s="40">
        <f>+AR145+AS145+AU145+AW145+AY145+AZ145</f>
        <v>0</v>
      </c>
      <c r="BB145" s="36"/>
      <c r="BC145" s="515"/>
      <c r="BD145" s="515"/>
      <c r="BE145" s="36"/>
      <c r="BF145" s="515"/>
    </row>
    <row r="146" spans="1:97" ht="12.95" customHeight="1">
      <c r="A146" s="43"/>
      <c r="B146" s="44" t="s">
        <v>8</v>
      </c>
      <c r="C146" s="460">
        <f t="shared" si="5"/>
        <v>12.25027584</v>
      </c>
      <c r="D146" s="44" t="s">
        <v>659</v>
      </c>
      <c r="E146" s="45">
        <v>38</v>
      </c>
      <c r="F146" s="45">
        <v>1</v>
      </c>
      <c r="G146" s="511">
        <v>430</v>
      </c>
      <c r="H146" s="47">
        <v>0.12</v>
      </c>
      <c r="I146" s="48">
        <v>0.88</v>
      </c>
      <c r="J146" s="85">
        <f t="shared" si="6"/>
        <v>70.400563199999993</v>
      </c>
      <c r="K146" s="85">
        <f t="shared" si="7"/>
        <v>12.25027584</v>
      </c>
      <c r="L146" s="38">
        <v>480</v>
      </c>
      <c r="M146" s="38">
        <f t="shared" si="4"/>
        <v>422.4</v>
      </c>
      <c r="N146" s="49">
        <f t="shared" si="8"/>
        <v>0.12</v>
      </c>
      <c r="O146" s="50">
        <f>+'Trim Rwd'!H103</f>
        <v>318</v>
      </c>
      <c r="P146" s="51">
        <f t="shared" si="9"/>
        <v>74412</v>
      </c>
      <c r="Q146" s="50">
        <v>240</v>
      </c>
      <c r="R146" s="512">
        <v>0</v>
      </c>
      <c r="S146" s="512">
        <v>6</v>
      </c>
      <c r="T146" s="40">
        <f t="shared" si="10"/>
        <v>12.25027584</v>
      </c>
      <c r="U146" s="40">
        <f t="shared" si="11"/>
        <v>11.944018943999998</v>
      </c>
      <c r="V146" s="40">
        <f t="shared" si="12"/>
        <v>0.27435513600000005</v>
      </c>
      <c r="W146" s="40">
        <f>+'30'!K30/1000</f>
        <v>6.6269999999999998</v>
      </c>
      <c r="X146" s="41"/>
      <c r="Y146" s="214"/>
      <c r="Z146" s="40"/>
      <c r="AA146" s="40"/>
      <c r="AB146" s="40"/>
      <c r="AC146" s="40">
        <f t="shared" si="13"/>
        <v>0</v>
      </c>
      <c r="AD146" s="40"/>
      <c r="AE146" s="233"/>
      <c r="AF146" s="40"/>
      <c r="AG146" s="40"/>
      <c r="AH146" s="40"/>
      <c r="AI146" s="514"/>
      <c r="AJ146" s="40"/>
      <c r="AK146" s="40"/>
      <c r="AL146" s="40"/>
      <c r="AM146" s="40"/>
      <c r="AN146" s="86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53"/>
      <c r="BC146" s="54"/>
      <c r="BD146" s="54"/>
      <c r="BE146" s="54"/>
      <c r="BF146" s="54"/>
    </row>
    <row r="147" spans="1:97" ht="12.95" customHeight="1">
      <c r="A147" s="43"/>
      <c r="B147" s="44"/>
      <c r="C147" s="460"/>
      <c r="D147" s="44"/>
      <c r="E147" s="45"/>
      <c r="F147" s="45"/>
      <c r="G147" s="511"/>
      <c r="H147" s="47"/>
      <c r="I147" s="48"/>
      <c r="J147" s="85"/>
      <c r="K147" s="85"/>
      <c r="L147" s="38"/>
      <c r="M147" s="38"/>
      <c r="N147" s="49"/>
      <c r="O147" s="50"/>
      <c r="P147" s="51"/>
      <c r="Q147" s="50"/>
      <c r="R147" s="512"/>
      <c r="S147" s="512"/>
      <c r="T147" s="40"/>
      <c r="U147" s="40"/>
      <c r="V147" s="40"/>
      <c r="W147" s="40"/>
      <c r="X147" s="41"/>
      <c r="Y147" s="214"/>
      <c r="Z147" s="40"/>
      <c r="AA147" s="40"/>
      <c r="AB147" s="40"/>
      <c r="AC147" s="40"/>
      <c r="AD147" s="40"/>
      <c r="AE147" s="233"/>
      <c r="AF147" s="36"/>
      <c r="AG147" s="36"/>
      <c r="AH147" s="36"/>
      <c r="AI147" s="514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36"/>
      <c r="BC147" s="515"/>
      <c r="BD147" s="54"/>
      <c r="BE147" s="54"/>
      <c r="BF147" s="54"/>
    </row>
    <row r="148" spans="1:97" ht="12.95" customHeight="1">
      <c r="A148" s="43">
        <v>45900</v>
      </c>
      <c r="B148" s="44" t="s">
        <v>8</v>
      </c>
      <c r="C148" s="460">
        <f t="shared" ref="C148:C149" si="14">(M148*E148*O148*Q148)/100000000</f>
        <v>58.933184640000007</v>
      </c>
      <c r="D148" s="44" t="s">
        <v>659</v>
      </c>
      <c r="E148" s="45">
        <v>38</v>
      </c>
      <c r="F148" s="45">
        <v>1</v>
      </c>
      <c r="G148" s="511">
        <v>430</v>
      </c>
      <c r="H148" s="47">
        <v>0.12</v>
      </c>
      <c r="I148" s="48">
        <v>0.88</v>
      </c>
      <c r="J148" s="85">
        <f t="shared" ref="J148:J149" si="15">E148*G148*(1-H148)*1440/1000000*3.4</f>
        <v>70.400563199999993</v>
      </c>
      <c r="K148" s="85">
        <f t="shared" ref="K148:K149" si="16">(IF(G148&lt;L148,L148,G148)*(1-IF(H148&lt;N148,H148,N148))*E148*O148*Q148)/100000000</f>
        <v>58.933184640000007</v>
      </c>
      <c r="L148" s="38">
        <v>499.27927927927925</v>
      </c>
      <c r="M148" s="38">
        <v>439.36576576576579</v>
      </c>
      <c r="N148" s="49">
        <f t="shared" ref="N148:N149" si="17">1-(M148/L148)</f>
        <v>0.11999999999999988</v>
      </c>
      <c r="O148" s="50">
        <f>+'Trim Rwd'!H105</f>
        <v>318</v>
      </c>
      <c r="P148" s="51">
        <f t="shared" ref="P148:P149" si="18">O148*(Q148-R148-S148)</f>
        <v>348846</v>
      </c>
      <c r="Q148" s="50">
        <v>1110</v>
      </c>
      <c r="R148" s="512">
        <v>0</v>
      </c>
      <c r="S148" s="512">
        <v>13</v>
      </c>
      <c r="T148" s="40">
        <f t="shared" ref="T148:T149" si="19">E148*M148*O148*Q148/100000000</f>
        <v>58.933184640000007</v>
      </c>
      <c r="U148" s="40">
        <f t="shared" ref="U148:U149" si="20">E148*M148*O148*(Q148-R148-S148)/100000000</f>
        <v>58.242976171243249</v>
      </c>
      <c r="V148" s="40">
        <f t="shared" ref="V148:V149" si="21">E148*G148*(1-N148)*O148/100*(R148+S148)/1000000</f>
        <v>0.59443612800000012</v>
      </c>
      <c r="W148" s="40">
        <f>+'31'!K30/1000</f>
        <v>62.066000000000003</v>
      </c>
      <c r="X148" s="513">
        <f>SUM(W148:W151)/SUM(K148:K151)</f>
        <v>0.96985461089263192</v>
      </c>
      <c r="Y148" s="214">
        <f>+SUM(RBP!$AG$3:$AG$4)</f>
        <v>4.5999999999999996</v>
      </c>
      <c r="Z148" s="40">
        <v>0</v>
      </c>
      <c r="AA148" s="52">
        <f>SUM(U148:U151)-SUM(W148:W151)-SUM(Z148:Z151)-SUM(Y148:Y151)</f>
        <v>-3.256401228756749</v>
      </c>
      <c r="AB148" s="52">
        <f>(SUM(K148:K151)-SUM(W148:W151)-SUM(Y148:Y151)-SUM(Z148:Z151)-SUM(AC148:AC151)-SUM(V148:V151))-AA148</f>
        <v>0.1301051007567624</v>
      </c>
      <c r="AC148" s="40">
        <f>K148-T148</f>
        <v>0</v>
      </c>
      <c r="AD148" s="40">
        <f>+AM148+BA148</f>
        <v>0</v>
      </c>
      <c r="AE148" s="233" t="s">
        <v>391</v>
      </c>
      <c r="AF148" s="40">
        <v>0</v>
      </c>
      <c r="AG148" s="40"/>
      <c r="AH148" s="40"/>
      <c r="AI148" s="514"/>
      <c r="AJ148" s="40"/>
      <c r="AK148" s="40"/>
      <c r="AL148" s="40"/>
      <c r="AM148" s="40">
        <f>SUM(AF148:AL148)+AT148+AV148+AX148</f>
        <v>0</v>
      </c>
      <c r="AN148" s="40"/>
      <c r="AO148" s="40"/>
      <c r="AP148" s="40"/>
      <c r="AQ148" s="40"/>
      <c r="AR148" s="40">
        <f>SUM(AN148:AQ148)</f>
        <v>0</v>
      </c>
      <c r="AS148" s="40"/>
      <c r="AT148" s="40"/>
      <c r="AU148" s="40"/>
      <c r="AV148" s="40"/>
      <c r="AW148" s="40"/>
      <c r="AX148" s="40"/>
      <c r="AY148" s="40"/>
      <c r="AZ148" s="40"/>
      <c r="BA148" s="40">
        <f>+AR148+AS148+AU148+AW148+AY148+AZ148</f>
        <v>0</v>
      </c>
      <c r="BB148" s="36">
        <v>0</v>
      </c>
      <c r="BC148" s="54"/>
      <c r="BD148" s="54"/>
      <c r="BE148" s="36"/>
      <c r="BF148" s="54"/>
    </row>
    <row r="149" spans="1:97" ht="12.95" customHeight="1">
      <c r="A149" s="43"/>
      <c r="B149" s="44" t="s">
        <v>8</v>
      </c>
      <c r="C149" s="460">
        <f t="shared" si="14"/>
        <v>17.156570640000002</v>
      </c>
      <c r="D149" s="44" t="s">
        <v>659</v>
      </c>
      <c r="E149" s="45">
        <v>35.5</v>
      </c>
      <c r="F149" s="45">
        <v>1</v>
      </c>
      <c r="G149" s="511">
        <v>460</v>
      </c>
      <c r="H149" s="47">
        <v>0.12</v>
      </c>
      <c r="I149" s="48">
        <v>0.88</v>
      </c>
      <c r="J149" s="85">
        <f t="shared" si="15"/>
        <v>70.357478400000005</v>
      </c>
      <c r="K149" s="85">
        <f t="shared" si="16"/>
        <v>17.156570640000002</v>
      </c>
      <c r="L149" s="38">
        <v>530</v>
      </c>
      <c r="M149" s="38">
        <v>466.4</v>
      </c>
      <c r="N149" s="49">
        <f t="shared" si="17"/>
        <v>0.12</v>
      </c>
      <c r="O149" s="50">
        <f>+'Trim Rwd'!H106</f>
        <v>314</v>
      </c>
      <c r="P149" s="51">
        <f t="shared" si="18"/>
        <v>102050</v>
      </c>
      <c r="Q149" s="50">
        <v>330</v>
      </c>
      <c r="R149" s="512">
        <v>0</v>
      </c>
      <c r="S149" s="512">
        <v>5</v>
      </c>
      <c r="T149" s="40">
        <f t="shared" si="19"/>
        <v>17.156570640000002</v>
      </c>
      <c r="U149" s="40">
        <f t="shared" si="20"/>
        <v>16.896622600000001</v>
      </c>
      <c r="V149" s="40">
        <f t="shared" si="21"/>
        <v>0.22561527999999997</v>
      </c>
      <c r="W149" s="40">
        <f>+'31'!K31/1000</f>
        <v>5.657</v>
      </c>
      <c r="X149" s="41"/>
      <c r="Y149" s="214"/>
      <c r="Z149" s="40"/>
      <c r="AA149" s="40"/>
      <c r="AB149" s="40"/>
      <c r="AC149" s="40">
        <f t="shared" ref="AC149" si="22">K149-T149</f>
        <v>0</v>
      </c>
      <c r="AD149" s="40">
        <f>+AM149+BA149</f>
        <v>4</v>
      </c>
      <c r="AE149" s="233" t="s">
        <v>389</v>
      </c>
      <c r="AF149" s="40"/>
      <c r="AG149" s="40">
        <v>4</v>
      </c>
      <c r="AH149" s="40"/>
      <c r="AI149" s="514"/>
      <c r="AJ149" s="40"/>
      <c r="AK149" s="40"/>
      <c r="AL149" s="40"/>
      <c r="AM149" s="40">
        <f>SUM(AF149:AL149)+AT149+AV149+AX149</f>
        <v>4</v>
      </c>
      <c r="AN149" s="86"/>
      <c r="AO149" s="40"/>
      <c r="AP149" s="40"/>
      <c r="AQ149" s="40"/>
      <c r="AR149" s="40">
        <f>SUM(AN149:AQ149)</f>
        <v>0</v>
      </c>
      <c r="AS149" s="40"/>
      <c r="AT149" s="40"/>
      <c r="AU149" s="40"/>
      <c r="AV149" s="40"/>
      <c r="AW149" s="40"/>
      <c r="AX149" s="40"/>
      <c r="AY149" s="40"/>
      <c r="AZ149" s="40"/>
      <c r="BA149" s="40">
        <f>+AR149+AS149+AU149+AW149+AY149+AZ149</f>
        <v>0</v>
      </c>
      <c r="BB149" s="53"/>
      <c r="BC149" s="54">
        <v>1</v>
      </c>
      <c r="BD149" s="54"/>
      <c r="BE149" s="53"/>
      <c r="BF149" s="54"/>
    </row>
    <row r="150" spans="1:97" ht="12.95" customHeight="1">
      <c r="A150" s="43"/>
      <c r="B150" s="44"/>
      <c r="C150" s="460"/>
      <c r="D150" s="44"/>
      <c r="E150" s="45"/>
      <c r="F150" s="45"/>
      <c r="G150" s="511"/>
      <c r="H150" s="47"/>
      <c r="I150" s="48"/>
      <c r="J150" s="85"/>
      <c r="K150" s="85"/>
      <c r="L150" s="38"/>
      <c r="M150" s="38"/>
      <c r="N150" s="49"/>
      <c r="O150" s="50"/>
      <c r="P150" s="51"/>
      <c r="Q150" s="50"/>
      <c r="R150" s="512"/>
      <c r="S150" s="512"/>
      <c r="T150" s="40"/>
      <c r="U150" s="40"/>
      <c r="V150" s="40"/>
      <c r="W150" s="40">
        <f>+'31'!K29/1000</f>
        <v>6.0730000000000004</v>
      </c>
      <c r="X150" s="41"/>
      <c r="Y150" s="214"/>
      <c r="Z150" s="40"/>
      <c r="AA150" s="40"/>
      <c r="AB150" s="40"/>
      <c r="AC150" s="40"/>
      <c r="AD150" s="40">
        <f>+AM150+BA150</f>
        <v>14</v>
      </c>
      <c r="AE150" s="233" t="s">
        <v>226</v>
      </c>
      <c r="AF150" s="36"/>
      <c r="AG150" s="36"/>
      <c r="AH150" s="36">
        <v>14</v>
      </c>
      <c r="AI150" s="514"/>
      <c r="AJ150" s="40"/>
      <c r="AK150" s="40"/>
      <c r="AL150" s="40"/>
      <c r="AM150" s="40">
        <f>SUM(AF150:AL150)+AT150+AV150+AX150</f>
        <v>14</v>
      </c>
      <c r="AN150" s="40"/>
      <c r="AO150" s="40"/>
      <c r="AP150" s="40"/>
      <c r="AQ150" s="40"/>
      <c r="AR150" s="40">
        <f>SUM(AN150:AQ150)</f>
        <v>0</v>
      </c>
      <c r="AS150" s="40"/>
      <c r="AT150" s="40"/>
      <c r="AU150" s="40"/>
      <c r="AV150" s="40"/>
      <c r="AW150" s="40"/>
      <c r="AX150" s="40"/>
      <c r="AY150" s="40"/>
      <c r="AZ150" s="40"/>
      <c r="BA150" s="40">
        <f>+AR150+AS150+AU150+AW150+AY150+AZ150</f>
        <v>0</v>
      </c>
      <c r="BB150" s="36"/>
      <c r="BC150" s="515"/>
      <c r="BD150" s="515"/>
      <c r="BE150" s="36"/>
      <c r="BF150" s="515"/>
    </row>
    <row r="151" spans="1:97" ht="12.95" customHeight="1">
      <c r="A151" s="43"/>
      <c r="B151" s="44"/>
      <c r="C151" s="460"/>
      <c r="D151" s="44"/>
      <c r="E151" s="45"/>
      <c r="F151" s="45"/>
      <c r="G151" s="511"/>
      <c r="H151" s="47"/>
      <c r="I151" s="48"/>
      <c r="J151" s="85"/>
      <c r="K151" s="85"/>
      <c r="L151" s="38"/>
      <c r="M151" s="38"/>
      <c r="N151" s="49"/>
      <c r="O151" s="50"/>
      <c r="P151" s="51"/>
      <c r="Q151" s="50"/>
      <c r="R151" s="512"/>
      <c r="S151" s="512"/>
      <c r="T151" s="40"/>
      <c r="U151" s="40"/>
      <c r="V151" s="40"/>
      <c r="W151" s="40"/>
      <c r="X151" s="41"/>
      <c r="Y151" s="214"/>
      <c r="Z151" s="40"/>
      <c r="AA151" s="40"/>
      <c r="AB151" s="40"/>
      <c r="AC151" s="40"/>
      <c r="AD151" s="40"/>
      <c r="AE151" s="233"/>
      <c r="AF151" s="40"/>
      <c r="AG151" s="40"/>
      <c r="AH151" s="40"/>
      <c r="AI151" s="514"/>
      <c r="AJ151" s="40"/>
      <c r="AK151" s="40"/>
      <c r="AL151" s="40"/>
      <c r="AM151" s="40"/>
      <c r="AN151" s="86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53"/>
      <c r="BC151" s="54"/>
      <c r="BD151" s="54"/>
      <c r="BE151" s="54"/>
      <c r="BF151" s="54"/>
    </row>
    <row r="152" spans="1:97" ht="12.75" customHeight="1">
      <c r="R152" s="516"/>
      <c r="S152" s="516"/>
      <c r="AA152" s="249">
        <f>U152-W152-Z152</f>
        <v>0</v>
      </c>
      <c r="AB152" s="249"/>
      <c r="AC152" s="250">
        <f>K152-T152</f>
        <v>0</v>
      </c>
      <c r="AD152" s="40"/>
      <c r="AF152" s="55"/>
      <c r="AG152" s="55"/>
      <c r="AH152" s="55"/>
      <c r="AI152" s="55"/>
      <c r="AJ152" s="55"/>
      <c r="AK152" s="55"/>
      <c r="AL152" s="55"/>
      <c r="AM152" s="40">
        <f>SUM(AF152:AL152)</f>
        <v>0</v>
      </c>
      <c r="AN152" s="55"/>
      <c r="AO152" s="55"/>
      <c r="AP152" s="55"/>
      <c r="AQ152" s="55"/>
      <c r="AR152" s="40">
        <f>SUM(AN152:AQ152)</f>
        <v>0</v>
      </c>
      <c r="AS152" s="55"/>
      <c r="AT152" s="55"/>
      <c r="AU152" s="55"/>
      <c r="AV152" s="55"/>
      <c r="AW152" s="55"/>
      <c r="AX152" s="55"/>
      <c r="AY152" s="55"/>
      <c r="AZ152" s="55"/>
      <c r="BA152" s="40"/>
      <c r="BB152" s="66"/>
      <c r="BC152" s="66"/>
      <c r="BD152" s="515"/>
      <c r="BE152" s="36"/>
      <c r="BF152" s="515"/>
    </row>
    <row r="153" spans="1:97" ht="12.75" customHeight="1">
      <c r="A153" s="59"/>
      <c r="B153" s="60"/>
      <c r="C153" s="462">
        <f>SUM(C6:C151)</f>
        <v>1829.7569042363045</v>
      </c>
      <c r="D153" s="60"/>
      <c r="E153" s="61"/>
      <c r="F153" s="61"/>
      <c r="G153" s="62"/>
      <c r="H153" s="62"/>
      <c r="I153" s="63">
        <v>0.85</v>
      </c>
      <c r="J153" s="85"/>
      <c r="K153" s="87">
        <f>SUM(K6:K151)</f>
        <v>1844.6579621349383</v>
      </c>
      <c r="L153" s="65"/>
      <c r="M153" s="65"/>
      <c r="N153" s="66"/>
      <c r="O153" s="67">
        <f>P153/(Q153-R153-S153)</f>
        <v>323.87235446639892</v>
      </c>
      <c r="P153" s="64">
        <f>SUM(P6:P151)</f>
        <v>13384025.048323935</v>
      </c>
      <c r="Q153" s="383">
        <f>SUM(Q6:Q152)</f>
        <v>43234</v>
      </c>
      <c r="R153" s="64">
        <f t="shared" ref="R153:W153" si="23">SUM(R6:R151)</f>
        <v>579</v>
      </c>
      <c r="S153" s="64">
        <f t="shared" si="23"/>
        <v>1330</v>
      </c>
      <c r="T153" s="64">
        <f t="shared" si="23"/>
        <v>1829.7569042363045</v>
      </c>
      <c r="U153" s="64">
        <f t="shared" si="23"/>
        <v>1751.2093756540517</v>
      </c>
      <c r="V153" s="407">
        <f t="shared" si="23"/>
        <v>79.146392292925569</v>
      </c>
      <c r="W153" s="466">
        <f t="shared" si="23"/>
        <v>1681.0409999999995</v>
      </c>
      <c r="X153" s="517">
        <f>W153/K153</f>
        <v>0.9113022763604508</v>
      </c>
      <c r="Y153" s="408">
        <f>SUM(Y6:Y151)</f>
        <v>4.5999999999999996</v>
      </c>
      <c r="Z153" s="466">
        <f>SUM(Z6:Z151)</f>
        <v>16.451000000000001</v>
      </c>
      <c r="AA153" s="64">
        <f>SUM(AA6:AA151)</f>
        <v>49.117375654051251</v>
      </c>
      <c r="AB153" s="64">
        <f>SUM(AB6:AB151)</f>
        <v>-0.59886371067213762</v>
      </c>
      <c r="AC153" s="64">
        <f>SUM(AC6:AC151)</f>
        <v>14.901057898633862</v>
      </c>
      <c r="AD153" s="40">
        <f>SUM(AD6:AD152)</f>
        <v>1909</v>
      </c>
      <c r="AE153" s="68"/>
      <c r="AF153" s="64">
        <f t="shared" ref="AF153:BF153" si="24">SUM(AF6:AF152)</f>
        <v>238</v>
      </c>
      <c r="AG153" s="64">
        <f t="shared" si="24"/>
        <v>423</v>
      </c>
      <c r="AH153" s="64">
        <f t="shared" si="24"/>
        <v>506</v>
      </c>
      <c r="AI153" s="64">
        <f t="shared" si="24"/>
        <v>118</v>
      </c>
      <c r="AJ153" s="64">
        <f t="shared" si="24"/>
        <v>0</v>
      </c>
      <c r="AK153" s="64">
        <f t="shared" si="24"/>
        <v>45</v>
      </c>
      <c r="AL153" s="64">
        <f t="shared" si="24"/>
        <v>0</v>
      </c>
      <c r="AM153" s="64">
        <f t="shared" si="24"/>
        <v>1330</v>
      </c>
      <c r="AN153" s="55">
        <f t="shared" si="24"/>
        <v>0</v>
      </c>
      <c r="AO153" s="55">
        <f t="shared" si="24"/>
        <v>0</v>
      </c>
      <c r="AP153" s="55">
        <f t="shared" si="24"/>
        <v>579</v>
      </c>
      <c r="AQ153" s="55">
        <f t="shared" si="24"/>
        <v>0</v>
      </c>
      <c r="AR153" s="64">
        <f t="shared" si="24"/>
        <v>579</v>
      </c>
      <c r="AS153" s="64">
        <f t="shared" si="24"/>
        <v>0</v>
      </c>
      <c r="AT153" s="64">
        <f t="shared" si="24"/>
        <v>0</v>
      </c>
      <c r="AU153" s="64">
        <f t="shared" si="24"/>
        <v>0</v>
      </c>
      <c r="AV153" s="64">
        <f t="shared" si="24"/>
        <v>0</v>
      </c>
      <c r="AW153" s="64">
        <f t="shared" si="24"/>
        <v>0</v>
      </c>
      <c r="AX153" s="64">
        <f t="shared" si="24"/>
        <v>0</v>
      </c>
      <c r="AY153" s="64">
        <f t="shared" si="24"/>
        <v>0</v>
      </c>
      <c r="AZ153" s="64">
        <f t="shared" si="24"/>
        <v>0</v>
      </c>
      <c r="BA153" s="64">
        <f t="shared" si="24"/>
        <v>579</v>
      </c>
      <c r="BB153" s="55">
        <f t="shared" si="24"/>
        <v>79</v>
      </c>
      <c r="BC153" s="55">
        <f t="shared" si="24"/>
        <v>116</v>
      </c>
      <c r="BD153" s="55">
        <f t="shared" si="24"/>
        <v>0</v>
      </c>
      <c r="BE153" s="55">
        <f t="shared" si="24"/>
        <v>0</v>
      </c>
      <c r="BF153" s="55">
        <f t="shared" si="24"/>
        <v>0</v>
      </c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</row>
    <row r="154" spans="1:97" ht="12.75" customHeight="1">
      <c r="A154" s="59"/>
      <c r="B154" s="60"/>
      <c r="C154" s="60"/>
      <c r="D154" s="60"/>
      <c r="E154" s="61"/>
      <c r="F154" s="61"/>
      <c r="G154" s="62"/>
      <c r="H154" s="62"/>
      <c r="I154" s="62"/>
      <c r="J154" s="88"/>
      <c r="K154" s="88"/>
      <c r="L154" s="65"/>
      <c r="M154" s="65"/>
      <c r="N154" s="66"/>
      <c r="O154" s="656"/>
      <c r="P154" s="657"/>
      <c r="Q154" s="62">
        <f>31*1440-Q153</f>
        <v>1406</v>
      </c>
      <c r="R154" s="69">
        <f>R153/Q153</f>
        <v>1.339223759078503E-2</v>
      </c>
      <c r="S154" s="69">
        <f>S153/Q153</f>
        <v>3.0762825553962158E-2</v>
      </c>
      <c r="T154" s="394"/>
      <c r="U154" s="394"/>
      <c r="V154" s="396">
        <f>V153/K153</f>
        <v>4.2905727737907837E-2</v>
      </c>
      <c r="W154" s="412" t="s">
        <v>169</v>
      </c>
      <c r="X154" s="518">
        <v>0.85</v>
      </c>
      <c r="Y154" s="409">
        <f>Y153/K153</f>
        <v>2.4936872278891915E-3</v>
      </c>
      <c r="Z154" s="70">
        <f>Z153/K153</f>
        <v>8.9181844752184991E-3</v>
      </c>
      <c r="AA154" s="70">
        <f>AA153/K153</f>
        <v>2.6626820073031118E-2</v>
      </c>
      <c r="AB154" s="70">
        <f>AB153/K153</f>
        <v>-3.2464756229335604E-4</v>
      </c>
      <c r="AC154" s="519">
        <f>AC153/K153</f>
        <v>8.0779516877957872E-3</v>
      </c>
      <c r="AD154" s="397"/>
      <c r="AE154" s="42"/>
      <c r="AF154" s="70">
        <f>AF153/$AD$153*$V$154</f>
        <v>5.3491687803153823E-3</v>
      </c>
      <c r="AG154" s="70">
        <f>AG153/$AD$153*$V$154</f>
        <v>9.5071361095521289E-3</v>
      </c>
      <c r="AH154" s="70">
        <f>AH153/$AD$153*$V$154</f>
        <v>1.1372602532939428E-2</v>
      </c>
      <c r="AI154" s="70">
        <f>AI153/$AD$153*$V$154</f>
        <v>2.6521088910807359E-3</v>
      </c>
      <c r="AJ154" s="70">
        <f t="shared" ref="AJ154:BA154" si="25">AJ153/$AD$153*$V$154</f>
        <v>0</v>
      </c>
      <c r="AK154" s="70">
        <f t="shared" si="25"/>
        <v>1.0113974584629924E-3</v>
      </c>
      <c r="AL154" s="70">
        <f t="shared" si="25"/>
        <v>0</v>
      </c>
      <c r="AM154" s="70">
        <f t="shared" si="25"/>
        <v>2.9892413772350666E-2</v>
      </c>
      <c r="AN154" s="70">
        <f t="shared" si="25"/>
        <v>0</v>
      </c>
      <c r="AO154" s="70">
        <f t="shared" si="25"/>
        <v>0</v>
      </c>
      <c r="AP154" s="70">
        <f t="shared" si="25"/>
        <v>1.3013313965557169E-2</v>
      </c>
      <c r="AQ154" s="70">
        <f t="shared" si="25"/>
        <v>0</v>
      </c>
      <c r="AR154" s="70">
        <f t="shared" si="25"/>
        <v>1.3013313965557169E-2</v>
      </c>
      <c r="AS154" s="70">
        <f t="shared" si="25"/>
        <v>0</v>
      </c>
      <c r="AT154" s="70">
        <f t="shared" si="25"/>
        <v>0</v>
      </c>
      <c r="AU154" s="70">
        <f t="shared" si="25"/>
        <v>0</v>
      </c>
      <c r="AV154" s="70">
        <f>AV153/$AD$153*$V$154</f>
        <v>0</v>
      </c>
      <c r="AW154" s="70">
        <f>AW153/$AD$153*$V$154</f>
        <v>0</v>
      </c>
      <c r="AX154" s="70">
        <f>AX153/$AD$153*$V$154</f>
        <v>0</v>
      </c>
      <c r="AY154" s="70">
        <f>AY153/$AD$153*$V$154</f>
        <v>0</v>
      </c>
      <c r="AZ154" s="70">
        <f>AZ153/$AD$153*$V$154</f>
        <v>0</v>
      </c>
      <c r="BA154" s="70">
        <f t="shared" si="25"/>
        <v>1.3013313965557169E-2</v>
      </c>
      <c r="BB154" s="37" t="s">
        <v>168</v>
      </c>
      <c r="BC154" s="37" t="s">
        <v>168</v>
      </c>
      <c r="BD154" s="37" t="s">
        <v>377</v>
      </c>
      <c r="BE154" s="37" t="s">
        <v>377</v>
      </c>
      <c r="BF154" s="37" t="s">
        <v>377</v>
      </c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</row>
    <row r="155" spans="1:97" ht="12.75" customHeight="1">
      <c r="A155" s="59"/>
      <c r="B155" s="60"/>
      <c r="C155" s="60"/>
      <c r="D155" s="60"/>
      <c r="E155" s="61"/>
      <c r="F155" s="61"/>
      <c r="G155" s="37"/>
      <c r="H155" s="37"/>
      <c r="I155" s="37"/>
      <c r="J155" s="85"/>
      <c r="K155" s="85"/>
      <c r="L155" s="38"/>
      <c r="M155" s="38"/>
      <c r="N155" s="36"/>
      <c r="O155" s="39"/>
      <c r="P155" s="31"/>
      <c r="Q155" s="37"/>
      <c r="R155" s="40">
        <f>R153-(BA153)</f>
        <v>0</v>
      </c>
      <c r="S155" s="40">
        <f>+S153-AM153</f>
        <v>0</v>
      </c>
      <c r="T155" s="36"/>
      <c r="U155" s="36"/>
      <c r="V155" s="36"/>
      <c r="W155" s="410"/>
      <c r="X155" s="411"/>
      <c r="Y155" s="71">
        <f>+Y153-(SUM(RBP!AG3:AG4))</f>
        <v>0</v>
      </c>
      <c r="Z155" s="40">
        <f>+Z153-'31'!J56/1000</f>
        <v>0</v>
      </c>
      <c r="AA155" s="36"/>
      <c r="AB155" s="36"/>
      <c r="AC155" s="36"/>
      <c r="AD155" s="36"/>
      <c r="AE155" s="42"/>
      <c r="AF155" s="384"/>
      <c r="AG155" s="384"/>
      <c r="AH155" s="384"/>
      <c r="AI155" s="384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570">
        <v>150</v>
      </c>
      <c r="AU155" s="570">
        <v>1256</v>
      </c>
      <c r="AV155" s="570">
        <v>0</v>
      </c>
      <c r="AW155" s="570">
        <v>0</v>
      </c>
      <c r="AX155" s="570">
        <v>0</v>
      </c>
      <c r="AY155" s="570">
        <v>0</v>
      </c>
      <c r="AZ155" s="570">
        <v>0</v>
      </c>
      <c r="BA155" s="80"/>
      <c r="BB155" s="520">
        <f>BB153/($Q$153/1440)/2</f>
        <v>1.3156312161724568</v>
      </c>
      <c r="BC155" s="520">
        <f>BC153/($Q$153/1440)/2</f>
        <v>1.9318129250127214</v>
      </c>
      <c r="BD155" s="520">
        <f>BD153/($Q$153/1440)</f>
        <v>0</v>
      </c>
      <c r="BE155" s="520">
        <f>BE153/($Q$153/1440)</f>
        <v>0</v>
      </c>
      <c r="BF155" s="520">
        <f>BF153/($Q$153/1440)</f>
        <v>0</v>
      </c>
    </row>
    <row r="156" spans="1:97" ht="12.75" customHeight="1">
      <c r="A156" s="72"/>
      <c r="B156" s="73"/>
      <c r="C156" s="73"/>
      <c r="D156" s="73"/>
      <c r="E156" s="74"/>
      <c r="F156" s="74"/>
      <c r="G156" s="75"/>
      <c r="H156" s="75"/>
      <c r="I156" s="75"/>
      <c r="J156" s="89"/>
      <c r="K156" s="89"/>
      <c r="O156" s="76"/>
      <c r="P156" s="77"/>
      <c r="Q156" s="75"/>
      <c r="R156" s="56"/>
      <c r="S156" s="56"/>
      <c r="U156" s="78"/>
      <c r="V156" s="78"/>
      <c r="W156" s="79" t="s">
        <v>121</v>
      </c>
      <c r="X156" s="521">
        <f>W153/U153</f>
        <v>0.95993147556793701</v>
      </c>
      <c r="Y156" s="521"/>
      <c r="Z156" s="573"/>
      <c r="AA156" s="32" t="s">
        <v>380</v>
      </c>
      <c r="AD156" s="86"/>
      <c r="AE156" s="81"/>
      <c r="AF156" s="82"/>
      <c r="AG156" s="82"/>
      <c r="AH156" s="82"/>
      <c r="AI156" s="82"/>
      <c r="AJ156" s="82"/>
      <c r="AK156" s="82"/>
      <c r="AL156" s="82"/>
      <c r="AM156" s="82"/>
      <c r="AN156" s="80"/>
      <c r="AO156" s="80"/>
      <c r="AP156" s="80"/>
      <c r="AQ156" s="80"/>
      <c r="AR156" s="80"/>
      <c r="AS156" s="82"/>
      <c r="AT156" s="82"/>
      <c r="AU156" s="82"/>
      <c r="AV156" s="82"/>
      <c r="AW156" s="82"/>
      <c r="AX156" s="82"/>
      <c r="AY156" s="82"/>
      <c r="AZ156" s="82"/>
      <c r="BA156" s="80"/>
      <c r="BB156" s="30"/>
      <c r="BC156" s="80"/>
      <c r="BD156" s="80"/>
      <c r="BE156" s="30"/>
      <c r="BF156" s="80"/>
    </row>
    <row r="157" spans="1:97" ht="12.75" customHeight="1">
      <c r="A157" s="72"/>
      <c r="B157" s="73"/>
      <c r="C157" s="73"/>
      <c r="D157" s="73"/>
      <c r="E157" s="74"/>
      <c r="F157" s="74"/>
      <c r="G157" s="75"/>
      <c r="H157" s="75"/>
      <c r="I157" s="75"/>
      <c r="J157" s="89"/>
      <c r="K157" s="89"/>
      <c r="O157" s="76"/>
      <c r="P157" s="77"/>
      <c r="Q157" s="75"/>
      <c r="R157" s="56"/>
      <c r="S157" s="56"/>
      <c r="U157" s="78"/>
      <c r="V157" s="78"/>
      <c r="W157" s="79"/>
      <c r="X157" s="80"/>
      <c r="Y157" s="80"/>
      <c r="Z157" s="56"/>
      <c r="AA157" s="92"/>
      <c r="AB157" s="92"/>
      <c r="AD157" s="86"/>
      <c r="AE157" s="81"/>
      <c r="AF157" s="82"/>
      <c r="AG157" s="82"/>
      <c r="AH157" s="82"/>
      <c r="AI157" s="82"/>
      <c r="AJ157" s="82"/>
      <c r="AK157" s="82"/>
      <c r="AL157" s="82"/>
      <c r="AM157" s="82"/>
      <c r="AN157" s="82"/>
      <c r="AO157" s="80"/>
      <c r="AP157" s="80"/>
      <c r="AQ157" s="80"/>
      <c r="AR157" s="82"/>
      <c r="AS157" s="80"/>
      <c r="AT157" s="80"/>
      <c r="AU157" s="80"/>
      <c r="AV157" s="80"/>
      <c r="AW157" s="80"/>
      <c r="AX157" s="80"/>
      <c r="AY157" s="80"/>
      <c r="AZ157" s="80"/>
      <c r="BA157" s="80"/>
      <c r="BB157" s="30"/>
      <c r="BC157" s="80"/>
      <c r="BD157" s="80"/>
      <c r="BE157" s="30"/>
      <c r="BF157" s="80"/>
    </row>
    <row r="158" spans="1:97" ht="12.75" customHeight="1">
      <c r="A158" s="72"/>
      <c r="B158" s="73"/>
      <c r="C158" s="73"/>
      <c r="D158" s="73"/>
      <c r="E158" s="74"/>
      <c r="F158" s="74"/>
      <c r="G158" s="75"/>
      <c r="H158" s="75"/>
      <c r="I158" s="75"/>
      <c r="J158" s="89"/>
      <c r="K158" s="89"/>
      <c r="O158" s="76"/>
      <c r="P158" s="77"/>
      <c r="Q158" s="75"/>
      <c r="R158" s="395"/>
      <c r="S158" s="56"/>
      <c r="U158" s="78"/>
      <c r="V158" s="78"/>
      <c r="W158" s="79" t="s">
        <v>144</v>
      </c>
      <c r="X158" s="384">
        <f>+W153+Y153</f>
        <v>1685.6409999999994</v>
      </c>
      <c r="Y158" s="80"/>
      <c r="Z158" s="56"/>
      <c r="AD158" s="86"/>
      <c r="AE158" s="81"/>
      <c r="AF158" s="86"/>
      <c r="AG158" s="86"/>
      <c r="AH158" s="86"/>
      <c r="AI158" s="86"/>
      <c r="AJ158" s="80"/>
      <c r="AK158" s="80"/>
      <c r="AL158" s="80"/>
      <c r="AM158" s="82"/>
      <c r="AN158" s="80"/>
      <c r="AO158" s="80"/>
      <c r="AP158" s="80"/>
      <c r="AQ158" s="80"/>
      <c r="AR158" s="82"/>
      <c r="AS158" s="80"/>
      <c r="AT158" s="80"/>
      <c r="AU158" s="80"/>
      <c r="AV158" s="80"/>
      <c r="AW158" s="80"/>
      <c r="AX158" s="80"/>
      <c r="AY158" s="80"/>
      <c r="AZ158" s="80"/>
      <c r="BA158" s="80"/>
      <c r="BB158" s="30"/>
      <c r="BC158" s="80"/>
      <c r="BD158" s="80"/>
      <c r="BE158" s="30"/>
      <c r="BF158" s="80"/>
    </row>
    <row r="159" spans="1:97" ht="12.75" customHeight="1">
      <c r="A159" s="72"/>
      <c r="C159" s="73" t="s">
        <v>295</v>
      </c>
      <c r="D159" s="73"/>
      <c r="E159" s="74"/>
      <c r="F159" s="74"/>
      <c r="G159" s="75"/>
      <c r="H159" s="75"/>
      <c r="I159" s="75"/>
      <c r="J159" s="89"/>
      <c r="K159" s="89"/>
      <c r="O159" s="76"/>
      <c r="P159" s="77"/>
      <c r="Q159" s="75"/>
      <c r="R159" s="395"/>
      <c r="S159" s="56"/>
      <c r="U159" s="78"/>
      <c r="V159" s="405"/>
      <c r="W159" s="406"/>
      <c r="X159" s="400"/>
      <c r="Y159" s="406"/>
      <c r="Z159" s="400"/>
      <c r="AD159" s="393"/>
      <c r="AE159" s="81"/>
      <c r="AF159" s="393"/>
      <c r="AG159" s="393"/>
      <c r="AH159" s="393"/>
      <c r="AI159" s="393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30"/>
      <c r="BC159" s="80"/>
      <c r="BD159" s="80"/>
      <c r="BE159" s="30"/>
      <c r="BF159" s="80"/>
    </row>
    <row r="160" spans="1:97" ht="12.75" customHeight="1">
      <c r="A160" s="72"/>
      <c r="B160" s="73"/>
      <c r="C160" s="73" t="s">
        <v>296</v>
      </c>
      <c r="D160" s="73"/>
      <c r="E160" s="74"/>
      <c r="F160" s="74"/>
      <c r="G160" s="75"/>
      <c r="H160" s="75"/>
      <c r="I160" s="75"/>
      <c r="J160" s="89"/>
      <c r="K160" s="89"/>
      <c r="O160" s="76"/>
      <c r="P160" s="77"/>
      <c r="Q160" s="75"/>
      <c r="R160" s="395"/>
      <c r="S160" s="56"/>
      <c r="V160" s="398"/>
      <c r="W160" s="399" t="s">
        <v>303</v>
      </c>
      <c r="X160" s="398"/>
      <c r="Y160" s="398"/>
      <c r="Z160" s="400"/>
      <c r="AE160" s="81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30"/>
      <c r="BE160" s="30"/>
    </row>
    <row r="161" spans="1:57" ht="12.75" customHeight="1">
      <c r="A161" s="72"/>
      <c r="B161" s="73"/>
      <c r="C161" s="73"/>
      <c r="D161" s="73"/>
      <c r="E161" s="74"/>
      <c r="F161" s="74"/>
      <c r="G161" s="75"/>
      <c r="H161" s="75"/>
      <c r="I161" s="75"/>
      <c r="J161" s="89"/>
      <c r="K161" s="89"/>
      <c r="O161" s="76"/>
      <c r="P161" s="77"/>
      <c r="Q161" s="75"/>
      <c r="R161" s="395"/>
      <c r="S161" s="56"/>
      <c r="V161" s="398"/>
      <c r="W161" s="401" t="s">
        <v>291</v>
      </c>
      <c r="X161" s="522">
        <f>Y154</f>
        <v>2.4936872278891915E-3</v>
      </c>
      <c r="Y161" s="402"/>
      <c r="Z161" s="400"/>
      <c r="AE161" s="81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30"/>
      <c r="BE161" s="30"/>
    </row>
    <row r="162" spans="1:57" ht="12.75" customHeight="1">
      <c r="R162" s="92"/>
      <c r="V162" s="398"/>
      <c r="W162" s="401" t="s">
        <v>148</v>
      </c>
      <c r="X162" s="404">
        <f>Z154</f>
        <v>8.9181844752184991E-3</v>
      </c>
      <c r="Y162" s="403"/>
      <c r="Z162" s="398"/>
    </row>
    <row r="163" spans="1:57" ht="12.75" customHeight="1">
      <c r="R163" s="92"/>
      <c r="V163" s="398"/>
      <c r="W163" s="401" t="s">
        <v>149</v>
      </c>
      <c r="X163" s="404">
        <f>AC154</f>
        <v>8.0779516877957872E-3</v>
      </c>
      <c r="Y163" s="404"/>
      <c r="Z163" s="398"/>
    </row>
    <row r="164" spans="1:57" ht="12.75" customHeight="1">
      <c r="R164" s="92"/>
      <c r="V164" s="398"/>
      <c r="W164" s="401" t="s">
        <v>150</v>
      </c>
      <c r="X164" s="404">
        <f>AA154</f>
        <v>2.6626820073031118E-2</v>
      </c>
      <c r="Y164" s="403"/>
      <c r="Z164" s="398"/>
    </row>
    <row r="165" spans="1:57" ht="12.75" customHeight="1">
      <c r="V165" s="398"/>
      <c r="W165" s="401" t="s">
        <v>166</v>
      </c>
      <c r="X165" s="404">
        <f>AB154</f>
        <v>-3.2464756229335604E-4</v>
      </c>
      <c r="Y165" s="403" t="s">
        <v>164</v>
      </c>
      <c r="Z165" s="398"/>
    </row>
    <row r="166" spans="1:57" ht="12.75" customHeight="1">
      <c r="V166" s="398"/>
      <c r="W166" s="401" t="s">
        <v>202</v>
      </c>
      <c r="X166" s="404">
        <f>AF154</f>
        <v>5.3491687803153823E-3</v>
      </c>
      <c r="Y166" s="403"/>
      <c r="Z166" s="398"/>
    </row>
    <row r="167" spans="1:57" ht="12.75" customHeight="1">
      <c r="V167" s="398"/>
      <c r="W167" s="401" t="s">
        <v>203</v>
      </c>
      <c r="X167" s="404">
        <f>+AG154</f>
        <v>9.5071361095521289E-3</v>
      </c>
      <c r="Y167" s="403"/>
      <c r="Z167" s="398"/>
    </row>
    <row r="168" spans="1:57" ht="12.75" customHeight="1">
      <c r="V168" s="398"/>
      <c r="W168" s="401" t="s">
        <v>297</v>
      </c>
      <c r="X168" s="404">
        <f>+AH154</f>
        <v>1.1372602532939428E-2</v>
      </c>
      <c r="Y168" s="403"/>
      <c r="Z168" s="398"/>
    </row>
    <row r="169" spans="1:57" ht="12.75" customHeight="1">
      <c r="V169" s="398"/>
      <c r="W169" s="401" t="s">
        <v>227</v>
      </c>
      <c r="X169" s="404">
        <f>+AI154</f>
        <v>2.6521088910807359E-3</v>
      </c>
      <c r="Y169" s="403"/>
      <c r="Z169" s="398"/>
    </row>
    <row r="170" spans="1:57" ht="12.75" customHeight="1">
      <c r="V170" s="398"/>
      <c r="W170" s="401" t="s">
        <v>157</v>
      </c>
      <c r="X170" s="404">
        <f>+AJ154</f>
        <v>0</v>
      </c>
      <c r="Y170" s="403"/>
      <c r="Z170" s="398"/>
    </row>
    <row r="171" spans="1:57" ht="12.75" customHeight="1">
      <c r="V171" s="398"/>
      <c r="W171" s="401" t="s">
        <v>159</v>
      </c>
      <c r="X171" s="404">
        <f>+AK154</f>
        <v>1.0113974584629924E-3</v>
      </c>
      <c r="Y171" s="403"/>
      <c r="Z171" s="398"/>
    </row>
    <row r="172" spans="1:57" ht="12.75" customHeight="1">
      <c r="V172" s="398"/>
      <c r="W172" s="401" t="s">
        <v>158</v>
      </c>
      <c r="X172" s="404">
        <f>+AL154</f>
        <v>0</v>
      </c>
      <c r="Y172" s="403"/>
      <c r="Z172" s="398"/>
    </row>
    <row r="173" spans="1:57" ht="12.75" customHeight="1">
      <c r="V173" s="398"/>
      <c r="W173" s="401" t="s">
        <v>151</v>
      </c>
      <c r="X173" s="404">
        <f>+AN154</f>
        <v>0</v>
      </c>
      <c r="Y173" s="403"/>
      <c r="Z173" s="398"/>
    </row>
    <row r="174" spans="1:57" ht="12.75" customHeight="1">
      <c r="V174" s="398"/>
      <c r="W174" s="401" t="s">
        <v>161</v>
      </c>
      <c r="X174" s="404">
        <f>+AO154</f>
        <v>0</v>
      </c>
      <c r="Y174" s="403"/>
      <c r="Z174" s="398"/>
    </row>
    <row r="175" spans="1:57" ht="12.75" customHeight="1">
      <c r="V175" s="398"/>
      <c r="W175" s="401" t="s">
        <v>152</v>
      </c>
      <c r="X175" s="404">
        <f>+AP154</f>
        <v>1.3013313965557169E-2</v>
      </c>
      <c r="Y175" s="403"/>
      <c r="Z175" s="398"/>
    </row>
    <row r="176" spans="1:57" ht="12.75" customHeight="1">
      <c r="V176" s="398"/>
      <c r="W176" s="401" t="s">
        <v>160</v>
      </c>
      <c r="X176" s="404">
        <f>+AQ154</f>
        <v>0</v>
      </c>
      <c r="Y176" s="403"/>
      <c r="Z176" s="398"/>
    </row>
    <row r="177" spans="22:26" ht="12.75" customHeight="1">
      <c r="V177" s="398"/>
      <c r="W177" s="401" t="s">
        <v>163</v>
      </c>
      <c r="X177" s="404">
        <f>+AS154</f>
        <v>0</v>
      </c>
      <c r="Y177" s="403"/>
      <c r="Z177" s="398"/>
    </row>
    <row r="178" spans="22:26" ht="12.75" customHeight="1">
      <c r="V178" s="398"/>
      <c r="W178" s="401" t="s">
        <v>298</v>
      </c>
      <c r="X178" s="404">
        <f>+AT154</f>
        <v>0</v>
      </c>
      <c r="Y178" s="403"/>
      <c r="Z178" s="398"/>
    </row>
    <row r="179" spans="22:26" ht="12.75" customHeight="1">
      <c r="V179" s="398"/>
      <c r="W179" s="401" t="s">
        <v>243</v>
      </c>
      <c r="X179" s="404">
        <f>+AU154</f>
        <v>0</v>
      </c>
      <c r="Y179" s="403"/>
      <c r="Z179" s="398"/>
    </row>
    <row r="180" spans="22:26" ht="12.75" customHeight="1">
      <c r="V180" s="398"/>
      <c r="W180" s="401" t="s">
        <v>306</v>
      </c>
      <c r="X180" s="404">
        <f>+AW154</f>
        <v>0</v>
      </c>
      <c r="Y180" s="403"/>
      <c r="Z180" s="398"/>
    </row>
    <row r="181" spans="22:26" ht="12.75" customHeight="1">
      <c r="V181" s="398"/>
      <c r="W181" s="401" t="s">
        <v>307</v>
      </c>
      <c r="X181" s="404">
        <f>+AV154</f>
        <v>0</v>
      </c>
      <c r="Y181" s="403"/>
      <c r="Z181" s="398"/>
    </row>
    <row r="182" spans="22:26" ht="12.75" customHeight="1">
      <c r="V182" s="398"/>
      <c r="W182" s="398" t="s">
        <v>162</v>
      </c>
      <c r="X182" s="404">
        <f>+AX154+AY154</f>
        <v>0</v>
      </c>
      <c r="Y182" s="404"/>
      <c r="Z182" s="398"/>
    </row>
    <row r="183" spans="22:26" ht="12.75" customHeight="1">
      <c r="V183" s="398"/>
      <c r="W183" s="398" t="s">
        <v>305</v>
      </c>
      <c r="X183" s="404">
        <f>+AZ155</f>
        <v>0</v>
      </c>
      <c r="Y183" s="398"/>
      <c r="Z183" s="398"/>
    </row>
    <row r="184" spans="22:26" ht="12.75" customHeight="1">
      <c r="V184" s="398"/>
      <c r="W184" s="398"/>
      <c r="X184" s="538">
        <f>SUM(X161:X183)</f>
        <v>8.8697723639549086E-2</v>
      </c>
      <c r="Y184" s="398"/>
      <c r="Z184" s="398"/>
    </row>
    <row r="185" spans="22:26" ht="12.75" customHeight="1"/>
    <row r="186" spans="22:26" ht="12.75" customHeight="1">
      <c r="X186" s="92">
        <f>+X184+X153</f>
        <v>0.99999999999999989</v>
      </c>
    </row>
    <row r="187" spans="22:26" ht="12.75" customHeight="1"/>
    <row r="188" spans="22:26" ht="12.75" customHeight="1"/>
    <row r="189" spans="22:26" ht="12.75" customHeight="1"/>
    <row r="190" spans="22:26" ht="12.75" customHeight="1"/>
    <row r="191" spans="22:26" ht="12.75" customHeight="1"/>
    <row r="192" spans="22:26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4:P154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4 B152:B154 C152">
    <cfRule type="cellIs" dxfId="16594" priority="29950" stopIfTrue="1" operator="equal">
      <formula>"Towel"</formula>
    </cfRule>
    <cfRule type="cellIs" dxfId="16593" priority="29951" stopIfTrue="1" operator="equal">
      <formula>"Napkin Hs"</formula>
    </cfRule>
  </conditionalFormatting>
  <conditionalFormatting sqref="B29:C29">
    <cfRule type="cellIs" dxfId="16592" priority="25430" stopIfTrue="1" operator="equal">
      <formula>"Towel"</formula>
    </cfRule>
    <cfRule type="cellIs" dxfId="16591" priority="25431" stopIfTrue="1" operator="equal">
      <formula>"Napkin Hs"</formula>
    </cfRule>
  </conditionalFormatting>
  <conditionalFormatting sqref="C29">
    <cfRule type="cellIs" dxfId="16590" priority="25426" stopIfTrue="1" operator="equal">
      <formula>"Towel"</formula>
    </cfRule>
    <cfRule type="cellIs" dxfId="16589" priority="25427" stopIfTrue="1" operator="equal">
      <formula>"Napkin Hs"</formula>
    </cfRule>
  </conditionalFormatting>
  <conditionalFormatting sqref="C29">
    <cfRule type="cellIs" dxfId="16588" priority="25429" stopIfTrue="1" operator="equal">
      <formula>"Napkin Hs"</formula>
    </cfRule>
  </conditionalFormatting>
  <conditionalFormatting sqref="C29">
    <cfRule type="cellIs" dxfId="16587" priority="25428" stopIfTrue="1" operator="equal">
      <formula>"Towel"</formula>
    </cfRule>
  </conditionalFormatting>
  <conditionalFormatting sqref="B9:C9">
    <cfRule type="cellIs" dxfId="16586" priority="23896" stopIfTrue="1" operator="equal">
      <formula>"Towel"</formula>
    </cfRule>
    <cfRule type="cellIs" dxfId="16585" priority="23897" stopIfTrue="1" operator="equal">
      <formula>"Napkin Hs"</formula>
    </cfRule>
  </conditionalFormatting>
  <conditionalFormatting sqref="C9">
    <cfRule type="cellIs" dxfId="16584" priority="23892" stopIfTrue="1" operator="equal">
      <formula>"Towel"</formula>
    </cfRule>
    <cfRule type="cellIs" dxfId="16583" priority="23893" stopIfTrue="1" operator="equal">
      <formula>"Napkin Hs"</formula>
    </cfRule>
  </conditionalFormatting>
  <conditionalFormatting sqref="C9">
    <cfRule type="cellIs" dxfId="16582" priority="23895" stopIfTrue="1" operator="equal">
      <formula>"Napkin Hs"</formula>
    </cfRule>
  </conditionalFormatting>
  <conditionalFormatting sqref="C9">
    <cfRule type="cellIs" dxfId="16581" priority="23894" stopIfTrue="1" operator="equal">
      <formula>"Towel"</formula>
    </cfRule>
  </conditionalFormatting>
  <conditionalFormatting sqref="B8:C8">
    <cfRule type="cellIs" dxfId="16580" priority="23868" stopIfTrue="1" operator="equal">
      <formula>"Towel"</formula>
    </cfRule>
  </conditionalFormatting>
  <conditionalFormatting sqref="B8:C8">
    <cfRule type="cellIs" dxfId="16579" priority="23869" stopIfTrue="1" operator="equal">
      <formula>"Napkin Hs"</formula>
    </cfRule>
    <cfRule type="cellIs" dxfId="16578" priority="23874" stopIfTrue="1" operator="equal">
      <formula>"Towel"</formula>
    </cfRule>
    <cfRule type="cellIs" dxfId="16577" priority="23875" stopIfTrue="1" operator="equal">
      <formula>"Napkin Hs"</formula>
    </cfRule>
    <cfRule type="cellIs" dxfId="16576" priority="23884" stopIfTrue="1" operator="equal">
      <formula>"Towel"</formula>
    </cfRule>
    <cfRule type="cellIs" dxfId="16575" priority="23885" stopIfTrue="1" operator="equal">
      <formula>"Napkin Hs"</formula>
    </cfRule>
    <cfRule type="cellIs" dxfId="16574" priority="23890" stopIfTrue="1" operator="equal">
      <formula>"Towel"</formula>
    </cfRule>
    <cfRule type="cellIs" dxfId="16573" priority="23891" stopIfTrue="1" operator="equal">
      <formula>"Napkin Hs"</formula>
    </cfRule>
  </conditionalFormatting>
  <conditionalFormatting sqref="C8">
    <cfRule type="cellIs" dxfId="16572" priority="23870" stopIfTrue="1" operator="equal">
      <formula>"Towel"</formula>
    </cfRule>
    <cfRule type="cellIs" dxfId="16571" priority="23871" stopIfTrue="1" operator="equal">
      <formula>"Napkin Hs"</formula>
    </cfRule>
    <cfRule type="cellIs" dxfId="16570" priority="23872" stopIfTrue="1" operator="equal">
      <formula>"Towel"</formula>
    </cfRule>
    <cfRule type="cellIs" dxfId="16569" priority="23873" stopIfTrue="1" operator="equal">
      <formula>"Napkin Hs"</formula>
    </cfRule>
    <cfRule type="cellIs" dxfId="16568" priority="23876" stopIfTrue="1" operator="equal">
      <formula>"Towel"</formula>
    </cfRule>
    <cfRule type="cellIs" dxfId="16567" priority="23877" stopIfTrue="1" operator="equal">
      <formula>"Napkin Hs"</formula>
    </cfRule>
    <cfRule type="cellIs" dxfId="16566" priority="23878" stopIfTrue="1" operator="equal">
      <formula>"Towel"</formula>
    </cfRule>
    <cfRule type="cellIs" dxfId="16565" priority="23879" stopIfTrue="1" operator="equal">
      <formula>"Napkin Hs"</formula>
    </cfRule>
    <cfRule type="cellIs" dxfId="16564" priority="23880" stopIfTrue="1" operator="equal">
      <formula>"Towel"</formula>
    </cfRule>
    <cfRule type="cellIs" dxfId="16563" priority="23881" stopIfTrue="1" operator="equal">
      <formula>"Napkin Hs"</formula>
    </cfRule>
    <cfRule type="cellIs" dxfId="16562" priority="23882" stopIfTrue="1" operator="equal">
      <formula>"Towel"</formula>
    </cfRule>
    <cfRule type="cellIs" dxfId="16561" priority="23883" stopIfTrue="1" operator="equal">
      <formula>"Napkin Hs"</formula>
    </cfRule>
    <cfRule type="cellIs" dxfId="16560" priority="23886" stopIfTrue="1" operator="equal">
      <formula>"Towel"</formula>
    </cfRule>
    <cfRule type="cellIs" dxfId="16559" priority="23887" stopIfTrue="1" operator="equal">
      <formula>"Napkin Hs"</formula>
    </cfRule>
    <cfRule type="cellIs" dxfId="16558" priority="23889" stopIfTrue="1" operator="equal">
      <formula>"Napkin Hs"</formula>
    </cfRule>
  </conditionalFormatting>
  <conditionalFormatting sqref="C8">
    <cfRule type="cellIs" dxfId="16557" priority="23888" stopIfTrue="1" operator="equal">
      <formula>"Towel"</formula>
    </cfRule>
  </conditionalFormatting>
  <conditionalFormatting sqref="B8:C8">
    <cfRule type="cellIs" dxfId="16556" priority="23866" stopIfTrue="1" operator="equal">
      <formula>"Towel"</formula>
    </cfRule>
    <cfRule type="cellIs" dxfId="16555" priority="23867" stopIfTrue="1" operator="equal">
      <formula>"Napkin Hs"</formula>
    </cfRule>
  </conditionalFormatting>
  <conditionalFormatting sqref="C8">
    <cfRule type="cellIs" dxfId="16554" priority="23865" stopIfTrue="1" operator="equal">
      <formula>"Napkin Hs"</formula>
    </cfRule>
  </conditionalFormatting>
  <conditionalFormatting sqref="C8">
    <cfRule type="cellIs" dxfId="16553" priority="23864" stopIfTrue="1" operator="equal">
      <formula>"Towel"</formula>
    </cfRule>
  </conditionalFormatting>
  <conditionalFormatting sqref="C8">
    <cfRule type="cellIs" dxfId="16552" priority="23862" stopIfTrue="1" operator="equal">
      <formula>"Towel"</formula>
    </cfRule>
  </conditionalFormatting>
  <conditionalFormatting sqref="C8">
    <cfRule type="cellIs" dxfId="16551" priority="23863" stopIfTrue="1" operator="equal">
      <formula>"Napkin Hs"</formula>
    </cfRule>
  </conditionalFormatting>
  <conditionalFormatting sqref="B8">
    <cfRule type="cellIs" dxfId="16550" priority="23766" stopIfTrue="1" operator="equal">
      <formula>"Napkin Hs"</formula>
    </cfRule>
  </conditionalFormatting>
  <conditionalFormatting sqref="B8:C8">
    <cfRule type="cellIs" dxfId="16549" priority="23765" stopIfTrue="1" operator="equal">
      <formula>"Towel"</formula>
    </cfRule>
  </conditionalFormatting>
  <conditionalFormatting sqref="B8:C8">
    <cfRule type="cellIs" dxfId="16548" priority="23776" stopIfTrue="1" operator="equal">
      <formula>"Towel"</formula>
    </cfRule>
    <cfRule type="cellIs" dxfId="16547" priority="23777" stopIfTrue="1" operator="equal">
      <formula>"Napkin Hs"</formula>
    </cfRule>
    <cfRule type="cellIs" dxfId="16546" priority="23782" stopIfTrue="1" operator="equal">
      <formula>"Towel"</formula>
    </cfRule>
    <cfRule type="cellIs" dxfId="16545" priority="23783" stopIfTrue="1" operator="equal">
      <formula>"Napkin Hs"</formula>
    </cfRule>
    <cfRule type="cellIs" dxfId="16544" priority="23788" stopIfTrue="1" operator="equal">
      <formula>"Towel"</formula>
    </cfRule>
    <cfRule type="cellIs" dxfId="16543" priority="23789" stopIfTrue="1" operator="equal">
      <formula>"Napkin Hs"</formula>
    </cfRule>
    <cfRule type="cellIs" dxfId="16542" priority="23790" stopIfTrue="1" operator="equal">
      <formula>"Towel"</formula>
    </cfRule>
    <cfRule type="cellIs" dxfId="16541" priority="23791" stopIfTrue="1" operator="equal">
      <formula>"Napkin Hs"</formula>
    </cfRule>
    <cfRule type="cellIs" dxfId="16540" priority="23796" stopIfTrue="1" operator="equal">
      <formula>"Towel"</formula>
    </cfRule>
    <cfRule type="cellIs" dxfId="16539" priority="23797" stopIfTrue="1" operator="equal">
      <formula>"Napkin Hs"</formula>
    </cfRule>
    <cfRule type="cellIs" dxfId="16538" priority="23806" stopIfTrue="1" operator="equal">
      <formula>"Towel"</formula>
    </cfRule>
    <cfRule type="cellIs" dxfId="16537" priority="23807" stopIfTrue="1" operator="equal">
      <formula>"Napkin Hs"</formula>
    </cfRule>
    <cfRule type="cellIs" dxfId="16536" priority="23812" stopIfTrue="1" operator="equal">
      <formula>"Towel"</formula>
    </cfRule>
    <cfRule type="cellIs" dxfId="16535" priority="23813" stopIfTrue="1" operator="equal">
      <formula>"Napkin Hs"</formula>
    </cfRule>
    <cfRule type="cellIs" dxfId="16534" priority="23814" stopIfTrue="1" operator="equal">
      <formula>"Towel"</formula>
    </cfRule>
    <cfRule type="cellIs" dxfId="16533" priority="23815" stopIfTrue="1" operator="equal">
      <formula>"Napkin Hs"</formula>
    </cfRule>
    <cfRule type="cellIs" dxfId="16532" priority="23820" stopIfTrue="1" operator="equal">
      <formula>"Towel"</formula>
    </cfRule>
    <cfRule type="cellIs" dxfId="16531" priority="23821" stopIfTrue="1" operator="equal">
      <formula>"Napkin Hs"</formula>
    </cfRule>
    <cfRule type="cellIs" dxfId="16530" priority="23830" stopIfTrue="1" operator="equal">
      <formula>"Towel"</formula>
    </cfRule>
    <cfRule type="cellIs" dxfId="16529" priority="23831" stopIfTrue="1" operator="equal">
      <formula>"Napkin Hs"</formula>
    </cfRule>
    <cfRule type="cellIs" dxfId="16528" priority="23832" stopIfTrue="1" operator="equal">
      <formula>"Towel"</formula>
    </cfRule>
    <cfRule type="cellIs" dxfId="16527" priority="23833" stopIfTrue="1" operator="equal">
      <formula>"Napkin Hs"</formula>
    </cfRule>
    <cfRule type="cellIs" dxfId="16526" priority="23838" stopIfTrue="1" operator="equal">
      <formula>"Towel"</formula>
    </cfRule>
    <cfRule type="cellIs" dxfId="16525" priority="23839" stopIfTrue="1" operator="equal">
      <formula>"Napkin Hs"</formula>
    </cfRule>
    <cfRule type="cellIs" dxfId="16524" priority="23848" stopIfTrue="1" operator="equal">
      <formula>"Towel"</formula>
    </cfRule>
    <cfRule type="cellIs" dxfId="16523" priority="23849" stopIfTrue="1" operator="equal">
      <formula>"Napkin Hs"</formula>
    </cfRule>
    <cfRule type="cellIs" dxfId="16522" priority="23850" stopIfTrue="1" operator="equal">
      <formula>"Towel"</formula>
    </cfRule>
    <cfRule type="cellIs" dxfId="16521" priority="23851" stopIfTrue="1" operator="equal">
      <formula>"Napkin Hs"</formula>
    </cfRule>
    <cfRule type="cellIs" dxfId="16520" priority="23857" stopIfTrue="1" operator="equal">
      <formula>"Napkin Hs"</formula>
    </cfRule>
  </conditionalFormatting>
  <conditionalFormatting sqref="B8:C8">
    <cfRule type="cellIs" dxfId="16519" priority="23856" stopIfTrue="1" operator="equal">
      <formula>"Towel"</formula>
    </cfRule>
  </conditionalFormatting>
  <conditionalFormatting sqref="C8">
    <cfRule type="cellIs" dxfId="16518" priority="23767" stopIfTrue="1" operator="equal">
      <formula>"Napkin Hs"</formula>
    </cfRule>
    <cfRule type="cellIs" dxfId="16517" priority="23768" stopIfTrue="1" operator="equal">
      <formula>"Towel"</formula>
    </cfRule>
    <cfRule type="cellIs" dxfId="16516" priority="23769" stopIfTrue="1" operator="equal">
      <formula>"Napkin Hs"</formula>
    </cfRule>
    <cfRule type="cellIs" dxfId="16515" priority="23770" stopIfTrue="1" operator="equal">
      <formula>"Towel"</formula>
    </cfRule>
    <cfRule type="cellIs" dxfId="16514" priority="23771" stopIfTrue="1" operator="equal">
      <formula>"Napkin Hs"</formula>
    </cfRule>
    <cfRule type="cellIs" dxfId="16513" priority="23772" stopIfTrue="1" operator="equal">
      <formula>"Towel"</formula>
    </cfRule>
    <cfRule type="cellIs" dxfId="16512" priority="23773" stopIfTrue="1" operator="equal">
      <formula>"Napkin Hs"</formula>
    </cfRule>
    <cfRule type="cellIs" dxfId="16511" priority="23774" stopIfTrue="1" operator="equal">
      <formula>"Towel"</formula>
    </cfRule>
    <cfRule type="cellIs" dxfId="16510" priority="23775" stopIfTrue="1" operator="equal">
      <formula>"Napkin Hs"</formula>
    </cfRule>
    <cfRule type="cellIs" dxfId="16509" priority="23778" stopIfTrue="1" operator="equal">
      <formula>"Towel"</formula>
    </cfRule>
    <cfRule type="cellIs" dxfId="16508" priority="23779" stopIfTrue="1" operator="equal">
      <formula>"Napkin Hs"</formula>
    </cfRule>
    <cfRule type="cellIs" dxfId="16507" priority="23780" stopIfTrue="1" operator="equal">
      <formula>"Towel"</formula>
    </cfRule>
    <cfRule type="cellIs" dxfId="16506" priority="23781" stopIfTrue="1" operator="equal">
      <formula>"Napkin Hs"</formula>
    </cfRule>
    <cfRule type="cellIs" dxfId="16505" priority="23784" stopIfTrue="1" operator="equal">
      <formula>"Towel"</formula>
    </cfRule>
    <cfRule type="cellIs" dxfId="16504" priority="23785" stopIfTrue="1" operator="equal">
      <formula>"Napkin Hs"</formula>
    </cfRule>
    <cfRule type="cellIs" dxfId="16503" priority="23786" stopIfTrue="1" operator="equal">
      <formula>"Towel"</formula>
    </cfRule>
    <cfRule type="cellIs" dxfId="16502" priority="23787" stopIfTrue="1" operator="equal">
      <formula>"Napkin Hs"</formula>
    </cfRule>
    <cfRule type="cellIs" dxfId="16501" priority="23792" stopIfTrue="1" operator="equal">
      <formula>"Towel"</formula>
    </cfRule>
    <cfRule type="cellIs" dxfId="16500" priority="23793" stopIfTrue="1" operator="equal">
      <formula>"Napkin Hs"</formula>
    </cfRule>
    <cfRule type="cellIs" dxfId="16499" priority="23794" stopIfTrue="1" operator="equal">
      <formula>"Towel"</formula>
    </cfRule>
    <cfRule type="cellIs" dxfId="16498" priority="23795" stopIfTrue="1" operator="equal">
      <formula>"Napkin Hs"</formula>
    </cfRule>
    <cfRule type="cellIs" dxfId="16497" priority="23798" stopIfTrue="1" operator="equal">
      <formula>"Towel"</formula>
    </cfRule>
    <cfRule type="cellIs" dxfId="16496" priority="23799" stopIfTrue="1" operator="equal">
      <formula>"Napkin Hs"</formula>
    </cfRule>
    <cfRule type="cellIs" dxfId="16495" priority="23800" stopIfTrue="1" operator="equal">
      <formula>"Towel"</formula>
    </cfRule>
    <cfRule type="cellIs" dxfId="16494" priority="23801" stopIfTrue="1" operator="equal">
      <formula>"Napkin Hs"</formula>
    </cfRule>
    <cfRule type="cellIs" dxfId="16493" priority="23802" stopIfTrue="1" operator="equal">
      <formula>"Towel"</formula>
    </cfRule>
    <cfRule type="cellIs" dxfId="16492" priority="23803" stopIfTrue="1" operator="equal">
      <formula>"Napkin Hs"</formula>
    </cfRule>
    <cfRule type="cellIs" dxfId="16491" priority="23804" stopIfTrue="1" operator="equal">
      <formula>"Towel"</formula>
    </cfRule>
    <cfRule type="cellIs" dxfId="16490" priority="23805" stopIfTrue="1" operator="equal">
      <formula>"Napkin Hs"</formula>
    </cfRule>
    <cfRule type="cellIs" dxfId="16489" priority="23808" stopIfTrue="1" operator="equal">
      <formula>"Towel"</formula>
    </cfRule>
    <cfRule type="cellIs" dxfId="16488" priority="23809" stopIfTrue="1" operator="equal">
      <formula>"Napkin Hs"</formula>
    </cfRule>
    <cfRule type="cellIs" dxfId="16487" priority="23810" stopIfTrue="1" operator="equal">
      <formula>"Towel"</formula>
    </cfRule>
    <cfRule type="cellIs" dxfId="16486" priority="23811" stopIfTrue="1" operator="equal">
      <formula>"Napkin Hs"</formula>
    </cfRule>
    <cfRule type="cellIs" dxfId="16485" priority="23816" stopIfTrue="1" operator="equal">
      <formula>"Towel"</formula>
    </cfRule>
    <cfRule type="cellIs" dxfId="16484" priority="23817" stopIfTrue="1" operator="equal">
      <formula>"Napkin Hs"</formula>
    </cfRule>
    <cfRule type="cellIs" dxfId="16483" priority="23818" stopIfTrue="1" operator="equal">
      <formula>"Towel"</formula>
    </cfRule>
    <cfRule type="cellIs" dxfId="16482" priority="23819" stopIfTrue="1" operator="equal">
      <formula>"Napkin Hs"</formula>
    </cfRule>
    <cfRule type="cellIs" dxfId="16481" priority="23822" stopIfTrue="1" operator="equal">
      <formula>"Towel"</formula>
    </cfRule>
    <cfRule type="cellIs" dxfId="16480" priority="23823" stopIfTrue="1" operator="equal">
      <formula>"Napkin Hs"</formula>
    </cfRule>
    <cfRule type="cellIs" dxfId="16479" priority="23824" stopIfTrue="1" operator="equal">
      <formula>"Towel"</formula>
    </cfRule>
    <cfRule type="cellIs" dxfId="16478" priority="23825" stopIfTrue="1" operator="equal">
      <formula>"Napkin Hs"</formula>
    </cfRule>
    <cfRule type="cellIs" dxfId="16477" priority="23826" stopIfTrue="1" operator="equal">
      <formula>"Towel"</formula>
    </cfRule>
    <cfRule type="cellIs" dxfId="16476" priority="23827" stopIfTrue="1" operator="equal">
      <formula>"Napkin Hs"</formula>
    </cfRule>
    <cfRule type="cellIs" dxfId="16475" priority="23828" stopIfTrue="1" operator="equal">
      <formula>"Towel"</formula>
    </cfRule>
    <cfRule type="cellIs" dxfId="16474" priority="23829" stopIfTrue="1" operator="equal">
      <formula>"Napkin Hs"</formula>
    </cfRule>
    <cfRule type="cellIs" dxfId="16473" priority="23834" stopIfTrue="1" operator="equal">
      <formula>"Towel"</formula>
    </cfRule>
    <cfRule type="cellIs" dxfId="16472" priority="23835" stopIfTrue="1" operator="equal">
      <formula>"Napkin Hs"</formula>
    </cfRule>
    <cfRule type="cellIs" dxfId="16471" priority="23836" stopIfTrue="1" operator="equal">
      <formula>"Towel"</formula>
    </cfRule>
    <cfRule type="cellIs" dxfId="16470" priority="23837" stopIfTrue="1" operator="equal">
      <formula>"Napkin Hs"</formula>
    </cfRule>
    <cfRule type="cellIs" dxfId="16469" priority="23840" stopIfTrue="1" operator="equal">
      <formula>"Towel"</formula>
    </cfRule>
    <cfRule type="cellIs" dxfId="16468" priority="23841" stopIfTrue="1" operator="equal">
      <formula>"Napkin Hs"</formula>
    </cfRule>
    <cfRule type="cellIs" dxfId="16467" priority="23842" stopIfTrue="1" operator="equal">
      <formula>"Towel"</formula>
    </cfRule>
    <cfRule type="cellIs" dxfId="16466" priority="23843" stopIfTrue="1" operator="equal">
      <formula>"Napkin Hs"</formula>
    </cfRule>
    <cfRule type="cellIs" dxfId="16465" priority="23844" stopIfTrue="1" operator="equal">
      <formula>"Towel"</formula>
    </cfRule>
    <cfRule type="cellIs" dxfId="16464" priority="23845" stopIfTrue="1" operator="equal">
      <formula>"Napkin Hs"</formula>
    </cfRule>
    <cfRule type="cellIs" dxfId="16463" priority="23846" stopIfTrue="1" operator="equal">
      <formula>"Towel"</formula>
    </cfRule>
    <cfRule type="cellIs" dxfId="16462" priority="23847" stopIfTrue="1" operator="equal">
      <formula>"Napkin Hs"</formula>
    </cfRule>
    <cfRule type="cellIs" dxfId="16461" priority="23852" stopIfTrue="1" operator="equal">
      <formula>"Towel"</formula>
    </cfRule>
    <cfRule type="cellIs" dxfId="16460" priority="23853" stopIfTrue="1" operator="equal">
      <formula>"Napkin Hs"</formula>
    </cfRule>
    <cfRule type="cellIs" dxfId="16459" priority="23854" stopIfTrue="1" operator="equal">
      <formula>"Towel"</formula>
    </cfRule>
    <cfRule type="cellIs" dxfId="16458" priority="23855" stopIfTrue="1" operator="equal">
      <formula>"Napkin Hs"</formula>
    </cfRule>
    <cfRule type="cellIs" dxfId="16457" priority="23858" stopIfTrue="1" operator="equal">
      <formula>"Towel"</formula>
    </cfRule>
    <cfRule type="cellIs" dxfId="16456" priority="23859" stopIfTrue="1" operator="equal">
      <formula>"Napkin Hs"</formula>
    </cfRule>
    <cfRule type="cellIs" dxfId="16455" priority="23860" stopIfTrue="1" operator="equal">
      <formula>"Towel"</formula>
    </cfRule>
    <cfRule type="cellIs" dxfId="16454" priority="23861" stopIfTrue="1" operator="equal">
      <formula>"Napkin Hs"</formula>
    </cfRule>
  </conditionalFormatting>
  <conditionalFormatting sqref="C6:C7">
    <cfRule type="cellIs" dxfId="16453" priority="23764" stopIfTrue="1" operator="equal">
      <formula>"Napkin Hs"</formula>
    </cfRule>
  </conditionalFormatting>
  <conditionalFormatting sqref="C6:C7">
    <cfRule type="cellIs" dxfId="16452" priority="23763" stopIfTrue="1" operator="equal">
      <formula>"Napkin Hs"</formula>
    </cfRule>
  </conditionalFormatting>
  <conditionalFormatting sqref="B6:B7">
    <cfRule type="cellIs" dxfId="16451" priority="23762" stopIfTrue="1" operator="equal">
      <formula>"Napkin Hs"</formula>
    </cfRule>
  </conditionalFormatting>
  <conditionalFormatting sqref="C6:C7">
    <cfRule type="cellIs" dxfId="16450" priority="23761" stopIfTrue="1" operator="equal">
      <formula>"Napkin Hs"</formula>
    </cfRule>
  </conditionalFormatting>
  <conditionalFormatting sqref="C6:C7">
    <cfRule type="cellIs" dxfId="16449" priority="23760" stopIfTrue="1" operator="equal">
      <formula>"Napkin Hs"</formula>
    </cfRule>
  </conditionalFormatting>
  <conditionalFormatting sqref="C6:C7">
    <cfRule type="cellIs" dxfId="16448" priority="23759" stopIfTrue="1" operator="equal">
      <formula>"Napkin Hs"</formula>
    </cfRule>
  </conditionalFormatting>
  <conditionalFormatting sqref="C6:C7">
    <cfRule type="cellIs" dxfId="16447" priority="23758" stopIfTrue="1" operator="equal">
      <formula>"Napkin Hs"</formula>
    </cfRule>
  </conditionalFormatting>
  <conditionalFormatting sqref="B6:B7">
    <cfRule type="cellIs" dxfId="16446" priority="23757" stopIfTrue="1" operator="equal">
      <formula>"Napkin Hs"</formula>
    </cfRule>
  </conditionalFormatting>
  <conditionalFormatting sqref="B6:B7">
    <cfRule type="cellIs" dxfId="16445" priority="23756" stopIfTrue="1" operator="equal">
      <formula>"Napkin Hs"</formula>
    </cfRule>
  </conditionalFormatting>
  <conditionalFormatting sqref="C11">
    <cfRule type="cellIs" dxfId="16444" priority="23750" stopIfTrue="1" operator="equal">
      <formula>"Towel"</formula>
    </cfRule>
    <cfRule type="cellIs" dxfId="16443" priority="23751" stopIfTrue="1" operator="equal">
      <formula>"Napkin Hs"</formula>
    </cfRule>
  </conditionalFormatting>
  <conditionalFormatting sqref="C11">
    <cfRule type="cellIs" dxfId="16442" priority="23754" stopIfTrue="1" operator="equal">
      <formula>"Towel"</formula>
    </cfRule>
    <cfRule type="cellIs" dxfId="16441" priority="23755" stopIfTrue="1" operator="equal">
      <formula>"Napkin Hs"</formula>
    </cfRule>
  </conditionalFormatting>
  <conditionalFormatting sqref="C11">
    <cfRule type="cellIs" dxfId="16440" priority="23752" stopIfTrue="1" operator="equal">
      <formula>"Towel"</formula>
    </cfRule>
    <cfRule type="cellIs" dxfId="16439" priority="23753" stopIfTrue="1" operator="equal">
      <formula>"Napkin Hs"</formula>
    </cfRule>
  </conditionalFormatting>
  <conditionalFormatting sqref="C10">
    <cfRule type="cellIs" dxfId="16438" priority="23740" stopIfTrue="1" operator="equal">
      <formula>"Towel"</formula>
    </cfRule>
    <cfRule type="cellIs" dxfId="16437" priority="23741" stopIfTrue="1" operator="equal">
      <formula>"Napkin Hs"</formula>
    </cfRule>
  </conditionalFormatting>
  <conditionalFormatting sqref="C10">
    <cfRule type="cellIs" dxfId="16436" priority="23742" stopIfTrue="1" operator="equal">
      <formula>"Towel"</formula>
    </cfRule>
    <cfRule type="cellIs" dxfId="16435" priority="23743" stopIfTrue="1" operator="equal">
      <formula>"Napkin Hs"</formula>
    </cfRule>
  </conditionalFormatting>
  <conditionalFormatting sqref="C11">
    <cfRule type="cellIs" dxfId="16434" priority="23744" stopIfTrue="1" operator="equal">
      <formula>"Towel"</formula>
    </cfRule>
    <cfRule type="cellIs" dxfId="16433" priority="23745" stopIfTrue="1" operator="equal">
      <formula>"Napkin Hs"</formula>
    </cfRule>
  </conditionalFormatting>
  <conditionalFormatting sqref="C11">
    <cfRule type="cellIs" dxfId="16432" priority="23746" stopIfTrue="1" operator="equal">
      <formula>"Towel"</formula>
    </cfRule>
    <cfRule type="cellIs" dxfId="16431" priority="23747" stopIfTrue="1" operator="equal">
      <formula>"Napkin Hs"</formula>
    </cfRule>
  </conditionalFormatting>
  <conditionalFormatting sqref="C11">
    <cfRule type="cellIs" dxfId="16430" priority="23748" stopIfTrue="1" operator="equal">
      <formula>"Towel"</formula>
    </cfRule>
    <cfRule type="cellIs" dxfId="16429" priority="23749" stopIfTrue="1" operator="equal">
      <formula>"Napkin Hs"</formula>
    </cfRule>
  </conditionalFormatting>
  <conditionalFormatting sqref="B10:C11 B15 B19">
    <cfRule type="cellIs" dxfId="16428" priority="23738" stopIfTrue="1" operator="equal">
      <formula>"Towel"</formula>
    </cfRule>
    <cfRule type="cellIs" dxfId="16427" priority="23739" stopIfTrue="1" operator="equal">
      <formula>"Napkin Hs"</formula>
    </cfRule>
  </conditionalFormatting>
  <conditionalFormatting sqref="B10:C11 B15 B19">
    <cfRule type="cellIs" dxfId="16426" priority="23732" stopIfTrue="1" operator="equal">
      <formula>"Towel"</formula>
    </cfRule>
    <cfRule type="cellIs" dxfId="16425" priority="23733" stopIfTrue="1" operator="equal">
      <formula>"Napkin Hs"</formula>
    </cfRule>
  </conditionalFormatting>
  <conditionalFormatting sqref="C10">
    <cfRule type="cellIs" dxfId="16424" priority="23734" stopIfTrue="1" operator="equal">
      <formula>"Towel"</formula>
    </cfRule>
    <cfRule type="cellIs" dxfId="16423" priority="23735" stopIfTrue="1" operator="equal">
      <formula>"Napkin Hs"</formula>
    </cfRule>
  </conditionalFormatting>
  <conditionalFormatting sqref="C10">
    <cfRule type="cellIs" dxfId="16422" priority="23736" stopIfTrue="1" operator="equal">
      <formula>"Towel"</formula>
    </cfRule>
    <cfRule type="cellIs" dxfId="16421" priority="23737" stopIfTrue="1" operator="equal">
      <formula>"Napkin Hs"</formula>
    </cfRule>
  </conditionalFormatting>
  <conditionalFormatting sqref="C15">
    <cfRule type="cellIs" dxfId="16420" priority="23724" stopIfTrue="1" operator="equal">
      <formula>"Towel"</formula>
    </cfRule>
    <cfRule type="cellIs" dxfId="16419" priority="23725" stopIfTrue="1" operator="equal">
      <formula>"Napkin Hs"</formula>
    </cfRule>
  </conditionalFormatting>
  <conditionalFormatting sqref="C15">
    <cfRule type="cellIs" dxfId="16418" priority="23720" stopIfTrue="1" operator="equal">
      <formula>"Towel"</formula>
    </cfRule>
    <cfRule type="cellIs" dxfId="16417" priority="23721" stopIfTrue="1" operator="equal">
      <formula>"Napkin Hs"</formula>
    </cfRule>
  </conditionalFormatting>
  <conditionalFormatting sqref="C15">
    <cfRule type="cellIs" dxfId="16416" priority="23723" stopIfTrue="1" operator="equal">
      <formula>"Napkin Hs"</formula>
    </cfRule>
  </conditionalFormatting>
  <conditionalFormatting sqref="C15">
    <cfRule type="cellIs" dxfId="16415" priority="23722" stopIfTrue="1" operator="equal">
      <formula>"Towel"</formula>
    </cfRule>
  </conditionalFormatting>
  <conditionalFormatting sqref="C19">
    <cfRule type="cellIs" dxfId="16414" priority="23696" stopIfTrue="1" operator="equal">
      <formula>"Towel"</formula>
    </cfRule>
  </conditionalFormatting>
  <conditionalFormatting sqref="C19">
    <cfRule type="cellIs" dxfId="16413" priority="23697" stopIfTrue="1" operator="equal">
      <formula>"Napkin Hs"</formula>
    </cfRule>
    <cfRule type="cellIs" dxfId="16412" priority="23702" stopIfTrue="1" operator="equal">
      <formula>"Towel"</formula>
    </cfRule>
    <cfRule type="cellIs" dxfId="16411" priority="23703" stopIfTrue="1" operator="equal">
      <formula>"Napkin Hs"</formula>
    </cfRule>
    <cfRule type="cellIs" dxfId="16410" priority="23712" stopIfTrue="1" operator="equal">
      <formula>"Towel"</formula>
    </cfRule>
    <cfRule type="cellIs" dxfId="16409" priority="23713" stopIfTrue="1" operator="equal">
      <formula>"Napkin Hs"</formula>
    </cfRule>
    <cfRule type="cellIs" dxfId="16408" priority="23718" stopIfTrue="1" operator="equal">
      <formula>"Towel"</formula>
    </cfRule>
    <cfRule type="cellIs" dxfId="16407" priority="23719" stopIfTrue="1" operator="equal">
      <formula>"Napkin Hs"</formula>
    </cfRule>
  </conditionalFormatting>
  <conditionalFormatting sqref="C19">
    <cfRule type="cellIs" dxfId="16406" priority="23698" stopIfTrue="1" operator="equal">
      <formula>"Towel"</formula>
    </cfRule>
    <cfRule type="cellIs" dxfId="16405" priority="23699" stopIfTrue="1" operator="equal">
      <formula>"Napkin Hs"</formula>
    </cfRule>
    <cfRule type="cellIs" dxfId="16404" priority="23700" stopIfTrue="1" operator="equal">
      <formula>"Towel"</formula>
    </cfRule>
    <cfRule type="cellIs" dxfId="16403" priority="23701" stopIfTrue="1" operator="equal">
      <formula>"Napkin Hs"</formula>
    </cfRule>
    <cfRule type="cellIs" dxfId="16402" priority="23704" stopIfTrue="1" operator="equal">
      <formula>"Towel"</formula>
    </cfRule>
    <cfRule type="cellIs" dxfId="16401" priority="23705" stopIfTrue="1" operator="equal">
      <formula>"Napkin Hs"</formula>
    </cfRule>
    <cfRule type="cellIs" dxfId="16400" priority="23706" stopIfTrue="1" operator="equal">
      <formula>"Towel"</formula>
    </cfRule>
    <cfRule type="cellIs" dxfId="16399" priority="23707" stopIfTrue="1" operator="equal">
      <formula>"Napkin Hs"</formula>
    </cfRule>
    <cfRule type="cellIs" dxfId="16398" priority="23708" stopIfTrue="1" operator="equal">
      <formula>"Towel"</formula>
    </cfRule>
    <cfRule type="cellIs" dxfId="16397" priority="23709" stopIfTrue="1" operator="equal">
      <formula>"Napkin Hs"</formula>
    </cfRule>
    <cfRule type="cellIs" dxfId="16396" priority="23710" stopIfTrue="1" operator="equal">
      <formula>"Towel"</formula>
    </cfRule>
    <cfRule type="cellIs" dxfId="16395" priority="23711" stopIfTrue="1" operator="equal">
      <formula>"Napkin Hs"</formula>
    </cfRule>
    <cfRule type="cellIs" dxfId="16394" priority="23714" stopIfTrue="1" operator="equal">
      <formula>"Towel"</formula>
    </cfRule>
    <cfRule type="cellIs" dxfId="16393" priority="23715" stopIfTrue="1" operator="equal">
      <formula>"Napkin Hs"</formula>
    </cfRule>
    <cfRule type="cellIs" dxfId="16392" priority="23717" stopIfTrue="1" operator="equal">
      <formula>"Napkin Hs"</formula>
    </cfRule>
  </conditionalFormatting>
  <conditionalFormatting sqref="C19">
    <cfRule type="cellIs" dxfId="16391" priority="23716" stopIfTrue="1" operator="equal">
      <formula>"Towel"</formula>
    </cfRule>
  </conditionalFormatting>
  <conditionalFormatting sqref="C19">
    <cfRule type="cellIs" dxfId="16390" priority="23694" stopIfTrue="1" operator="equal">
      <formula>"Towel"</formula>
    </cfRule>
    <cfRule type="cellIs" dxfId="16389" priority="23695" stopIfTrue="1" operator="equal">
      <formula>"Napkin Hs"</formula>
    </cfRule>
  </conditionalFormatting>
  <conditionalFormatting sqref="C19">
    <cfRule type="cellIs" dxfId="16388" priority="23693" stopIfTrue="1" operator="equal">
      <formula>"Napkin Hs"</formula>
    </cfRule>
  </conditionalFormatting>
  <conditionalFormatting sqref="C19">
    <cfRule type="cellIs" dxfId="16387" priority="23692" stopIfTrue="1" operator="equal">
      <formula>"Towel"</formula>
    </cfRule>
  </conditionalFormatting>
  <conditionalFormatting sqref="C19">
    <cfRule type="cellIs" dxfId="16386" priority="23690" stopIfTrue="1" operator="equal">
      <formula>"Towel"</formula>
    </cfRule>
  </conditionalFormatting>
  <conditionalFormatting sqref="C19">
    <cfRule type="cellIs" dxfId="16385" priority="23691" stopIfTrue="1" operator="equal">
      <formula>"Napkin Hs"</formula>
    </cfRule>
  </conditionalFormatting>
  <conditionalFormatting sqref="C19">
    <cfRule type="cellIs" dxfId="16384" priority="23594" stopIfTrue="1" operator="equal">
      <formula>"Towel"</formula>
    </cfRule>
  </conditionalFormatting>
  <conditionalFormatting sqref="C19">
    <cfRule type="cellIs" dxfId="16383" priority="23604" stopIfTrue="1" operator="equal">
      <formula>"Towel"</formula>
    </cfRule>
    <cfRule type="cellIs" dxfId="16382" priority="23605" stopIfTrue="1" operator="equal">
      <formula>"Napkin Hs"</formula>
    </cfRule>
    <cfRule type="cellIs" dxfId="16381" priority="23610" stopIfTrue="1" operator="equal">
      <formula>"Towel"</formula>
    </cfRule>
    <cfRule type="cellIs" dxfId="16380" priority="23611" stopIfTrue="1" operator="equal">
      <formula>"Napkin Hs"</formula>
    </cfRule>
    <cfRule type="cellIs" dxfId="16379" priority="23616" stopIfTrue="1" operator="equal">
      <formula>"Towel"</formula>
    </cfRule>
    <cfRule type="cellIs" dxfId="16378" priority="23617" stopIfTrue="1" operator="equal">
      <formula>"Napkin Hs"</formula>
    </cfRule>
    <cfRule type="cellIs" dxfId="16377" priority="23618" stopIfTrue="1" operator="equal">
      <formula>"Towel"</formula>
    </cfRule>
    <cfRule type="cellIs" dxfId="16376" priority="23619" stopIfTrue="1" operator="equal">
      <formula>"Napkin Hs"</formula>
    </cfRule>
    <cfRule type="cellIs" dxfId="16375" priority="23624" stopIfTrue="1" operator="equal">
      <formula>"Towel"</formula>
    </cfRule>
    <cfRule type="cellIs" dxfId="16374" priority="23625" stopIfTrue="1" operator="equal">
      <formula>"Napkin Hs"</formula>
    </cfRule>
    <cfRule type="cellIs" dxfId="16373" priority="23634" stopIfTrue="1" operator="equal">
      <formula>"Towel"</formula>
    </cfRule>
    <cfRule type="cellIs" dxfId="16372" priority="23635" stopIfTrue="1" operator="equal">
      <formula>"Napkin Hs"</formula>
    </cfRule>
    <cfRule type="cellIs" dxfId="16371" priority="23640" stopIfTrue="1" operator="equal">
      <formula>"Towel"</formula>
    </cfRule>
    <cfRule type="cellIs" dxfId="16370" priority="23641" stopIfTrue="1" operator="equal">
      <formula>"Napkin Hs"</formula>
    </cfRule>
    <cfRule type="cellIs" dxfId="16369" priority="23642" stopIfTrue="1" operator="equal">
      <formula>"Towel"</formula>
    </cfRule>
    <cfRule type="cellIs" dxfId="16368" priority="23643" stopIfTrue="1" operator="equal">
      <formula>"Napkin Hs"</formula>
    </cfRule>
    <cfRule type="cellIs" dxfId="16367" priority="23648" stopIfTrue="1" operator="equal">
      <formula>"Towel"</formula>
    </cfRule>
    <cfRule type="cellIs" dxfId="16366" priority="23649" stopIfTrue="1" operator="equal">
      <formula>"Napkin Hs"</formula>
    </cfRule>
    <cfRule type="cellIs" dxfId="16365" priority="23658" stopIfTrue="1" operator="equal">
      <formula>"Towel"</formula>
    </cfRule>
    <cfRule type="cellIs" dxfId="16364" priority="23659" stopIfTrue="1" operator="equal">
      <formula>"Napkin Hs"</formula>
    </cfRule>
    <cfRule type="cellIs" dxfId="16363" priority="23660" stopIfTrue="1" operator="equal">
      <formula>"Towel"</formula>
    </cfRule>
    <cfRule type="cellIs" dxfId="16362" priority="23661" stopIfTrue="1" operator="equal">
      <formula>"Napkin Hs"</formula>
    </cfRule>
    <cfRule type="cellIs" dxfId="16361" priority="23666" stopIfTrue="1" operator="equal">
      <formula>"Towel"</formula>
    </cfRule>
    <cfRule type="cellIs" dxfId="16360" priority="23667" stopIfTrue="1" operator="equal">
      <formula>"Napkin Hs"</formula>
    </cfRule>
    <cfRule type="cellIs" dxfId="16359" priority="23676" stopIfTrue="1" operator="equal">
      <formula>"Towel"</formula>
    </cfRule>
    <cfRule type="cellIs" dxfId="16358" priority="23677" stopIfTrue="1" operator="equal">
      <formula>"Napkin Hs"</formula>
    </cfRule>
    <cfRule type="cellIs" dxfId="16357" priority="23678" stopIfTrue="1" operator="equal">
      <formula>"Towel"</formula>
    </cfRule>
    <cfRule type="cellIs" dxfId="16356" priority="23679" stopIfTrue="1" operator="equal">
      <formula>"Napkin Hs"</formula>
    </cfRule>
    <cfRule type="cellIs" dxfId="16355" priority="23685" stopIfTrue="1" operator="equal">
      <formula>"Napkin Hs"</formula>
    </cfRule>
  </conditionalFormatting>
  <conditionalFormatting sqref="C19">
    <cfRule type="cellIs" dxfId="16354" priority="23684" stopIfTrue="1" operator="equal">
      <formula>"Towel"</formula>
    </cfRule>
  </conditionalFormatting>
  <conditionalFormatting sqref="C19">
    <cfRule type="cellIs" dxfId="16353" priority="23595" stopIfTrue="1" operator="equal">
      <formula>"Napkin Hs"</formula>
    </cfRule>
    <cfRule type="cellIs" dxfId="16352" priority="23596" stopIfTrue="1" operator="equal">
      <formula>"Towel"</formula>
    </cfRule>
    <cfRule type="cellIs" dxfId="16351" priority="23597" stopIfTrue="1" operator="equal">
      <formula>"Napkin Hs"</formula>
    </cfRule>
    <cfRule type="cellIs" dxfId="16350" priority="23598" stopIfTrue="1" operator="equal">
      <formula>"Towel"</formula>
    </cfRule>
    <cfRule type="cellIs" dxfId="16349" priority="23599" stopIfTrue="1" operator="equal">
      <formula>"Napkin Hs"</formula>
    </cfRule>
    <cfRule type="cellIs" dxfId="16348" priority="23600" stopIfTrue="1" operator="equal">
      <formula>"Towel"</formula>
    </cfRule>
    <cfRule type="cellIs" dxfId="16347" priority="23601" stopIfTrue="1" operator="equal">
      <formula>"Napkin Hs"</formula>
    </cfRule>
    <cfRule type="cellIs" dxfId="16346" priority="23602" stopIfTrue="1" operator="equal">
      <formula>"Towel"</formula>
    </cfRule>
    <cfRule type="cellIs" dxfId="16345" priority="23603" stopIfTrue="1" operator="equal">
      <formula>"Napkin Hs"</formula>
    </cfRule>
    <cfRule type="cellIs" dxfId="16344" priority="23606" stopIfTrue="1" operator="equal">
      <formula>"Towel"</formula>
    </cfRule>
    <cfRule type="cellIs" dxfId="16343" priority="23607" stopIfTrue="1" operator="equal">
      <formula>"Napkin Hs"</formula>
    </cfRule>
    <cfRule type="cellIs" dxfId="16342" priority="23608" stopIfTrue="1" operator="equal">
      <formula>"Towel"</formula>
    </cfRule>
    <cfRule type="cellIs" dxfId="16341" priority="23609" stopIfTrue="1" operator="equal">
      <formula>"Napkin Hs"</formula>
    </cfRule>
    <cfRule type="cellIs" dxfId="16340" priority="23612" stopIfTrue="1" operator="equal">
      <formula>"Towel"</formula>
    </cfRule>
    <cfRule type="cellIs" dxfId="16339" priority="23613" stopIfTrue="1" operator="equal">
      <formula>"Napkin Hs"</formula>
    </cfRule>
    <cfRule type="cellIs" dxfId="16338" priority="23614" stopIfTrue="1" operator="equal">
      <formula>"Towel"</formula>
    </cfRule>
    <cfRule type="cellIs" dxfId="16337" priority="23615" stopIfTrue="1" operator="equal">
      <formula>"Napkin Hs"</formula>
    </cfRule>
    <cfRule type="cellIs" dxfId="16336" priority="23620" stopIfTrue="1" operator="equal">
      <formula>"Towel"</formula>
    </cfRule>
    <cfRule type="cellIs" dxfId="16335" priority="23621" stopIfTrue="1" operator="equal">
      <formula>"Napkin Hs"</formula>
    </cfRule>
    <cfRule type="cellIs" dxfId="16334" priority="23622" stopIfTrue="1" operator="equal">
      <formula>"Towel"</formula>
    </cfRule>
    <cfRule type="cellIs" dxfId="16333" priority="23623" stopIfTrue="1" operator="equal">
      <formula>"Napkin Hs"</formula>
    </cfRule>
    <cfRule type="cellIs" dxfId="16332" priority="23626" stopIfTrue="1" operator="equal">
      <formula>"Towel"</formula>
    </cfRule>
    <cfRule type="cellIs" dxfId="16331" priority="23627" stopIfTrue="1" operator="equal">
      <formula>"Napkin Hs"</formula>
    </cfRule>
    <cfRule type="cellIs" dxfId="16330" priority="23628" stopIfTrue="1" operator="equal">
      <formula>"Towel"</formula>
    </cfRule>
    <cfRule type="cellIs" dxfId="16329" priority="23629" stopIfTrue="1" operator="equal">
      <formula>"Napkin Hs"</formula>
    </cfRule>
    <cfRule type="cellIs" dxfId="16328" priority="23630" stopIfTrue="1" operator="equal">
      <formula>"Towel"</formula>
    </cfRule>
    <cfRule type="cellIs" dxfId="16327" priority="23631" stopIfTrue="1" operator="equal">
      <formula>"Napkin Hs"</formula>
    </cfRule>
    <cfRule type="cellIs" dxfId="16326" priority="23632" stopIfTrue="1" operator="equal">
      <formula>"Towel"</formula>
    </cfRule>
    <cfRule type="cellIs" dxfId="16325" priority="23633" stopIfTrue="1" operator="equal">
      <formula>"Napkin Hs"</formula>
    </cfRule>
    <cfRule type="cellIs" dxfId="16324" priority="23636" stopIfTrue="1" operator="equal">
      <formula>"Towel"</formula>
    </cfRule>
    <cfRule type="cellIs" dxfId="16323" priority="23637" stopIfTrue="1" operator="equal">
      <formula>"Napkin Hs"</formula>
    </cfRule>
    <cfRule type="cellIs" dxfId="16322" priority="23638" stopIfTrue="1" operator="equal">
      <formula>"Towel"</formula>
    </cfRule>
    <cfRule type="cellIs" dxfId="16321" priority="23639" stopIfTrue="1" operator="equal">
      <formula>"Napkin Hs"</formula>
    </cfRule>
    <cfRule type="cellIs" dxfId="16320" priority="23644" stopIfTrue="1" operator="equal">
      <formula>"Towel"</formula>
    </cfRule>
    <cfRule type="cellIs" dxfId="16319" priority="23645" stopIfTrue="1" operator="equal">
      <formula>"Napkin Hs"</formula>
    </cfRule>
    <cfRule type="cellIs" dxfId="16318" priority="23646" stopIfTrue="1" operator="equal">
      <formula>"Towel"</formula>
    </cfRule>
    <cfRule type="cellIs" dxfId="16317" priority="23647" stopIfTrue="1" operator="equal">
      <formula>"Napkin Hs"</formula>
    </cfRule>
    <cfRule type="cellIs" dxfId="16316" priority="23650" stopIfTrue="1" operator="equal">
      <formula>"Towel"</formula>
    </cfRule>
    <cfRule type="cellIs" dxfId="16315" priority="23651" stopIfTrue="1" operator="equal">
      <formula>"Napkin Hs"</formula>
    </cfRule>
    <cfRule type="cellIs" dxfId="16314" priority="23652" stopIfTrue="1" operator="equal">
      <formula>"Towel"</formula>
    </cfRule>
    <cfRule type="cellIs" dxfId="16313" priority="23653" stopIfTrue="1" operator="equal">
      <formula>"Napkin Hs"</formula>
    </cfRule>
    <cfRule type="cellIs" dxfId="16312" priority="23654" stopIfTrue="1" operator="equal">
      <formula>"Towel"</formula>
    </cfRule>
    <cfRule type="cellIs" dxfId="16311" priority="23655" stopIfTrue="1" operator="equal">
      <formula>"Napkin Hs"</formula>
    </cfRule>
    <cfRule type="cellIs" dxfId="16310" priority="23656" stopIfTrue="1" operator="equal">
      <formula>"Towel"</formula>
    </cfRule>
    <cfRule type="cellIs" dxfId="16309" priority="23657" stopIfTrue="1" operator="equal">
      <formula>"Napkin Hs"</formula>
    </cfRule>
    <cfRule type="cellIs" dxfId="16308" priority="23662" stopIfTrue="1" operator="equal">
      <formula>"Towel"</formula>
    </cfRule>
    <cfRule type="cellIs" dxfId="16307" priority="23663" stopIfTrue="1" operator="equal">
      <formula>"Napkin Hs"</formula>
    </cfRule>
    <cfRule type="cellIs" dxfId="16306" priority="23664" stopIfTrue="1" operator="equal">
      <formula>"Towel"</formula>
    </cfRule>
    <cfRule type="cellIs" dxfId="16305" priority="23665" stopIfTrue="1" operator="equal">
      <formula>"Napkin Hs"</formula>
    </cfRule>
    <cfRule type="cellIs" dxfId="16304" priority="23668" stopIfTrue="1" operator="equal">
      <formula>"Towel"</formula>
    </cfRule>
    <cfRule type="cellIs" dxfId="16303" priority="23669" stopIfTrue="1" operator="equal">
      <formula>"Napkin Hs"</formula>
    </cfRule>
    <cfRule type="cellIs" dxfId="16302" priority="23670" stopIfTrue="1" operator="equal">
      <formula>"Towel"</formula>
    </cfRule>
    <cfRule type="cellIs" dxfId="16301" priority="23671" stopIfTrue="1" operator="equal">
      <formula>"Napkin Hs"</formula>
    </cfRule>
    <cfRule type="cellIs" dxfId="16300" priority="23672" stopIfTrue="1" operator="equal">
      <formula>"Towel"</formula>
    </cfRule>
    <cfRule type="cellIs" dxfId="16299" priority="23673" stopIfTrue="1" operator="equal">
      <formula>"Napkin Hs"</formula>
    </cfRule>
    <cfRule type="cellIs" dxfId="16298" priority="23674" stopIfTrue="1" operator="equal">
      <formula>"Towel"</formula>
    </cfRule>
    <cfRule type="cellIs" dxfId="16297" priority="23675" stopIfTrue="1" operator="equal">
      <formula>"Napkin Hs"</formula>
    </cfRule>
    <cfRule type="cellIs" dxfId="16296" priority="23680" stopIfTrue="1" operator="equal">
      <formula>"Towel"</formula>
    </cfRule>
    <cfRule type="cellIs" dxfId="16295" priority="23681" stopIfTrue="1" operator="equal">
      <formula>"Napkin Hs"</formula>
    </cfRule>
    <cfRule type="cellIs" dxfId="16294" priority="23682" stopIfTrue="1" operator="equal">
      <formula>"Towel"</formula>
    </cfRule>
    <cfRule type="cellIs" dxfId="16293" priority="23683" stopIfTrue="1" operator="equal">
      <formula>"Napkin Hs"</formula>
    </cfRule>
    <cfRule type="cellIs" dxfId="16292" priority="23686" stopIfTrue="1" operator="equal">
      <formula>"Towel"</formula>
    </cfRule>
    <cfRule type="cellIs" dxfId="16291" priority="23687" stopIfTrue="1" operator="equal">
      <formula>"Napkin Hs"</formula>
    </cfRule>
    <cfRule type="cellIs" dxfId="16290" priority="23688" stopIfTrue="1" operator="equal">
      <formula>"Towel"</formula>
    </cfRule>
    <cfRule type="cellIs" dxfId="16289" priority="23689" stopIfTrue="1" operator="equal">
      <formula>"Napkin Hs"</formula>
    </cfRule>
  </conditionalFormatting>
  <conditionalFormatting sqref="C19">
    <cfRule type="cellIs" dxfId="16288" priority="23592" stopIfTrue="1" operator="equal">
      <formula>"Towel"</formula>
    </cfRule>
    <cfRule type="cellIs" dxfId="16287" priority="23593" stopIfTrue="1" operator="equal">
      <formula>"Napkin Hs"</formula>
    </cfRule>
  </conditionalFormatting>
  <conditionalFormatting sqref="C19">
    <cfRule type="cellIs" dxfId="16286" priority="23588" stopIfTrue="1" operator="equal">
      <formula>"Towel"</formula>
    </cfRule>
    <cfRule type="cellIs" dxfId="16285" priority="23589" stopIfTrue="1" operator="equal">
      <formula>"Napkin Hs"</formula>
    </cfRule>
  </conditionalFormatting>
  <conditionalFormatting sqref="C19">
    <cfRule type="cellIs" dxfId="16284" priority="23591" stopIfTrue="1" operator="equal">
      <formula>"Napkin Hs"</formula>
    </cfRule>
  </conditionalFormatting>
  <conditionalFormatting sqref="C19">
    <cfRule type="cellIs" dxfId="16283" priority="23590" stopIfTrue="1" operator="equal">
      <formula>"Towel"</formula>
    </cfRule>
  </conditionalFormatting>
  <conditionalFormatting sqref="B11:C11">
    <cfRule type="cellIs" dxfId="16282" priority="23564" stopIfTrue="1" operator="equal">
      <formula>"Towel"</formula>
    </cfRule>
  </conditionalFormatting>
  <conditionalFormatting sqref="B11:C11">
    <cfRule type="cellIs" dxfId="16281" priority="23565" stopIfTrue="1" operator="equal">
      <formula>"Napkin Hs"</formula>
    </cfRule>
    <cfRule type="cellIs" dxfId="16280" priority="23570" stopIfTrue="1" operator="equal">
      <formula>"Towel"</formula>
    </cfRule>
    <cfRule type="cellIs" dxfId="16279" priority="23571" stopIfTrue="1" operator="equal">
      <formula>"Napkin Hs"</formula>
    </cfRule>
    <cfRule type="cellIs" dxfId="16278" priority="23580" stopIfTrue="1" operator="equal">
      <formula>"Towel"</formula>
    </cfRule>
    <cfRule type="cellIs" dxfId="16277" priority="23581" stopIfTrue="1" operator="equal">
      <formula>"Napkin Hs"</formula>
    </cfRule>
    <cfRule type="cellIs" dxfId="16276" priority="23586" stopIfTrue="1" operator="equal">
      <formula>"Towel"</formula>
    </cfRule>
    <cfRule type="cellIs" dxfId="16275" priority="23587" stopIfTrue="1" operator="equal">
      <formula>"Napkin Hs"</formula>
    </cfRule>
  </conditionalFormatting>
  <conditionalFormatting sqref="C11">
    <cfRule type="cellIs" dxfId="16274" priority="23566" stopIfTrue="1" operator="equal">
      <formula>"Towel"</formula>
    </cfRule>
    <cfRule type="cellIs" dxfId="16273" priority="23567" stopIfTrue="1" operator="equal">
      <formula>"Napkin Hs"</formula>
    </cfRule>
    <cfRule type="cellIs" dxfId="16272" priority="23568" stopIfTrue="1" operator="equal">
      <formula>"Towel"</formula>
    </cfRule>
    <cfRule type="cellIs" dxfId="16271" priority="23569" stopIfTrue="1" operator="equal">
      <formula>"Napkin Hs"</formula>
    </cfRule>
    <cfRule type="cellIs" dxfId="16270" priority="23572" stopIfTrue="1" operator="equal">
      <formula>"Towel"</formula>
    </cfRule>
    <cfRule type="cellIs" dxfId="16269" priority="23573" stopIfTrue="1" operator="equal">
      <formula>"Napkin Hs"</formula>
    </cfRule>
    <cfRule type="cellIs" dxfId="16268" priority="23574" stopIfTrue="1" operator="equal">
      <formula>"Towel"</formula>
    </cfRule>
    <cfRule type="cellIs" dxfId="16267" priority="23575" stopIfTrue="1" operator="equal">
      <formula>"Napkin Hs"</formula>
    </cfRule>
    <cfRule type="cellIs" dxfId="16266" priority="23576" stopIfTrue="1" operator="equal">
      <formula>"Towel"</formula>
    </cfRule>
    <cfRule type="cellIs" dxfId="16265" priority="23577" stopIfTrue="1" operator="equal">
      <formula>"Napkin Hs"</formula>
    </cfRule>
    <cfRule type="cellIs" dxfId="16264" priority="23578" stopIfTrue="1" operator="equal">
      <formula>"Towel"</formula>
    </cfRule>
    <cfRule type="cellIs" dxfId="16263" priority="23579" stopIfTrue="1" operator="equal">
      <formula>"Napkin Hs"</formula>
    </cfRule>
    <cfRule type="cellIs" dxfId="16262" priority="23582" stopIfTrue="1" operator="equal">
      <formula>"Towel"</formula>
    </cfRule>
    <cfRule type="cellIs" dxfId="16261" priority="23583" stopIfTrue="1" operator="equal">
      <formula>"Napkin Hs"</formula>
    </cfRule>
    <cfRule type="cellIs" dxfId="16260" priority="23585" stopIfTrue="1" operator="equal">
      <formula>"Napkin Hs"</formula>
    </cfRule>
  </conditionalFormatting>
  <conditionalFormatting sqref="C11">
    <cfRule type="cellIs" dxfId="16259" priority="23584" stopIfTrue="1" operator="equal">
      <formula>"Towel"</formula>
    </cfRule>
  </conditionalFormatting>
  <conditionalFormatting sqref="B11:C11">
    <cfRule type="cellIs" dxfId="16258" priority="23562" stopIfTrue="1" operator="equal">
      <formula>"Towel"</formula>
    </cfRule>
    <cfRule type="cellIs" dxfId="16257" priority="23563" stopIfTrue="1" operator="equal">
      <formula>"Napkin Hs"</formula>
    </cfRule>
  </conditionalFormatting>
  <conditionalFormatting sqref="C11">
    <cfRule type="cellIs" dxfId="16256" priority="23561" stopIfTrue="1" operator="equal">
      <formula>"Napkin Hs"</formula>
    </cfRule>
  </conditionalFormatting>
  <conditionalFormatting sqref="C11">
    <cfRule type="cellIs" dxfId="16255" priority="23560" stopIfTrue="1" operator="equal">
      <formula>"Towel"</formula>
    </cfRule>
  </conditionalFormatting>
  <conditionalFormatting sqref="C11">
    <cfRule type="cellIs" dxfId="16254" priority="23558" stopIfTrue="1" operator="equal">
      <formula>"Towel"</formula>
    </cfRule>
  </conditionalFormatting>
  <conditionalFormatting sqref="C11">
    <cfRule type="cellIs" dxfId="16253" priority="23559" stopIfTrue="1" operator="equal">
      <formula>"Napkin Hs"</formula>
    </cfRule>
  </conditionalFormatting>
  <conditionalFormatting sqref="B11">
    <cfRule type="cellIs" dxfId="16252" priority="23462" stopIfTrue="1" operator="equal">
      <formula>"Napkin Hs"</formula>
    </cfRule>
  </conditionalFormatting>
  <conditionalFormatting sqref="B11:C11">
    <cfRule type="cellIs" dxfId="16251" priority="23461" stopIfTrue="1" operator="equal">
      <formula>"Towel"</formula>
    </cfRule>
  </conditionalFormatting>
  <conditionalFormatting sqref="B11:C11">
    <cfRule type="cellIs" dxfId="16250" priority="23472" stopIfTrue="1" operator="equal">
      <formula>"Towel"</formula>
    </cfRule>
    <cfRule type="cellIs" dxfId="16249" priority="23473" stopIfTrue="1" operator="equal">
      <formula>"Napkin Hs"</formula>
    </cfRule>
    <cfRule type="cellIs" dxfId="16248" priority="23478" stopIfTrue="1" operator="equal">
      <formula>"Towel"</formula>
    </cfRule>
    <cfRule type="cellIs" dxfId="16247" priority="23479" stopIfTrue="1" operator="equal">
      <formula>"Napkin Hs"</formula>
    </cfRule>
    <cfRule type="cellIs" dxfId="16246" priority="23484" stopIfTrue="1" operator="equal">
      <formula>"Towel"</formula>
    </cfRule>
    <cfRule type="cellIs" dxfId="16245" priority="23485" stopIfTrue="1" operator="equal">
      <formula>"Napkin Hs"</formula>
    </cfRule>
    <cfRule type="cellIs" dxfId="16244" priority="23486" stopIfTrue="1" operator="equal">
      <formula>"Towel"</formula>
    </cfRule>
    <cfRule type="cellIs" dxfId="16243" priority="23487" stopIfTrue="1" operator="equal">
      <formula>"Napkin Hs"</formula>
    </cfRule>
    <cfRule type="cellIs" dxfId="16242" priority="23492" stopIfTrue="1" operator="equal">
      <formula>"Towel"</formula>
    </cfRule>
    <cfRule type="cellIs" dxfId="16241" priority="23493" stopIfTrue="1" operator="equal">
      <formula>"Napkin Hs"</formula>
    </cfRule>
    <cfRule type="cellIs" dxfId="16240" priority="23502" stopIfTrue="1" operator="equal">
      <formula>"Towel"</formula>
    </cfRule>
    <cfRule type="cellIs" dxfId="16239" priority="23503" stopIfTrue="1" operator="equal">
      <formula>"Napkin Hs"</formula>
    </cfRule>
    <cfRule type="cellIs" dxfId="16238" priority="23508" stopIfTrue="1" operator="equal">
      <formula>"Towel"</formula>
    </cfRule>
    <cfRule type="cellIs" dxfId="16237" priority="23509" stopIfTrue="1" operator="equal">
      <formula>"Napkin Hs"</formula>
    </cfRule>
    <cfRule type="cellIs" dxfId="16236" priority="23510" stopIfTrue="1" operator="equal">
      <formula>"Towel"</formula>
    </cfRule>
    <cfRule type="cellIs" dxfId="16235" priority="23511" stopIfTrue="1" operator="equal">
      <formula>"Napkin Hs"</formula>
    </cfRule>
    <cfRule type="cellIs" dxfId="16234" priority="23516" stopIfTrue="1" operator="equal">
      <formula>"Towel"</formula>
    </cfRule>
    <cfRule type="cellIs" dxfId="16233" priority="23517" stopIfTrue="1" operator="equal">
      <formula>"Napkin Hs"</formula>
    </cfRule>
    <cfRule type="cellIs" dxfId="16232" priority="23526" stopIfTrue="1" operator="equal">
      <formula>"Towel"</formula>
    </cfRule>
    <cfRule type="cellIs" dxfId="16231" priority="23527" stopIfTrue="1" operator="equal">
      <formula>"Napkin Hs"</formula>
    </cfRule>
    <cfRule type="cellIs" dxfId="16230" priority="23528" stopIfTrue="1" operator="equal">
      <formula>"Towel"</formula>
    </cfRule>
    <cfRule type="cellIs" dxfId="16229" priority="23529" stopIfTrue="1" operator="equal">
      <formula>"Napkin Hs"</formula>
    </cfRule>
    <cfRule type="cellIs" dxfId="16228" priority="23534" stopIfTrue="1" operator="equal">
      <formula>"Towel"</formula>
    </cfRule>
    <cfRule type="cellIs" dxfId="16227" priority="23535" stopIfTrue="1" operator="equal">
      <formula>"Napkin Hs"</formula>
    </cfRule>
    <cfRule type="cellIs" dxfId="16226" priority="23544" stopIfTrue="1" operator="equal">
      <formula>"Towel"</formula>
    </cfRule>
    <cfRule type="cellIs" dxfId="16225" priority="23545" stopIfTrue="1" operator="equal">
      <formula>"Napkin Hs"</formula>
    </cfRule>
    <cfRule type="cellIs" dxfId="16224" priority="23546" stopIfTrue="1" operator="equal">
      <formula>"Towel"</formula>
    </cfRule>
    <cfRule type="cellIs" dxfId="16223" priority="23547" stopIfTrue="1" operator="equal">
      <formula>"Napkin Hs"</formula>
    </cfRule>
    <cfRule type="cellIs" dxfId="16222" priority="23553" stopIfTrue="1" operator="equal">
      <formula>"Napkin Hs"</formula>
    </cfRule>
  </conditionalFormatting>
  <conditionalFormatting sqref="B11:C11">
    <cfRule type="cellIs" dxfId="16221" priority="23552" stopIfTrue="1" operator="equal">
      <formula>"Towel"</formula>
    </cfRule>
  </conditionalFormatting>
  <conditionalFormatting sqref="C11">
    <cfRule type="cellIs" dxfId="16220" priority="23463" stopIfTrue="1" operator="equal">
      <formula>"Napkin Hs"</formula>
    </cfRule>
    <cfRule type="cellIs" dxfId="16219" priority="23464" stopIfTrue="1" operator="equal">
      <formula>"Towel"</formula>
    </cfRule>
    <cfRule type="cellIs" dxfId="16218" priority="23465" stopIfTrue="1" operator="equal">
      <formula>"Napkin Hs"</formula>
    </cfRule>
    <cfRule type="cellIs" dxfId="16217" priority="23466" stopIfTrue="1" operator="equal">
      <formula>"Towel"</formula>
    </cfRule>
    <cfRule type="cellIs" dxfId="16216" priority="23467" stopIfTrue="1" operator="equal">
      <formula>"Napkin Hs"</formula>
    </cfRule>
    <cfRule type="cellIs" dxfId="16215" priority="23468" stopIfTrue="1" operator="equal">
      <formula>"Towel"</formula>
    </cfRule>
    <cfRule type="cellIs" dxfId="16214" priority="23469" stopIfTrue="1" operator="equal">
      <formula>"Napkin Hs"</formula>
    </cfRule>
    <cfRule type="cellIs" dxfId="16213" priority="23470" stopIfTrue="1" operator="equal">
      <formula>"Towel"</formula>
    </cfRule>
    <cfRule type="cellIs" dxfId="16212" priority="23471" stopIfTrue="1" operator="equal">
      <formula>"Napkin Hs"</formula>
    </cfRule>
    <cfRule type="cellIs" dxfId="16211" priority="23474" stopIfTrue="1" operator="equal">
      <formula>"Towel"</formula>
    </cfRule>
    <cfRule type="cellIs" dxfId="16210" priority="23475" stopIfTrue="1" operator="equal">
      <formula>"Napkin Hs"</formula>
    </cfRule>
    <cfRule type="cellIs" dxfId="16209" priority="23476" stopIfTrue="1" operator="equal">
      <formula>"Towel"</formula>
    </cfRule>
    <cfRule type="cellIs" dxfId="16208" priority="23477" stopIfTrue="1" operator="equal">
      <formula>"Napkin Hs"</formula>
    </cfRule>
    <cfRule type="cellIs" dxfId="16207" priority="23480" stopIfTrue="1" operator="equal">
      <formula>"Towel"</formula>
    </cfRule>
    <cfRule type="cellIs" dxfId="16206" priority="23481" stopIfTrue="1" operator="equal">
      <formula>"Napkin Hs"</formula>
    </cfRule>
    <cfRule type="cellIs" dxfId="16205" priority="23482" stopIfTrue="1" operator="equal">
      <formula>"Towel"</formula>
    </cfRule>
    <cfRule type="cellIs" dxfId="16204" priority="23483" stopIfTrue="1" operator="equal">
      <formula>"Napkin Hs"</formula>
    </cfRule>
    <cfRule type="cellIs" dxfId="16203" priority="23488" stopIfTrue="1" operator="equal">
      <formula>"Towel"</formula>
    </cfRule>
    <cfRule type="cellIs" dxfId="16202" priority="23489" stopIfTrue="1" operator="equal">
      <formula>"Napkin Hs"</formula>
    </cfRule>
    <cfRule type="cellIs" dxfId="16201" priority="23490" stopIfTrue="1" operator="equal">
      <formula>"Towel"</formula>
    </cfRule>
    <cfRule type="cellIs" dxfId="16200" priority="23491" stopIfTrue="1" operator="equal">
      <formula>"Napkin Hs"</formula>
    </cfRule>
    <cfRule type="cellIs" dxfId="16199" priority="23494" stopIfTrue="1" operator="equal">
      <formula>"Towel"</formula>
    </cfRule>
    <cfRule type="cellIs" dxfId="16198" priority="23495" stopIfTrue="1" operator="equal">
      <formula>"Napkin Hs"</formula>
    </cfRule>
    <cfRule type="cellIs" dxfId="16197" priority="23496" stopIfTrue="1" operator="equal">
      <formula>"Towel"</formula>
    </cfRule>
    <cfRule type="cellIs" dxfId="16196" priority="23497" stopIfTrue="1" operator="equal">
      <formula>"Napkin Hs"</formula>
    </cfRule>
    <cfRule type="cellIs" dxfId="16195" priority="23498" stopIfTrue="1" operator="equal">
      <formula>"Towel"</formula>
    </cfRule>
    <cfRule type="cellIs" dxfId="16194" priority="23499" stopIfTrue="1" operator="equal">
      <formula>"Napkin Hs"</formula>
    </cfRule>
    <cfRule type="cellIs" dxfId="16193" priority="23500" stopIfTrue="1" operator="equal">
      <formula>"Towel"</formula>
    </cfRule>
    <cfRule type="cellIs" dxfId="16192" priority="23501" stopIfTrue="1" operator="equal">
      <formula>"Napkin Hs"</formula>
    </cfRule>
    <cfRule type="cellIs" dxfId="16191" priority="23504" stopIfTrue="1" operator="equal">
      <formula>"Towel"</formula>
    </cfRule>
    <cfRule type="cellIs" dxfId="16190" priority="23505" stopIfTrue="1" operator="equal">
      <formula>"Napkin Hs"</formula>
    </cfRule>
    <cfRule type="cellIs" dxfId="16189" priority="23506" stopIfTrue="1" operator="equal">
      <formula>"Towel"</formula>
    </cfRule>
    <cfRule type="cellIs" dxfId="16188" priority="23507" stopIfTrue="1" operator="equal">
      <formula>"Napkin Hs"</formula>
    </cfRule>
    <cfRule type="cellIs" dxfId="16187" priority="23512" stopIfTrue="1" operator="equal">
      <formula>"Towel"</formula>
    </cfRule>
    <cfRule type="cellIs" dxfId="16186" priority="23513" stopIfTrue="1" operator="equal">
      <formula>"Napkin Hs"</formula>
    </cfRule>
    <cfRule type="cellIs" dxfId="16185" priority="23514" stopIfTrue="1" operator="equal">
      <formula>"Towel"</formula>
    </cfRule>
    <cfRule type="cellIs" dxfId="16184" priority="23515" stopIfTrue="1" operator="equal">
      <formula>"Napkin Hs"</formula>
    </cfRule>
    <cfRule type="cellIs" dxfId="16183" priority="23518" stopIfTrue="1" operator="equal">
      <formula>"Towel"</formula>
    </cfRule>
    <cfRule type="cellIs" dxfId="16182" priority="23519" stopIfTrue="1" operator="equal">
      <formula>"Napkin Hs"</formula>
    </cfRule>
    <cfRule type="cellIs" dxfId="16181" priority="23520" stopIfTrue="1" operator="equal">
      <formula>"Towel"</formula>
    </cfRule>
    <cfRule type="cellIs" dxfId="16180" priority="23521" stopIfTrue="1" operator="equal">
      <formula>"Napkin Hs"</formula>
    </cfRule>
    <cfRule type="cellIs" dxfId="16179" priority="23522" stopIfTrue="1" operator="equal">
      <formula>"Towel"</formula>
    </cfRule>
    <cfRule type="cellIs" dxfId="16178" priority="23523" stopIfTrue="1" operator="equal">
      <formula>"Napkin Hs"</formula>
    </cfRule>
    <cfRule type="cellIs" dxfId="16177" priority="23524" stopIfTrue="1" operator="equal">
      <formula>"Towel"</formula>
    </cfRule>
    <cfRule type="cellIs" dxfId="16176" priority="23525" stopIfTrue="1" operator="equal">
      <formula>"Napkin Hs"</formula>
    </cfRule>
    <cfRule type="cellIs" dxfId="16175" priority="23530" stopIfTrue="1" operator="equal">
      <formula>"Towel"</formula>
    </cfRule>
    <cfRule type="cellIs" dxfId="16174" priority="23531" stopIfTrue="1" operator="equal">
      <formula>"Napkin Hs"</formula>
    </cfRule>
    <cfRule type="cellIs" dxfId="16173" priority="23532" stopIfTrue="1" operator="equal">
      <formula>"Towel"</formula>
    </cfRule>
    <cfRule type="cellIs" dxfId="16172" priority="23533" stopIfTrue="1" operator="equal">
      <formula>"Napkin Hs"</formula>
    </cfRule>
    <cfRule type="cellIs" dxfId="16171" priority="23536" stopIfTrue="1" operator="equal">
      <formula>"Towel"</formula>
    </cfRule>
    <cfRule type="cellIs" dxfId="16170" priority="23537" stopIfTrue="1" operator="equal">
      <formula>"Napkin Hs"</formula>
    </cfRule>
    <cfRule type="cellIs" dxfId="16169" priority="23538" stopIfTrue="1" operator="equal">
      <formula>"Towel"</formula>
    </cfRule>
    <cfRule type="cellIs" dxfId="16168" priority="23539" stopIfTrue="1" operator="equal">
      <formula>"Napkin Hs"</formula>
    </cfRule>
    <cfRule type="cellIs" dxfId="16167" priority="23540" stopIfTrue="1" operator="equal">
      <formula>"Towel"</formula>
    </cfRule>
    <cfRule type="cellIs" dxfId="16166" priority="23541" stopIfTrue="1" operator="equal">
      <formula>"Napkin Hs"</formula>
    </cfRule>
    <cfRule type="cellIs" dxfId="16165" priority="23542" stopIfTrue="1" operator="equal">
      <formula>"Towel"</formula>
    </cfRule>
    <cfRule type="cellIs" dxfId="16164" priority="23543" stopIfTrue="1" operator="equal">
      <formula>"Napkin Hs"</formula>
    </cfRule>
    <cfRule type="cellIs" dxfId="16163" priority="23548" stopIfTrue="1" operator="equal">
      <formula>"Towel"</formula>
    </cfRule>
    <cfRule type="cellIs" dxfId="16162" priority="23549" stopIfTrue="1" operator="equal">
      <formula>"Napkin Hs"</formula>
    </cfRule>
    <cfRule type="cellIs" dxfId="16161" priority="23550" stopIfTrue="1" operator="equal">
      <formula>"Towel"</formula>
    </cfRule>
    <cfRule type="cellIs" dxfId="16160" priority="23551" stopIfTrue="1" operator="equal">
      <formula>"Napkin Hs"</formula>
    </cfRule>
    <cfRule type="cellIs" dxfId="16159" priority="23554" stopIfTrue="1" operator="equal">
      <formula>"Towel"</formula>
    </cfRule>
    <cfRule type="cellIs" dxfId="16158" priority="23555" stopIfTrue="1" operator="equal">
      <formula>"Napkin Hs"</formula>
    </cfRule>
    <cfRule type="cellIs" dxfId="16157" priority="23556" stopIfTrue="1" operator="equal">
      <formula>"Towel"</formula>
    </cfRule>
    <cfRule type="cellIs" dxfId="16156" priority="23557" stopIfTrue="1" operator="equal">
      <formula>"Napkin Hs"</formula>
    </cfRule>
  </conditionalFormatting>
  <conditionalFormatting sqref="C10:C11">
    <cfRule type="cellIs" dxfId="16155" priority="23460" stopIfTrue="1" operator="equal">
      <formula>"Napkin Hs"</formula>
    </cfRule>
  </conditionalFormatting>
  <conditionalFormatting sqref="C10:C11">
    <cfRule type="cellIs" dxfId="16154" priority="23459" stopIfTrue="1" operator="equal">
      <formula>"Napkin Hs"</formula>
    </cfRule>
  </conditionalFormatting>
  <conditionalFormatting sqref="B10:B11">
    <cfRule type="cellIs" dxfId="16153" priority="23458" stopIfTrue="1" operator="equal">
      <formula>"Napkin Hs"</formula>
    </cfRule>
  </conditionalFormatting>
  <conditionalFormatting sqref="C10:C11">
    <cfRule type="cellIs" dxfId="16152" priority="23457" stopIfTrue="1" operator="equal">
      <formula>"Napkin Hs"</formula>
    </cfRule>
  </conditionalFormatting>
  <conditionalFormatting sqref="C10:C11">
    <cfRule type="cellIs" dxfId="16151" priority="23456" stopIfTrue="1" operator="equal">
      <formula>"Napkin Hs"</formula>
    </cfRule>
  </conditionalFormatting>
  <conditionalFormatting sqref="C10:C11">
    <cfRule type="cellIs" dxfId="16150" priority="23455" stopIfTrue="1" operator="equal">
      <formula>"Napkin Hs"</formula>
    </cfRule>
  </conditionalFormatting>
  <conditionalFormatting sqref="C10:C11">
    <cfRule type="cellIs" dxfId="16149" priority="23454" stopIfTrue="1" operator="equal">
      <formula>"Napkin Hs"</formula>
    </cfRule>
  </conditionalFormatting>
  <conditionalFormatting sqref="B10:B11">
    <cfRule type="cellIs" dxfId="16148" priority="23453" stopIfTrue="1" operator="equal">
      <formula>"Napkin Hs"</formula>
    </cfRule>
  </conditionalFormatting>
  <conditionalFormatting sqref="B10:B11">
    <cfRule type="cellIs" dxfId="16147" priority="23452" stopIfTrue="1" operator="equal">
      <formula>"Napkin Hs"</formula>
    </cfRule>
  </conditionalFormatting>
  <conditionalFormatting sqref="B10:C10">
    <cfRule type="cellIs" dxfId="16146" priority="23450" stopIfTrue="1" operator="equal">
      <formula>"Towel"</formula>
    </cfRule>
    <cfRule type="cellIs" dxfId="16145" priority="23451" stopIfTrue="1" operator="equal">
      <formula>"Napkin Hs"</formula>
    </cfRule>
  </conditionalFormatting>
  <conditionalFormatting sqref="C10">
    <cfRule type="cellIs" dxfId="16144" priority="23446" stopIfTrue="1" operator="equal">
      <formula>"Towel"</formula>
    </cfRule>
    <cfRule type="cellIs" dxfId="16143" priority="23447" stopIfTrue="1" operator="equal">
      <formula>"Napkin Hs"</formula>
    </cfRule>
  </conditionalFormatting>
  <conditionalFormatting sqref="C10">
    <cfRule type="cellIs" dxfId="16142" priority="23449" stopIfTrue="1" operator="equal">
      <formula>"Napkin Hs"</formula>
    </cfRule>
  </conditionalFormatting>
  <conditionalFormatting sqref="C10">
    <cfRule type="cellIs" dxfId="16141" priority="23448" stopIfTrue="1" operator="equal">
      <formula>"Towel"</formula>
    </cfRule>
  </conditionalFormatting>
  <conditionalFormatting sqref="C11">
    <cfRule type="cellIs" dxfId="16140" priority="23442" stopIfTrue="1" operator="equal">
      <formula>"Towel"</formula>
    </cfRule>
    <cfRule type="cellIs" dxfId="16139" priority="23443" stopIfTrue="1" operator="equal">
      <formula>"Napkin Hs"</formula>
    </cfRule>
  </conditionalFormatting>
  <conditionalFormatting sqref="C11">
    <cfRule type="cellIs" dxfId="16138" priority="23444" stopIfTrue="1" operator="equal">
      <formula>"Towel"</formula>
    </cfRule>
    <cfRule type="cellIs" dxfId="16137" priority="23445" stopIfTrue="1" operator="equal">
      <formula>"Napkin Hs"</formula>
    </cfRule>
  </conditionalFormatting>
  <conditionalFormatting sqref="C11">
    <cfRule type="cellIs" dxfId="16136" priority="23438" stopIfTrue="1" operator="equal">
      <formula>"Towel"</formula>
    </cfRule>
    <cfRule type="cellIs" dxfId="16135" priority="23439" stopIfTrue="1" operator="equal">
      <formula>"Napkin Hs"</formula>
    </cfRule>
  </conditionalFormatting>
  <conditionalFormatting sqref="C11">
    <cfRule type="cellIs" dxfId="16134" priority="23440" stopIfTrue="1" operator="equal">
      <formula>"Towel"</formula>
    </cfRule>
    <cfRule type="cellIs" dxfId="16133" priority="23441" stopIfTrue="1" operator="equal">
      <formula>"Napkin Hs"</formula>
    </cfRule>
  </conditionalFormatting>
  <conditionalFormatting sqref="C12:C14">
    <cfRule type="cellIs" dxfId="16132" priority="23432" stopIfTrue="1" operator="equal">
      <formula>"Towel"</formula>
    </cfRule>
    <cfRule type="cellIs" dxfId="16131" priority="23433" stopIfTrue="1" operator="equal">
      <formula>"Napkin Hs"</formula>
    </cfRule>
  </conditionalFormatting>
  <conditionalFormatting sqref="C12:C14">
    <cfRule type="cellIs" dxfId="16130" priority="23436" stopIfTrue="1" operator="equal">
      <formula>"Towel"</formula>
    </cfRule>
    <cfRule type="cellIs" dxfId="16129" priority="23437" stopIfTrue="1" operator="equal">
      <formula>"Napkin Hs"</formula>
    </cfRule>
  </conditionalFormatting>
  <conditionalFormatting sqref="C12:C14">
    <cfRule type="cellIs" dxfId="16128" priority="23434" stopIfTrue="1" operator="equal">
      <formula>"Towel"</formula>
    </cfRule>
    <cfRule type="cellIs" dxfId="16127" priority="23435" stopIfTrue="1" operator="equal">
      <formula>"Napkin Hs"</formula>
    </cfRule>
  </conditionalFormatting>
  <conditionalFormatting sqref="C12:C14">
    <cfRule type="cellIs" dxfId="16126" priority="23426" stopIfTrue="1" operator="equal">
      <formula>"Towel"</formula>
    </cfRule>
    <cfRule type="cellIs" dxfId="16125" priority="23427" stopIfTrue="1" operator="equal">
      <formula>"Napkin Hs"</formula>
    </cfRule>
  </conditionalFormatting>
  <conditionalFormatting sqref="C12:C14">
    <cfRule type="cellIs" dxfId="16124" priority="23428" stopIfTrue="1" operator="equal">
      <formula>"Towel"</formula>
    </cfRule>
    <cfRule type="cellIs" dxfId="16123" priority="23429" stopIfTrue="1" operator="equal">
      <formula>"Napkin Hs"</formula>
    </cfRule>
  </conditionalFormatting>
  <conditionalFormatting sqref="C12:C14">
    <cfRule type="cellIs" dxfId="16122" priority="23430" stopIfTrue="1" operator="equal">
      <formula>"Towel"</formula>
    </cfRule>
    <cfRule type="cellIs" dxfId="16121" priority="23431" stopIfTrue="1" operator="equal">
      <formula>"Napkin Hs"</formula>
    </cfRule>
  </conditionalFormatting>
  <conditionalFormatting sqref="B12:C14">
    <cfRule type="cellIs" dxfId="16120" priority="23424" stopIfTrue="1" operator="equal">
      <formula>"Towel"</formula>
    </cfRule>
    <cfRule type="cellIs" dxfId="16119" priority="23425" stopIfTrue="1" operator="equal">
      <formula>"Napkin Hs"</formula>
    </cfRule>
  </conditionalFormatting>
  <conditionalFormatting sqref="B12:C14">
    <cfRule type="cellIs" dxfId="16118" priority="23422" stopIfTrue="1" operator="equal">
      <formula>"Towel"</formula>
    </cfRule>
    <cfRule type="cellIs" dxfId="16117" priority="23423" stopIfTrue="1" operator="equal">
      <formula>"Napkin Hs"</formula>
    </cfRule>
  </conditionalFormatting>
  <conditionalFormatting sqref="B12:C14">
    <cfRule type="cellIs" dxfId="16116" priority="23398" stopIfTrue="1" operator="equal">
      <formula>"Towel"</formula>
    </cfRule>
  </conditionalFormatting>
  <conditionalFormatting sqref="B12:C14">
    <cfRule type="cellIs" dxfId="16115" priority="23399" stopIfTrue="1" operator="equal">
      <formula>"Napkin Hs"</formula>
    </cfRule>
    <cfRule type="cellIs" dxfId="16114" priority="23404" stopIfTrue="1" operator="equal">
      <formula>"Towel"</formula>
    </cfRule>
    <cfRule type="cellIs" dxfId="16113" priority="23405" stopIfTrue="1" operator="equal">
      <formula>"Napkin Hs"</formula>
    </cfRule>
    <cfRule type="cellIs" dxfId="16112" priority="23414" stopIfTrue="1" operator="equal">
      <formula>"Towel"</formula>
    </cfRule>
    <cfRule type="cellIs" dxfId="16111" priority="23415" stopIfTrue="1" operator="equal">
      <formula>"Napkin Hs"</formula>
    </cfRule>
    <cfRule type="cellIs" dxfId="16110" priority="23420" stopIfTrue="1" operator="equal">
      <formula>"Towel"</formula>
    </cfRule>
    <cfRule type="cellIs" dxfId="16109" priority="23421" stopIfTrue="1" operator="equal">
      <formula>"Napkin Hs"</formula>
    </cfRule>
  </conditionalFormatting>
  <conditionalFormatting sqref="C12:C14">
    <cfRule type="cellIs" dxfId="16108" priority="23400" stopIfTrue="1" operator="equal">
      <formula>"Towel"</formula>
    </cfRule>
    <cfRule type="cellIs" dxfId="16107" priority="23401" stopIfTrue="1" operator="equal">
      <formula>"Napkin Hs"</formula>
    </cfRule>
    <cfRule type="cellIs" dxfId="16106" priority="23402" stopIfTrue="1" operator="equal">
      <formula>"Towel"</formula>
    </cfRule>
    <cfRule type="cellIs" dxfId="16105" priority="23403" stopIfTrue="1" operator="equal">
      <formula>"Napkin Hs"</formula>
    </cfRule>
    <cfRule type="cellIs" dxfId="16104" priority="23406" stopIfTrue="1" operator="equal">
      <formula>"Towel"</formula>
    </cfRule>
    <cfRule type="cellIs" dxfId="16103" priority="23407" stopIfTrue="1" operator="equal">
      <formula>"Napkin Hs"</formula>
    </cfRule>
    <cfRule type="cellIs" dxfId="16102" priority="23408" stopIfTrue="1" operator="equal">
      <formula>"Towel"</formula>
    </cfRule>
    <cfRule type="cellIs" dxfId="16101" priority="23409" stopIfTrue="1" operator="equal">
      <formula>"Napkin Hs"</formula>
    </cfRule>
    <cfRule type="cellIs" dxfId="16100" priority="23410" stopIfTrue="1" operator="equal">
      <formula>"Towel"</formula>
    </cfRule>
    <cfRule type="cellIs" dxfId="16099" priority="23411" stopIfTrue="1" operator="equal">
      <formula>"Napkin Hs"</formula>
    </cfRule>
    <cfRule type="cellIs" dxfId="16098" priority="23412" stopIfTrue="1" operator="equal">
      <formula>"Towel"</formula>
    </cfRule>
    <cfRule type="cellIs" dxfId="16097" priority="23413" stopIfTrue="1" operator="equal">
      <formula>"Napkin Hs"</formula>
    </cfRule>
    <cfRule type="cellIs" dxfId="16096" priority="23416" stopIfTrue="1" operator="equal">
      <formula>"Towel"</formula>
    </cfRule>
    <cfRule type="cellIs" dxfId="16095" priority="23417" stopIfTrue="1" operator="equal">
      <formula>"Napkin Hs"</formula>
    </cfRule>
    <cfRule type="cellIs" dxfId="16094" priority="23419" stopIfTrue="1" operator="equal">
      <formula>"Napkin Hs"</formula>
    </cfRule>
  </conditionalFormatting>
  <conditionalFormatting sqref="C12:C14">
    <cfRule type="cellIs" dxfId="16093" priority="23418" stopIfTrue="1" operator="equal">
      <formula>"Towel"</formula>
    </cfRule>
  </conditionalFormatting>
  <conditionalFormatting sqref="B12:C14">
    <cfRule type="cellIs" dxfId="16092" priority="23396" stopIfTrue="1" operator="equal">
      <formula>"Towel"</formula>
    </cfRule>
    <cfRule type="cellIs" dxfId="16091" priority="23397" stopIfTrue="1" operator="equal">
      <formula>"Napkin Hs"</formula>
    </cfRule>
  </conditionalFormatting>
  <conditionalFormatting sqref="C12:C14">
    <cfRule type="cellIs" dxfId="16090" priority="23395" stopIfTrue="1" operator="equal">
      <formula>"Napkin Hs"</formula>
    </cfRule>
  </conditionalFormatting>
  <conditionalFormatting sqref="C12:C14">
    <cfRule type="cellIs" dxfId="16089" priority="23394" stopIfTrue="1" operator="equal">
      <formula>"Towel"</formula>
    </cfRule>
  </conditionalFormatting>
  <conditionalFormatting sqref="C12:C14">
    <cfRule type="cellIs" dxfId="16088" priority="23392" stopIfTrue="1" operator="equal">
      <formula>"Towel"</formula>
    </cfRule>
  </conditionalFormatting>
  <conditionalFormatting sqref="C12:C14">
    <cfRule type="cellIs" dxfId="16087" priority="23393" stopIfTrue="1" operator="equal">
      <formula>"Napkin Hs"</formula>
    </cfRule>
  </conditionalFormatting>
  <conditionalFormatting sqref="B12:B14">
    <cfRule type="cellIs" dxfId="16086" priority="23296" stopIfTrue="1" operator="equal">
      <formula>"Napkin Hs"</formula>
    </cfRule>
  </conditionalFormatting>
  <conditionalFormatting sqref="B12:C14">
    <cfRule type="cellIs" dxfId="16085" priority="23295" stopIfTrue="1" operator="equal">
      <formula>"Towel"</formula>
    </cfRule>
  </conditionalFormatting>
  <conditionalFormatting sqref="B12:C14">
    <cfRule type="cellIs" dxfId="16084" priority="23306" stopIfTrue="1" operator="equal">
      <formula>"Towel"</formula>
    </cfRule>
    <cfRule type="cellIs" dxfId="16083" priority="23307" stopIfTrue="1" operator="equal">
      <formula>"Napkin Hs"</formula>
    </cfRule>
    <cfRule type="cellIs" dxfId="16082" priority="23312" stopIfTrue="1" operator="equal">
      <formula>"Towel"</formula>
    </cfRule>
    <cfRule type="cellIs" dxfId="16081" priority="23313" stopIfTrue="1" operator="equal">
      <formula>"Napkin Hs"</formula>
    </cfRule>
    <cfRule type="cellIs" dxfId="16080" priority="23318" stopIfTrue="1" operator="equal">
      <formula>"Towel"</formula>
    </cfRule>
    <cfRule type="cellIs" dxfId="16079" priority="23319" stopIfTrue="1" operator="equal">
      <formula>"Napkin Hs"</formula>
    </cfRule>
    <cfRule type="cellIs" dxfId="16078" priority="23320" stopIfTrue="1" operator="equal">
      <formula>"Towel"</formula>
    </cfRule>
    <cfRule type="cellIs" dxfId="16077" priority="23321" stopIfTrue="1" operator="equal">
      <formula>"Napkin Hs"</formula>
    </cfRule>
    <cfRule type="cellIs" dxfId="16076" priority="23326" stopIfTrue="1" operator="equal">
      <formula>"Towel"</formula>
    </cfRule>
    <cfRule type="cellIs" dxfId="16075" priority="23327" stopIfTrue="1" operator="equal">
      <formula>"Napkin Hs"</formula>
    </cfRule>
    <cfRule type="cellIs" dxfId="16074" priority="23336" stopIfTrue="1" operator="equal">
      <formula>"Towel"</formula>
    </cfRule>
    <cfRule type="cellIs" dxfId="16073" priority="23337" stopIfTrue="1" operator="equal">
      <formula>"Napkin Hs"</formula>
    </cfRule>
    <cfRule type="cellIs" dxfId="16072" priority="23342" stopIfTrue="1" operator="equal">
      <formula>"Towel"</formula>
    </cfRule>
    <cfRule type="cellIs" dxfId="16071" priority="23343" stopIfTrue="1" operator="equal">
      <formula>"Napkin Hs"</formula>
    </cfRule>
    <cfRule type="cellIs" dxfId="16070" priority="23344" stopIfTrue="1" operator="equal">
      <formula>"Towel"</formula>
    </cfRule>
    <cfRule type="cellIs" dxfId="16069" priority="23345" stopIfTrue="1" operator="equal">
      <formula>"Napkin Hs"</formula>
    </cfRule>
    <cfRule type="cellIs" dxfId="16068" priority="23350" stopIfTrue="1" operator="equal">
      <formula>"Towel"</formula>
    </cfRule>
    <cfRule type="cellIs" dxfId="16067" priority="23351" stopIfTrue="1" operator="equal">
      <formula>"Napkin Hs"</formula>
    </cfRule>
    <cfRule type="cellIs" dxfId="16066" priority="23360" stopIfTrue="1" operator="equal">
      <formula>"Towel"</formula>
    </cfRule>
    <cfRule type="cellIs" dxfId="16065" priority="23361" stopIfTrue="1" operator="equal">
      <formula>"Napkin Hs"</formula>
    </cfRule>
    <cfRule type="cellIs" dxfId="16064" priority="23362" stopIfTrue="1" operator="equal">
      <formula>"Towel"</formula>
    </cfRule>
    <cfRule type="cellIs" dxfId="16063" priority="23363" stopIfTrue="1" operator="equal">
      <formula>"Napkin Hs"</formula>
    </cfRule>
    <cfRule type="cellIs" dxfId="16062" priority="23368" stopIfTrue="1" operator="equal">
      <formula>"Towel"</formula>
    </cfRule>
    <cfRule type="cellIs" dxfId="16061" priority="23369" stopIfTrue="1" operator="equal">
      <formula>"Napkin Hs"</formula>
    </cfRule>
    <cfRule type="cellIs" dxfId="16060" priority="23378" stopIfTrue="1" operator="equal">
      <formula>"Towel"</formula>
    </cfRule>
    <cfRule type="cellIs" dxfId="16059" priority="23379" stopIfTrue="1" operator="equal">
      <formula>"Napkin Hs"</formula>
    </cfRule>
    <cfRule type="cellIs" dxfId="16058" priority="23380" stopIfTrue="1" operator="equal">
      <formula>"Towel"</formula>
    </cfRule>
    <cfRule type="cellIs" dxfId="16057" priority="23381" stopIfTrue="1" operator="equal">
      <formula>"Napkin Hs"</formula>
    </cfRule>
    <cfRule type="cellIs" dxfId="16056" priority="23387" stopIfTrue="1" operator="equal">
      <formula>"Napkin Hs"</formula>
    </cfRule>
  </conditionalFormatting>
  <conditionalFormatting sqref="B12:C14">
    <cfRule type="cellIs" dxfId="16055" priority="23386" stopIfTrue="1" operator="equal">
      <formula>"Towel"</formula>
    </cfRule>
  </conditionalFormatting>
  <conditionalFormatting sqref="C12:C14">
    <cfRule type="cellIs" dxfId="16054" priority="23297" stopIfTrue="1" operator="equal">
      <formula>"Napkin Hs"</formula>
    </cfRule>
    <cfRule type="cellIs" dxfId="16053" priority="23298" stopIfTrue="1" operator="equal">
      <formula>"Towel"</formula>
    </cfRule>
    <cfRule type="cellIs" dxfId="16052" priority="23299" stopIfTrue="1" operator="equal">
      <formula>"Napkin Hs"</formula>
    </cfRule>
    <cfRule type="cellIs" dxfId="16051" priority="23300" stopIfTrue="1" operator="equal">
      <formula>"Towel"</formula>
    </cfRule>
    <cfRule type="cellIs" dxfId="16050" priority="23301" stopIfTrue="1" operator="equal">
      <formula>"Napkin Hs"</formula>
    </cfRule>
    <cfRule type="cellIs" dxfId="16049" priority="23302" stopIfTrue="1" operator="equal">
      <formula>"Towel"</formula>
    </cfRule>
    <cfRule type="cellIs" dxfId="16048" priority="23303" stopIfTrue="1" operator="equal">
      <formula>"Napkin Hs"</formula>
    </cfRule>
    <cfRule type="cellIs" dxfId="16047" priority="23304" stopIfTrue="1" operator="equal">
      <formula>"Towel"</formula>
    </cfRule>
    <cfRule type="cellIs" dxfId="16046" priority="23305" stopIfTrue="1" operator="equal">
      <formula>"Napkin Hs"</formula>
    </cfRule>
    <cfRule type="cellIs" dxfId="16045" priority="23308" stopIfTrue="1" operator="equal">
      <formula>"Towel"</formula>
    </cfRule>
    <cfRule type="cellIs" dxfId="16044" priority="23309" stopIfTrue="1" operator="equal">
      <formula>"Napkin Hs"</formula>
    </cfRule>
    <cfRule type="cellIs" dxfId="16043" priority="23310" stopIfTrue="1" operator="equal">
      <formula>"Towel"</formula>
    </cfRule>
    <cfRule type="cellIs" dxfId="16042" priority="23311" stopIfTrue="1" operator="equal">
      <formula>"Napkin Hs"</formula>
    </cfRule>
    <cfRule type="cellIs" dxfId="16041" priority="23314" stopIfTrue="1" operator="equal">
      <formula>"Towel"</formula>
    </cfRule>
    <cfRule type="cellIs" dxfId="16040" priority="23315" stopIfTrue="1" operator="equal">
      <formula>"Napkin Hs"</formula>
    </cfRule>
    <cfRule type="cellIs" dxfId="16039" priority="23316" stopIfTrue="1" operator="equal">
      <formula>"Towel"</formula>
    </cfRule>
    <cfRule type="cellIs" dxfId="16038" priority="23317" stopIfTrue="1" operator="equal">
      <formula>"Napkin Hs"</formula>
    </cfRule>
    <cfRule type="cellIs" dxfId="16037" priority="23322" stopIfTrue="1" operator="equal">
      <formula>"Towel"</formula>
    </cfRule>
    <cfRule type="cellIs" dxfId="16036" priority="23323" stopIfTrue="1" operator="equal">
      <formula>"Napkin Hs"</formula>
    </cfRule>
    <cfRule type="cellIs" dxfId="16035" priority="23324" stopIfTrue="1" operator="equal">
      <formula>"Towel"</formula>
    </cfRule>
    <cfRule type="cellIs" dxfId="16034" priority="23325" stopIfTrue="1" operator="equal">
      <formula>"Napkin Hs"</formula>
    </cfRule>
    <cfRule type="cellIs" dxfId="16033" priority="23328" stopIfTrue="1" operator="equal">
      <formula>"Towel"</formula>
    </cfRule>
    <cfRule type="cellIs" dxfId="16032" priority="23329" stopIfTrue="1" operator="equal">
      <formula>"Napkin Hs"</formula>
    </cfRule>
    <cfRule type="cellIs" dxfId="16031" priority="23330" stopIfTrue="1" operator="equal">
      <formula>"Towel"</formula>
    </cfRule>
    <cfRule type="cellIs" dxfId="16030" priority="23331" stopIfTrue="1" operator="equal">
      <formula>"Napkin Hs"</formula>
    </cfRule>
    <cfRule type="cellIs" dxfId="16029" priority="23332" stopIfTrue="1" operator="equal">
      <formula>"Towel"</formula>
    </cfRule>
    <cfRule type="cellIs" dxfId="16028" priority="23333" stopIfTrue="1" operator="equal">
      <formula>"Napkin Hs"</formula>
    </cfRule>
    <cfRule type="cellIs" dxfId="16027" priority="23334" stopIfTrue="1" operator="equal">
      <formula>"Towel"</formula>
    </cfRule>
    <cfRule type="cellIs" dxfId="16026" priority="23335" stopIfTrue="1" operator="equal">
      <formula>"Napkin Hs"</formula>
    </cfRule>
    <cfRule type="cellIs" dxfId="16025" priority="23338" stopIfTrue="1" operator="equal">
      <formula>"Towel"</formula>
    </cfRule>
    <cfRule type="cellIs" dxfId="16024" priority="23339" stopIfTrue="1" operator="equal">
      <formula>"Napkin Hs"</formula>
    </cfRule>
    <cfRule type="cellIs" dxfId="16023" priority="23340" stopIfTrue="1" operator="equal">
      <formula>"Towel"</formula>
    </cfRule>
    <cfRule type="cellIs" dxfId="16022" priority="23341" stopIfTrue="1" operator="equal">
      <formula>"Napkin Hs"</formula>
    </cfRule>
    <cfRule type="cellIs" dxfId="16021" priority="23346" stopIfTrue="1" operator="equal">
      <formula>"Towel"</formula>
    </cfRule>
    <cfRule type="cellIs" dxfId="16020" priority="23347" stopIfTrue="1" operator="equal">
      <formula>"Napkin Hs"</formula>
    </cfRule>
    <cfRule type="cellIs" dxfId="16019" priority="23348" stopIfTrue="1" operator="equal">
      <formula>"Towel"</formula>
    </cfRule>
    <cfRule type="cellIs" dxfId="16018" priority="23349" stopIfTrue="1" operator="equal">
      <formula>"Napkin Hs"</formula>
    </cfRule>
    <cfRule type="cellIs" dxfId="16017" priority="23352" stopIfTrue="1" operator="equal">
      <formula>"Towel"</formula>
    </cfRule>
    <cfRule type="cellIs" dxfId="16016" priority="23353" stopIfTrue="1" operator="equal">
      <formula>"Napkin Hs"</formula>
    </cfRule>
    <cfRule type="cellIs" dxfId="16015" priority="23354" stopIfTrue="1" operator="equal">
      <formula>"Towel"</formula>
    </cfRule>
    <cfRule type="cellIs" dxfId="16014" priority="23355" stopIfTrue="1" operator="equal">
      <formula>"Napkin Hs"</formula>
    </cfRule>
    <cfRule type="cellIs" dxfId="16013" priority="23356" stopIfTrue="1" operator="equal">
      <formula>"Towel"</formula>
    </cfRule>
    <cfRule type="cellIs" dxfId="16012" priority="23357" stopIfTrue="1" operator="equal">
      <formula>"Napkin Hs"</formula>
    </cfRule>
    <cfRule type="cellIs" dxfId="16011" priority="23358" stopIfTrue="1" operator="equal">
      <formula>"Towel"</formula>
    </cfRule>
    <cfRule type="cellIs" dxfId="16010" priority="23359" stopIfTrue="1" operator="equal">
      <formula>"Napkin Hs"</formula>
    </cfRule>
    <cfRule type="cellIs" dxfId="16009" priority="23364" stopIfTrue="1" operator="equal">
      <formula>"Towel"</formula>
    </cfRule>
    <cfRule type="cellIs" dxfId="16008" priority="23365" stopIfTrue="1" operator="equal">
      <formula>"Napkin Hs"</formula>
    </cfRule>
    <cfRule type="cellIs" dxfId="16007" priority="23366" stopIfTrue="1" operator="equal">
      <formula>"Towel"</formula>
    </cfRule>
    <cfRule type="cellIs" dxfId="16006" priority="23367" stopIfTrue="1" operator="equal">
      <formula>"Napkin Hs"</formula>
    </cfRule>
    <cfRule type="cellIs" dxfId="16005" priority="23370" stopIfTrue="1" operator="equal">
      <formula>"Towel"</formula>
    </cfRule>
    <cfRule type="cellIs" dxfId="16004" priority="23371" stopIfTrue="1" operator="equal">
      <formula>"Napkin Hs"</formula>
    </cfRule>
    <cfRule type="cellIs" dxfId="16003" priority="23372" stopIfTrue="1" operator="equal">
      <formula>"Towel"</formula>
    </cfRule>
    <cfRule type="cellIs" dxfId="16002" priority="23373" stopIfTrue="1" operator="equal">
      <formula>"Napkin Hs"</formula>
    </cfRule>
    <cfRule type="cellIs" dxfId="16001" priority="23374" stopIfTrue="1" operator="equal">
      <formula>"Towel"</formula>
    </cfRule>
    <cfRule type="cellIs" dxfId="16000" priority="23375" stopIfTrue="1" operator="equal">
      <formula>"Napkin Hs"</formula>
    </cfRule>
    <cfRule type="cellIs" dxfId="15999" priority="23376" stopIfTrue="1" operator="equal">
      <formula>"Towel"</formula>
    </cfRule>
    <cfRule type="cellIs" dxfId="15998" priority="23377" stopIfTrue="1" operator="equal">
      <formula>"Napkin Hs"</formula>
    </cfRule>
    <cfRule type="cellIs" dxfId="15997" priority="23382" stopIfTrue="1" operator="equal">
      <formula>"Towel"</formula>
    </cfRule>
    <cfRule type="cellIs" dxfId="15996" priority="23383" stopIfTrue="1" operator="equal">
      <formula>"Napkin Hs"</formula>
    </cfRule>
    <cfRule type="cellIs" dxfId="15995" priority="23384" stopIfTrue="1" operator="equal">
      <formula>"Towel"</formula>
    </cfRule>
    <cfRule type="cellIs" dxfId="15994" priority="23385" stopIfTrue="1" operator="equal">
      <formula>"Napkin Hs"</formula>
    </cfRule>
    <cfRule type="cellIs" dxfId="15993" priority="23388" stopIfTrue="1" operator="equal">
      <formula>"Towel"</formula>
    </cfRule>
    <cfRule type="cellIs" dxfId="15992" priority="23389" stopIfTrue="1" operator="equal">
      <formula>"Napkin Hs"</formula>
    </cfRule>
    <cfRule type="cellIs" dxfId="15991" priority="23390" stopIfTrue="1" operator="equal">
      <formula>"Towel"</formula>
    </cfRule>
    <cfRule type="cellIs" dxfId="15990" priority="23391" stopIfTrue="1" operator="equal">
      <formula>"Napkin Hs"</formula>
    </cfRule>
  </conditionalFormatting>
  <conditionalFormatting sqref="C12:C14">
    <cfRule type="cellIs" dxfId="15989" priority="23294" stopIfTrue="1" operator="equal">
      <formula>"Napkin Hs"</formula>
    </cfRule>
  </conditionalFormatting>
  <conditionalFormatting sqref="C12:C14">
    <cfRule type="cellIs" dxfId="15988" priority="23293" stopIfTrue="1" operator="equal">
      <formula>"Napkin Hs"</formula>
    </cfRule>
  </conditionalFormatting>
  <conditionalFormatting sqref="B12:B14">
    <cfRule type="cellIs" dxfId="15987" priority="23292" stopIfTrue="1" operator="equal">
      <formula>"Napkin Hs"</formula>
    </cfRule>
  </conditionalFormatting>
  <conditionalFormatting sqref="C12:C14">
    <cfRule type="cellIs" dxfId="15986" priority="23291" stopIfTrue="1" operator="equal">
      <formula>"Napkin Hs"</formula>
    </cfRule>
  </conditionalFormatting>
  <conditionalFormatting sqref="C12:C14">
    <cfRule type="cellIs" dxfId="15985" priority="23290" stopIfTrue="1" operator="equal">
      <formula>"Napkin Hs"</formula>
    </cfRule>
  </conditionalFormatting>
  <conditionalFormatting sqref="C12:C14">
    <cfRule type="cellIs" dxfId="15984" priority="23289" stopIfTrue="1" operator="equal">
      <formula>"Napkin Hs"</formula>
    </cfRule>
  </conditionalFormatting>
  <conditionalFormatting sqref="C12:C14">
    <cfRule type="cellIs" dxfId="15983" priority="23288" stopIfTrue="1" operator="equal">
      <formula>"Napkin Hs"</formula>
    </cfRule>
  </conditionalFormatting>
  <conditionalFormatting sqref="B12:B14">
    <cfRule type="cellIs" dxfId="15982" priority="23287" stopIfTrue="1" operator="equal">
      <formula>"Napkin Hs"</formula>
    </cfRule>
  </conditionalFormatting>
  <conditionalFormatting sqref="B12:B14">
    <cfRule type="cellIs" dxfId="15981" priority="23286" stopIfTrue="1" operator="equal">
      <formula>"Napkin Hs"</formula>
    </cfRule>
  </conditionalFormatting>
  <conditionalFormatting sqref="C12:C14">
    <cfRule type="cellIs" dxfId="15980" priority="23282" stopIfTrue="1" operator="equal">
      <formula>"Towel"</formula>
    </cfRule>
    <cfRule type="cellIs" dxfId="15979" priority="23283" stopIfTrue="1" operator="equal">
      <formula>"Napkin Hs"</formula>
    </cfRule>
  </conditionalFormatting>
  <conditionalFormatting sqref="C12:C14">
    <cfRule type="cellIs" dxfId="15978" priority="23284" stopIfTrue="1" operator="equal">
      <formula>"Towel"</formula>
    </cfRule>
    <cfRule type="cellIs" dxfId="15977" priority="23285" stopIfTrue="1" operator="equal">
      <formula>"Napkin Hs"</formula>
    </cfRule>
  </conditionalFormatting>
  <conditionalFormatting sqref="C12:C14">
    <cfRule type="cellIs" dxfId="15976" priority="23278" stopIfTrue="1" operator="equal">
      <formula>"Towel"</formula>
    </cfRule>
    <cfRule type="cellIs" dxfId="15975" priority="23279" stopIfTrue="1" operator="equal">
      <formula>"Napkin Hs"</formula>
    </cfRule>
  </conditionalFormatting>
  <conditionalFormatting sqref="C12:C14">
    <cfRule type="cellIs" dxfId="15974" priority="23280" stopIfTrue="1" operator="equal">
      <formula>"Towel"</formula>
    </cfRule>
    <cfRule type="cellIs" dxfId="15973" priority="23281" stopIfTrue="1" operator="equal">
      <formula>"Napkin Hs"</formula>
    </cfRule>
  </conditionalFormatting>
  <conditionalFormatting sqref="C18">
    <cfRule type="cellIs" dxfId="15972" priority="23272" stopIfTrue="1" operator="equal">
      <formula>"Towel"</formula>
    </cfRule>
    <cfRule type="cellIs" dxfId="15971" priority="23273" stopIfTrue="1" operator="equal">
      <formula>"Napkin Hs"</formula>
    </cfRule>
  </conditionalFormatting>
  <conditionalFormatting sqref="C18">
    <cfRule type="cellIs" dxfId="15970" priority="23276" stopIfTrue="1" operator="equal">
      <formula>"Towel"</formula>
    </cfRule>
    <cfRule type="cellIs" dxfId="15969" priority="23277" stopIfTrue="1" operator="equal">
      <formula>"Napkin Hs"</formula>
    </cfRule>
  </conditionalFormatting>
  <conditionalFormatting sqref="C18">
    <cfRule type="cellIs" dxfId="15968" priority="23274" stopIfTrue="1" operator="equal">
      <formula>"Towel"</formula>
    </cfRule>
    <cfRule type="cellIs" dxfId="15967" priority="23275" stopIfTrue="1" operator="equal">
      <formula>"Napkin Hs"</formula>
    </cfRule>
  </conditionalFormatting>
  <conditionalFormatting sqref="C18">
    <cfRule type="cellIs" dxfId="15966" priority="23266" stopIfTrue="1" operator="equal">
      <formula>"Towel"</formula>
    </cfRule>
    <cfRule type="cellIs" dxfId="15965" priority="23267" stopIfTrue="1" operator="equal">
      <formula>"Napkin Hs"</formula>
    </cfRule>
  </conditionalFormatting>
  <conditionalFormatting sqref="C18">
    <cfRule type="cellIs" dxfId="15964" priority="23268" stopIfTrue="1" operator="equal">
      <formula>"Towel"</formula>
    </cfRule>
    <cfRule type="cellIs" dxfId="15963" priority="23269" stopIfTrue="1" operator="equal">
      <formula>"Napkin Hs"</formula>
    </cfRule>
  </conditionalFormatting>
  <conditionalFormatting sqref="C18">
    <cfRule type="cellIs" dxfId="15962" priority="23270" stopIfTrue="1" operator="equal">
      <formula>"Towel"</formula>
    </cfRule>
    <cfRule type="cellIs" dxfId="15961" priority="23271" stopIfTrue="1" operator="equal">
      <formula>"Napkin Hs"</formula>
    </cfRule>
  </conditionalFormatting>
  <conditionalFormatting sqref="B18:C18">
    <cfRule type="cellIs" dxfId="15960" priority="23264" stopIfTrue="1" operator="equal">
      <formula>"Towel"</formula>
    </cfRule>
    <cfRule type="cellIs" dxfId="15959" priority="23265" stopIfTrue="1" operator="equal">
      <formula>"Napkin Hs"</formula>
    </cfRule>
  </conditionalFormatting>
  <conditionalFormatting sqref="B18:C18">
    <cfRule type="cellIs" dxfId="15958" priority="23262" stopIfTrue="1" operator="equal">
      <formula>"Towel"</formula>
    </cfRule>
    <cfRule type="cellIs" dxfId="15957" priority="23263" stopIfTrue="1" operator="equal">
      <formula>"Napkin Hs"</formula>
    </cfRule>
  </conditionalFormatting>
  <conditionalFormatting sqref="B18:C18">
    <cfRule type="cellIs" dxfId="15956" priority="23238" stopIfTrue="1" operator="equal">
      <formula>"Towel"</formula>
    </cfRule>
  </conditionalFormatting>
  <conditionalFormatting sqref="B18:C18">
    <cfRule type="cellIs" dxfId="15955" priority="23239" stopIfTrue="1" operator="equal">
      <formula>"Napkin Hs"</formula>
    </cfRule>
    <cfRule type="cellIs" dxfId="15954" priority="23244" stopIfTrue="1" operator="equal">
      <formula>"Towel"</formula>
    </cfRule>
    <cfRule type="cellIs" dxfId="15953" priority="23245" stopIfTrue="1" operator="equal">
      <formula>"Napkin Hs"</formula>
    </cfRule>
    <cfRule type="cellIs" dxfId="15952" priority="23254" stopIfTrue="1" operator="equal">
      <formula>"Towel"</formula>
    </cfRule>
    <cfRule type="cellIs" dxfId="15951" priority="23255" stopIfTrue="1" operator="equal">
      <formula>"Napkin Hs"</formula>
    </cfRule>
    <cfRule type="cellIs" dxfId="15950" priority="23260" stopIfTrue="1" operator="equal">
      <formula>"Towel"</formula>
    </cfRule>
    <cfRule type="cellIs" dxfId="15949" priority="23261" stopIfTrue="1" operator="equal">
      <formula>"Napkin Hs"</formula>
    </cfRule>
  </conditionalFormatting>
  <conditionalFormatting sqref="C18">
    <cfRule type="cellIs" dxfId="15948" priority="23240" stopIfTrue="1" operator="equal">
      <formula>"Towel"</formula>
    </cfRule>
    <cfRule type="cellIs" dxfId="15947" priority="23241" stopIfTrue="1" operator="equal">
      <formula>"Napkin Hs"</formula>
    </cfRule>
    <cfRule type="cellIs" dxfId="15946" priority="23242" stopIfTrue="1" operator="equal">
      <formula>"Towel"</formula>
    </cfRule>
    <cfRule type="cellIs" dxfId="15945" priority="23243" stopIfTrue="1" operator="equal">
      <formula>"Napkin Hs"</formula>
    </cfRule>
    <cfRule type="cellIs" dxfId="15944" priority="23246" stopIfTrue="1" operator="equal">
      <formula>"Towel"</formula>
    </cfRule>
    <cfRule type="cellIs" dxfId="15943" priority="23247" stopIfTrue="1" operator="equal">
      <formula>"Napkin Hs"</formula>
    </cfRule>
    <cfRule type="cellIs" dxfId="15942" priority="23248" stopIfTrue="1" operator="equal">
      <formula>"Towel"</formula>
    </cfRule>
    <cfRule type="cellIs" dxfId="15941" priority="23249" stopIfTrue="1" operator="equal">
      <formula>"Napkin Hs"</formula>
    </cfRule>
    <cfRule type="cellIs" dxfId="15940" priority="23250" stopIfTrue="1" operator="equal">
      <formula>"Towel"</formula>
    </cfRule>
    <cfRule type="cellIs" dxfId="15939" priority="23251" stopIfTrue="1" operator="equal">
      <formula>"Napkin Hs"</formula>
    </cfRule>
    <cfRule type="cellIs" dxfId="15938" priority="23252" stopIfTrue="1" operator="equal">
      <formula>"Towel"</formula>
    </cfRule>
    <cfRule type="cellIs" dxfId="15937" priority="23253" stopIfTrue="1" operator="equal">
      <formula>"Napkin Hs"</formula>
    </cfRule>
    <cfRule type="cellIs" dxfId="15936" priority="23256" stopIfTrue="1" operator="equal">
      <formula>"Towel"</formula>
    </cfRule>
    <cfRule type="cellIs" dxfId="15935" priority="23257" stopIfTrue="1" operator="equal">
      <formula>"Napkin Hs"</formula>
    </cfRule>
    <cfRule type="cellIs" dxfId="15934" priority="23259" stopIfTrue="1" operator="equal">
      <formula>"Napkin Hs"</formula>
    </cfRule>
  </conditionalFormatting>
  <conditionalFormatting sqref="C18">
    <cfRule type="cellIs" dxfId="15933" priority="23258" stopIfTrue="1" operator="equal">
      <formula>"Towel"</formula>
    </cfRule>
  </conditionalFormatting>
  <conditionalFormatting sqref="B18:C18">
    <cfRule type="cellIs" dxfId="15932" priority="23236" stopIfTrue="1" operator="equal">
      <formula>"Towel"</formula>
    </cfRule>
    <cfRule type="cellIs" dxfId="15931" priority="23237" stopIfTrue="1" operator="equal">
      <formula>"Napkin Hs"</formula>
    </cfRule>
  </conditionalFormatting>
  <conditionalFormatting sqref="C18">
    <cfRule type="cellIs" dxfId="15930" priority="23235" stopIfTrue="1" operator="equal">
      <formula>"Napkin Hs"</formula>
    </cfRule>
  </conditionalFormatting>
  <conditionalFormatting sqref="C18">
    <cfRule type="cellIs" dxfId="15929" priority="23234" stopIfTrue="1" operator="equal">
      <formula>"Towel"</formula>
    </cfRule>
  </conditionalFormatting>
  <conditionalFormatting sqref="C18">
    <cfRule type="cellIs" dxfId="15928" priority="23232" stopIfTrue="1" operator="equal">
      <formula>"Towel"</formula>
    </cfRule>
  </conditionalFormatting>
  <conditionalFormatting sqref="C18">
    <cfRule type="cellIs" dxfId="15927" priority="23233" stopIfTrue="1" operator="equal">
      <formula>"Napkin Hs"</formula>
    </cfRule>
  </conditionalFormatting>
  <conditionalFormatting sqref="B18">
    <cfRule type="cellIs" dxfId="15926" priority="23136" stopIfTrue="1" operator="equal">
      <formula>"Napkin Hs"</formula>
    </cfRule>
  </conditionalFormatting>
  <conditionalFormatting sqref="B18:C18">
    <cfRule type="cellIs" dxfId="15925" priority="23135" stopIfTrue="1" operator="equal">
      <formula>"Towel"</formula>
    </cfRule>
  </conditionalFormatting>
  <conditionalFormatting sqref="B18:C18">
    <cfRule type="cellIs" dxfId="15924" priority="23146" stopIfTrue="1" operator="equal">
      <formula>"Towel"</formula>
    </cfRule>
    <cfRule type="cellIs" dxfId="15923" priority="23147" stopIfTrue="1" operator="equal">
      <formula>"Napkin Hs"</formula>
    </cfRule>
    <cfRule type="cellIs" dxfId="15922" priority="23152" stopIfTrue="1" operator="equal">
      <formula>"Towel"</formula>
    </cfRule>
    <cfRule type="cellIs" dxfId="15921" priority="23153" stopIfTrue="1" operator="equal">
      <formula>"Napkin Hs"</formula>
    </cfRule>
    <cfRule type="cellIs" dxfId="15920" priority="23158" stopIfTrue="1" operator="equal">
      <formula>"Towel"</formula>
    </cfRule>
    <cfRule type="cellIs" dxfId="15919" priority="23159" stopIfTrue="1" operator="equal">
      <formula>"Napkin Hs"</formula>
    </cfRule>
    <cfRule type="cellIs" dxfId="15918" priority="23160" stopIfTrue="1" operator="equal">
      <formula>"Towel"</formula>
    </cfRule>
    <cfRule type="cellIs" dxfId="15917" priority="23161" stopIfTrue="1" operator="equal">
      <formula>"Napkin Hs"</formula>
    </cfRule>
    <cfRule type="cellIs" dxfId="15916" priority="23166" stopIfTrue="1" operator="equal">
      <formula>"Towel"</formula>
    </cfRule>
    <cfRule type="cellIs" dxfId="15915" priority="23167" stopIfTrue="1" operator="equal">
      <formula>"Napkin Hs"</formula>
    </cfRule>
    <cfRule type="cellIs" dxfId="15914" priority="23176" stopIfTrue="1" operator="equal">
      <formula>"Towel"</formula>
    </cfRule>
    <cfRule type="cellIs" dxfId="15913" priority="23177" stopIfTrue="1" operator="equal">
      <formula>"Napkin Hs"</formula>
    </cfRule>
    <cfRule type="cellIs" dxfId="15912" priority="23182" stopIfTrue="1" operator="equal">
      <formula>"Towel"</formula>
    </cfRule>
    <cfRule type="cellIs" dxfId="15911" priority="23183" stopIfTrue="1" operator="equal">
      <formula>"Napkin Hs"</formula>
    </cfRule>
    <cfRule type="cellIs" dxfId="15910" priority="23184" stopIfTrue="1" operator="equal">
      <formula>"Towel"</formula>
    </cfRule>
    <cfRule type="cellIs" dxfId="15909" priority="23185" stopIfTrue="1" operator="equal">
      <formula>"Napkin Hs"</formula>
    </cfRule>
    <cfRule type="cellIs" dxfId="15908" priority="23190" stopIfTrue="1" operator="equal">
      <formula>"Towel"</formula>
    </cfRule>
    <cfRule type="cellIs" dxfId="15907" priority="23191" stopIfTrue="1" operator="equal">
      <formula>"Napkin Hs"</formula>
    </cfRule>
    <cfRule type="cellIs" dxfId="15906" priority="23200" stopIfTrue="1" operator="equal">
      <formula>"Towel"</formula>
    </cfRule>
    <cfRule type="cellIs" dxfId="15905" priority="23201" stopIfTrue="1" operator="equal">
      <formula>"Napkin Hs"</formula>
    </cfRule>
    <cfRule type="cellIs" dxfId="15904" priority="23202" stopIfTrue="1" operator="equal">
      <formula>"Towel"</formula>
    </cfRule>
    <cfRule type="cellIs" dxfId="15903" priority="23203" stopIfTrue="1" operator="equal">
      <formula>"Napkin Hs"</formula>
    </cfRule>
    <cfRule type="cellIs" dxfId="15902" priority="23208" stopIfTrue="1" operator="equal">
      <formula>"Towel"</formula>
    </cfRule>
    <cfRule type="cellIs" dxfId="15901" priority="23209" stopIfTrue="1" operator="equal">
      <formula>"Napkin Hs"</formula>
    </cfRule>
    <cfRule type="cellIs" dxfId="15900" priority="23218" stopIfTrue="1" operator="equal">
      <formula>"Towel"</formula>
    </cfRule>
    <cfRule type="cellIs" dxfId="15899" priority="23219" stopIfTrue="1" operator="equal">
      <formula>"Napkin Hs"</formula>
    </cfRule>
    <cfRule type="cellIs" dxfId="15898" priority="23220" stopIfTrue="1" operator="equal">
      <formula>"Towel"</formula>
    </cfRule>
    <cfRule type="cellIs" dxfId="15897" priority="23221" stopIfTrue="1" operator="equal">
      <formula>"Napkin Hs"</formula>
    </cfRule>
    <cfRule type="cellIs" dxfId="15896" priority="23227" stopIfTrue="1" operator="equal">
      <formula>"Napkin Hs"</formula>
    </cfRule>
  </conditionalFormatting>
  <conditionalFormatting sqref="B18:C18">
    <cfRule type="cellIs" dxfId="15895" priority="23226" stopIfTrue="1" operator="equal">
      <formula>"Towel"</formula>
    </cfRule>
  </conditionalFormatting>
  <conditionalFormatting sqref="C18">
    <cfRule type="cellIs" dxfId="15894" priority="23137" stopIfTrue="1" operator="equal">
      <formula>"Napkin Hs"</formula>
    </cfRule>
    <cfRule type="cellIs" dxfId="15893" priority="23138" stopIfTrue="1" operator="equal">
      <formula>"Towel"</formula>
    </cfRule>
    <cfRule type="cellIs" dxfId="15892" priority="23139" stopIfTrue="1" operator="equal">
      <formula>"Napkin Hs"</formula>
    </cfRule>
    <cfRule type="cellIs" dxfId="15891" priority="23140" stopIfTrue="1" operator="equal">
      <formula>"Towel"</formula>
    </cfRule>
    <cfRule type="cellIs" dxfId="15890" priority="23141" stopIfTrue="1" operator="equal">
      <formula>"Napkin Hs"</formula>
    </cfRule>
    <cfRule type="cellIs" dxfId="15889" priority="23142" stopIfTrue="1" operator="equal">
      <formula>"Towel"</formula>
    </cfRule>
    <cfRule type="cellIs" dxfId="15888" priority="23143" stopIfTrue="1" operator="equal">
      <formula>"Napkin Hs"</formula>
    </cfRule>
    <cfRule type="cellIs" dxfId="15887" priority="23144" stopIfTrue="1" operator="equal">
      <formula>"Towel"</formula>
    </cfRule>
    <cfRule type="cellIs" dxfId="15886" priority="23145" stopIfTrue="1" operator="equal">
      <formula>"Napkin Hs"</formula>
    </cfRule>
    <cfRule type="cellIs" dxfId="15885" priority="23148" stopIfTrue="1" operator="equal">
      <formula>"Towel"</formula>
    </cfRule>
    <cfRule type="cellIs" dxfId="15884" priority="23149" stopIfTrue="1" operator="equal">
      <formula>"Napkin Hs"</formula>
    </cfRule>
    <cfRule type="cellIs" dxfId="15883" priority="23150" stopIfTrue="1" operator="equal">
      <formula>"Towel"</formula>
    </cfRule>
    <cfRule type="cellIs" dxfId="15882" priority="23151" stopIfTrue="1" operator="equal">
      <formula>"Napkin Hs"</formula>
    </cfRule>
    <cfRule type="cellIs" dxfId="15881" priority="23154" stopIfTrue="1" operator="equal">
      <formula>"Towel"</formula>
    </cfRule>
    <cfRule type="cellIs" dxfId="15880" priority="23155" stopIfTrue="1" operator="equal">
      <formula>"Napkin Hs"</formula>
    </cfRule>
    <cfRule type="cellIs" dxfId="15879" priority="23156" stopIfTrue="1" operator="equal">
      <formula>"Towel"</formula>
    </cfRule>
    <cfRule type="cellIs" dxfId="15878" priority="23157" stopIfTrue="1" operator="equal">
      <formula>"Napkin Hs"</formula>
    </cfRule>
    <cfRule type="cellIs" dxfId="15877" priority="23162" stopIfTrue="1" operator="equal">
      <formula>"Towel"</formula>
    </cfRule>
    <cfRule type="cellIs" dxfId="15876" priority="23163" stopIfTrue="1" operator="equal">
      <formula>"Napkin Hs"</formula>
    </cfRule>
    <cfRule type="cellIs" dxfId="15875" priority="23164" stopIfTrue="1" operator="equal">
      <formula>"Towel"</formula>
    </cfRule>
    <cfRule type="cellIs" dxfId="15874" priority="23165" stopIfTrue="1" operator="equal">
      <formula>"Napkin Hs"</formula>
    </cfRule>
    <cfRule type="cellIs" dxfId="15873" priority="23168" stopIfTrue="1" operator="equal">
      <formula>"Towel"</formula>
    </cfRule>
    <cfRule type="cellIs" dxfId="15872" priority="23169" stopIfTrue="1" operator="equal">
      <formula>"Napkin Hs"</formula>
    </cfRule>
    <cfRule type="cellIs" dxfId="15871" priority="23170" stopIfTrue="1" operator="equal">
      <formula>"Towel"</formula>
    </cfRule>
    <cfRule type="cellIs" dxfId="15870" priority="23171" stopIfTrue="1" operator="equal">
      <formula>"Napkin Hs"</formula>
    </cfRule>
    <cfRule type="cellIs" dxfId="15869" priority="23172" stopIfTrue="1" operator="equal">
      <formula>"Towel"</formula>
    </cfRule>
    <cfRule type="cellIs" dxfId="15868" priority="23173" stopIfTrue="1" operator="equal">
      <formula>"Napkin Hs"</formula>
    </cfRule>
    <cfRule type="cellIs" dxfId="15867" priority="23174" stopIfTrue="1" operator="equal">
      <formula>"Towel"</formula>
    </cfRule>
    <cfRule type="cellIs" dxfId="15866" priority="23175" stopIfTrue="1" operator="equal">
      <formula>"Napkin Hs"</formula>
    </cfRule>
    <cfRule type="cellIs" dxfId="15865" priority="23178" stopIfTrue="1" operator="equal">
      <formula>"Towel"</formula>
    </cfRule>
    <cfRule type="cellIs" dxfId="15864" priority="23179" stopIfTrue="1" operator="equal">
      <formula>"Napkin Hs"</formula>
    </cfRule>
    <cfRule type="cellIs" dxfId="15863" priority="23180" stopIfTrue="1" operator="equal">
      <formula>"Towel"</formula>
    </cfRule>
    <cfRule type="cellIs" dxfId="15862" priority="23181" stopIfTrue="1" operator="equal">
      <formula>"Napkin Hs"</formula>
    </cfRule>
    <cfRule type="cellIs" dxfId="15861" priority="23186" stopIfTrue="1" operator="equal">
      <formula>"Towel"</formula>
    </cfRule>
    <cfRule type="cellIs" dxfId="15860" priority="23187" stopIfTrue="1" operator="equal">
      <formula>"Napkin Hs"</formula>
    </cfRule>
    <cfRule type="cellIs" dxfId="15859" priority="23188" stopIfTrue="1" operator="equal">
      <formula>"Towel"</formula>
    </cfRule>
    <cfRule type="cellIs" dxfId="15858" priority="23189" stopIfTrue="1" operator="equal">
      <formula>"Napkin Hs"</formula>
    </cfRule>
    <cfRule type="cellIs" dxfId="15857" priority="23192" stopIfTrue="1" operator="equal">
      <formula>"Towel"</formula>
    </cfRule>
    <cfRule type="cellIs" dxfId="15856" priority="23193" stopIfTrue="1" operator="equal">
      <formula>"Napkin Hs"</formula>
    </cfRule>
    <cfRule type="cellIs" dxfId="15855" priority="23194" stopIfTrue="1" operator="equal">
      <formula>"Towel"</formula>
    </cfRule>
    <cfRule type="cellIs" dxfId="15854" priority="23195" stopIfTrue="1" operator="equal">
      <formula>"Napkin Hs"</formula>
    </cfRule>
    <cfRule type="cellIs" dxfId="15853" priority="23196" stopIfTrue="1" operator="equal">
      <formula>"Towel"</formula>
    </cfRule>
    <cfRule type="cellIs" dxfId="15852" priority="23197" stopIfTrue="1" operator="equal">
      <formula>"Napkin Hs"</formula>
    </cfRule>
    <cfRule type="cellIs" dxfId="15851" priority="23198" stopIfTrue="1" operator="equal">
      <formula>"Towel"</formula>
    </cfRule>
    <cfRule type="cellIs" dxfId="15850" priority="23199" stopIfTrue="1" operator="equal">
      <formula>"Napkin Hs"</formula>
    </cfRule>
    <cfRule type="cellIs" dxfId="15849" priority="23204" stopIfTrue="1" operator="equal">
      <formula>"Towel"</formula>
    </cfRule>
    <cfRule type="cellIs" dxfId="15848" priority="23205" stopIfTrue="1" operator="equal">
      <formula>"Napkin Hs"</formula>
    </cfRule>
    <cfRule type="cellIs" dxfId="15847" priority="23206" stopIfTrue="1" operator="equal">
      <formula>"Towel"</formula>
    </cfRule>
    <cfRule type="cellIs" dxfId="15846" priority="23207" stopIfTrue="1" operator="equal">
      <formula>"Napkin Hs"</formula>
    </cfRule>
    <cfRule type="cellIs" dxfId="15845" priority="23210" stopIfTrue="1" operator="equal">
      <formula>"Towel"</formula>
    </cfRule>
    <cfRule type="cellIs" dxfId="15844" priority="23211" stopIfTrue="1" operator="equal">
      <formula>"Napkin Hs"</formula>
    </cfRule>
    <cfRule type="cellIs" dxfId="15843" priority="23212" stopIfTrue="1" operator="equal">
      <formula>"Towel"</formula>
    </cfRule>
    <cfRule type="cellIs" dxfId="15842" priority="23213" stopIfTrue="1" operator="equal">
      <formula>"Napkin Hs"</formula>
    </cfRule>
    <cfRule type="cellIs" dxfId="15841" priority="23214" stopIfTrue="1" operator="equal">
      <formula>"Towel"</formula>
    </cfRule>
    <cfRule type="cellIs" dxfId="15840" priority="23215" stopIfTrue="1" operator="equal">
      <formula>"Napkin Hs"</formula>
    </cfRule>
    <cfRule type="cellIs" dxfId="15839" priority="23216" stopIfTrue="1" operator="equal">
      <formula>"Towel"</formula>
    </cfRule>
    <cfRule type="cellIs" dxfId="15838" priority="23217" stopIfTrue="1" operator="equal">
      <formula>"Napkin Hs"</formula>
    </cfRule>
    <cfRule type="cellIs" dxfId="15837" priority="23222" stopIfTrue="1" operator="equal">
      <formula>"Towel"</formula>
    </cfRule>
    <cfRule type="cellIs" dxfId="15836" priority="23223" stopIfTrue="1" operator="equal">
      <formula>"Napkin Hs"</formula>
    </cfRule>
    <cfRule type="cellIs" dxfId="15835" priority="23224" stopIfTrue="1" operator="equal">
      <formula>"Towel"</formula>
    </cfRule>
    <cfRule type="cellIs" dxfId="15834" priority="23225" stopIfTrue="1" operator="equal">
      <formula>"Napkin Hs"</formula>
    </cfRule>
    <cfRule type="cellIs" dxfId="15833" priority="23228" stopIfTrue="1" operator="equal">
      <formula>"Towel"</formula>
    </cfRule>
    <cfRule type="cellIs" dxfId="15832" priority="23229" stopIfTrue="1" operator="equal">
      <formula>"Napkin Hs"</formula>
    </cfRule>
    <cfRule type="cellIs" dxfId="15831" priority="23230" stopIfTrue="1" operator="equal">
      <formula>"Towel"</formula>
    </cfRule>
    <cfRule type="cellIs" dxfId="15830" priority="23231" stopIfTrue="1" operator="equal">
      <formula>"Napkin Hs"</formula>
    </cfRule>
  </conditionalFormatting>
  <conditionalFormatting sqref="C18">
    <cfRule type="cellIs" dxfId="15829" priority="23134" stopIfTrue="1" operator="equal">
      <formula>"Napkin Hs"</formula>
    </cfRule>
  </conditionalFormatting>
  <conditionalFormatting sqref="C18">
    <cfRule type="cellIs" dxfId="15828" priority="23133" stopIfTrue="1" operator="equal">
      <formula>"Napkin Hs"</formula>
    </cfRule>
  </conditionalFormatting>
  <conditionalFormatting sqref="B18">
    <cfRule type="cellIs" dxfId="15827" priority="23132" stopIfTrue="1" operator="equal">
      <formula>"Napkin Hs"</formula>
    </cfRule>
  </conditionalFormatting>
  <conditionalFormatting sqref="C18">
    <cfRule type="cellIs" dxfId="15826" priority="23131" stopIfTrue="1" operator="equal">
      <formula>"Napkin Hs"</formula>
    </cfRule>
  </conditionalFormatting>
  <conditionalFormatting sqref="C18">
    <cfRule type="cellIs" dxfId="15825" priority="23130" stopIfTrue="1" operator="equal">
      <formula>"Napkin Hs"</formula>
    </cfRule>
  </conditionalFormatting>
  <conditionalFormatting sqref="C18">
    <cfRule type="cellIs" dxfId="15824" priority="23129" stopIfTrue="1" operator="equal">
      <formula>"Napkin Hs"</formula>
    </cfRule>
  </conditionalFormatting>
  <conditionalFormatting sqref="C18">
    <cfRule type="cellIs" dxfId="15823" priority="23128" stopIfTrue="1" operator="equal">
      <formula>"Napkin Hs"</formula>
    </cfRule>
  </conditionalFormatting>
  <conditionalFormatting sqref="B18">
    <cfRule type="cellIs" dxfId="15822" priority="23127" stopIfTrue="1" operator="equal">
      <formula>"Napkin Hs"</formula>
    </cfRule>
  </conditionalFormatting>
  <conditionalFormatting sqref="B18">
    <cfRule type="cellIs" dxfId="15821" priority="23126" stopIfTrue="1" operator="equal">
      <formula>"Napkin Hs"</formula>
    </cfRule>
  </conditionalFormatting>
  <conditionalFormatting sqref="C18">
    <cfRule type="cellIs" dxfId="15820" priority="23122" stopIfTrue="1" operator="equal">
      <formula>"Towel"</formula>
    </cfRule>
    <cfRule type="cellIs" dxfId="15819" priority="23123" stopIfTrue="1" operator="equal">
      <formula>"Napkin Hs"</formula>
    </cfRule>
  </conditionalFormatting>
  <conditionalFormatting sqref="C18">
    <cfRule type="cellIs" dxfId="15818" priority="23124" stopIfTrue="1" operator="equal">
      <formula>"Towel"</formula>
    </cfRule>
    <cfRule type="cellIs" dxfId="15817" priority="23125" stopIfTrue="1" operator="equal">
      <formula>"Napkin Hs"</formula>
    </cfRule>
  </conditionalFormatting>
  <conditionalFormatting sqref="C18">
    <cfRule type="cellIs" dxfId="15816" priority="23118" stopIfTrue="1" operator="equal">
      <formula>"Towel"</formula>
    </cfRule>
    <cfRule type="cellIs" dxfId="15815" priority="23119" stopIfTrue="1" operator="equal">
      <formula>"Napkin Hs"</formula>
    </cfRule>
  </conditionalFormatting>
  <conditionalFormatting sqref="C18">
    <cfRule type="cellIs" dxfId="15814" priority="23120" stopIfTrue="1" operator="equal">
      <formula>"Towel"</formula>
    </cfRule>
    <cfRule type="cellIs" dxfId="15813" priority="23121" stopIfTrue="1" operator="equal">
      <formula>"Napkin Hs"</formula>
    </cfRule>
  </conditionalFormatting>
  <conditionalFormatting sqref="C16:C17">
    <cfRule type="cellIs" dxfId="15812" priority="23112" stopIfTrue="1" operator="equal">
      <formula>"Towel"</formula>
    </cfRule>
    <cfRule type="cellIs" dxfId="15811" priority="23113" stopIfTrue="1" operator="equal">
      <formula>"Napkin Hs"</formula>
    </cfRule>
  </conditionalFormatting>
  <conditionalFormatting sqref="C16:C17">
    <cfRule type="cellIs" dxfId="15810" priority="23116" stopIfTrue="1" operator="equal">
      <formula>"Towel"</formula>
    </cfRule>
    <cfRule type="cellIs" dxfId="15809" priority="23117" stopIfTrue="1" operator="equal">
      <formula>"Napkin Hs"</formula>
    </cfRule>
  </conditionalFormatting>
  <conditionalFormatting sqref="C16:C17">
    <cfRule type="cellIs" dxfId="15808" priority="23114" stopIfTrue="1" operator="equal">
      <formula>"Towel"</formula>
    </cfRule>
    <cfRule type="cellIs" dxfId="15807" priority="23115" stopIfTrue="1" operator="equal">
      <formula>"Napkin Hs"</formula>
    </cfRule>
  </conditionalFormatting>
  <conditionalFormatting sqref="C16:C17">
    <cfRule type="cellIs" dxfId="15806" priority="23106" stopIfTrue="1" operator="equal">
      <formula>"Towel"</formula>
    </cfRule>
    <cfRule type="cellIs" dxfId="15805" priority="23107" stopIfTrue="1" operator="equal">
      <formula>"Napkin Hs"</formula>
    </cfRule>
  </conditionalFormatting>
  <conditionalFormatting sqref="C16:C17">
    <cfRule type="cellIs" dxfId="15804" priority="23108" stopIfTrue="1" operator="equal">
      <formula>"Towel"</formula>
    </cfRule>
    <cfRule type="cellIs" dxfId="15803" priority="23109" stopIfTrue="1" operator="equal">
      <formula>"Napkin Hs"</formula>
    </cfRule>
  </conditionalFormatting>
  <conditionalFormatting sqref="C16:C17">
    <cfRule type="cellIs" dxfId="15802" priority="23110" stopIfTrue="1" operator="equal">
      <formula>"Towel"</formula>
    </cfRule>
    <cfRule type="cellIs" dxfId="15801" priority="23111" stopIfTrue="1" operator="equal">
      <formula>"Napkin Hs"</formula>
    </cfRule>
  </conditionalFormatting>
  <conditionalFormatting sqref="B16:C17">
    <cfRule type="cellIs" dxfId="15800" priority="23104" stopIfTrue="1" operator="equal">
      <formula>"Towel"</formula>
    </cfRule>
    <cfRule type="cellIs" dxfId="15799" priority="23105" stopIfTrue="1" operator="equal">
      <formula>"Napkin Hs"</formula>
    </cfRule>
  </conditionalFormatting>
  <conditionalFormatting sqref="B16:C17">
    <cfRule type="cellIs" dxfId="15798" priority="23102" stopIfTrue="1" operator="equal">
      <formula>"Towel"</formula>
    </cfRule>
    <cfRule type="cellIs" dxfId="15797" priority="23103" stopIfTrue="1" operator="equal">
      <formula>"Napkin Hs"</formula>
    </cfRule>
  </conditionalFormatting>
  <conditionalFormatting sqref="B16:C17">
    <cfRule type="cellIs" dxfId="15796" priority="23078" stopIfTrue="1" operator="equal">
      <formula>"Towel"</formula>
    </cfRule>
  </conditionalFormatting>
  <conditionalFormatting sqref="B16:C17">
    <cfRule type="cellIs" dxfId="15795" priority="23079" stopIfTrue="1" operator="equal">
      <formula>"Napkin Hs"</formula>
    </cfRule>
    <cfRule type="cellIs" dxfId="15794" priority="23084" stopIfTrue="1" operator="equal">
      <formula>"Towel"</formula>
    </cfRule>
    <cfRule type="cellIs" dxfId="15793" priority="23085" stopIfTrue="1" operator="equal">
      <formula>"Napkin Hs"</formula>
    </cfRule>
    <cfRule type="cellIs" dxfId="15792" priority="23094" stopIfTrue="1" operator="equal">
      <formula>"Towel"</formula>
    </cfRule>
    <cfRule type="cellIs" dxfId="15791" priority="23095" stopIfTrue="1" operator="equal">
      <formula>"Napkin Hs"</formula>
    </cfRule>
    <cfRule type="cellIs" dxfId="15790" priority="23100" stopIfTrue="1" operator="equal">
      <formula>"Towel"</formula>
    </cfRule>
    <cfRule type="cellIs" dxfId="15789" priority="23101" stopIfTrue="1" operator="equal">
      <formula>"Napkin Hs"</formula>
    </cfRule>
  </conditionalFormatting>
  <conditionalFormatting sqref="C16:C17">
    <cfRule type="cellIs" dxfId="15788" priority="23080" stopIfTrue="1" operator="equal">
      <formula>"Towel"</formula>
    </cfRule>
    <cfRule type="cellIs" dxfId="15787" priority="23081" stopIfTrue="1" operator="equal">
      <formula>"Napkin Hs"</formula>
    </cfRule>
    <cfRule type="cellIs" dxfId="15786" priority="23082" stopIfTrue="1" operator="equal">
      <formula>"Towel"</formula>
    </cfRule>
    <cfRule type="cellIs" dxfId="15785" priority="23083" stopIfTrue="1" operator="equal">
      <formula>"Napkin Hs"</formula>
    </cfRule>
    <cfRule type="cellIs" dxfId="15784" priority="23086" stopIfTrue="1" operator="equal">
      <formula>"Towel"</formula>
    </cfRule>
    <cfRule type="cellIs" dxfId="15783" priority="23087" stopIfTrue="1" operator="equal">
      <formula>"Napkin Hs"</formula>
    </cfRule>
    <cfRule type="cellIs" dxfId="15782" priority="23088" stopIfTrue="1" operator="equal">
      <formula>"Towel"</formula>
    </cfRule>
    <cfRule type="cellIs" dxfId="15781" priority="23089" stopIfTrue="1" operator="equal">
      <formula>"Napkin Hs"</formula>
    </cfRule>
    <cfRule type="cellIs" dxfId="15780" priority="23090" stopIfTrue="1" operator="equal">
      <formula>"Towel"</formula>
    </cfRule>
    <cfRule type="cellIs" dxfId="15779" priority="23091" stopIfTrue="1" operator="equal">
      <formula>"Napkin Hs"</formula>
    </cfRule>
    <cfRule type="cellIs" dxfId="15778" priority="23092" stopIfTrue="1" operator="equal">
      <formula>"Towel"</formula>
    </cfRule>
    <cfRule type="cellIs" dxfId="15777" priority="23093" stopIfTrue="1" operator="equal">
      <formula>"Napkin Hs"</formula>
    </cfRule>
    <cfRule type="cellIs" dxfId="15776" priority="23096" stopIfTrue="1" operator="equal">
      <formula>"Towel"</formula>
    </cfRule>
    <cfRule type="cellIs" dxfId="15775" priority="23097" stopIfTrue="1" operator="equal">
      <formula>"Napkin Hs"</formula>
    </cfRule>
    <cfRule type="cellIs" dxfId="15774" priority="23099" stopIfTrue="1" operator="equal">
      <formula>"Napkin Hs"</formula>
    </cfRule>
  </conditionalFormatting>
  <conditionalFormatting sqref="C16:C17">
    <cfRule type="cellIs" dxfId="15773" priority="23098" stopIfTrue="1" operator="equal">
      <formula>"Towel"</formula>
    </cfRule>
  </conditionalFormatting>
  <conditionalFormatting sqref="B16:C17">
    <cfRule type="cellIs" dxfId="15772" priority="23076" stopIfTrue="1" operator="equal">
      <formula>"Towel"</formula>
    </cfRule>
    <cfRule type="cellIs" dxfId="15771" priority="23077" stopIfTrue="1" operator="equal">
      <formula>"Napkin Hs"</formula>
    </cfRule>
  </conditionalFormatting>
  <conditionalFormatting sqref="C16:C17">
    <cfRule type="cellIs" dxfId="15770" priority="23075" stopIfTrue="1" operator="equal">
      <formula>"Napkin Hs"</formula>
    </cfRule>
  </conditionalFormatting>
  <conditionalFormatting sqref="C16:C17">
    <cfRule type="cellIs" dxfId="15769" priority="23074" stopIfTrue="1" operator="equal">
      <formula>"Towel"</formula>
    </cfRule>
  </conditionalFormatting>
  <conditionalFormatting sqref="C16:C17">
    <cfRule type="cellIs" dxfId="15768" priority="23072" stopIfTrue="1" operator="equal">
      <formula>"Towel"</formula>
    </cfRule>
  </conditionalFormatting>
  <conditionalFormatting sqref="C16:C17">
    <cfRule type="cellIs" dxfId="15767" priority="23073" stopIfTrue="1" operator="equal">
      <formula>"Napkin Hs"</formula>
    </cfRule>
  </conditionalFormatting>
  <conditionalFormatting sqref="B16:B17">
    <cfRule type="cellIs" dxfId="15766" priority="22976" stopIfTrue="1" operator="equal">
      <formula>"Napkin Hs"</formula>
    </cfRule>
  </conditionalFormatting>
  <conditionalFormatting sqref="B16:C17">
    <cfRule type="cellIs" dxfId="15765" priority="22975" stopIfTrue="1" operator="equal">
      <formula>"Towel"</formula>
    </cfRule>
  </conditionalFormatting>
  <conditionalFormatting sqref="B16:C17">
    <cfRule type="cellIs" dxfId="15764" priority="22986" stopIfTrue="1" operator="equal">
      <formula>"Towel"</formula>
    </cfRule>
    <cfRule type="cellIs" dxfId="15763" priority="22987" stopIfTrue="1" operator="equal">
      <formula>"Napkin Hs"</formula>
    </cfRule>
    <cfRule type="cellIs" dxfId="15762" priority="22992" stopIfTrue="1" operator="equal">
      <formula>"Towel"</formula>
    </cfRule>
    <cfRule type="cellIs" dxfId="15761" priority="22993" stopIfTrue="1" operator="equal">
      <formula>"Napkin Hs"</formula>
    </cfRule>
    <cfRule type="cellIs" dxfId="15760" priority="22998" stopIfTrue="1" operator="equal">
      <formula>"Towel"</formula>
    </cfRule>
    <cfRule type="cellIs" dxfId="15759" priority="22999" stopIfTrue="1" operator="equal">
      <formula>"Napkin Hs"</formula>
    </cfRule>
    <cfRule type="cellIs" dxfId="15758" priority="23000" stopIfTrue="1" operator="equal">
      <formula>"Towel"</formula>
    </cfRule>
    <cfRule type="cellIs" dxfId="15757" priority="23001" stopIfTrue="1" operator="equal">
      <formula>"Napkin Hs"</formula>
    </cfRule>
    <cfRule type="cellIs" dxfId="15756" priority="23006" stopIfTrue="1" operator="equal">
      <formula>"Towel"</formula>
    </cfRule>
    <cfRule type="cellIs" dxfId="15755" priority="23007" stopIfTrue="1" operator="equal">
      <formula>"Napkin Hs"</formula>
    </cfRule>
    <cfRule type="cellIs" dxfId="15754" priority="23016" stopIfTrue="1" operator="equal">
      <formula>"Towel"</formula>
    </cfRule>
    <cfRule type="cellIs" dxfId="15753" priority="23017" stopIfTrue="1" operator="equal">
      <formula>"Napkin Hs"</formula>
    </cfRule>
    <cfRule type="cellIs" dxfId="15752" priority="23022" stopIfTrue="1" operator="equal">
      <formula>"Towel"</formula>
    </cfRule>
    <cfRule type="cellIs" dxfId="15751" priority="23023" stopIfTrue="1" operator="equal">
      <formula>"Napkin Hs"</formula>
    </cfRule>
    <cfRule type="cellIs" dxfId="15750" priority="23024" stopIfTrue="1" operator="equal">
      <formula>"Towel"</formula>
    </cfRule>
    <cfRule type="cellIs" dxfId="15749" priority="23025" stopIfTrue="1" operator="equal">
      <formula>"Napkin Hs"</formula>
    </cfRule>
    <cfRule type="cellIs" dxfId="15748" priority="23030" stopIfTrue="1" operator="equal">
      <formula>"Towel"</formula>
    </cfRule>
    <cfRule type="cellIs" dxfId="15747" priority="23031" stopIfTrue="1" operator="equal">
      <formula>"Napkin Hs"</formula>
    </cfRule>
    <cfRule type="cellIs" dxfId="15746" priority="23040" stopIfTrue="1" operator="equal">
      <formula>"Towel"</formula>
    </cfRule>
    <cfRule type="cellIs" dxfId="15745" priority="23041" stopIfTrue="1" operator="equal">
      <formula>"Napkin Hs"</formula>
    </cfRule>
    <cfRule type="cellIs" dxfId="15744" priority="23042" stopIfTrue="1" operator="equal">
      <formula>"Towel"</formula>
    </cfRule>
    <cfRule type="cellIs" dxfId="15743" priority="23043" stopIfTrue="1" operator="equal">
      <formula>"Napkin Hs"</formula>
    </cfRule>
    <cfRule type="cellIs" dxfId="15742" priority="23048" stopIfTrue="1" operator="equal">
      <formula>"Towel"</formula>
    </cfRule>
    <cfRule type="cellIs" dxfId="15741" priority="23049" stopIfTrue="1" operator="equal">
      <formula>"Napkin Hs"</formula>
    </cfRule>
    <cfRule type="cellIs" dxfId="15740" priority="23058" stopIfTrue="1" operator="equal">
      <formula>"Towel"</formula>
    </cfRule>
    <cfRule type="cellIs" dxfId="15739" priority="23059" stopIfTrue="1" operator="equal">
      <formula>"Napkin Hs"</formula>
    </cfRule>
    <cfRule type="cellIs" dxfId="15738" priority="23060" stopIfTrue="1" operator="equal">
      <formula>"Towel"</formula>
    </cfRule>
    <cfRule type="cellIs" dxfId="15737" priority="23061" stopIfTrue="1" operator="equal">
      <formula>"Napkin Hs"</formula>
    </cfRule>
    <cfRule type="cellIs" dxfId="15736" priority="23067" stopIfTrue="1" operator="equal">
      <formula>"Napkin Hs"</formula>
    </cfRule>
  </conditionalFormatting>
  <conditionalFormatting sqref="B16:C17">
    <cfRule type="cellIs" dxfId="15735" priority="23066" stopIfTrue="1" operator="equal">
      <formula>"Towel"</formula>
    </cfRule>
  </conditionalFormatting>
  <conditionalFormatting sqref="C16:C17">
    <cfRule type="cellIs" dxfId="15734" priority="22977" stopIfTrue="1" operator="equal">
      <formula>"Napkin Hs"</formula>
    </cfRule>
    <cfRule type="cellIs" dxfId="15733" priority="22978" stopIfTrue="1" operator="equal">
      <formula>"Towel"</formula>
    </cfRule>
    <cfRule type="cellIs" dxfId="15732" priority="22979" stopIfTrue="1" operator="equal">
      <formula>"Napkin Hs"</formula>
    </cfRule>
    <cfRule type="cellIs" dxfId="15731" priority="22980" stopIfTrue="1" operator="equal">
      <formula>"Towel"</formula>
    </cfRule>
    <cfRule type="cellIs" dxfId="15730" priority="22981" stopIfTrue="1" operator="equal">
      <formula>"Napkin Hs"</formula>
    </cfRule>
    <cfRule type="cellIs" dxfId="15729" priority="22982" stopIfTrue="1" operator="equal">
      <formula>"Towel"</formula>
    </cfRule>
    <cfRule type="cellIs" dxfId="15728" priority="22983" stopIfTrue="1" operator="equal">
      <formula>"Napkin Hs"</formula>
    </cfRule>
    <cfRule type="cellIs" dxfId="15727" priority="22984" stopIfTrue="1" operator="equal">
      <formula>"Towel"</formula>
    </cfRule>
    <cfRule type="cellIs" dxfId="15726" priority="22985" stopIfTrue="1" operator="equal">
      <formula>"Napkin Hs"</formula>
    </cfRule>
    <cfRule type="cellIs" dxfId="15725" priority="22988" stopIfTrue="1" operator="equal">
      <formula>"Towel"</formula>
    </cfRule>
    <cfRule type="cellIs" dxfId="15724" priority="22989" stopIfTrue="1" operator="equal">
      <formula>"Napkin Hs"</formula>
    </cfRule>
    <cfRule type="cellIs" dxfId="15723" priority="22990" stopIfTrue="1" operator="equal">
      <formula>"Towel"</formula>
    </cfRule>
    <cfRule type="cellIs" dxfId="15722" priority="22991" stopIfTrue="1" operator="equal">
      <formula>"Napkin Hs"</formula>
    </cfRule>
    <cfRule type="cellIs" dxfId="15721" priority="22994" stopIfTrue="1" operator="equal">
      <formula>"Towel"</formula>
    </cfRule>
    <cfRule type="cellIs" dxfId="15720" priority="22995" stopIfTrue="1" operator="equal">
      <formula>"Napkin Hs"</formula>
    </cfRule>
    <cfRule type="cellIs" dxfId="15719" priority="22996" stopIfTrue="1" operator="equal">
      <formula>"Towel"</formula>
    </cfRule>
    <cfRule type="cellIs" dxfId="15718" priority="22997" stopIfTrue="1" operator="equal">
      <formula>"Napkin Hs"</formula>
    </cfRule>
    <cfRule type="cellIs" dxfId="15717" priority="23002" stopIfTrue="1" operator="equal">
      <formula>"Towel"</formula>
    </cfRule>
    <cfRule type="cellIs" dxfId="15716" priority="23003" stopIfTrue="1" operator="equal">
      <formula>"Napkin Hs"</formula>
    </cfRule>
    <cfRule type="cellIs" dxfId="15715" priority="23004" stopIfTrue="1" operator="equal">
      <formula>"Towel"</formula>
    </cfRule>
    <cfRule type="cellIs" dxfId="15714" priority="23005" stopIfTrue="1" operator="equal">
      <formula>"Napkin Hs"</formula>
    </cfRule>
    <cfRule type="cellIs" dxfId="15713" priority="23008" stopIfTrue="1" operator="equal">
      <formula>"Towel"</formula>
    </cfRule>
    <cfRule type="cellIs" dxfId="15712" priority="23009" stopIfTrue="1" operator="equal">
      <formula>"Napkin Hs"</formula>
    </cfRule>
    <cfRule type="cellIs" dxfId="15711" priority="23010" stopIfTrue="1" operator="equal">
      <formula>"Towel"</formula>
    </cfRule>
    <cfRule type="cellIs" dxfId="15710" priority="23011" stopIfTrue="1" operator="equal">
      <formula>"Napkin Hs"</formula>
    </cfRule>
    <cfRule type="cellIs" dxfId="15709" priority="23012" stopIfTrue="1" operator="equal">
      <formula>"Towel"</formula>
    </cfRule>
    <cfRule type="cellIs" dxfId="15708" priority="23013" stopIfTrue="1" operator="equal">
      <formula>"Napkin Hs"</formula>
    </cfRule>
    <cfRule type="cellIs" dxfId="15707" priority="23014" stopIfTrue="1" operator="equal">
      <formula>"Towel"</formula>
    </cfRule>
    <cfRule type="cellIs" dxfId="15706" priority="23015" stopIfTrue="1" operator="equal">
      <formula>"Napkin Hs"</formula>
    </cfRule>
    <cfRule type="cellIs" dxfId="15705" priority="23018" stopIfTrue="1" operator="equal">
      <formula>"Towel"</formula>
    </cfRule>
    <cfRule type="cellIs" dxfId="15704" priority="23019" stopIfTrue="1" operator="equal">
      <formula>"Napkin Hs"</formula>
    </cfRule>
    <cfRule type="cellIs" dxfId="15703" priority="23020" stopIfTrue="1" operator="equal">
      <formula>"Towel"</formula>
    </cfRule>
    <cfRule type="cellIs" dxfId="15702" priority="23021" stopIfTrue="1" operator="equal">
      <formula>"Napkin Hs"</formula>
    </cfRule>
    <cfRule type="cellIs" dxfId="15701" priority="23026" stopIfTrue="1" operator="equal">
      <formula>"Towel"</formula>
    </cfRule>
    <cfRule type="cellIs" dxfId="15700" priority="23027" stopIfTrue="1" operator="equal">
      <formula>"Napkin Hs"</formula>
    </cfRule>
    <cfRule type="cellIs" dxfId="15699" priority="23028" stopIfTrue="1" operator="equal">
      <formula>"Towel"</formula>
    </cfRule>
    <cfRule type="cellIs" dxfId="15698" priority="23029" stopIfTrue="1" operator="equal">
      <formula>"Napkin Hs"</formula>
    </cfRule>
    <cfRule type="cellIs" dxfId="15697" priority="23032" stopIfTrue="1" operator="equal">
      <formula>"Towel"</formula>
    </cfRule>
    <cfRule type="cellIs" dxfId="15696" priority="23033" stopIfTrue="1" operator="equal">
      <formula>"Napkin Hs"</formula>
    </cfRule>
    <cfRule type="cellIs" dxfId="15695" priority="23034" stopIfTrue="1" operator="equal">
      <formula>"Towel"</formula>
    </cfRule>
    <cfRule type="cellIs" dxfId="15694" priority="23035" stopIfTrue="1" operator="equal">
      <formula>"Napkin Hs"</formula>
    </cfRule>
    <cfRule type="cellIs" dxfId="15693" priority="23036" stopIfTrue="1" operator="equal">
      <formula>"Towel"</formula>
    </cfRule>
    <cfRule type="cellIs" dxfId="15692" priority="23037" stopIfTrue="1" operator="equal">
      <formula>"Napkin Hs"</formula>
    </cfRule>
    <cfRule type="cellIs" dxfId="15691" priority="23038" stopIfTrue="1" operator="equal">
      <formula>"Towel"</formula>
    </cfRule>
    <cfRule type="cellIs" dxfId="15690" priority="23039" stopIfTrue="1" operator="equal">
      <formula>"Napkin Hs"</formula>
    </cfRule>
    <cfRule type="cellIs" dxfId="15689" priority="23044" stopIfTrue="1" operator="equal">
      <formula>"Towel"</formula>
    </cfRule>
    <cfRule type="cellIs" dxfId="15688" priority="23045" stopIfTrue="1" operator="equal">
      <formula>"Napkin Hs"</formula>
    </cfRule>
    <cfRule type="cellIs" dxfId="15687" priority="23046" stopIfTrue="1" operator="equal">
      <formula>"Towel"</formula>
    </cfRule>
    <cfRule type="cellIs" dxfId="15686" priority="23047" stopIfTrue="1" operator="equal">
      <formula>"Napkin Hs"</formula>
    </cfRule>
    <cfRule type="cellIs" dxfId="15685" priority="23050" stopIfTrue="1" operator="equal">
      <formula>"Towel"</formula>
    </cfRule>
    <cfRule type="cellIs" dxfId="15684" priority="23051" stopIfTrue="1" operator="equal">
      <formula>"Napkin Hs"</formula>
    </cfRule>
    <cfRule type="cellIs" dxfId="15683" priority="23052" stopIfTrue="1" operator="equal">
      <formula>"Towel"</formula>
    </cfRule>
    <cfRule type="cellIs" dxfId="15682" priority="23053" stopIfTrue="1" operator="equal">
      <formula>"Napkin Hs"</formula>
    </cfRule>
    <cfRule type="cellIs" dxfId="15681" priority="23054" stopIfTrue="1" operator="equal">
      <formula>"Towel"</formula>
    </cfRule>
    <cfRule type="cellIs" dxfId="15680" priority="23055" stopIfTrue="1" operator="equal">
      <formula>"Napkin Hs"</formula>
    </cfRule>
    <cfRule type="cellIs" dxfId="15679" priority="23056" stopIfTrue="1" operator="equal">
      <formula>"Towel"</formula>
    </cfRule>
    <cfRule type="cellIs" dxfId="15678" priority="23057" stopIfTrue="1" operator="equal">
      <formula>"Napkin Hs"</formula>
    </cfRule>
    <cfRule type="cellIs" dxfId="15677" priority="23062" stopIfTrue="1" operator="equal">
      <formula>"Towel"</formula>
    </cfRule>
    <cfRule type="cellIs" dxfId="15676" priority="23063" stopIfTrue="1" operator="equal">
      <formula>"Napkin Hs"</formula>
    </cfRule>
    <cfRule type="cellIs" dxfId="15675" priority="23064" stopIfTrue="1" operator="equal">
      <formula>"Towel"</formula>
    </cfRule>
    <cfRule type="cellIs" dxfId="15674" priority="23065" stopIfTrue="1" operator="equal">
      <formula>"Napkin Hs"</formula>
    </cfRule>
    <cfRule type="cellIs" dxfId="15673" priority="23068" stopIfTrue="1" operator="equal">
      <formula>"Towel"</formula>
    </cfRule>
    <cfRule type="cellIs" dxfId="15672" priority="23069" stopIfTrue="1" operator="equal">
      <formula>"Napkin Hs"</formula>
    </cfRule>
    <cfRule type="cellIs" dxfId="15671" priority="23070" stopIfTrue="1" operator="equal">
      <formula>"Towel"</formula>
    </cfRule>
    <cfRule type="cellIs" dxfId="15670" priority="23071" stopIfTrue="1" operator="equal">
      <formula>"Napkin Hs"</formula>
    </cfRule>
  </conditionalFormatting>
  <conditionalFormatting sqref="C16:C17">
    <cfRule type="cellIs" dxfId="15669" priority="22974" stopIfTrue="1" operator="equal">
      <formula>"Napkin Hs"</formula>
    </cfRule>
  </conditionalFormatting>
  <conditionalFormatting sqref="C16:C17">
    <cfRule type="cellIs" dxfId="15668" priority="22973" stopIfTrue="1" operator="equal">
      <formula>"Napkin Hs"</formula>
    </cfRule>
  </conditionalFormatting>
  <conditionalFormatting sqref="B16:B17">
    <cfRule type="cellIs" dxfId="15667" priority="22972" stopIfTrue="1" operator="equal">
      <formula>"Napkin Hs"</formula>
    </cfRule>
  </conditionalFormatting>
  <conditionalFormatting sqref="C16:C17">
    <cfRule type="cellIs" dxfId="15666" priority="22971" stopIfTrue="1" operator="equal">
      <formula>"Napkin Hs"</formula>
    </cfRule>
  </conditionalFormatting>
  <conditionalFormatting sqref="C16:C17">
    <cfRule type="cellIs" dxfId="15665" priority="22970" stopIfTrue="1" operator="equal">
      <formula>"Napkin Hs"</formula>
    </cfRule>
  </conditionalFormatting>
  <conditionalFormatting sqref="C16:C17">
    <cfRule type="cellIs" dxfId="15664" priority="22969" stopIfTrue="1" operator="equal">
      <formula>"Napkin Hs"</formula>
    </cfRule>
  </conditionalFormatting>
  <conditionalFormatting sqref="C16:C17">
    <cfRule type="cellIs" dxfId="15663" priority="22968" stopIfTrue="1" operator="equal">
      <formula>"Napkin Hs"</formula>
    </cfRule>
  </conditionalFormatting>
  <conditionalFormatting sqref="B16:B17">
    <cfRule type="cellIs" dxfId="15662" priority="22967" stopIfTrue="1" operator="equal">
      <formula>"Napkin Hs"</formula>
    </cfRule>
  </conditionalFormatting>
  <conditionalFormatting sqref="B16:B17">
    <cfRule type="cellIs" dxfId="15661" priority="22966" stopIfTrue="1" operator="equal">
      <formula>"Napkin Hs"</formula>
    </cfRule>
  </conditionalFormatting>
  <conditionalFormatting sqref="C16:C17">
    <cfRule type="cellIs" dxfId="15660" priority="22962" stopIfTrue="1" operator="equal">
      <formula>"Towel"</formula>
    </cfRule>
    <cfRule type="cellIs" dxfId="15659" priority="22963" stopIfTrue="1" operator="equal">
      <formula>"Napkin Hs"</formula>
    </cfRule>
  </conditionalFormatting>
  <conditionalFormatting sqref="C16:C17">
    <cfRule type="cellIs" dxfId="15658" priority="22964" stopIfTrue="1" operator="equal">
      <formula>"Towel"</formula>
    </cfRule>
    <cfRule type="cellIs" dxfId="15657" priority="22965" stopIfTrue="1" operator="equal">
      <formula>"Napkin Hs"</formula>
    </cfRule>
  </conditionalFormatting>
  <conditionalFormatting sqref="C16:C17">
    <cfRule type="cellIs" dxfId="15656" priority="22958" stopIfTrue="1" operator="equal">
      <formula>"Towel"</formula>
    </cfRule>
    <cfRule type="cellIs" dxfId="15655" priority="22959" stopIfTrue="1" operator="equal">
      <formula>"Napkin Hs"</formula>
    </cfRule>
  </conditionalFormatting>
  <conditionalFormatting sqref="C16:C17">
    <cfRule type="cellIs" dxfId="15654" priority="22960" stopIfTrue="1" operator="equal">
      <formula>"Towel"</formula>
    </cfRule>
    <cfRule type="cellIs" dxfId="15653" priority="22961" stopIfTrue="1" operator="equal">
      <formula>"Napkin Hs"</formula>
    </cfRule>
  </conditionalFormatting>
  <conditionalFormatting sqref="B24:C24">
    <cfRule type="cellIs" dxfId="15652" priority="22944" stopIfTrue="1" operator="equal">
      <formula>"Towel"</formula>
    </cfRule>
    <cfRule type="cellIs" dxfId="15651" priority="22945" stopIfTrue="1" operator="equal">
      <formula>"Napkin Hs"</formula>
    </cfRule>
  </conditionalFormatting>
  <conditionalFormatting sqref="C24">
    <cfRule type="cellIs" dxfId="15650" priority="22940" stopIfTrue="1" operator="equal">
      <formula>"Towel"</formula>
    </cfRule>
    <cfRule type="cellIs" dxfId="15649" priority="22941" stopIfTrue="1" operator="equal">
      <formula>"Napkin Hs"</formula>
    </cfRule>
  </conditionalFormatting>
  <conditionalFormatting sqref="C24">
    <cfRule type="cellIs" dxfId="15648" priority="22943" stopIfTrue="1" operator="equal">
      <formula>"Napkin Hs"</formula>
    </cfRule>
  </conditionalFormatting>
  <conditionalFormatting sqref="C24">
    <cfRule type="cellIs" dxfId="15647" priority="22942" stopIfTrue="1" operator="equal">
      <formula>"Towel"</formula>
    </cfRule>
  </conditionalFormatting>
  <conditionalFormatting sqref="B23">
    <cfRule type="cellIs" dxfId="15646" priority="22922" stopIfTrue="1" operator="equal">
      <formula>"Towel"</formula>
    </cfRule>
    <cfRule type="cellIs" dxfId="15645" priority="22923" stopIfTrue="1" operator="equal">
      <formula>"Napkin Hs"</formula>
    </cfRule>
  </conditionalFormatting>
  <conditionalFormatting sqref="B23">
    <cfRule type="cellIs" dxfId="15644" priority="22920" stopIfTrue="1" operator="equal">
      <formula>"Towel"</formula>
    </cfRule>
    <cfRule type="cellIs" dxfId="15643" priority="22921" stopIfTrue="1" operator="equal">
      <formula>"Napkin Hs"</formula>
    </cfRule>
  </conditionalFormatting>
  <conditionalFormatting sqref="C23">
    <cfRule type="cellIs" dxfId="15642" priority="22896" stopIfTrue="1" operator="equal">
      <formula>"Towel"</formula>
    </cfRule>
  </conditionalFormatting>
  <conditionalFormatting sqref="C23">
    <cfRule type="cellIs" dxfId="15641" priority="22897" stopIfTrue="1" operator="equal">
      <formula>"Napkin Hs"</formula>
    </cfRule>
    <cfRule type="cellIs" dxfId="15640" priority="22902" stopIfTrue="1" operator="equal">
      <formula>"Towel"</formula>
    </cfRule>
    <cfRule type="cellIs" dxfId="15639" priority="22903" stopIfTrue="1" operator="equal">
      <formula>"Napkin Hs"</formula>
    </cfRule>
    <cfRule type="cellIs" dxfId="15638" priority="22912" stopIfTrue="1" operator="equal">
      <formula>"Towel"</formula>
    </cfRule>
    <cfRule type="cellIs" dxfId="15637" priority="22913" stopIfTrue="1" operator="equal">
      <formula>"Napkin Hs"</formula>
    </cfRule>
    <cfRule type="cellIs" dxfId="15636" priority="22918" stopIfTrue="1" operator="equal">
      <formula>"Towel"</formula>
    </cfRule>
    <cfRule type="cellIs" dxfId="15635" priority="22919" stopIfTrue="1" operator="equal">
      <formula>"Napkin Hs"</formula>
    </cfRule>
  </conditionalFormatting>
  <conditionalFormatting sqref="C23">
    <cfRule type="cellIs" dxfId="15634" priority="22898" stopIfTrue="1" operator="equal">
      <formula>"Towel"</formula>
    </cfRule>
    <cfRule type="cellIs" dxfId="15633" priority="22899" stopIfTrue="1" operator="equal">
      <formula>"Napkin Hs"</formula>
    </cfRule>
    <cfRule type="cellIs" dxfId="15632" priority="22900" stopIfTrue="1" operator="equal">
      <formula>"Towel"</formula>
    </cfRule>
    <cfRule type="cellIs" dxfId="15631" priority="22901" stopIfTrue="1" operator="equal">
      <formula>"Napkin Hs"</formula>
    </cfRule>
    <cfRule type="cellIs" dxfId="15630" priority="22904" stopIfTrue="1" operator="equal">
      <formula>"Towel"</formula>
    </cfRule>
    <cfRule type="cellIs" dxfId="15629" priority="22905" stopIfTrue="1" operator="equal">
      <formula>"Napkin Hs"</formula>
    </cfRule>
    <cfRule type="cellIs" dxfId="15628" priority="22906" stopIfTrue="1" operator="equal">
      <formula>"Towel"</formula>
    </cfRule>
    <cfRule type="cellIs" dxfId="15627" priority="22907" stopIfTrue="1" operator="equal">
      <formula>"Napkin Hs"</formula>
    </cfRule>
    <cfRule type="cellIs" dxfId="15626" priority="22908" stopIfTrue="1" operator="equal">
      <formula>"Towel"</formula>
    </cfRule>
    <cfRule type="cellIs" dxfId="15625" priority="22909" stopIfTrue="1" operator="equal">
      <formula>"Napkin Hs"</formula>
    </cfRule>
    <cfRule type="cellIs" dxfId="15624" priority="22910" stopIfTrue="1" operator="equal">
      <formula>"Towel"</formula>
    </cfRule>
    <cfRule type="cellIs" dxfId="15623" priority="22911" stopIfTrue="1" operator="equal">
      <formula>"Napkin Hs"</formula>
    </cfRule>
    <cfRule type="cellIs" dxfId="15622" priority="22914" stopIfTrue="1" operator="equal">
      <formula>"Towel"</formula>
    </cfRule>
    <cfRule type="cellIs" dxfId="15621" priority="22915" stopIfTrue="1" operator="equal">
      <formula>"Napkin Hs"</formula>
    </cfRule>
    <cfRule type="cellIs" dxfId="15620" priority="22917" stopIfTrue="1" operator="equal">
      <formula>"Napkin Hs"</formula>
    </cfRule>
  </conditionalFormatting>
  <conditionalFormatting sqref="C23">
    <cfRule type="cellIs" dxfId="15619" priority="22916" stopIfTrue="1" operator="equal">
      <formula>"Towel"</formula>
    </cfRule>
  </conditionalFormatting>
  <conditionalFormatting sqref="C23">
    <cfRule type="cellIs" dxfId="15618" priority="22894" stopIfTrue="1" operator="equal">
      <formula>"Towel"</formula>
    </cfRule>
    <cfRule type="cellIs" dxfId="15617" priority="22895" stopIfTrue="1" operator="equal">
      <formula>"Napkin Hs"</formula>
    </cfRule>
  </conditionalFormatting>
  <conditionalFormatting sqref="C23">
    <cfRule type="cellIs" dxfId="15616" priority="22893" stopIfTrue="1" operator="equal">
      <formula>"Napkin Hs"</formula>
    </cfRule>
  </conditionalFormatting>
  <conditionalFormatting sqref="C23">
    <cfRule type="cellIs" dxfId="15615" priority="22892" stopIfTrue="1" operator="equal">
      <formula>"Towel"</formula>
    </cfRule>
  </conditionalFormatting>
  <conditionalFormatting sqref="C23">
    <cfRule type="cellIs" dxfId="15614" priority="22890" stopIfTrue="1" operator="equal">
      <formula>"Towel"</formula>
    </cfRule>
  </conditionalFormatting>
  <conditionalFormatting sqref="C23">
    <cfRule type="cellIs" dxfId="15613" priority="22891" stopIfTrue="1" operator="equal">
      <formula>"Napkin Hs"</formula>
    </cfRule>
  </conditionalFormatting>
  <conditionalFormatting sqref="C23">
    <cfRule type="cellIs" dxfId="15612" priority="22794" stopIfTrue="1" operator="equal">
      <formula>"Towel"</formula>
    </cfRule>
  </conditionalFormatting>
  <conditionalFormatting sqref="C23">
    <cfRule type="cellIs" dxfId="15611" priority="22804" stopIfTrue="1" operator="equal">
      <formula>"Towel"</formula>
    </cfRule>
    <cfRule type="cellIs" dxfId="15610" priority="22805" stopIfTrue="1" operator="equal">
      <formula>"Napkin Hs"</formula>
    </cfRule>
    <cfRule type="cellIs" dxfId="15609" priority="22810" stopIfTrue="1" operator="equal">
      <formula>"Towel"</formula>
    </cfRule>
    <cfRule type="cellIs" dxfId="15608" priority="22811" stopIfTrue="1" operator="equal">
      <formula>"Napkin Hs"</formula>
    </cfRule>
    <cfRule type="cellIs" dxfId="15607" priority="22816" stopIfTrue="1" operator="equal">
      <formula>"Towel"</formula>
    </cfRule>
    <cfRule type="cellIs" dxfId="15606" priority="22817" stopIfTrue="1" operator="equal">
      <formula>"Napkin Hs"</formula>
    </cfRule>
    <cfRule type="cellIs" dxfId="15605" priority="22818" stopIfTrue="1" operator="equal">
      <formula>"Towel"</formula>
    </cfRule>
    <cfRule type="cellIs" dxfId="15604" priority="22819" stopIfTrue="1" operator="equal">
      <formula>"Napkin Hs"</formula>
    </cfRule>
    <cfRule type="cellIs" dxfId="15603" priority="22824" stopIfTrue="1" operator="equal">
      <formula>"Towel"</formula>
    </cfRule>
    <cfRule type="cellIs" dxfId="15602" priority="22825" stopIfTrue="1" operator="equal">
      <formula>"Napkin Hs"</formula>
    </cfRule>
    <cfRule type="cellIs" dxfId="15601" priority="22834" stopIfTrue="1" operator="equal">
      <formula>"Towel"</formula>
    </cfRule>
    <cfRule type="cellIs" dxfId="15600" priority="22835" stopIfTrue="1" operator="equal">
      <formula>"Napkin Hs"</formula>
    </cfRule>
    <cfRule type="cellIs" dxfId="15599" priority="22840" stopIfTrue="1" operator="equal">
      <formula>"Towel"</formula>
    </cfRule>
    <cfRule type="cellIs" dxfId="15598" priority="22841" stopIfTrue="1" operator="equal">
      <formula>"Napkin Hs"</formula>
    </cfRule>
    <cfRule type="cellIs" dxfId="15597" priority="22842" stopIfTrue="1" operator="equal">
      <formula>"Towel"</formula>
    </cfRule>
    <cfRule type="cellIs" dxfId="15596" priority="22843" stopIfTrue="1" operator="equal">
      <formula>"Napkin Hs"</formula>
    </cfRule>
    <cfRule type="cellIs" dxfId="15595" priority="22848" stopIfTrue="1" operator="equal">
      <formula>"Towel"</formula>
    </cfRule>
    <cfRule type="cellIs" dxfId="15594" priority="22849" stopIfTrue="1" operator="equal">
      <formula>"Napkin Hs"</formula>
    </cfRule>
    <cfRule type="cellIs" dxfId="15593" priority="22858" stopIfTrue="1" operator="equal">
      <formula>"Towel"</formula>
    </cfRule>
    <cfRule type="cellIs" dxfId="15592" priority="22859" stopIfTrue="1" operator="equal">
      <formula>"Napkin Hs"</formula>
    </cfRule>
    <cfRule type="cellIs" dxfId="15591" priority="22860" stopIfTrue="1" operator="equal">
      <formula>"Towel"</formula>
    </cfRule>
    <cfRule type="cellIs" dxfId="15590" priority="22861" stopIfTrue="1" operator="equal">
      <formula>"Napkin Hs"</formula>
    </cfRule>
    <cfRule type="cellIs" dxfId="15589" priority="22866" stopIfTrue="1" operator="equal">
      <formula>"Towel"</formula>
    </cfRule>
    <cfRule type="cellIs" dxfId="15588" priority="22867" stopIfTrue="1" operator="equal">
      <formula>"Napkin Hs"</formula>
    </cfRule>
    <cfRule type="cellIs" dxfId="15587" priority="22876" stopIfTrue="1" operator="equal">
      <formula>"Towel"</formula>
    </cfRule>
    <cfRule type="cellIs" dxfId="15586" priority="22877" stopIfTrue="1" operator="equal">
      <formula>"Napkin Hs"</formula>
    </cfRule>
    <cfRule type="cellIs" dxfId="15585" priority="22878" stopIfTrue="1" operator="equal">
      <formula>"Towel"</formula>
    </cfRule>
    <cfRule type="cellIs" dxfId="15584" priority="22879" stopIfTrue="1" operator="equal">
      <formula>"Napkin Hs"</formula>
    </cfRule>
    <cfRule type="cellIs" dxfId="15583" priority="22885" stopIfTrue="1" operator="equal">
      <formula>"Napkin Hs"</formula>
    </cfRule>
  </conditionalFormatting>
  <conditionalFormatting sqref="C23">
    <cfRule type="cellIs" dxfId="15582" priority="22884" stopIfTrue="1" operator="equal">
      <formula>"Towel"</formula>
    </cfRule>
  </conditionalFormatting>
  <conditionalFormatting sqref="C23">
    <cfRule type="cellIs" dxfId="15581" priority="22795" stopIfTrue="1" operator="equal">
      <formula>"Napkin Hs"</formula>
    </cfRule>
    <cfRule type="cellIs" dxfId="15580" priority="22796" stopIfTrue="1" operator="equal">
      <formula>"Towel"</formula>
    </cfRule>
    <cfRule type="cellIs" dxfId="15579" priority="22797" stopIfTrue="1" operator="equal">
      <formula>"Napkin Hs"</formula>
    </cfRule>
    <cfRule type="cellIs" dxfId="15578" priority="22798" stopIfTrue="1" operator="equal">
      <formula>"Towel"</formula>
    </cfRule>
    <cfRule type="cellIs" dxfId="15577" priority="22799" stopIfTrue="1" operator="equal">
      <formula>"Napkin Hs"</formula>
    </cfRule>
    <cfRule type="cellIs" dxfId="15576" priority="22800" stopIfTrue="1" operator="equal">
      <formula>"Towel"</formula>
    </cfRule>
    <cfRule type="cellIs" dxfId="15575" priority="22801" stopIfTrue="1" operator="equal">
      <formula>"Napkin Hs"</formula>
    </cfRule>
    <cfRule type="cellIs" dxfId="15574" priority="22802" stopIfTrue="1" operator="equal">
      <formula>"Towel"</formula>
    </cfRule>
    <cfRule type="cellIs" dxfId="15573" priority="22803" stopIfTrue="1" operator="equal">
      <formula>"Napkin Hs"</formula>
    </cfRule>
    <cfRule type="cellIs" dxfId="15572" priority="22806" stopIfTrue="1" operator="equal">
      <formula>"Towel"</formula>
    </cfRule>
    <cfRule type="cellIs" dxfId="15571" priority="22807" stopIfTrue="1" operator="equal">
      <formula>"Napkin Hs"</formula>
    </cfRule>
    <cfRule type="cellIs" dxfId="15570" priority="22808" stopIfTrue="1" operator="equal">
      <formula>"Towel"</formula>
    </cfRule>
    <cfRule type="cellIs" dxfId="15569" priority="22809" stopIfTrue="1" operator="equal">
      <formula>"Napkin Hs"</formula>
    </cfRule>
    <cfRule type="cellIs" dxfId="15568" priority="22812" stopIfTrue="1" operator="equal">
      <formula>"Towel"</formula>
    </cfRule>
    <cfRule type="cellIs" dxfId="15567" priority="22813" stopIfTrue="1" operator="equal">
      <formula>"Napkin Hs"</formula>
    </cfRule>
    <cfRule type="cellIs" dxfId="15566" priority="22814" stopIfTrue="1" operator="equal">
      <formula>"Towel"</formula>
    </cfRule>
    <cfRule type="cellIs" dxfId="15565" priority="22815" stopIfTrue="1" operator="equal">
      <formula>"Napkin Hs"</formula>
    </cfRule>
    <cfRule type="cellIs" dxfId="15564" priority="22820" stopIfTrue="1" operator="equal">
      <formula>"Towel"</formula>
    </cfRule>
    <cfRule type="cellIs" dxfId="15563" priority="22821" stopIfTrue="1" operator="equal">
      <formula>"Napkin Hs"</formula>
    </cfRule>
    <cfRule type="cellIs" dxfId="15562" priority="22822" stopIfTrue="1" operator="equal">
      <formula>"Towel"</formula>
    </cfRule>
    <cfRule type="cellIs" dxfId="15561" priority="22823" stopIfTrue="1" operator="equal">
      <formula>"Napkin Hs"</formula>
    </cfRule>
    <cfRule type="cellIs" dxfId="15560" priority="22826" stopIfTrue="1" operator="equal">
      <formula>"Towel"</formula>
    </cfRule>
    <cfRule type="cellIs" dxfId="15559" priority="22827" stopIfTrue="1" operator="equal">
      <formula>"Napkin Hs"</formula>
    </cfRule>
    <cfRule type="cellIs" dxfId="15558" priority="22828" stopIfTrue="1" operator="equal">
      <formula>"Towel"</formula>
    </cfRule>
    <cfRule type="cellIs" dxfId="15557" priority="22829" stopIfTrue="1" operator="equal">
      <formula>"Napkin Hs"</formula>
    </cfRule>
    <cfRule type="cellIs" dxfId="15556" priority="22830" stopIfTrue="1" operator="equal">
      <formula>"Towel"</formula>
    </cfRule>
    <cfRule type="cellIs" dxfId="15555" priority="22831" stopIfTrue="1" operator="equal">
      <formula>"Napkin Hs"</formula>
    </cfRule>
    <cfRule type="cellIs" dxfId="15554" priority="22832" stopIfTrue="1" operator="equal">
      <formula>"Towel"</formula>
    </cfRule>
    <cfRule type="cellIs" dxfId="15553" priority="22833" stopIfTrue="1" operator="equal">
      <formula>"Napkin Hs"</formula>
    </cfRule>
    <cfRule type="cellIs" dxfId="15552" priority="22836" stopIfTrue="1" operator="equal">
      <formula>"Towel"</formula>
    </cfRule>
    <cfRule type="cellIs" dxfId="15551" priority="22837" stopIfTrue="1" operator="equal">
      <formula>"Napkin Hs"</formula>
    </cfRule>
    <cfRule type="cellIs" dxfId="15550" priority="22838" stopIfTrue="1" operator="equal">
      <formula>"Towel"</formula>
    </cfRule>
    <cfRule type="cellIs" dxfId="15549" priority="22839" stopIfTrue="1" operator="equal">
      <formula>"Napkin Hs"</formula>
    </cfRule>
    <cfRule type="cellIs" dxfId="15548" priority="22844" stopIfTrue="1" operator="equal">
      <formula>"Towel"</formula>
    </cfRule>
    <cfRule type="cellIs" dxfId="15547" priority="22845" stopIfTrue="1" operator="equal">
      <formula>"Napkin Hs"</formula>
    </cfRule>
    <cfRule type="cellIs" dxfId="15546" priority="22846" stopIfTrue="1" operator="equal">
      <formula>"Towel"</formula>
    </cfRule>
    <cfRule type="cellIs" dxfId="15545" priority="22847" stopIfTrue="1" operator="equal">
      <formula>"Napkin Hs"</formula>
    </cfRule>
    <cfRule type="cellIs" dxfId="15544" priority="22850" stopIfTrue="1" operator="equal">
      <formula>"Towel"</formula>
    </cfRule>
    <cfRule type="cellIs" dxfId="15543" priority="22851" stopIfTrue="1" operator="equal">
      <formula>"Napkin Hs"</formula>
    </cfRule>
    <cfRule type="cellIs" dxfId="15542" priority="22852" stopIfTrue="1" operator="equal">
      <formula>"Towel"</formula>
    </cfRule>
    <cfRule type="cellIs" dxfId="15541" priority="22853" stopIfTrue="1" operator="equal">
      <formula>"Napkin Hs"</formula>
    </cfRule>
    <cfRule type="cellIs" dxfId="15540" priority="22854" stopIfTrue="1" operator="equal">
      <formula>"Towel"</formula>
    </cfRule>
    <cfRule type="cellIs" dxfId="15539" priority="22855" stopIfTrue="1" operator="equal">
      <formula>"Napkin Hs"</formula>
    </cfRule>
    <cfRule type="cellIs" dxfId="15538" priority="22856" stopIfTrue="1" operator="equal">
      <formula>"Towel"</formula>
    </cfRule>
    <cfRule type="cellIs" dxfId="15537" priority="22857" stopIfTrue="1" operator="equal">
      <formula>"Napkin Hs"</formula>
    </cfRule>
    <cfRule type="cellIs" dxfId="15536" priority="22862" stopIfTrue="1" operator="equal">
      <formula>"Towel"</formula>
    </cfRule>
    <cfRule type="cellIs" dxfId="15535" priority="22863" stopIfTrue="1" operator="equal">
      <formula>"Napkin Hs"</formula>
    </cfRule>
    <cfRule type="cellIs" dxfId="15534" priority="22864" stopIfTrue="1" operator="equal">
      <formula>"Towel"</formula>
    </cfRule>
    <cfRule type="cellIs" dxfId="15533" priority="22865" stopIfTrue="1" operator="equal">
      <formula>"Napkin Hs"</formula>
    </cfRule>
    <cfRule type="cellIs" dxfId="15532" priority="22868" stopIfTrue="1" operator="equal">
      <formula>"Towel"</formula>
    </cfRule>
    <cfRule type="cellIs" dxfId="15531" priority="22869" stopIfTrue="1" operator="equal">
      <formula>"Napkin Hs"</formula>
    </cfRule>
    <cfRule type="cellIs" dxfId="15530" priority="22870" stopIfTrue="1" operator="equal">
      <formula>"Towel"</formula>
    </cfRule>
    <cfRule type="cellIs" dxfId="15529" priority="22871" stopIfTrue="1" operator="equal">
      <formula>"Napkin Hs"</formula>
    </cfRule>
    <cfRule type="cellIs" dxfId="15528" priority="22872" stopIfTrue="1" operator="equal">
      <formula>"Towel"</formula>
    </cfRule>
    <cfRule type="cellIs" dxfId="15527" priority="22873" stopIfTrue="1" operator="equal">
      <formula>"Napkin Hs"</formula>
    </cfRule>
    <cfRule type="cellIs" dxfId="15526" priority="22874" stopIfTrue="1" operator="equal">
      <formula>"Towel"</formula>
    </cfRule>
    <cfRule type="cellIs" dxfId="15525" priority="22875" stopIfTrue="1" operator="equal">
      <formula>"Napkin Hs"</formula>
    </cfRule>
    <cfRule type="cellIs" dxfId="15524" priority="22880" stopIfTrue="1" operator="equal">
      <formula>"Towel"</formula>
    </cfRule>
    <cfRule type="cellIs" dxfId="15523" priority="22881" stopIfTrue="1" operator="equal">
      <formula>"Napkin Hs"</formula>
    </cfRule>
    <cfRule type="cellIs" dxfId="15522" priority="22882" stopIfTrue="1" operator="equal">
      <formula>"Towel"</formula>
    </cfRule>
    <cfRule type="cellIs" dxfId="15521" priority="22883" stopIfTrue="1" operator="equal">
      <formula>"Napkin Hs"</formula>
    </cfRule>
    <cfRule type="cellIs" dxfId="15520" priority="22886" stopIfTrue="1" operator="equal">
      <formula>"Towel"</formula>
    </cfRule>
    <cfRule type="cellIs" dxfId="15519" priority="22887" stopIfTrue="1" operator="equal">
      <formula>"Napkin Hs"</formula>
    </cfRule>
    <cfRule type="cellIs" dxfId="15518" priority="22888" stopIfTrue="1" operator="equal">
      <formula>"Towel"</formula>
    </cfRule>
    <cfRule type="cellIs" dxfId="15517" priority="22889" stopIfTrue="1" operator="equal">
      <formula>"Napkin Hs"</formula>
    </cfRule>
  </conditionalFormatting>
  <conditionalFormatting sqref="C23">
    <cfRule type="cellIs" dxfId="15516" priority="22792" stopIfTrue="1" operator="equal">
      <formula>"Towel"</formula>
    </cfRule>
    <cfRule type="cellIs" dxfId="15515" priority="22793" stopIfTrue="1" operator="equal">
      <formula>"Napkin Hs"</formula>
    </cfRule>
  </conditionalFormatting>
  <conditionalFormatting sqref="C23">
    <cfRule type="cellIs" dxfId="15514" priority="22788" stopIfTrue="1" operator="equal">
      <formula>"Towel"</formula>
    </cfRule>
    <cfRule type="cellIs" dxfId="15513" priority="22789" stopIfTrue="1" operator="equal">
      <formula>"Napkin Hs"</formula>
    </cfRule>
  </conditionalFormatting>
  <conditionalFormatting sqref="C23">
    <cfRule type="cellIs" dxfId="15512" priority="22791" stopIfTrue="1" operator="equal">
      <formula>"Napkin Hs"</formula>
    </cfRule>
  </conditionalFormatting>
  <conditionalFormatting sqref="C23">
    <cfRule type="cellIs" dxfId="15511" priority="22790" stopIfTrue="1" operator="equal">
      <formula>"Towel"</formula>
    </cfRule>
  </conditionalFormatting>
  <conditionalFormatting sqref="C21">
    <cfRule type="cellIs" dxfId="15510" priority="22782" stopIfTrue="1" operator="equal">
      <formula>"Towel"</formula>
    </cfRule>
    <cfRule type="cellIs" dxfId="15509" priority="22783" stopIfTrue="1" operator="equal">
      <formula>"Napkin Hs"</formula>
    </cfRule>
  </conditionalFormatting>
  <conditionalFormatting sqref="C21">
    <cfRule type="cellIs" dxfId="15508" priority="22786" stopIfTrue="1" operator="equal">
      <formula>"Towel"</formula>
    </cfRule>
    <cfRule type="cellIs" dxfId="15507" priority="22787" stopIfTrue="1" operator="equal">
      <formula>"Napkin Hs"</formula>
    </cfRule>
  </conditionalFormatting>
  <conditionalFormatting sqref="C21">
    <cfRule type="cellIs" dxfId="15506" priority="22784" stopIfTrue="1" operator="equal">
      <formula>"Towel"</formula>
    </cfRule>
    <cfRule type="cellIs" dxfId="15505" priority="22785" stopIfTrue="1" operator="equal">
      <formula>"Napkin Hs"</formula>
    </cfRule>
  </conditionalFormatting>
  <conditionalFormatting sqref="C21">
    <cfRule type="cellIs" dxfId="15504" priority="22776" stopIfTrue="1" operator="equal">
      <formula>"Towel"</formula>
    </cfRule>
    <cfRule type="cellIs" dxfId="15503" priority="22777" stopIfTrue="1" operator="equal">
      <formula>"Napkin Hs"</formula>
    </cfRule>
  </conditionalFormatting>
  <conditionalFormatting sqref="C21">
    <cfRule type="cellIs" dxfId="15502" priority="22778" stopIfTrue="1" operator="equal">
      <formula>"Towel"</formula>
    </cfRule>
    <cfRule type="cellIs" dxfId="15501" priority="22779" stopIfTrue="1" operator="equal">
      <formula>"Napkin Hs"</formula>
    </cfRule>
  </conditionalFormatting>
  <conditionalFormatting sqref="C21">
    <cfRule type="cellIs" dxfId="15500" priority="22780" stopIfTrue="1" operator="equal">
      <formula>"Towel"</formula>
    </cfRule>
    <cfRule type="cellIs" dxfId="15499" priority="22781" stopIfTrue="1" operator="equal">
      <formula>"Napkin Hs"</formula>
    </cfRule>
  </conditionalFormatting>
  <conditionalFormatting sqref="B21:C21">
    <cfRule type="cellIs" dxfId="15498" priority="22774" stopIfTrue="1" operator="equal">
      <formula>"Towel"</formula>
    </cfRule>
    <cfRule type="cellIs" dxfId="15497" priority="22775" stopIfTrue="1" operator="equal">
      <formula>"Napkin Hs"</formula>
    </cfRule>
  </conditionalFormatting>
  <conditionalFormatting sqref="B21:C21">
    <cfRule type="cellIs" dxfId="15496" priority="22772" stopIfTrue="1" operator="equal">
      <formula>"Towel"</formula>
    </cfRule>
    <cfRule type="cellIs" dxfId="15495" priority="22773" stopIfTrue="1" operator="equal">
      <formula>"Napkin Hs"</formula>
    </cfRule>
  </conditionalFormatting>
  <conditionalFormatting sqref="B21:C21">
    <cfRule type="cellIs" dxfId="15494" priority="22748" stopIfTrue="1" operator="equal">
      <formula>"Towel"</formula>
    </cfRule>
  </conditionalFormatting>
  <conditionalFormatting sqref="B21:C21">
    <cfRule type="cellIs" dxfId="15493" priority="22749" stopIfTrue="1" operator="equal">
      <formula>"Napkin Hs"</formula>
    </cfRule>
    <cfRule type="cellIs" dxfId="15492" priority="22754" stopIfTrue="1" operator="equal">
      <formula>"Towel"</formula>
    </cfRule>
    <cfRule type="cellIs" dxfId="15491" priority="22755" stopIfTrue="1" operator="equal">
      <formula>"Napkin Hs"</formula>
    </cfRule>
    <cfRule type="cellIs" dxfId="15490" priority="22764" stopIfTrue="1" operator="equal">
      <formula>"Towel"</formula>
    </cfRule>
    <cfRule type="cellIs" dxfId="15489" priority="22765" stopIfTrue="1" operator="equal">
      <formula>"Napkin Hs"</formula>
    </cfRule>
    <cfRule type="cellIs" dxfId="15488" priority="22770" stopIfTrue="1" operator="equal">
      <formula>"Towel"</formula>
    </cfRule>
    <cfRule type="cellIs" dxfId="15487" priority="22771" stopIfTrue="1" operator="equal">
      <formula>"Napkin Hs"</formula>
    </cfRule>
  </conditionalFormatting>
  <conditionalFormatting sqref="C21">
    <cfRule type="cellIs" dxfId="15486" priority="22750" stopIfTrue="1" operator="equal">
      <formula>"Towel"</formula>
    </cfRule>
    <cfRule type="cellIs" dxfId="15485" priority="22751" stopIfTrue="1" operator="equal">
      <formula>"Napkin Hs"</formula>
    </cfRule>
    <cfRule type="cellIs" dxfId="15484" priority="22752" stopIfTrue="1" operator="equal">
      <formula>"Towel"</formula>
    </cfRule>
    <cfRule type="cellIs" dxfId="15483" priority="22753" stopIfTrue="1" operator="equal">
      <formula>"Napkin Hs"</formula>
    </cfRule>
    <cfRule type="cellIs" dxfId="15482" priority="22756" stopIfTrue="1" operator="equal">
      <formula>"Towel"</formula>
    </cfRule>
    <cfRule type="cellIs" dxfId="15481" priority="22757" stopIfTrue="1" operator="equal">
      <formula>"Napkin Hs"</formula>
    </cfRule>
    <cfRule type="cellIs" dxfId="15480" priority="22758" stopIfTrue="1" operator="equal">
      <formula>"Towel"</formula>
    </cfRule>
    <cfRule type="cellIs" dxfId="15479" priority="22759" stopIfTrue="1" operator="equal">
      <formula>"Napkin Hs"</formula>
    </cfRule>
    <cfRule type="cellIs" dxfId="15478" priority="22760" stopIfTrue="1" operator="equal">
      <formula>"Towel"</formula>
    </cfRule>
    <cfRule type="cellIs" dxfId="15477" priority="22761" stopIfTrue="1" operator="equal">
      <formula>"Napkin Hs"</formula>
    </cfRule>
    <cfRule type="cellIs" dxfId="15476" priority="22762" stopIfTrue="1" operator="equal">
      <formula>"Towel"</formula>
    </cfRule>
    <cfRule type="cellIs" dxfId="15475" priority="22763" stopIfTrue="1" operator="equal">
      <formula>"Napkin Hs"</formula>
    </cfRule>
    <cfRule type="cellIs" dxfId="15474" priority="22766" stopIfTrue="1" operator="equal">
      <formula>"Towel"</formula>
    </cfRule>
    <cfRule type="cellIs" dxfId="15473" priority="22767" stopIfTrue="1" operator="equal">
      <formula>"Napkin Hs"</formula>
    </cfRule>
    <cfRule type="cellIs" dxfId="15472" priority="22769" stopIfTrue="1" operator="equal">
      <formula>"Napkin Hs"</formula>
    </cfRule>
  </conditionalFormatting>
  <conditionalFormatting sqref="C21">
    <cfRule type="cellIs" dxfId="15471" priority="22768" stopIfTrue="1" operator="equal">
      <formula>"Towel"</formula>
    </cfRule>
  </conditionalFormatting>
  <conditionalFormatting sqref="B21:C21">
    <cfRule type="cellIs" dxfId="15470" priority="22746" stopIfTrue="1" operator="equal">
      <formula>"Towel"</formula>
    </cfRule>
    <cfRule type="cellIs" dxfId="15469" priority="22747" stopIfTrue="1" operator="equal">
      <formula>"Napkin Hs"</formula>
    </cfRule>
  </conditionalFormatting>
  <conditionalFormatting sqref="C21">
    <cfRule type="cellIs" dxfId="15468" priority="22745" stopIfTrue="1" operator="equal">
      <formula>"Napkin Hs"</formula>
    </cfRule>
  </conditionalFormatting>
  <conditionalFormatting sqref="C21">
    <cfRule type="cellIs" dxfId="15467" priority="22744" stopIfTrue="1" operator="equal">
      <formula>"Towel"</formula>
    </cfRule>
  </conditionalFormatting>
  <conditionalFormatting sqref="C21">
    <cfRule type="cellIs" dxfId="15466" priority="22742" stopIfTrue="1" operator="equal">
      <formula>"Towel"</formula>
    </cfRule>
  </conditionalFormatting>
  <conditionalFormatting sqref="C21">
    <cfRule type="cellIs" dxfId="15465" priority="22743" stopIfTrue="1" operator="equal">
      <formula>"Napkin Hs"</formula>
    </cfRule>
  </conditionalFormatting>
  <conditionalFormatting sqref="B21">
    <cfRule type="cellIs" dxfId="15464" priority="22646" stopIfTrue="1" operator="equal">
      <formula>"Napkin Hs"</formula>
    </cfRule>
  </conditionalFormatting>
  <conditionalFormatting sqref="B21:C21">
    <cfRule type="cellIs" dxfId="15463" priority="22645" stopIfTrue="1" operator="equal">
      <formula>"Towel"</formula>
    </cfRule>
  </conditionalFormatting>
  <conditionalFormatting sqref="B21:C21">
    <cfRule type="cellIs" dxfId="15462" priority="22656" stopIfTrue="1" operator="equal">
      <formula>"Towel"</formula>
    </cfRule>
    <cfRule type="cellIs" dxfId="15461" priority="22657" stopIfTrue="1" operator="equal">
      <formula>"Napkin Hs"</formula>
    </cfRule>
    <cfRule type="cellIs" dxfId="15460" priority="22662" stopIfTrue="1" operator="equal">
      <formula>"Towel"</formula>
    </cfRule>
    <cfRule type="cellIs" dxfId="15459" priority="22663" stopIfTrue="1" operator="equal">
      <formula>"Napkin Hs"</formula>
    </cfRule>
    <cfRule type="cellIs" dxfId="15458" priority="22668" stopIfTrue="1" operator="equal">
      <formula>"Towel"</formula>
    </cfRule>
    <cfRule type="cellIs" dxfId="15457" priority="22669" stopIfTrue="1" operator="equal">
      <formula>"Napkin Hs"</formula>
    </cfRule>
    <cfRule type="cellIs" dxfId="15456" priority="22670" stopIfTrue="1" operator="equal">
      <formula>"Towel"</formula>
    </cfRule>
    <cfRule type="cellIs" dxfId="15455" priority="22671" stopIfTrue="1" operator="equal">
      <formula>"Napkin Hs"</formula>
    </cfRule>
    <cfRule type="cellIs" dxfId="15454" priority="22676" stopIfTrue="1" operator="equal">
      <formula>"Towel"</formula>
    </cfRule>
    <cfRule type="cellIs" dxfId="15453" priority="22677" stopIfTrue="1" operator="equal">
      <formula>"Napkin Hs"</formula>
    </cfRule>
    <cfRule type="cellIs" dxfId="15452" priority="22686" stopIfTrue="1" operator="equal">
      <formula>"Towel"</formula>
    </cfRule>
    <cfRule type="cellIs" dxfId="15451" priority="22687" stopIfTrue="1" operator="equal">
      <formula>"Napkin Hs"</formula>
    </cfRule>
    <cfRule type="cellIs" dxfId="15450" priority="22692" stopIfTrue="1" operator="equal">
      <formula>"Towel"</formula>
    </cfRule>
    <cfRule type="cellIs" dxfId="15449" priority="22693" stopIfTrue="1" operator="equal">
      <formula>"Napkin Hs"</formula>
    </cfRule>
    <cfRule type="cellIs" dxfId="15448" priority="22694" stopIfTrue="1" operator="equal">
      <formula>"Towel"</formula>
    </cfRule>
    <cfRule type="cellIs" dxfId="15447" priority="22695" stopIfTrue="1" operator="equal">
      <formula>"Napkin Hs"</formula>
    </cfRule>
    <cfRule type="cellIs" dxfId="15446" priority="22700" stopIfTrue="1" operator="equal">
      <formula>"Towel"</formula>
    </cfRule>
    <cfRule type="cellIs" dxfId="15445" priority="22701" stopIfTrue="1" operator="equal">
      <formula>"Napkin Hs"</formula>
    </cfRule>
    <cfRule type="cellIs" dxfId="15444" priority="22710" stopIfTrue="1" operator="equal">
      <formula>"Towel"</formula>
    </cfRule>
    <cfRule type="cellIs" dxfId="15443" priority="22711" stopIfTrue="1" operator="equal">
      <formula>"Napkin Hs"</formula>
    </cfRule>
    <cfRule type="cellIs" dxfId="15442" priority="22712" stopIfTrue="1" operator="equal">
      <formula>"Towel"</formula>
    </cfRule>
    <cfRule type="cellIs" dxfId="15441" priority="22713" stopIfTrue="1" operator="equal">
      <formula>"Napkin Hs"</formula>
    </cfRule>
    <cfRule type="cellIs" dxfId="15440" priority="22718" stopIfTrue="1" operator="equal">
      <formula>"Towel"</formula>
    </cfRule>
    <cfRule type="cellIs" dxfId="15439" priority="22719" stopIfTrue="1" operator="equal">
      <formula>"Napkin Hs"</formula>
    </cfRule>
    <cfRule type="cellIs" dxfId="15438" priority="22728" stopIfTrue="1" operator="equal">
      <formula>"Towel"</formula>
    </cfRule>
    <cfRule type="cellIs" dxfId="15437" priority="22729" stopIfTrue="1" operator="equal">
      <formula>"Napkin Hs"</formula>
    </cfRule>
    <cfRule type="cellIs" dxfId="15436" priority="22730" stopIfTrue="1" operator="equal">
      <formula>"Towel"</formula>
    </cfRule>
    <cfRule type="cellIs" dxfId="15435" priority="22731" stopIfTrue="1" operator="equal">
      <formula>"Napkin Hs"</formula>
    </cfRule>
    <cfRule type="cellIs" dxfId="15434" priority="22737" stopIfTrue="1" operator="equal">
      <formula>"Napkin Hs"</formula>
    </cfRule>
  </conditionalFormatting>
  <conditionalFormatting sqref="B21:C21">
    <cfRule type="cellIs" dxfId="15433" priority="22736" stopIfTrue="1" operator="equal">
      <formula>"Towel"</formula>
    </cfRule>
  </conditionalFormatting>
  <conditionalFormatting sqref="C21">
    <cfRule type="cellIs" dxfId="15432" priority="22647" stopIfTrue="1" operator="equal">
      <formula>"Napkin Hs"</formula>
    </cfRule>
    <cfRule type="cellIs" dxfId="15431" priority="22648" stopIfTrue="1" operator="equal">
      <formula>"Towel"</formula>
    </cfRule>
    <cfRule type="cellIs" dxfId="15430" priority="22649" stopIfTrue="1" operator="equal">
      <formula>"Napkin Hs"</formula>
    </cfRule>
    <cfRule type="cellIs" dxfId="15429" priority="22650" stopIfTrue="1" operator="equal">
      <formula>"Towel"</formula>
    </cfRule>
    <cfRule type="cellIs" dxfId="15428" priority="22651" stopIfTrue="1" operator="equal">
      <formula>"Napkin Hs"</formula>
    </cfRule>
    <cfRule type="cellIs" dxfId="15427" priority="22652" stopIfTrue="1" operator="equal">
      <formula>"Towel"</formula>
    </cfRule>
    <cfRule type="cellIs" dxfId="15426" priority="22653" stopIfTrue="1" operator="equal">
      <formula>"Napkin Hs"</formula>
    </cfRule>
    <cfRule type="cellIs" dxfId="15425" priority="22654" stopIfTrue="1" operator="equal">
      <formula>"Towel"</formula>
    </cfRule>
    <cfRule type="cellIs" dxfId="15424" priority="22655" stopIfTrue="1" operator="equal">
      <formula>"Napkin Hs"</formula>
    </cfRule>
    <cfRule type="cellIs" dxfId="15423" priority="22658" stopIfTrue="1" operator="equal">
      <formula>"Towel"</formula>
    </cfRule>
    <cfRule type="cellIs" dxfId="15422" priority="22659" stopIfTrue="1" operator="equal">
      <formula>"Napkin Hs"</formula>
    </cfRule>
    <cfRule type="cellIs" dxfId="15421" priority="22660" stopIfTrue="1" operator="equal">
      <formula>"Towel"</formula>
    </cfRule>
    <cfRule type="cellIs" dxfId="15420" priority="22661" stopIfTrue="1" operator="equal">
      <formula>"Napkin Hs"</formula>
    </cfRule>
    <cfRule type="cellIs" dxfId="15419" priority="22664" stopIfTrue="1" operator="equal">
      <formula>"Towel"</formula>
    </cfRule>
    <cfRule type="cellIs" dxfId="15418" priority="22665" stopIfTrue="1" operator="equal">
      <formula>"Napkin Hs"</formula>
    </cfRule>
    <cfRule type="cellIs" dxfId="15417" priority="22666" stopIfTrue="1" operator="equal">
      <formula>"Towel"</formula>
    </cfRule>
    <cfRule type="cellIs" dxfId="15416" priority="22667" stopIfTrue="1" operator="equal">
      <formula>"Napkin Hs"</formula>
    </cfRule>
    <cfRule type="cellIs" dxfId="15415" priority="22672" stopIfTrue="1" operator="equal">
      <formula>"Towel"</formula>
    </cfRule>
    <cfRule type="cellIs" dxfId="15414" priority="22673" stopIfTrue="1" operator="equal">
      <formula>"Napkin Hs"</formula>
    </cfRule>
    <cfRule type="cellIs" dxfId="15413" priority="22674" stopIfTrue="1" operator="equal">
      <formula>"Towel"</formula>
    </cfRule>
    <cfRule type="cellIs" dxfId="15412" priority="22675" stopIfTrue="1" operator="equal">
      <formula>"Napkin Hs"</formula>
    </cfRule>
    <cfRule type="cellIs" dxfId="15411" priority="22678" stopIfTrue="1" operator="equal">
      <formula>"Towel"</formula>
    </cfRule>
    <cfRule type="cellIs" dxfId="15410" priority="22679" stopIfTrue="1" operator="equal">
      <formula>"Napkin Hs"</formula>
    </cfRule>
    <cfRule type="cellIs" dxfId="15409" priority="22680" stopIfTrue="1" operator="equal">
      <formula>"Towel"</formula>
    </cfRule>
    <cfRule type="cellIs" dxfId="15408" priority="22681" stopIfTrue="1" operator="equal">
      <formula>"Napkin Hs"</formula>
    </cfRule>
    <cfRule type="cellIs" dxfId="15407" priority="22682" stopIfTrue="1" operator="equal">
      <formula>"Towel"</formula>
    </cfRule>
    <cfRule type="cellIs" dxfId="15406" priority="22683" stopIfTrue="1" operator="equal">
      <formula>"Napkin Hs"</formula>
    </cfRule>
    <cfRule type="cellIs" dxfId="15405" priority="22684" stopIfTrue="1" operator="equal">
      <formula>"Towel"</formula>
    </cfRule>
    <cfRule type="cellIs" dxfId="15404" priority="22685" stopIfTrue="1" operator="equal">
      <formula>"Napkin Hs"</formula>
    </cfRule>
    <cfRule type="cellIs" dxfId="15403" priority="22688" stopIfTrue="1" operator="equal">
      <formula>"Towel"</formula>
    </cfRule>
    <cfRule type="cellIs" dxfId="15402" priority="22689" stopIfTrue="1" operator="equal">
      <formula>"Napkin Hs"</formula>
    </cfRule>
    <cfRule type="cellIs" dxfId="15401" priority="22690" stopIfTrue="1" operator="equal">
      <formula>"Towel"</formula>
    </cfRule>
    <cfRule type="cellIs" dxfId="15400" priority="22691" stopIfTrue="1" operator="equal">
      <formula>"Napkin Hs"</formula>
    </cfRule>
    <cfRule type="cellIs" dxfId="15399" priority="22696" stopIfTrue="1" operator="equal">
      <formula>"Towel"</formula>
    </cfRule>
    <cfRule type="cellIs" dxfId="15398" priority="22697" stopIfTrue="1" operator="equal">
      <formula>"Napkin Hs"</formula>
    </cfRule>
    <cfRule type="cellIs" dxfId="15397" priority="22698" stopIfTrue="1" operator="equal">
      <formula>"Towel"</formula>
    </cfRule>
    <cfRule type="cellIs" dxfId="15396" priority="22699" stopIfTrue="1" operator="equal">
      <formula>"Napkin Hs"</formula>
    </cfRule>
    <cfRule type="cellIs" dxfId="15395" priority="22702" stopIfTrue="1" operator="equal">
      <formula>"Towel"</formula>
    </cfRule>
    <cfRule type="cellIs" dxfId="15394" priority="22703" stopIfTrue="1" operator="equal">
      <formula>"Napkin Hs"</formula>
    </cfRule>
    <cfRule type="cellIs" dxfId="15393" priority="22704" stopIfTrue="1" operator="equal">
      <formula>"Towel"</formula>
    </cfRule>
    <cfRule type="cellIs" dxfId="15392" priority="22705" stopIfTrue="1" operator="equal">
      <formula>"Napkin Hs"</formula>
    </cfRule>
    <cfRule type="cellIs" dxfId="15391" priority="22706" stopIfTrue="1" operator="equal">
      <formula>"Towel"</formula>
    </cfRule>
    <cfRule type="cellIs" dxfId="15390" priority="22707" stopIfTrue="1" operator="equal">
      <formula>"Napkin Hs"</formula>
    </cfRule>
    <cfRule type="cellIs" dxfId="15389" priority="22708" stopIfTrue="1" operator="equal">
      <formula>"Towel"</formula>
    </cfRule>
    <cfRule type="cellIs" dxfId="15388" priority="22709" stopIfTrue="1" operator="equal">
      <formula>"Napkin Hs"</formula>
    </cfRule>
    <cfRule type="cellIs" dxfId="15387" priority="22714" stopIfTrue="1" operator="equal">
      <formula>"Towel"</formula>
    </cfRule>
    <cfRule type="cellIs" dxfId="15386" priority="22715" stopIfTrue="1" operator="equal">
      <formula>"Napkin Hs"</formula>
    </cfRule>
    <cfRule type="cellIs" dxfId="15385" priority="22716" stopIfTrue="1" operator="equal">
      <formula>"Towel"</formula>
    </cfRule>
    <cfRule type="cellIs" dxfId="15384" priority="22717" stopIfTrue="1" operator="equal">
      <formula>"Napkin Hs"</formula>
    </cfRule>
    <cfRule type="cellIs" dxfId="15383" priority="22720" stopIfTrue="1" operator="equal">
      <formula>"Towel"</formula>
    </cfRule>
    <cfRule type="cellIs" dxfId="15382" priority="22721" stopIfTrue="1" operator="equal">
      <formula>"Napkin Hs"</formula>
    </cfRule>
    <cfRule type="cellIs" dxfId="15381" priority="22722" stopIfTrue="1" operator="equal">
      <formula>"Towel"</formula>
    </cfRule>
    <cfRule type="cellIs" dxfId="15380" priority="22723" stopIfTrue="1" operator="equal">
      <formula>"Napkin Hs"</formula>
    </cfRule>
    <cfRule type="cellIs" dxfId="15379" priority="22724" stopIfTrue="1" operator="equal">
      <formula>"Towel"</formula>
    </cfRule>
    <cfRule type="cellIs" dxfId="15378" priority="22725" stopIfTrue="1" operator="equal">
      <formula>"Napkin Hs"</formula>
    </cfRule>
    <cfRule type="cellIs" dxfId="15377" priority="22726" stopIfTrue="1" operator="equal">
      <formula>"Towel"</formula>
    </cfRule>
    <cfRule type="cellIs" dxfId="15376" priority="22727" stopIfTrue="1" operator="equal">
      <formula>"Napkin Hs"</formula>
    </cfRule>
    <cfRule type="cellIs" dxfId="15375" priority="22732" stopIfTrue="1" operator="equal">
      <formula>"Towel"</formula>
    </cfRule>
    <cfRule type="cellIs" dxfId="15374" priority="22733" stopIfTrue="1" operator="equal">
      <formula>"Napkin Hs"</formula>
    </cfRule>
    <cfRule type="cellIs" dxfId="15373" priority="22734" stopIfTrue="1" operator="equal">
      <formula>"Towel"</formula>
    </cfRule>
    <cfRule type="cellIs" dxfId="15372" priority="22735" stopIfTrue="1" operator="equal">
      <formula>"Napkin Hs"</formula>
    </cfRule>
    <cfRule type="cellIs" dxfId="15371" priority="22738" stopIfTrue="1" operator="equal">
      <formula>"Towel"</formula>
    </cfRule>
    <cfRule type="cellIs" dxfId="15370" priority="22739" stopIfTrue="1" operator="equal">
      <formula>"Napkin Hs"</formula>
    </cfRule>
    <cfRule type="cellIs" dxfId="15369" priority="22740" stopIfTrue="1" operator="equal">
      <formula>"Towel"</formula>
    </cfRule>
    <cfRule type="cellIs" dxfId="15368" priority="22741" stopIfTrue="1" operator="equal">
      <formula>"Napkin Hs"</formula>
    </cfRule>
  </conditionalFormatting>
  <conditionalFormatting sqref="C21">
    <cfRule type="cellIs" dxfId="15367" priority="22644" stopIfTrue="1" operator="equal">
      <formula>"Napkin Hs"</formula>
    </cfRule>
  </conditionalFormatting>
  <conditionalFormatting sqref="C21">
    <cfRule type="cellIs" dxfId="15366" priority="22643" stopIfTrue="1" operator="equal">
      <formula>"Napkin Hs"</formula>
    </cfRule>
  </conditionalFormatting>
  <conditionalFormatting sqref="B21">
    <cfRule type="cellIs" dxfId="15365" priority="22642" stopIfTrue="1" operator="equal">
      <formula>"Napkin Hs"</formula>
    </cfRule>
  </conditionalFormatting>
  <conditionalFormatting sqref="C21">
    <cfRule type="cellIs" dxfId="15364" priority="22641" stopIfTrue="1" operator="equal">
      <formula>"Napkin Hs"</formula>
    </cfRule>
  </conditionalFormatting>
  <conditionalFormatting sqref="C21">
    <cfRule type="cellIs" dxfId="15363" priority="22640" stopIfTrue="1" operator="equal">
      <formula>"Napkin Hs"</formula>
    </cfRule>
  </conditionalFormatting>
  <conditionalFormatting sqref="C21">
    <cfRule type="cellIs" dxfId="15362" priority="22639" stopIfTrue="1" operator="equal">
      <formula>"Napkin Hs"</formula>
    </cfRule>
  </conditionalFormatting>
  <conditionalFormatting sqref="C21">
    <cfRule type="cellIs" dxfId="15361" priority="22638" stopIfTrue="1" operator="equal">
      <formula>"Napkin Hs"</formula>
    </cfRule>
  </conditionalFormatting>
  <conditionalFormatting sqref="B21">
    <cfRule type="cellIs" dxfId="15360" priority="22637" stopIfTrue="1" operator="equal">
      <formula>"Napkin Hs"</formula>
    </cfRule>
  </conditionalFormatting>
  <conditionalFormatting sqref="B21">
    <cfRule type="cellIs" dxfId="15359" priority="22636" stopIfTrue="1" operator="equal">
      <formula>"Napkin Hs"</formula>
    </cfRule>
  </conditionalFormatting>
  <conditionalFormatting sqref="C21">
    <cfRule type="cellIs" dxfId="15358" priority="22632" stopIfTrue="1" operator="equal">
      <formula>"Towel"</formula>
    </cfRule>
    <cfRule type="cellIs" dxfId="15357" priority="22633" stopIfTrue="1" operator="equal">
      <formula>"Napkin Hs"</formula>
    </cfRule>
  </conditionalFormatting>
  <conditionalFormatting sqref="C21">
    <cfRule type="cellIs" dxfId="15356" priority="22634" stopIfTrue="1" operator="equal">
      <formula>"Towel"</formula>
    </cfRule>
    <cfRule type="cellIs" dxfId="15355" priority="22635" stopIfTrue="1" operator="equal">
      <formula>"Napkin Hs"</formula>
    </cfRule>
  </conditionalFormatting>
  <conditionalFormatting sqref="C21">
    <cfRule type="cellIs" dxfId="15354" priority="22628" stopIfTrue="1" operator="equal">
      <formula>"Towel"</formula>
    </cfRule>
    <cfRule type="cellIs" dxfId="15353" priority="22629" stopIfTrue="1" operator="equal">
      <formula>"Napkin Hs"</formula>
    </cfRule>
  </conditionalFormatting>
  <conditionalFormatting sqref="C21">
    <cfRule type="cellIs" dxfId="15352" priority="22630" stopIfTrue="1" operator="equal">
      <formula>"Towel"</formula>
    </cfRule>
    <cfRule type="cellIs" dxfId="15351" priority="22631" stopIfTrue="1" operator="equal">
      <formula>"Napkin Hs"</formula>
    </cfRule>
  </conditionalFormatting>
  <conditionalFormatting sqref="C20">
    <cfRule type="cellIs" dxfId="15350" priority="22622" stopIfTrue="1" operator="equal">
      <formula>"Towel"</formula>
    </cfRule>
    <cfRule type="cellIs" dxfId="15349" priority="22623" stopIfTrue="1" operator="equal">
      <formula>"Napkin Hs"</formula>
    </cfRule>
  </conditionalFormatting>
  <conditionalFormatting sqref="C20">
    <cfRule type="cellIs" dxfId="15348" priority="22626" stopIfTrue="1" operator="equal">
      <formula>"Towel"</formula>
    </cfRule>
    <cfRule type="cellIs" dxfId="15347" priority="22627" stopIfTrue="1" operator="equal">
      <formula>"Napkin Hs"</formula>
    </cfRule>
  </conditionalFormatting>
  <conditionalFormatting sqref="C20">
    <cfRule type="cellIs" dxfId="15346" priority="22624" stopIfTrue="1" operator="equal">
      <formula>"Towel"</formula>
    </cfRule>
    <cfRule type="cellIs" dxfId="15345" priority="22625" stopIfTrue="1" operator="equal">
      <formula>"Napkin Hs"</formula>
    </cfRule>
  </conditionalFormatting>
  <conditionalFormatting sqref="C20">
    <cfRule type="cellIs" dxfId="15344" priority="22616" stopIfTrue="1" operator="equal">
      <formula>"Towel"</formula>
    </cfRule>
    <cfRule type="cellIs" dxfId="15343" priority="22617" stopIfTrue="1" operator="equal">
      <formula>"Napkin Hs"</formula>
    </cfRule>
  </conditionalFormatting>
  <conditionalFormatting sqref="C20">
    <cfRule type="cellIs" dxfId="15342" priority="22618" stopIfTrue="1" operator="equal">
      <formula>"Towel"</formula>
    </cfRule>
    <cfRule type="cellIs" dxfId="15341" priority="22619" stopIfTrue="1" operator="equal">
      <formula>"Napkin Hs"</formula>
    </cfRule>
  </conditionalFormatting>
  <conditionalFormatting sqref="C20">
    <cfRule type="cellIs" dxfId="15340" priority="22620" stopIfTrue="1" operator="equal">
      <formula>"Towel"</formula>
    </cfRule>
    <cfRule type="cellIs" dxfId="15339" priority="22621" stopIfTrue="1" operator="equal">
      <formula>"Napkin Hs"</formula>
    </cfRule>
  </conditionalFormatting>
  <conditionalFormatting sqref="B20:C20">
    <cfRule type="cellIs" dxfId="15338" priority="22614" stopIfTrue="1" operator="equal">
      <formula>"Towel"</formula>
    </cfRule>
    <cfRule type="cellIs" dxfId="15337" priority="22615" stopIfTrue="1" operator="equal">
      <formula>"Napkin Hs"</formula>
    </cfRule>
  </conditionalFormatting>
  <conditionalFormatting sqref="B20:C20">
    <cfRule type="cellIs" dxfId="15336" priority="22612" stopIfTrue="1" operator="equal">
      <formula>"Towel"</formula>
    </cfRule>
    <cfRule type="cellIs" dxfId="15335" priority="22613" stopIfTrue="1" operator="equal">
      <formula>"Napkin Hs"</formula>
    </cfRule>
  </conditionalFormatting>
  <conditionalFormatting sqref="B20:C20">
    <cfRule type="cellIs" dxfId="15334" priority="22588" stopIfTrue="1" operator="equal">
      <formula>"Towel"</formula>
    </cfRule>
  </conditionalFormatting>
  <conditionalFormatting sqref="B20:C20">
    <cfRule type="cellIs" dxfId="15333" priority="22589" stopIfTrue="1" operator="equal">
      <formula>"Napkin Hs"</formula>
    </cfRule>
    <cfRule type="cellIs" dxfId="15332" priority="22594" stopIfTrue="1" operator="equal">
      <formula>"Towel"</formula>
    </cfRule>
    <cfRule type="cellIs" dxfId="15331" priority="22595" stopIfTrue="1" operator="equal">
      <formula>"Napkin Hs"</formula>
    </cfRule>
    <cfRule type="cellIs" dxfId="15330" priority="22604" stopIfTrue="1" operator="equal">
      <formula>"Towel"</formula>
    </cfRule>
    <cfRule type="cellIs" dxfId="15329" priority="22605" stopIfTrue="1" operator="equal">
      <formula>"Napkin Hs"</formula>
    </cfRule>
    <cfRule type="cellIs" dxfId="15328" priority="22610" stopIfTrue="1" operator="equal">
      <formula>"Towel"</formula>
    </cfRule>
    <cfRule type="cellIs" dxfId="15327" priority="22611" stopIfTrue="1" operator="equal">
      <formula>"Napkin Hs"</formula>
    </cfRule>
  </conditionalFormatting>
  <conditionalFormatting sqref="C20">
    <cfRule type="cellIs" dxfId="15326" priority="22590" stopIfTrue="1" operator="equal">
      <formula>"Towel"</formula>
    </cfRule>
    <cfRule type="cellIs" dxfId="15325" priority="22591" stopIfTrue="1" operator="equal">
      <formula>"Napkin Hs"</formula>
    </cfRule>
    <cfRule type="cellIs" dxfId="15324" priority="22592" stopIfTrue="1" operator="equal">
      <formula>"Towel"</formula>
    </cfRule>
    <cfRule type="cellIs" dxfId="15323" priority="22593" stopIfTrue="1" operator="equal">
      <formula>"Napkin Hs"</formula>
    </cfRule>
    <cfRule type="cellIs" dxfId="15322" priority="22596" stopIfTrue="1" operator="equal">
      <formula>"Towel"</formula>
    </cfRule>
    <cfRule type="cellIs" dxfId="15321" priority="22597" stopIfTrue="1" operator="equal">
      <formula>"Napkin Hs"</formula>
    </cfRule>
    <cfRule type="cellIs" dxfId="15320" priority="22598" stopIfTrue="1" operator="equal">
      <formula>"Towel"</formula>
    </cfRule>
    <cfRule type="cellIs" dxfId="15319" priority="22599" stopIfTrue="1" operator="equal">
      <formula>"Napkin Hs"</formula>
    </cfRule>
    <cfRule type="cellIs" dxfId="15318" priority="22600" stopIfTrue="1" operator="equal">
      <formula>"Towel"</formula>
    </cfRule>
    <cfRule type="cellIs" dxfId="15317" priority="22601" stopIfTrue="1" operator="equal">
      <formula>"Napkin Hs"</formula>
    </cfRule>
    <cfRule type="cellIs" dxfId="15316" priority="22602" stopIfTrue="1" operator="equal">
      <formula>"Towel"</formula>
    </cfRule>
    <cfRule type="cellIs" dxfId="15315" priority="22603" stopIfTrue="1" operator="equal">
      <formula>"Napkin Hs"</formula>
    </cfRule>
    <cfRule type="cellIs" dxfId="15314" priority="22606" stopIfTrue="1" operator="equal">
      <formula>"Towel"</formula>
    </cfRule>
    <cfRule type="cellIs" dxfId="15313" priority="22607" stopIfTrue="1" operator="equal">
      <formula>"Napkin Hs"</formula>
    </cfRule>
    <cfRule type="cellIs" dxfId="15312" priority="22609" stopIfTrue="1" operator="equal">
      <formula>"Napkin Hs"</formula>
    </cfRule>
  </conditionalFormatting>
  <conditionalFormatting sqref="C20">
    <cfRule type="cellIs" dxfId="15311" priority="22608" stopIfTrue="1" operator="equal">
      <formula>"Towel"</formula>
    </cfRule>
  </conditionalFormatting>
  <conditionalFormatting sqref="B20:C20">
    <cfRule type="cellIs" dxfId="15310" priority="22586" stopIfTrue="1" operator="equal">
      <formula>"Towel"</formula>
    </cfRule>
    <cfRule type="cellIs" dxfId="15309" priority="22587" stopIfTrue="1" operator="equal">
      <formula>"Napkin Hs"</formula>
    </cfRule>
  </conditionalFormatting>
  <conditionalFormatting sqref="C20">
    <cfRule type="cellIs" dxfId="15308" priority="22585" stopIfTrue="1" operator="equal">
      <formula>"Napkin Hs"</formula>
    </cfRule>
  </conditionalFormatting>
  <conditionalFormatting sqref="C20">
    <cfRule type="cellIs" dxfId="15307" priority="22584" stopIfTrue="1" operator="equal">
      <formula>"Towel"</formula>
    </cfRule>
  </conditionalFormatting>
  <conditionalFormatting sqref="C20">
    <cfRule type="cellIs" dxfId="15306" priority="22582" stopIfTrue="1" operator="equal">
      <formula>"Towel"</formula>
    </cfRule>
  </conditionalFormatting>
  <conditionalFormatting sqref="C20">
    <cfRule type="cellIs" dxfId="15305" priority="22583" stopIfTrue="1" operator="equal">
      <formula>"Napkin Hs"</formula>
    </cfRule>
  </conditionalFormatting>
  <conditionalFormatting sqref="B20">
    <cfRule type="cellIs" dxfId="15304" priority="22486" stopIfTrue="1" operator="equal">
      <formula>"Napkin Hs"</formula>
    </cfRule>
  </conditionalFormatting>
  <conditionalFormatting sqref="B20:C20">
    <cfRule type="cellIs" dxfId="15303" priority="22485" stopIfTrue="1" operator="equal">
      <formula>"Towel"</formula>
    </cfRule>
  </conditionalFormatting>
  <conditionalFormatting sqref="B20:C20">
    <cfRule type="cellIs" dxfId="15302" priority="22496" stopIfTrue="1" operator="equal">
      <formula>"Towel"</formula>
    </cfRule>
    <cfRule type="cellIs" dxfId="15301" priority="22497" stopIfTrue="1" operator="equal">
      <formula>"Napkin Hs"</formula>
    </cfRule>
    <cfRule type="cellIs" dxfId="15300" priority="22502" stopIfTrue="1" operator="equal">
      <formula>"Towel"</formula>
    </cfRule>
    <cfRule type="cellIs" dxfId="15299" priority="22503" stopIfTrue="1" operator="equal">
      <formula>"Napkin Hs"</formula>
    </cfRule>
    <cfRule type="cellIs" dxfId="15298" priority="22508" stopIfTrue="1" operator="equal">
      <formula>"Towel"</formula>
    </cfRule>
    <cfRule type="cellIs" dxfId="15297" priority="22509" stopIfTrue="1" operator="equal">
      <formula>"Napkin Hs"</formula>
    </cfRule>
    <cfRule type="cellIs" dxfId="15296" priority="22510" stopIfTrue="1" operator="equal">
      <formula>"Towel"</formula>
    </cfRule>
    <cfRule type="cellIs" dxfId="15295" priority="22511" stopIfTrue="1" operator="equal">
      <formula>"Napkin Hs"</formula>
    </cfRule>
    <cfRule type="cellIs" dxfId="15294" priority="22516" stopIfTrue="1" operator="equal">
      <formula>"Towel"</formula>
    </cfRule>
    <cfRule type="cellIs" dxfId="15293" priority="22517" stopIfTrue="1" operator="equal">
      <formula>"Napkin Hs"</formula>
    </cfRule>
    <cfRule type="cellIs" dxfId="15292" priority="22526" stopIfTrue="1" operator="equal">
      <formula>"Towel"</formula>
    </cfRule>
    <cfRule type="cellIs" dxfId="15291" priority="22527" stopIfTrue="1" operator="equal">
      <formula>"Napkin Hs"</formula>
    </cfRule>
    <cfRule type="cellIs" dxfId="15290" priority="22532" stopIfTrue="1" operator="equal">
      <formula>"Towel"</formula>
    </cfRule>
    <cfRule type="cellIs" dxfId="15289" priority="22533" stopIfTrue="1" operator="equal">
      <formula>"Napkin Hs"</formula>
    </cfRule>
    <cfRule type="cellIs" dxfId="15288" priority="22534" stopIfTrue="1" operator="equal">
      <formula>"Towel"</formula>
    </cfRule>
    <cfRule type="cellIs" dxfId="15287" priority="22535" stopIfTrue="1" operator="equal">
      <formula>"Napkin Hs"</formula>
    </cfRule>
    <cfRule type="cellIs" dxfId="15286" priority="22540" stopIfTrue="1" operator="equal">
      <formula>"Towel"</formula>
    </cfRule>
    <cfRule type="cellIs" dxfId="15285" priority="22541" stopIfTrue="1" operator="equal">
      <formula>"Napkin Hs"</formula>
    </cfRule>
    <cfRule type="cellIs" dxfId="15284" priority="22550" stopIfTrue="1" operator="equal">
      <formula>"Towel"</formula>
    </cfRule>
    <cfRule type="cellIs" dxfId="15283" priority="22551" stopIfTrue="1" operator="equal">
      <formula>"Napkin Hs"</formula>
    </cfRule>
    <cfRule type="cellIs" dxfId="15282" priority="22552" stopIfTrue="1" operator="equal">
      <formula>"Towel"</formula>
    </cfRule>
    <cfRule type="cellIs" dxfId="15281" priority="22553" stopIfTrue="1" operator="equal">
      <formula>"Napkin Hs"</formula>
    </cfRule>
    <cfRule type="cellIs" dxfId="15280" priority="22558" stopIfTrue="1" operator="equal">
      <formula>"Towel"</formula>
    </cfRule>
    <cfRule type="cellIs" dxfId="15279" priority="22559" stopIfTrue="1" operator="equal">
      <formula>"Napkin Hs"</formula>
    </cfRule>
    <cfRule type="cellIs" dxfId="15278" priority="22568" stopIfTrue="1" operator="equal">
      <formula>"Towel"</formula>
    </cfRule>
    <cfRule type="cellIs" dxfId="15277" priority="22569" stopIfTrue="1" operator="equal">
      <formula>"Napkin Hs"</formula>
    </cfRule>
    <cfRule type="cellIs" dxfId="15276" priority="22570" stopIfTrue="1" operator="equal">
      <formula>"Towel"</formula>
    </cfRule>
    <cfRule type="cellIs" dxfId="15275" priority="22571" stopIfTrue="1" operator="equal">
      <formula>"Napkin Hs"</formula>
    </cfRule>
    <cfRule type="cellIs" dxfId="15274" priority="22577" stopIfTrue="1" operator="equal">
      <formula>"Napkin Hs"</formula>
    </cfRule>
  </conditionalFormatting>
  <conditionalFormatting sqref="B20:C20">
    <cfRule type="cellIs" dxfId="15273" priority="22576" stopIfTrue="1" operator="equal">
      <formula>"Towel"</formula>
    </cfRule>
  </conditionalFormatting>
  <conditionalFormatting sqref="C20">
    <cfRule type="cellIs" dxfId="15272" priority="22487" stopIfTrue="1" operator="equal">
      <formula>"Napkin Hs"</formula>
    </cfRule>
    <cfRule type="cellIs" dxfId="15271" priority="22488" stopIfTrue="1" operator="equal">
      <formula>"Towel"</formula>
    </cfRule>
    <cfRule type="cellIs" dxfId="15270" priority="22489" stopIfTrue="1" operator="equal">
      <formula>"Napkin Hs"</formula>
    </cfRule>
    <cfRule type="cellIs" dxfId="15269" priority="22490" stopIfTrue="1" operator="equal">
      <formula>"Towel"</formula>
    </cfRule>
    <cfRule type="cellIs" dxfId="15268" priority="22491" stopIfTrue="1" operator="equal">
      <formula>"Napkin Hs"</formula>
    </cfRule>
    <cfRule type="cellIs" dxfId="15267" priority="22492" stopIfTrue="1" operator="equal">
      <formula>"Towel"</formula>
    </cfRule>
    <cfRule type="cellIs" dxfId="15266" priority="22493" stopIfTrue="1" operator="equal">
      <formula>"Napkin Hs"</formula>
    </cfRule>
    <cfRule type="cellIs" dxfId="15265" priority="22494" stopIfTrue="1" operator="equal">
      <formula>"Towel"</formula>
    </cfRule>
    <cfRule type="cellIs" dxfId="15264" priority="22495" stopIfTrue="1" operator="equal">
      <formula>"Napkin Hs"</formula>
    </cfRule>
    <cfRule type="cellIs" dxfId="15263" priority="22498" stopIfTrue="1" operator="equal">
      <formula>"Towel"</formula>
    </cfRule>
    <cfRule type="cellIs" dxfId="15262" priority="22499" stopIfTrue="1" operator="equal">
      <formula>"Napkin Hs"</formula>
    </cfRule>
    <cfRule type="cellIs" dxfId="15261" priority="22500" stopIfTrue="1" operator="equal">
      <formula>"Towel"</formula>
    </cfRule>
    <cfRule type="cellIs" dxfId="15260" priority="22501" stopIfTrue="1" operator="equal">
      <formula>"Napkin Hs"</formula>
    </cfRule>
    <cfRule type="cellIs" dxfId="15259" priority="22504" stopIfTrue="1" operator="equal">
      <formula>"Towel"</formula>
    </cfRule>
    <cfRule type="cellIs" dxfId="15258" priority="22505" stopIfTrue="1" operator="equal">
      <formula>"Napkin Hs"</formula>
    </cfRule>
    <cfRule type="cellIs" dxfId="15257" priority="22506" stopIfTrue="1" operator="equal">
      <formula>"Towel"</formula>
    </cfRule>
    <cfRule type="cellIs" dxfId="15256" priority="22507" stopIfTrue="1" operator="equal">
      <formula>"Napkin Hs"</formula>
    </cfRule>
    <cfRule type="cellIs" dxfId="15255" priority="22512" stopIfTrue="1" operator="equal">
      <formula>"Towel"</formula>
    </cfRule>
    <cfRule type="cellIs" dxfId="15254" priority="22513" stopIfTrue="1" operator="equal">
      <formula>"Napkin Hs"</formula>
    </cfRule>
    <cfRule type="cellIs" dxfId="15253" priority="22514" stopIfTrue="1" operator="equal">
      <formula>"Towel"</formula>
    </cfRule>
    <cfRule type="cellIs" dxfId="15252" priority="22515" stopIfTrue="1" operator="equal">
      <formula>"Napkin Hs"</formula>
    </cfRule>
    <cfRule type="cellIs" dxfId="15251" priority="22518" stopIfTrue="1" operator="equal">
      <formula>"Towel"</formula>
    </cfRule>
    <cfRule type="cellIs" dxfId="15250" priority="22519" stopIfTrue="1" operator="equal">
      <formula>"Napkin Hs"</formula>
    </cfRule>
    <cfRule type="cellIs" dxfId="15249" priority="22520" stopIfTrue="1" operator="equal">
      <formula>"Towel"</formula>
    </cfRule>
    <cfRule type="cellIs" dxfId="15248" priority="22521" stopIfTrue="1" operator="equal">
      <formula>"Napkin Hs"</formula>
    </cfRule>
    <cfRule type="cellIs" dxfId="15247" priority="22522" stopIfTrue="1" operator="equal">
      <formula>"Towel"</formula>
    </cfRule>
    <cfRule type="cellIs" dxfId="15246" priority="22523" stopIfTrue="1" operator="equal">
      <formula>"Napkin Hs"</formula>
    </cfRule>
    <cfRule type="cellIs" dxfId="15245" priority="22524" stopIfTrue="1" operator="equal">
      <formula>"Towel"</formula>
    </cfRule>
    <cfRule type="cellIs" dxfId="15244" priority="22525" stopIfTrue="1" operator="equal">
      <formula>"Napkin Hs"</formula>
    </cfRule>
    <cfRule type="cellIs" dxfId="15243" priority="22528" stopIfTrue="1" operator="equal">
      <formula>"Towel"</formula>
    </cfRule>
    <cfRule type="cellIs" dxfId="15242" priority="22529" stopIfTrue="1" operator="equal">
      <formula>"Napkin Hs"</formula>
    </cfRule>
    <cfRule type="cellIs" dxfId="15241" priority="22530" stopIfTrue="1" operator="equal">
      <formula>"Towel"</formula>
    </cfRule>
    <cfRule type="cellIs" dxfId="15240" priority="22531" stopIfTrue="1" operator="equal">
      <formula>"Napkin Hs"</formula>
    </cfRule>
    <cfRule type="cellIs" dxfId="15239" priority="22536" stopIfTrue="1" operator="equal">
      <formula>"Towel"</formula>
    </cfRule>
    <cfRule type="cellIs" dxfId="15238" priority="22537" stopIfTrue="1" operator="equal">
      <formula>"Napkin Hs"</formula>
    </cfRule>
    <cfRule type="cellIs" dxfId="15237" priority="22538" stopIfTrue="1" operator="equal">
      <formula>"Towel"</formula>
    </cfRule>
    <cfRule type="cellIs" dxfId="15236" priority="22539" stopIfTrue="1" operator="equal">
      <formula>"Napkin Hs"</formula>
    </cfRule>
    <cfRule type="cellIs" dxfId="15235" priority="22542" stopIfTrue="1" operator="equal">
      <formula>"Towel"</formula>
    </cfRule>
    <cfRule type="cellIs" dxfId="15234" priority="22543" stopIfTrue="1" operator="equal">
      <formula>"Napkin Hs"</formula>
    </cfRule>
    <cfRule type="cellIs" dxfId="15233" priority="22544" stopIfTrue="1" operator="equal">
      <formula>"Towel"</formula>
    </cfRule>
    <cfRule type="cellIs" dxfId="15232" priority="22545" stopIfTrue="1" operator="equal">
      <formula>"Napkin Hs"</formula>
    </cfRule>
    <cfRule type="cellIs" dxfId="15231" priority="22546" stopIfTrue="1" operator="equal">
      <formula>"Towel"</formula>
    </cfRule>
    <cfRule type="cellIs" dxfId="15230" priority="22547" stopIfTrue="1" operator="equal">
      <formula>"Napkin Hs"</formula>
    </cfRule>
    <cfRule type="cellIs" dxfId="15229" priority="22548" stopIfTrue="1" operator="equal">
      <formula>"Towel"</formula>
    </cfRule>
    <cfRule type="cellIs" dxfId="15228" priority="22549" stopIfTrue="1" operator="equal">
      <formula>"Napkin Hs"</formula>
    </cfRule>
    <cfRule type="cellIs" dxfId="15227" priority="22554" stopIfTrue="1" operator="equal">
      <formula>"Towel"</formula>
    </cfRule>
    <cfRule type="cellIs" dxfId="15226" priority="22555" stopIfTrue="1" operator="equal">
      <formula>"Napkin Hs"</formula>
    </cfRule>
    <cfRule type="cellIs" dxfId="15225" priority="22556" stopIfTrue="1" operator="equal">
      <formula>"Towel"</formula>
    </cfRule>
    <cfRule type="cellIs" dxfId="15224" priority="22557" stopIfTrue="1" operator="equal">
      <formula>"Napkin Hs"</formula>
    </cfRule>
    <cfRule type="cellIs" dxfId="15223" priority="22560" stopIfTrue="1" operator="equal">
      <formula>"Towel"</formula>
    </cfRule>
    <cfRule type="cellIs" dxfId="15222" priority="22561" stopIfTrue="1" operator="equal">
      <formula>"Napkin Hs"</formula>
    </cfRule>
    <cfRule type="cellIs" dxfId="15221" priority="22562" stopIfTrue="1" operator="equal">
      <formula>"Towel"</formula>
    </cfRule>
    <cfRule type="cellIs" dxfId="15220" priority="22563" stopIfTrue="1" operator="equal">
      <formula>"Napkin Hs"</formula>
    </cfRule>
    <cfRule type="cellIs" dxfId="15219" priority="22564" stopIfTrue="1" operator="equal">
      <formula>"Towel"</formula>
    </cfRule>
    <cfRule type="cellIs" dxfId="15218" priority="22565" stopIfTrue="1" operator="equal">
      <formula>"Napkin Hs"</formula>
    </cfRule>
    <cfRule type="cellIs" dxfId="15217" priority="22566" stopIfTrue="1" operator="equal">
      <formula>"Towel"</formula>
    </cfRule>
    <cfRule type="cellIs" dxfId="15216" priority="22567" stopIfTrue="1" operator="equal">
      <formula>"Napkin Hs"</formula>
    </cfRule>
    <cfRule type="cellIs" dxfId="15215" priority="22572" stopIfTrue="1" operator="equal">
      <formula>"Towel"</formula>
    </cfRule>
    <cfRule type="cellIs" dxfId="15214" priority="22573" stopIfTrue="1" operator="equal">
      <formula>"Napkin Hs"</formula>
    </cfRule>
    <cfRule type="cellIs" dxfId="15213" priority="22574" stopIfTrue="1" operator="equal">
      <formula>"Towel"</formula>
    </cfRule>
    <cfRule type="cellIs" dxfId="15212" priority="22575" stopIfTrue="1" operator="equal">
      <formula>"Napkin Hs"</formula>
    </cfRule>
    <cfRule type="cellIs" dxfId="15211" priority="22578" stopIfTrue="1" operator="equal">
      <formula>"Towel"</formula>
    </cfRule>
    <cfRule type="cellIs" dxfId="15210" priority="22579" stopIfTrue="1" operator="equal">
      <formula>"Napkin Hs"</formula>
    </cfRule>
    <cfRule type="cellIs" dxfId="15209" priority="22580" stopIfTrue="1" operator="equal">
      <formula>"Towel"</formula>
    </cfRule>
    <cfRule type="cellIs" dxfId="15208" priority="22581" stopIfTrue="1" operator="equal">
      <formula>"Napkin Hs"</formula>
    </cfRule>
  </conditionalFormatting>
  <conditionalFormatting sqref="C20">
    <cfRule type="cellIs" dxfId="15207" priority="22484" stopIfTrue="1" operator="equal">
      <formula>"Napkin Hs"</formula>
    </cfRule>
  </conditionalFormatting>
  <conditionalFormatting sqref="C20">
    <cfRule type="cellIs" dxfId="15206" priority="22483" stopIfTrue="1" operator="equal">
      <formula>"Napkin Hs"</formula>
    </cfRule>
  </conditionalFormatting>
  <conditionalFormatting sqref="B20">
    <cfRule type="cellIs" dxfId="15205" priority="22482" stopIfTrue="1" operator="equal">
      <formula>"Napkin Hs"</formula>
    </cfRule>
  </conditionalFormatting>
  <conditionalFormatting sqref="C20">
    <cfRule type="cellIs" dxfId="15204" priority="22481" stopIfTrue="1" operator="equal">
      <formula>"Napkin Hs"</formula>
    </cfRule>
  </conditionalFormatting>
  <conditionalFormatting sqref="C20">
    <cfRule type="cellIs" dxfId="15203" priority="22480" stopIfTrue="1" operator="equal">
      <formula>"Napkin Hs"</formula>
    </cfRule>
  </conditionalFormatting>
  <conditionalFormatting sqref="C20">
    <cfRule type="cellIs" dxfId="15202" priority="22479" stopIfTrue="1" operator="equal">
      <formula>"Napkin Hs"</formula>
    </cfRule>
  </conditionalFormatting>
  <conditionalFormatting sqref="C20">
    <cfRule type="cellIs" dxfId="15201" priority="22478" stopIfTrue="1" operator="equal">
      <formula>"Napkin Hs"</formula>
    </cfRule>
  </conditionalFormatting>
  <conditionalFormatting sqref="B20">
    <cfRule type="cellIs" dxfId="15200" priority="22477" stopIfTrue="1" operator="equal">
      <formula>"Napkin Hs"</formula>
    </cfRule>
  </conditionalFormatting>
  <conditionalFormatting sqref="B20">
    <cfRule type="cellIs" dxfId="15199" priority="22476" stopIfTrue="1" operator="equal">
      <formula>"Napkin Hs"</formula>
    </cfRule>
  </conditionalFormatting>
  <conditionalFormatting sqref="C20">
    <cfRule type="cellIs" dxfId="15198" priority="22472" stopIfTrue="1" operator="equal">
      <formula>"Towel"</formula>
    </cfRule>
    <cfRule type="cellIs" dxfId="15197" priority="22473" stopIfTrue="1" operator="equal">
      <formula>"Napkin Hs"</formula>
    </cfRule>
  </conditionalFormatting>
  <conditionalFormatting sqref="C20">
    <cfRule type="cellIs" dxfId="15196" priority="22474" stopIfTrue="1" operator="equal">
      <formula>"Towel"</formula>
    </cfRule>
    <cfRule type="cellIs" dxfId="15195" priority="22475" stopIfTrue="1" operator="equal">
      <formula>"Napkin Hs"</formula>
    </cfRule>
  </conditionalFormatting>
  <conditionalFormatting sqref="C20">
    <cfRule type="cellIs" dxfId="15194" priority="22468" stopIfTrue="1" operator="equal">
      <formula>"Towel"</formula>
    </cfRule>
    <cfRule type="cellIs" dxfId="15193" priority="22469" stopIfTrue="1" operator="equal">
      <formula>"Napkin Hs"</formula>
    </cfRule>
  </conditionalFormatting>
  <conditionalFormatting sqref="C20">
    <cfRule type="cellIs" dxfId="15192" priority="22470" stopIfTrue="1" operator="equal">
      <formula>"Towel"</formula>
    </cfRule>
    <cfRule type="cellIs" dxfId="15191" priority="22471" stopIfTrue="1" operator="equal">
      <formula>"Napkin Hs"</formula>
    </cfRule>
  </conditionalFormatting>
  <conditionalFormatting sqref="C22">
    <cfRule type="cellIs" dxfId="15190" priority="22462" stopIfTrue="1" operator="equal">
      <formula>"Towel"</formula>
    </cfRule>
    <cfRule type="cellIs" dxfId="15189" priority="22463" stopIfTrue="1" operator="equal">
      <formula>"Napkin Hs"</formula>
    </cfRule>
  </conditionalFormatting>
  <conditionalFormatting sqref="C22">
    <cfRule type="cellIs" dxfId="15188" priority="22466" stopIfTrue="1" operator="equal">
      <formula>"Towel"</formula>
    </cfRule>
    <cfRule type="cellIs" dxfId="15187" priority="22467" stopIfTrue="1" operator="equal">
      <formula>"Napkin Hs"</formula>
    </cfRule>
  </conditionalFormatting>
  <conditionalFormatting sqref="C22">
    <cfRule type="cellIs" dxfId="15186" priority="22464" stopIfTrue="1" operator="equal">
      <formula>"Towel"</formula>
    </cfRule>
    <cfRule type="cellIs" dxfId="15185" priority="22465" stopIfTrue="1" operator="equal">
      <formula>"Napkin Hs"</formula>
    </cfRule>
  </conditionalFormatting>
  <conditionalFormatting sqref="C22">
    <cfRule type="cellIs" dxfId="15184" priority="22456" stopIfTrue="1" operator="equal">
      <formula>"Towel"</formula>
    </cfRule>
    <cfRule type="cellIs" dxfId="15183" priority="22457" stopIfTrue="1" operator="equal">
      <formula>"Napkin Hs"</formula>
    </cfRule>
  </conditionalFormatting>
  <conditionalFormatting sqref="C22">
    <cfRule type="cellIs" dxfId="15182" priority="22458" stopIfTrue="1" operator="equal">
      <formula>"Towel"</formula>
    </cfRule>
    <cfRule type="cellIs" dxfId="15181" priority="22459" stopIfTrue="1" operator="equal">
      <formula>"Napkin Hs"</formula>
    </cfRule>
  </conditionalFormatting>
  <conditionalFormatting sqref="C22">
    <cfRule type="cellIs" dxfId="15180" priority="22460" stopIfTrue="1" operator="equal">
      <formula>"Towel"</formula>
    </cfRule>
    <cfRule type="cellIs" dxfId="15179" priority="22461" stopIfTrue="1" operator="equal">
      <formula>"Napkin Hs"</formula>
    </cfRule>
  </conditionalFormatting>
  <conditionalFormatting sqref="B22:C22">
    <cfRule type="cellIs" dxfId="15178" priority="22454" stopIfTrue="1" operator="equal">
      <formula>"Towel"</formula>
    </cfRule>
    <cfRule type="cellIs" dxfId="15177" priority="22455" stopIfTrue="1" operator="equal">
      <formula>"Napkin Hs"</formula>
    </cfRule>
  </conditionalFormatting>
  <conditionalFormatting sqref="B22:C22">
    <cfRule type="cellIs" dxfId="15176" priority="22452" stopIfTrue="1" operator="equal">
      <formula>"Towel"</formula>
    </cfRule>
    <cfRule type="cellIs" dxfId="15175" priority="22453" stopIfTrue="1" operator="equal">
      <formula>"Napkin Hs"</formula>
    </cfRule>
  </conditionalFormatting>
  <conditionalFormatting sqref="B22:C22">
    <cfRule type="cellIs" dxfId="15174" priority="22428" stopIfTrue="1" operator="equal">
      <formula>"Towel"</formula>
    </cfRule>
  </conditionalFormatting>
  <conditionalFormatting sqref="B22:C22">
    <cfRule type="cellIs" dxfId="15173" priority="22429" stopIfTrue="1" operator="equal">
      <formula>"Napkin Hs"</formula>
    </cfRule>
    <cfRule type="cellIs" dxfId="15172" priority="22434" stopIfTrue="1" operator="equal">
      <formula>"Towel"</formula>
    </cfRule>
    <cfRule type="cellIs" dxfId="15171" priority="22435" stopIfTrue="1" operator="equal">
      <formula>"Napkin Hs"</formula>
    </cfRule>
    <cfRule type="cellIs" dxfId="15170" priority="22444" stopIfTrue="1" operator="equal">
      <formula>"Towel"</formula>
    </cfRule>
    <cfRule type="cellIs" dxfId="15169" priority="22445" stopIfTrue="1" operator="equal">
      <formula>"Napkin Hs"</formula>
    </cfRule>
    <cfRule type="cellIs" dxfId="15168" priority="22450" stopIfTrue="1" operator="equal">
      <formula>"Towel"</formula>
    </cfRule>
    <cfRule type="cellIs" dxfId="15167" priority="22451" stopIfTrue="1" operator="equal">
      <formula>"Napkin Hs"</formula>
    </cfRule>
  </conditionalFormatting>
  <conditionalFormatting sqref="C22">
    <cfRule type="cellIs" dxfId="15166" priority="22430" stopIfTrue="1" operator="equal">
      <formula>"Towel"</formula>
    </cfRule>
    <cfRule type="cellIs" dxfId="15165" priority="22431" stopIfTrue="1" operator="equal">
      <formula>"Napkin Hs"</formula>
    </cfRule>
    <cfRule type="cellIs" dxfId="15164" priority="22432" stopIfTrue="1" operator="equal">
      <formula>"Towel"</formula>
    </cfRule>
    <cfRule type="cellIs" dxfId="15163" priority="22433" stopIfTrue="1" operator="equal">
      <formula>"Napkin Hs"</formula>
    </cfRule>
    <cfRule type="cellIs" dxfId="15162" priority="22436" stopIfTrue="1" operator="equal">
      <formula>"Towel"</formula>
    </cfRule>
    <cfRule type="cellIs" dxfId="15161" priority="22437" stopIfTrue="1" operator="equal">
      <formula>"Napkin Hs"</formula>
    </cfRule>
    <cfRule type="cellIs" dxfId="15160" priority="22438" stopIfTrue="1" operator="equal">
      <formula>"Towel"</formula>
    </cfRule>
    <cfRule type="cellIs" dxfId="15159" priority="22439" stopIfTrue="1" operator="equal">
      <formula>"Napkin Hs"</formula>
    </cfRule>
    <cfRule type="cellIs" dxfId="15158" priority="22440" stopIfTrue="1" operator="equal">
      <formula>"Towel"</formula>
    </cfRule>
    <cfRule type="cellIs" dxfId="15157" priority="22441" stopIfTrue="1" operator="equal">
      <formula>"Napkin Hs"</formula>
    </cfRule>
    <cfRule type="cellIs" dxfId="15156" priority="22442" stopIfTrue="1" operator="equal">
      <formula>"Towel"</formula>
    </cfRule>
    <cfRule type="cellIs" dxfId="15155" priority="22443" stopIfTrue="1" operator="equal">
      <formula>"Napkin Hs"</formula>
    </cfRule>
    <cfRule type="cellIs" dxfId="15154" priority="22446" stopIfTrue="1" operator="equal">
      <formula>"Towel"</formula>
    </cfRule>
    <cfRule type="cellIs" dxfId="15153" priority="22447" stopIfTrue="1" operator="equal">
      <formula>"Napkin Hs"</formula>
    </cfRule>
    <cfRule type="cellIs" dxfId="15152" priority="22449" stopIfTrue="1" operator="equal">
      <formula>"Napkin Hs"</formula>
    </cfRule>
  </conditionalFormatting>
  <conditionalFormatting sqref="C22">
    <cfRule type="cellIs" dxfId="15151" priority="22448" stopIfTrue="1" operator="equal">
      <formula>"Towel"</formula>
    </cfRule>
  </conditionalFormatting>
  <conditionalFormatting sqref="B22:C22">
    <cfRule type="cellIs" dxfId="15150" priority="22426" stopIfTrue="1" operator="equal">
      <formula>"Towel"</formula>
    </cfRule>
    <cfRule type="cellIs" dxfId="15149" priority="22427" stopIfTrue="1" operator="equal">
      <formula>"Napkin Hs"</formula>
    </cfRule>
  </conditionalFormatting>
  <conditionalFormatting sqref="C22">
    <cfRule type="cellIs" dxfId="15148" priority="22425" stopIfTrue="1" operator="equal">
      <formula>"Napkin Hs"</formula>
    </cfRule>
  </conditionalFormatting>
  <conditionalFormatting sqref="C22">
    <cfRule type="cellIs" dxfId="15147" priority="22424" stopIfTrue="1" operator="equal">
      <formula>"Towel"</formula>
    </cfRule>
  </conditionalFormatting>
  <conditionalFormatting sqref="C22">
    <cfRule type="cellIs" dxfId="15146" priority="22422" stopIfTrue="1" operator="equal">
      <formula>"Towel"</formula>
    </cfRule>
  </conditionalFormatting>
  <conditionalFormatting sqref="C22">
    <cfRule type="cellIs" dxfId="15145" priority="22423" stopIfTrue="1" operator="equal">
      <formula>"Napkin Hs"</formula>
    </cfRule>
  </conditionalFormatting>
  <conditionalFormatting sqref="B22">
    <cfRule type="cellIs" dxfId="15144" priority="22326" stopIfTrue="1" operator="equal">
      <formula>"Napkin Hs"</formula>
    </cfRule>
  </conditionalFormatting>
  <conditionalFormatting sqref="B22:C22">
    <cfRule type="cellIs" dxfId="15143" priority="22325" stopIfTrue="1" operator="equal">
      <formula>"Towel"</formula>
    </cfRule>
  </conditionalFormatting>
  <conditionalFormatting sqref="B22:C22">
    <cfRule type="cellIs" dxfId="15142" priority="22336" stopIfTrue="1" operator="equal">
      <formula>"Towel"</formula>
    </cfRule>
    <cfRule type="cellIs" dxfId="15141" priority="22337" stopIfTrue="1" operator="equal">
      <formula>"Napkin Hs"</formula>
    </cfRule>
    <cfRule type="cellIs" dxfId="15140" priority="22342" stopIfTrue="1" operator="equal">
      <formula>"Towel"</formula>
    </cfRule>
    <cfRule type="cellIs" dxfId="15139" priority="22343" stopIfTrue="1" operator="equal">
      <formula>"Napkin Hs"</formula>
    </cfRule>
    <cfRule type="cellIs" dxfId="15138" priority="22348" stopIfTrue="1" operator="equal">
      <formula>"Towel"</formula>
    </cfRule>
    <cfRule type="cellIs" dxfId="15137" priority="22349" stopIfTrue="1" operator="equal">
      <formula>"Napkin Hs"</formula>
    </cfRule>
    <cfRule type="cellIs" dxfId="15136" priority="22350" stopIfTrue="1" operator="equal">
      <formula>"Towel"</formula>
    </cfRule>
    <cfRule type="cellIs" dxfId="15135" priority="22351" stopIfTrue="1" operator="equal">
      <formula>"Napkin Hs"</formula>
    </cfRule>
    <cfRule type="cellIs" dxfId="15134" priority="22356" stopIfTrue="1" operator="equal">
      <formula>"Towel"</formula>
    </cfRule>
    <cfRule type="cellIs" dxfId="15133" priority="22357" stopIfTrue="1" operator="equal">
      <formula>"Napkin Hs"</formula>
    </cfRule>
    <cfRule type="cellIs" dxfId="15132" priority="22366" stopIfTrue="1" operator="equal">
      <formula>"Towel"</formula>
    </cfRule>
    <cfRule type="cellIs" dxfId="15131" priority="22367" stopIfTrue="1" operator="equal">
      <formula>"Napkin Hs"</formula>
    </cfRule>
    <cfRule type="cellIs" dxfId="15130" priority="22372" stopIfTrue="1" operator="equal">
      <formula>"Towel"</formula>
    </cfRule>
    <cfRule type="cellIs" dxfId="15129" priority="22373" stopIfTrue="1" operator="equal">
      <formula>"Napkin Hs"</formula>
    </cfRule>
    <cfRule type="cellIs" dxfId="15128" priority="22374" stopIfTrue="1" operator="equal">
      <formula>"Towel"</formula>
    </cfRule>
    <cfRule type="cellIs" dxfId="15127" priority="22375" stopIfTrue="1" operator="equal">
      <formula>"Napkin Hs"</formula>
    </cfRule>
    <cfRule type="cellIs" dxfId="15126" priority="22380" stopIfTrue="1" operator="equal">
      <formula>"Towel"</formula>
    </cfRule>
    <cfRule type="cellIs" dxfId="15125" priority="22381" stopIfTrue="1" operator="equal">
      <formula>"Napkin Hs"</formula>
    </cfRule>
    <cfRule type="cellIs" dxfId="15124" priority="22390" stopIfTrue="1" operator="equal">
      <formula>"Towel"</formula>
    </cfRule>
    <cfRule type="cellIs" dxfId="15123" priority="22391" stopIfTrue="1" operator="equal">
      <formula>"Napkin Hs"</formula>
    </cfRule>
    <cfRule type="cellIs" dxfId="15122" priority="22392" stopIfTrue="1" operator="equal">
      <formula>"Towel"</formula>
    </cfRule>
    <cfRule type="cellIs" dxfId="15121" priority="22393" stopIfTrue="1" operator="equal">
      <formula>"Napkin Hs"</formula>
    </cfRule>
    <cfRule type="cellIs" dxfId="15120" priority="22398" stopIfTrue="1" operator="equal">
      <formula>"Towel"</formula>
    </cfRule>
    <cfRule type="cellIs" dxfId="15119" priority="22399" stopIfTrue="1" operator="equal">
      <formula>"Napkin Hs"</formula>
    </cfRule>
    <cfRule type="cellIs" dxfId="15118" priority="22408" stopIfTrue="1" operator="equal">
      <formula>"Towel"</formula>
    </cfRule>
    <cfRule type="cellIs" dxfId="15117" priority="22409" stopIfTrue="1" operator="equal">
      <formula>"Napkin Hs"</formula>
    </cfRule>
    <cfRule type="cellIs" dxfId="15116" priority="22410" stopIfTrue="1" operator="equal">
      <formula>"Towel"</formula>
    </cfRule>
    <cfRule type="cellIs" dxfId="15115" priority="22411" stopIfTrue="1" operator="equal">
      <formula>"Napkin Hs"</formula>
    </cfRule>
    <cfRule type="cellIs" dxfId="15114" priority="22417" stopIfTrue="1" operator="equal">
      <formula>"Napkin Hs"</formula>
    </cfRule>
  </conditionalFormatting>
  <conditionalFormatting sqref="B22:C22">
    <cfRule type="cellIs" dxfId="15113" priority="22416" stopIfTrue="1" operator="equal">
      <formula>"Towel"</formula>
    </cfRule>
  </conditionalFormatting>
  <conditionalFormatting sqref="C22">
    <cfRule type="cellIs" dxfId="15112" priority="22327" stopIfTrue="1" operator="equal">
      <formula>"Napkin Hs"</formula>
    </cfRule>
    <cfRule type="cellIs" dxfId="15111" priority="22328" stopIfTrue="1" operator="equal">
      <formula>"Towel"</formula>
    </cfRule>
    <cfRule type="cellIs" dxfId="15110" priority="22329" stopIfTrue="1" operator="equal">
      <formula>"Napkin Hs"</formula>
    </cfRule>
    <cfRule type="cellIs" dxfId="15109" priority="22330" stopIfTrue="1" operator="equal">
      <formula>"Towel"</formula>
    </cfRule>
    <cfRule type="cellIs" dxfId="15108" priority="22331" stopIfTrue="1" operator="equal">
      <formula>"Napkin Hs"</formula>
    </cfRule>
    <cfRule type="cellIs" dxfId="15107" priority="22332" stopIfTrue="1" operator="equal">
      <formula>"Towel"</formula>
    </cfRule>
    <cfRule type="cellIs" dxfId="15106" priority="22333" stopIfTrue="1" operator="equal">
      <formula>"Napkin Hs"</formula>
    </cfRule>
    <cfRule type="cellIs" dxfId="15105" priority="22334" stopIfTrue="1" operator="equal">
      <formula>"Towel"</formula>
    </cfRule>
    <cfRule type="cellIs" dxfId="15104" priority="22335" stopIfTrue="1" operator="equal">
      <formula>"Napkin Hs"</formula>
    </cfRule>
    <cfRule type="cellIs" dxfId="15103" priority="22338" stopIfTrue="1" operator="equal">
      <formula>"Towel"</formula>
    </cfRule>
    <cfRule type="cellIs" dxfId="15102" priority="22339" stopIfTrue="1" operator="equal">
      <formula>"Napkin Hs"</formula>
    </cfRule>
    <cfRule type="cellIs" dxfId="15101" priority="22340" stopIfTrue="1" operator="equal">
      <formula>"Towel"</formula>
    </cfRule>
    <cfRule type="cellIs" dxfId="15100" priority="22341" stopIfTrue="1" operator="equal">
      <formula>"Napkin Hs"</formula>
    </cfRule>
    <cfRule type="cellIs" dxfId="15099" priority="22344" stopIfTrue="1" operator="equal">
      <formula>"Towel"</formula>
    </cfRule>
    <cfRule type="cellIs" dxfId="15098" priority="22345" stopIfTrue="1" operator="equal">
      <formula>"Napkin Hs"</formula>
    </cfRule>
    <cfRule type="cellIs" dxfId="15097" priority="22346" stopIfTrue="1" operator="equal">
      <formula>"Towel"</formula>
    </cfRule>
    <cfRule type="cellIs" dxfId="15096" priority="22347" stopIfTrue="1" operator="equal">
      <formula>"Napkin Hs"</formula>
    </cfRule>
    <cfRule type="cellIs" dxfId="15095" priority="22352" stopIfTrue="1" operator="equal">
      <formula>"Towel"</formula>
    </cfRule>
    <cfRule type="cellIs" dxfId="15094" priority="22353" stopIfTrue="1" operator="equal">
      <formula>"Napkin Hs"</formula>
    </cfRule>
    <cfRule type="cellIs" dxfId="15093" priority="22354" stopIfTrue="1" operator="equal">
      <formula>"Towel"</formula>
    </cfRule>
    <cfRule type="cellIs" dxfId="15092" priority="22355" stopIfTrue="1" operator="equal">
      <formula>"Napkin Hs"</formula>
    </cfRule>
    <cfRule type="cellIs" dxfId="15091" priority="22358" stopIfTrue="1" operator="equal">
      <formula>"Towel"</formula>
    </cfRule>
    <cfRule type="cellIs" dxfId="15090" priority="22359" stopIfTrue="1" operator="equal">
      <formula>"Napkin Hs"</formula>
    </cfRule>
    <cfRule type="cellIs" dxfId="15089" priority="22360" stopIfTrue="1" operator="equal">
      <formula>"Towel"</formula>
    </cfRule>
    <cfRule type="cellIs" dxfId="15088" priority="22361" stopIfTrue="1" operator="equal">
      <formula>"Napkin Hs"</formula>
    </cfRule>
    <cfRule type="cellIs" dxfId="15087" priority="22362" stopIfTrue="1" operator="equal">
      <formula>"Towel"</formula>
    </cfRule>
    <cfRule type="cellIs" dxfId="15086" priority="22363" stopIfTrue="1" operator="equal">
      <formula>"Napkin Hs"</formula>
    </cfRule>
    <cfRule type="cellIs" dxfId="15085" priority="22364" stopIfTrue="1" operator="equal">
      <formula>"Towel"</formula>
    </cfRule>
    <cfRule type="cellIs" dxfId="15084" priority="22365" stopIfTrue="1" operator="equal">
      <formula>"Napkin Hs"</formula>
    </cfRule>
    <cfRule type="cellIs" dxfId="15083" priority="22368" stopIfTrue="1" operator="equal">
      <formula>"Towel"</formula>
    </cfRule>
    <cfRule type="cellIs" dxfId="15082" priority="22369" stopIfTrue="1" operator="equal">
      <formula>"Napkin Hs"</formula>
    </cfRule>
    <cfRule type="cellIs" dxfId="15081" priority="22370" stopIfTrue="1" operator="equal">
      <formula>"Towel"</formula>
    </cfRule>
    <cfRule type="cellIs" dxfId="15080" priority="22371" stopIfTrue="1" operator="equal">
      <formula>"Napkin Hs"</formula>
    </cfRule>
    <cfRule type="cellIs" dxfId="15079" priority="22376" stopIfTrue="1" operator="equal">
      <formula>"Towel"</formula>
    </cfRule>
    <cfRule type="cellIs" dxfId="15078" priority="22377" stopIfTrue="1" operator="equal">
      <formula>"Napkin Hs"</formula>
    </cfRule>
    <cfRule type="cellIs" dxfId="15077" priority="22378" stopIfTrue="1" operator="equal">
      <formula>"Towel"</formula>
    </cfRule>
    <cfRule type="cellIs" dxfId="15076" priority="22379" stopIfTrue="1" operator="equal">
      <formula>"Napkin Hs"</formula>
    </cfRule>
    <cfRule type="cellIs" dxfId="15075" priority="22382" stopIfTrue="1" operator="equal">
      <formula>"Towel"</formula>
    </cfRule>
    <cfRule type="cellIs" dxfId="15074" priority="22383" stopIfTrue="1" operator="equal">
      <formula>"Napkin Hs"</formula>
    </cfRule>
    <cfRule type="cellIs" dxfId="15073" priority="22384" stopIfTrue="1" operator="equal">
      <formula>"Towel"</formula>
    </cfRule>
    <cfRule type="cellIs" dxfId="15072" priority="22385" stopIfTrue="1" operator="equal">
      <formula>"Napkin Hs"</formula>
    </cfRule>
    <cfRule type="cellIs" dxfId="15071" priority="22386" stopIfTrue="1" operator="equal">
      <formula>"Towel"</formula>
    </cfRule>
    <cfRule type="cellIs" dxfId="15070" priority="22387" stopIfTrue="1" operator="equal">
      <formula>"Napkin Hs"</formula>
    </cfRule>
    <cfRule type="cellIs" dxfId="15069" priority="22388" stopIfTrue="1" operator="equal">
      <formula>"Towel"</formula>
    </cfRule>
    <cfRule type="cellIs" dxfId="15068" priority="22389" stopIfTrue="1" operator="equal">
      <formula>"Napkin Hs"</formula>
    </cfRule>
    <cfRule type="cellIs" dxfId="15067" priority="22394" stopIfTrue="1" operator="equal">
      <formula>"Towel"</formula>
    </cfRule>
    <cfRule type="cellIs" dxfId="15066" priority="22395" stopIfTrue="1" operator="equal">
      <formula>"Napkin Hs"</formula>
    </cfRule>
    <cfRule type="cellIs" dxfId="15065" priority="22396" stopIfTrue="1" operator="equal">
      <formula>"Towel"</formula>
    </cfRule>
    <cfRule type="cellIs" dxfId="15064" priority="22397" stopIfTrue="1" operator="equal">
      <formula>"Napkin Hs"</formula>
    </cfRule>
    <cfRule type="cellIs" dxfId="15063" priority="22400" stopIfTrue="1" operator="equal">
      <formula>"Towel"</formula>
    </cfRule>
    <cfRule type="cellIs" dxfId="15062" priority="22401" stopIfTrue="1" operator="equal">
      <formula>"Napkin Hs"</formula>
    </cfRule>
    <cfRule type="cellIs" dxfId="15061" priority="22402" stopIfTrue="1" operator="equal">
      <formula>"Towel"</formula>
    </cfRule>
    <cfRule type="cellIs" dxfId="15060" priority="22403" stopIfTrue="1" operator="equal">
      <formula>"Napkin Hs"</formula>
    </cfRule>
    <cfRule type="cellIs" dxfId="15059" priority="22404" stopIfTrue="1" operator="equal">
      <formula>"Towel"</formula>
    </cfRule>
    <cfRule type="cellIs" dxfId="15058" priority="22405" stopIfTrue="1" operator="equal">
      <formula>"Napkin Hs"</formula>
    </cfRule>
    <cfRule type="cellIs" dxfId="15057" priority="22406" stopIfTrue="1" operator="equal">
      <formula>"Towel"</formula>
    </cfRule>
    <cfRule type="cellIs" dxfId="15056" priority="22407" stopIfTrue="1" operator="equal">
      <formula>"Napkin Hs"</formula>
    </cfRule>
    <cfRule type="cellIs" dxfId="15055" priority="22412" stopIfTrue="1" operator="equal">
      <formula>"Towel"</formula>
    </cfRule>
    <cfRule type="cellIs" dxfId="15054" priority="22413" stopIfTrue="1" operator="equal">
      <formula>"Napkin Hs"</formula>
    </cfRule>
    <cfRule type="cellIs" dxfId="15053" priority="22414" stopIfTrue="1" operator="equal">
      <formula>"Towel"</formula>
    </cfRule>
    <cfRule type="cellIs" dxfId="15052" priority="22415" stopIfTrue="1" operator="equal">
      <formula>"Napkin Hs"</formula>
    </cfRule>
    <cfRule type="cellIs" dxfId="15051" priority="22418" stopIfTrue="1" operator="equal">
      <formula>"Towel"</formula>
    </cfRule>
    <cfRule type="cellIs" dxfId="15050" priority="22419" stopIfTrue="1" operator="equal">
      <formula>"Napkin Hs"</formula>
    </cfRule>
    <cfRule type="cellIs" dxfId="15049" priority="22420" stopIfTrue="1" operator="equal">
      <formula>"Towel"</formula>
    </cfRule>
    <cfRule type="cellIs" dxfId="15048" priority="22421" stopIfTrue="1" operator="equal">
      <formula>"Napkin Hs"</formula>
    </cfRule>
  </conditionalFormatting>
  <conditionalFormatting sqref="C22">
    <cfRule type="cellIs" dxfId="15047" priority="22324" stopIfTrue="1" operator="equal">
      <formula>"Napkin Hs"</formula>
    </cfRule>
  </conditionalFormatting>
  <conditionalFormatting sqref="C22">
    <cfRule type="cellIs" dxfId="15046" priority="22323" stopIfTrue="1" operator="equal">
      <formula>"Napkin Hs"</formula>
    </cfRule>
  </conditionalFormatting>
  <conditionalFormatting sqref="B22">
    <cfRule type="cellIs" dxfId="15045" priority="22322" stopIfTrue="1" operator="equal">
      <formula>"Napkin Hs"</formula>
    </cfRule>
  </conditionalFormatting>
  <conditionalFormatting sqref="C22">
    <cfRule type="cellIs" dxfId="15044" priority="22321" stopIfTrue="1" operator="equal">
      <formula>"Napkin Hs"</formula>
    </cfRule>
  </conditionalFormatting>
  <conditionalFormatting sqref="C22">
    <cfRule type="cellIs" dxfId="15043" priority="22320" stopIfTrue="1" operator="equal">
      <formula>"Napkin Hs"</formula>
    </cfRule>
  </conditionalFormatting>
  <conditionalFormatting sqref="C22">
    <cfRule type="cellIs" dxfId="15042" priority="22319" stopIfTrue="1" operator="equal">
      <formula>"Napkin Hs"</formula>
    </cfRule>
  </conditionalFormatting>
  <conditionalFormatting sqref="C22">
    <cfRule type="cellIs" dxfId="15041" priority="22318" stopIfTrue="1" operator="equal">
      <formula>"Napkin Hs"</formula>
    </cfRule>
  </conditionalFormatting>
  <conditionalFormatting sqref="B22">
    <cfRule type="cellIs" dxfId="15040" priority="22317" stopIfTrue="1" operator="equal">
      <formula>"Napkin Hs"</formula>
    </cfRule>
  </conditionalFormatting>
  <conditionalFormatting sqref="B22">
    <cfRule type="cellIs" dxfId="15039" priority="22316" stopIfTrue="1" operator="equal">
      <formula>"Napkin Hs"</formula>
    </cfRule>
  </conditionalFormatting>
  <conditionalFormatting sqref="C22">
    <cfRule type="cellIs" dxfId="15038" priority="22312" stopIfTrue="1" operator="equal">
      <formula>"Towel"</formula>
    </cfRule>
    <cfRule type="cellIs" dxfId="15037" priority="22313" stopIfTrue="1" operator="equal">
      <formula>"Napkin Hs"</formula>
    </cfRule>
  </conditionalFormatting>
  <conditionalFormatting sqref="C22">
    <cfRule type="cellIs" dxfId="15036" priority="22314" stopIfTrue="1" operator="equal">
      <formula>"Towel"</formula>
    </cfRule>
    <cfRule type="cellIs" dxfId="15035" priority="22315" stopIfTrue="1" operator="equal">
      <formula>"Napkin Hs"</formula>
    </cfRule>
  </conditionalFormatting>
  <conditionalFormatting sqref="C22">
    <cfRule type="cellIs" dxfId="15034" priority="22308" stopIfTrue="1" operator="equal">
      <formula>"Towel"</formula>
    </cfRule>
    <cfRule type="cellIs" dxfId="15033" priority="22309" stopIfTrue="1" operator="equal">
      <formula>"Napkin Hs"</formula>
    </cfRule>
  </conditionalFormatting>
  <conditionalFormatting sqref="C22">
    <cfRule type="cellIs" dxfId="15032" priority="22310" stopIfTrue="1" operator="equal">
      <formula>"Towel"</formula>
    </cfRule>
    <cfRule type="cellIs" dxfId="15031" priority="22311" stopIfTrue="1" operator="equal">
      <formula>"Napkin Hs"</formula>
    </cfRule>
  </conditionalFormatting>
  <conditionalFormatting sqref="B28:C28">
    <cfRule type="cellIs" dxfId="15030" priority="22306" stopIfTrue="1" operator="equal">
      <formula>"Towel"</formula>
    </cfRule>
    <cfRule type="cellIs" dxfId="15029" priority="22307" stopIfTrue="1" operator="equal">
      <formula>"Napkin Hs"</formula>
    </cfRule>
  </conditionalFormatting>
  <conditionalFormatting sqref="C27:C28">
    <cfRule type="cellIs" dxfId="15028" priority="22298" stopIfTrue="1" operator="equal">
      <formula>"Towel"</formula>
    </cfRule>
    <cfRule type="cellIs" dxfId="15027" priority="22299" stopIfTrue="1" operator="equal">
      <formula>"Napkin Hs"</formula>
    </cfRule>
  </conditionalFormatting>
  <conditionalFormatting sqref="C28">
    <cfRule type="cellIs" dxfId="15026" priority="22302" stopIfTrue="1" operator="equal">
      <formula>"Towel"</formula>
    </cfRule>
    <cfRule type="cellIs" dxfId="15025" priority="22303" stopIfTrue="1" operator="equal">
      <formula>"Napkin Hs"</formula>
    </cfRule>
  </conditionalFormatting>
  <conditionalFormatting sqref="C28">
    <cfRule type="cellIs" dxfId="15024" priority="22305" stopIfTrue="1" operator="equal">
      <formula>"Napkin Hs"</formula>
    </cfRule>
  </conditionalFormatting>
  <conditionalFormatting sqref="C27:C28">
    <cfRule type="cellIs" dxfId="15023" priority="22300" stopIfTrue="1" operator="equal">
      <formula>"Towel"</formula>
    </cfRule>
    <cfRule type="cellIs" dxfId="15022" priority="22301" stopIfTrue="1" operator="equal">
      <formula>"Napkin Hs"</formula>
    </cfRule>
  </conditionalFormatting>
  <conditionalFormatting sqref="C28">
    <cfRule type="cellIs" dxfId="15021" priority="22304" stopIfTrue="1" operator="equal">
      <formula>"Towel"</formula>
    </cfRule>
  </conditionalFormatting>
  <conditionalFormatting sqref="C27:C28">
    <cfRule type="cellIs" dxfId="15020" priority="22296" stopIfTrue="1" operator="equal">
      <formula>"Towel"</formula>
    </cfRule>
    <cfRule type="cellIs" dxfId="15019" priority="22297" stopIfTrue="1" operator="equal">
      <formula>"Napkin Hs"</formula>
    </cfRule>
  </conditionalFormatting>
  <conditionalFormatting sqref="B27:B28">
    <cfRule type="cellIs" dxfId="15018" priority="22294" stopIfTrue="1" operator="equal">
      <formula>"Towel"</formula>
    </cfRule>
    <cfRule type="cellIs" dxfId="15017" priority="22295" stopIfTrue="1" operator="equal">
      <formula>"Napkin Hs"</formula>
    </cfRule>
  </conditionalFormatting>
  <conditionalFormatting sqref="C26">
    <cfRule type="cellIs" dxfId="15016" priority="22290" stopIfTrue="1" operator="equal">
      <formula>"Towel"</formula>
    </cfRule>
    <cfRule type="cellIs" dxfId="15015" priority="22291" stopIfTrue="1" operator="equal">
      <formula>"Napkin Hs"</formula>
    </cfRule>
  </conditionalFormatting>
  <conditionalFormatting sqref="C26">
    <cfRule type="cellIs" dxfId="15014" priority="22292" stopIfTrue="1" operator="equal">
      <formula>"Towel"</formula>
    </cfRule>
    <cfRule type="cellIs" dxfId="15013" priority="22293" stopIfTrue="1" operator="equal">
      <formula>"Napkin Hs"</formula>
    </cfRule>
  </conditionalFormatting>
  <conditionalFormatting sqref="C26">
    <cfRule type="cellIs" dxfId="15012" priority="22288" stopIfTrue="1" operator="equal">
      <formula>"Towel"</formula>
    </cfRule>
    <cfRule type="cellIs" dxfId="15011" priority="22289" stopIfTrue="1" operator="equal">
      <formula>"Napkin Hs"</formula>
    </cfRule>
  </conditionalFormatting>
  <conditionalFormatting sqref="B26">
    <cfRule type="cellIs" dxfId="15010" priority="22286" stopIfTrue="1" operator="equal">
      <formula>"Towel"</formula>
    </cfRule>
    <cfRule type="cellIs" dxfId="15009" priority="22287" stopIfTrue="1" operator="equal">
      <formula>"Napkin Hs"</formula>
    </cfRule>
  </conditionalFormatting>
  <conditionalFormatting sqref="B28">
    <cfRule type="cellIs" dxfId="15008" priority="22284" stopIfTrue="1" operator="equal">
      <formula>"Towel"</formula>
    </cfRule>
    <cfRule type="cellIs" dxfId="15007" priority="22285" stopIfTrue="1" operator="equal">
      <formula>"Napkin Hs"</formula>
    </cfRule>
  </conditionalFormatting>
  <conditionalFormatting sqref="B28">
    <cfRule type="cellIs" dxfId="15006" priority="22282" stopIfTrue="1" operator="equal">
      <formula>"Towel"</formula>
    </cfRule>
    <cfRule type="cellIs" dxfId="15005" priority="22283" stopIfTrue="1" operator="equal">
      <formula>"Napkin Hs"</formula>
    </cfRule>
  </conditionalFormatting>
  <conditionalFormatting sqref="C28">
    <cfRule type="cellIs" dxfId="15004" priority="22258" stopIfTrue="1" operator="equal">
      <formula>"Towel"</formula>
    </cfRule>
  </conditionalFormatting>
  <conditionalFormatting sqref="C28">
    <cfRule type="cellIs" dxfId="15003" priority="22259" stopIfTrue="1" operator="equal">
      <formula>"Napkin Hs"</formula>
    </cfRule>
    <cfRule type="cellIs" dxfId="15002" priority="22264" stopIfTrue="1" operator="equal">
      <formula>"Towel"</formula>
    </cfRule>
    <cfRule type="cellIs" dxfId="15001" priority="22265" stopIfTrue="1" operator="equal">
      <formula>"Napkin Hs"</formula>
    </cfRule>
    <cfRule type="cellIs" dxfId="15000" priority="22274" stopIfTrue="1" operator="equal">
      <formula>"Towel"</formula>
    </cfRule>
    <cfRule type="cellIs" dxfId="14999" priority="22275" stopIfTrue="1" operator="equal">
      <formula>"Napkin Hs"</formula>
    </cfRule>
    <cfRule type="cellIs" dxfId="14998" priority="22280" stopIfTrue="1" operator="equal">
      <formula>"Towel"</formula>
    </cfRule>
    <cfRule type="cellIs" dxfId="14997" priority="22281" stopIfTrue="1" operator="equal">
      <formula>"Napkin Hs"</formula>
    </cfRule>
  </conditionalFormatting>
  <conditionalFormatting sqref="C28">
    <cfRule type="cellIs" dxfId="14996" priority="22260" stopIfTrue="1" operator="equal">
      <formula>"Towel"</formula>
    </cfRule>
    <cfRule type="cellIs" dxfId="14995" priority="22261" stopIfTrue="1" operator="equal">
      <formula>"Napkin Hs"</formula>
    </cfRule>
    <cfRule type="cellIs" dxfId="14994" priority="22262" stopIfTrue="1" operator="equal">
      <formula>"Towel"</formula>
    </cfRule>
    <cfRule type="cellIs" dxfId="14993" priority="22263" stopIfTrue="1" operator="equal">
      <formula>"Napkin Hs"</formula>
    </cfRule>
    <cfRule type="cellIs" dxfId="14992" priority="22266" stopIfTrue="1" operator="equal">
      <formula>"Towel"</formula>
    </cfRule>
    <cfRule type="cellIs" dxfId="14991" priority="22267" stopIfTrue="1" operator="equal">
      <formula>"Napkin Hs"</formula>
    </cfRule>
    <cfRule type="cellIs" dxfId="14990" priority="22268" stopIfTrue="1" operator="equal">
      <formula>"Towel"</formula>
    </cfRule>
    <cfRule type="cellIs" dxfId="14989" priority="22269" stopIfTrue="1" operator="equal">
      <formula>"Napkin Hs"</formula>
    </cfRule>
    <cfRule type="cellIs" dxfId="14988" priority="22270" stopIfTrue="1" operator="equal">
      <formula>"Towel"</formula>
    </cfRule>
    <cfRule type="cellIs" dxfId="14987" priority="22271" stopIfTrue="1" operator="equal">
      <formula>"Napkin Hs"</formula>
    </cfRule>
    <cfRule type="cellIs" dxfId="14986" priority="22272" stopIfTrue="1" operator="equal">
      <formula>"Towel"</formula>
    </cfRule>
    <cfRule type="cellIs" dxfId="14985" priority="22273" stopIfTrue="1" operator="equal">
      <formula>"Napkin Hs"</formula>
    </cfRule>
    <cfRule type="cellIs" dxfId="14984" priority="22276" stopIfTrue="1" operator="equal">
      <formula>"Towel"</formula>
    </cfRule>
    <cfRule type="cellIs" dxfId="14983" priority="22277" stopIfTrue="1" operator="equal">
      <formula>"Napkin Hs"</formula>
    </cfRule>
    <cfRule type="cellIs" dxfId="14982" priority="22279" stopIfTrue="1" operator="equal">
      <formula>"Napkin Hs"</formula>
    </cfRule>
  </conditionalFormatting>
  <conditionalFormatting sqref="C28">
    <cfRule type="cellIs" dxfId="14981" priority="22278" stopIfTrue="1" operator="equal">
      <formula>"Towel"</formula>
    </cfRule>
  </conditionalFormatting>
  <conditionalFormatting sqref="C28">
    <cfRule type="cellIs" dxfId="14980" priority="22256" stopIfTrue="1" operator="equal">
      <formula>"Towel"</formula>
    </cfRule>
    <cfRule type="cellIs" dxfId="14979" priority="22257" stopIfTrue="1" operator="equal">
      <formula>"Napkin Hs"</formula>
    </cfRule>
  </conditionalFormatting>
  <conditionalFormatting sqref="C28">
    <cfRule type="cellIs" dxfId="14978" priority="22255" stopIfTrue="1" operator="equal">
      <formula>"Napkin Hs"</formula>
    </cfRule>
  </conditionalFormatting>
  <conditionalFormatting sqref="C28">
    <cfRule type="cellIs" dxfId="14977" priority="22254" stopIfTrue="1" operator="equal">
      <formula>"Towel"</formula>
    </cfRule>
  </conditionalFormatting>
  <conditionalFormatting sqref="C28">
    <cfRule type="cellIs" dxfId="14976" priority="22252" stopIfTrue="1" operator="equal">
      <formula>"Towel"</formula>
    </cfRule>
  </conditionalFormatting>
  <conditionalFormatting sqref="C28">
    <cfRule type="cellIs" dxfId="14975" priority="22253" stopIfTrue="1" operator="equal">
      <formula>"Napkin Hs"</formula>
    </cfRule>
  </conditionalFormatting>
  <conditionalFormatting sqref="C28">
    <cfRule type="cellIs" dxfId="14974" priority="22156" stopIfTrue="1" operator="equal">
      <formula>"Towel"</formula>
    </cfRule>
  </conditionalFormatting>
  <conditionalFormatting sqref="C28">
    <cfRule type="cellIs" dxfId="14973" priority="22166" stopIfTrue="1" operator="equal">
      <formula>"Towel"</formula>
    </cfRule>
    <cfRule type="cellIs" dxfId="14972" priority="22167" stopIfTrue="1" operator="equal">
      <formula>"Napkin Hs"</formula>
    </cfRule>
    <cfRule type="cellIs" dxfId="14971" priority="22172" stopIfTrue="1" operator="equal">
      <formula>"Towel"</formula>
    </cfRule>
    <cfRule type="cellIs" dxfId="14970" priority="22173" stopIfTrue="1" operator="equal">
      <formula>"Napkin Hs"</formula>
    </cfRule>
    <cfRule type="cellIs" dxfId="14969" priority="22178" stopIfTrue="1" operator="equal">
      <formula>"Towel"</formula>
    </cfRule>
    <cfRule type="cellIs" dxfId="14968" priority="22179" stopIfTrue="1" operator="equal">
      <formula>"Napkin Hs"</formula>
    </cfRule>
    <cfRule type="cellIs" dxfId="14967" priority="22180" stopIfTrue="1" operator="equal">
      <formula>"Towel"</formula>
    </cfRule>
    <cfRule type="cellIs" dxfId="14966" priority="22181" stopIfTrue="1" operator="equal">
      <formula>"Napkin Hs"</formula>
    </cfRule>
    <cfRule type="cellIs" dxfId="14965" priority="22186" stopIfTrue="1" operator="equal">
      <formula>"Towel"</formula>
    </cfRule>
    <cfRule type="cellIs" dxfId="14964" priority="22187" stopIfTrue="1" operator="equal">
      <formula>"Napkin Hs"</formula>
    </cfRule>
    <cfRule type="cellIs" dxfId="14963" priority="22196" stopIfTrue="1" operator="equal">
      <formula>"Towel"</formula>
    </cfRule>
    <cfRule type="cellIs" dxfId="14962" priority="22197" stopIfTrue="1" operator="equal">
      <formula>"Napkin Hs"</formula>
    </cfRule>
    <cfRule type="cellIs" dxfId="14961" priority="22202" stopIfTrue="1" operator="equal">
      <formula>"Towel"</formula>
    </cfRule>
    <cfRule type="cellIs" dxfId="14960" priority="22203" stopIfTrue="1" operator="equal">
      <formula>"Napkin Hs"</formula>
    </cfRule>
    <cfRule type="cellIs" dxfId="14959" priority="22204" stopIfTrue="1" operator="equal">
      <formula>"Towel"</formula>
    </cfRule>
    <cfRule type="cellIs" dxfId="14958" priority="22205" stopIfTrue="1" operator="equal">
      <formula>"Napkin Hs"</formula>
    </cfRule>
    <cfRule type="cellIs" dxfId="14957" priority="22210" stopIfTrue="1" operator="equal">
      <formula>"Towel"</formula>
    </cfRule>
    <cfRule type="cellIs" dxfId="14956" priority="22211" stopIfTrue="1" operator="equal">
      <formula>"Napkin Hs"</formula>
    </cfRule>
    <cfRule type="cellIs" dxfId="14955" priority="22220" stopIfTrue="1" operator="equal">
      <formula>"Towel"</formula>
    </cfRule>
    <cfRule type="cellIs" dxfId="14954" priority="22221" stopIfTrue="1" operator="equal">
      <formula>"Napkin Hs"</formula>
    </cfRule>
    <cfRule type="cellIs" dxfId="14953" priority="22222" stopIfTrue="1" operator="equal">
      <formula>"Towel"</formula>
    </cfRule>
    <cfRule type="cellIs" dxfId="14952" priority="22223" stopIfTrue="1" operator="equal">
      <formula>"Napkin Hs"</formula>
    </cfRule>
    <cfRule type="cellIs" dxfId="14951" priority="22228" stopIfTrue="1" operator="equal">
      <formula>"Towel"</formula>
    </cfRule>
    <cfRule type="cellIs" dxfId="14950" priority="22229" stopIfTrue="1" operator="equal">
      <formula>"Napkin Hs"</formula>
    </cfRule>
    <cfRule type="cellIs" dxfId="14949" priority="22238" stopIfTrue="1" operator="equal">
      <formula>"Towel"</formula>
    </cfRule>
    <cfRule type="cellIs" dxfId="14948" priority="22239" stopIfTrue="1" operator="equal">
      <formula>"Napkin Hs"</formula>
    </cfRule>
    <cfRule type="cellIs" dxfId="14947" priority="22240" stopIfTrue="1" operator="equal">
      <formula>"Towel"</formula>
    </cfRule>
    <cfRule type="cellIs" dxfId="14946" priority="22241" stopIfTrue="1" operator="equal">
      <formula>"Napkin Hs"</formula>
    </cfRule>
    <cfRule type="cellIs" dxfId="14945" priority="22247" stopIfTrue="1" operator="equal">
      <formula>"Napkin Hs"</formula>
    </cfRule>
  </conditionalFormatting>
  <conditionalFormatting sqref="C28">
    <cfRule type="cellIs" dxfId="14944" priority="22246" stopIfTrue="1" operator="equal">
      <formula>"Towel"</formula>
    </cfRule>
  </conditionalFormatting>
  <conditionalFormatting sqref="C28">
    <cfRule type="cellIs" dxfId="14943" priority="22157" stopIfTrue="1" operator="equal">
      <formula>"Napkin Hs"</formula>
    </cfRule>
    <cfRule type="cellIs" dxfId="14942" priority="22158" stopIfTrue="1" operator="equal">
      <formula>"Towel"</formula>
    </cfRule>
    <cfRule type="cellIs" dxfId="14941" priority="22159" stopIfTrue="1" operator="equal">
      <formula>"Napkin Hs"</formula>
    </cfRule>
    <cfRule type="cellIs" dxfId="14940" priority="22160" stopIfTrue="1" operator="equal">
      <formula>"Towel"</formula>
    </cfRule>
    <cfRule type="cellIs" dxfId="14939" priority="22161" stopIfTrue="1" operator="equal">
      <formula>"Napkin Hs"</formula>
    </cfRule>
    <cfRule type="cellIs" dxfId="14938" priority="22162" stopIfTrue="1" operator="equal">
      <formula>"Towel"</formula>
    </cfRule>
    <cfRule type="cellIs" dxfId="14937" priority="22163" stopIfTrue="1" operator="equal">
      <formula>"Napkin Hs"</formula>
    </cfRule>
    <cfRule type="cellIs" dxfId="14936" priority="22164" stopIfTrue="1" operator="equal">
      <formula>"Towel"</formula>
    </cfRule>
    <cfRule type="cellIs" dxfId="14935" priority="22165" stopIfTrue="1" operator="equal">
      <formula>"Napkin Hs"</formula>
    </cfRule>
    <cfRule type="cellIs" dxfId="14934" priority="22168" stopIfTrue="1" operator="equal">
      <formula>"Towel"</formula>
    </cfRule>
    <cfRule type="cellIs" dxfId="14933" priority="22169" stopIfTrue="1" operator="equal">
      <formula>"Napkin Hs"</formula>
    </cfRule>
    <cfRule type="cellIs" dxfId="14932" priority="22170" stopIfTrue="1" operator="equal">
      <formula>"Towel"</formula>
    </cfRule>
    <cfRule type="cellIs" dxfId="14931" priority="22171" stopIfTrue="1" operator="equal">
      <formula>"Napkin Hs"</formula>
    </cfRule>
    <cfRule type="cellIs" dxfId="14930" priority="22174" stopIfTrue="1" operator="equal">
      <formula>"Towel"</formula>
    </cfRule>
    <cfRule type="cellIs" dxfId="14929" priority="22175" stopIfTrue="1" operator="equal">
      <formula>"Napkin Hs"</formula>
    </cfRule>
    <cfRule type="cellIs" dxfId="14928" priority="22176" stopIfTrue="1" operator="equal">
      <formula>"Towel"</formula>
    </cfRule>
    <cfRule type="cellIs" dxfId="14927" priority="22177" stopIfTrue="1" operator="equal">
      <formula>"Napkin Hs"</formula>
    </cfRule>
    <cfRule type="cellIs" dxfId="14926" priority="22182" stopIfTrue="1" operator="equal">
      <formula>"Towel"</formula>
    </cfRule>
    <cfRule type="cellIs" dxfId="14925" priority="22183" stopIfTrue="1" operator="equal">
      <formula>"Napkin Hs"</formula>
    </cfRule>
    <cfRule type="cellIs" dxfId="14924" priority="22184" stopIfTrue="1" operator="equal">
      <formula>"Towel"</formula>
    </cfRule>
    <cfRule type="cellIs" dxfId="14923" priority="22185" stopIfTrue="1" operator="equal">
      <formula>"Napkin Hs"</formula>
    </cfRule>
    <cfRule type="cellIs" dxfId="14922" priority="22188" stopIfTrue="1" operator="equal">
      <formula>"Towel"</formula>
    </cfRule>
    <cfRule type="cellIs" dxfId="14921" priority="22189" stopIfTrue="1" operator="equal">
      <formula>"Napkin Hs"</formula>
    </cfRule>
    <cfRule type="cellIs" dxfId="14920" priority="22190" stopIfTrue="1" operator="equal">
      <formula>"Towel"</formula>
    </cfRule>
    <cfRule type="cellIs" dxfId="14919" priority="22191" stopIfTrue="1" operator="equal">
      <formula>"Napkin Hs"</formula>
    </cfRule>
    <cfRule type="cellIs" dxfId="14918" priority="22192" stopIfTrue="1" operator="equal">
      <formula>"Towel"</formula>
    </cfRule>
    <cfRule type="cellIs" dxfId="14917" priority="22193" stopIfTrue="1" operator="equal">
      <formula>"Napkin Hs"</formula>
    </cfRule>
    <cfRule type="cellIs" dxfId="14916" priority="22194" stopIfTrue="1" operator="equal">
      <formula>"Towel"</formula>
    </cfRule>
    <cfRule type="cellIs" dxfId="14915" priority="22195" stopIfTrue="1" operator="equal">
      <formula>"Napkin Hs"</formula>
    </cfRule>
    <cfRule type="cellIs" dxfId="14914" priority="22198" stopIfTrue="1" operator="equal">
      <formula>"Towel"</formula>
    </cfRule>
    <cfRule type="cellIs" dxfId="14913" priority="22199" stopIfTrue="1" operator="equal">
      <formula>"Napkin Hs"</formula>
    </cfRule>
    <cfRule type="cellIs" dxfId="14912" priority="22200" stopIfTrue="1" operator="equal">
      <formula>"Towel"</formula>
    </cfRule>
    <cfRule type="cellIs" dxfId="14911" priority="22201" stopIfTrue="1" operator="equal">
      <formula>"Napkin Hs"</formula>
    </cfRule>
    <cfRule type="cellIs" dxfId="14910" priority="22206" stopIfTrue="1" operator="equal">
      <formula>"Towel"</formula>
    </cfRule>
    <cfRule type="cellIs" dxfId="14909" priority="22207" stopIfTrue="1" operator="equal">
      <formula>"Napkin Hs"</formula>
    </cfRule>
    <cfRule type="cellIs" dxfId="14908" priority="22208" stopIfTrue="1" operator="equal">
      <formula>"Towel"</formula>
    </cfRule>
    <cfRule type="cellIs" dxfId="14907" priority="22209" stopIfTrue="1" operator="equal">
      <formula>"Napkin Hs"</formula>
    </cfRule>
    <cfRule type="cellIs" dxfId="14906" priority="22212" stopIfTrue="1" operator="equal">
      <formula>"Towel"</formula>
    </cfRule>
    <cfRule type="cellIs" dxfId="14905" priority="22213" stopIfTrue="1" operator="equal">
      <formula>"Napkin Hs"</formula>
    </cfRule>
    <cfRule type="cellIs" dxfId="14904" priority="22214" stopIfTrue="1" operator="equal">
      <formula>"Towel"</formula>
    </cfRule>
    <cfRule type="cellIs" dxfId="14903" priority="22215" stopIfTrue="1" operator="equal">
      <formula>"Napkin Hs"</formula>
    </cfRule>
    <cfRule type="cellIs" dxfId="14902" priority="22216" stopIfTrue="1" operator="equal">
      <formula>"Towel"</formula>
    </cfRule>
    <cfRule type="cellIs" dxfId="14901" priority="22217" stopIfTrue="1" operator="equal">
      <formula>"Napkin Hs"</formula>
    </cfRule>
    <cfRule type="cellIs" dxfId="14900" priority="22218" stopIfTrue="1" operator="equal">
      <formula>"Towel"</formula>
    </cfRule>
    <cfRule type="cellIs" dxfId="14899" priority="22219" stopIfTrue="1" operator="equal">
      <formula>"Napkin Hs"</formula>
    </cfRule>
    <cfRule type="cellIs" dxfId="14898" priority="22224" stopIfTrue="1" operator="equal">
      <formula>"Towel"</formula>
    </cfRule>
    <cfRule type="cellIs" dxfId="14897" priority="22225" stopIfTrue="1" operator="equal">
      <formula>"Napkin Hs"</formula>
    </cfRule>
    <cfRule type="cellIs" dxfId="14896" priority="22226" stopIfTrue="1" operator="equal">
      <formula>"Towel"</formula>
    </cfRule>
    <cfRule type="cellIs" dxfId="14895" priority="22227" stopIfTrue="1" operator="equal">
      <formula>"Napkin Hs"</formula>
    </cfRule>
    <cfRule type="cellIs" dxfId="14894" priority="22230" stopIfTrue="1" operator="equal">
      <formula>"Towel"</formula>
    </cfRule>
    <cfRule type="cellIs" dxfId="14893" priority="22231" stopIfTrue="1" operator="equal">
      <formula>"Napkin Hs"</formula>
    </cfRule>
    <cfRule type="cellIs" dxfId="14892" priority="22232" stopIfTrue="1" operator="equal">
      <formula>"Towel"</formula>
    </cfRule>
    <cfRule type="cellIs" dxfId="14891" priority="22233" stopIfTrue="1" operator="equal">
      <formula>"Napkin Hs"</formula>
    </cfRule>
    <cfRule type="cellIs" dxfId="14890" priority="22234" stopIfTrue="1" operator="equal">
      <formula>"Towel"</formula>
    </cfRule>
    <cfRule type="cellIs" dxfId="14889" priority="22235" stopIfTrue="1" operator="equal">
      <formula>"Napkin Hs"</formula>
    </cfRule>
    <cfRule type="cellIs" dxfId="14888" priority="22236" stopIfTrue="1" operator="equal">
      <formula>"Towel"</formula>
    </cfRule>
    <cfRule type="cellIs" dxfId="14887" priority="22237" stopIfTrue="1" operator="equal">
      <formula>"Napkin Hs"</formula>
    </cfRule>
    <cfRule type="cellIs" dxfId="14886" priority="22242" stopIfTrue="1" operator="equal">
      <formula>"Towel"</formula>
    </cfRule>
    <cfRule type="cellIs" dxfId="14885" priority="22243" stopIfTrue="1" operator="equal">
      <formula>"Napkin Hs"</formula>
    </cfRule>
    <cfRule type="cellIs" dxfId="14884" priority="22244" stopIfTrue="1" operator="equal">
      <formula>"Towel"</formula>
    </cfRule>
    <cfRule type="cellIs" dxfId="14883" priority="22245" stopIfTrue="1" operator="equal">
      <formula>"Napkin Hs"</formula>
    </cfRule>
    <cfRule type="cellIs" dxfId="14882" priority="22248" stopIfTrue="1" operator="equal">
      <formula>"Towel"</formula>
    </cfRule>
    <cfRule type="cellIs" dxfId="14881" priority="22249" stopIfTrue="1" operator="equal">
      <formula>"Napkin Hs"</formula>
    </cfRule>
    <cfRule type="cellIs" dxfId="14880" priority="22250" stopIfTrue="1" operator="equal">
      <formula>"Towel"</formula>
    </cfRule>
    <cfRule type="cellIs" dxfId="14879" priority="22251" stopIfTrue="1" operator="equal">
      <formula>"Napkin Hs"</formula>
    </cfRule>
  </conditionalFormatting>
  <conditionalFormatting sqref="C28">
    <cfRule type="cellIs" dxfId="14878" priority="22154" stopIfTrue="1" operator="equal">
      <formula>"Towel"</formula>
    </cfRule>
    <cfRule type="cellIs" dxfId="14877" priority="22155" stopIfTrue="1" operator="equal">
      <formula>"Napkin Hs"</formula>
    </cfRule>
  </conditionalFormatting>
  <conditionalFormatting sqref="C28">
    <cfRule type="cellIs" dxfId="14876" priority="22150" stopIfTrue="1" operator="equal">
      <formula>"Towel"</formula>
    </cfRule>
    <cfRule type="cellIs" dxfId="14875" priority="22151" stopIfTrue="1" operator="equal">
      <formula>"Napkin Hs"</formula>
    </cfRule>
  </conditionalFormatting>
  <conditionalFormatting sqref="C28">
    <cfRule type="cellIs" dxfId="14874" priority="22153" stopIfTrue="1" operator="equal">
      <formula>"Napkin Hs"</formula>
    </cfRule>
  </conditionalFormatting>
  <conditionalFormatting sqref="C28">
    <cfRule type="cellIs" dxfId="14873" priority="22152" stopIfTrue="1" operator="equal">
      <formula>"Towel"</formula>
    </cfRule>
  </conditionalFormatting>
  <conditionalFormatting sqref="C26">
    <cfRule type="cellIs" dxfId="14872" priority="22144" stopIfTrue="1" operator="equal">
      <formula>"Towel"</formula>
    </cfRule>
    <cfRule type="cellIs" dxfId="14871" priority="22145" stopIfTrue="1" operator="equal">
      <formula>"Napkin Hs"</formula>
    </cfRule>
  </conditionalFormatting>
  <conditionalFormatting sqref="C26">
    <cfRule type="cellIs" dxfId="14870" priority="22148" stopIfTrue="1" operator="equal">
      <formula>"Towel"</formula>
    </cfRule>
    <cfRule type="cellIs" dxfId="14869" priority="22149" stopIfTrue="1" operator="equal">
      <formula>"Napkin Hs"</formula>
    </cfRule>
  </conditionalFormatting>
  <conditionalFormatting sqref="C26">
    <cfRule type="cellIs" dxfId="14868" priority="22146" stopIfTrue="1" operator="equal">
      <formula>"Towel"</formula>
    </cfRule>
    <cfRule type="cellIs" dxfId="14867" priority="22147" stopIfTrue="1" operator="equal">
      <formula>"Napkin Hs"</formula>
    </cfRule>
  </conditionalFormatting>
  <conditionalFormatting sqref="C26">
    <cfRule type="cellIs" dxfId="14866" priority="22138" stopIfTrue="1" operator="equal">
      <formula>"Towel"</formula>
    </cfRule>
    <cfRule type="cellIs" dxfId="14865" priority="22139" stopIfTrue="1" operator="equal">
      <formula>"Napkin Hs"</formula>
    </cfRule>
  </conditionalFormatting>
  <conditionalFormatting sqref="C26">
    <cfRule type="cellIs" dxfId="14864" priority="22140" stopIfTrue="1" operator="equal">
      <formula>"Towel"</formula>
    </cfRule>
    <cfRule type="cellIs" dxfId="14863" priority="22141" stopIfTrue="1" operator="equal">
      <formula>"Napkin Hs"</formula>
    </cfRule>
  </conditionalFormatting>
  <conditionalFormatting sqref="C26">
    <cfRule type="cellIs" dxfId="14862" priority="22142" stopIfTrue="1" operator="equal">
      <formula>"Towel"</formula>
    </cfRule>
    <cfRule type="cellIs" dxfId="14861" priority="22143" stopIfTrue="1" operator="equal">
      <formula>"Napkin Hs"</formula>
    </cfRule>
  </conditionalFormatting>
  <conditionalFormatting sqref="B26:C26">
    <cfRule type="cellIs" dxfId="14860" priority="22136" stopIfTrue="1" operator="equal">
      <formula>"Towel"</formula>
    </cfRule>
    <cfRule type="cellIs" dxfId="14859" priority="22137" stopIfTrue="1" operator="equal">
      <formula>"Napkin Hs"</formula>
    </cfRule>
  </conditionalFormatting>
  <conditionalFormatting sqref="B26:C26">
    <cfRule type="cellIs" dxfId="14858" priority="22134" stopIfTrue="1" operator="equal">
      <formula>"Towel"</formula>
    </cfRule>
    <cfRule type="cellIs" dxfId="14857" priority="22135" stopIfTrue="1" operator="equal">
      <formula>"Napkin Hs"</formula>
    </cfRule>
  </conditionalFormatting>
  <conditionalFormatting sqref="B26:C26">
    <cfRule type="cellIs" dxfId="14856" priority="22110" stopIfTrue="1" operator="equal">
      <formula>"Towel"</formula>
    </cfRule>
  </conditionalFormatting>
  <conditionalFormatting sqref="B26:C26">
    <cfRule type="cellIs" dxfId="14855" priority="22111" stopIfTrue="1" operator="equal">
      <formula>"Napkin Hs"</formula>
    </cfRule>
    <cfRule type="cellIs" dxfId="14854" priority="22116" stopIfTrue="1" operator="equal">
      <formula>"Towel"</formula>
    </cfRule>
    <cfRule type="cellIs" dxfId="14853" priority="22117" stopIfTrue="1" operator="equal">
      <formula>"Napkin Hs"</formula>
    </cfRule>
    <cfRule type="cellIs" dxfId="14852" priority="22126" stopIfTrue="1" operator="equal">
      <formula>"Towel"</formula>
    </cfRule>
    <cfRule type="cellIs" dxfId="14851" priority="22127" stopIfTrue="1" operator="equal">
      <formula>"Napkin Hs"</formula>
    </cfRule>
    <cfRule type="cellIs" dxfId="14850" priority="22132" stopIfTrue="1" operator="equal">
      <formula>"Towel"</formula>
    </cfRule>
    <cfRule type="cellIs" dxfId="14849" priority="22133" stopIfTrue="1" operator="equal">
      <formula>"Napkin Hs"</formula>
    </cfRule>
  </conditionalFormatting>
  <conditionalFormatting sqref="C26">
    <cfRule type="cellIs" dxfId="14848" priority="22112" stopIfTrue="1" operator="equal">
      <formula>"Towel"</formula>
    </cfRule>
    <cfRule type="cellIs" dxfId="14847" priority="22113" stopIfTrue="1" operator="equal">
      <formula>"Napkin Hs"</formula>
    </cfRule>
    <cfRule type="cellIs" dxfId="14846" priority="22114" stopIfTrue="1" operator="equal">
      <formula>"Towel"</formula>
    </cfRule>
    <cfRule type="cellIs" dxfId="14845" priority="22115" stopIfTrue="1" operator="equal">
      <formula>"Napkin Hs"</formula>
    </cfRule>
    <cfRule type="cellIs" dxfId="14844" priority="22118" stopIfTrue="1" operator="equal">
      <formula>"Towel"</formula>
    </cfRule>
    <cfRule type="cellIs" dxfId="14843" priority="22119" stopIfTrue="1" operator="equal">
      <formula>"Napkin Hs"</formula>
    </cfRule>
    <cfRule type="cellIs" dxfId="14842" priority="22120" stopIfTrue="1" operator="equal">
      <formula>"Towel"</formula>
    </cfRule>
    <cfRule type="cellIs" dxfId="14841" priority="22121" stopIfTrue="1" operator="equal">
      <formula>"Napkin Hs"</formula>
    </cfRule>
    <cfRule type="cellIs" dxfId="14840" priority="22122" stopIfTrue="1" operator="equal">
      <formula>"Towel"</formula>
    </cfRule>
    <cfRule type="cellIs" dxfId="14839" priority="22123" stopIfTrue="1" operator="equal">
      <formula>"Napkin Hs"</formula>
    </cfRule>
    <cfRule type="cellIs" dxfId="14838" priority="22124" stopIfTrue="1" operator="equal">
      <formula>"Towel"</formula>
    </cfRule>
    <cfRule type="cellIs" dxfId="14837" priority="22125" stopIfTrue="1" operator="equal">
      <formula>"Napkin Hs"</formula>
    </cfRule>
    <cfRule type="cellIs" dxfId="14836" priority="22128" stopIfTrue="1" operator="equal">
      <formula>"Towel"</formula>
    </cfRule>
    <cfRule type="cellIs" dxfId="14835" priority="22129" stopIfTrue="1" operator="equal">
      <formula>"Napkin Hs"</formula>
    </cfRule>
    <cfRule type="cellIs" dxfId="14834" priority="22131" stopIfTrue="1" operator="equal">
      <formula>"Napkin Hs"</formula>
    </cfRule>
  </conditionalFormatting>
  <conditionalFormatting sqref="C26">
    <cfRule type="cellIs" dxfId="14833" priority="22130" stopIfTrue="1" operator="equal">
      <formula>"Towel"</formula>
    </cfRule>
  </conditionalFormatting>
  <conditionalFormatting sqref="B26:C26">
    <cfRule type="cellIs" dxfId="14832" priority="22108" stopIfTrue="1" operator="equal">
      <formula>"Towel"</formula>
    </cfRule>
    <cfRule type="cellIs" dxfId="14831" priority="22109" stopIfTrue="1" operator="equal">
      <formula>"Napkin Hs"</formula>
    </cfRule>
  </conditionalFormatting>
  <conditionalFormatting sqref="C26">
    <cfRule type="cellIs" dxfId="14830" priority="22107" stopIfTrue="1" operator="equal">
      <formula>"Napkin Hs"</formula>
    </cfRule>
  </conditionalFormatting>
  <conditionalFormatting sqref="C26">
    <cfRule type="cellIs" dxfId="14829" priority="22106" stopIfTrue="1" operator="equal">
      <formula>"Towel"</formula>
    </cfRule>
  </conditionalFormatting>
  <conditionalFormatting sqref="C26">
    <cfRule type="cellIs" dxfId="14828" priority="22104" stopIfTrue="1" operator="equal">
      <formula>"Towel"</formula>
    </cfRule>
  </conditionalFormatting>
  <conditionalFormatting sqref="C26">
    <cfRule type="cellIs" dxfId="14827" priority="22105" stopIfTrue="1" operator="equal">
      <formula>"Napkin Hs"</formula>
    </cfRule>
  </conditionalFormatting>
  <conditionalFormatting sqref="B26">
    <cfRule type="cellIs" dxfId="14826" priority="22008" stopIfTrue="1" operator="equal">
      <formula>"Napkin Hs"</formula>
    </cfRule>
  </conditionalFormatting>
  <conditionalFormatting sqref="B26:C26">
    <cfRule type="cellIs" dxfId="14825" priority="22007" stopIfTrue="1" operator="equal">
      <formula>"Towel"</formula>
    </cfRule>
  </conditionalFormatting>
  <conditionalFormatting sqref="B26:C26">
    <cfRule type="cellIs" dxfId="14824" priority="22018" stopIfTrue="1" operator="equal">
      <formula>"Towel"</formula>
    </cfRule>
    <cfRule type="cellIs" dxfId="14823" priority="22019" stopIfTrue="1" operator="equal">
      <formula>"Napkin Hs"</formula>
    </cfRule>
    <cfRule type="cellIs" dxfId="14822" priority="22024" stopIfTrue="1" operator="equal">
      <formula>"Towel"</formula>
    </cfRule>
    <cfRule type="cellIs" dxfId="14821" priority="22025" stopIfTrue="1" operator="equal">
      <formula>"Napkin Hs"</formula>
    </cfRule>
    <cfRule type="cellIs" dxfId="14820" priority="22030" stopIfTrue="1" operator="equal">
      <formula>"Towel"</formula>
    </cfRule>
    <cfRule type="cellIs" dxfId="14819" priority="22031" stopIfTrue="1" operator="equal">
      <formula>"Napkin Hs"</formula>
    </cfRule>
    <cfRule type="cellIs" dxfId="14818" priority="22032" stopIfTrue="1" operator="equal">
      <formula>"Towel"</formula>
    </cfRule>
    <cfRule type="cellIs" dxfId="14817" priority="22033" stopIfTrue="1" operator="equal">
      <formula>"Napkin Hs"</formula>
    </cfRule>
    <cfRule type="cellIs" dxfId="14816" priority="22038" stopIfTrue="1" operator="equal">
      <formula>"Towel"</formula>
    </cfRule>
    <cfRule type="cellIs" dxfId="14815" priority="22039" stopIfTrue="1" operator="equal">
      <formula>"Napkin Hs"</formula>
    </cfRule>
    <cfRule type="cellIs" dxfId="14814" priority="22048" stopIfTrue="1" operator="equal">
      <formula>"Towel"</formula>
    </cfRule>
    <cfRule type="cellIs" dxfId="14813" priority="22049" stopIfTrue="1" operator="equal">
      <formula>"Napkin Hs"</formula>
    </cfRule>
    <cfRule type="cellIs" dxfId="14812" priority="22054" stopIfTrue="1" operator="equal">
      <formula>"Towel"</formula>
    </cfRule>
    <cfRule type="cellIs" dxfId="14811" priority="22055" stopIfTrue="1" operator="equal">
      <formula>"Napkin Hs"</formula>
    </cfRule>
    <cfRule type="cellIs" dxfId="14810" priority="22056" stopIfTrue="1" operator="equal">
      <formula>"Towel"</formula>
    </cfRule>
    <cfRule type="cellIs" dxfId="14809" priority="22057" stopIfTrue="1" operator="equal">
      <formula>"Napkin Hs"</formula>
    </cfRule>
    <cfRule type="cellIs" dxfId="14808" priority="22062" stopIfTrue="1" operator="equal">
      <formula>"Towel"</formula>
    </cfRule>
    <cfRule type="cellIs" dxfId="14807" priority="22063" stopIfTrue="1" operator="equal">
      <formula>"Napkin Hs"</formula>
    </cfRule>
    <cfRule type="cellIs" dxfId="14806" priority="22072" stopIfTrue="1" operator="equal">
      <formula>"Towel"</formula>
    </cfRule>
    <cfRule type="cellIs" dxfId="14805" priority="22073" stopIfTrue="1" operator="equal">
      <formula>"Napkin Hs"</formula>
    </cfRule>
    <cfRule type="cellIs" dxfId="14804" priority="22074" stopIfTrue="1" operator="equal">
      <formula>"Towel"</formula>
    </cfRule>
    <cfRule type="cellIs" dxfId="14803" priority="22075" stopIfTrue="1" operator="equal">
      <formula>"Napkin Hs"</formula>
    </cfRule>
    <cfRule type="cellIs" dxfId="14802" priority="22080" stopIfTrue="1" operator="equal">
      <formula>"Towel"</formula>
    </cfRule>
    <cfRule type="cellIs" dxfId="14801" priority="22081" stopIfTrue="1" operator="equal">
      <formula>"Napkin Hs"</formula>
    </cfRule>
    <cfRule type="cellIs" dxfId="14800" priority="22090" stopIfTrue="1" operator="equal">
      <formula>"Towel"</formula>
    </cfRule>
    <cfRule type="cellIs" dxfId="14799" priority="22091" stopIfTrue="1" operator="equal">
      <formula>"Napkin Hs"</formula>
    </cfRule>
    <cfRule type="cellIs" dxfId="14798" priority="22092" stopIfTrue="1" operator="equal">
      <formula>"Towel"</formula>
    </cfRule>
    <cfRule type="cellIs" dxfId="14797" priority="22093" stopIfTrue="1" operator="equal">
      <formula>"Napkin Hs"</formula>
    </cfRule>
    <cfRule type="cellIs" dxfId="14796" priority="22099" stopIfTrue="1" operator="equal">
      <formula>"Napkin Hs"</formula>
    </cfRule>
  </conditionalFormatting>
  <conditionalFormatting sqref="B26:C26">
    <cfRule type="cellIs" dxfId="14795" priority="22098" stopIfTrue="1" operator="equal">
      <formula>"Towel"</formula>
    </cfRule>
  </conditionalFormatting>
  <conditionalFormatting sqref="C26">
    <cfRule type="cellIs" dxfId="14794" priority="22009" stopIfTrue="1" operator="equal">
      <formula>"Napkin Hs"</formula>
    </cfRule>
    <cfRule type="cellIs" dxfId="14793" priority="22010" stopIfTrue="1" operator="equal">
      <formula>"Towel"</formula>
    </cfRule>
    <cfRule type="cellIs" dxfId="14792" priority="22011" stopIfTrue="1" operator="equal">
      <formula>"Napkin Hs"</formula>
    </cfRule>
    <cfRule type="cellIs" dxfId="14791" priority="22012" stopIfTrue="1" operator="equal">
      <formula>"Towel"</formula>
    </cfRule>
    <cfRule type="cellIs" dxfId="14790" priority="22013" stopIfTrue="1" operator="equal">
      <formula>"Napkin Hs"</formula>
    </cfRule>
    <cfRule type="cellIs" dxfId="14789" priority="22014" stopIfTrue="1" operator="equal">
      <formula>"Towel"</formula>
    </cfRule>
    <cfRule type="cellIs" dxfId="14788" priority="22015" stopIfTrue="1" operator="equal">
      <formula>"Napkin Hs"</formula>
    </cfRule>
    <cfRule type="cellIs" dxfId="14787" priority="22016" stopIfTrue="1" operator="equal">
      <formula>"Towel"</formula>
    </cfRule>
    <cfRule type="cellIs" dxfId="14786" priority="22017" stopIfTrue="1" operator="equal">
      <formula>"Napkin Hs"</formula>
    </cfRule>
    <cfRule type="cellIs" dxfId="14785" priority="22020" stopIfTrue="1" operator="equal">
      <formula>"Towel"</formula>
    </cfRule>
    <cfRule type="cellIs" dxfId="14784" priority="22021" stopIfTrue="1" operator="equal">
      <formula>"Napkin Hs"</formula>
    </cfRule>
    <cfRule type="cellIs" dxfId="14783" priority="22022" stopIfTrue="1" operator="equal">
      <formula>"Towel"</formula>
    </cfRule>
    <cfRule type="cellIs" dxfId="14782" priority="22023" stopIfTrue="1" operator="equal">
      <formula>"Napkin Hs"</formula>
    </cfRule>
    <cfRule type="cellIs" dxfId="14781" priority="22026" stopIfTrue="1" operator="equal">
      <formula>"Towel"</formula>
    </cfRule>
    <cfRule type="cellIs" dxfId="14780" priority="22027" stopIfTrue="1" operator="equal">
      <formula>"Napkin Hs"</formula>
    </cfRule>
    <cfRule type="cellIs" dxfId="14779" priority="22028" stopIfTrue="1" operator="equal">
      <formula>"Towel"</formula>
    </cfRule>
    <cfRule type="cellIs" dxfId="14778" priority="22029" stopIfTrue="1" operator="equal">
      <formula>"Napkin Hs"</formula>
    </cfRule>
    <cfRule type="cellIs" dxfId="14777" priority="22034" stopIfTrue="1" operator="equal">
      <formula>"Towel"</formula>
    </cfRule>
    <cfRule type="cellIs" dxfId="14776" priority="22035" stopIfTrue="1" operator="equal">
      <formula>"Napkin Hs"</formula>
    </cfRule>
    <cfRule type="cellIs" dxfId="14775" priority="22036" stopIfTrue="1" operator="equal">
      <formula>"Towel"</formula>
    </cfRule>
    <cfRule type="cellIs" dxfId="14774" priority="22037" stopIfTrue="1" operator="equal">
      <formula>"Napkin Hs"</formula>
    </cfRule>
    <cfRule type="cellIs" dxfId="14773" priority="22040" stopIfTrue="1" operator="equal">
      <formula>"Towel"</formula>
    </cfRule>
    <cfRule type="cellIs" dxfId="14772" priority="22041" stopIfTrue="1" operator="equal">
      <formula>"Napkin Hs"</formula>
    </cfRule>
    <cfRule type="cellIs" dxfId="14771" priority="22042" stopIfTrue="1" operator="equal">
      <formula>"Towel"</formula>
    </cfRule>
    <cfRule type="cellIs" dxfId="14770" priority="22043" stopIfTrue="1" operator="equal">
      <formula>"Napkin Hs"</formula>
    </cfRule>
    <cfRule type="cellIs" dxfId="14769" priority="22044" stopIfTrue="1" operator="equal">
      <formula>"Towel"</formula>
    </cfRule>
    <cfRule type="cellIs" dxfId="14768" priority="22045" stopIfTrue="1" operator="equal">
      <formula>"Napkin Hs"</formula>
    </cfRule>
    <cfRule type="cellIs" dxfId="14767" priority="22046" stopIfTrue="1" operator="equal">
      <formula>"Towel"</formula>
    </cfRule>
    <cfRule type="cellIs" dxfId="14766" priority="22047" stopIfTrue="1" operator="equal">
      <formula>"Napkin Hs"</formula>
    </cfRule>
    <cfRule type="cellIs" dxfId="14765" priority="22050" stopIfTrue="1" operator="equal">
      <formula>"Towel"</formula>
    </cfRule>
    <cfRule type="cellIs" dxfId="14764" priority="22051" stopIfTrue="1" operator="equal">
      <formula>"Napkin Hs"</formula>
    </cfRule>
    <cfRule type="cellIs" dxfId="14763" priority="22052" stopIfTrue="1" operator="equal">
      <formula>"Towel"</formula>
    </cfRule>
    <cfRule type="cellIs" dxfId="14762" priority="22053" stopIfTrue="1" operator="equal">
      <formula>"Napkin Hs"</formula>
    </cfRule>
    <cfRule type="cellIs" dxfId="14761" priority="22058" stopIfTrue="1" operator="equal">
      <formula>"Towel"</formula>
    </cfRule>
    <cfRule type="cellIs" dxfId="14760" priority="22059" stopIfTrue="1" operator="equal">
      <formula>"Napkin Hs"</formula>
    </cfRule>
    <cfRule type="cellIs" dxfId="14759" priority="22060" stopIfTrue="1" operator="equal">
      <formula>"Towel"</formula>
    </cfRule>
    <cfRule type="cellIs" dxfId="14758" priority="22061" stopIfTrue="1" operator="equal">
      <formula>"Napkin Hs"</formula>
    </cfRule>
    <cfRule type="cellIs" dxfId="14757" priority="22064" stopIfTrue="1" operator="equal">
      <formula>"Towel"</formula>
    </cfRule>
    <cfRule type="cellIs" dxfId="14756" priority="22065" stopIfTrue="1" operator="equal">
      <formula>"Napkin Hs"</formula>
    </cfRule>
    <cfRule type="cellIs" dxfId="14755" priority="22066" stopIfTrue="1" operator="equal">
      <formula>"Towel"</formula>
    </cfRule>
    <cfRule type="cellIs" dxfId="14754" priority="22067" stopIfTrue="1" operator="equal">
      <formula>"Napkin Hs"</formula>
    </cfRule>
    <cfRule type="cellIs" dxfId="14753" priority="22068" stopIfTrue="1" operator="equal">
      <formula>"Towel"</formula>
    </cfRule>
    <cfRule type="cellIs" dxfId="14752" priority="22069" stopIfTrue="1" operator="equal">
      <formula>"Napkin Hs"</formula>
    </cfRule>
    <cfRule type="cellIs" dxfId="14751" priority="22070" stopIfTrue="1" operator="equal">
      <formula>"Towel"</formula>
    </cfRule>
    <cfRule type="cellIs" dxfId="14750" priority="22071" stopIfTrue="1" operator="equal">
      <formula>"Napkin Hs"</formula>
    </cfRule>
    <cfRule type="cellIs" dxfId="14749" priority="22076" stopIfTrue="1" operator="equal">
      <formula>"Towel"</formula>
    </cfRule>
    <cfRule type="cellIs" dxfId="14748" priority="22077" stopIfTrue="1" operator="equal">
      <formula>"Napkin Hs"</formula>
    </cfRule>
    <cfRule type="cellIs" dxfId="14747" priority="22078" stopIfTrue="1" operator="equal">
      <formula>"Towel"</formula>
    </cfRule>
    <cfRule type="cellIs" dxfId="14746" priority="22079" stopIfTrue="1" operator="equal">
      <formula>"Napkin Hs"</formula>
    </cfRule>
    <cfRule type="cellIs" dxfId="14745" priority="22082" stopIfTrue="1" operator="equal">
      <formula>"Towel"</formula>
    </cfRule>
    <cfRule type="cellIs" dxfId="14744" priority="22083" stopIfTrue="1" operator="equal">
      <formula>"Napkin Hs"</formula>
    </cfRule>
    <cfRule type="cellIs" dxfId="14743" priority="22084" stopIfTrue="1" operator="equal">
      <formula>"Towel"</formula>
    </cfRule>
    <cfRule type="cellIs" dxfId="14742" priority="22085" stopIfTrue="1" operator="equal">
      <formula>"Napkin Hs"</formula>
    </cfRule>
    <cfRule type="cellIs" dxfId="14741" priority="22086" stopIfTrue="1" operator="equal">
      <formula>"Towel"</formula>
    </cfRule>
    <cfRule type="cellIs" dxfId="14740" priority="22087" stopIfTrue="1" operator="equal">
      <formula>"Napkin Hs"</formula>
    </cfRule>
    <cfRule type="cellIs" dxfId="14739" priority="22088" stopIfTrue="1" operator="equal">
      <formula>"Towel"</formula>
    </cfRule>
    <cfRule type="cellIs" dxfId="14738" priority="22089" stopIfTrue="1" operator="equal">
      <formula>"Napkin Hs"</formula>
    </cfRule>
    <cfRule type="cellIs" dxfId="14737" priority="22094" stopIfTrue="1" operator="equal">
      <formula>"Towel"</formula>
    </cfRule>
    <cfRule type="cellIs" dxfId="14736" priority="22095" stopIfTrue="1" operator="equal">
      <formula>"Napkin Hs"</formula>
    </cfRule>
    <cfRule type="cellIs" dxfId="14735" priority="22096" stopIfTrue="1" operator="equal">
      <formula>"Towel"</formula>
    </cfRule>
    <cfRule type="cellIs" dxfId="14734" priority="22097" stopIfTrue="1" operator="equal">
      <formula>"Napkin Hs"</formula>
    </cfRule>
    <cfRule type="cellIs" dxfId="14733" priority="22100" stopIfTrue="1" operator="equal">
      <formula>"Towel"</formula>
    </cfRule>
    <cfRule type="cellIs" dxfId="14732" priority="22101" stopIfTrue="1" operator="equal">
      <formula>"Napkin Hs"</formula>
    </cfRule>
    <cfRule type="cellIs" dxfId="14731" priority="22102" stopIfTrue="1" operator="equal">
      <formula>"Towel"</formula>
    </cfRule>
    <cfRule type="cellIs" dxfId="14730" priority="22103" stopIfTrue="1" operator="equal">
      <formula>"Napkin Hs"</formula>
    </cfRule>
  </conditionalFormatting>
  <conditionalFormatting sqref="C26">
    <cfRule type="cellIs" dxfId="14729" priority="22006" stopIfTrue="1" operator="equal">
      <formula>"Napkin Hs"</formula>
    </cfRule>
  </conditionalFormatting>
  <conditionalFormatting sqref="C26">
    <cfRule type="cellIs" dxfId="14728" priority="22005" stopIfTrue="1" operator="equal">
      <formula>"Napkin Hs"</formula>
    </cfRule>
  </conditionalFormatting>
  <conditionalFormatting sqref="B26">
    <cfRule type="cellIs" dxfId="14727" priority="22004" stopIfTrue="1" operator="equal">
      <formula>"Napkin Hs"</formula>
    </cfRule>
  </conditionalFormatting>
  <conditionalFormatting sqref="C26">
    <cfRule type="cellIs" dxfId="14726" priority="22003" stopIfTrue="1" operator="equal">
      <formula>"Napkin Hs"</formula>
    </cfRule>
  </conditionalFormatting>
  <conditionalFormatting sqref="C26">
    <cfRule type="cellIs" dxfId="14725" priority="22002" stopIfTrue="1" operator="equal">
      <formula>"Napkin Hs"</formula>
    </cfRule>
  </conditionalFormatting>
  <conditionalFormatting sqref="C26">
    <cfRule type="cellIs" dxfId="14724" priority="22001" stopIfTrue="1" operator="equal">
      <formula>"Napkin Hs"</formula>
    </cfRule>
  </conditionalFormatting>
  <conditionalFormatting sqref="C26">
    <cfRule type="cellIs" dxfId="14723" priority="22000" stopIfTrue="1" operator="equal">
      <formula>"Napkin Hs"</formula>
    </cfRule>
  </conditionalFormatting>
  <conditionalFormatting sqref="B26">
    <cfRule type="cellIs" dxfId="14722" priority="21999" stopIfTrue="1" operator="equal">
      <formula>"Napkin Hs"</formula>
    </cfRule>
  </conditionalFormatting>
  <conditionalFormatting sqref="B26">
    <cfRule type="cellIs" dxfId="14721" priority="21998" stopIfTrue="1" operator="equal">
      <formula>"Napkin Hs"</formula>
    </cfRule>
  </conditionalFormatting>
  <conditionalFormatting sqref="C26">
    <cfRule type="cellIs" dxfId="14720" priority="21994" stopIfTrue="1" operator="equal">
      <formula>"Towel"</formula>
    </cfRule>
    <cfRule type="cellIs" dxfId="14719" priority="21995" stopIfTrue="1" operator="equal">
      <formula>"Napkin Hs"</formula>
    </cfRule>
  </conditionalFormatting>
  <conditionalFormatting sqref="C26">
    <cfRule type="cellIs" dxfId="14718" priority="21996" stopIfTrue="1" operator="equal">
      <formula>"Towel"</formula>
    </cfRule>
    <cfRule type="cellIs" dxfId="14717" priority="21997" stopIfTrue="1" operator="equal">
      <formula>"Napkin Hs"</formula>
    </cfRule>
  </conditionalFormatting>
  <conditionalFormatting sqref="C26">
    <cfRule type="cellIs" dxfId="14716" priority="21990" stopIfTrue="1" operator="equal">
      <formula>"Towel"</formula>
    </cfRule>
    <cfRule type="cellIs" dxfId="14715" priority="21991" stopIfTrue="1" operator="equal">
      <formula>"Napkin Hs"</formula>
    </cfRule>
  </conditionalFormatting>
  <conditionalFormatting sqref="C26">
    <cfRule type="cellIs" dxfId="14714" priority="21992" stopIfTrue="1" operator="equal">
      <formula>"Towel"</formula>
    </cfRule>
    <cfRule type="cellIs" dxfId="14713" priority="21993" stopIfTrue="1" operator="equal">
      <formula>"Napkin Hs"</formula>
    </cfRule>
  </conditionalFormatting>
  <conditionalFormatting sqref="C27">
    <cfRule type="cellIs" dxfId="14712" priority="21984" stopIfTrue="1" operator="equal">
      <formula>"Towel"</formula>
    </cfRule>
    <cfRule type="cellIs" dxfId="14711" priority="21985" stopIfTrue="1" operator="equal">
      <formula>"Napkin Hs"</formula>
    </cfRule>
  </conditionalFormatting>
  <conditionalFormatting sqref="C27">
    <cfRule type="cellIs" dxfId="14710" priority="21988" stopIfTrue="1" operator="equal">
      <formula>"Towel"</formula>
    </cfRule>
    <cfRule type="cellIs" dxfId="14709" priority="21989" stopIfTrue="1" operator="equal">
      <formula>"Napkin Hs"</formula>
    </cfRule>
  </conditionalFormatting>
  <conditionalFormatting sqref="C27">
    <cfRule type="cellIs" dxfId="14708" priority="21986" stopIfTrue="1" operator="equal">
      <formula>"Towel"</formula>
    </cfRule>
    <cfRule type="cellIs" dxfId="14707" priority="21987" stopIfTrue="1" operator="equal">
      <formula>"Napkin Hs"</formula>
    </cfRule>
  </conditionalFormatting>
  <conditionalFormatting sqref="C27">
    <cfRule type="cellIs" dxfId="14706" priority="21978" stopIfTrue="1" operator="equal">
      <formula>"Towel"</formula>
    </cfRule>
    <cfRule type="cellIs" dxfId="14705" priority="21979" stopIfTrue="1" operator="equal">
      <formula>"Napkin Hs"</formula>
    </cfRule>
  </conditionalFormatting>
  <conditionalFormatting sqref="C27">
    <cfRule type="cellIs" dxfId="14704" priority="21980" stopIfTrue="1" operator="equal">
      <formula>"Towel"</formula>
    </cfRule>
    <cfRule type="cellIs" dxfId="14703" priority="21981" stopIfTrue="1" operator="equal">
      <formula>"Napkin Hs"</formula>
    </cfRule>
  </conditionalFormatting>
  <conditionalFormatting sqref="C27">
    <cfRule type="cellIs" dxfId="14702" priority="21982" stopIfTrue="1" operator="equal">
      <formula>"Towel"</formula>
    </cfRule>
    <cfRule type="cellIs" dxfId="14701" priority="21983" stopIfTrue="1" operator="equal">
      <formula>"Napkin Hs"</formula>
    </cfRule>
  </conditionalFormatting>
  <conditionalFormatting sqref="B27:C27">
    <cfRule type="cellIs" dxfId="14700" priority="21976" stopIfTrue="1" operator="equal">
      <formula>"Towel"</formula>
    </cfRule>
    <cfRule type="cellIs" dxfId="14699" priority="21977" stopIfTrue="1" operator="equal">
      <formula>"Napkin Hs"</formula>
    </cfRule>
  </conditionalFormatting>
  <conditionalFormatting sqref="B27:C27">
    <cfRule type="cellIs" dxfId="14698" priority="21974" stopIfTrue="1" operator="equal">
      <formula>"Towel"</formula>
    </cfRule>
    <cfRule type="cellIs" dxfId="14697" priority="21975" stopIfTrue="1" operator="equal">
      <formula>"Napkin Hs"</formula>
    </cfRule>
  </conditionalFormatting>
  <conditionalFormatting sqref="B27:C27">
    <cfRule type="cellIs" dxfId="14696" priority="21950" stopIfTrue="1" operator="equal">
      <formula>"Towel"</formula>
    </cfRule>
  </conditionalFormatting>
  <conditionalFormatting sqref="B27:C27">
    <cfRule type="cellIs" dxfId="14695" priority="21951" stopIfTrue="1" operator="equal">
      <formula>"Napkin Hs"</formula>
    </cfRule>
    <cfRule type="cellIs" dxfId="14694" priority="21956" stopIfTrue="1" operator="equal">
      <formula>"Towel"</formula>
    </cfRule>
    <cfRule type="cellIs" dxfId="14693" priority="21957" stopIfTrue="1" operator="equal">
      <formula>"Napkin Hs"</formula>
    </cfRule>
    <cfRule type="cellIs" dxfId="14692" priority="21966" stopIfTrue="1" operator="equal">
      <formula>"Towel"</formula>
    </cfRule>
    <cfRule type="cellIs" dxfId="14691" priority="21967" stopIfTrue="1" operator="equal">
      <formula>"Napkin Hs"</formula>
    </cfRule>
    <cfRule type="cellIs" dxfId="14690" priority="21972" stopIfTrue="1" operator="equal">
      <formula>"Towel"</formula>
    </cfRule>
    <cfRule type="cellIs" dxfId="14689" priority="21973" stopIfTrue="1" operator="equal">
      <formula>"Napkin Hs"</formula>
    </cfRule>
  </conditionalFormatting>
  <conditionalFormatting sqref="C27">
    <cfRule type="cellIs" dxfId="14688" priority="21952" stopIfTrue="1" operator="equal">
      <formula>"Towel"</formula>
    </cfRule>
    <cfRule type="cellIs" dxfId="14687" priority="21953" stopIfTrue="1" operator="equal">
      <formula>"Napkin Hs"</formula>
    </cfRule>
    <cfRule type="cellIs" dxfId="14686" priority="21954" stopIfTrue="1" operator="equal">
      <formula>"Towel"</formula>
    </cfRule>
    <cfRule type="cellIs" dxfId="14685" priority="21955" stopIfTrue="1" operator="equal">
      <formula>"Napkin Hs"</formula>
    </cfRule>
    <cfRule type="cellIs" dxfId="14684" priority="21958" stopIfTrue="1" operator="equal">
      <formula>"Towel"</formula>
    </cfRule>
    <cfRule type="cellIs" dxfId="14683" priority="21959" stopIfTrue="1" operator="equal">
      <formula>"Napkin Hs"</formula>
    </cfRule>
    <cfRule type="cellIs" dxfId="14682" priority="21960" stopIfTrue="1" operator="equal">
      <formula>"Towel"</formula>
    </cfRule>
    <cfRule type="cellIs" dxfId="14681" priority="21961" stopIfTrue="1" operator="equal">
      <formula>"Napkin Hs"</formula>
    </cfRule>
    <cfRule type="cellIs" dxfId="14680" priority="21962" stopIfTrue="1" operator="equal">
      <formula>"Towel"</formula>
    </cfRule>
    <cfRule type="cellIs" dxfId="14679" priority="21963" stopIfTrue="1" operator="equal">
      <formula>"Napkin Hs"</formula>
    </cfRule>
    <cfRule type="cellIs" dxfId="14678" priority="21964" stopIfTrue="1" operator="equal">
      <formula>"Towel"</formula>
    </cfRule>
    <cfRule type="cellIs" dxfId="14677" priority="21965" stopIfTrue="1" operator="equal">
      <formula>"Napkin Hs"</formula>
    </cfRule>
    <cfRule type="cellIs" dxfId="14676" priority="21968" stopIfTrue="1" operator="equal">
      <formula>"Towel"</formula>
    </cfRule>
    <cfRule type="cellIs" dxfId="14675" priority="21969" stopIfTrue="1" operator="equal">
      <formula>"Napkin Hs"</formula>
    </cfRule>
    <cfRule type="cellIs" dxfId="14674" priority="21971" stopIfTrue="1" operator="equal">
      <formula>"Napkin Hs"</formula>
    </cfRule>
  </conditionalFormatting>
  <conditionalFormatting sqref="C27">
    <cfRule type="cellIs" dxfId="14673" priority="21970" stopIfTrue="1" operator="equal">
      <formula>"Towel"</formula>
    </cfRule>
  </conditionalFormatting>
  <conditionalFormatting sqref="B27:C27">
    <cfRule type="cellIs" dxfId="14672" priority="21948" stopIfTrue="1" operator="equal">
      <formula>"Towel"</formula>
    </cfRule>
    <cfRule type="cellIs" dxfId="14671" priority="21949" stopIfTrue="1" operator="equal">
      <formula>"Napkin Hs"</formula>
    </cfRule>
  </conditionalFormatting>
  <conditionalFormatting sqref="C27">
    <cfRule type="cellIs" dxfId="14670" priority="21947" stopIfTrue="1" operator="equal">
      <formula>"Napkin Hs"</formula>
    </cfRule>
  </conditionalFormatting>
  <conditionalFormatting sqref="C27">
    <cfRule type="cellIs" dxfId="14669" priority="21946" stopIfTrue="1" operator="equal">
      <formula>"Towel"</formula>
    </cfRule>
  </conditionalFormatting>
  <conditionalFormatting sqref="C27">
    <cfRule type="cellIs" dxfId="14668" priority="21944" stopIfTrue="1" operator="equal">
      <formula>"Towel"</formula>
    </cfRule>
  </conditionalFormatting>
  <conditionalFormatting sqref="C27">
    <cfRule type="cellIs" dxfId="14667" priority="21945" stopIfTrue="1" operator="equal">
      <formula>"Napkin Hs"</formula>
    </cfRule>
  </conditionalFormatting>
  <conditionalFormatting sqref="B27">
    <cfRule type="cellIs" dxfId="14666" priority="21848" stopIfTrue="1" operator="equal">
      <formula>"Napkin Hs"</formula>
    </cfRule>
  </conditionalFormatting>
  <conditionalFormatting sqref="B27:C27">
    <cfRule type="cellIs" dxfId="14665" priority="21847" stopIfTrue="1" operator="equal">
      <formula>"Towel"</formula>
    </cfRule>
  </conditionalFormatting>
  <conditionalFormatting sqref="B27:C27">
    <cfRule type="cellIs" dxfId="14664" priority="21858" stopIfTrue="1" operator="equal">
      <formula>"Towel"</formula>
    </cfRule>
    <cfRule type="cellIs" dxfId="14663" priority="21859" stopIfTrue="1" operator="equal">
      <formula>"Napkin Hs"</formula>
    </cfRule>
    <cfRule type="cellIs" dxfId="14662" priority="21864" stopIfTrue="1" operator="equal">
      <formula>"Towel"</formula>
    </cfRule>
    <cfRule type="cellIs" dxfId="14661" priority="21865" stopIfTrue="1" operator="equal">
      <formula>"Napkin Hs"</formula>
    </cfRule>
    <cfRule type="cellIs" dxfId="14660" priority="21870" stopIfTrue="1" operator="equal">
      <formula>"Towel"</formula>
    </cfRule>
    <cfRule type="cellIs" dxfId="14659" priority="21871" stopIfTrue="1" operator="equal">
      <formula>"Napkin Hs"</formula>
    </cfRule>
    <cfRule type="cellIs" dxfId="14658" priority="21872" stopIfTrue="1" operator="equal">
      <formula>"Towel"</formula>
    </cfRule>
    <cfRule type="cellIs" dxfId="14657" priority="21873" stopIfTrue="1" operator="equal">
      <formula>"Napkin Hs"</formula>
    </cfRule>
    <cfRule type="cellIs" dxfId="14656" priority="21878" stopIfTrue="1" operator="equal">
      <formula>"Towel"</formula>
    </cfRule>
    <cfRule type="cellIs" dxfId="14655" priority="21879" stopIfTrue="1" operator="equal">
      <formula>"Napkin Hs"</formula>
    </cfRule>
    <cfRule type="cellIs" dxfId="14654" priority="21888" stopIfTrue="1" operator="equal">
      <formula>"Towel"</formula>
    </cfRule>
    <cfRule type="cellIs" dxfId="14653" priority="21889" stopIfTrue="1" operator="equal">
      <formula>"Napkin Hs"</formula>
    </cfRule>
    <cfRule type="cellIs" dxfId="14652" priority="21894" stopIfTrue="1" operator="equal">
      <formula>"Towel"</formula>
    </cfRule>
    <cfRule type="cellIs" dxfId="14651" priority="21895" stopIfTrue="1" operator="equal">
      <formula>"Napkin Hs"</formula>
    </cfRule>
    <cfRule type="cellIs" dxfId="14650" priority="21896" stopIfTrue="1" operator="equal">
      <formula>"Towel"</formula>
    </cfRule>
    <cfRule type="cellIs" dxfId="14649" priority="21897" stopIfTrue="1" operator="equal">
      <formula>"Napkin Hs"</formula>
    </cfRule>
    <cfRule type="cellIs" dxfId="14648" priority="21902" stopIfTrue="1" operator="equal">
      <formula>"Towel"</formula>
    </cfRule>
    <cfRule type="cellIs" dxfId="14647" priority="21903" stopIfTrue="1" operator="equal">
      <formula>"Napkin Hs"</formula>
    </cfRule>
    <cfRule type="cellIs" dxfId="14646" priority="21912" stopIfTrue="1" operator="equal">
      <formula>"Towel"</formula>
    </cfRule>
    <cfRule type="cellIs" dxfId="14645" priority="21913" stopIfTrue="1" operator="equal">
      <formula>"Napkin Hs"</formula>
    </cfRule>
    <cfRule type="cellIs" dxfId="14644" priority="21914" stopIfTrue="1" operator="equal">
      <formula>"Towel"</formula>
    </cfRule>
    <cfRule type="cellIs" dxfId="14643" priority="21915" stopIfTrue="1" operator="equal">
      <formula>"Napkin Hs"</formula>
    </cfRule>
    <cfRule type="cellIs" dxfId="14642" priority="21920" stopIfTrue="1" operator="equal">
      <formula>"Towel"</formula>
    </cfRule>
    <cfRule type="cellIs" dxfId="14641" priority="21921" stopIfTrue="1" operator="equal">
      <formula>"Napkin Hs"</formula>
    </cfRule>
    <cfRule type="cellIs" dxfId="14640" priority="21930" stopIfTrue="1" operator="equal">
      <formula>"Towel"</formula>
    </cfRule>
    <cfRule type="cellIs" dxfId="14639" priority="21931" stopIfTrue="1" operator="equal">
      <formula>"Napkin Hs"</formula>
    </cfRule>
    <cfRule type="cellIs" dxfId="14638" priority="21932" stopIfTrue="1" operator="equal">
      <formula>"Towel"</formula>
    </cfRule>
    <cfRule type="cellIs" dxfId="14637" priority="21933" stopIfTrue="1" operator="equal">
      <formula>"Napkin Hs"</formula>
    </cfRule>
    <cfRule type="cellIs" dxfId="14636" priority="21939" stopIfTrue="1" operator="equal">
      <formula>"Napkin Hs"</formula>
    </cfRule>
  </conditionalFormatting>
  <conditionalFormatting sqref="B27:C27">
    <cfRule type="cellIs" dxfId="14635" priority="21938" stopIfTrue="1" operator="equal">
      <formula>"Towel"</formula>
    </cfRule>
  </conditionalFormatting>
  <conditionalFormatting sqref="C27">
    <cfRule type="cellIs" dxfId="14634" priority="21849" stopIfTrue="1" operator="equal">
      <formula>"Napkin Hs"</formula>
    </cfRule>
    <cfRule type="cellIs" dxfId="14633" priority="21850" stopIfTrue="1" operator="equal">
      <formula>"Towel"</formula>
    </cfRule>
    <cfRule type="cellIs" dxfId="14632" priority="21851" stopIfTrue="1" operator="equal">
      <formula>"Napkin Hs"</formula>
    </cfRule>
    <cfRule type="cellIs" dxfId="14631" priority="21852" stopIfTrue="1" operator="equal">
      <formula>"Towel"</formula>
    </cfRule>
    <cfRule type="cellIs" dxfId="14630" priority="21853" stopIfTrue="1" operator="equal">
      <formula>"Napkin Hs"</formula>
    </cfRule>
    <cfRule type="cellIs" dxfId="14629" priority="21854" stopIfTrue="1" operator="equal">
      <formula>"Towel"</formula>
    </cfRule>
    <cfRule type="cellIs" dxfId="14628" priority="21855" stopIfTrue="1" operator="equal">
      <formula>"Napkin Hs"</formula>
    </cfRule>
    <cfRule type="cellIs" dxfId="14627" priority="21856" stopIfTrue="1" operator="equal">
      <formula>"Towel"</formula>
    </cfRule>
    <cfRule type="cellIs" dxfId="14626" priority="21857" stopIfTrue="1" operator="equal">
      <formula>"Napkin Hs"</formula>
    </cfRule>
    <cfRule type="cellIs" dxfId="14625" priority="21860" stopIfTrue="1" operator="equal">
      <formula>"Towel"</formula>
    </cfRule>
    <cfRule type="cellIs" dxfId="14624" priority="21861" stopIfTrue="1" operator="equal">
      <formula>"Napkin Hs"</formula>
    </cfRule>
    <cfRule type="cellIs" dxfId="14623" priority="21862" stopIfTrue="1" operator="equal">
      <formula>"Towel"</formula>
    </cfRule>
    <cfRule type="cellIs" dxfId="14622" priority="21863" stopIfTrue="1" operator="equal">
      <formula>"Napkin Hs"</formula>
    </cfRule>
    <cfRule type="cellIs" dxfId="14621" priority="21866" stopIfTrue="1" operator="equal">
      <formula>"Towel"</formula>
    </cfRule>
    <cfRule type="cellIs" dxfId="14620" priority="21867" stopIfTrue="1" operator="equal">
      <formula>"Napkin Hs"</formula>
    </cfRule>
    <cfRule type="cellIs" dxfId="14619" priority="21868" stopIfTrue="1" operator="equal">
      <formula>"Towel"</formula>
    </cfRule>
    <cfRule type="cellIs" dxfId="14618" priority="21869" stopIfTrue="1" operator="equal">
      <formula>"Napkin Hs"</formula>
    </cfRule>
    <cfRule type="cellIs" dxfId="14617" priority="21874" stopIfTrue="1" operator="equal">
      <formula>"Towel"</formula>
    </cfRule>
    <cfRule type="cellIs" dxfId="14616" priority="21875" stopIfTrue="1" operator="equal">
      <formula>"Napkin Hs"</formula>
    </cfRule>
    <cfRule type="cellIs" dxfId="14615" priority="21876" stopIfTrue="1" operator="equal">
      <formula>"Towel"</formula>
    </cfRule>
    <cfRule type="cellIs" dxfId="14614" priority="21877" stopIfTrue="1" operator="equal">
      <formula>"Napkin Hs"</formula>
    </cfRule>
    <cfRule type="cellIs" dxfId="14613" priority="21880" stopIfTrue="1" operator="equal">
      <formula>"Towel"</formula>
    </cfRule>
    <cfRule type="cellIs" dxfId="14612" priority="21881" stopIfTrue="1" operator="equal">
      <formula>"Napkin Hs"</formula>
    </cfRule>
    <cfRule type="cellIs" dxfId="14611" priority="21882" stopIfTrue="1" operator="equal">
      <formula>"Towel"</formula>
    </cfRule>
    <cfRule type="cellIs" dxfId="14610" priority="21883" stopIfTrue="1" operator="equal">
      <formula>"Napkin Hs"</formula>
    </cfRule>
    <cfRule type="cellIs" dxfId="14609" priority="21884" stopIfTrue="1" operator="equal">
      <formula>"Towel"</formula>
    </cfRule>
    <cfRule type="cellIs" dxfId="14608" priority="21885" stopIfTrue="1" operator="equal">
      <formula>"Napkin Hs"</formula>
    </cfRule>
    <cfRule type="cellIs" dxfId="14607" priority="21886" stopIfTrue="1" operator="equal">
      <formula>"Towel"</formula>
    </cfRule>
    <cfRule type="cellIs" dxfId="14606" priority="21887" stopIfTrue="1" operator="equal">
      <formula>"Napkin Hs"</formula>
    </cfRule>
    <cfRule type="cellIs" dxfId="14605" priority="21890" stopIfTrue="1" operator="equal">
      <formula>"Towel"</formula>
    </cfRule>
    <cfRule type="cellIs" dxfId="14604" priority="21891" stopIfTrue="1" operator="equal">
      <formula>"Napkin Hs"</formula>
    </cfRule>
    <cfRule type="cellIs" dxfId="14603" priority="21892" stopIfTrue="1" operator="equal">
      <formula>"Towel"</formula>
    </cfRule>
    <cfRule type="cellIs" dxfId="14602" priority="21893" stopIfTrue="1" operator="equal">
      <formula>"Napkin Hs"</formula>
    </cfRule>
    <cfRule type="cellIs" dxfId="14601" priority="21898" stopIfTrue="1" operator="equal">
      <formula>"Towel"</formula>
    </cfRule>
    <cfRule type="cellIs" dxfId="14600" priority="21899" stopIfTrue="1" operator="equal">
      <formula>"Napkin Hs"</formula>
    </cfRule>
    <cfRule type="cellIs" dxfId="14599" priority="21900" stopIfTrue="1" operator="equal">
      <formula>"Towel"</formula>
    </cfRule>
    <cfRule type="cellIs" dxfId="14598" priority="21901" stopIfTrue="1" operator="equal">
      <formula>"Napkin Hs"</formula>
    </cfRule>
    <cfRule type="cellIs" dxfId="14597" priority="21904" stopIfTrue="1" operator="equal">
      <formula>"Towel"</formula>
    </cfRule>
    <cfRule type="cellIs" dxfId="14596" priority="21905" stopIfTrue="1" operator="equal">
      <formula>"Napkin Hs"</formula>
    </cfRule>
    <cfRule type="cellIs" dxfId="14595" priority="21906" stopIfTrue="1" operator="equal">
      <formula>"Towel"</formula>
    </cfRule>
    <cfRule type="cellIs" dxfId="14594" priority="21907" stopIfTrue="1" operator="equal">
      <formula>"Napkin Hs"</formula>
    </cfRule>
    <cfRule type="cellIs" dxfId="14593" priority="21908" stopIfTrue="1" operator="equal">
      <formula>"Towel"</formula>
    </cfRule>
    <cfRule type="cellIs" dxfId="14592" priority="21909" stopIfTrue="1" operator="equal">
      <formula>"Napkin Hs"</formula>
    </cfRule>
    <cfRule type="cellIs" dxfId="14591" priority="21910" stopIfTrue="1" operator="equal">
      <formula>"Towel"</formula>
    </cfRule>
    <cfRule type="cellIs" dxfId="14590" priority="21911" stopIfTrue="1" operator="equal">
      <formula>"Napkin Hs"</formula>
    </cfRule>
    <cfRule type="cellIs" dxfId="14589" priority="21916" stopIfTrue="1" operator="equal">
      <formula>"Towel"</formula>
    </cfRule>
    <cfRule type="cellIs" dxfId="14588" priority="21917" stopIfTrue="1" operator="equal">
      <formula>"Napkin Hs"</formula>
    </cfRule>
    <cfRule type="cellIs" dxfId="14587" priority="21918" stopIfTrue="1" operator="equal">
      <formula>"Towel"</formula>
    </cfRule>
    <cfRule type="cellIs" dxfId="14586" priority="21919" stopIfTrue="1" operator="equal">
      <formula>"Napkin Hs"</formula>
    </cfRule>
    <cfRule type="cellIs" dxfId="14585" priority="21922" stopIfTrue="1" operator="equal">
      <formula>"Towel"</formula>
    </cfRule>
    <cfRule type="cellIs" dxfId="14584" priority="21923" stopIfTrue="1" operator="equal">
      <formula>"Napkin Hs"</formula>
    </cfRule>
    <cfRule type="cellIs" dxfId="14583" priority="21924" stopIfTrue="1" operator="equal">
      <formula>"Towel"</formula>
    </cfRule>
    <cfRule type="cellIs" dxfId="14582" priority="21925" stopIfTrue="1" operator="equal">
      <formula>"Napkin Hs"</formula>
    </cfRule>
    <cfRule type="cellIs" dxfId="14581" priority="21926" stopIfTrue="1" operator="equal">
      <formula>"Towel"</formula>
    </cfRule>
    <cfRule type="cellIs" dxfId="14580" priority="21927" stopIfTrue="1" operator="equal">
      <formula>"Napkin Hs"</formula>
    </cfRule>
    <cfRule type="cellIs" dxfId="14579" priority="21928" stopIfTrue="1" operator="equal">
      <formula>"Towel"</formula>
    </cfRule>
    <cfRule type="cellIs" dxfId="14578" priority="21929" stopIfTrue="1" operator="equal">
      <formula>"Napkin Hs"</formula>
    </cfRule>
    <cfRule type="cellIs" dxfId="14577" priority="21934" stopIfTrue="1" operator="equal">
      <formula>"Towel"</formula>
    </cfRule>
    <cfRule type="cellIs" dxfId="14576" priority="21935" stopIfTrue="1" operator="equal">
      <formula>"Napkin Hs"</formula>
    </cfRule>
    <cfRule type="cellIs" dxfId="14575" priority="21936" stopIfTrue="1" operator="equal">
      <formula>"Towel"</formula>
    </cfRule>
    <cfRule type="cellIs" dxfId="14574" priority="21937" stopIfTrue="1" operator="equal">
      <formula>"Napkin Hs"</formula>
    </cfRule>
    <cfRule type="cellIs" dxfId="14573" priority="21940" stopIfTrue="1" operator="equal">
      <formula>"Towel"</formula>
    </cfRule>
    <cfRule type="cellIs" dxfId="14572" priority="21941" stopIfTrue="1" operator="equal">
      <formula>"Napkin Hs"</formula>
    </cfRule>
    <cfRule type="cellIs" dxfId="14571" priority="21942" stopIfTrue="1" operator="equal">
      <formula>"Towel"</formula>
    </cfRule>
    <cfRule type="cellIs" dxfId="14570" priority="21943" stopIfTrue="1" operator="equal">
      <formula>"Napkin Hs"</formula>
    </cfRule>
  </conditionalFormatting>
  <conditionalFormatting sqref="C27">
    <cfRule type="cellIs" dxfId="14569" priority="21846" stopIfTrue="1" operator="equal">
      <formula>"Napkin Hs"</formula>
    </cfRule>
  </conditionalFormatting>
  <conditionalFormatting sqref="C27">
    <cfRule type="cellIs" dxfId="14568" priority="21845" stopIfTrue="1" operator="equal">
      <formula>"Napkin Hs"</formula>
    </cfRule>
  </conditionalFormatting>
  <conditionalFormatting sqref="B27">
    <cfRule type="cellIs" dxfId="14567" priority="21844" stopIfTrue="1" operator="equal">
      <formula>"Napkin Hs"</formula>
    </cfRule>
  </conditionalFormatting>
  <conditionalFormatting sqref="C27">
    <cfRule type="cellIs" dxfId="14566" priority="21843" stopIfTrue="1" operator="equal">
      <formula>"Napkin Hs"</formula>
    </cfRule>
  </conditionalFormatting>
  <conditionalFormatting sqref="C27">
    <cfRule type="cellIs" dxfId="14565" priority="21842" stopIfTrue="1" operator="equal">
      <formula>"Napkin Hs"</formula>
    </cfRule>
  </conditionalFormatting>
  <conditionalFormatting sqref="C27">
    <cfRule type="cellIs" dxfId="14564" priority="21841" stopIfTrue="1" operator="equal">
      <formula>"Napkin Hs"</formula>
    </cfRule>
  </conditionalFormatting>
  <conditionalFormatting sqref="C27">
    <cfRule type="cellIs" dxfId="14563" priority="21840" stopIfTrue="1" operator="equal">
      <formula>"Napkin Hs"</formula>
    </cfRule>
  </conditionalFormatting>
  <conditionalFormatting sqref="B27">
    <cfRule type="cellIs" dxfId="14562" priority="21839" stopIfTrue="1" operator="equal">
      <formula>"Napkin Hs"</formula>
    </cfRule>
  </conditionalFormatting>
  <conditionalFormatting sqref="B27">
    <cfRule type="cellIs" dxfId="14561" priority="21838" stopIfTrue="1" operator="equal">
      <formula>"Napkin Hs"</formula>
    </cfRule>
  </conditionalFormatting>
  <conditionalFormatting sqref="C27">
    <cfRule type="cellIs" dxfId="14560" priority="21834" stopIfTrue="1" operator="equal">
      <formula>"Towel"</formula>
    </cfRule>
    <cfRule type="cellIs" dxfId="14559" priority="21835" stopIfTrue="1" operator="equal">
      <formula>"Napkin Hs"</formula>
    </cfRule>
  </conditionalFormatting>
  <conditionalFormatting sqref="C27">
    <cfRule type="cellIs" dxfId="14558" priority="21836" stopIfTrue="1" operator="equal">
      <formula>"Towel"</formula>
    </cfRule>
    <cfRule type="cellIs" dxfId="14557" priority="21837" stopIfTrue="1" operator="equal">
      <formula>"Napkin Hs"</formula>
    </cfRule>
  </conditionalFormatting>
  <conditionalFormatting sqref="C27">
    <cfRule type="cellIs" dxfId="14556" priority="21830" stopIfTrue="1" operator="equal">
      <formula>"Towel"</formula>
    </cfRule>
    <cfRule type="cellIs" dxfId="14555" priority="21831" stopIfTrue="1" operator="equal">
      <formula>"Napkin Hs"</formula>
    </cfRule>
  </conditionalFormatting>
  <conditionalFormatting sqref="C27">
    <cfRule type="cellIs" dxfId="14554" priority="21832" stopIfTrue="1" operator="equal">
      <formula>"Towel"</formula>
    </cfRule>
    <cfRule type="cellIs" dxfId="14553" priority="21833" stopIfTrue="1" operator="equal">
      <formula>"Napkin Hs"</formula>
    </cfRule>
  </conditionalFormatting>
  <conditionalFormatting sqref="C25">
    <cfRule type="cellIs" dxfId="14552" priority="21826" stopIfTrue="1" operator="equal">
      <formula>"Towel"</formula>
    </cfRule>
    <cfRule type="cellIs" dxfId="14551" priority="21827" stopIfTrue="1" operator="equal">
      <formula>"Napkin Hs"</formula>
    </cfRule>
  </conditionalFormatting>
  <conditionalFormatting sqref="C25">
    <cfRule type="cellIs" dxfId="14550" priority="21828" stopIfTrue="1" operator="equal">
      <formula>"Towel"</formula>
    </cfRule>
    <cfRule type="cellIs" dxfId="14549" priority="21829" stopIfTrue="1" operator="equal">
      <formula>"Napkin Hs"</formula>
    </cfRule>
  </conditionalFormatting>
  <conditionalFormatting sqref="C25">
    <cfRule type="cellIs" dxfId="14548" priority="21824" stopIfTrue="1" operator="equal">
      <formula>"Towel"</formula>
    </cfRule>
    <cfRule type="cellIs" dxfId="14547" priority="21825" stopIfTrue="1" operator="equal">
      <formula>"Napkin Hs"</formula>
    </cfRule>
  </conditionalFormatting>
  <conditionalFormatting sqref="B25">
    <cfRule type="cellIs" dxfId="14546" priority="21822" stopIfTrue="1" operator="equal">
      <formula>"Towel"</formula>
    </cfRule>
    <cfRule type="cellIs" dxfId="14545" priority="21823" stopIfTrue="1" operator="equal">
      <formula>"Napkin Hs"</formula>
    </cfRule>
  </conditionalFormatting>
  <conditionalFormatting sqref="C25">
    <cfRule type="cellIs" dxfId="14544" priority="21816" stopIfTrue="1" operator="equal">
      <formula>"Towel"</formula>
    </cfRule>
    <cfRule type="cellIs" dxfId="14543" priority="21817" stopIfTrue="1" operator="equal">
      <formula>"Napkin Hs"</formula>
    </cfRule>
  </conditionalFormatting>
  <conditionalFormatting sqref="C25">
    <cfRule type="cellIs" dxfId="14542" priority="21820" stopIfTrue="1" operator="equal">
      <formula>"Towel"</formula>
    </cfRule>
    <cfRule type="cellIs" dxfId="14541" priority="21821" stopIfTrue="1" operator="equal">
      <formula>"Napkin Hs"</formula>
    </cfRule>
  </conditionalFormatting>
  <conditionalFormatting sqref="C25">
    <cfRule type="cellIs" dxfId="14540" priority="21818" stopIfTrue="1" operator="equal">
      <formula>"Towel"</formula>
    </cfRule>
    <cfRule type="cellIs" dxfId="14539" priority="21819" stopIfTrue="1" operator="equal">
      <formula>"Napkin Hs"</formula>
    </cfRule>
  </conditionalFormatting>
  <conditionalFormatting sqref="C25">
    <cfRule type="cellIs" dxfId="14538" priority="21810" stopIfTrue="1" operator="equal">
      <formula>"Towel"</formula>
    </cfRule>
    <cfRule type="cellIs" dxfId="14537" priority="21811" stopIfTrue="1" operator="equal">
      <formula>"Napkin Hs"</formula>
    </cfRule>
  </conditionalFormatting>
  <conditionalFormatting sqref="C25">
    <cfRule type="cellIs" dxfId="14536" priority="21812" stopIfTrue="1" operator="equal">
      <formula>"Towel"</formula>
    </cfRule>
    <cfRule type="cellIs" dxfId="14535" priority="21813" stopIfTrue="1" operator="equal">
      <formula>"Napkin Hs"</formula>
    </cfRule>
  </conditionalFormatting>
  <conditionalFormatting sqref="C25">
    <cfRule type="cellIs" dxfId="14534" priority="21814" stopIfTrue="1" operator="equal">
      <formula>"Towel"</formula>
    </cfRule>
    <cfRule type="cellIs" dxfId="14533" priority="21815" stopIfTrue="1" operator="equal">
      <formula>"Napkin Hs"</formula>
    </cfRule>
  </conditionalFormatting>
  <conditionalFormatting sqref="B25:C25">
    <cfRule type="cellIs" dxfId="14532" priority="21808" stopIfTrue="1" operator="equal">
      <formula>"Towel"</formula>
    </cfRule>
    <cfRule type="cellIs" dxfId="14531" priority="21809" stopIfTrue="1" operator="equal">
      <formula>"Napkin Hs"</formula>
    </cfRule>
  </conditionalFormatting>
  <conditionalFormatting sqref="B25:C25">
    <cfRule type="cellIs" dxfId="14530" priority="21806" stopIfTrue="1" operator="equal">
      <formula>"Towel"</formula>
    </cfRule>
    <cfRule type="cellIs" dxfId="14529" priority="21807" stopIfTrue="1" operator="equal">
      <formula>"Napkin Hs"</formula>
    </cfRule>
  </conditionalFormatting>
  <conditionalFormatting sqref="B25:C25">
    <cfRule type="cellIs" dxfId="14528" priority="21782" stopIfTrue="1" operator="equal">
      <formula>"Towel"</formula>
    </cfRule>
  </conditionalFormatting>
  <conditionalFormatting sqref="B25:C25">
    <cfRule type="cellIs" dxfId="14527" priority="21783" stopIfTrue="1" operator="equal">
      <formula>"Napkin Hs"</formula>
    </cfRule>
    <cfRule type="cellIs" dxfId="14526" priority="21788" stopIfTrue="1" operator="equal">
      <formula>"Towel"</formula>
    </cfRule>
    <cfRule type="cellIs" dxfId="14525" priority="21789" stopIfTrue="1" operator="equal">
      <formula>"Napkin Hs"</formula>
    </cfRule>
    <cfRule type="cellIs" dxfId="14524" priority="21798" stopIfTrue="1" operator="equal">
      <formula>"Towel"</formula>
    </cfRule>
    <cfRule type="cellIs" dxfId="14523" priority="21799" stopIfTrue="1" operator="equal">
      <formula>"Napkin Hs"</formula>
    </cfRule>
    <cfRule type="cellIs" dxfId="14522" priority="21804" stopIfTrue="1" operator="equal">
      <formula>"Towel"</formula>
    </cfRule>
    <cfRule type="cellIs" dxfId="14521" priority="21805" stopIfTrue="1" operator="equal">
      <formula>"Napkin Hs"</formula>
    </cfRule>
  </conditionalFormatting>
  <conditionalFormatting sqref="C25">
    <cfRule type="cellIs" dxfId="14520" priority="21784" stopIfTrue="1" operator="equal">
      <formula>"Towel"</formula>
    </cfRule>
    <cfRule type="cellIs" dxfId="14519" priority="21785" stopIfTrue="1" operator="equal">
      <formula>"Napkin Hs"</formula>
    </cfRule>
    <cfRule type="cellIs" dxfId="14518" priority="21786" stopIfTrue="1" operator="equal">
      <formula>"Towel"</formula>
    </cfRule>
    <cfRule type="cellIs" dxfId="14517" priority="21787" stopIfTrue="1" operator="equal">
      <formula>"Napkin Hs"</formula>
    </cfRule>
    <cfRule type="cellIs" dxfId="14516" priority="21790" stopIfTrue="1" operator="equal">
      <formula>"Towel"</formula>
    </cfRule>
    <cfRule type="cellIs" dxfId="14515" priority="21791" stopIfTrue="1" operator="equal">
      <formula>"Napkin Hs"</formula>
    </cfRule>
    <cfRule type="cellIs" dxfId="14514" priority="21792" stopIfTrue="1" operator="equal">
      <formula>"Towel"</formula>
    </cfRule>
    <cfRule type="cellIs" dxfId="14513" priority="21793" stopIfTrue="1" operator="equal">
      <formula>"Napkin Hs"</formula>
    </cfRule>
    <cfRule type="cellIs" dxfId="14512" priority="21794" stopIfTrue="1" operator="equal">
      <formula>"Towel"</formula>
    </cfRule>
    <cfRule type="cellIs" dxfId="14511" priority="21795" stopIfTrue="1" operator="equal">
      <formula>"Napkin Hs"</formula>
    </cfRule>
    <cfRule type="cellIs" dxfId="14510" priority="21796" stopIfTrue="1" operator="equal">
      <formula>"Towel"</formula>
    </cfRule>
    <cfRule type="cellIs" dxfId="14509" priority="21797" stopIfTrue="1" operator="equal">
      <formula>"Napkin Hs"</formula>
    </cfRule>
    <cfRule type="cellIs" dxfId="14508" priority="21800" stopIfTrue="1" operator="equal">
      <formula>"Towel"</formula>
    </cfRule>
    <cfRule type="cellIs" dxfId="14507" priority="21801" stopIfTrue="1" operator="equal">
      <formula>"Napkin Hs"</formula>
    </cfRule>
    <cfRule type="cellIs" dxfId="14506" priority="21803" stopIfTrue="1" operator="equal">
      <formula>"Napkin Hs"</formula>
    </cfRule>
  </conditionalFormatting>
  <conditionalFormatting sqref="C25">
    <cfRule type="cellIs" dxfId="14505" priority="21802" stopIfTrue="1" operator="equal">
      <formula>"Towel"</formula>
    </cfRule>
  </conditionalFormatting>
  <conditionalFormatting sqref="B25:C25">
    <cfRule type="cellIs" dxfId="14504" priority="21780" stopIfTrue="1" operator="equal">
      <formula>"Towel"</formula>
    </cfRule>
    <cfRule type="cellIs" dxfId="14503" priority="21781" stopIfTrue="1" operator="equal">
      <formula>"Napkin Hs"</formula>
    </cfRule>
  </conditionalFormatting>
  <conditionalFormatting sqref="C25">
    <cfRule type="cellIs" dxfId="14502" priority="21779" stopIfTrue="1" operator="equal">
      <formula>"Napkin Hs"</formula>
    </cfRule>
  </conditionalFormatting>
  <conditionalFormatting sqref="C25">
    <cfRule type="cellIs" dxfId="14501" priority="21778" stopIfTrue="1" operator="equal">
      <formula>"Towel"</formula>
    </cfRule>
  </conditionalFormatting>
  <conditionalFormatting sqref="C25">
    <cfRule type="cellIs" dxfId="14500" priority="21776" stopIfTrue="1" operator="equal">
      <formula>"Towel"</formula>
    </cfRule>
  </conditionalFormatting>
  <conditionalFormatting sqref="C25">
    <cfRule type="cellIs" dxfId="14499" priority="21777" stopIfTrue="1" operator="equal">
      <formula>"Napkin Hs"</formula>
    </cfRule>
  </conditionalFormatting>
  <conditionalFormatting sqref="B25">
    <cfRule type="cellIs" dxfId="14498" priority="21680" stopIfTrue="1" operator="equal">
      <formula>"Napkin Hs"</formula>
    </cfRule>
  </conditionalFormatting>
  <conditionalFormatting sqref="B25:C25">
    <cfRule type="cellIs" dxfId="14497" priority="21679" stopIfTrue="1" operator="equal">
      <formula>"Towel"</formula>
    </cfRule>
  </conditionalFormatting>
  <conditionalFormatting sqref="B25:C25">
    <cfRule type="cellIs" dxfId="14496" priority="21690" stopIfTrue="1" operator="equal">
      <formula>"Towel"</formula>
    </cfRule>
    <cfRule type="cellIs" dxfId="14495" priority="21691" stopIfTrue="1" operator="equal">
      <formula>"Napkin Hs"</formula>
    </cfRule>
    <cfRule type="cellIs" dxfId="14494" priority="21696" stopIfTrue="1" operator="equal">
      <formula>"Towel"</formula>
    </cfRule>
    <cfRule type="cellIs" dxfId="14493" priority="21697" stopIfTrue="1" operator="equal">
      <formula>"Napkin Hs"</formula>
    </cfRule>
    <cfRule type="cellIs" dxfId="14492" priority="21702" stopIfTrue="1" operator="equal">
      <formula>"Towel"</formula>
    </cfRule>
    <cfRule type="cellIs" dxfId="14491" priority="21703" stopIfTrue="1" operator="equal">
      <formula>"Napkin Hs"</formula>
    </cfRule>
    <cfRule type="cellIs" dxfId="14490" priority="21704" stopIfTrue="1" operator="equal">
      <formula>"Towel"</formula>
    </cfRule>
    <cfRule type="cellIs" dxfId="14489" priority="21705" stopIfTrue="1" operator="equal">
      <formula>"Napkin Hs"</formula>
    </cfRule>
    <cfRule type="cellIs" dxfId="14488" priority="21710" stopIfTrue="1" operator="equal">
      <formula>"Towel"</formula>
    </cfRule>
    <cfRule type="cellIs" dxfId="14487" priority="21711" stopIfTrue="1" operator="equal">
      <formula>"Napkin Hs"</formula>
    </cfRule>
    <cfRule type="cellIs" dxfId="14486" priority="21720" stopIfTrue="1" operator="equal">
      <formula>"Towel"</formula>
    </cfRule>
    <cfRule type="cellIs" dxfId="14485" priority="21721" stopIfTrue="1" operator="equal">
      <formula>"Napkin Hs"</formula>
    </cfRule>
    <cfRule type="cellIs" dxfId="14484" priority="21726" stopIfTrue="1" operator="equal">
      <formula>"Towel"</formula>
    </cfRule>
    <cfRule type="cellIs" dxfId="14483" priority="21727" stopIfTrue="1" operator="equal">
      <formula>"Napkin Hs"</formula>
    </cfRule>
    <cfRule type="cellIs" dxfId="14482" priority="21728" stopIfTrue="1" operator="equal">
      <formula>"Towel"</formula>
    </cfRule>
    <cfRule type="cellIs" dxfId="14481" priority="21729" stopIfTrue="1" operator="equal">
      <formula>"Napkin Hs"</formula>
    </cfRule>
    <cfRule type="cellIs" dxfId="14480" priority="21734" stopIfTrue="1" operator="equal">
      <formula>"Towel"</formula>
    </cfRule>
    <cfRule type="cellIs" dxfId="14479" priority="21735" stopIfTrue="1" operator="equal">
      <formula>"Napkin Hs"</formula>
    </cfRule>
    <cfRule type="cellIs" dxfId="14478" priority="21744" stopIfTrue="1" operator="equal">
      <formula>"Towel"</formula>
    </cfRule>
    <cfRule type="cellIs" dxfId="14477" priority="21745" stopIfTrue="1" operator="equal">
      <formula>"Napkin Hs"</formula>
    </cfRule>
    <cfRule type="cellIs" dxfId="14476" priority="21746" stopIfTrue="1" operator="equal">
      <formula>"Towel"</formula>
    </cfRule>
    <cfRule type="cellIs" dxfId="14475" priority="21747" stopIfTrue="1" operator="equal">
      <formula>"Napkin Hs"</formula>
    </cfRule>
    <cfRule type="cellIs" dxfId="14474" priority="21752" stopIfTrue="1" operator="equal">
      <formula>"Towel"</formula>
    </cfRule>
    <cfRule type="cellIs" dxfId="14473" priority="21753" stopIfTrue="1" operator="equal">
      <formula>"Napkin Hs"</formula>
    </cfRule>
    <cfRule type="cellIs" dxfId="14472" priority="21762" stopIfTrue="1" operator="equal">
      <formula>"Towel"</formula>
    </cfRule>
    <cfRule type="cellIs" dxfId="14471" priority="21763" stopIfTrue="1" operator="equal">
      <formula>"Napkin Hs"</formula>
    </cfRule>
    <cfRule type="cellIs" dxfId="14470" priority="21764" stopIfTrue="1" operator="equal">
      <formula>"Towel"</formula>
    </cfRule>
    <cfRule type="cellIs" dxfId="14469" priority="21765" stopIfTrue="1" operator="equal">
      <formula>"Napkin Hs"</formula>
    </cfRule>
    <cfRule type="cellIs" dxfId="14468" priority="21771" stopIfTrue="1" operator="equal">
      <formula>"Napkin Hs"</formula>
    </cfRule>
  </conditionalFormatting>
  <conditionalFormatting sqref="B25:C25">
    <cfRule type="cellIs" dxfId="14467" priority="21770" stopIfTrue="1" operator="equal">
      <formula>"Towel"</formula>
    </cfRule>
  </conditionalFormatting>
  <conditionalFormatting sqref="C25">
    <cfRule type="cellIs" dxfId="14466" priority="21681" stopIfTrue="1" operator="equal">
      <formula>"Napkin Hs"</formula>
    </cfRule>
    <cfRule type="cellIs" dxfId="14465" priority="21682" stopIfTrue="1" operator="equal">
      <formula>"Towel"</formula>
    </cfRule>
    <cfRule type="cellIs" dxfId="14464" priority="21683" stopIfTrue="1" operator="equal">
      <formula>"Napkin Hs"</formula>
    </cfRule>
    <cfRule type="cellIs" dxfId="14463" priority="21684" stopIfTrue="1" operator="equal">
      <formula>"Towel"</formula>
    </cfRule>
    <cfRule type="cellIs" dxfId="14462" priority="21685" stopIfTrue="1" operator="equal">
      <formula>"Napkin Hs"</formula>
    </cfRule>
    <cfRule type="cellIs" dxfId="14461" priority="21686" stopIfTrue="1" operator="equal">
      <formula>"Towel"</formula>
    </cfRule>
    <cfRule type="cellIs" dxfId="14460" priority="21687" stopIfTrue="1" operator="equal">
      <formula>"Napkin Hs"</formula>
    </cfRule>
    <cfRule type="cellIs" dxfId="14459" priority="21688" stopIfTrue="1" operator="equal">
      <formula>"Towel"</formula>
    </cfRule>
    <cfRule type="cellIs" dxfId="14458" priority="21689" stopIfTrue="1" operator="equal">
      <formula>"Napkin Hs"</formula>
    </cfRule>
    <cfRule type="cellIs" dxfId="14457" priority="21692" stopIfTrue="1" operator="equal">
      <formula>"Towel"</formula>
    </cfRule>
    <cfRule type="cellIs" dxfId="14456" priority="21693" stopIfTrue="1" operator="equal">
      <formula>"Napkin Hs"</formula>
    </cfRule>
    <cfRule type="cellIs" dxfId="14455" priority="21694" stopIfTrue="1" operator="equal">
      <formula>"Towel"</formula>
    </cfRule>
    <cfRule type="cellIs" dxfId="14454" priority="21695" stopIfTrue="1" operator="equal">
      <formula>"Napkin Hs"</formula>
    </cfRule>
    <cfRule type="cellIs" dxfId="14453" priority="21698" stopIfTrue="1" operator="equal">
      <formula>"Towel"</formula>
    </cfRule>
    <cfRule type="cellIs" dxfId="14452" priority="21699" stopIfTrue="1" operator="equal">
      <formula>"Napkin Hs"</formula>
    </cfRule>
    <cfRule type="cellIs" dxfId="14451" priority="21700" stopIfTrue="1" operator="equal">
      <formula>"Towel"</formula>
    </cfRule>
    <cfRule type="cellIs" dxfId="14450" priority="21701" stopIfTrue="1" operator="equal">
      <formula>"Napkin Hs"</formula>
    </cfRule>
    <cfRule type="cellIs" dxfId="14449" priority="21706" stopIfTrue="1" operator="equal">
      <formula>"Towel"</formula>
    </cfRule>
    <cfRule type="cellIs" dxfId="14448" priority="21707" stopIfTrue="1" operator="equal">
      <formula>"Napkin Hs"</formula>
    </cfRule>
    <cfRule type="cellIs" dxfId="14447" priority="21708" stopIfTrue="1" operator="equal">
      <formula>"Towel"</formula>
    </cfRule>
    <cfRule type="cellIs" dxfId="14446" priority="21709" stopIfTrue="1" operator="equal">
      <formula>"Napkin Hs"</formula>
    </cfRule>
    <cfRule type="cellIs" dxfId="14445" priority="21712" stopIfTrue="1" operator="equal">
      <formula>"Towel"</formula>
    </cfRule>
    <cfRule type="cellIs" dxfId="14444" priority="21713" stopIfTrue="1" operator="equal">
      <formula>"Napkin Hs"</formula>
    </cfRule>
    <cfRule type="cellIs" dxfId="14443" priority="21714" stopIfTrue="1" operator="equal">
      <formula>"Towel"</formula>
    </cfRule>
    <cfRule type="cellIs" dxfId="14442" priority="21715" stopIfTrue="1" operator="equal">
      <formula>"Napkin Hs"</formula>
    </cfRule>
    <cfRule type="cellIs" dxfId="14441" priority="21716" stopIfTrue="1" operator="equal">
      <formula>"Towel"</formula>
    </cfRule>
    <cfRule type="cellIs" dxfId="14440" priority="21717" stopIfTrue="1" operator="equal">
      <formula>"Napkin Hs"</formula>
    </cfRule>
    <cfRule type="cellIs" dxfId="14439" priority="21718" stopIfTrue="1" operator="equal">
      <formula>"Towel"</formula>
    </cfRule>
    <cfRule type="cellIs" dxfId="14438" priority="21719" stopIfTrue="1" operator="equal">
      <formula>"Napkin Hs"</formula>
    </cfRule>
    <cfRule type="cellIs" dxfId="14437" priority="21722" stopIfTrue="1" operator="equal">
      <formula>"Towel"</formula>
    </cfRule>
    <cfRule type="cellIs" dxfId="14436" priority="21723" stopIfTrue="1" operator="equal">
      <formula>"Napkin Hs"</formula>
    </cfRule>
    <cfRule type="cellIs" dxfId="14435" priority="21724" stopIfTrue="1" operator="equal">
      <formula>"Towel"</formula>
    </cfRule>
    <cfRule type="cellIs" dxfId="14434" priority="21725" stopIfTrue="1" operator="equal">
      <formula>"Napkin Hs"</formula>
    </cfRule>
    <cfRule type="cellIs" dxfId="14433" priority="21730" stopIfTrue="1" operator="equal">
      <formula>"Towel"</formula>
    </cfRule>
    <cfRule type="cellIs" dxfId="14432" priority="21731" stopIfTrue="1" operator="equal">
      <formula>"Napkin Hs"</formula>
    </cfRule>
    <cfRule type="cellIs" dxfId="14431" priority="21732" stopIfTrue="1" operator="equal">
      <formula>"Towel"</formula>
    </cfRule>
    <cfRule type="cellIs" dxfId="14430" priority="21733" stopIfTrue="1" operator="equal">
      <formula>"Napkin Hs"</formula>
    </cfRule>
    <cfRule type="cellIs" dxfId="14429" priority="21736" stopIfTrue="1" operator="equal">
      <formula>"Towel"</formula>
    </cfRule>
    <cfRule type="cellIs" dxfId="14428" priority="21737" stopIfTrue="1" operator="equal">
      <formula>"Napkin Hs"</formula>
    </cfRule>
    <cfRule type="cellIs" dxfId="14427" priority="21738" stopIfTrue="1" operator="equal">
      <formula>"Towel"</formula>
    </cfRule>
    <cfRule type="cellIs" dxfId="14426" priority="21739" stopIfTrue="1" operator="equal">
      <formula>"Napkin Hs"</formula>
    </cfRule>
    <cfRule type="cellIs" dxfId="14425" priority="21740" stopIfTrue="1" operator="equal">
      <formula>"Towel"</formula>
    </cfRule>
    <cfRule type="cellIs" dxfId="14424" priority="21741" stopIfTrue="1" operator="equal">
      <formula>"Napkin Hs"</formula>
    </cfRule>
    <cfRule type="cellIs" dxfId="14423" priority="21742" stopIfTrue="1" operator="equal">
      <formula>"Towel"</formula>
    </cfRule>
    <cfRule type="cellIs" dxfId="14422" priority="21743" stopIfTrue="1" operator="equal">
      <formula>"Napkin Hs"</formula>
    </cfRule>
    <cfRule type="cellIs" dxfId="14421" priority="21748" stopIfTrue="1" operator="equal">
      <formula>"Towel"</formula>
    </cfRule>
    <cfRule type="cellIs" dxfId="14420" priority="21749" stopIfTrue="1" operator="equal">
      <formula>"Napkin Hs"</formula>
    </cfRule>
    <cfRule type="cellIs" dxfId="14419" priority="21750" stopIfTrue="1" operator="equal">
      <formula>"Towel"</formula>
    </cfRule>
    <cfRule type="cellIs" dxfId="14418" priority="21751" stopIfTrue="1" operator="equal">
      <formula>"Napkin Hs"</formula>
    </cfRule>
    <cfRule type="cellIs" dxfId="14417" priority="21754" stopIfTrue="1" operator="equal">
      <formula>"Towel"</formula>
    </cfRule>
    <cfRule type="cellIs" dxfId="14416" priority="21755" stopIfTrue="1" operator="equal">
      <formula>"Napkin Hs"</formula>
    </cfRule>
    <cfRule type="cellIs" dxfId="14415" priority="21756" stopIfTrue="1" operator="equal">
      <formula>"Towel"</formula>
    </cfRule>
    <cfRule type="cellIs" dxfId="14414" priority="21757" stopIfTrue="1" operator="equal">
      <formula>"Napkin Hs"</formula>
    </cfRule>
    <cfRule type="cellIs" dxfId="14413" priority="21758" stopIfTrue="1" operator="equal">
      <formula>"Towel"</formula>
    </cfRule>
    <cfRule type="cellIs" dxfId="14412" priority="21759" stopIfTrue="1" operator="equal">
      <formula>"Napkin Hs"</formula>
    </cfRule>
    <cfRule type="cellIs" dxfId="14411" priority="21760" stopIfTrue="1" operator="equal">
      <formula>"Towel"</formula>
    </cfRule>
    <cfRule type="cellIs" dxfId="14410" priority="21761" stopIfTrue="1" operator="equal">
      <formula>"Napkin Hs"</formula>
    </cfRule>
    <cfRule type="cellIs" dxfId="14409" priority="21766" stopIfTrue="1" operator="equal">
      <formula>"Towel"</formula>
    </cfRule>
    <cfRule type="cellIs" dxfId="14408" priority="21767" stopIfTrue="1" operator="equal">
      <formula>"Napkin Hs"</formula>
    </cfRule>
    <cfRule type="cellIs" dxfId="14407" priority="21768" stopIfTrue="1" operator="equal">
      <formula>"Towel"</formula>
    </cfRule>
    <cfRule type="cellIs" dxfId="14406" priority="21769" stopIfTrue="1" operator="equal">
      <formula>"Napkin Hs"</formula>
    </cfRule>
    <cfRule type="cellIs" dxfId="14405" priority="21772" stopIfTrue="1" operator="equal">
      <formula>"Towel"</formula>
    </cfRule>
    <cfRule type="cellIs" dxfId="14404" priority="21773" stopIfTrue="1" operator="equal">
      <formula>"Napkin Hs"</formula>
    </cfRule>
    <cfRule type="cellIs" dxfId="14403" priority="21774" stopIfTrue="1" operator="equal">
      <formula>"Towel"</formula>
    </cfRule>
    <cfRule type="cellIs" dxfId="14402" priority="21775" stopIfTrue="1" operator="equal">
      <formula>"Napkin Hs"</formula>
    </cfRule>
  </conditionalFormatting>
  <conditionalFormatting sqref="C25">
    <cfRule type="cellIs" dxfId="14401" priority="21678" stopIfTrue="1" operator="equal">
      <formula>"Napkin Hs"</formula>
    </cfRule>
  </conditionalFormatting>
  <conditionalFormatting sqref="C25">
    <cfRule type="cellIs" dxfId="14400" priority="21677" stopIfTrue="1" operator="equal">
      <formula>"Napkin Hs"</formula>
    </cfRule>
  </conditionalFormatting>
  <conditionalFormatting sqref="B25">
    <cfRule type="cellIs" dxfId="14399" priority="21676" stopIfTrue="1" operator="equal">
      <formula>"Napkin Hs"</formula>
    </cfRule>
  </conditionalFormatting>
  <conditionalFormatting sqref="C25">
    <cfRule type="cellIs" dxfId="14398" priority="21675" stopIfTrue="1" operator="equal">
      <formula>"Napkin Hs"</formula>
    </cfRule>
  </conditionalFormatting>
  <conditionalFormatting sqref="C25">
    <cfRule type="cellIs" dxfId="14397" priority="21674" stopIfTrue="1" operator="equal">
      <formula>"Napkin Hs"</formula>
    </cfRule>
  </conditionalFormatting>
  <conditionalFormatting sqref="C25">
    <cfRule type="cellIs" dxfId="14396" priority="21673" stopIfTrue="1" operator="equal">
      <formula>"Napkin Hs"</formula>
    </cfRule>
  </conditionalFormatting>
  <conditionalFormatting sqref="C25">
    <cfRule type="cellIs" dxfId="14395" priority="21672" stopIfTrue="1" operator="equal">
      <formula>"Napkin Hs"</formula>
    </cfRule>
  </conditionalFormatting>
  <conditionalFormatting sqref="B25">
    <cfRule type="cellIs" dxfId="14394" priority="21671" stopIfTrue="1" operator="equal">
      <formula>"Napkin Hs"</formula>
    </cfRule>
  </conditionalFormatting>
  <conditionalFormatting sqref="B25">
    <cfRule type="cellIs" dxfId="14393" priority="21670" stopIfTrue="1" operator="equal">
      <formula>"Napkin Hs"</formula>
    </cfRule>
  </conditionalFormatting>
  <conditionalFormatting sqref="C25">
    <cfRule type="cellIs" dxfId="14392" priority="21666" stopIfTrue="1" operator="equal">
      <formula>"Towel"</formula>
    </cfRule>
    <cfRule type="cellIs" dxfId="14391" priority="21667" stopIfTrue="1" operator="equal">
      <formula>"Napkin Hs"</formula>
    </cfRule>
  </conditionalFormatting>
  <conditionalFormatting sqref="C25">
    <cfRule type="cellIs" dxfId="14390" priority="21668" stopIfTrue="1" operator="equal">
      <formula>"Towel"</formula>
    </cfRule>
    <cfRule type="cellIs" dxfId="14389" priority="21669" stopIfTrue="1" operator="equal">
      <formula>"Napkin Hs"</formula>
    </cfRule>
  </conditionalFormatting>
  <conditionalFormatting sqref="C25">
    <cfRule type="cellIs" dxfId="14388" priority="21662" stopIfTrue="1" operator="equal">
      <formula>"Towel"</formula>
    </cfRule>
    <cfRule type="cellIs" dxfId="14387" priority="21663" stopIfTrue="1" operator="equal">
      <formula>"Napkin Hs"</formula>
    </cfRule>
  </conditionalFormatting>
  <conditionalFormatting sqref="C25">
    <cfRule type="cellIs" dxfId="14386" priority="21664" stopIfTrue="1" operator="equal">
      <formula>"Towel"</formula>
    </cfRule>
    <cfRule type="cellIs" dxfId="14385" priority="21665" stopIfTrue="1" operator="equal">
      <formula>"Napkin Hs"</formula>
    </cfRule>
  </conditionalFormatting>
  <conditionalFormatting sqref="B34:C34">
    <cfRule type="cellIs" dxfId="14384" priority="20550" stopIfTrue="1" operator="equal">
      <formula>"Towel"</formula>
    </cfRule>
    <cfRule type="cellIs" dxfId="14383" priority="20551" stopIfTrue="1" operator="equal">
      <formula>"Napkin Hs"</formula>
    </cfRule>
  </conditionalFormatting>
  <conditionalFormatting sqref="B35:C35">
    <cfRule type="cellIs" dxfId="14382" priority="20544" stopIfTrue="1" operator="equal">
      <formula>"Towel"</formula>
    </cfRule>
    <cfRule type="cellIs" dxfId="14381" priority="20545" stopIfTrue="1" operator="equal">
      <formula>"Napkin Hs"</formula>
    </cfRule>
  </conditionalFormatting>
  <conditionalFormatting sqref="C34">
    <cfRule type="cellIs" dxfId="14380" priority="20549" stopIfTrue="1" operator="equal">
      <formula>"Napkin Hs"</formula>
    </cfRule>
  </conditionalFormatting>
  <conditionalFormatting sqref="C34">
    <cfRule type="cellIs" dxfId="14379" priority="20548" stopIfTrue="1" operator="equal">
      <formula>"Towel"</formula>
    </cfRule>
  </conditionalFormatting>
  <conditionalFormatting sqref="C35">
    <cfRule type="cellIs" dxfId="14378" priority="20540" stopIfTrue="1" operator="equal">
      <formula>"Towel"</formula>
    </cfRule>
    <cfRule type="cellIs" dxfId="14377" priority="20541" stopIfTrue="1" operator="equal">
      <formula>"Napkin Hs"</formula>
    </cfRule>
  </conditionalFormatting>
  <conditionalFormatting sqref="C34">
    <cfRule type="cellIs" dxfId="14376" priority="20546" stopIfTrue="1" operator="equal">
      <formula>"Towel"</formula>
    </cfRule>
    <cfRule type="cellIs" dxfId="14375" priority="20547" stopIfTrue="1" operator="equal">
      <formula>"Napkin Hs"</formula>
    </cfRule>
  </conditionalFormatting>
  <conditionalFormatting sqref="C35">
    <cfRule type="cellIs" dxfId="14374" priority="20542" stopIfTrue="1" operator="equal">
      <formula>"Towel"</formula>
    </cfRule>
    <cfRule type="cellIs" dxfId="14373" priority="20543" stopIfTrue="1" operator="equal">
      <formula>"Napkin Hs"</formula>
    </cfRule>
  </conditionalFormatting>
  <conditionalFormatting sqref="C36">
    <cfRule type="cellIs" dxfId="14372" priority="20532" stopIfTrue="1" operator="equal">
      <formula>"Towel"</formula>
    </cfRule>
    <cfRule type="cellIs" dxfId="14371" priority="20533" stopIfTrue="1" operator="equal">
      <formula>"Napkin Hs"</formula>
    </cfRule>
  </conditionalFormatting>
  <conditionalFormatting sqref="B36:C36">
    <cfRule type="cellIs" dxfId="14370" priority="20534" stopIfTrue="1" operator="equal">
      <formula>"Towel"</formula>
    </cfRule>
    <cfRule type="cellIs" dxfId="14369" priority="20535" stopIfTrue="1" operator="equal">
      <formula>"Napkin Hs"</formula>
    </cfRule>
  </conditionalFormatting>
  <conditionalFormatting sqref="C36">
    <cfRule type="cellIs" dxfId="14368" priority="20530" stopIfTrue="1" operator="equal">
      <formula>"Towel"</formula>
    </cfRule>
    <cfRule type="cellIs" dxfId="14367" priority="20531" stopIfTrue="1" operator="equal">
      <formula>"Napkin Hs"</formula>
    </cfRule>
  </conditionalFormatting>
  <conditionalFormatting sqref="B36:C36">
    <cfRule type="cellIs" dxfId="14366" priority="20528" stopIfTrue="1" operator="equal">
      <formula>"Towel"</formula>
    </cfRule>
    <cfRule type="cellIs" dxfId="14365" priority="20529" stopIfTrue="1" operator="equal">
      <formula>"Napkin Hs"</formula>
    </cfRule>
  </conditionalFormatting>
  <conditionalFormatting sqref="C36">
    <cfRule type="cellIs" dxfId="14364" priority="20536" stopIfTrue="1" operator="equal">
      <formula>"Towel"</formula>
    </cfRule>
    <cfRule type="cellIs" dxfId="14363" priority="20537" stopIfTrue="1" operator="equal">
      <formula>"Napkin Hs"</formula>
    </cfRule>
  </conditionalFormatting>
  <conditionalFormatting sqref="C36">
    <cfRule type="cellIs" dxfId="14362" priority="20538" stopIfTrue="1" operator="equal">
      <formula>"Towel"</formula>
    </cfRule>
    <cfRule type="cellIs" dxfId="14361" priority="20539" stopIfTrue="1" operator="equal">
      <formula>"Napkin Hs"</formula>
    </cfRule>
  </conditionalFormatting>
  <conditionalFormatting sqref="C41">
    <cfRule type="cellIs" dxfId="14360" priority="20520" stopIfTrue="1" operator="equal">
      <formula>"Towel"</formula>
    </cfRule>
    <cfRule type="cellIs" dxfId="14359" priority="20521" stopIfTrue="1" operator="equal">
      <formula>"Napkin Hs"</formula>
    </cfRule>
  </conditionalFormatting>
  <conditionalFormatting sqref="B41:C41">
    <cfRule type="cellIs" dxfId="14358" priority="20522" stopIfTrue="1" operator="equal">
      <formula>"Towel"</formula>
    </cfRule>
    <cfRule type="cellIs" dxfId="14357" priority="20523" stopIfTrue="1" operator="equal">
      <formula>"Napkin Hs"</formula>
    </cfRule>
  </conditionalFormatting>
  <conditionalFormatting sqref="C41">
    <cfRule type="cellIs" dxfId="14356" priority="20518" stopIfTrue="1" operator="equal">
      <formula>"Towel"</formula>
    </cfRule>
    <cfRule type="cellIs" dxfId="14355" priority="20519" stopIfTrue="1" operator="equal">
      <formula>"Napkin Hs"</formula>
    </cfRule>
  </conditionalFormatting>
  <conditionalFormatting sqref="B41:C41">
    <cfRule type="cellIs" dxfId="14354" priority="20516" stopIfTrue="1" operator="equal">
      <formula>"Towel"</formula>
    </cfRule>
    <cfRule type="cellIs" dxfId="14353" priority="20517" stopIfTrue="1" operator="equal">
      <formula>"Napkin Hs"</formula>
    </cfRule>
  </conditionalFormatting>
  <conditionalFormatting sqref="C41">
    <cfRule type="cellIs" dxfId="14352" priority="20524" stopIfTrue="1" operator="equal">
      <formula>"Towel"</formula>
    </cfRule>
    <cfRule type="cellIs" dxfId="14351" priority="20525" stopIfTrue="1" operator="equal">
      <formula>"Napkin Hs"</formula>
    </cfRule>
  </conditionalFormatting>
  <conditionalFormatting sqref="C41">
    <cfRule type="cellIs" dxfId="14350" priority="20526" stopIfTrue="1" operator="equal">
      <formula>"Towel"</formula>
    </cfRule>
    <cfRule type="cellIs" dxfId="14349" priority="20527" stopIfTrue="1" operator="equal">
      <formula>"Napkin Hs"</formula>
    </cfRule>
  </conditionalFormatting>
  <conditionalFormatting sqref="C41">
    <cfRule type="cellIs" dxfId="14348" priority="20496" stopIfTrue="1" operator="equal">
      <formula>"Towel"</formula>
    </cfRule>
    <cfRule type="cellIs" dxfId="14347" priority="20497" stopIfTrue="1" operator="equal">
      <formula>"Napkin Hs"</formula>
    </cfRule>
  </conditionalFormatting>
  <conditionalFormatting sqref="B41:C41">
    <cfRule type="cellIs" dxfId="14346" priority="20498" stopIfTrue="1" operator="equal">
      <formula>"Towel"</formula>
    </cfRule>
    <cfRule type="cellIs" dxfId="14345" priority="20499" stopIfTrue="1" operator="equal">
      <formula>"Napkin Hs"</formula>
    </cfRule>
  </conditionalFormatting>
  <conditionalFormatting sqref="C41">
    <cfRule type="cellIs" dxfId="14344" priority="20494" stopIfTrue="1" operator="equal">
      <formula>"Towel"</formula>
    </cfRule>
    <cfRule type="cellIs" dxfId="14343" priority="20495" stopIfTrue="1" operator="equal">
      <formula>"Napkin Hs"</formula>
    </cfRule>
  </conditionalFormatting>
  <conditionalFormatting sqref="B41:C41">
    <cfRule type="cellIs" dxfId="14342" priority="20492" stopIfTrue="1" operator="equal">
      <formula>"Towel"</formula>
    </cfRule>
    <cfRule type="cellIs" dxfId="14341" priority="20493" stopIfTrue="1" operator="equal">
      <formula>"Napkin Hs"</formula>
    </cfRule>
  </conditionalFormatting>
  <conditionalFormatting sqref="C41">
    <cfRule type="cellIs" dxfId="14340" priority="20500" stopIfTrue="1" operator="equal">
      <formula>"Towel"</formula>
    </cfRule>
    <cfRule type="cellIs" dxfId="14339" priority="20501" stopIfTrue="1" operator="equal">
      <formula>"Napkin Hs"</formula>
    </cfRule>
  </conditionalFormatting>
  <conditionalFormatting sqref="C41">
    <cfRule type="cellIs" dxfId="14338" priority="20502" stopIfTrue="1" operator="equal">
      <formula>"Towel"</formula>
    </cfRule>
    <cfRule type="cellIs" dxfId="14337" priority="20503" stopIfTrue="1" operator="equal">
      <formula>"Napkin Hs"</formula>
    </cfRule>
  </conditionalFormatting>
  <conditionalFormatting sqref="B33:C33">
    <cfRule type="cellIs" dxfId="14336" priority="20478" stopIfTrue="1" operator="equal">
      <formula>"Towel"</formula>
    </cfRule>
    <cfRule type="cellIs" dxfId="14335" priority="20479" stopIfTrue="1" operator="equal">
      <formula>"Napkin Hs"</formula>
    </cfRule>
  </conditionalFormatting>
  <conditionalFormatting sqref="C33">
    <cfRule type="cellIs" dxfId="14334" priority="20474" stopIfTrue="1" operator="equal">
      <formula>"Towel"</formula>
    </cfRule>
    <cfRule type="cellIs" dxfId="14333" priority="20475" stopIfTrue="1" operator="equal">
      <formula>"Napkin Hs"</formula>
    </cfRule>
  </conditionalFormatting>
  <conditionalFormatting sqref="C33">
    <cfRule type="cellIs" dxfId="14332" priority="20477" stopIfTrue="1" operator="equal">
      <formula>"Napkin Hs"</formula>
    </cfRule>
  </conditionalFormatting>
  <conditionalFormatting sqref="C33">
    <cfRule type="cellIs" dxfId="14331" priority="20476" stopIfTrue="1" operator="equal">
      <formula>"Towel"</formula>
    </cfRule>
  </conditionalFormatting>
  <conditionalFormatting sqref="C32">
    <cfRule type="cellIs" dxfId="14330" priority="20470" stopIfTrue="1" operator="equal">
      <formula>"Towel"</formula>
    </cfRule>
    <cfRule type="cellIs" dxfId="14329" priority="20471" stopIfTrue="1" operator="equal">
      <formula>"Napkin Hs"</formula>
    </cfRule>
  </conditionalFormatting>
  <conditionalFormatting sqref="C32">
    <cfRule type="cellIs" dxfId="14328" priority="20472" stopIfTrue="1" operator="equal">
      <formula>"Towel"</formula>
    </cfRule>
    <cfRule type="cellIs" dxfId="14327" priority="20473" stopIfTrue="1" operator="equal">
      <formula>"Napkin Hs"</formula>
    </cfRule>
  </conditionalFormatting>
  <conditionalFormatting sqref="C32">
    <cfRule type="cellIs" dxfId="14326" priority="20468" stopIfTrue="1" operator="equal">
      <formula>"Towel"</formula>
    </cfRule>
    <cfRule type="cellIs" dxfId="14325" priority="20469" stopIfTrue="1" operator="equal">
      <formula>"Napkin Hs"</formula>
    </cfRule>
  </conditionalFormatting>
  <conditionalFormatting sqref="B32">
    <cfRule type="cellIs" dxfId="14324" priority="20466" stopIfTrue="1" operator="equal">
      <formula>"Towel"</formula>
    </cfRule>
    <cfRule type="cellIs" dxfId="14323" priority="20467" stopIfTrue="1" operator="equal">
      <formula>"Napkin Hs"</formula>
    </cfRule>
  </conditionalFormatting>
  <conditionalFormatting sqref="C32">
    <cfRule type="cellIs" dxfId="14322" priority="20460" stopIfTrue="1" operator="equal">
      <formula>"Towel"</formula>
    </cfRule>
    <cfRule type="cellIs" dxfId="14321" priority="20461" stopIfTrue="1" operator="equal">
      <formula>"Napkin Hs"</formula>
    </cfRule>
  </conditionalFormatting>
  <conditionalFormatting sqref="C32">
    <cfRule type="cellIs" dxfId="14320" priority="20464" stopIfTrue="1" operator="equal">
      <formula>"Towel"</formula>
    </cfRule>
    <cfRule type="cellIs" dxfId="14319" priority="20465" stopIfTrue="1" operator="equal">
      <formula>"Napkin Hs"</formula>
    </cfRule>
  </conditionalFormatting>
  <conditionalFormatting sqref="C32">
    <cfRule type="cellIs" dxfId="14318" priority="20462" stopIfTrue="1" operator="equal">
      <formula>"Towel"</formula>
    </cfRule>
    <cfRule type="cellIs" dxfId="14317" priority="20463" stopIfTrue="1" operator="equal">
      <formula>"Napkin Hs"</formula>
    </cfRule>
  </conditionalFormatting>
  <conditionalFormatting sqref="C32">
    <cfRule type="cellIs" dxfId="14316" priority="20454" stopIfTrue="1" operator="equal">
      <formula>"Towel"</formula>
    </cfRule>
    <cfRule type="cellIs" dxfId="14315" priority="20455" stopIfTrue="1" operator="equal">
      <formula>"Napkin Hs"</formula>
    </cfRule>
  </conditionalFormatting>
  <conditionalFormatting sqref="C32">
    <cfRule type="cellIs" dxfId="14314" priority="20456" stopIfTrue="1" operator="equal">
      <formula>"Towel"</formula>
    </cfRule>
    <cfRule type="cellIs" dxfId="14313" priority="20457" stopIfTrue="1" operator="equal">
      <formula>"Napkin Hs"</formula>
    </cfRule>
  </conditionalFormatting>
  <conditionalFormatting sqref="C32">
    <cfRule type="cellIs" dxfId="14312" priority="20458" stopIfTrue="1" operator="equal">
      <formula>"Towel"</formula>
    </cfRule>
    <cfRule type="cellIs" dxfId="14311" priority="20459" stopIfTrue="1" operator="equal">
      <formula>"Napkin Hs"</formula>
    </cfRule>
  </conditionalFormatting>
  <conditionalFormatting sqref="B32:C32">
    <cfRule type="cellIs" dxfId="14310" priority="20452" stopIfTrue="1" operator="equal">
      <formula>"Towel"</formula>
    </cfRule>
    <cfRule type="cellIs" dxfId="14309" priority="20453" stopIfTrue="1" operator="equal">
      <formula>"Napkin Hs"</formula>
    </cfRule>
  </conditionalFormatting>
  <conditionalFormatting sqref="B32:C32">
    <cfRule type="cellIs" dxfId="14308" priority="20450" stopIfTrue="1" operator="equal">
      <formula>"Towel"</formula>
    </cfRule>
    <cfRule type="cellIs" dxfId="14307" priority="20451" stopIfTrue="1" operator="equal">
      <formula>"Napkin Hs"</formula>
    </cfRule>
  </conditionalFormatting>
  <conditionalFormatting sqref="B32:C32">
    <cfRule type="cellIs" dxfId="14306" priority="20426" stopIfTrue="1" operator="equal">
      <formula>"Towel"</formula>
    </cfRule>
  </conditionalFormatting>
  <conditionalFormatting sqref="B32:C32">
    <cfRule type="cellIs" dxfId="14305" priority="20427" stopIfTrue="1" operator="equal">
      <formula>"Napkin Hs"</formula>
    </cfRule>
    <cfRule type="cellIs" dxfId="14304" priority="20432" stopIfTrue="1" operator="equal">
      <formula>"Towel"</formula>
    </cfRule>
    <cfRule type="cellIs" dxfId="14303" priority="20433" stopIfTrue="1" operator="equal">
      <formula>"Napkin Hs"</formula>
    </cfRule>
    <cfRule type="cellIs" dxfId="14302" priority="20442" stopIfTrue="1" operator="equal">
      <formula>"Towel"</formula>
    </cfRule>
    <cfRule type="cellIs" dxfId="14301" priority="20443" stopIfTrue="1" operator="equal">
      <formula>"Napkin Hs"</formula>
    </cfRule>
    <cfRule type="cellIs" dxfId="14300" priority="20448" stopIfTrue="1" operator="equal">
      <formula>"Towel"</formula>
    </cfRule>
    <cfRule type="cellIs" dxfId="14299" priority="20449" stopIfTrue="1" operator="equal">
      <formula>"Napkin Hs"</formula>
    </cfRule>
  </conditionalFormatting>
  <conditionalFormatting sqref="C32">
    <cfRule type="cellIs" dxfId="14298" priority="20428" stopIfTrue="1" operator="equal">
      <formula>"Towel"</formula>
    </cfRule>
    <cfRule type="cellIs" dxfId="14297" priority="20429" stopIfTrue="1" operator="equal">
      <formula>"Napkin Hs"</formula>
    </cfRule>
    <cfRule type="cellIs" dxfId="14296" priority="20430" stopIfTrue="1" operator="equal">
      <formula>"Towel"</formula>
    </cfRule>
    <cfRule type="cellIs" dxfId="14295" priority="20431" stopIfTrue="1" operator="equal">
      <formula>"Napkin Hs"</formula>
    </cfRule>
    <cfRule type="cellIs" dxfId="14294" priority="20434" stopIfTrue="1" operator="equal">
      <formula>"Towel"</formula>
    </cfRule>
    <cfRule type="cellIs" dxfId="14293" priority="20435" stopIfTrue="1" operator="equal">
      <formula>"Napkin Hs"</formula>
    </cfRule>
    <cfRule type="cellIs" dxfId="14292" priority="20436" stopIfTrue="1" operator="equal">
      <formula>"Towel"</formula>
    </cfRule>
    <cfRule type="cellIs" dxfId="14291" priority="20437" stopIfTrue="1" operator="equal">
      <formula>"Napkin Hs"</formula>
    </cfRule>
    <cfRule type="cellIs" dxfId="14290" priority="20438" stopIfTrue="1" operator="equal">
      <formula>"Towel"</formula>
    </cfRule>
    <cfRule type="cellIs" dxfId="14289" priority="20439" stopIfTrue="1" operator="equal">
      <formula>"Napkin Hs"</formula>
    </cfRule>
    <cfRule type="cellIs" dxfId="14288" priority="20440" stopIfTrue="1" operator="equal">
      <formula>"Towel"</formula>
    </cfRule>
    <cfRule type="cellIs" dxfId="14287" priority="20441" stopIfTrue="1" operator="equal">
      <formula>"Napkin Hs"</formula>
    </cfRule>
    <cfRule type="cellIs" dxfId="14286" priority="20444" stopIfTrue="1" operator="equal">
      <formula>"Towel"</formula>
    </cfRule>
    <cfRule type="cellIs" dxfId="14285" priority="20445" stopIfTrue="1" operator="equal">
      <formula>"Napkin Hs"</formula>
    </cfRule>
    <cfRule type="cellIs" dxfId="14284" priority="20447" stopIfTrue="1" operator="equal">
      <formula>"Napkin Hs"</formula>
    </cfRule>
  </conditionalFormatting>
  <conditionalFormatting sqref="C32">
    <cfRule type="cellIs" dxfId="14283" priority="20446" stopIfTrue="1" operator="equal">
      <formula>"Towel"</formula>
    </cfRule>
  </conditionalFormatting>
  <conditionalFormatting sqref="B32:C32">
    <cfRule type="cellIs" dxfId="14282" priority="20424" stopIfTrue="1" operator="equal">
      <formula>"Towel"</formula>
    </cfRule>
    <cfRule type="cellIs" dxfId="14281" priority="20425" stopIfTrue="1" operator="equal">
      <formula>"Napkin Hs"</formula>
    </cfRule>
  </conditionalFormatting>
  <conditionalFormatting sqref="C32">
    <cfRule type="cellIs" dxfId="14280" priority="20423" stopIfTrue="1" operator="equal">
      <formula>"Napkin Hs"</formula>
    </cfRule>
  </conditionalFormatting>
  <conditionalFormatting sqref="C32">
    <cfRule type="cellIs" dxfId="14279" priority="20422" stopIfTrue="1" operator="equal">
      <formula>"Towel"</formula>
    </cfRule>
  </conditionalFormatting>
  <conditionalFormatting sqref="C32">
    <cfRule type="cellIs" dxfId="14278" priority="20420" stopIfTrue="1" operator="equal">
      <formula>"Towel"</formula>
    </cfRule>
  </conditionalFormatting>
  <conditionalFormatting sqref="C32">
    <cfRule type="cellIs" dxfId="14277" priority="20421" stopIfTrue="1" operator="equal">
      <formula>"Napkin Hs"</formula>
    </cfRule>
  </conditionalFormatting>
  <conditionalFormatting sqref="B32">
    <cfRule type="cellIs" dxfId="14276" priority="20324" stopIfTrue="1" operator="equal">
      <formula>"Napkin Hs"</formula>
    </cfRule>
  </conditionalFormatting>
  <conditionalFormatting sqref="B32:C32">
    <cfRule type="cellIs" dxfId="14275" priority="20323" stopIfTrue="1" operator="equal">
      <formula>"Towel"</formula>
    </cfRule>
  </conditionalFormatting>
  <conditionalFormatting sqref="B32:C32">
    <cfRule type="cellIs" dxfId="14274" priority="20334" stopIfTrue="1" operator="equal">
      <formula>"Towel"</formula>
    </cfRule>
    <cfRule type="cellIs" dxfId="14273" priority="20335" stopIfTrue="1" operator="equal">
      <formula>"Napkin Hs"</formula>
    </cfRule>
    <cfRule type="cellIs" dxfId="14272" priority="20340" stopIfTrue="1" operator="equal">
      <formula>"Towel"</formula>
    </cfRule>
    <cfRule type="cellIs" dxfId="14271" priority="20341" stopIfTrue="1" operator="equal">
      <formula>"Napkin Hs"</formula>
    </cfRule>
    <cfRule type="cellIs" dxfId="14270" priority="20346" stopIfTrue="1" operator="equal">
      <formula>"Towel"</formula>
    </cfRule>
    <cfRule type="cellIs" dxfId="14269" priority="20347" stopIfTrue="1" operator="equal">
      <formula>"Napkin Hs"</formula>
    </cfRule>
    <cfRule type="cellIs" dxfId="14268" priority="20348" stopIfTrue="1" operator="equal">
      <formula>"Towel"</formula>
    </cfRule>
    <cfRule type="cellIs" dxfId="14267" priority="20349" stopIfTrue="1" operator="equal">
      <formula>"Napkin Hs"</formula>
    </cfRule>
    <cfRule type="cellIs" dxfId="14266" priority="20354" stopIfTrue="1" operator="equal">
      <formula>"Towel"</formula>
    </cfRule>
    <cfRule type="cellIs" dxfId="14265" priority="20355" stopIfTrue="1" operator="equal">
      <formula>"Napkin Hs"</formula>
    </cfRule>
    <cfRule type="cellIs" dxfId="14264" priority="20364" stopIfTrue="1" operator="equal">
      <formula>"Towel"</formula>
    </cfRule>
    <cfRule type="cellIs" dxfId="14263" priority="20365" stopIfTrue="1" operator="equal">
      <formula>"Napkin Hs"</formula>
    </cfRule>
    <cfRule type="cellIs" dxfId="14262" priority="20370" stopIfTrue="1" operator="equal">
      <formula>"Towel"</formula>
    </cfRule>
    <cfRule type="cellIs" dxfId="14261" priority="20371" stopIfTrue="1" operator="equal">
      <formula>"Napkin Hs"</formula>
    </cfRule>
    <cfRule type="cellIs" dxfId="14260" priority="20372" stopIfTrue="1" operator="equal">
      <formula>"Towel"</formula>
    </cfRule>
    <cfRule type="cellIs" dxfId="14259" priority="20373" stopIfTrue="1" operator="equal">
      <formula>"Napkin Hs"</formula>
    </cfRule>
    <cfRule type="cellIs" dxfId="14258" priority="20378" stopIfTrue="1" operator="equal">
      <formula>"Towel"</formula>
    </cfRule>
    <cfRule type="cellIs" dxfId="14257" priority="20379" stopIfTrue="1" operator="equal">
      <formula>"Napkin Hs"</formula>
    </cfRule>
    <cfRule type="cellIs" dxfId="14256" priority="20388" stopIfTrue="1" operator="equal">
      <formula>"Towel"</formula>
    </cfRule>
    <cfRule type="cellIs" dxfId="14255" priority="20389" stopIfTrue="1" operator="equal">
      <formula>"Napkin Hs"</formula>
    </cfRule>
    <cfRule type="cellIs" dxfId="14254" priority="20390" stopIfTrue="1" operator="equal">
      <formula>"Towel"</formula>
    </cfRule>
    <cfRule type="cellIs" dxfId="14253" priority="20391" stopIfTrue="1" operator="equal">
      <formula>"Napkin Hs"</formula>
    </cfRule>
    <cfRule type="cellIs" dxfId="14252" priority="20396" stopIfTrue="1" operator="equal">
      <formula>"Towel"</formula>
    </cfRule>
    <cfRule type="cellIs" dxfId="14251" priority="20397" stopIfTrue="1" operator="equal">
      <formula>"Napkin Hs"</formula>
    </cfRule>
    <cfRule type="cellIs" dxfId="14250" priority="20406" stopIfTrue="1" operator="equal">
      <formula>"Towel"</formula>
    </cfRule>
    <cfRule type="cellIs" dxfId="14249" priority="20407" stopIfTrue="1" operator="equal">
      <formula>"Napkin Hs"</formula>
    </cfRule>
    <cfRule type="cellIs" dxfId="14248" priority="20408" stopIfTrue="1" operator="equal">
      <formula>"Towel"</formula>
    </cfRule>
    <cfRule type="cellIs" dxfId="14247" priority="20409" stopIfTrue="1" operator="equal">
      <formula>"Napkin Hs"</formula>
    </cfRule>
    <cfRule type="cellIs" dxfId="14246" priority="20415" stopIfTrue="1" operator="equal">
      <formula>"Napkin Hs"</formula>
    </cfRule>
  </conditionalFormatting>
  <conditionalFormatting sqref="B32:C32">
    <cfRule type="cellIs" dxfId="14245" priority="20414" stopIfTrue="1" operator="equal">
      <formula>"Towel"</formula>
    </cfRule>
  </conditionalFormatting>
  <conditionalFormatting sqref="C32">
    <cfRule type="cellIs" dxfId="14244" priority="20325" stopIfTrue="1" operator="equal">
      <formula>"Napkin Hs"</formula>
    </cfRule>
    <cfRule type="cellIs" dxfId="14243" priority="20326" stopIfTrue="1" operator="equal">
      <formula>"Towel"</formula>
    </cfRule>
    <cfRule type="cellIs" dxfId="14242" priority="20327" stopIfTrue="1" operator="equal">
      <formula>"Napkin Hs"</formula>
    </cfRule>
    <cfRule type="cellIs" dxfId="14241" priority="20328" stopIfTrue="1" operator="equal">
      <formula>"Towel"</formula>
    </cfRule>
    <cfRule type="cellIs" dxfId="14240" priority="20329" stopIfTrue="1" operator="equal">
      <formula>"Napkin Hs"</formula>
    </cfRule>
    <cfRule type="cellIs" dxfId="14239" priority="20330" stopIfTrue="1" operator="equal">
      <formula>"Towel"</formula>
    </cfRule>
    <cfRule type="cellIs" dxfId="14238" priority="20331" stopIfTrue="1" operator="equal">
      <formula>"Napkin Hs"</formula>
    </cfRule>
    <cfRule type="cellIs" dxfId="14237" priority="20332" stopIfTrue="1" operator="equal">
      <formula>"Towel"</formula>
    </cfRule>
    <cfRule type="cellIs" dxfId="14236" priority="20333" stopIfTrue="1" operator="equal">
      <formula>"Napkin Hs"</formula>
    </cfRule>
    <cfRule type="cellIs" dxfId="14235" priority="20336" stopIfTrue="1" operator="equal">
      <formula>"Towel"</formula>
    </cfRule>
    <cfRule type="cellIs" dxfId="14234" priority="20337" stopIfTrue="1" operator="equal">
      <formula>"Napkin Hs"</formula>
    </cfRule>
    <cfRule type="cellIs" dxfId="14233" priority="20338" stopIfTrue="1" operator="equal">
      <formula>"Towel"</formula>
    </cfRule>
    <cfRule type="cellIs" dxfId="14232" priority="20339" stopIfTrue="1" operator="equal">
      <formula>"Napkin Hs"</formula>
    </cfRule>
    <cfRule type="cellIs" dxfId="14231" priority="20342" stopIfTrue="1" operator="equal">
      <formula>"Towel"</formula>
    </cfRule>
    <cfRule type="cellIs" dxfId="14230" priority="20343" stopIfTrue="1" operator="equal">
      <formula>"Napkin Hs"</formula>
    </cfRule>
    <cfRule type="cellIs" dxfId="14229" priority="20344" stopIfTrue="1" operator="equal">
      <formula>"Towel"</formula>
    </cfRule>
    <cfRule type="cellIs" dxfId="14228" priority="20345" stopIfTrue="1" operator="equal">
      <formula>"Napkin Hs"</formula>
    </cfRule>
    <cfRule type="cellIs" dxfId="14227" priority="20350" stopIfTrue="1" operator="equal">
      <formula>"Towel"</formula>
    </cfRule>
    <cfRule type="cellIs" dxfId="14226" priority="20351" stopIfTrue="1" operator="equal">
      <formula>"Napkin Hs"</formula>
    </cfRule>
    <cfRule type="cellIs" dxfId="14225" priority="20352" stopIfTrue="1" operator="equal">
      <formula>"Towel"</formula>
    </cfRule>
    <cfRule type="cellIs" dxfId="14224" priority="20353" stopIfTrue="1" operator="equal">
      <formula>"Napkin Hs"</formula>
    </cfRule>
    <cfRule type="cellIs" dxfId="14223" priority="20356" stopIfTrue="1" operator="equal">
      <formula>"Towel"</formula>
    </cfRule>
    <cfRule type="cellIs" dxfId="14222" priority="20357" stopIfTrue="1" operator="equal">
      <formula>"Napkin Hs"</formula>
    </cfRule>
    <cfRule type="cellIs" dxfId="14221" priority="20358" stopIfTrue="1" operator="equal">
      <formula>"Towel"</formula>
    </cfRule>
    <cfRule type="cellIs" dxfId="14220" priority="20359" stopIfTrue="1" operator="equal">
      <formula>"Napkin Hs"</formula>
    </cfRule>
    <cfRule type="cellIs" dxfId="14219" priority="20360" stopIfTrue="1" operator="equal">
      <formula>"Towel"</formula>
    </cfRule>
    <cfRule type="cellIs" dxfId="14218" priority="20361" stopIfTrue="1" operator="equal">
      <formula>"Napkin Hs"</formula>
    </cfRule>
    <cfRule type="cellIs" dxfId="14217" priority="20362" stopIfTrue="1" operator="equal">
      <formula>"Towel"</formula>
    </cfRule>
    <cfRule type="cellIs" dxfId="14216" priority="20363" stopIfTrue="1" operator="equal">
      <formula>"Napkin Hs"</formula>
    </cfRule>
    <cfRule type="cellIs" dxfId="14215" priority="20366" stopIfTrue="1" operator="equal">
      <formula>"Towel"</formula>
    </cfRule>
    <cfRule type="cellIs" dxfId="14214" priority="20367" stopIfTrue="1" operator="equal">
      <formula>"Napkin Hs"</formula>
    </cfRule>
    <cfRule type="cellIs" dxfId="14213" priority="20368" stopIfTrue="1" operator="equal">
      <formula>"Towel"</formula>
    </cfRule>
    <cfRule type="cellIs" dxfId="14212" priority="20369" stopIfTrue="1" operator="equal">
      <formula>"Napkin Hs"</formula>
    </cfRule>
    <cfRule type="cellIs" dxfId="14211" priority="20374" stopIfTrue="1" operator="equal">
      <formula>"Towel"</formula>
    </cfRule>
    <cfRule type="cellIs" dxfId="14210" priority="20375" stopIfTrue="1" operator="equal">
      <formula>"Napkin Hs"</formula>
    </cfRule>
    <cfRule type="cellIs" dxfId="14209" priority="20376" stopIfTrue="1" operator="equal">
      <formula>"Towel"</formula>
    </cfRule>
    <cfRule type="cellIs" dxfId="14208" priority="20377" stopIfTrue="1" operator="equal">
      <formula>"Napkin Hs"</formula>
    </cfRule>
    <cfRule type="cellIs" dxfId="14207" priority="20380" stopIfTrue="1" operator="equal">
      <formula>"Towel"</formula>
    </cfRule>
    <cfRule type="cellIs" dxfId="14206" priority="20381" stopIfTrue="1" operator="equal">
      <formula>"Napkin Hs"</formula>
    </cfRule>
    <cfRule type="cellIs" dxfId="14205" priority="20382" stopIfTrue="1" operator="equal">
      <formula>"Towel"</formula>
    </cfRule>
    <cfRule type="cellIs" dxfId="14204" priority="20383" stopIfTrue="1" operator="equal">
      <formula>"Napkin Hs"</formula>
    </cfRule>
    <cfRule type="cellIs" dxfId="14203" priority="20384" stopIfTrue="1" operator="equal">
      <formula>"Towel"</formula>
    </cfRule>
    <cfRule type="cellIs" dxfId="14202" priority="20385" stopIfTrue="1" operator="equal">
      <formula>"Napkin Hs"</formula>
    </cfRule>
    <cfRule type="cellIs" dxfId="14201" priority="20386" stopIfTrue="1" operator="equal">
      <formula>"Towel"</formula>
    </cfRule>
    <cfRule type="cellIs" dxfId="14200" priority="20387" stopIfTrue="1" operator="equal">
      <formula>"Napkin Hs"</formula>
    </cfRule>
    <cfRule type="cellIs" dxfId="14199" priority="20392" stopIfTrue="1" operator="equal">
      <formula>"Towel"</formula>
    </cfRule>
    <cfRule type="cellIs" dxfId="14198" priority="20393" stopIfTrue="1" operator="equal">
      <formula>"Napkin Hs"</formula>
    </cfRule>
    <cfRule type="cellIs" dxfId="14197" priority="20394" stopIfTrue="1" operator="equal">
      <formula>"Towel"</formula>
    </cfRule>
    <cfRule type="cellIs" dxfId="14196" priority="20395" stopIfTrue="1" operator="equal">
      <formula>"Napkin Hs"</formula>
    </cfRule>
    <cfRule type="cellIs" dxfId="14195" priority="20398" stopIfTrue="1" operator="equal">
      <formula>"Towel"</formula>
    </cfRule>
    <cfRule type="cellIs" dxfId="14194" priority="20399" stopIfTrue="1" operator="equal">
      <formula>"Napkin Hs"</formula>
    </cfRule>
    <cfRule type="cellIs" dxfId="14193" priority="20400" stopIfTrue="1" operator="equal">
      <formula>"Towel"</formula>
    </cfRule>
    <cfRule type="cellIs" dxfId="14192" priority="20401" stopIfTrue="1" operator="equal">
      <formula>"Napkin Hs"</formula>
    </cfRule>
    <cfRule type="cellIs" dxfId="14191" priority="20402" stopIfTrue="1" operator="equal">
      <formula>"Towel"</formula>
    </cfRule>
    <cfRule type="cellIs" dxfId="14190" priority="20403" stopIfTrue="1" operator="equal">
      <formula>"Napkin Hs"</formula>
    </cfRule>
    <cfRule type="cellIs" dxfId="14189" priority="20404" stopIfTrue="1" operator="equal">
      <formula>"Towel"</formula>
    </cfRule>
    <cfRule type="cellIs" dxfId="14188" priority="20405" stopIfTrue="1" operator="equal">
      <formula>"Napkin Hs"</formula>
    </cfRule>
    <cfRule type="cellIs" dxfId="14187" priority="20410" stopIfTrue="1" operator="equal">
      <formula>"Towel"</formula>
    </cfRule>
    <cfRule type="cellIs" dxfId="14186" priority="20411" stopIfTrue="1" operator="equal">
      <formula>"Napkin Hs"</formula>
    </cfRule>
    <cfRule type="cellIs" dxfId="14185" priority="20412" stopIfTrue="1" operator="equal">
      <formula>"Towel"</formula>
    </cfRule>
    <cfRule type="cellIs" dxfId="14184" priority="20413" stopIfTrue="1" operator="equal">
      <formula>"Napkin Hs"</formula>
    </cfRule>
    <cfRule type="cellIs" dxfId="14183" priority="20416" stopIfTrue="1" operator="equal">
      <formula>"Towel"</formula>
    </cfRule>
    <cfRule type="cellIs" dxfId="14182" priority="20417" stopIfTrue="1" operator="equal">
      <formula>"Napkin Hs"</formula>
    </cfRule>
    <cfRule type="cellIs" dxfId="14181" priority="20418" stopIfTrue="1" operator="equal">
      <formula>"Towel"</formula>
    </cfRule>
    <cfRule type="cellIs" dxfId="14180" priority="20419" stopIfTrue="1" operator="equal">
      <formula>"Napkin Hs"</formula>
    </cfRule>
  </conditionalFormatting>
  <conditionalFormatting sqref="C32">
    <cfRule type="cellIs" dxfId="14179" priority="20322" stopIfTrue="1" operator="equal">
      <formula>"Napkin Hs"</formula>
    </cfRule>
  </conditionalFormatting>
  <conditionalFormatting sqref="C32">
    <cfRule type="cellIs" dxfId="14178" priority="20321" stopIfTrue="1" operator="equal">
      <formula>"Napkin Hs"</formula>
    </cfRule>
  </conditionalFormatting>
  <conditionalFormatting sqref="B32">
    <cfRule type="cellIs" dxfId="14177" priority="20320" stopIfTrue="1" operator="equal">
      <formula>"Napkin Hs"</formula>
    </cfRule>
  </conditionalFormatting>
  <conditionalFormatting sqref="C32">
    <cfRule type="cellIs" dxfId="14176" priority="20319" stopIfTrue="1" operator="equal">
      <formula>"Napkin Hs"</formula>
    </cfRule>
  </conditionalFormatting>
  <conditionalFormatting sqref="C32">
    <cfRule type="cellIs" dxfId="14175" priority="20318" stopIfTrue="1" operator="equal">
      <formula>"Napkin Hs"</formula>
    </cfRule>
  </conditionalFormatting>
  <conditionalFormatting sqref="C32">
    <cfRule type="cellIs" dxfId="14174" priority="20317" stopIfTrue="1" operator="equal">
      <formula>"Napkin Hs"</formula>
    </cfRule>
  </conditionalFormatting>
  <conditionalFormatting sqref="C32">
    <cfRule type="cellIs" dxfId="14173" priority="20316" stopIfTrue="1" operator="equal">
      <formula>"Napkin Hs"</formula>
    </cfRule>
  </conditionalFormatting>
  <conditionalFormatting sqref="B32">
    <cfRule type="cellIs" dxfId="14172" priority="20315" stopIfTrue="1" operator="equal">
      <formula>"Napkin Hs"</formula>
    </cfRule>
  </conditionalFormatting>
  <conditionalFormatting sqref="B32">
    <cfRule type="cellIs" dxfId="14171" priority="20314" stopIfTrue="1" operator="equal">
      <formula>"Napkin Hs"</formula>
    </cfRule>
  </conditionalFormatting>
  <conditionalFormatting sqref="C32">
    <cfRule type="cellIs" dxfId="14170" priority="20310" stopIfTrue="1" operator="equal">
      <formula>"Towel"</formula>
    </cfRule>
    <cfRule type="cellIs" dxfId="14169" priority="20311" stopIfTrue="1" operator="equal">
      <formula>"Napkin Hs"</formula>
    </cfRule>
  </conditionalFormatting>
  <conditionalFormatting sqref="C32">
    <cfRule type="cellIs" dxfId="14168" priority="20312" stopIfTrue="1" operator="equal">
      <formula>"Towel"</formula>
    </cfRule>
    <cfRule type="cellIs" dxfId="14167" priority="20313" stopIfTrue="1" operator="equal">
      <formula>"Napkin Hs"</formula>
    </cfRule>
  </conditionalFormatting>
  <conditionalFormatting sqref="C32">
    <cfRule type="cellIs" dxfId="14166" priority="20306" stopIfTrue="1" operator="equal">
      <formula>"Towel"</formula>
    </cfRule>
    <cfRule type="cellIs" dxfId="14165" priority="20307" stopIfTrue="1" operator="equal">
      <formula>"Napkin Hs"</formula>
    </cfRule>
  </conditionalFormatting>
  <conditionalFormatting sqref="C32">
    <cfRule type="cellIs" dxfId="14164" priority="20308" stopIfTrue="1" operator="equal">
      <formula>"Towel"</formula>
    </cfRule>
    <cfRule type="cellIs" dxfId="14163" priority="20309" stopIfTrue="1" operator="equal">
      <formula>"Napkin Hs"</formula>
    </cfRule>
  </conditionalFormatting>
  <conditionalFormatting sqref="C30">
    <cfRule type="cellIs" dxfId="14162" priority="20302" stopIfTrue="1" operator="equal">
      <formula>"Towel"</formula>
    </cfRule>
    <cfRule type="cellIs" dxfId="14161" priority="20303" stopIfTrue="1" operator="equal">
      <formula>"Napkin Hs"</formula>
    </cfRule>
  </conditionalFormatting>
  <conditionalFormatting sqref="C30">
    <cfRule type="cellIs" dxfId="14160" priority="20304" stopIfTrue="1" operator="equal">
      <formula>"Towel"</formula>
    </cfRule>
    <cfRule type="cellIs" dxfId="14159" priority="20305" stopIfTrue="1" operator="equal">
      <formula>"Napkin Hs"</formula>
    </cfRule>
  </conditionalFormatting>
  <conditionalFormatting sqref="C30">
    <cfRule type="cellIs" dxfId="14158" priority="20300" stopIfTrue="1" operator="equal">
      <formula>"Towel"</formula>
    </cfRule>
    <cfRule type="cellIs" dxfId="14157" priority="20301" stopIfTrue="1" operator="equal">
      <formula>"Napkin Hs"</formula>
    </cfRule>
  </conditionalFormatting>
  <conditionalFormatting sqref="B30">
    <cfRule type="cellIs" dxfId="14156" priority="20298" stopIfTrue="1" operator="equal">
      <formula>"Towel"</formula>
    </cfRule>
    <cfRule type="cellIs" dxfId="14155" priority="20299" stopIfTrue="1" operator="equal">
      <formula>"Napkin Hs"</formula>
    </cfRule>
  </conditionalFormatting>
  <conditionalFormatting sqref="C30">
    <cfRule type="cellIs" dxfId="14154" priority="20292" stopIfTrue="1" operator="equal">
      <formula>"Towel"</formula>
    </cfRule>
    <cfRule type="cellIs" dxfId="14153" priority="20293" stopIfTrue="1" operator="equal">
      <formula>"Napkin Hs"</formula>
    </cfRule>
  </conditionalFormatting>
  <conditionalFormatting sqref="C30">
    <cfRule type="cellIs" dxfId="14152" priority="20296" stopIfTrue="1" operator="equal">
      <formula>"Towel"</formula>
    </cfRule>
    <cfRule type="cellIs" dxfId="14151" priority="20297" stopIfTrue="1" operator="equal">
      <formula>"Napkin Hs"</formula>
    </cfRule>
  </conditionalFormatting>
  <conditionalFormatting sqref="C30">
    <cfRule type="cellIs" dxfId="14150" priority="20294" stopIfTrue="1" operator="equal">
      <formula>"Towel"</formula>
    </cfRule>
    <cfRule type="cellIs" dxfId="14149" priority="20295" stopIfTrue="1" operator="equal">
      <formula>"Napkin Hs"</formula>
    </cfRule>
  </conditionalFormatting>
  <conditionalFormatting sqref="C30">
    <cfRule type="cellIs" dxfId="14148" priority="20286" stopIfTrue="1" operator="equal">
      <formula>"Towel"</formula>
    </cfRule>
    <cfRule type="cellIs" dxfId="14147" priority="20287" stopIfTrue="1" operator="equal">
      <formula>"Napkin Hs"</formula>
    </cfRule>
  </conditionalFormatting>
  <conditionalFormatting sqref="C30">
    <cfRule type="cellIs" dxfId="14146" priority="20288" stopIfTrue="1" operator="equal">
      <formula>"Towel"</formula>
    </cfRule>
    <cfRule type="cellIs" dxfId="14145" priority="20289" stopIfTrue="1" operator="equal">
      <formula>"Napkin Hs"</formula>
    </cfRule>
  </conditionalFormatting>
  <conditionalFormatting sqref="C30">
    <cfRule type="cellIs" dxfId="14144" priority="20290" stopIfTrue="1" operator="equal">
      <formula>"Towel"</formula>
    </cfRule>
    <cfRule type="cellIs" dxfId="14143" priority="20291" stopIfTrue="1" operator="equal">
      <formula>"Napkin Hs"</formula>
    </cfRule>
  </conditionalFormatting>
  <conditionalFormatting sqref="B30:C30">
    <cfRule type="cellIs" dxfId="14142" priority="20284" stopIfTrue="1" operator="equal">
      <formula>"Towel"</formula>
    </cfRule>
    <cfRule type="cellIs" dxfId="14141" priority="20285" stopIfTrue="1" operator="equal">
      <formula>"Napkin Hs"</formula>
    </cfRule>
  </conditionalFormatting>
  <conditionalFormatting sqref="B30:C30">
    <cfRule type="cellIs" dxfId="14140" priority="20282" stopIfTrue="1" operator="equal">
      <formula>"Towel"</formula>
    </cfRule>
    <cfRule type="cellIs" dxfId="14139" priority="20283" stopIfTrue="1" operator="equal">
      <formula>"Napkin Hs"</formula>
    </cfRule>
  </conditionalFormatting>
  <conditionalFormatting sqref="B30:C30">
    <cfRule type="cellIs" dxfId="14138" priority="20258" stopIfTrue="1" operator="equal">
      <formula>"Towel"</formula>
    </cfRule>
  </conditionalFormatting>
  <conditionalFormatting sqref="B30:C30">
    <cfRule type="cellIs" dxfId="14137" priority="20259" stopIfTrue="1" operator="equal">
      <formula>"Napkin Hs"</formula>
    </cfRule>
    <cfRule type="cellIs" dxfId="14136" priority="20264" stopIfTrue="1" operator="equal">
      <formula>"Towel"</formula>
    </cfRule>
    <cfRule type="cellIs" dxfId="14135" priority="20265" stopIfTrue="1" operator="equal">
      <formula>"Napkin Hs"</formula>
    </cfRule>
    <cfRule type="cellIs" dxfId="14134" priority="20274" stopIfTrue="1" operator="equal">
      <formula>"Towel"</formula>
    </cfRule>
    <cfRule type="cellIs" dxfId="14133" priority="20275" stopIfTrue="1" operator="equal">
      <formula>"Napkin Hs"</formula>
    </cfRule>
    <cfRule type="cellIs" dxfId="14132" priority="20280" stopIfTrue="1" operator="equal">
      <formula>"Towel"</formula>
    </cfRule>
    <cfRule type="cellIs" dxfId="14131" priority="20281" stopIfTrue="1" operator="equal">
      <formula>"Napkin Hs"</formula>
    </cfRule>
  </conditionalFormatting>
  <conditionalFormatting sqref="C30">
    <cfRule type="cellIs" dxfId="14130" priority="20260" stopIfTrue="1" operator="equal">
      <formula>"Towel"</formula>
    </cfRule>
    <cfRule type="cellIs" dxfId="14129" priority="20261" stopIfTrue="1" operator="equal">
      <formula>"Napkin Hs"</formula>
    </cfRule>
    <cfRule type="cellIs" dxfId="14128" priority="20262" stopIfTrue="1" operator="equal">
      <formula>"Towel"</formula>
    </cfRule>
    <cfRule type="cellIs" dxfId="14127" priority="20263" stopIfTrue="1" operator="equal">
      <formula>"Napkin Hs"</formula>
    </cfRule>
    <cfRule type="cellIs" dxfId="14126" priority="20266" stopIfTrue="1" operator="equal">
      <formula>"Towel"</formula>
    </cfRule>
    <cfRule type="cellIs" dxfId="14125" priority="20267" stopIfTrue="1" operator="equal">
      <formula>"Napkin Hs"</formula>
    </cfRule>
    <cfRule type="cellIs" dxfId="14124" priority="20268" stopIfTrue="1" operator="equal">
      <formula>"Towel"</formula>
    </cfRule>
    <cfRule type="cellIs" dxfId="14123" priority="20269" stopIfTrue="1" operator="equal">
      <formula>"Napkin Hs"</formula>
    </cfRule>
    <cfRule type="cellIs" dxfId="14122" priority="20270" stopIfTrue="1" operator="equal">
      <formula>"Towel"</formula>
    </cfRule>
    <cfRule type="cellIs" dxfId="14121" priority="20271" stopIfTrue="1" operator="equal">
      <formula>"Napkin Hs"</formula>
    </cfRule>
    <cfRule type="cellIs" dxfId="14120" priority="20272" stopIfTrue="1" operator="equal">
      <formula>"Towel"</formula>
    </cfRule>
    <cfRule type="cellIs" dxfId="14119" priority="20273" stopIfTrue="1" operator="equal">
      <formula>"Napkin Hs"</formula>
    </cfRule>
    <cfRule type="cellIs" dxfId="14118" priority="20276" stopIfTrue="1" operator="equal">
      <formula>"Towel"</formula>
    </cfRule>
    <cfRule type="cellIs" dxfId="14117" priority="20277" stopIfTrue="1" operator="equal">
      <formula>"Napkin Hs"</formula>
    </cfRule>
    <cfRule type="cellIs" dxfId="14116" priority="20279" stopIfTrue="1" operator="equal">
      <formula>"Napkin Hs"</formula>
    </cfRule>
  </conditionalFormatting>
  <conditionalFormatting sqref="C30">
    <cfRule type="cellIs" dxfId="14115" priority="20278" stopIfTrue="1" operator="equal">
      <formula>"Towel"</formula>
    </cfRule>
  </conditionalFormatting>
  <conditionalFormatting sqref="B30:C30">
    <cfRule type="cellIs" dxfId="14114" priority="20256" stopIfTrue="1" operator="equal">
      <formula>"Towel"</formula>
    </cfRule>
    <cfRule type="cellIs" dxfId="14113" priority="20257" stopIfTrue="1" operator="equal">
      <formula>"Napkin Hs"</formula>
    </cfRule>
  </conditionalFormatting>
  <conditionalFormatting sqref="C30">
    <cfRule type="cellIs" dxfId="14112" priority="20255" stopIfTrue="1" operator="equal">
      <formula>"Napkin Hs"</formula>
    </cfRule>
  </conditionalFormatting>
  <conditionalFormatting sqref="C30">
    <cfRule type="cellIs" dxfId="14111" priority="20254" stopIfTrue="1" operator="equal">
      <formula>"Towel"</formula>
    </cfRule>
  </conditionalFormatting>
  <conditionalFormatting sqref="C30">
    <cfRule type="cellIs" dxfId="14110" priority="20252" stopIfTrue="1" operator="equal">
      <formula>"Towel"</formula>
    </cfRule>
  </conditionalFormatting>
  <conditionalFormatting sqref="C30">
    <cfRule type="cellIs" dxfId="14109" priority="20253" stopIfTrue="1" operator="equal">
      <formula>"Napkin Hs"</formula>
    </cfRule>
  </conditionalFormatting>
  <conditionalFormatting sqref="B30">
    <cfRule type="cellIs" dxfId="14108" priority="20156" stopIfTrue="1" operator="equal">
      <formula>"Napkin Hs"</formula>
    </cfRule>
  </conditionalFormatting>
  <conditionalFormatting sqref="B30:C30">
    <cfRule type="cellIs" dxfId="14107" priority="20155" stopIfTrue="1" operator="equal">
      <formula>"Towel"</formula>
    </cfRule>
  </conditionalFormatting>
  <conditionalFormatting sqref="B30:C30">
    <cfRule type="cellIs" dxfId="14106" priority="20166" stopIfTrue="1" operator="equal">
      <formula>"Towel"</formula>
    </cfRule>
    <cfRule type="cellIs" dxfId="14105" priority="20167" stopIfTrue="1" operator="equal">
      <formula>"Napkin Hs"</formula>
    </cfRule>
    <cfRule type="cellIs" dxfId="14104" priority="20172" stopIfTrue="1" operator="equal">
      <formula>"Towel"</formula>
    </cfRule>
    <cfRule type="cellIs" dxfId="14103" priority="20173" stopIfTrue="1" operator="equal">
      <formula>"Napkin Hs"</formula>
    </cfRule>
    <cfRule type="cellIs" dxfId="14102" priority="20178" stopIfTrue="1" operator="equal">
      <formula>"Towel"</formula>
    </cfRule>
    <cfRule type="cellIs" dxfId="14101" priority="20179" stopIfTrue="1" operator="equal">
      <formula>"Napkin Hs"</formula>
    </cfRule>
    <cfRule type="cellIs" dxfId="14100" priority="20180" stopIfTrue="1" operator="equal">
      <formula>"Towel"</formula>
    </cfRule>
    <cfRule type="cellIs" dxfId="14099" priority="20181" stopIfTrue="1" operator="equal">
      <formula>"Napkin Hs"</formula>
    </cfRule>
    <cfRule type="cellIs" dxfId="14098" priority="20186" stopIfTrue="1" operator="equal">
      <formula>"Towel"</formula>
    </cfRule>
    <cfRule type="cellIs" dxfId="14097" priority="20187" stopIfTrue="1" operator="equal">
      <formula>"Napkin Hs"</formula>
    </cfRule>
    <cfRule type="cellIs" dxfId="14096" priority="20196" stopIfTrue="1" operator="equal">
      <formula>"Towel"</formula>
    </cfRule>
    <cfRule type="cellIs" dxfId="14095" priority="20197" stopIfTrue="1" operator="equal">
      <formula>"Napkin Hs"</formula>
    </cfRule>
    <cfRule type="cellIs" dxfId="14094" priority="20202" stopIfTrue="1" operator="equal">
      <formula>"Towel"</formula>
    </cfRule>
    <cfRule type="cellIs" dxfId="14093" priority="20203" stopIfTrue="1" operator="equal">
      <formula>"Napkin Hs"</formula>
    </cfRule>
    <cfRule type="cellIs" dxfId="14092" priority="20204" stopIfTrue="1" operator="equal">
      <formula>"Towel"</formula>
    </cfRule>
    <cfRule type="cellIs" dxfId="14091" priority="20205" stopIfTrue="1" operator="equal">
      <formula>"Napkin Hs"</formula>
    </cfRule>
    <cfRule type="cellIs" dxfId="14090" priority="20210" stopIfTrue="1" operator="equal">
      <formula>"Towel"</formula>
    </cfRule>
    <cfRule type="cellIs" dxfId="14089" priority="20211" stopIfTrue="1" operator="equal">
      <formula>"Napkin Hs"</formula>
    </cfRule>
    <cfRule type="cellIs" dxfId="14088" priority="20220" stopIfTrue="1" operator="equal">
      <formula>"Towel"</formula>
    </cfRule>
    <cfRule type="cellIs" dxfId="14087" priority="20221" stopIfTrue="1" operator="equal">
      <formula>"Napkin Hs"</formula>
    </cfRule>
    <cfRule type="cellIs" dxfId="14086" priority="20222" stopIfTrue="1" operator="equal">
      <formula>"Towel"</formula>
    </cfRule>
    <cfRule type="cellIs" dxfId="14085" priority="20223" stopIfTrue="1" operator="equal">
      <formula>"Napkin Hs"</formula>
    </cfRule>
    <cfRule type="cellIs" dxfId="14084" priority="20228" stopIfTrue="1" operator="equal">
      <formula>"Towel"</formula>
    </cfRule>
    <cfRule type="cellIs" dxfId="14083" priority="20229" stopIfTrue="1" operator="equal">
      <formula>"Napkin Hs"</formula>
    </cfRule>
    <cfRule type="cellIs" dxfId="14082" priority="20238" stopIfTrue="1" operator="equal">
      <formula>"Towel"</formula>
    </cfRule>
    <cfRule type="cellIs" dxfId="14081" priority="20239" stopIfTrue="1" operator="equal">
      <formula>"Napkin Hs"</formula>
    </cfRule>
    <cfRule type="cellIs" dxfId="14080" priority="20240" stopIfTrue="1" operator="equal">
      <formula>"Towel"</formula>
    </cfRule>
    <cfRule type="cellIs" dxfId="14079" priority="20241" stopIfTrue="1" operator="equal">
      <formula>"Napkin Hs"</formula>
    </cfRule>
    <cfRule type="cellIs" dxfId="14078" priority="20247" stopIfTrue="1" operator="equal">
      <formula>"Napkin Hs"</formula>
    </cfRule>
  </conditionalFormatting>
  <conditionalFormatting sqref="B30:C30">
    <cfRule type="cellIs" dxfId="14077" priority="20246" stopIfTrue="1" operator="equal">
      <formula>"Towel"</formula>
    </cfRule>
  </conditionalFormatting>
  <conditionalFormatting sqref="C30">
    <cfRule type="cellIs" dxfId="14076" priority="20157" stopIfTrue="1" operator="equal">
      <formula>"Napkin Hs"</formula>
    </cfRule>
    <cfRule type="cellIs" dxfId="14075" priority="20158" stopIfTrue="1" operator="equal">
      <formula>"Towel"</formula>
    </cfRule>
    <cfRule type="cellIs" dxfId="14074" priority="20159" stopIfTrue="1" operator="equal">
      <formula>"Napkin Hs"</formula>
    </cfRule>
    <cfRule type="cellIs" dxfId="14073" priority="20160" stopIfTrue="1" operator="equal">
      <formula>"Towel"</formula>
    </cfRule>
    <cfRule type="cellIs" dxfId="14072" priority="20161" stopIfTrue="1" operator="equal">
      <formula>"Napkin Hs"</formula>
    </cfRule>
    <cfRule type="cellIs" dxfId="14071" priority="20162" stopIfTrue="1" operator="equal">
      <formula>"Towel"</formula>
    </cfRule>
    <cfRule type="cellIs" dxfId="14070" priority="20163" stopIfTrue="1" operator="equal">
      <formula>"Napkin Hs"</formula>
    </cfRule>
    <cfRule type="cellIs" dxfId="14069" priority="20164" stopIfTrue="1" operator="equal">
      <formula>"Towel"</formula>
    </cfRule>
    <cfRule type="cellIs" dxfId="14068" priority="20165" stopIfTrue="1" operator="equal">
      <formula>"Napkin Hs"</formula>
    </cfRule>
    <cfRule type="cellIs" dxfId="14067" priority="20168" stopIfTrue="1" operator="equal">
      <formula>"Towel"</formula>
    </cfRule>
    <cfRule type="cellIs" dxfId="14066" priority="20169" stopIfTrue="1" operator="equal">
      <formula>"Napkin Hs"</formula>
    </cfRule>
    <cfRule type="cellIs" dxfId="14065" priority="20170" stopIfTrue="1" operator="equal">
      <formula>"Towel"</formula>
    </cfRule>
    <cfRule type="cellIs" dxfId="14064" priority="20171" stopIfTrue="1" operator="equal">
      <formula>"Napkin Hs"</formula>
    </cfRule>
    <cfRule type="cellIs" dxfId="14063" priority="20174" stopIfTrue="1" operator="equal">
      <formula>"Towel"</formula>
    </cfRule>
    <cfRule type="cellIs" dxfId="14062" priority="20175" stopIfTrue="1" operator="equal">
      <formula>"Napkin Hs"</formula>
    </cfRule>
    <cfRule type="cellIs" dxfId="14061" priority="20176" stopIfTrue="1" operator="equal">
      <formula>"Towel"</formula>
    </cfRule>
    <cfRule type="cellIs" dxfId="14060" priority="20177" stopIfTrue="1" operator="equal">
      <formula>"Napkin Hs"</formula>
    </cfRule>
    <cfRule type="cellIs" dxfId="14059" priority="20182" stopIfTrue="1" operator="equal">
      <formula>"Towel"</formula>
    </cfRule>
    <cfRule type="cellIs" dxfId="14058" priority="20183" stopIfTrue="1" operator="equal">
      <formula>"Napkin Hs"</formula>
    </cfRule>
    <cfRule type="cellIs" dxfId="14057" priority="20184" stopIfTrue="1" operator="equal">
      <formula>"Towel"</formula>
    </cfRule>
    <cfRule type="cellIs" dxfId="14056" priority="20185" stopIfTrue="1" operator="equal">
      <formula>"Napkin Hs"</formula>
    </cfRule>
    <cfRule type="cellIs" dxfId="14055" priority="20188" stopIfTrue="1" operator="equal">
      <formula>"Towel"</formula>
    </cfRule>
    <cfRule type="cellIs" dxfId="14054" priority="20189" stopIfTrue="1" operator="equal">
      <formula>"Napkin Hs"</formula>
    </cfRule>
    <cfRule type="cellIs" dxfId="14053" priority="20190" stopIfTrue="1" operator="equal">
      <formula>"Towel"</formula>
    </cfRule>
    <cfRule type="cellIs" dxfId="14052" priority="20191" stopIfTrue="1" operator="equal">
      <formula>"Napkin Hs"</formula>
    </cfRule>
    <cfRule type="cellIs" dxfId="14051" priority="20192" stopIfTrue="1" operator="equal">
      <formula>"Towel"</formula>
    </cfRule>
    <cfRule type="cellIs" dxfId="14050" priority="20193" stopIfTrue="1" operator="equal">
      <formula>"Napkin Hs"</formula>
    </cfRule>
    <cfRule type="cellIs" dxfId="14049" priority="20194" stopIfTrue="1" operator="equal">
      <formula>"Towel"</formula>
    </cfRule>
    <cfRule type="cellIs" dxfId="14048" priority="20195" stopIfTrue="1" operator="equal">
      <formula>"Napkin Hs"</formula>
    </cfRule>
    <cfRule type="cellIs" dxfId="14047" priority="20198" stopIfTrue="1" operator="equal">
      <formula>"Towel"</formula>
    </cfRule>
    <cfRule type="cellIs" dxfId="14046" priority="20199" stopIfTrue="1" operator="equal">
      <formula>"Napkin Hs"</formula>
    </cfRule>
    <cfRule type="cellIs" dxfId="14045" priority="20200" stopIfTrue="1" operator="equal">
      <formula>"Towel"</formula>
    </cfRule>
    <cfRule type="cellIs" dxfId="14044" priority="20201" stopIfTrue="1" operator="equal">
      <formula>"Napkin Hs"</formula>
    </cfRule>
    <cfRule type="cellIs" dxfId="14043" priority="20206" stopIfTrue="1" operator="equal">
      <formula>"Towel"</formula>
    </cfRule>
    <cfRule type="cellIs" dxfId="14042" priority="20207" stopIfTrue="1" operator="equal">
      <formula>"Napkin Hs"</formula>
    </cfRule>
    <cfRule type="cellIs" dxfId="14041" priority="20208" stopIfTrue="1" operator="equal">
      <formula>"Towel"</formula>
    </cfRule>
    <cfRule type="cellIs" dxfId="14040" priority="20209" stopIfTrue="1" operator="equal">
      <formula>"Napkin Hs"</formula>
    </cfRule>
    <cfRule type="cellIs" dxfId="14039" priority="20212" stopIfTrue="1" operator="equal">
      <formula>"Towel"</formula>
    </cfRule>
    <cfRule type="cellIs" dxfId="14038" priority="20213" stopIfTrue="1" operator="equal">
      <formula>"Napkin Hs"</formula>
    </cfRule>
    <cfRule type="cellIs" dxfId="14037" priority="20214" stopIfTrue="1" operator="equal">
      <formula>"Towel"</formula>
    </cfRule>
    <cfRule type="cellIs" dxfId="14036" priority="20215" stopIfTrue="1" operator="equal">
      <formula>"Napkin Hs"</formula>
    </cfRule>
    <cfRule type="cellIs" dxfId="14035" priority="20216" stopIfTrue="1" operator="equal">
      <formula>"Towel"</formula>
    </cfRule>
    <cfRule type="cellIs" dxfId="14034" priority="20217" stopIfTrue="1" operator="equal">
      <formula>"Napkin Hs"</formula>
    </cfRule>
    <cfRule type="cellIs" dxfId="14033" priority="20218" stopIfTrue="1" operator="equal">
      <formula>"Towel"</formula>
    </cfRule>
    <cfRule type="cellIs" dxfId="14032" priority="20219" stopIfTrue="1" operator="equal">
      <formula>"Napkin Hs"</formula>
    </cfRule>
    <cfRule type="cellIs" dxfId="14031" priority="20224" stopIfTrue="1" operator="equal">
      <formula>"Towel"</formula>
    </cfRule>
    <cfRule type="cellIs" dxfId="14030" priority="20225" stopIfTrue="1" operator="equal">
      <formula>"Napkin Hs"</formula>
    </cfRule>
    <cfRule type="cellIs" dxfId="14029" priority="20226" stopIfTrue="1" operator="equal">
      <formula>"Towel"</formula>
    </cfRule>
    <cfRule type="cellIs" dxfId="14028" priority="20227" stopIfTrue="1" operator="equal">
      <formula>"Napkin Hs"</formula>
    </cfRule>
    <cfRule type="cellIs" dxfId="14027" priority="20230" stopIfTrue="1" operator="equal">
      <formula>"Towel"</formula>
    </cfRule>
    <cfRule type="cellIs" dxfId="14026" priority="20231" stopIfTrue="1" operator="equal">
      <formula>"Napkin Hs"</formula>
    </cfRule>
    <cfRule type="cellIs" dxfId="14025" priority="20232" stopIfTrue="1" operator="equal">
      <formula>"Towel"</formula>
    </cfRule>
    <cfRule type="cellIs" dxfId="14024" priority="20233" stopIfTrue="1" operator="equal">
      <formula>"Napkin Hs"</formula>
    </cfRule>
    <cfRule type="cellIs" dxfId="14023" priority="20234" stopIfTrue="1" operator="equal">
      <formula>"Towel"</formula>
    </cfRule>
    <cfRule type="cellIs" dxfId="14022" priority="20235" stopIfTrue="1" operator="equal">
      <formula>"Napkin Hs"</formula>
    </cfRule>
    <cfRule type="cellIs" dxfId="14021" priority="20236" stopIfTrue="1" operator="equal">
      <formula>"Towel"</formula>
    </cfRule>
    <cfRule type="cellIs" dxfId="14020" priority="20237" stopIfTrue="1" operator="equal">
      <formula>"Napkin Hs"</formula>
    </cfRule>
    <cfRule type="cellIs" dxfId="14019" priority="20242" stopIfTrue="1" operator="equal">
      <formula>"Towel"</formula>
    </cfRule>
    <cfRule type="cellIs" dxfId="14018" priority="20243" stopIfTrue="1" operator="equal">
      <formula>"Napkin Hs"</formula>
    </cfRule>
    <cfRule type="cellIs" dxfId="14017" priority="20244" stopIfTrue="1" operator="equal">
      <formula>"Towel"</formula>
    </cfRule>
    <cfRule type="cellIs" dxfId="14016" priority="20245" stopIfTrue="1" operator="equal">
      <formula>"Napkin Hs"</formula>
    </cfRule>
    <cfRule type="cellIs" dxfId="14015" priority="20248" stopIfTrue="1" operator="equal">
      <formula>"Towel"</formula>
    </cfRule>
    <cfRule type="cellIs" dxfId="14014" priority="20249" stopIfTrue="1" operator="equal">
      <formula>"Napkin Hs"</formula>
    </cfRule>
    <cfRule type="cellIs" dxfId="14013" priority="20250" stopIfTrue="1" operator="equal">
      <formula>"Towel"</formula>
    </cfRule>
    <cfRule type="cellIs" dxfId="14012" priority="20251" stopIfTrue="1" operator="equal">
      <formula>"Napkin Hs"</formula>
    </cfRule>
  </conditionalFormatting>
  <conditionalFormatting sqref="C30">
    <cfRule type="cellIs" dxfId="14011" priority="20154" stopIfTrue="1" operator="equal">
      <formula>"Napkin Hs"</formula>
    </cfRule>
  </conditionalFormatting>
  <conditionalFormatting sqref="C30">
    <cfRule type="cellIs" dxfId="14010" priority="20153" stopIfTrue="1" operator="equal">
      <formula>"Napkin Hs"</formula>
    </cfRule>
  </conditionalFormatting>
  <conditionalFormatting sqref="B30">
    <cfRule type="cellIs" dxfId="14009" priority="20152" stopIfTrue="1" operator="equal">
      <formula>"Napkin Hs"</formula>
    </cfRule>
  </conditionalFormatting>
  <conditionalFormatting sqref="C30">
    <cfRule type="cellIs" dxfId="14008" priority="20151" stopIfTrue="1" operator="equal">
      <formula>"Napkin Hs"</formula>
    </cfRule>
  </conditionalFormatting>
  <conditionalFormatting sqref="C30">
    <cfRule type="cellIs" dxfId="14007" priority="20150" stopIfTrue="1" operator="equal">
      <formula>"Napkin Hs"</formula>
    </cfRule>
  </conditionalFormatting>
  <conditionalFormatting sqref="C30">
    <cfRule type="cellIs" dxfId="14006" priority="20149" stopIfTrue="1" operator="equal">
      <formula>"Napkin Hs"</formula>
    </cfRule>
  </conditionalFormatting>
  <conditionalFormatting sqref="C30">
    <cfRule type="cellIs" dxfId="14005" priority="20148" stopIfTrue="1" operator="equal">
      <formula>"Napkin Hs"</formula>
    </cfRule>
  </conditionalFormatting>
  <conditionalFormatting sqref="B30">
    <cfRule type="cellIs" dxfId="14004" priority="20147" stopIfTrue="1" operator="equal">
      <formula>"Napkin Hs"</formula>
    </cfRule>
  </conditionalFormatting>
  <conditionalFormatting sqref="B30">
    <cfRule type="cellIs" dxfId="14003" priority="20146" stopIfTrue="1" operator="equal">
      <formula>"Napkin Hs"</formula>
    </cfRule>
  </conditionalFormatting>
  <conditionalFormatting sqref="C30">
    <cfRule type="cellIs" dxfId="14002" priority="20142" stopIfTrue="1" operator="equal">
      <formula>"Towel"</formula>
    </cfRule>
    <cfRule type="cellIs" dxfId="14001" priority="20143" stopIfTrue="1" operator="equal">
      <formula>"Napkin Hs"</formula>
    </cfRule>
  </conditionalFormatting>
  <conditionalFormatting sqref="C30">
    <cfRule type="cellIs" dxfId="14000" priority="20144" stopIfTrue="1" operator="equal">
      <formula>"Towel"</formula>
    </cfRule>
    <cfRule type="cellIs" dxfId="13999" priority="20145" stopIfTrue="1" operator="equal">
      <formula>"Napkin Hs"</formula>
    </cfRule>
  </conditionalFormatting>
  <conditionalFormatting sqref="C30">
    <cfRule type="cellIs" dxfId="13998" priority="20138" stopIfTrue="1" operator="equal">
      <formula>"Towel"</formula>
    </cfRule>
    <cfRule type="cellIs" dxfId="13997" priority="20139" stopIfTrue="1" operator="equal">
      <formula>"Napkin Hs"</formula>
    </cfRule>
  </conditionalFormatting>
  <conditionalFormatting sqref="C30">
    <cfRule type="cellIs" dxfId="13996" priority="20140" stopIfTrue="1" operator="equal">
      <formula>"Towel"</formula>
    </cfRule>
    <cfRule type="cellIs" dxfId="13995" priority="20141" stopIfTrue="1" operator="equal">
      <formula>"Napkin Hs"</formula>
    </cfRule>
  </conditionalFormatting>
  <conditionalFormatting sqref="C31">
    <cfRule type="cellIs" dxfId="13994" priority="20134" stopIfTrue="1" operator="equal">
      <formula>"Towel"</formula>
    </cfRule>
    <cfRule type="cellIs" dxfId="13993" priority="20135" stopIfTrue="1" operator="equal">
      <formula>"Napkin Hs"</formula>
    </cfRule>
  </conditionalFormatting>
  <conditionalFormatting sqref="C31">
    <cfRule type="cellIs" dxfId="13992" priority="20136" stopIfTrue="1" operator="equal">
      <formula>"Towel"</formula>
    </cfRule>
    <cfRule type="cellIs" dxfId="13991" priority="20137" stopIfTrue="1" operator="equal">
      <formula>"Napkin Hs"</formula>
    </cfRule>
  </conditionalFormatting>
  <conditionalFormatting sqref="C31">
    <cfRule type="cellIs" dxfId="13990" priority="20132" stopIfTrue="1" operator="equal">
      <formula>"Towel"</formula>
    </cfRule>
    <cfRule type="cellIs" dxfId="13989" priority="20133" stopIfTrue="1" operator="equal">
      <formula>"Napkin Hs"</formula>
    </cfRule>
  </conditionalFormatting>
  <conditionalFormatting sqref="B31">
    <cfRule type="cellIs" dxfId="13988" priority="20130" stopIfTrue="1" operator="equal">
      <formula>"Towel"</formula>
    </cfRule>
    <cfRule type="cellIs" dxfId="13987" priority="20131" stopIfTrue="1" operator="equal">
      <formula>"Napkin Hs"</formula>
    </cfRule>
  </conditionalFormatting>
  <conditionalFormatting sqref="C31">
    <cfRule type="cellIs" dxfId="13986" priority="20124" stopIfTrue="1" operator="equal">
      <formula>"Towel"</formula>
    </cfRule>
    <cfRule type="cellIs" dxfId="13985" priority="20125" stopIfTrue="1" operator="equal">
      <formula>"Napkin Hs"</formula>
    </cfRule>
  </conditionalFormatting>
  <conditionalFormatting sqref="C31">
    <cfRule type="cellIs" dxfId="13984" priority="20128" stopIfTrue="1" operator="equal">
      <formula>"Towel"</formula>
    </cfRule>
    <cfRule type="cellIs" dxfId="13983" priority="20129" stopIfTrue="1" operator="equal">
      <formula>"Napkin Hs"</formula>
    </cfRule>
  </conditionalFormatting>
  <conditionalFormatting sqref="C31">
    <cfRule type="cellIs" dxfId="13982" priority="20126" stopIfTrue="1" operator="equal">
      <formula>"Towel"</formula>
    </cfRule>
    <cfRule type="cellIs" dxfId="13981" priority="20127" stopIfTrue="1" operator="equal">
      <formula>"Napkin Hs"</formula>
    </cfRule>
  </conditionalFormatting>
  <conditionalFormatting sqref="C31">
    <cfRule type="cellIs" dxfId="13980" priority="20118" stopIfTrue="1" operator="equal">
      <formula>"Towel"</formula>
    </cfRule>
    <cfRule type="cellIs" dxfId="13979" priority="20119" stopIfTrue="1" operator="equal">
      <formula>"Napkin Hs"</formula>
    </cfRule>
  </conditionalFormatting>
  <conditionalFormatting sqref="C31">
    <cfRule type="cellIs" dxfId="13978" priority="20120" stopIfTrue="1" operator="equal">
      <formula>"Towel"</formula>
    </cfRule>
    <cfRule type="cellIs" dxfId="13977" priority="20121" stopIfTrue="1" operator="equal">
      <formula>"Napkin Hs"</formula>
    </cfRule>
  </conditionalFormatting>
  <conditionalFormatting sqref="C31">
    <cfRule type="cellIs" dxfId="13976" priority="20122" stopIfTrue="1" operator="equal">
      <formula>"Towel"</formula>
    </cfRule>
    <cfRule type="cellIs" dxfId="13975" priority="20123" stopIfTrue="1" operator="equal">
      <formula>"Napkin Hs"</formula>
    </cfRule>
  </conditionalFormatting>
  <conditionalFormatting sqref="B31:C31">
    <cfRule type="cellIs" dxfId="13974" priority="20116" stopIfTrue="1" operator="equal">
      <formula>"Towel"</formula>
    </cfRule>
    <cfRule type="cellIs" dxfId="13973" priority="20117" stopIfTrue="1" operator="equal">
      <formula>"Napkin Hs"</formula>
    </cfRule>
  </conditionalFormatting>
  <conditionalFormatting sqref="B31:C31">
    <cfRule type="cellIs" dxfId="13972" priority="20114" stopIfTrue="1" operator="equal">
      <formula>"Towel"</formula>
    </cfRule>
    <cfRule type="cellIs" dxfId="13971" priority="20115" stopIfTrue="1" operator="equal">
      <formula>"Napkin Hs"</formula>
    </cfRule>
  </conditionalFormatting>
  <conditionalFormatting sqref="B31:C31">
    <cfRule type="cellIs" dxfId="13970" priority="20090" stopIfTrue="1" operator="equal">
      <formula>"Towel"</formula>
    </cfRule>
  </conditionalFormatting>
  <conditionalFormatting sqref="B31:C31">
    <cfRule type="cellIs" dxfId="13969" priority="20091" stopIfTrue="1" operator="equal">
      <formula>"Napkin Hs"</formula>
    </cfRule>
    <cfRule type="cellIs" dxfId="13968" priority="20096" stopIfTrue="1" operator="equal">
      <formula>"Towel"</formula>
    </cfRule>
    <cfRule type="cellIs" dxfId="13967" priority="20097" stopIfTrue="1" operator="equal">
      <formula>"Napkin Hs"</formula>
    </cfRule>
    <cfRule type="cellIs" dxfId="13966" priority="20106" stopIfTrue="1" operator="equal">
      <formula>"Towel"</formula>
    </cfRule>
    <cfRule type="cellIs" dxfId="13965" priority="20107" stopIfTrue="1" operator="equal">
      <formula>"Napkin Hs"</formula>
    </cfRule>
    <cfRule type="cellIs" dxfId="13964" priority="20112" stopIfTrue="1" operator="equal">
      <formula>"Towel"</formula>
    </cfRule>
    <cfRule type="cellIs" dxfId="13963" priority="20113" stopIfTrue="1" operator="equal">
      <formula>"Napkin Hs"</formula>
    </cfRule>
  </conditionalFormatting>
  <conditionalFormatting sqref="C31">
    <cfRule type="cellIs" dxfId="13962" priority="20092" stopIfTrue="1" operator="equal">
      <formula>"Towel"</formula>
    </cfRule>
    <cfRule type="cellIs" dxfId="13961" priority="20093" stopIfTrue="1" operator="equal">
      <formula>"Napkin Hs"</formula>
    </cfRule>
    <cfRule type="cellIs" dxfId="13960" priority="20094" stopIfTrue="1" operator="equal">
      <formula>"Towel"</formula>
    </cfRule>
    <cfRule type="cellIs" dxfId="13959" priority="20095" stopIfTrue="1" operator="equal">
      <formula>"Napkin Hs"</formula>
    </cfRule>
    <cfRule type="cellIs" dxfId="13958" priority="20098" stopIfTrue="1" operator="equal">
      <formula>"Towel"</formula>
    </cfRule>
    <cfRule type="cellIs" dxfId="13957" priority="20099" stopIfTrue="1" operator="equal">
      <formula>"Napkin Hs"</formula>
    </cfRule>
    <cfRule type="cellIs" dxfId="13956" priority="20100" stopIfTrue="1" operator="equal">
      <formula>"Towel"</formula>
    </cfRule>
    <cfRule type="cellIs" dxfId="13955" priority="20101" stopIfTrue="1" operator="equal">
      <formula>"Napkin Hs"</formula>
    </cfRule>
    <cfRule type="cellIs" dxfId="13954" priority="20102" stopIfTrue="1" operator="equal">
      <formula>"Towel"</formula>
    </cfRule>
    <cfRule type="cellIs" dxfId="13953" priority="20103" stopIfTrue="1" operator="equal">
      <formula>"Napkin Hs"</formula>
    </cfRule>
    <cfRule type="cellIs" dxfId="13952" priority="20104" stopIfTrue="1" operator="equal">
      <formula>"Towel"</formula>
    </cfRule>
    <cfRule type="cellIs" dxfId="13951" priority="20105" stopIfTrue="1" operator="equal">
      <formula>"Napkin Hs"</formula>
    </cfRule>
    <cfRule type="cellIs" dxfId="13950" priority="20108" stopIfTrue="1" operator="equal">
      <formula>"Towel"</formula>
    </cfRule>
    <cfRule type="cellIs" dxfId="13949" priority="20109" stopIfTrue="1" operator="equal">
      <formula>"Napkin Hs"</formula>
    </cfRule>
    <cfRule type="cellIs" dxfId="13948" priority="20111" stopIfTrue="1" operator="equal">
      <formula>"Napkin Hs"</formula>
    </cfRule>
  </conditionalFormatting>
  <conditionalFormatting sqref="C31">
    <cfRule type="cellIs" dxfId="13947" priority="20110" stopIfTrue="1" operator="equal">
      <formula>"Towel"</formula>
    </cfRule>
  </conditionalFormatting>
  <conditionalFormatting sqref="B31:C31">
    <cfRule type="cellIs" dxfId="13946" priority="20088" stopIfTrue="1" operator="equal">
      <formula>"Towel"</formula>
    </cfRule>
    <cfRule type="cellIs" dxfId="13945" priority="20089" stopIfTrue="1" operator="equal">
      <formula>"Napkin Hs"</formula>
    </cfRule>
  </conditionalFormatting>
  <conditionalFormatting sqref="C31">
    <cfRule type="cellIs" dxfId="13944" priority="20087" stopIfTrue="1" operator="equal">
      <formula>"Napkin Hs"</formula>
    </cfRule>
  </conditionalFormatting>
  <conditionalFormatting sqref="C31">
    <cfRule type="cellIs" dxfId="13943" priority="20086" stopIfTrue="1" operator="equal">
      <formula>"Towel"</formula>
    </cfRule>
  </conditionalFormatting>
  <conditionalFormatting sqref="C31">
    <cfRule type="cellIs" dxfId="13942" priority="20084" stopIfTrue="1" operator="equal">
      <formula>"Towel"</formula>
    </cfRule>
  </conditionalFormatting>
  <conditionalFormatting sqref="C31">
    <cfRule type="cellIs" dxfId="13941" priority="20085" stopIfTrue="1" operator="equal">
      <formula>"Napkin Hs"</formula>
    </cfRule>
  </conditionalFormatting>
  <conditionalFormatting sqref="B31">
    <cfRule type="cellIs" dxfId="13940" priority="19988" stopIfTrue="1" operator="equal">
      <formula>"Napkin Hs"</formula>
    </cfRule>
  </conditionalFormatting>
  <conditionalFormatting sqref="B31:C31">
    <cfRule type="cellIs" dxfId="13939" priority="19987" stopIfTrue="1" operator="equal">
      <formula>"Towel"</formula>
    </cfRule>
  </conditionalFormatting>
  <conditionalFormatting sqref="B31:C31">
    <cfRule type="cellIs" dxfId="13938" priority="19998" stopIfTrue="1" operator="equal">
      <formula>"Towel"</formula>
    </cfRule>
    <cfRule type="cellIs" dxfId="13937" priority="19999" stopIfTrue="1" operator="equal">
      <formula>"Napkin Hs"</formula>
    </cfRule>
    <cfRule type="cellIs" dxfId="13936" priority="20004" stopIfTrue="1" operator="equal">
      <formula>"Towel"</formula>
    </cfRule>
    <cfRule type="cellIs" dxfId="13935" priority="20005" stopIfTrue="1" operator="equal">
      <formula>"Napkin Hs"</formula>
    </cfRule>
    <cfRule type="cellIs" dxfId="13934" priority="20010" stopIfTrue="1" operator="equal">
      <formula>"Towel"</formula>
    </cfRule>
    <cfRule type="cellIs" dxfId="13933" priority="20011" stopIfTrue="1" operator="equal">
      <formula>"Napkin Hs"</formula>
    </cfRule>
    <cfRule type="cellIs" dxfId="13932" priority="20012" stopIfTrue="1" operator="equal">
      <formula>"Towel"</formula>
    </cfRule>
    <cfRule type="cellIs" dxfId="13931" priority="20013" stopIfTrue="1" operator="equal">
      <formula>"Napkin Hs"</formula>
    </cfRule>
    <cfRule type="cellIs" dxfId="13930" priority="20018" stopIfTrue="1" operator="equal">
      <formula>"Towel"</formula>
    </cfRule>
    <cfRule type="cellIs" dxfId="13929" priority="20019" stopIfTrue="1" operator="equal">
      <formula>"Napkin Hs"</formula>
    </cfRule>
    <cfRule type="cellIs" dxfId="13928" priority="20028" stopIfTrue="1" operator="equal">
      <formula>"Towel"</formula>
    </cfRule>
    <cfRule type="cellIs" dxfId="13927" priority="20029" stopIfTrue="1" operator="equal">
      <formula>"Napkin Hs"</formula>
    </cfRule>
    <cfRule type="cellIs" dxfId="13926" priority="20034" stopIfTrue="1" operator="equal">
      <formula>"Towel"</formula>
    </cfRule>
    <cfRule type="cellIs" dxfId="13925" priority="20035" stopIfTrue="1" operator="equal">
      <formula>"Napkin Hs"</formula>
    </cfRule>
    <cfRule type="cellIs" dxfId="13924" priority="20036" stopIfTrue="1" operator="equal">
      <formula>"Towel"</formula>
    </cfRule>
    <cfRule type="cellIs" dxfId="13923" priority="20037" stopIfTrue="1" operator="equal">
      <formula>"Napkin Hs"</formula>
    </cfRule>
    <cfRule type="cellIs" dxfId="13922" priority="20042" stopIfTrue="1" operator="equal">
      <formula>"Towel"</formula>
    </cfRule>
    <cfRule type="cellIs" dxfId="13921" priority="20043" stopIfTrue="1" operator="equal">
      <formula>"Napkin Hs"</formula>
    </cfRule>
    <cfRule type="cellIs" dxfId="13920" priority="20052" stopIfTrue="1" operator="equal">
      <formula>"Towel"</formula>
    </cfRule>
    <cfRule type="cellIs" dxfId="13919" priority="20053" stopIfTrue="1" operator="equal">
      <formula>"Napkin Hs"</formula>
    </cfRule>
    <cfRule type="cellIs" dxfId="13918" priority="20054" stopIfTrue="1" operator="equal">
      <formula>"Towel"</formula>
    </cfRule>
    <cfRule type="cellIs" dxfId="13917" priority="20055" stopIfTrue="1" operator="equal">
      <formula>"Napkin Hs"</formula>
    </cfRule>
    <cfRule type="cellIs" dxfId="13916" priority="20060" stopIfTrue="1" operator="equal">
      <formula>"Towel"</formula>
    </cfRule>
    <cfRule type="cellIs" dxfId="13915" priority="20061" stopIfTrue="1" operator="equal">
      <formula>"Napkin Hs"</formula>
    </cfRule>
    <cfRule type="cellIs" dxfId="13914" priority="20070" stopIfTrue="1" operator="equal">
      <formula>"Towel"</formula>
    </cfRule>
    <cfRule type="cellIs" dxfId="13913" priority="20071" stopIfTrue="1" operator="equal">
      <formula>"Napkin Hs"</formula>
    </cfRule>
    <cfRule type="cellIs" dxfId="13912" priority="20072" stopIfTrue="1" operator="equal">
      <formula>"Towel"</formula>
    </cfRule>
    <cfRule type="cellIs" dxfId="13911" priority="20073" stopIfTrue="1" operator="equal">
      <formula>"Napkin Hs"</formula>
    </cfRule>
    <cfRule type="cellIs" dxfId="13910" priority="20079" stopIfTrue="1" operator="equal">
      <formula>"Napkin Hs"</formula>
    </cfRule>
  </conditionalFormatting>
  <conditionalFormatting sqref="B31:C31">
    <cfRule type="cellIs" dxfId="13909" priority="20078" stopIfTrue="1" operator="equal">
      <formula>"Towel"</formula>
    </cfRule>
  </conditionalFormatting>
  <conditionalFormatting sqref="C31">
    <cfRule type="cellIs" dxfId="13908" priority="19989" stopIfTrue="1" operator="equal">
      <formula>"Napkin Hs"</formula>
    </cfRule>
    <cfRule type="cellIs" dxfId="13907" priority="19990" stopIfTrue="1" operator="equal">
      <formula>"Towel"</formula>
    </cfRule>
    <cfRule type="cellIs" dxfId="13906" priority="19991" stopIfTrue="1" operator="equal">
      <formula>"Napkin Hs"</formula>
    </cfRule>
    <cfRule type="cellIs" dxfId="13905" priority="19992" stopIfTrue="1" operator="equal">
      <formula>"Towel"</formula>
    </cfRule>
    <cfRule type="cellIs" dxfId="13904" priority="19993" stopIfTrue="1" operator="equal">
      <formula>"Napkin Hs"</formula>
    </cfRule>
    <cfRule type="cellIs" dxfId="13903" priority="19994" stopIfTrue="1" operator="equal">
      <formula>"Towel"</formula>
    </cfRule>
    <cfRule type="cellIs" dxfId="13902" priority="19995" stopIfTrue="1" operator="equal">
      <formula>"Napkin Hs"</formula>
    </cfRule>
    <cfRule type="cellIs" dxfId="13901" priority="19996" stopIfTrue="1" operator="equal">
      <formula>"Towel"</formula>
    </cfRule>
    <cfRule type="cellIs" dxfId="13900" priority="19997" stopIfTrue="1" operator="equal">
      <formula>"Napkin Hs"</formula>
    </cfRule>
    <cfRule type="cellIs" dxfId="13899" priority="20000" stopIfTrue="1" operator="equal">
      <formula>"Towel"</formula>
    </cfRule>
    <cfRule type="cellIs" dxfId="13898" priority="20001" stopIfTrue="1" operator="equal">
      <formula>"Napkin Hs"</formula>
    </cfRule>
    <cfRule type="cellIs" dxfId="13897" priority="20002" stopIfTrue="1" operator="equal">
      <formula>"Towel"</formula>
    </cfRule>
    <cfRule type="cellIs" dxfId="13896" priority="20003" stopIfTrue="1" operator="equal">
      <formula>"Napkin Hs"</formula>
    </cfRule>
    <cfRule type="cellIs" dxfId="13895" priority="20006" stopIfTrue="1" operator="equal">
      <formula>"Towel"</formula>
    </cfRule>
    <cfRule type="cellIs" dxfId="13894" priority="20007" stopIfTrue="1" operator="equal">
      <formula>"Napkin Hs"</formula>
    </cfRule>
    <cfRule type="cellIs" dxfId="13893" priority="20008" stopIfTrue="1" operator="equal">
      <formula>"Towel"</formula>
    </cfRule>
    <cfRule type="cellIs" dxfId="13892" priority="20009" stopIfTrue="1" operator="equal">
      <formula>"Napkin Hs"</formula>
    </cfRule>
    <cfRule type="cellIs" dxfId="13891" priority="20014" stopIfTrue="1" operator="equal">
      <formula>"Towel"</formula>
    </cfRule>
    <cfRule type="cellIs" dxfId="13890" priority="20015" stopIfTrue="1" operator="equal">
      <formula>"Napkin Hs"</formula>
    </cfRule>
    <cfRule type="cellIs" dxfId="13889" priority="20016" stopIfTrue="1" operator="equal">
      <formula>"Towel"</formula>
    </cfRule>
    <cfRule type="cellIs" dxfId="13888" priority="20017" stopIfTrue="1" operator="equal">
      <formula>"Napkin Hs"</formula>
    </cfRule>
    <cfRule type="cellIs" dxfId="13887" priority="20020" stopIfTrue="1" operator="equal">
      <formula>"Towel"</formula>
    </cfRule>
    <cfRule type="cellIs" dxfId="13886" priority="20021" stopIfTrue="1" operator="equal">
      <formula>"Napkin Hs"</formula>
    </cfRule>
    <cfRule type="cellIs" dxfId="13885" priority="20022" stopIfTrue="1" operator="equal">
      <formula>"Towel"</formula>
    </cfRule>
    <cfRule type="cellIs" dxfId="13884" priority="20023" stopIfTrue="1" operator="equal">
      <formula>"Napkin Hs"</formula>
    </cfRule>
    <cfRule type="cellIs" dxfId="13883" priority="20024" stopIfTrue="1" operator="equal">
      <formula>"Towel"</formula>
    </cfRule>
    <cfRule type="cellIs" dxfId="13882" priority="20025" stopIfTrue="1" operator="equal">
      <formula>"Napkin Hs"</formula>
    </cfRule>
    <cfRule type="cellIs" dxfId="13881" priority="20026" stopIfTrue="1" operator="equal">
      <formula>"Towel"</formula>
    </cfRule>
    <cfRule type="cellIs" dxfId="13880" priority="20027" stopIfTrue="1" operator="equal">
      <formula>"Napkin Hs"</formula>
    </cfRule>
    <cfRule type="cellIs" dxfId="13879" priority="20030" stopIfTrue="1" operator="equal">
      <formula>"Towel"</formula>
    </cfRule>
    <cfRule type="cellIs" dxfId="13878" priority="20031" stopIfTrue="1" operator="equal">
      <formula>"Napkin Hs"</formula>
    </cfRule>
    <cfRule type="cellIs" dxfId="13877" priority="20032" stopIfTrue="1" operator="equal">
      <formula>"Towel"</formula>
    </cfRule>
    <cfRule type="cellIs" dxfId="13876" priority="20033" stopIfTrue="1" operator="equal">
      <formula>"Napkin Hs"</formula>
    </cfRule>
    <cfRule type="cellIs" dxfId="13875" priority="20038" stopIfTrue="1" operator="equal">
      <formula>"Towel"</formula>
    </cfRule>
    <cfRule type="cellIs" dxfId="13874" priority="20039" stopIfTrue="1" operator="equal">
      <formula>"Napkin Hs"</formula>
    </cfRule>
    <cfRule type="cellIs" dxfId="13873" priority="20040" stopIfTrue="1" operator="equal">
      <formula>"Towel"</formula>
    </cfRule>
    <cfRule type="cellIs" dxfId="13872" priority="20041" stopIfTrue="1" operator="equal">
      <formula>"Napkin Hs"</formula>
    </cfRule>
    <cfRule type="cellIs" dxfId="13871" priority="20044" stopIfTrue="1" operator="equal">
      <formula>"Towel"</formula>
    </cfRule>
    <cfRule type="cellIs" dxfId="13870" priority="20045" stopIfTrue="1" operator="equal">
      <formula>"Napkin Hs"</formula>
    </cfRule>
    <cfRule type="cellIs" dxfId="13869" priority="20046" stopIfTrue="1" operator="equal">
      <formula>"Towel"</formula>
    </cfRule>
    <cfRule type="cellIs" dxfId="13868" priority="20047" stopIfTrue="1" operator="equal">
      <formula>"Napkin Hs"</formula>
    </cfRule>
    <cfRule type="cellIs" dxfId="13867" priority="20048" stopIfTrue="1" operator="equal">
      <formula>"Towel"</formula>
    </cfRule>
    <cfRule type="cellIs" dxfId="13866" priority="20049" stopIfTrue="1" operator="equal">
      <formula>"Napkin Hs"</formula>
    </cfRule>
    <cfRule type="cellIs" dxfId="13865" priority="20050" stopIfTrue="1" operator="equal">
      <formula>"Towel"</formula>
    </cfRule>
    <cfRule type="cellIs" dxfId="13864" priority="20051" stopIfTrue="1" operator="equal">
      <formula>"Napkin Hs"</formula>
    </cfRule>
    <cfRule type="cellIs" dxfId="13863" priority="20056" stopIfTrue="1" operator="equal">
      <formula>"Towel"</formula>
    </cfRule>
    <cfRule type="cellIs" dxfId="13862" priority="20057" stopIfTrue="1" operator="equal">
      <formula>"Napkin Hs"</formula>
    </cfRule>
    <cfRule type="cellIs" dxfId="13861" priority="20058" stopIfTrue="1" operator="equal">
      <formula>"Towel"</formula>
    </cfRule>
    <cfRule type="cellIs" dxfId="13860" priority="20059" stopIfTrue="1" operator="equal">
      <formula>"Napkin Hs"</formula>
    </cfRule>
    <cfRule type="cellIs" dxfId="13859" priority="20062" stopIfTrue="1" operator="equal">
      <formula>"Towel"</formula>
    </cfRule>
    <cfRule type="cellIs" dxfId="13858" priority="20063" stopIfTrue="1" operator="equal">
      <formula>"Napkin Hs"</formula>
    </cfRule>
    <cfRule type="cellIs" dxfId="13857" priority="20064" stopIfTrue="1" operator="equal">
      <formula>"Towel"</formula>
    </cfRule>
    <cfRule type="cellIs" dxfId="13856" priority="20065" stopIfTrue="1" operator="equal">
      <formula>"Napkin Hs"</formula>
    </cfRule>
    <cfRule type="cellIs" dxfId="13855" priority="20066" stopIfTrue="1" operator="equal">
      <formula>"Towel"</formula>
    </cfRule>
    <cfRule type="cellIs" dxfId="13854" priority="20067" stopIfTrue="1" operator="equal">
      <formula>"Napkin Hs"</formula>
    </cfRule>
    <cfRule type="cellIs" dxfId="13853" priority="20068" stopIfTrue="1" operator="equal">
      <formula>"Towel"</formula>
    </cfRule>
    <cfRule type="cellIs" dxfId="13852" priority="20069" stopIfTrue="1" operator="equal">
      <formula>"Napkin Hs"</formula>
    </cfRule>
    <cfRule type="cellIs" dxfId="13851" priority="20074" stopIfTrue="1" operator="equal">
      <formula>"Towel"</formula>
    </cfRule>
    <cfRule type="cellIs" dxfId="13850" priority="20075" stopIfTrue="1" operator="equal">
      <formula>"Napkin Hs"</formula>
    </cfRule>
    <cfRule type="cellIs" dxfId="13849" priority="20076" stopIfTrue="1" operator="equal">
      <formula>"Towel"</formula>
    </cfRule>
    <cfRule type="cellIs" dxfId="13848" priority="20077" stopIfTrue="1" operator="equal">
      <formula>"Napkin Hs"</formula>
    </cfRule>
    <cfRule type="cellIs" dxfId="13847" priority="20080" stopIfTrue="1" operator="equal">
      <formula>"Towel"</formula>
    </cfRule>
    <cfRule type="cellIs" dxfId="13846" priority="20081" stopIfTrue="1" operator="equal">
      <formula>"Napkin Hs"</formula>
    </cfRule>
    <cfRule type="cellIs" dxfId="13845" priority="20082" stopIfTrue="1" operator="equal">
      <formula>"Towel"</formula>
    </cfRule>
    <cfRule type="cellIs" dxfId="13844" priority="20083" stopIfTrue="1" operator="equal">
      <formula>"Napkin Hs"</formula>
    </cfRule>
  </conditionalFormatting>
  <conditionalFormatting sqref="C31">
    <cfRule type="cellIs" dxfId="13843" priority="19986" stopIfTrue="1" operator="equal">
      <formula>"Napkin Hs"</formula>
    </cfRule>
  </conditionalFormatting>
  <conditionalFormatting sqref="C31">
    <cfRule type="cellIs" dxfId="13842" priority="19985" stopIfTrue="1" operator="equal">
      <formula>"Napkin Hs"</formula>
    </cfRule>
  </conditionalFormatting>
  <conditionalFormatting sqref="B31">
    <cfRule type="cellIs" dxfId="13841" priority="19984" stopIfTrue="1" operator="equal">
      <formula>"Napkin Hs"</formula>
    </cfRule>
  </conditionalFormatting>
  <conditionalFormatting sqref="C31">
    <cfRule type="cellIs" dxfId="13840" priority="19983" stopIfTrue="1" operator="equal">
      <formula>"Napkin Hs"</formula>
    </cfRule>
  </conditionalFormatting>
  <conditionalFormatting sqref="C31">
    <cfRule type="cellIs" dxfId="13839" priority="19982" stopIfTrue="1" operator="equal">
      <formula>"Napkin Hs"</formula>
    </cfRule>
  </conditionalFormatting>
  <conditionalFormatting sqref="C31">
    <cfRule type="cellIs" dxfId="13838" priority="19981" stopIfTrue="1" operator="equal">
      <formula>"Napkin Hs"</formula>
    </cfRule>
  </conditionalFormatting>
  <conditionalFormatting sqref="C31">
    <cfRule type="cellIs" dxfId="13837" priority="19980" stopIfTrue="1" operator="equal">
      <formula>"Napkin Hs"</formula>
    </cfRule>
  </conditionalFormatting>
  <conditionalFormatting sqref="B31">
    <cfRule type="cellIs" dxfId="13836" priority="19979" stopIfTrue="1" operator="equal">
      <formula>"Napkin Hs"</formula>
    </cfRule>
  </conditionalFormatting>
  <conditionalFormatting sqref="B31">
    <cfRule type="cellIs" dxfId="13835" priority="19978" stopIfTrue="1" operator="equal">
      <formula>"Napkin Hs"</formula>
    </cfRule>
  </conditionalFormatting>
  <conditionalFormatting sqref="C31">
    <cfRule type="cellIs" dxfId="13834" priority="19974" stopIfTrue="1" operator="equal">
      <formula>"Towel"</formula>
    </cfRule>
    <cfRule type="cellIs" dxfId="13833" priority="19975" stopIfTrue="1" operator="equal">
      <formula>"Napkin Hs"</formula>
    </cfRule>
  </conditionalFormatting>
  <conditionalFormatting sqref="C31">
    <cfRule type="cellIs" dxfId="13832" priority="19976" stopIfTrue="1" operator="equal">
      <formula>"Towel"</formula>
    </cfRule>
    <cfRule type="cellIs" dxfId="13831" priority="19977" stopIfTrue="1" operator="equal">
      <formula>"Napkin Hs"</formula>
    </cfRule>
  </conditionalFormatting>
  <conditionalFormatting sqref="C31">
    <cfRule type="cellIs" dxfId="13830" priority="19970" stopIfTrue="1" operator="equal">
      <formula>"Towel"</formula>
    </cfRule>
    <cfRule type="cellIs" dxfId="13829" priority="19971" stopIfTrue="1" operator="equal">
      <formula>"Napkin Hs"</formula>
    </cfRule>
  </conditionalFormatting>
  <conditionalFormatting sqref="C31">
    <cfRule type="cellIs" dxfId="13828" priority="19972" stopIfTrue="1" operator="equal">
      <formula>"Towel"</formula>
    </cfRule>
    <cfRule type="cellIs" dxfId="13827" priority="19973" stopIfTrue="1" operator="equal">
      <formula>"Napkin Hs"</formula>
    </cfRule>
  </conditionalFormatting>
  <conditionalFormatting sqref="B40:C40">
    <cfRule type="cellIs" dxfId="13826" priority="19968" stopIfTrue="1" operator="equal">
      <formula>"Towel"</formula>
    </cfRule>
    <cfRule type="cellIs" dxfId="13825" priority="19969" stopIfTrue="1" operator="equal">
      <formula>"Napkin Hs"</formula>
    </cfRule>
  </conditionalFormatting>
  <conditionalFormatting sqref="C40">
    <cfRule type="cellIs" dxfId="13824" priority="19964" stopIfTrue="1" operator="equal">
      <formula>"Towel"</formula>
    </cfRule>
    <cfRule type="cellIs" dxfId="13823" priority="19965" stopIfTrue="1" operator="equal">
      <formula>"Napkin Hs"</formula>
    </cfRule>
  </conditionalFormatting>
  <conditionalFormatting sqref="C40">
    <cfRule type="cellIs" dxfId="13822" priority="19967" stopIfTrue="1" operator="equal">
      <formula>"Napkin Hs"</formula>
    </cfRule>
  </conditionalFormatting>
  <conditionalFormatting sqref="C40">
    <cfRule type="cellIs" dxfId="13821" priority="19966" stopIfTrue="1" operator="equal">
      <formula>"Towel"</formula>
    </cfRule>
  </conditionalFormatting>
  <conditionalFormatting sqref="C39">
    <cfRule type="cellIs" dxfId="13820" priority="19960" stopIfTrue="1" operator="equal">
      <formula>"Towel"</formula>
    </cfRule>
    <cfRule type="cellIs" dxfId="13819" priority="19961" stopIfTrue="1" operator="equal">
      <formula>"Napkin Hs"</formula>
    </cfRule>
  </conditionalFormatting>
  <conditionalFormatting sqref="C39">
    <cfRule type="cellIs" dxfId="13818" priority="19962" stopIfTrue="1" operator="equal">
      <formula>"Towel"</formula>
    </cfRule>
    <cfRule type="cellIs" dxfId="13817" priority="19963" stopIfTrue="1" operator="equal">
      <formula>"Napkin Hs"</formula>
    </cfRule>
  </conditionalFormatting>
  <conditionalFormatting sqref="C39">
    <cfRule type="cellIs" dxfId="13816" priority="19958" stopIfTrue="1" operator="equal">
      <formula>"Towel"</formula>
    </cfRule>
    <cfRule type="cellIs" dxfId="13815" priority="19959" stopIfTrue="1" operator="equal">
      <formula>"Napkin Hs"</formula>
    </cfRule>
  </conditionalFormatting>
  <conditionalFormatting sqref="B39">
    <cfRule type="cellIs" dxfId="13814" priority="19956" stopIfTrue="1" operator="equal">
      <formula>"Towel"</formula>
    </cfRule>
    <cfRule type="cellIs" dxfId="13813" priority="19957" stopIfTrue="1" operator="equal">
      <formula>"Napkin Hs"</formula>
    </cfRule>
  </conditionalFormatting>
  <conditionalFormatting sqref="C39">
    <cfRule type="cellIs" dxfId="13812" priority="19950" stopIfTrue="1" operator="equal">
      <formula>"Towel"</formula>
    </cfRule>
    <cfRule type="cellIs" dxfId="13811" priority="19951" stopIfTrue="1" operator="equal">
      <formula>"Napkin Hs"</formula>
    </cfRule>
  </conditionalFormatting>
  <conditionalFormatting sqref="C39">
    <cfRule type="cellIs" dxfId="13810" priority="19954" stopIfTrue="1" operator="equal">
      <formula>"Towel"</formula>
    </cfRule>
    <cfRule type="cellIs" dxfId="13809" priority="19955" stopIfTrue="1" operator="equal">
      <formula>"Napkin Hs"</formula>
    </cfRule>
  </conditionalFormatting>
  <conditionalFormatting sqref="C39">
    <cfRule type="cellIs" dxfId="13808" priority="19952" stopIfTrue="1" operator="equal">
      <formula>"Towel"</formula>
    </cfRule>
    <cfRule type="cellIs" dxfId="13807" priority="19953" stopIfTrue="1" operator="equal">
      <formula>"Napkin Hs"</formula>
    </cfRule>
  </conditionalFormatting>
  <conditionalFormatting sqref="C39">
    <cfRule type="cellIs" dxfId="13806" priority="19944" stopIfTrue="1" operator="equal">
      <formula>"Towel"</formula>
    </cfRule>
    <cfRule type="cellIs" dxfId="13805" priority="19945" stopIfTrue="1" operator="equal">
      <formula>"Napkin Hs"</formula>
    </cfRule>
  </conditionalFormatting>
  <conditionalFormatting sqref="C39">
    <cfRule type="cellIs" dxfId="13804" priority="19946" stopIfTrue="1" operator="equal">
      <formula>"Towel"</formula>
    </cfRule>
    <cfRule type="cellIs" dxfId="13803" priority="19947" stopIfTrue="1" operator="equal">
      <formula>"Napkin Hs"</formula>
    </cfRule>
  </conditionalFormatting>
  <conditionalFormatting sqref="C39">
    <cfRule type="cellIs" dxfId="13802" priority="19948" stopIfTrue="1" operator="equal">
      <formula>"Towel"</formula>
    </cfRule>
    <cfRule type="cellIs" dxfId="13801" priority="19949" stopIfTrue="1" operator="equal">
      <formula>"Napkin Hs"</formula>
    </cfRule>
  </conditionalFormatting>
  <conditionalFormatting sqref="B39:C39">
    <cfRule type="cellIs" dxfId="13800" priority="19942" stopIfTrue="1" operator="equal">
      <formula>"Towel"</formula>
    </cfRule>
    <cfRule type="cellIs" dxfId="13799" priority="19943" stopIfTrue="1" operator="equal">
      <formula>"Napkin Hs"</formula>
    </cfRule>
  </conditionalFormatting>
  <conditionalFormatting sqref="B39:C39">
    <cfRule type="cellIs" dxfId="13798" priority="19940" stopIfTrue="1" operator="equal">
      <formula>"Towel"</formula>
    </cfRule>
    <cfRule type="cellIs" dxfId="13797" priority="19941" stopIfTrue="1" operator="equal">
      <formula>"Napkin Hs"</formula>
    </cfRule>
  </conditionalFormatting>
  <conditionalFormatting sqref="B39:C39">
    <cfRule type="cellIs" dxfId="13796" priority="19916" stopIfTrue="1" operator="equal">
      <formula>"Towel"</formula>
    </cfRule>
  </conditionalFormatting>
  <conditionalFormatting sqref="B39:C39">
    <cfRule type="cellIs" dxfId="13795" priority="19917" stopIfTrue="1" operator="equal">
      <formula>"Napkin Hs"</formula>
    </cfRule>
    <cfRule type="cellIs" dxfId="13794" priority="19922" stopIfTrue="1" operator="equal">
      <formula>"Towel"</formula>
    </cfRule>
    <cfRule type="cellIs" dxfId="13793" priority="19923" stopIfTrue="1" operator="equal">
      <formula>"Napkin Hs"</formula>
    </cfRule>
    <cfRule type="cellIs" dxfId="13792" priority="19932" stopIfTrue="1" operator="equal">
      <formula>"Towel"</formula>
    </cfRule>
    <cfRule type="cellIs" dxfId="13791" priority="19933" stopIfTrue="1" operator="equal">
      <formula>"Napkin Hs"</formula>
    </cfRule>
    <cfRule type="cellIs" dxfId="13790" priority="19938" stopIfTrue="1" operator="equal">
      <formula>"Towel"</formula>
    </cfRule>
    <cfRule type="cellIs" dxfId="13789" priority="19939" stopIfTrue="1" operator="equal">
      <formula>"Napkin Hs"</formula>
    </cfRule>
  </conditionalFormatting>
  <conditionalFormatting sqref="C39">
    <cfRule type="cellIs" dxfId="13788" priority="19918" stopIfTrue="1" operator="equal">
      <formula>"Towel"</formula>
    </cfRule>
    <cfRule type="cellIs" dxfId="13787" priority="19919" stopIfTrue="1" operator="equal">
      <formula>"Napkin Hs"</formula>
    </cfRule>
    <cfRule type="cellIs" dxfId="13786" priority="19920" stopIfTrue="1" operator="equal">
      <formula>"Towel"</formula>
    </cfRule>
    <cfRule type="cellIs" dxfId="13785" priority="19921" stopIfTrue="1" operator="equal">
      <formula>"Napkin Hs"</formula>
    </cfRule>
    <cfRule type="cellIs" dxfId="13784" priority="19924" stopIfTrue="1" operator="equal">
      <formula>"Towel"</formula>
    </cfRule>
    <cfRule type="cellIs" dxfId="13783" priority="19925" stopIfTrue="1" operator="equal">
      <formula>"Napkin Hs"</formula>
    </cfRule>
    <cfRule type="cellIs" dxfId="13782" priority="19926" stopIfTrue="1" operator="equal">
      <formula>"Towel"</formula>
    </cfRule>
    <cfRule type="cellIs" dxfId="13781" priority="19927" stopIfTrue="1" operator="equal">
      <formula>"Napkin Hs"</formula>
    </cfRule>
    <cfRule type="cellIs" dxfId="13780" priority="19928" stopIfTrue="1" operator="equal">
      <formula>"Towel"</formula>
    </cfRule>
    <cfRule type="cellIs" dxfId="13779" priority="19929" stopIfTrue="1" operator="equal">
      <formula>"Napkin Hs"</formula>
    </cfRule>
    <cfRule type="cellIs" dxfId="13778" priority="19930" stopIfTrue="1" operator="equal">
      <formula>"Towel"</formula>
    </cfRule>
    <cfRule type="cellIs" dxfId="13777" priority="19931" stopIfTrue="1" operator="equal">
      <formula>"Napkin Hs"</formula>
    </cfRule>
    <cfRule type="cellIs" dxfId="13776" priority="19934" stopIfTrue="1" operator="equal">
      <formula>"Towel"</formula>
    </cfRule>
    <cfRule type="cellIs" dxfId="13775" priority="19935" stopIfTrue="1" operator="equal">
      <formula>"Napkin Hs"</formula>
    </cfRule>
    <cfRule type="cellIs" dxfId="13774" priority="19937" stopIfTrue="1" operator="equal">
      <formula>"Napkin Hs"</formula>
    </cfRule>
  </conditionalFormatting>
  <conditionalFormatting sqref="C39">
    <cfRule type="cellIs" dxfId="13773" priority="19936" stopIfTrue="1" operator="equal">
      <formula>"Towel"</formula>
    </cfRule>
  </conditionalFormatting>
  <conditionalFormatting sqref="B39:C39">
    <cfRule type="cellIs" dxfId="13772" priority="19914" stopIfTrue="1" operator="equal">
      <formula>"Towel"</formula>
    </cfRule>
    <cfRule type="cellIs" dxfId="13771" priority="19915" stopIfTrue="1" operator="equal">
      <formula>"Napkin Hs"</formula>
    </cfRule>
  </conditionalFormatting>
  <conditionalFormatting sqref="C39">
    <cfRule type="cellIs" dxfId="13770" priority="19913" stopIfTrue="1" operator="equal">
      <formula>"Napkin Hs"</formula>
    </cfRule>
  </conditionalFormatting>
  <conditionalFormatting sqref="C39">
    <cfRule type="cellIs" dxfId="13769" priority="19912" stopIfTrue="1" operator="equal">
      <formula>"Towel"</formula>
    </cfRule>
  </conditionalFormatting>
  <conditionalFormatting sqref="C39">
    <cfRule type="cellIs" dxfId="13768" priority="19910" stopIfTrue="1" operator="equal">
      <formula>"Towel"</formula>
    </cfRule>
  </conditionalFormatting>
  <conditionalFormatting sqref="C39">
    <cfRule type="cellIs" dxfId="13767" priority="19911" stopIfTrue="1" operator="equal">
      <formula>"Napkin Hs"</formula>
    </cfRule>
  </conditionalFormatting>
  <conditionalFormatting sqref="B39">
    <cfRule type="cellIs" dxfId="13766" priority="19814" stopIfTrue="1" operator="equal">
      <formula>"Napkin Hs"</formula>
    </cfRule>
  </conditionalFormatting>
  <conditionalFormatting sqref="B39:C39">
    <cfRule type="cellIs" dxfId="13765" priority="19813" stopIfTrue="1" operator="equal">
      <formula>"Towel"</formula>
    </cfRule>
  </conditionalFormatting>
  <conditionalFormatting sqref="B39:C39">
    <cfRule type="cellIs" dxfId="13764" priority="19824" stopIfTrue="1" operator="equal">
      <formula>"Towel"</formula>
    </cfRule>
    <cfRule type="cellIs" dxfId="13763" priority="19825" stopIfTrue="1" operator="equal">
      <formula>"Napkin Hs"</formula>
    </cfRule>
    <cfRule type="cellIs" dxfId="13762" priority="19830" stopIfTrue="1" operator="equal">
      <formula>"Towel"</formula>
    </cfRule>
    <cfRule type="cellIs" dxfId="13761" priority="19831" stopIfTrue="1" operator="equal">
      <formula>"Napkin Hs"</formula>
    </cfRule>
    <cfRule type="cellIs" dxfId="13760" priority="19836" stopIfTrue="1" operator="equal">
      <formula>"Towel"</formula>
    </cfRule>
    <cfRule type="cellIs" dxfId="13759" priority="19837" stopIfTrue="1" operator="equal">
      <formula>"Napkin Hs"</formula>
    </cfRule>
    <cfRule type="cellIs" dxfId="13758" priority="19838" stopIfTrue="1" operator="equal">
      <formula>"Towel"</formula>
    </cfRule>
    <cfRule type="cellIs" dxfId="13757" priority="19839" stopIfTrue="1" operator="equal">
      <formula>"Napkin Hs"</formula>
    </cfRule>
    <cfRule type="cellIs" dxfId="13756" priority="19844" stopIfTrue="1" operator="equal">
      <formula>"Towel"</formula>
    </cfRule>
    <cfRule type="cellIs" dxfId="13755" priority="19845" stopIfTrue="1" operator="equal">
      <formula>"Napkin Hs"</formula>
    </cfRule>
    <cfRule type="cellIs" dxfId="13754" priority="19854" stopIfTrue="1" operator="equal">
      <formula>"Towel"</formula>
    </cfRule>
    <cfRule type="cellIs" dxfId="13753" priority="19855" stopIfTrue="1" operator="equal">
      <formula>"Napkin Hs"</formula>
    </cfRule>
    <cfRule type="cellIs" dxfId="13752" priority="19860" stopIfTrue="1" operator="equal">
      <formula>"Towel"</formula>
    </cfRule>
    <cfRule type="cellIs" dxfId="13751" priority="19861" stopIfTrue="1" operator="equal">
      <formula>"Napkin Hs"</formula>
    </cfRule>
    <cfRule type="cellIs" dxfId="13750" priority="19862" stopIfTrue="1" operator="equal">
      <formula>"Towel"</formula>
    </cfRule>
    <cfRule type="cellIs" dxfId="13749" priority="19863" stopIfTrue="1" operator="equal">
      <formula>"Napkin Hs"</formula>
    </cfRule>
    <cfRule type="cellIs" dxfId="13748" priority="19868" stopIfTrue="1" operator="equal">
      <formula>"Towel"</formula>
    </cfRule>
    <cfRule type="cellIs" dxfId="13747" priority="19869" stopIfTrue="1" operator="equal">
      <formula>"Napkin Hs"</formula>
    </cfRule>
    <cfRule type="cellIs" dxfId="13746" priority="19878" stopIfTrue="1" operator="equal">
      <formula>"Towel"</formula>
    </cfRule>
    <cfRule type="cellIs" dxfId="13745" priority="19879" stopIfTrue="1" operator="equal">
      <formula>"Napkin Hs"</formula>
    </cfRule>
    <cfRule type="cellIs" dxfId="13744" priority="19880" stopIfTrue="1" operator="equal">
      <formula>"Towel"</formula>
    </cfRule>
    <cfRule type="cellIs" dxfId="13743" priority="19881" stopIfTrue="1" operator="equal">
      <formula>"Napkin Hs"</formula>
    </cfRule>
    <cfRule type="cellIs" dxfId="13742" priority="19886" stopIfTrue="1" operator="equal">
      <formula>"Towel"</formula>
    </cfRule>
    <cfRule type="cellIs" dxfId="13741" priority="19887" stopIfTrue="1" operator="equal">
      <formula>"Napkin Hs"</formula>
    </cfRule>
    <cfRule type="cellIs" dxfId="13740" priority="19896" stopIfTrue="1" operator="equal">
      <formula>"Towel"</formula>
    </cfRule>
    <cfRule type="cellIs" dxfId="13739" priority="19897" stopIfTrue="1" operator="equal">
      <formula>"Napkin Hs"</formula>
    </cfRule>
    <cfRule type="cellIs" dxfId="13738" priority="19898" stopIfTrue="1" operator="equal">
      <formula>"Towel"</formula>
    </cfRule>
    <cfRule type="cellIs" dxfId="13737" priority="19899" stopIfTrue="1" operator="equal">
      <formula>"Napkin Hs"</formula>
    </cfRule>
    <cfRule type="cellIs" dxfId="13736" priority="19905" stopIfTrue="1" operator="equal">
      <formula>"Napkin Hs"</formula>
    </cfRule>
  </conditionalFormatting>
  <conditionalFormatting sqref="B39:C39">
    <cfRule type="cellIs" dxfId="13735" priority="19904" stopIfTrue="1" operator="equal">
      <formula>"Towel"</formula>
    </cfRule>
  </conditionalFormatting>
  <conditionalFormatting sqref="C39">
    <cfRule type="cellIs" dxfId="13734" priority="19815" stopIfTrue="1" operator="equal">
      <formula>"Napkin Hs"</formula>
    </cfRule>
    <cfRule type="cellIs" dxfId="13733" priority="19816" stopIfTrue="1" operator="equal">
      <formula>"Towel"</formula>
    </cfRule>
    <cfRule type="cellIs" dxfId="13732" priority="19817" stopIfTrue="1" operator="equal">
      <formula>"Napkin Hs"</formula>
    </cfRule>
    <cfRule type="cellIs" dxfId="13731" priority="19818" stopIfTrue="1" operator="equal">
      <formula>"Towel"</formula>
    </cfRule>
    <cfRule type="cellIs" dxfId="13730" priority="19819" stopIfTrue="1" operator="equal">
      <formula>"Napkin Hs"</formula>
    </cfRule>
    <cfRule type="cellIs" dxfId="13729" priority="19820" stopIfTrue="1" operator="equal">
      <formula>"Towel"</formula>
    </cfRule>
    <cfRule type="cellIs" dxfId="13728" priority="19821" stopIfTrue="1" operator="equal">
      <formula>"Napkin Hs"</formula>
    </cfRule>
    <cfRule type="cellIs" dxfId="13727" priority="19822" stopIfTrue="1" operator="equal">
      <formula>"Towel"</formula>
    </cfRule>
    <cfRule type="cellIs" dxfId="13726" priority="19823" stopIfTrue="1" operator="equal">
      <formula>"Napkin Hs"</formula>
    </cfRule>
    <cfRule type="cellIs" dxfId="13725" priority="19826" stopIfTrue="1" operator="equal">
      <formula>"Towel"</formula>
    </cfRule>
    <cfRule type="cellIs" dxfId="13724" priority="19827" stopIfTrue="1" operator="equal">
      <formula>"Napkin Hs"</formula>
    </cfRule>
    <cfRule type="cellIs" dxfId="13723" priority="19828" stopIfTrue="1" operator="equal">
      <formula>"Towel"</formula>
    </cfRule>
    <cfRule type="cellIs" dxfId="13722" priority="19829" stopIfTrue="1" operator="equal">
      <formula>"Napkin Hs"</formula>
    </cfRule>
    <cfRule type="cellIs" dxfId="13721" priority="19832" stopIfTrue="1" operator="equal">
      <formula>"Towel"</formula>
    </cfRule>
    <cfRule type="cellIs" dxfId="13720" priority="19833" stopIfTrue="1" operator="equal">
      <formula>"Napkin Hs"</formula>
    </cfRule>
    <cfRule type="cellIs" dxfId="13719" priority="19834" stopIfTrue="1" operator="equal">
      <formula>"Towel"</formula>
    </cfRule>
    <cfRule type="cellIs" dxfId="13718" priority="19835" stopIfTrue="1" operator="equal">
      <formula>"Napkin Hs"</formula>
    </cfRule>
    <cfRule type="cellIs" dxfId="13717" priority="19840" stopIfTrue="1" operator="equal">
      <formula>"Towel"</formula>
    </cfRule>
    <cfRule type="cellIs" dxfId="13716" priority="19841" stopIfTrue="1" operator="equal">
      <formula>"Napkin Hs"</formula>
    </cfRule>
    <cfRule type="cellIs" dxfId="13715" priority="19842" stopIfTrue="1" operator="equal">
      <formula>"Towel"</formula>
    </cfRule>
    <cfRule type="cellIs" dxfId="13714" priority="19843" stopIfTrue="1" operator="equal">
      <formula>"Napkin Hs"</formula>
    </cfRule>
    <cfRule type="cellIs" dxfId="13713" priority="19846" stopIfTrue="1" operator="equal">
      <formula>"Towel"</formula>
    </cfRule>
    <cfRule type="cellIs" dxfId="13712" priority="19847" stopIfTrue="1" operator="equal">
      <formula>"Napkin Hs"</formula>
    </cfRule>
    <cfRule type="cellIs" dxfId="13711" priority="19848" stopIfTrue="1" operator="equal">
      <formula>"Towel"</formula>
    </cfRule>
    <cfRule type="cellIs" dxfId="13710" priority="19849" stopIfTrue="1" operator="equal">
      <formula>"Napkin Hs"</formula>
    </cfRule>
    <cfRule type="cellIs" dxfId="13709" priority="19850" stopIfTrue="1" operator="equal">
      <formula>"Towel"</formula>
    </cfRule>
    <cfRule type="cellIs" dxfId="13708" priority="19851" stopIfTrue="1" operator="equal">
      <formula>"Napkin Hs"</formula>
    </cfRule>
    <cfRule type="cellIs" dxfId="13707" priority="19852" stopIfTrue="1" operator="equal">
      <formula>"Towel"</formula>
    </cfRule>
    <cfRule type="cellIs" dxfId="13706" priority="19853" stopIfTrue="1" operator="equal">
      <formula>"Napkin Hs"</formula>
    </cfRule>
    <cfRule type="cellIs" dxfId="13705" priority="19856" stopIfTrue="1" operator="equal">
      <formula>"Towel"</formula>
    </cfRule>
    <cfRule type="cellIs" dxfId="13704" priority="19857" stopIfTrue="1" operator="equal">
      <formula>"Napkin Hs"</formula>
    </cfRule>
    <cfRule type="cellIs" dxfId="13703" priority="19858" stopIfTrue="1" operator="equal">
      <formula>"Towel"</formula>
    </cfRule>
    <cfRule type="cellIs" dxfId="13702" priority="19859" stopIfTrue="1" operator="equal">
      <formula>"Napkin Hs"</formula>
    </cfRule>
    <cfRule type="cellIs" dxfId="13701" priority="19864" stopIfTrue="1" operator="equal">
      <formula>"Towel"</formula>
    </cfRule>
    <cfRule type="cellIs" dxfId="13700" priority="19865" stopIfTrue="1" operator="equal">
      <formula>"Napkin Hs"</formula>
    </cfRule>
    <cfRule type="cellIs" dxfId="13699" priority="19866" stopIfTrue="1" operator="equal">
      <formula>"Towel"</formula>
    </cfRule>
    <cfRule type="cellIs" dxfId="13698" priority="19867" stopIfTrue="1" operator="equal">
      <formula>"Napkin Hs"</formula>
    </cfRule>
    <cfRule type="cellIs" dxfId="13697" priority="19870" stopIfTrue="1" operator="equal">
      <formula>"Towel"</formula>
    </cfRule>
    <cfRule type="cellIs" dxfId="13696" priority="19871" stopIfTrue="1" operator="equal">
      <formula>"Napkin Hs"</formula>
    </cfRule>
    <cfRule type="cellIs" dxfId="13695" priority="19872" stopIfTrue="1" operator="equal">
      <formula>"Towel"</formula>
    </cfRule>
    <cfRule type="cellIs" dxfId="13694" priority="19873" stopIfTrue="1" operator="equal">
      <formula>"Napkin Hs"</formula>
    </cfRule>
    <cfRule type="cellIs" dxfId="13693" priority="19874" stopIfTrue="1" operator="equal">
      <formula>"Towel"</formula>
    </cfRule>
    <cfRule type="cellIs" dxfId="13692" priority="19875" stopIfTrue="1" operator="equal">
      <formula>"Napkin Hs"</formula>
    </cfRule>
    <cfRule type="cellIs" dxfId="13691" priority="19876" stopIfTrue="1" operator="equal">
      <formula>"Towel"</formula>
    </cfRule>
    <cfRule type="cellIs" dxfId="13690" priority="19877" stopIfTrue="1" operator="equal">
      <formula>"Napkin Hs"</formula>
    </cfRule>
    <cfRule type="cellIs" dxfId="13689" priority="19882" stopIfTrue="1" operator="equal">
      <formula>"Towel"</formula>
    </cfRule>
    <cfRule type="cellIs" dxfId="13688" priority="19883" stopIfTrue="1" operator="equal">
      <formula>"Napkin Hs"</formula>
    </cfRule>
    <cfRule type="cellIs" dxfId="13687" priority="19884" stopIfTrue="1" operator="equal">
      <formula>"Towel"</formula>
    </cfRule>
    <cfRule type="cellIs" dxfId="13686" priority="19885" stopIfTrue="1" operator="equal">
      <formula>"Napkin Hs"</formula>
    </cfRule>
    <cfRule type="cellIs" dxfId="13685" priority="19888" stopIfTrue="1" operator="equal">
      <formula>"Towel"</formula>
    </cfRule>
    <cfRule type="cellIs" dxfId="13684" priority="19889" stopIfTrue="1" operator="equal">
      <formula>"Napkin Hs"</formula>
    </cfRule>
    <cfRule type="cellIs" dxfId="13683" priority="19890" stopIfTrue="1" operator="equal">
      <formula>"Towel"</formula>
    </cfRule>
    <cfRule type="cellIs" dxfId="13682" priority="19891" stopIfTrue="1" operator="equal">
      <formula>"Napkin Hs"</formula>
    </cfRule>
    <cfRule type="cellIs" dxfId="13681" priority="19892" stopIfTrue="1" operator="equal">
      <formula>"Towel"</formula>
    </cfRule>
    <cfRule type="cellIs" dxfId="13680" priority="19893" stopIfTrue="1" operator="equal">
      <formula>"Napkin Hs"</formula>
    </cfRule>
    <cfRule type="cellIs" dxfId="13679" priority="19894" stopIfTrue="1" operator="equal">
      <formula>"Towel"</formula>
    </cfRule>
    <cfRule type="cellIs" dxfId="13678" priority="19895" stopIfTrue="1" operator="equal">
      <formula>"Napkin Hs"</formula>
    </cfRule>
    <cfRule type="cellIs" dxfId="13677" priority="19900" stopIfTrue="1" operator="equal">
      <formula>"Towel"</formula>
    </cfRule>
    <cfRule type="cellIs" dxfId="13676" priority="19901" stopIfTrue="1" operator="equal">
      <formula>"Napkin Hs"</formula>
    </cfRule>
    <cfRule type="cellIs" dxfId="13675" priority="19902" stopIfTrue="1" operator="equal">
      <formula>"Towel"</formula>
    </cfRule>
    <cfRule type="cellIs" dxfId="13674" priority="19903" stopIfTrue="1" operator="equal">
      <formula>"Napkin Hs"</formula>
    </cfRule>
    <cfRule type="cellIs" dxfId="13673" priority="19906" stopIfTrue="1" operator="equal">
      <formula>"Towel"</formula>
    </cfRule>
    <cfRule type="cellIs" dxfId="13672" priority="19907" stopIfTrue="1" operator="equal">
      <formula>"Napkin Hs"</formula>
    </cfRule>
    <cfRule type="cellIs" dxfId="13671" priority="19908" stopIfTrue="1" operator="equal">
      <formula>"Towel"</formula>
    </cfRule>
    <cfRule type="cellIs" dxfId="13670" priority="19909" stopIfTrue="1" operator="equal">
      <formula>"Napkin Hs"</formula>
    </cfRule>
  </conditionalFormatting>
  <conditionalFormatting sqref="C39">
    <cfRule type="cellIs" dxfId="13669" priority="19812" stopIfTrue="1" operator="equal">
      <formula>"Napkin Hs"</formula>
    </cfRule>
  </conditionalFormatting>
  <conditionalFormatting sqref="C39">
    <cfRule type="cellIs" dxfId="13668" priority="19811" stopIfTrue="1" operator="equal">
      <formula>"Napkin Hs"</formula>
    </cfRule>
  </conditionalFormatting>
  <conditionalFormatting sqref="B39">
    <cfRule type="cellIs" dxfId="13667" priority="19810" stopIfTrue="1" operator="equal">
      <formula>"Napkin Hs"</formula>
    </cfRule>
  </conditionalFormatting>
  <conditionalFormatting sqref="C39">
    <cfRule type="cellIs" dxfId="13666" priority="19809" stopIfTrue="1" operator="equal">
      <formula>"Napkin Hs"</formula>
    </cfRule>
  </conditionalFormatting>
  <conditionalFormatting sqref="C39">
    <cfRule type="cellIs" dxfId="13665" priority="19808" stopIfTrue="1" operator="equal">
      <formula>"Napkin Hs"</formula>
    </cfRule>
  </conditionalFormatting>
  <conditionalFormatting sqref="C39">
    <cfRule type="cellIs" dxfId="13664" priority="19807" stopIfTrue="1" operator="equal">
      <formula>"Napkin Hs"</formula>
    </cfRule>
  </conditionalFormatting>
  <conditionalFormatting sqref="C39">
    <cfRule type="cellIs" dxfId="13663" priority="19806" stopIfTrue="1" operator="equal">
      <formula>"Napkin Hs"</formula>
    </cfRule>
  </conditionalFormatting>
  <conditionalFormatting sqref="B39">
    <cfRule type="cellIs" dxfId="13662" priority="19805" stopIfTrue="1" operator="equal">
      <formula>"Napkin Hs"</formula>
    </cfRule>
  </conditionalFormatting>
  <conditionalFormatting sqref="B39">
    <cfRule type="cellIs" dxfId="13661" priority="19804" stopIfTrue="1" operator="equal">
      <formula>"Napkin Hs"</formula>
    </cfRule>
  </conditionalFormatting>
  <conditionalFormatting sqref="C39">
    <cfRule type="cellIs" dxfId="13660" priority="19800" stopIfTrue="1" operator="equal">
      <formula>"Towel"</formula>
    </cfRule>
    <cfRule type="cellIs" dxfId="13659" priority="19801" stopIfTrue="1" operator="equal">
      <formula>"Napkin Hs"</formula>
    </cfRule>
  </conditionalFormatting>
  <conditionalFormatting sqref="C39">
    <cfRule type="cellIs" dxfId="13658" priority="19802" stopIfTrue="1" operator="equal">
      <formula>"Towel"</formula>
    </cfRule>
    <cfRule type="cellIs" dxfId="13657" priority="19803" stopIfTrue="1" operator="equal">
      <formula>"Napkin Hs"</formula>
    </cfRule>
  </conditionalFormatting>
  <conditionalFormatting sqref="C39">
    <cfRule type="cellIs" dxfId="13656" priority="19796" stopIfTrue="1" operator="equal">
      <formula>"Towel"</formula>
    </cfRule>
    <cfRule type="cellIs" dxfId="13655" priority="19797" stopIfTrue="1" operator="equal">
      <formula>"Napkin Hs"</formula>
    </cfRule>
  </conditionalFormatting>
  <conditionalFormatting sqref="C39">
    <cfRule type="cellIs" dxfId="13654" priority="19798" stopIfTrue="1" operator="equal">
      <formula>"Towel"</formula>
    </cfRule>
    <cfRule type="cellIs" dxfId="13653" priority="19799" stopIfTrue="1" operator="equal">
      <formula>"Napkin Hs"</formula>
    </cfRule>
  </conditionalFormatting>
  <conditionalFormatting sqref="C37">
    <cfRule type="cellIs" dxfId="13652" priority="19792" stopIfTrue="1" operator="equal">
      <formula>"Towel"</formula>
    </cfRule>
    <cfRule type="cellIs" dxfId="13651" priority="19793" stopIfTrue="1" operator="equal">
      <formula>"Napkin Hs"</formula>
    </cfRule>
  </conditionalFormatting>
  <conditionalFormatting sqref="C37">
    <cfRule type="cellIs" dxfId="13650" priority="19794" stopIfTrue="1" operator="equal">
      <formula>"Towel"</formula>
    </cfRule>
    <cfRule type="cellIs" dxfId="13649" priority="19795" stopIfTrue="1" operator="equal">
      <formula>"Napkin Hs"</formula>
    </cfRule>
  </conditionalFormatting>
  <conditionalFormatting sqref="C37">
    <cfRule type="cellIs" dxfId="13648" priority="19790" stopIfTrue="1" operator="equal">
      <formula>"Towel"</formula>
    </cfRule>
    <cfRule type="cellIs" dxfId="13647" priority="19791" stopIfTrue="1" operator="equal">
      <formula>"Napkin Hs"</formula>
    </cfRule>
  </conditionalFormatting>
  <conditionalFormatting sqref="B37">
    <cfRule type="cellIs" dxfId="13646" priority="19788" stopIfTrue="1" operator="equal">
      <formula>"Towel"</formula>
    </cfRule>
    <cfRule type="cellIs" dxfId="13645" priority="19789" stopIfTrue="1" operator="equal">
      <formula>"Napkin Hs"</formula>
    </cfRule>
  </conditionalFormatting>
  <conditionalFormatting sqref="C37">
    <cfRule type="cellIs" dxfId="13644" priority="19782" stopIfTrue="1" operator="equal">
      <formula>"Towel"</formula>
    </cfRule>
    <cfRule type="cellIs" dxfId="13643" priority="19783" stopIfTrue="1" operator="equal">
      <formula>"Napkin Hs"</formula>
    </cfRule>
  </conditionalFormatting>
  <conditionalFormatting sqref="C37">
    <cfRule type="cellIs" dxfId="13642" priority="19786" stopIfTrue="1" operator="equal">
      <formula>"Towel"</formula>
    </cfRule>
    <cfRule type="cellIs" dxfId="13641" priority="19787" stopIfTrue="1" operator="equal">
      <formula>"Napkin Hs"</formula>
    </cfRule>
  </conditionalFormatting>
  <conditionalFormatting sqref="C37">
    <cfRule type="cellIs" dxfId="13640" priority="19784" stopIfTrue="1" operator="equal">
      <formula>"Towel"</formula>
    </cfRule>
    <cfRule type="cellIs" dxfId="13639" priority="19785" stopIfTrue="1" operator="equal">
      <formula>"Napkin Hs"</formula>
    </cfRule>
  </conditionalFormatting>
  <conditionalFormatting sqref="C37">
    <cfRule type="cellIs" dxfId="13638" priority="19776" stopIfTrue="1" operator="equal">
      <formula>"Towel"</formula>
    </cfRule>
    <cfRule type="cellIs" dxfId="13637" priority="19777" stopIfTrue="1" operator="equal">
      <formula>"Napkin Hs"</formula>
    </cfRule>
  </conditionalFormatting>
  <conditionalFormatting sqref="C37">
    <cfRule type="cellIs" dxfId="13636" priority="19778" stopIfTrue="1" operator="equal">
      <formula>"Towel"</formula>
    </cfRule>
    <cfRule type="cellIs" dxfId="13635" priority="19779" stopIfTrue="1" operator="equal">
      <formula>"Napkin Hs"</formula>
    </cfRule>
  </conditionalFormatting>
  <conditionalFormatting sqref="C37">
    <cfRule type="cellIs" dxfId="13634" priority="19780" stopIfTrue="1" operator="equal">
      <formula>"Towel"</formula>
    </cfRule>
    <cfRule type="cellIs" dxfId="13633" priority="19781" stopIfTrue="1" operator="equal">
      <formula>"Napkin Hs"</formula>
    </cfRule>
  </conditionalFormatting>
  <conditionalFormatting sqref="B37:C37">
    <cfRule type="cellIs" dxfId="13632" priority="19774" stopIfTrue="1" operator="equal">
      <formula>"Towel"</formula>
    </cfRule>
    <cfRule type="cellIs" dxfId="13631" priority="19775" stopIfTrue="1" operator="equal">
      <formula>"Napkin Hs"</formula>
    </cfRule>
  </conditionalFormatting>
  <conditionalFormatting sqref="B37:C37">
    <cfRule type="cellIs" dxfId="13630" priority="19772" stopIfTrue="1" operator="equal">
      <formula>"Towel"</formula>
    </cfRule>
    <cfRule type="cellIs" dxfId="13629" priority="19773" stopIfTrue="1" operator="equal">
      <formula>"Napkin Hs"</formula>
    </cfRule>
  </conditionalFormatting>
  <conditionalFormatting sqref="B37:C37">
    <cfRule type="cellIs" dxfId="13628" priority="19748" stopIfTrue="1" operator="equal">
      <formula>"Towel"</formula>
    </cfRule>
  </conditionalFormatting>
  <conditionalFormatting sqref="B37:C37">
    <cfRule type="cellIs" dxfId="13627" priority="19749" stopIfTrue="1" operator="equal">
      <formula>"Napkin Hs"</formula>
    </cfRule>
    <cfRule type="cellIs" dxfId="13626" priority="19754" stopIfTrue="1" operator="equal">
      <formula>"Towel"</formula>
    </cfRule>
    <cfRule type="cellIs" dxfId="13625" priority="19755" stopIfTrue="1" operator="equal">
      <formula>"Napkin Hs"</formula>
    </cfRule>
    <cfRule type="cellIs" dxfId="13624" priority="19764" stopIfTrue="1" operator="equal">
      <formula>"Towel"</formula>
    </cfRule>
    <cfRule type="cellIs" dxfId="13623" priority="19765" stopIfTrue="1" operator="equal">
      <formula>"Napkin Hs"</formula>
    </cfRule>
    <cfRule type="cellIs" dxfId="13622" priority="19770" stopIfTrue="1" operator="equal">
      <formula>"Towel"</formula>
    </cfRule>
    <cfRule type="cellIs" dxfId="13621" priority="19771" stopIfTrue="1" operator="equal">
      <formula>"Napkin Hs"</formula>
    </cfRule>
  </conditionalFormatting>
  <conditionalFormatting sqref="C37">
    <cfRule type="cellIs" dxfId="13620" priority="19750" stopIfTrue="1" operator="equal">
      <formula>"Towel"</formula>
    </cfRule>
    <cfRule type="cellIs" dxfId="13619" priority="19751" stopIfTrue="1" operator="equal">
      <formula>"Napkin Hs"</formula>
    </cfRule>
    <cfRule type="cellIs" dxfId="13618" priority="19752" stopIfTrue="1" operator="equal">
      <formula>"Towel"</formula>
    </cfRule>
    <cfRule type="cellIs" dxfId="13617" priority="19753" stopIfTrue="1" operator="equal">
      <formula>"Napkin Hs"</formula>
    </cfRule>
    <cfRule type="cellIs" dxfId="13616" priority="19756" stopIfTrue="1" operator="equal">
      <formula>"Towel"</formula>
    </cfRule>
    <cfRule type="cellIs" dxfId="13615" priority="19757" stopIfTrue="1" operator="equal">
      <formula>"Napkin Hs"</formula>
    </cfRule>
    <cfRule type="cellIs" dxfId="13614" priority="19758" stopIfTrue="1" operator="equal">
      <formula>"Towel"</formula>
    </cfRule>
    <cfRule type="cellIs" dxfId="13613" priority="19759" stopIfTrue="1" operator="equal">
      <formula>"Napkin Hs"</formula>
    </cfRule>
    <cfRule type="cellIs" dxfId="13612" priority="19760" stopIfTrue="1" operator="equal">
      <formula>"Towel"</formula>
    </cfRule>
    <cfRule type="cellIs" dxfId="13611" priority="19761" stopIfTrue="1" operator="equal">
      <formula>"Napkin Hs"</formula>
    </cfRule>
    <cfRule type="cellIs" dxfId="13610" priority="19762" stopIfTrue="1" operator="equal">
      <formula>"Towel"</formula>
    </cfRule>
    <cfRule type="cellIs" dxfId="13609" priority="19763" stopIfTrue="1" operator="equal">
      <formula>"Napkin Hs"</formula>
    </cfRule>
    <cfRule type="cellIs" dxfId="13608" priority="19766" stopIfTrue="1" operator="equal">
      <formula>"Towel"</formula>
    </cfRule>
    <cfRule type="cellIs" dxfId="13607" priority="19767" stopIfTrue="1" operator="equal">
      <formula>"Napkin Hs"</formula>
    </cfRule>
    <cfRule type="cellIs" dxfId="13606" priority="19769" stopIfTrue="1" operator="equal">
      <formula>"Napkin Hs"</formula>
    </cfRule>
  </conditionalFormatting>
  <conditionalFormatting sqref="C37">
    <cfRule type="cellIs" dxfId="13605" priority="19768" stopIfTrue="1" operator="equal">
      <formula>"Towel"</formula>
    </cfRule>
  </conditionalFormatting>
  <conditionalFormatting sqref="B37:C37">
    <cfRule type="cellIs" dxfId="13604" priority="19746" stopIfTrue="1" operator="equal">
      <formula>"Towel"</formula>
    </cfRule>
    <cfRule type="cellIs" dxfId="13603" priority="19747" stopIfTrue="1" operator="equal">
      <formula>"Napkin Hs"</formula>
    </cfRule>
  </conditionalFormatting>
  <conditionalFormatting sqref="C37">
    <cfRule type="cellIs" dxfId="13602" priority="19745" stopIfTrue="1" operator="equal">
      <formula>"Napkin Hs"</formula>
    </cfRule>
  </conditionalFormatting>
  <conditionalFormatting sqref="C37">
    <cfRule type="cellIs" dxfId="13601" priority="19744" stopIfTrue="1" operator="equal">
      <formula>"Towel"</formula>
    </cfRule>
  </conditionalFormatting>
  <conditionalFormatting sqref="C37">
    <cfRule type="cellIs" dxfId="13600" priority="19742" stopIfTrue="1" operator="equal">
      <formula>"Towel"</formula>
    </cfRule>
  </conditionalFormatting>
  <conditionalFormatting sqref="C37">
    <cfRule type="cellIs" dxfId="13599" priority="19743" stopIfTrue="1" operator="equal">
      <formula>"Napkin Hs"</formula>
    </cfRule>
  </conditionalFormatting>
  <conditionalFormatting sqref="B37">
    <cfRule type="cellIs" dxfId="13598" priority="19646" stopIfTrue="1" operator="equal">
      <formula>"Napkin Hs"</formula>
    </cfRule>
  </conditionalFormatting>
  <conditionalFormatting sqref="B37:C37">
    <cfRule type="cellIs" dxfId="13597" priority="19645" stopIfTrue="1" operator="equal">
      <formula>"Towel"</formula>
    </cfRule>
  </conditionalFormatting>
  <conditionalFormatting sqref="B37:C37">
    <cfRule type="cellIs" dxfId="13596" priority="19656" stopIfTrue="1" operator="equal">
      <formula>"Towel"</formula>
    </cfRule>
    <cfRule type="cellIs" dxfId="13595" priority="19657" stopIfTrue="1" operator="equal">
      <formula>"Napkin Hs"</formula>
    </cfRule>
    <cfRule type="cellIs" dxfId="13594" priority="19662" stopIfTrue="1" operator="equal">
      <formula>"Towel"</formula>
    </cfRule>
    <cfRule type="cellIs" dxfId="13593" priority="19663" stopIfTrue="1" operator="equal">
      <formula>"Napkin Hs"</formula>
    </cfRule>
    <cfRule type="cellIs" dxfId="13592" priority="19668" stopIfTrue="1" operator="equal">
      <formula>"Towel"</formula>
    </cfRule>
    <cfRule type="cellIs" dxfId="13591" priority="19669" stopIfTrue="1" operator="equal">
      <formula>"Napkin Hs"</formula>
    </cfRule>
    <cfRule type="cellIs" dxfId="13590" priority="19670" stopIfTrue="1" operator="equal">
      <formula>"Towel"</formula>
    </cfRule>
    <cfRule type="cellIs" dxfId="13589" priority="19671" stopIfTrue="1" operator="equal">
      <formula>"Napkin Hs"</formula>
    </cfRule>
    <cfRule type="cellIs" dxfId="13588" priority="19676" stopIfTrue="1" operator="equal">
      <formula>"Towel"</formula>
    </cfRule>
    <cfRule type="cellIs" dxfId="13587" priority="19677" stopIfTrue="1" operator="equal">
      <formula>"Napkin Hs"</formula>
    </cfRule>
    <cfRule type="cellIs" dxfId="13586" priority="19686" stopIfTrue="1" operator="equal">
      <formula>"Towel"</formula>
    </cfRule>
    <cfRule type="cellIs" dxfId="13585" priority="19687" stopIfTrue="1" operator="equal">
      <formula>"Napkin Hs"</formula>
    </cfRule>
    <cfRule type="cellIs" dxfId="13584" priority="19692" stopIfTrue="1" operator="equal">
      <formula>"Towel"</formula>
    </cfRule>
    <cfRule type="cellIs" dxfId="13583" priority="19693" stopIfTrue="1" operator="equal">
      <formula>"Napkin Hs"</formula>
    </cfRule>
    <cfRule type="cellIs" dxfId="13582" priority="19694" stopIfTrue="1" operator="equal">
      <formula>"Towel"</formula>
    </cfRule>
    <cfRule type="cellIs" dxfId="13581" priority="19695" stopIfTrue="1" operator="equal">
      <formula>"Napkin Hs"</formula>
    </cfRule>
    <cfRule type="cellIs" dxfId="13580" priority="19700" stopIfTrue="1" operator="equal">
      <formula>"Towel"</formula>
    </cfRule>
    <cfRule type="cellIs" dxfId="13579" priority="19701" stopIfTrue="1" operator="equal">
      <formula>"Napkin Hs"</formula>
    </cfRule>
    <cfRule type="cellIs" dxfId="13578" priority="19710" stopIfTrue="1" operator="equal">
      <formula>"Towel"</formula>
    </cfRule>
    <cfRule type="cellIs" dxfId="13577" priority="19711" stopIfTrue="1" operator="equal">
      <formula>"Napkin Hs"</formula>
    </cfRule>
    <cfRule type="cellIs" dxfId="13576" priority="19712" stopIfTrue="1" operator="equal">
      <formula>"Towel"</formula>
    </cfRule>
    <cfRule type="cellIs" dxfId="13575" priority="19713" stopIfTrue="1" operator="equal">
      <formula>"Napkin Hs"</formula>
    </cfRule>
    <cfRule type="cellIs" dxfId="13574" priority="19718" stopIfTrue="1" operator="equal">
      <formula>"Towel"</formula>
    </cfRule>
    <cfRule type="cellIs" dxfId="13573" priority="19719" stopIfTrue="1" operator="equal">
      <formula>"Napkin Hs"</formula>
    </cfRule>
    <cfRule type="cellIs" dxfId="13572" priority="19728" stopIfTrue="1" operator="equal">
      <formula>"Towel"</formula>
    </cfRule>
    <cfRule type="cellIs" dxfId="13571" priority="19729" stopIfTrue="1" operator="equal">
      <formula>"Napkin Hs"</formula>
    </cfRule>
    <cfRule type="cellIs" dxfId="13570" priority="19730" stopIfTrue="1" operator="equal">
      <formula>"Towel"</formula>
    </cfRule>
    <cfRule type="cellIs" dxfId="13569" priority="19731" stopIfTrue="1" operator="equal">
      <formula>"Napkin Hs"</formula>
    </cfRule>
    <cfRule type="cellIs" dxfId="13568" priority="19737" stopIfTrue="1" operator="equal">
      <formula>"Napkin Hs"</formula>
    </cfRule>
  </conditionalFormatting>
  <conditionalFormatting sqref="B37:C37">
    <cfRule type="cellIs" dxfId="13567" priority="19736" stopIfTrue="1" operator="equal">
      <formula>"Towel"</formula>
    </cfRule>
  </conditionalFormatting>
  <conditionalFormatting sqref="C37">
    <cfRule type="cellIs" dxfId="13566" priority="19647" stopIfTrue="1" operator="equal">
      <formula>"Napkin Hs"</formula>
    </cfRule>
    <cfRule type="cellIs" dxfId="13565" priority="19648" stopIfTrue="1" operator="equal">
      <formula>"Towel"</formula>
    </cfRule>
    <cfRule type="cellIs" dxfId="13564" priority="19649" stopIfTrue="1" operator="equal">
      <formula>"Napkin Hs"</formula>
    </cfRule>
    <cfRule type="cellIs" dxfId="13563" priority="19650" stopIfTrue="1" operator="equal">
      <formula>"Towel"</formula>
    </cfRule>
    <cfRule type="cellIs" dxfId="13562" priority="19651" stopIfTrue="1" operator="equal">
      <formula>"Napkin Hs"</formula>
    </cfRule>
    <cfRule type="cellIs" dxfId="13561" priority="19652" stopIfTrue="1" operator="equal">
      <formula>"Towel"</formula>
    </cfRule>
    <cfRule type="cellIs" dxfId="13560" priority="19653" stopIfTrue="1" operator="equal">
      <formula>"Napkin Hs"</formula>
    </cfRule>
    <cfRule type="cellIs" dxfId="13559" priority="19654" stopIfTrue="1" operator="equal">
      <formula>"Towel"</formula>
    </cfRule>
    <cfRule type="cellIs" dxfId="13558" priority="19655" stopIfTrue="1" operator="equal">
      <formula>"Napkin Hs"</formula>
    </cfRule>
    <cfRule type="cellIs" dxfId="13557" priority="19658" stopIfTrue="1" operator="equal">
      <formula>"Towel"</formula>
    </cfRule>
    <cfRule type="cellIs" dxfId="13556" priority="19659" stopIfTrue="1" operator="equal">
      <formula>"Napkin Hs"</formula>
    </cfRule>
    <cfRule type="cellIs" dxfId="13555" priority="19660" stopIfTrue="1" operator="equal">
      <formula>"Towel"</formula>
    </cfRule>
    <cfRule type="cellIs" dxfId="13554" priority="19661" stopIfTrue="1" operator="equal">
      <formula>"Napkin Hs"</formula>
    </cfRule>
    <cfRule type="cellIs" dxfId="13553" priority="19664" stopIfTrue="1" operator="equal">
      <formula>"Towel"</formula>
    </cfRule>
    <cfRule type="cellIs" dxfId="13552" priority="19665" stopIfTrue="1" operator="equal">
      <formula>"Napkin Hs"</formula>
    </cfRule>
    <cfRule type="cellIs" dxfId="13551" priority="19666" stopIfTrue="1" operator="equal">
      <formula>"Towel"</formula>
    </cfRule>
    <cfRule type="cellIs" dxfId="13550" priority="19667" stopIfTrue="1" operator="equal">
      <formula>"Napkin Hs"</formula>
    </cfRule>
    <cfRule type="cellIs" dxfId="13549" priority="19672" stopIfTrue="1" operator="equal">
      <formula>"Towel"</formula>
    </cfRule>
    <cfRule type="cellIs" dxfId="13548" priority="19673" stopIfTrue="1" operator="equal">
      <formula>"Napkin Hs"</formula>
    </cfRule>
    <cfRule type="cellIs" dxfId="13547" priority="19674" stopIfTrue="1" operator="equal">
      <formula>"Towel"</formula>
    </cfRule>
    <cfRule type="cellIs" dxfId="13546" priority="19675" stopIfTrue="1" operator="equal">
      <formula>"Napkin Hs"</formula>
    </cfRule>
    <cfRule type="cellIs" dxfId="13545" priority="19678" stopIfTrue="1" operator="equal">
      <formula>"Towel"</formula>
    </cfRule>
    <cfRule type="cellIs" dxfId="13544" priority="19679" stopIfTrue="1" operator="equal">
      <formula>"Napkin Hs"</formula>
    </cfRule>
    <cfRule type="cellIs" dxfId="13543" priority="19680" stopIfTrue="1" operator="equal">
      <formula>"Towel"</formula>
    </cfRule>
    <cfRule type="cellIs" dxfId="13542" priority="19681" stopIfTrue="1" operator="equal">
      <formula>"Napkin Hs"</formula>
    </cfRule>
    <cfRule type="cellIs" dxfId="13541" priority="19682" stopIfTrue="1" operator="equal">
      <formula>"Towel"</formula>
    </cfRule>
    <cfRule type="cellIs" dxfId="13540" priority="19683" stopIfTrue="1" operator="equal">
      <formula>"Napkin Hs"</formula>
    </cfRule>
    <cfRule type="cellIs" dxfId="13539" priority="19684" stopIfTrue="1" operator="equal">
      <formula>"Towel"</formula>
    </cfRule>
    <cfRule type="cellIs" dxfId="13538" priority="19685" stopIfTrue="1" operator="equal">
      <formula>"Napkin Hs"</formula>
    </cfRule>
    <cfRule type="cellIs" dxfId="13537" priority="19688" stopIfTrue="1" operator="equal">
      <formula>"Towel"</formula>
    </cfRule>
    <cfRule type="cellIs" dxfId="13536" priority="19689" stopIfTrue="1" operator="equal">
      <formula>"Napkin Hs"</formula>
    </cfRule>
    <cfRule type="cellIs" dxfId="13535" priority="19690" stopIfTrue="1" operator="equal">
      <formula>"Towel"</formula>
    </cfRule>
    <cfRule type="cellIs" dxfId="13534" priority="19691" stopIfTrue="1" operator="equal">
      <formula>"Napkin Hs"</formula>
    </cfRule>
    <cfRule type="cellIs" dxfId="13533" priority="19696" stopIfTrue="1" operator="equal">
      <formula>"Towel"</formula>
    </cfRule>
    <cfRule type="cellIs" dxfId="13532" priority="19697" stopIfTrue="1" operator="equal">
      <formula>"Napkin Hs"</formula>
    </cfRule>
    <cfRule type="cellIs" dxfId="13531" priority="19698" stopIfTrue="1" operator="equal">
      <formula>"Towel"</formula>
    </cfRule>
    <cfRule type="cellIs" dxfId="13530" priority="19699" stopIfTrue="1" operator="equal">
      <formula>"Napkin Hs"</formula>
    </cfRule>
    <cfRule type="cellIs" dxfId="13529" priority="19702" stopIfTrue="1" operator="equal">
      <formula>"Towel"</formula>
    </cfRule>
    <cfRule type="cellIs" dxfId="13528" priority="19703" stopIfTrue="1" operator="equal">
      <formula>"Napkin Hs"</formula>
    </cfRule>
    <cfRule type="cellIs" dxfId="13527" priority="19704" stopIfTrue="1" operator="equal">
      <formula>"Towel"</formula>
    </cfRule>
    <cfRule type="cellIs" dxfId="13526" priority="19705" stopIfTrue="1" operator="equal">
      <formula>"Napkin Hs"</formula>
    </cfRule>
    <cfRule type="cellIs" dxfId="13525" priority="19706" stopIfTrue="1" operator="equal">
      <formula>"Towel"</formula>
    </cfRule>
    <cfRule type="cellIs" dxfId="13524" priority="19707" stopIfTrue="1" operator="equal">
      <formula>"Napkin Hs"</formula>
    </cfRule>
    <cfRule type="cellIs" dxfId="13523" priority="19708" stopIfTrue="1" operator="equal">
      <formula>"Towel"</formula>
    </cfRule>
    <cfRule type="cellIs" dxfId="13522" priority="19709" stopIfTrue="1" operator="equal">
      <formula>"Napkin Hs"</formula>
    </cfRule>
    <cfRule type="cellIs" dxfId="13521" priority="19714" stopIfTrue="1" operator="equal">
      <formula>"Towel"</formula>
    </cfRule>
    <cfRule type="cellIs" dxfId="13520" priority="19715" stopIfTrue="1" operator="equal">
      <formula>"Napkin Hs"</formula>
    </cfRule>
    <cfRule type="cellIs" dxfId="13519" priority="19716" stopIfTrue="1" operator="equal">
      <formula>"Towel"</formula>
    </cfRule>
    <cfRule type="cellIs" dxfId="13518" priority="19717" stopIfTrue="1" operator="equal">
      <formula>"Napkin Hs"</formula>
    </cfRule>
    <cfRule type="cellIs" dxfId="13517" priority="19720" stopIfTrue="1" operator="equal">
      <formula>"Towel"</formula>
    </cfRule>
    <cfRule type="cellIs" dxfId="13516" priority="19721" stopIfTrue="1" operator="equal">
      <formula>"Napkin Hs"</formula>
    </cfRule>
    <cfRule type="cellIs" dxfId="13515" priority="19722" stopIfTrue="1" operator="equal">
      <formula>"Towel"</formula>
    </cfRule>
    <cfRule type="cellIs" dxfId="13514" priority="19723" stopIfTrue="1" operator="equal">
      <formula>"Napkin Hs"</formula>
    </cfRule>
    <cfRule type="cellIs" dxfId="13513" priority="19724" stopIfTrue="1" operator="equal">
      <formula>"Towel"</formula>
    </cfRule>
    <cfRule type="cellIs" dxfId="13512" priority="19725" stopIfTrue="1" operator="equal">
      <formula>"Napkin Hs"</formula>
    </cfRule>
    <cfRule type="cellIs" dxfId="13511" priority="19726" stopIfTrue="1" operator="equal">
      <formula>"Towel"</formula>
    </cfRule>
    <cfRule type="cellIs" dxfId="13510" priority="19727" stopIfTrue="1" operator="equal">
      <formula>"Napkin Hs"</formula>
    </cfRule>
    <cfRule type="cellIs" dxfId="13509" priority="19732" stopIfTrue="1" operator="equal">
      <formula>"Towel"</formula>
    </cfRule>
    <cfRule type="cellIs" dxfId="13508" priority="19733" stopIfTrue="1" operator="equal">
      <formula>"Napkin Hs"</formula>
    </cfRule>
    <cfRule type="cellIs" dxfId="13507" priority="19734" stopIfTrue="1" operator="equal">
      <formula>"Towel"</formula>
    </cfRule>
    <cfRule type="cellIs" dxfId="13506" priority="19735" stopIfTrue="1" operator="equal">
      <formula>"Napkin Hs"</formula>
    </cfRule>
    <cfRule type="cellIs" dxfId="13505" priority="19738" stopIfTrue="1" operator="equal">
      <formula>"Towel"</formula>
    </cfRule>
    <cfRule type="cellIs" dxfId="13504" priority="19739" stopIfTrue="1" operator="equal">
      <formula>"Napkin Hs"</formula>
    </cfRule>
    <cfRule type="cellIs" dxfId="13503" priority="19740" stopIfTrue="1" operator="equal">
      <formula>"Towel"</formula>
    </cfRule>
    <cfRule type="cellIs" dxfId="13502" priority="19741" stopIfTrue="1" operator="equal">
      <formula>"Napkin Hs"</formula>
    </cfRule>
  </conditionalFormatting>
  <conditionalFormatting sqref="C37">
    <cfRule type="cellIs" dxfId="13501" priority="19644" stopIfTrue="1" operator="equal">
      <formula>"Napkin Hs"</formula>
    </cfRule>
  </conditionalFormatting>
  <conditionalFormatting sqref="C37">
    <cfRule type="cellIs" dxfId="13500" priority="19643" stopIfTrue="1" operator="equal">
      <formula>"Napkin Hs"</formula>
    </cfRule>
  </conditionalFormatting>
  <conditionalFormatting sqref="B37">
    <cfRule type="cellIs" dxfId="13499" priority="19642" stopIfTrue="1" operator="equal">
      <formula>"Napkin Hs"</formula>
    </cfRule>
  </conditionalFormatting>
  <conditionalFormatting sqref="C37">
    <cfRule type="cellIs" dxfId="13498" priority="19641" stopIfTrue="1" operator="equal">
      <formula>"Napkin Hs"</formula>
    </cfRule>
  </conditionalFormatting>
  <conditionalFormatting sqref="C37">
    <cfRule type="cellIs" dxfId="13497" priority="19640" stopIfTrue="1" operator="equal">
      <formula>"Napkin Hs"</formula>
    </cfRule>
  </conditionalFormatting>
  <conditionalFormatting sqref="C37">
    <cfRule type="cellIs" dxfId="13496" priority="19639" stopIfTrue="1" operator="equal">
      <formula>"Napkin Hs"</formula>
    </cfRule>
  </conditionalFormatting>
  <conditionalFormatting sqref="C37">
    <cfRule type="cellIs" dxfId="13495" priority="19638" stopIfTrue="1" operator="equal">
      <formula>"Napkin Hs"</formula>
    </cfRule>
  </conditionalFormatting>
  <conditionalFormatting sqref="B37">
    <cfRule type="cellIs" dxfId="13494" priority="19637" stopIfTrue="1" operator="equal">
      <formula>"Napkin Hs"</formula>
    </cfRule>
  </conditionalFormatting>
  <conditionalFormatting sqref="B37">
    <cfRule type="cellIs" dxfId="13493" priority="19636" stopIfTrue="1" operator="equal">
      <formula>"Napkin Hs"</formula>
    </cfRule>
  </conditionalFormatting>
  <conditionalFormatting sqref="C37">
    <cfRule type="cellIs" dxfId="13492" priority="19632" stopIfTrue="1" operator="equal">
      <formula>"Towel"</formula>
    </cfRule>
    <cfRule type="cellIs" dxfId="13491" priority="19633" stopIfTrue="1" operator="equal">
      <formula>"Napkin Hs"</formula>
    </cfRule>
  </conditionalFormatting>
  <conditionalFormatting sqref="C37">
    <cfRule type="cellIs" dxfId="13490" priority="19634" stopIfTrue="1" operator="equal">
      <formula>"Towel"</formula>
    </cfRule>
    <cfRule type="cellIs" dxfId="13489" priority="19635" stopIfTrue="1" operator="equal">
      <formula>"Napkin Hs"</formula>
    </cfRule>
  </conditionalFormatting>
  <conditionalFormatting sqref="C37">
    <cfRule type="cellIs" dxfId="13488" priority="19628" stopIfTrue="1" operator="equal">
      <formula>"Towel"</formula>
    </cfRule>
    <cfRule type="cellIs" dxfId="13487" priority="19629" stopIfTrue="1" operator="equal">
      <formula>"Napkin Hs"</formula>
    </cfRule>
  </conditionalFormatting>
  <conditionalFormatting sqref="C37">
    <cfRule type="cellIs" dxfId="13486" priority="19630" stopIfTrue="1" operator="equal">
      <formula>"Towel"</formula>
    </cfRule>
    <cfRule type="cellIs" dxfId="13485" priority="19631" stopIfTrue="1" operator="equal">
      <formula>"Napkin Hs"</formula>
    </cfRule>
  </conditionalFormatting>
  <conditionalFormatting sqref="C38">
    <cfRule type="cellIs" dxfId="13484" priority="19624" stopIfTrue="1" operator="equal">
      <formula>"Towel"</formula>
    </cfRule>
    <cfRule type="cellIs" dxfId="13483" priority="19625" stopIfTrue="1" operator="equal">
      <formula>"Napkin Hs"</formula>
    </cfRule>
  </conditionalFormatting>
  <conditionalFormatting sqref="C38">
    <cfRule type="cellIs" dxfId="13482" priority="19626" stopIfTrue="1" operator="equal">
      <formula>"Towel"</formula>
    </cfRule>
    <cfRule type="cellIs" dxfId="13481" priority="19627" stopIfTrue="1" operator="equal">
      <formula>"Napkin Hs"</formula>
    </cfRule>
  </conditionalFormatting>
  <conditionalFormatting sqref="C38">
    <cfRule type="cellIs" dxfId="13480" priority="19622" stopIfTrue="1" operator="equal">
      <formula>"Towel"</formula>
    </cfRule>
    <cfRule type="cellIs" dxfId="13479" priority="19623" stopIfTrue="1" operator="equal">
      <formula>"Napkin Hs"</formula>
    </cfRule>
  </conditionalFormatting>
  <conditionalFormatting sqref="B38">
    <cfRule type="cellIs" dxfId="13478" priority="19620" stopIfTrue="1" operator="equal">
      <formula>"Towel"</formula>
    </cfRule>
    <cfRule type="cellIs" dxfId="13477" priority="19621" stopIfTrue="1" operator="equal">
      <formula>"Napkin Hs"</formula>
    </cfRule>
  </conditionalFormatting>
  <conditionalFormatting sqref="C38">
    <cfRule type="cellIs" dxfId="13476" priority="19614" stopIfTrue="1" operator="equal">
      <formula>"Towel"</formula>
    </cfRule>
    <cfRule type="cellIs" dxfId="13475" priority="19615" stopIfTrue="1" operator="equal">
      <formula>"Napkin Hs"</formula>
    </cfRule>
  </conditionalFormatting>
  <conditionalFormatting sqref="C38">
    <cfRule type="cellIs" dxfId="13474" priority="19618" stopIfTrue="1" operator="equal">
      <formula>"Towel"</formula>
    </cfRule>
    <cfRule type="cellIs" dxfId="13473" priority="19619" stopIfTrue="1" operator="equal">
      <formula>"Napkin Hs"</formula>
    </cfRule>
  </conditionalFormatting>
  <conditionalFormatting sqref="C38">
    <cfRule type="cellIs" dxfId="13472" priority="19616" stopIfTrue="1" operator="equal">
      <formula>"Towel"</formula>
    </cfRule>
    <cfRule type="cellIs" dxfId="13471" priority="19617" stopIfTrue="1" operator="equal">
      <formula>"Napkin Hs"</formula>
    </cfRule>
  </conditionalFormatting>
  <conditionalFormatting sqref="C38">
    <cfRule type="cellIs" dxfId="13470" priority="19608" stopIfTrue="1" operator="equal">
      <formula>"Towel"</formula>
    </cfRule>
    <cfRule type="cellIs" dxfId="13469" priority="19609" stopIfTrue="1" operator="equal">
      <formula>"Napkin Hs"</formula>
    </cfRule>
  </conditionalFormatting>
  <conditionalFormatting sqref="C38">
    <cfRule type="cellIs" dxfId="13468" priority="19610" stopIfTrue="1" operator="equal">
      <formula>"Towel"</formula>
    </cfRule>
    <cfRule type="cellIs" dxfId="13467" priority="19611" stopIfTrue="1" operator="equal">
      <formula>"Napkin Hs"</formula>
    </cfRule>
  </conditionalFormatting>
  <conditionalFormatting sqref="C38">
    <cfRule type="cellIs" dxfId="13466" priority="19612" stopIfTrue="1" operator="equal">
      <formula>"Towel"</formula>
    </cfRule>
    <cfRule type="cellIs" dxfId="13465" priority="19613" stopIfTrue="1" operator="equal">
      <formula>"Napkin Hs"</formula>
    </cfRule>
  </conditionalFormatting>
  <conditionalFormatting sqref="B38:C38">
    <cfRule type="cellIs" dxfId="13464" priority="19606" stopIfTrue="1" operator="equal">
      <formula>"Towel"</formula>
    </cfRule>
    <cfRule type="cellIs" dxfId="13463" priority="19607" stopIfTrue="1" operator="equal">
      <formula>"Napkin Hs"</formula>
    </cfRule>
  </conditionalFormatting>
  <conditionalFormatting sqref="B38:C38">
    <cfRule type="cellIs" dxfId="13462" priority="19604" stopIfTrue="1" operator="equal">
      <formula>"Towel"</formula>
    </cfRule>
    <cfRule type="cellIs" dxfId="13461" priority="19605" stopIfTrue="1" operator="equal">
      <formula>"Napkin Hs"</formula>
    </cfRule>
  </conditionalFormatting>
  <conditionalFormatting sqref="B38:C38">
    <cfRule type="cellIs" dxfId="13460" priority="19580" stopIfTrue="1" operator="equal">
      <formula>"Towel"</formula>
    </cfRule>
  </conditionalFormatting>
  <conditionalFormatting sqref="B38:C38">
    <cfRule type="cellIs" dxfId="13459" priority="19581" stopIfTrue="1" operator="equal">
      <formula>"Napkin Hs"</formula>
    </cfRule>
    <cfRule type="cellIs" dxfId="13458" priority="19586" stopIfTrue="1" operator="equal">
      <formula>"Towel"</formula>
    </cfRule>
    <cfRule type="cellIs" dxfId="13457" priority="19587" stopIfTrue="1" operator="equal">
      <formula>"Napkin Hs"</formula>
    </cfRule>
    <cfRule type="cellIs" dxfId="13456" priority="19596" stopIfTrue="1" operator="equal">
      <formula>"Towel"</formula>
    </cfRule>
    <cfRule type="cellIs" dxfId="13455" priority="19597" stopIfTrue="1" operator="equal">
      <formula>"Napkin Hs"</formula>
    </cfRule>
    <cfRule type="cellIs" dxfId="13454" priority="19602" stopIfTrue="1" operator="equal">
      <formula>"Towel"</formula>
    </cfRule>
    <cfRule type="cellIs" dxfId="13453" priority="19603" stopIfTrue="1" operator="equal">
      <formula>"Napkin Hs"</formula>
    </cfRule>
  </conditionalFormatting>
  <conditionalFormatting sqref="C38">
    <cfRule type="cellIs" dxfId="13452" priority="19582" stopIfTrue="1" operator="equal">
      <formula>"Towel"</formula>
    </cfRule>
    <cfRule type="cellIs" dxfId="13451" priority="19583" stopIfTrue="1" operator="equal">
      <formula>"Napkin Hs"</formula>
    </cfRule>
    <cfRule type="cellIs" dxfId="13450" priority="19584" stopIfTrue="1" operator="equal">
      <formula>"Towel"</formula>
    </cfRule>
    <cfRule type="cellIs" dxfId="13449" priority="19585" stopIfTrue="1" operator="equal">
      <formula>"Napkin Hs"</formula>
    </cfRule>
    <cfRule type="cellIs" dxfId="13448" priority="19588" stopIfTrue="1" operator="equal">
      <formula>"Towel"</formula>
    </cfRule>
    <cfRule type="cellIs" dxfId="13447" priority="19589" stopIfTrue="1" operator="equal">
      <formula>"Napkin Hs"</formula>
    </cfRule>
    <cfRule type="cellIs" dxfId="13446" priority="19590" stopIfTrue="1" operator="equal">
      <formula>"Towel"</formula>
    </cfRule>
    <cfRule type="cellIs" dxfId="13445" priority="19591" stopIfTrue="1" operator="equal">
      <formula>"Napkin Hs"</formula>
    </cfRule>
    <cfRule type="cellIs" dxfId="13444" priority="19592" stopIfTrue="1" operator="equal">
      <formula>"Towel"</formula>
    </cfRule>
    <cfRule type="cellIs" dxfId="13443" priority="19593" stopIfTrue="1" operator="equal">
      <formula>"Napkin Hs"</formula>
    </cfRule>
    <cfRule type="cellIs" dxfId="13442" priority="19594" stopIfTrue="1" operator="equal">
      <formula>"Towel"</formula>
    </cfRule>
    <cfRule type="cellIs" dxfId="13441" priority="19595" stopIfTrue="1" operator="equal">
      <formula>"Napkin Hs"</formula>
    </cfRule>
    <cfRule type="cellIs" dxfId="13440" priority="19598" stopIfTrue="1" operator="equal">
      <formula>"Towel"</formula>
    </cfRule>
    <cfRule type="cellIs" dxfId="13439" priority="19599" stopIfTrue="1" operator="equal">
      <formula>"Napkin Hs"</formula>
    </cfRule>
    <cfRule type="cellIs" dxfId="13438" priority="19601" stopIfTrue="1" operator="equal">
      <formula>"Napkin Hs"</formula>
    </cfRule>
  </conditionalFormatting>
  <conditionalFormatting sqref="C38">
    <cfRule type="cellIs" dxfId="13437" priority="19600" stopIfTrue="1" operator="equal">
      <formula>"Towel"</formula>
    </cfRule>
  </conditionalFormatting>
  <conditionalFormatting sqref="B38:C38">
    <cfRule type="cellIs" dxfId="13436" priority="19578" stopIfTrue="1" operator="equal">
      <formula>"Towel"</formula>
    </cfRule>
    <cfRule type="cellIs" dxfId="13435" priority="19579" stopIfTrue="1" operator="equal">
      <formula>"Napkin Hs"</formula>
    </cfRule>
  </conditionalFormatting>
  <conditionalFormatting sqref="C38">
    <cfRule type="cellIs" dxfId="13434" priority="19577" stopIfTrue="1" operator="equal">
      <formula>"Napkin Hs"</formula>
    </cfRule>
  </conditionalFormatting>
  <conditionalFormatting sqref="C38">
    <cfRule type="cellIs" dxfId="13433" priority="19576" stopIfTrue="1" operator="equal">
      <formula>"Towel"</formula>
    </cfRule>
  </conditionalFormatting>
  <conditionalFormatting sqref="C38">
    <cfRule type="cellIs" dxfId="13432" priority="19574" stopIfTrue="1" operator="equal">
      <formula>"Towel"</formula>
    </cfRule>
  </conditionalFormatting>
  <conditionalFormatting sqref="C38">
    <cfRule type="cellIs" dxfId="13431" priority="19575" stopIfTrue="1" operator="equal">
      <formula>"Napkin Hs"</formula>
    </cfRule>
  </conditionalFormatting>
  <conditionalFormatting sqref="B38">
    <cfRule type="cellIs" dxfId="13430" priority="19478" stopIfTrue="1" operator="equal">
      <formula>"Napkin Hs"</formula>
    </cfRule>
  </conditionalFormatting>
  <conditionalFormatting sqref="B38:C38">
    <cfRule type="cellIs" dxfId="13429" priority="19477" stopIfTrue="1" operator="equal">
      <formula>"Towel"</formula>
    </cfRule>
  </conditionalFormatting>
  <conditionalFormatting sqref="B38:C38">
    <cfRule type="cellIs" dxfId="13428" priority="19488" stopIfTrue="1" operator="equal">
      <formula>"Towel"</formula>
    </cfRule>
    <cfRule type="cellIs" dxfId="13427" priority="19489" stopIfTrue="1" operator="equal">
      <formula>"Napkin Hs"</formula>
    </cfRule>
    <cfRule type="cellIs" dxfId="13426" priority="19494" stopIfTrue="1" operator="equal">
      <formula>"Towel"</formula>
    </cfRule>
    <cfRule type="cellIs" dxfId="13425" priority="19495" stopIfTrue="1" operator="equal">
      <formula>"Napkin Hs"</formula>
    </cfRule>
    <cfRule type="cellIs" dxfId="13424" priority="19500" stopIfTrue="1" operator="equal">
      <formula>"Towel"</formula>
    </cfRule>
    <cfRule type="cellIs" dxfId="13423" priority="19501" stopIfTrue="1" operator="equal">
      <formula>"Napkin Hs"</formula>
    </cfRule>
    <cfRule type="cellIs" dxfId="13422" priority="19502" stopIfTrue="1" operator="equal">
      <formula>"Towel"</formula>
    </cfRule>
    <cfRule type="cellIs" dxfId="13421" priority="19503" stopIfTrue="1" operator="equal">
      <formula>"Napkin Hs"</formula>
    </cfRule>
    <cfRule type="cellIs" dxfId="13420" priority="19508" stopIfTrue="1" operator="equal">
      <formula>"Towel"</formula>
    </cfRule>
    <cfRule type="cellIs" dxfId="13419" priority="19509" stopIfTrue="1" operator="equal">
      <formula>"Napkin Hs"</formula>
    </cfRule>
    <cfRule type="cellIs" dxfId="13418" priority="19518" stopIfTrue="1" operator="equal">
      <formula>"Towel"</formula>
    </cfRule>
    <cfRule type="cellIs" dxfId="13417" priority="19519" stopIfTrue="1" operator="equal">
      <formula>"Napkin Hs"</formula>
    </cfRule>
    <cfRule type="cellIs" dxfId="13416" priority="19524" stopIfTrue="1" operator="equal">
      <formula>"Towel"</formula>
    </cfRule>
    <cfRule type="cellIs" dxfId="13415" priority="19525" stopIfTrue="1" operator="equal">
      <formula>"Napkin Hs"</formula>
    </cfRule>
    <cfRule type="cellIs" dxfId="13414" priority="19526" stopIfTrue="1" operator="equal">
      <formula>"Towel"</formula>
    </cfRule>
    <cfRule type="cellIs" dxfId="13413" priority="19527" stopIfTrue="1" operator="equal">
      <formula>"Napkin Hs"</formula>
    </cfRule>
    <cfRule type="cellIs" dxfId="13412" priority="19532" stopIfTrue="1" operator="equal">
      <formula>"Towel"</formula>
    </cfRule>
    <cfRule type="cellIs" dxfId="13411" priority="19533" stopIfTrue="1" operator="equal">
      <formula>"Napkin Hs"</formula>
    </cfRule>
    <cfRule type="cellIs" dxfId="13410" priority="19542" stopIfTrue="1" operator="equal">
      <formula>"Towel"</formula>
    </cfRule>
    <cfRule type="cellIs" dxfId="13409" priority="19543" stopIfTrue="1" operator="equal">
      <formula>"Napkin Hs"</formula>
    </cfRule>
    <cfRule type="cellIs" dxfId="13408" priority="19544" stopIfTrue="1" operator="equal">
      <formula>"Towel"</formula>
    </cfRule>
    <cfRule type="cellIs" dxfId="13407" priority="19545" stopIfTrue="1" operator="equal">
      <formula>"Napkin Hs"</formula>
    </cfRule>
    <cfRule type="cellIs" dxfId="13406" priority="19550" stopIfTrue="1" operator="equal">
      <formula>"Towel"</formula>
    </cfRule>
    <cfRule type="cellIs" dxfId="13405" priority="19551" stopIfTrue="1" operator="equal">
      <formula>"Napkin Hs"</formula>
    </cfRule>
    <cfRule type="cellIs" dxfId="13404" priority="19560" stopIfTrue="1" operator="equal">
      <formula>"Towel"</formula>
    </cfRule>
    <cfRule type="cellIs" dxfId="13403" priority="19561" stopIfTrue="1" operator="equal">
      <formula>"Napkin Hs"</formula>
    </cfRule>
    <cfRule type="cellIs" dxfId="13402" priority="19562" stopIfTrue="1" operator="equal">
      <formula>"Towel"</formula>
    </cfRule>
    <cfRule type="cellIs" dxfId="13401" priority="19563" stopIfTrue="1" operator="equal">
      <formula>"Napkin Hs"</formula>
    </cfRule>
    <cfRule type="cellIs" dxfId="13400" priority="19569" stopIfTrue="1" operator="equal">
      <formula>"Napkin Hs"</formula>
    </cfRule>
  </conditionalFormatting>
  <conditionalFormatting sqref="B38:C38">
    <cfRule type="cellIs" dxfId="13399" priority="19568" stopIfTrue="1" operator="equal">
      <formula>"Towel"</formula>
    </cfRule>
  </conditionalFormatting>
  <conditionalFormatting sqref="C38">
    <cfRule type="cellIs" dxfId="13398" priority="19479" stopIfTrue="1" operator="equal">
      <formula>"Napkin Hs"</formula>
    </cfRule>
    <cfRule type="cellIs" dxfId="13397" priority="19480" stopIfTrue="1" operator="equal">
      <formula>"Towel"</formula>
    </cfRule>
    <cfRule type="cellIs" dxfId="13396" priority="19481" stopIfTrue="1" operator="equal">
      <formula>"Napkin Hs"</formula>
    </cfRule>
    <cfRule type="cellIs" dxfId="13395" priority="19482" stopIfTrue="1" operator="equal">
      <formula>"Towel"</formula>
    </cfRule>
    <cfRule type="cellIs" dxfId="13394" priority="19483" stopIfTrue="1" operator="equal">
      <formula>"Napkin Hs"</formula>
    </cfRule>
    <cfRule type="cellIs" dxfId="13393" priority="19484" stopIfTrue="1" operator="equal">
      <formula>"Towel"</formula>
    </cfRule>
    <cfRule type="cellIs" dxfId="13392" priority="19485" stopIfTrue="1" operator="equal">
      <formula>"Napkin Hs"</formula>
    </cfRule>
    <cfRule type="cellIs" dxfId="13391" priority="19486" stopIfTrue="1" operator="equal">
      <formula>"Towel"</formula>
    </cfRule>
    <cfRule type="cellIs" dxfId="13390" priority="19487" stopIfTrue="1" operator="equal">
      <formula>"Napkin Hs"</formula>
    </cfRule>
    <cfRule type="cellIs" dxfId="13389" priority="19490" stopIfTrue="1" operator="equal">
      <formula>"Towel"</formula>
    </cfRule>
    <cfRule type="cellIs" dxfId="13388" priority="19491" stopIfTrue="1" operator="equal">
      <formula>"Napkin Hs"</formula>
    </cfRule>
    <cfRule type="cellIs" dxfId="13387" priority="19492" stopIfTrue="1" operator="equal">
      <formula>"Towel"</formula>
    </cfRule>
    <cfRule type="cellIs" dxfId="13386" priority="19493" stopIfTrue="1" operator="equal">
      <formula>"Napkin Hs"</formula>
    </cfRule>
    <cfRule type="cellIs" dxfId="13385" priority="19496" stopIfTrue="1" operator="equal">
      <formula>"Towel"</formula>
    </cfRule>
    <cfRule type="cellIs" dxfId="13384" priority="19497" stopIfTrue="1" operator="equal">
      <formula>"Napkin Hs"</formula>
    </cfRule>
    <cfRule type="cellIs" dxfId="13383" priority="19498" stopIfTrue="1" operator="equal">
      <formula>"Towel"</formula>
    </cfRule>
    <cfRule type="cellIs" dxfId="13382" priority="19499" stopIfTrue="1" operator="equal">
      <formula>"Napkin Hs"</formula>
    </cfRule>
    <cfRule type="cellIs" dxfId="13381" priority="19504" stopIfTrue="1" operator="equal">
      <formula>"Towel"</formula>
    </cfRule>
    <cfRule type="cellIs" dxfId="13380" priority="19505" stopIfTrue="1" operator="equal">
      <formula>"Napkin Hs"</formula>
    </cfRule>
    <cfRule type="cellIs" dxfId="13379" priority="19506" stopIfTrue="1" operator="equal">
      <formula>"Towel"</formula>
    </cfRule>
    <cfRule type="cellIs" dxfId="13378" priority="19507" stopIfTrue="1" operator="equal">
      <formula>"Napkin Hs"</formula>
    </cfRule>
    <cfRule type="cellIs" dxfId="13377" priority="19510" stopIfTrue="1" operator="equal">
      <formula>"Towel"</formula>
    </cfRule>
    <cfRule type="cellIs" dxfId="13376" priority="19511" stopIfTrue="1" operator="equal">
      <formula>"Napkin Hs"</formula>
    </cfRule>
    <cfRule type="cellIs" dxfId="13375" priority="19512" stopIfTrue="1" operator="equal">
      <formula>"Towel"</formula>
    </cfRule>
    <cfRule type="cellIs" dxfId="13374" priority="19513" stopIfTrue="1" operator="equal">
      <formula>"Napkin Hs"</formula>
    </cfRule>
    <cfRule type="cellIs" dxfId="13373" priority="19514" stopIfTrue="1" operator="equal">
      <formula>"Towel"</formula>
    </cfRule>
    <cfRule type="cellIs" dxfId="13372" priority="19515" stopIfTrue="1" operator="equal">
      <formula>"Napkin Hs"</formula>
    </cfRule>
    <cfRule type="cellIs" dxfId="13371" priority="19516" stopIfTrue="1" operator="equal">
      <formula>"Towel"</formula>
    </cfRule>
    <cfRule type="cellIs" dxfId="13370" priority="19517" stopIfTrue="1" operator="equal">
      <formula>"Napkin Hs"</formula>
    </cfRule>
    <cfRule type="cellIs" dxfId="13369" priority="19520" stopIfTrue="1" operator="equal">
      <formula>"Towel"</formula>
    </cfRule>
    <cfRule type="cellIs" dxfId="13368" priority="19521" stopIfTrue="1" operator="equal">
      <formula>"Napkin Hs"</formula>
    </cfRule>
    <cfRule type="cellIs" dxfId="13367" priority="19522" stopIfTrue="1" operator="equal">
      <formula>"Towel"</formula>
    </cfRule>
    <cfRule type="cellIs" dxfId="13366" priority="19523" stopIfTrue="1" operator="equal">
      <formula>"Napkin Hs"</formula>
    </cfRule>
    <cfRule type="cellIs" dxfId="13365" priority="19528" stopIfTrue="1" operator="equal">
      <formula>"Towel"</formula>
    </cfRule>
    <cfRule type="cellIs" dxfId="13364" priority="19529" stopIfTrue="1" operator="equal">
      <formula>"Napkin Hs"</formula>
    </cfRule>
    <cfRule type="cellIs" dxfId="13363" priority="19530" stopIfTrue="1" operator="equal">
      <formula>"Towel"</formula>
    </cfRule>
    <cfRule type="cellIs" dxfId="13362" priority="19531" stopIfTrue="1" operator="equal">
      <formula>"Napkin Hs"</formula>
    </cfRule>
    <cfRule type="cellIs" dxfId="13361" priority="19534" stopIfTrue="1" operator="equal">
      <formula>"Towel"</formula>
    </cfRule>
    <cfRule type="cellIs" dxfId="13360" priority="19535" stopIfTrue="1" operator="equal">
      <formula>"Napkin Hs"</formula>
    </cfRule>
    <cfRule type="cellIs" dxfId="13359" priority="19536" stopIfTrue="1" operator="equal">
      <formula>"Towel"</formula>
    </cfRule>
    <cfRule type="cellIs" dxfId="13358" priority="19537" stopIfTrue="1" operator="equal">
      <formula>"Napkin Hs"</formula>
    </cfRule>
    <cfRule type="cellIs" dxfId="13357" priority="19538" stopIfTrue="1" operator="equal">
      <formula>"Towel"</formula>
    </cfRule>
    <cfRule type="cellIs" dxfId="13356" priority="19539" stopIfTrue="1" operator="equal">
      <formula>"Napkin Hs"</formula>
    </cfRule>
    <cfRule type="cellIs" dxfId="13355" priority="19540" stopIfTrue="1" operator="equal">
      <formula>"Towel"</formula>
    </cfRule>
    <cfRule type="cellIs" dxfId="13354" priority="19541" stopIfTrue="1" operator="equal">
      <formula>"Napkin Hs"</formula>
    </cfRule>
    <cfRule type="cellIs" dxfId="13353" priority="19546" stopIfTrue="1" operator="equal">
      <formula>"Towel"</formula>
    </cfRule>
    <cfRule type="cellIs" dxfId="13352" priority="19547" stopIfTrue="1" operator="equal">
      <formula>"Napkin Hs"</formula>
    </cfRule>
    <cfRule type="cellIs" dxfId="13351" priority="19548" stopIfTrue="1" operator="equal">
      <formula>"Towel"</formula>
    </cfRule>
    <cfRule type="cellIs" dxfId="13350" priority="19549" stopIfTrue="1" operator="equal">
      <formula>"Napkin Hs"</formula>
    </cfRule>
    <cfRule type="cellIs" dxfId="13349" priority="19552" stopIfTrue="1" operator="equal">
      <formula>"Towel"</formula>
    </cfRule>
    <cfRule type="cellIs" dxfId="13348" priority="19553" stopIfTrue="1" operator="equal">
      <formula>"Napkin Hs"</formula>
    </cfRule>
    <cfRule type="cellIs" dxfId="13347" priority="19554" stopIfTrue="1" operator="equal">
      <formula>"Towel"</formula>
    </cfRule>
    <cfRule type="cellIs" dxfId="13346" priority="19555" stopIfTrue="1" operator="equal">
      <formula>"Napkin Hs"</formula>
    </cfRule>
    <cfRule type="cellIs" dxfId="13345" priority="19556" stopIfTrue="1" operator="equal">
      <formula>"Towel"</formula>
    </cfRule>
    <cfRule type="cellIs" dxfId="13344" priority="19557" stopIfTrue="1" operator="equal">
      <formula>"Napkin Hs"</formula>
    </cfRule>
    <cfRule type="cellIs" dxfId="13343" priority="19558" stopIfTrue="1" operator="equal">
      <formula>"Towel"</formula>
    </cfRule>
    <cfRule type="cellIs" dxfId="13342" priority="19559" stopIfTrue="1" operator="equal">
      <formula>"Napkin Hs"</formula>
    </cfRule>
    <cfRule type="cellIs" dxfId="13341" priority="19564" stopIfTrue="1" operator="equal">
      <formula>"Towel"</formula>
    </cfRule>
    <cfRule type="cellIs" dxfId="13340" priority="19565" stopIfTrue="1" operator="equal">
      <formula>"Napkin Hs"</formula>
    </cfRule>
    <cfRule type="cellIs" dxfId="13339" priority="19566" stopIfTrue="1" operator="equal">
      <formula>"Towel"</formula>
    </cfRule>
    <cfRule type="cellIs" dxfId="13338" priority="19567" stopIfTrue="1" operator="equal">
      <formula>"Napkin Hs"</formula>
    </cfRule>
    <cfRule type="cellIs" dxfId="13337" priority="19570" stopIfTrue="1" operator="equal">
      <formula>"Towel"</formula>
    </cfRule>
    <cfRule type="cellIs" dxfId="13336" priority="19571" stopIfTrue="1" operator="equal">
      <formula>"Napkin Hs"</formula>
    </cfRule>
    <cfRule type="cellIs" dxfId="13335" priority="19572" stopIfTrue="1" operator="equal">
      <formula>"Towel"</formula>
    </cfRule>
    <cfRule type="cellIs" dxfId="13334" priority="19573" stopIfTrue="1" operator="equal">
      <formula>"Napkin Hs"</formula>
    </cfRule>
  </conditionalFormatting>
  <conditionalFormatting sqref="C38">
    <cfRule type="cellIs" dxfId="13333" priority="19476" stopIfTrue="1" operator="equal">
      <formula>"Napkin Hs"</formula>
    </cfRule>
  </conditionalFormatting>
  <conditionalFormatting sqref="C38">
    <cfRule type="cellIs" dxfId="13332" priority="19475" stopIfTrue="1" operator="equal">
      <formula>"Napkin Hs"</formula>
    </cfRule>
  </conditionalFormatting>
  <conditionalFormatting sqref="B38">
    <cfRule type="cellIs" dxfId="13331" priority="19474" stopIfTrue="1" operator="equal">
      <formula>"Napkin Hs"</formula>
    </cfRule>
  </conditionalFormatting>
  <conditionalFormatting sqref="C38">
    <cfRule type="cellIs" dxfId="13330" priority="19473" stopIfTrue="1" operator="equal">
      <formula>"Napkin Hs"</formula>
    </cfRule>
  </conditionalFormatting>
  <conditionalFormatting sqref="C38">
    <cfRule type="cellIs" dxfId="13329" priority="19472" stopIfTrue="1" operator="equal">
      <formula>"Napkin Hs"</formula>
    </cfRule>
  </conditionalFormatting>
  <conditionalFormatting sqref="C38">
    <cfRule type="cellIs" dxfId="13328" priority="19471" stopIfTrue="1" operator="equal">
      <formula>"Napkin Hs"</formula>
    </cfRule>
  </conditionalFormatting>
  <conditionalFormatting sqref="C38">
    <cfRule type="cellIs" dxfId="13327" priority="19470" stopIfTrue="1" operator="equal">
      <formula>"Napkin Hs"</formula>
    </cfRule>
  </conditionalFormatting>
  <conditionalFormatting sqref="B38">
    <cfRule type="cellIs" dxfId="13326" priority="19469" stopIfTrue="1" operator="equal">
      <formula>"Napkin Hs"</formula>
    </cfRule>
  </conditionalFormatting>
  <conditionalFormatting sqref="B38">
    <cfRule type="cellIs" dxfId="13325" priority="19468" stopIfTrue="1" operator="equal">
      <formula>"Napkin Hs"</formula>
    </cfRule>
  </conditionalFormatting>
  <conditionalFormatting sqref="C38">
    <cfRule type="cellIs" dxfId="13324" priority="19464" stopIfTrue="1" operator="equal">
      <formula>"Towel"</formula>
    </cfRule>
    <cfRule type="cellIs" dxfId="13323" priority="19465" stopIfTrue="1" operator="equal">
      <formula>"Napkin Hs"</formula>
    </cfRule>
  </conditionalFormatting>
  <conditionalFormatting sqref="C38">
    <cfRule type="cellIs" dxfId="13322" priority="19466" stopIfTrue="1" operator="equal">
      <formula>"Towel"</formula>
    </cfRule>
    <cfRule type="cellIs" dxfId="13321" priority="19467" stopIfTrue="1" operator="equal">
      <formula>"Napkin Hs"</formula>
    </cfRule>
  </conditionalFormatting>
  <conditionalFormatting sqref="C38">
    <cfRule type="cellIs" dxfId="13320" priority="19460" stopIfTrue="1" operator="equal">
      <formula>"Towel"</formula>
    </cfRule>
    <cfRule type="cellIs" dxfId="13319" priority="19461" stopIfTrue="1" operator="equal">
      <formula>"Napkin Hs"</formula>
    </cfRule>
  </conditionalFormatting>
  <conditionalFormatting sqref="C38">
    <cfRule type="cellIs" dxfId="13318" priority="19462" stopIfTrue="1" operator="equal">
      <formula>"Towel"</formula>
    </cfRule>
    <cfRule type="cellIs" dxfId="13317" priority="19463" stopIfTrue="1" operator="equal">
      <formula>"Napkin Hs"</formula>
    </cfRule>
  </conditionalFormatting>
  <conditionalFormatting sqref="C44">
    <cfRule type="cellIs" dxfId="13316" priority="18888" stopIfTrue="1" operator="equal">
      <formula>"Towel"</formula>
    </cfRule>
    <cfRule type="cellIs" dxfId="13315" priority="18889" stopIfTrue="1" operator="equal">
      <formula>"Napkin Hs"</formula>
    </cfRule>
  </conditionalFormatting>
  <conditionalFormatting sqref="C44">
    <cfRule type="cellIs" dxfId="13314" priority="18890" stopIfTrue="1" operator="equal">
      <formula>"Towel"</formula>
    </cfRule>
    <cfRule type="cellIs" dxfId="13313" priority="18891" stopIfTrue="1" operator="equal">
      <formula>"Napkin Hs"</formula>
    </cfRule>
  </conditionalFormatting>
  <conditionalFormatting sqref="C44">
    <cfRule type="cellIs" dxfId="13312" priority="18886" stopIfTrue="1" operator="equal">
      <formula>"Towel"</formula>
    </cfRule>
    <cfRule type="cellIs" dxfId="13311" priority="18887" stopIfTrue="1" operator="equal">
      <formula>"Napkin Hs"</formula>
    </cfRule>
  </conditionalFormatting>
  <conditionalFormatting sqref="B44">
    <cfRule type="cellIs" dxfId="13310" priority="18884" stopIfTrue="1" operator="equal">
      <formula>"Towel"</formula>
    </cfRule>
    <cfRule type="cellIs" dxfId="13309" priority="18885" stopIfTrue="1" operator="equal">
      <formula>"Napkin Hs"</formula>
    </cfRule>
  </conditionalFormatting>
  <conditionalFormatting sqref="C44">
    <cfRule type="cellIs" dxfId="13308" priority="18878" stopIfTrue="1" operator="equal">
      <formula>"Towel"</formula>
    </cfRule>
    <cfRule type="cellIs" dxfId="13307" priority="18879" stopIfTrue="1" operator="equal">
      <formula>"Napkin Hs"</formula>
    </cfRule>
  </conditionalFormatting>
  <conditionalFormatting sqref="C44">
    <cfRule type="cellIs" dxfId="13306" priority="18882" stopIfTrue="1" operator="equal">
      <formula>"Towel"</formula>
    </cfRule>
    <cfRule type="cellIs" dxfId="13305" priority="18883" stopIfTrue="1" operator="equal">
      <formula>"Napkin Hs"</formula>
    </cfRule>
  </conditionalFormatting>
  <conditionalFormatting sqref="C44">
    <cfRule type="cellIs" dxfId="13304" priority="18880" stopIfTrue="1" operator="equal">
      <formula>"Towel"</formula>
    </cfRule>
    <cfRule type="cellIs" dxfId="13303" priority="18881" stopIfTrue="1" operator="equal">
      <formula>"Napkin Hs"</formula>
    </cfRule>
  </conditionalFormatting>
  <conditionalFormatting sqref="C44">
    <cfRule type="cellIs" dxfId="13302" priority="18872" stopIfTrue="1" operator="equal">
      <formula>"Towel"</formula>
    </cfRule>
    <cfRule type="cellIs" dxfId="13301" priority="18873" stopIfTrue="1" operator="equal">
      <formula>"Napkin Hs"</formula>
    </cfRule>
  </conditionalFormatting>
  <conditionalFormatting sqref="C44">
    <cfRule type="cellIs" dxfId="13300" priority="18874" stopIfTrue="1" operator="equal">
      <formula>"Towel"</formula>
    </cfRule>
    <cfRule type="cellIs" dxfId="13299" priority="18875" stopIfTrue="1" operator="equal">
      <formula>"Napkin Hs"</formula>
    </cfRule>
  </conditionalFormatting>
  <conditionalFormatting sqref="C44">
    <cfRule type="cellIs" dxfId="13298" priority="18876" stopIfTrue="1" operator="equal">
      <formula>"Towel"</formula>
    </cfRule>
    <cfRule type="cellIs" dxfId="13297" priority="18877" stopIfTrue="1" operator="equal">
      <formula>"Napkin Hs"</formula>
    </cfRule>
  </conditionalFormatting>
  <conditionalFormatting sqref="B44:C44">
    <cfRule type="cellIs" dxfId="13296" priority="18870" stopIfTrue="1" operator="equal">
      <formula>"Towel"</formula>
    </cfRule>
    <cfRule type="cellIs" dxfId="13295" priority="18871" stopIfTrue="1" operator="equal">
      <formula>"Napkin Hs"</formula>
    </cfRule>
  </conditionalFormatting>
  <conditionalFormatting sqref="B44:C44">
    <cfRule type="cellIs" dxfId="13294" priority="18868" stopIfTrue="1" operator="equal">
      <formula>"Towel"</formula>
    </cfRule>
    <cfRule type="cellIs" dxfId="13293" priority="18869" stopIfTrue="1" operator="equal">
      <formula>"Napkin Hs"</formula>
    </cfRule>
  </conditionalFormatting>
  <conditionalFormatting sqref="B44:C44">
    <cfRule type="cellIs" dxfId="13292" priority="18844" stopIfTrue="1" operator="equal">
      <formula>"Towel"</formula>
    </cfRule>
  </conditionalFormatting>
  <conditionalFormatting sqref="B44:C44">
    <cfRule type="cellIs" dxfId="13291" priority="18845" stopIfTrue="1" operator="equal">
      <formula>"Napkin Hs"</formula>
    </cfRule>
    <cfRule type="cellIs" dxfId="13290" priority="18850" stopIfTrue="1" operator="equal">
      <formula>"Towel"</formula>
    </cfRule>
    <cfRule type="cellIs" dxfId="13289" priority="18851" stopIfTrue="1" operator="equal">
      <formula>"Napkin Hs"</formula>
    </cfRule>
    <cfRule type="cellIs" dxfId="13288" priority="18860" stopIfTrue="1" operator="equal">
      <formula>"Towel"</formula>
    </cfRule>
    <cfRule type="cellIs" dxfId="13287" priority="18861" stopIfTrue="1" operator="equal">
      <formula>"Napkin Hs"</formula>
    </cfRule>
    <cfRule type="cellIs" dxfId="13286" priority="18866" stopIfTrue="1" operator="equal">
      <formula>"Towel"</formula>
    </cfRule>
    <cfRule type="cellIs" dxfId="13285" priority="18867" stopIfTrue="1" operator="equal">
      <formula>"Napkin Hs"</formula>
    </cfRule>
  </conditionalFormatting>
  <conditionalFormatting sqref="C44">
    <cfRule type="cellIs" dxfId="13284" priority="18846" stopIfTrue="1" operator="equal">
      <formula>"Towel"</formula>
    </cfRule>
    <cfRule type="cellIs" dxfId="13283" priority="18847" stopIfTrue="1" operator="equal">
      <formula>"Napkin Hs"</formula>
    </cfRule>
    <cfRule type="cellIs" dxfId="13282" priority="18848" stopIfTrue="1" operator="equal">
      <formula>"Towel"</formula>
    </cfRule>
    <cfRule type="cellIs" dxfId="13281" priority="18849" stopIfTrue="1" operator="equal">
      <formula>"Napkin Hs"</formula>
    </cfRule>
    <cfRule type="cellIs" dxfId="13280" priority="18852" stopIfTrue="1" operator="equal">
      <formula>"Towel"</formula>
    </cfRule>
    <cfRule type="cellIs" dxfId="13279" priority="18853" stopIfTrue="1" operator="equal">
      <formula>"Napkin Hs"</formula>
    </cfRule>
    <cfRule type="cellIs" dxfId="13278" priority="18854" stopIfTrue="1" operator="equal">
      <formula>"Towel"</formula>
    </cfRule>
    <cfRule type="cellIs" dxfId="13277" priority="18855" stopIfTrue="1" operator="equal">
      <formula>"Napkin Hs"</formula>
    </cfRule>
    <cfRule type="cellIs" dxfId="13276" priority="18856" stopIfTrue="1" operator="equal">
      <formula>"Towel"</formula>
    </cfRule>
    <cfRule type="cellIs" dxfId="13275" priority="18857" stopIfTrue="1" operator="equal">
      <formula>"Napkin Hs"</formula>
    </cfRule>
    <cfRule type="cellIs" dxfId="13274" priority="18858" stopIfTrue="1" operator="equal">
      <formula>"Towel"</formula>
    </cfRule>
    <cfRule type="cellIs" dxfId="13273" priority="18859" stopIfTrue="1" operator="equal">
      <formula>"Napkin Hs"</formula>
    </cfRule>
    <cfRule type="cellIs" dxfId="13272" priority="18862" stopIfTrue="1" operator="equal">
      <formula>"Towel"</formula>
    </cfRule>
    <cfRule type="cellIs" dxfId="13271" priority="18863" stopIfTrue="1" operator="equal">
      <formula>"Napkin Hs"</formula>
    </cfRule>
    <cfRule type="cellIs" dxfId="13270" priority="18865" stopIfTrue="1" operator="equal">
      <formula>"Napkin Hs"</formula>
    </cfRule>
  </conditionalFormatting>
  <conditionalFormatting sqref="C44">
    <cfRule type="cellIs" dxfId="13269" priority="18864" stopIfTrue="1" operator="equal">
      <formula>"Towel"</formula>
    </cfRule>
  </conditionalFormatting>
  <conditionalFormatting sqref="B44:C44">
    <cfRule type="cellIs" dxfId="13268" priority="18842" stopIfTrue="1" operator="equal">
      <formula>"Towel"</formula>
    </cfRule>
    <cfRule type="cellIs" dxfId="13267" priority="18843" stopIfTrue="1" operator="equal">
      <formula>"Napkin Hs"</formula>
    </cfRule>
  </conditionalFormatting>
  <conditionalFormatting sqref="C44">
    <cfRule type="cellIs" dxfId="13266" priority="18841" stopIfTrue="1" operator="equal">
      <formula>"Napkin Hs"</formula>
    </cfRule>
  </conditionalFormatting>
  <conditionalFormatting sqref="C44">
    <cfRule type="cellIs" dxfId="13265" priority="18840" stopIfTrue="1" operator="equal">
      <formula>"Towel"</formula>
    </cfRule>
  </conditionalFormatting>
  <conditionalFormatting sqref="C44">
    <cfRule type="cellIs" dxfId="13264" priority="18838" stopIfTrue="1" operator="equal">
      <formula>"Towel"</formula>
    </cfRule>
  </conditionalFormatting>
  <conditionalFormatting sqref="C44">
    <cfRule type="cellIs" dxfId="13263" priority="18839" stopIfTrue="1" operator="equal">
      <formula>"Napkin Hs"</formula>
    </cfRule>
  </conditionalFormatting>
  <conditionalFormatting sqref="B44">
    <cfRule type="cellIs" dxfId="13262" priority="18742" stopIfTrue="1" operator="equal">
      <formula>"Napkin Hs"</formula>
    </cfRule>
  </conditionalFormatting>
  <conditionalFormatting sqref="B44:C44">
    <cfRule type="cellIs" dxfId="13261" priority="18741" stopIfTrue="1" operator="equal">
      <formula>"Towel"</formula>
    </cfRule>
  </conditionalFormatting>
  <conditionalFormatting sqref="B44:C44">
    <cfRule type="cellIs" dxfId="13260" priority="18752" stopIfTrue="1" operator="equal">
      <formula>"Towel"</formula>
    </cfRule>
    <cfRule type="cellIs" dxfId="13259" priority="18753" stopIfTrue="1" operator="equal">
      <formula>"Napkin Hs"</formula>
    </cfRule>
    <cfRule type="cellIs" dxfId="13258" priority="18758" stopIfTrue="1" operator="equal">
      <formula>"Towel"</formula>
    </cfRule>
    <cfRule type="cellIs" dxfId="13257" priority="18759" stopIfTrue="1" operator="equal">
      <formula>"Napkin Hs"</formula>
    </cfRule>
    <cfRule type="cellIs" dxfId="13256" priority="18764" stopIfTrue="1" operator="equal">
      <formula>"Towel"</formula>
    </cfRule>
    <cfRule type="cellIs" dxfId="13255" priority="18765" stopIfTrue="1" operator="equal">
      <formula>"Napkin Hs"</formula>
    </cfRule>
    <cfRule type="cellIs" dxfId="13254" priority="18766" stopIfTrue="1" operator="equal">
      <formula>"Towel"</formula>
    </cfRule>
    <cfRule type="cellIs" dxfId="13253" priority="18767" stopIfTrue="1" operator="equal">
      <formula>"Napkin Hs"</formula>
    </cfRule>
    <cfRule type="cellIs" dxfId="13252" priority="18772" stopIfTrue="1" operator="equal">
      <formula>"Towel"</formula>
    </cfRule>
    <cfRule type="cellIs" dxfId="13251" priority="18773" stopIfTrue="1" operator="equal">
      <formula>"Napkin Hs"</formula>
    </cfRule>
    <cfRule type="cellIs" dxfId="13250" priority="18782" stopIfTrue="1" operator="equal">
      <formula>"Towel"</formula>
    </cfRule>
    <cfRule type="cellIs" dxfId="13249" priority="18783" stopIfTrue="1" operator="equal">
      <formula>"Napkin Hs"</formula>
    </cfRule>
    <cfRule type="cellIs" dxfId="13248" priority="18788" stopIfTrue="1" operator="equal">
      <formula>"Towel"</formula>
    </cfRule>
    <cfRule type="cellIs" dxfId="13247" priority="18789" stopIfTrue="1" operator="equal">
      <formula>"Napkin Hs"</formula>
    </cfRule>
    <cfRule type="cellIs" dxfId="13246" priority="18790" stopIfTrue="1" operator="equal">
      <formula>"Towel"</formula>
    </cfRule>
    <cfRule type="cellIs" dxfId="13245" priority="18791" stopIfTrue="1" operator="equal">
      <formula>"Napkin Hs"</formula>
    </cfRule>
    <cfRule type="cellIs" dxfId="13244" priority="18796" stopIfTrue="1" operator="equal">
      <formula>"Towel"</formula>
    </cfRule>
    <cfRule type="cellIs" dxfId="13243" priority="18797" stopIfTrue="1" operator="equal">
      <formula>"Napkin Hs"</formula>
    </cfRule>
    <cfRule type="cellIs" dxfId="13242" priority="18806" stopIfTrue="1" operator="equal">
      <formula>"Towel"</formula>
    </cfRule>
    <cfRule type="cellIs" dxfId="13241" priority="18807" stopIfTrue="1" operator="equal">
      <formula>"Napkin Hs"</formula>
    </cfRule>
    <cfRule type="cellIs" dxfId="13240" priority="18808" stopIfTrue="1" operator="equal">
      <formula>"Towel"</formula>
    </cfRule>
    <cfRule type="cellIs" dxfId="13239" priority="18809" stopIfTrue="1" operator="equal">
      <formula>"Napkin Hs"</formula>
    </cfRule>
    <cfRule type="cellIs" dxfId="13238" priority="18814" stopIfTrue="1" operator="equal">
      <formula>"Towel"</formula>
    </cfRule>
    <cfRule type="cellIs" dxfId="13237" priority="18815" stopIfTrue="1" operator="equal">
      <formula>"Napkin Hs"</formula>
    </cfRule>
    <cfRule type="cellIs" dxfId="13236" priority="18824" stopIfTrue="1" operator="equal">
      <formula>"Towel"</formula>
    </cfRule>
    <cfRule type="cellIs" dxfId="13235" priority="18825" stopIfTrue="1" operator="equal">
      <formula>"Napkin Hs"</formula>
    </cfRule>
    <cfRule type="cellIs" dxfId="13234" priority="18826" stopIfTrue="1" operator="equal">
      <formula>"Towel"</formula>
    </cfRule>
    <cfRule type="cellIs" dxfId="13233" priority="18827" stopIfTrue="1" operator="equal">
      <formula>"Napkin Hs"</formula>
    </cfRule>
    <cfRule type="cellIs" dxfId="13232" priority="18833" stopIfTrue="1" operator="equal">
      <formula>"Napkin Hs"</formula>
    </cfRule>
  </conditionalFormatting>
  <conditionalFormatting sqref="B44:C44">
    <cfRule type="cellIs" dxfId="13231" priority="18832" stopIfTrue="1" operator="equal">
      <formula>"Towel"</formula>
    </cfRule>
  </conditionalFormatting>
  <conditionalFormatting sqref="C44">
    <cfRule type="cellIs" dxfId="13230" priority="18743" stopIfTrue="1" operator="equal">
      <formula>"Napkin Hs"</formula>
    </cfRule>
    <cfRule type="cellIs" dxfId="13229" priority="18744" stopIfTrue="1" operator="equal">
      <formula>"Towel"</formula>
    </cfRule>
    <cfRule type="cellIs" dxfId="13228" priority="18745" stopIfTrue="1" operator="equal">
      <formula>"Napkin Hs"</formula>
    </cfRule>
    <cfRule type="cellIs" dxfId="13227" priority="18746" stopIfTrue="1" operator="equal">
      <formula>"Towel"</formula>
    </cfRule>
    <cfRule type="cellIs" dxfId="13226" priority="18747" stopIfTrue="1" operator="equal">
      <formula>"Napkin Hs"</formula>
    </cfRule>
    <cfRule type="cellIs" dxfId="13225" priority="18748" stopIfTrue="1" operator="equal">
      <formula>"Towel"</formula>
    </cfRule>
    <cfRule type="cellIs" dxfId="13224" priority="18749" stopIfTrue="1" operator="equal">
      <formula>"Napkin Hs"</formula>
    </cfRule>
    <cfRule type="cellIs" dxfId="13223" priority="18750" stopIfTrue="1" operator="equal">
      <formula>"Towel"</formula>
    </cfRule>
    <cfRule type="cellIs" dxfId="13222" priority="18751" stopIfTrue="1" operator="equal">
      <formula>"Napkin Hs"</formula>
    </cfRule>
    <cfRule type="cellIs" dxfId="13221" priority="18754" stopIfTrue="1" operator="equal">
      <formula>"Towel"</formula>
    </cfRule>
    <cfRule type="cellIs" dxfId="13220" priority="18755" stopIfTrue="1" operator="equal">
      <formula>"Napkin Hs"</formula>
    </cfRule>
    <cfRule type="cellIs" dxfId="13219" priority="18756" stopIfTrue="1" operator="equal">
      <formula>"Towel"</formula>
    </cfRule>
    <cfRule type="cellIs" dxfId="13218" priority="18757" stopIfTrue="1" operator="equal">
      <formula>"Napkin Hs"</formula>
    </cfRule>
    <cfRule type="cellIs" dxfId="13217" priority="18760" stopIfTrue="1" operator="equal">
      <formula>"Towel"</formula>
    </cfRule>
    <cfRule type="cellIs" dxfId="13216" priority="18761" stopIfTrue="1" operator="equal">
      <formula>"Napkin Hs"</formula>
    </cfRule>
    <cfRule type="cellIs" dxfId="13215" priority="18762" stopIfTrue="1" operator="equal">
      <formula>"Towel"</formula>
    </cfRule>
    <cfRule type="cellIs" dxfId="13214" priority="18763" stopIfTrue="1" operator="equal">
      <formula>"Napkin Hs"</formula>
    </cfRule>
    <cfRule type="cellIs" dxfId="13213" priority="18768" stopIfTrue="1" operator="equal">
      <formula>"Towel"</formula>
    </cfRule>
    <cfRule type="cellIs" dxfId="13212" priority="18769" stopIfTrue="1" operator="equal">
      <formula>"Napkin Hs"</formula>
    </cfRule>
    <cfRule type="cellIs" dxfId="13211" priority="18770" stopIfTrue="1" operator="equal">
      <formula>"Towel"</formula>
    </cfRule>
    <cfRule type="cellIs" dxfId="13210" priority="18771" stopIfTrue="1" operator="equal">
      <formula>"Napkin Hs"</formula>
    </cfRule>
    <cfRule type="cellIs" dxfId="13209" priority="18774" stopIfTrue="1" operator="equal">
      <formula>"Towel"</formula>
    </cfRule>
    <cfRule type="cellIs" dxfId="13208" priority="18775" stopIfTrue="1" operator="equal">
      <formula>"Napkin Hs"</formula>
    </cfRule>
    <cfRule type="cellIs" dxfId="13207" priority="18776" stopIfTrue="1" operator="equal">
      <formula>"Towel"</formula>
    </cfRule>
    <cfRule type="cellIs" dxfId="13206" priority="18777" stopIfTrue="1" operator="equal">
      <formula>"Napkin Hs"</formula>
    </cfRule>
    <cfRule type="cellIs" dxfId="13205" priority="18778" stopIfTrue="1" operator="equal">
      <formula>"Towel"</formula>
    </cfRule>
    <cfRule type="cellIs" dxfId="13204" priority="18779" stopIfTrue="1" operator="equal">
      <formula>"Napkin Hs"</formula>
    </cfRule>
    <cfRule type="cellIs" dxfId="13203" priority="18780" stopIfTrue="1" operator="equal">
      <formula>"Towel"</formula>
    </cfRule>
    <cfRule type="cellIs" dxfId="13202" priority="18781" stopIfTrue="1" operator="equal">
      <formula>"Napkin Hs"</formula>
    </cfRule>
    <cfRule type="cellIs" dxfId="13201" priority="18784" stopIfTrue="1" operator="equal">
      <formula>"Towel"</formula>
    </cfRule>
    <cfRule type="cellIs" dxfId="13200" priority="18785" stopIfTrue="1" operator="equal">
      <formula>"Napkin Hs"</formula>
    </cfRule>
    <cfRule type="cellIs" dxfId="13199" priority="18786" stopIfTrue="1" operator="equal">
      <formula>"Towel"</formula>
    </cfRule>
    <cfRule type="cellIs" dxfId="13198" priority="18787" stopIfTrue="1" operator="equal">
      <formula>"Napkin Hs"</formula>
    </cfRule>
    <cfRule type="cellIs" dxfId="13197" priority="18792" stopIfTrue="1" operator="equal">
      <formula>"Towel"</formula>
    </cfRule>
    <cfRule type="cellIs" dxfId="13196" priority="18793" stopIfTrue="1" operator="equal">
      <formula>"Napkin Hs"</formula>
    </cfRule>
    <cfRule type="cellIs" dxfId="13195" priority="18794" stopIfTrue="1" operator="equal">
      <formula>"Towel"</formula>
    </cfRule>
    <cfRule type="cellIs" dxfId="13194" priority="18795" stopIfTrue="1" operator="equal">
      <formula>"Napkin Hs"</formula>
    </cfRule>
    <cfRule type="cellIs" dxfId="13193" priority="18798" stopIfTrue="1" operator="equal">
      <formula>"Towel"</formula>
    </cfRule>
    <cfRule type="cellIs" dxfId="13192" priority="18799" stopIfTrue="1" operator="equal">
      <formula>"Napkin Hs"</formula>
    </cfRule>
    <cfRule type="cellIs" dxfId="13191" priority="18800" stopIfTrue="1" operator="equal">
      <formula>"Towel"</formula>
    </cfRule>
    <cfRule type="cellIs" dxfId="13190" priority="18801" stopIfTrue="1" operator="equal">
      <formula>"Napkin Hs"</formula>
    </cfRule>
    <cfRule type="cellIs" dxfId="13189" priority="18802" stopIfTrue="1" operator="equal">
      <formula>"Towel"</formula>
    </cfRule>
    <cfRule type="cellIs" dxfId="13188" priority="18803" stopIfTrue="1" operator="equal">
      <formula>"Napkin Hs"</formula>
    </cfRule>
    <cfRule type="cellIs" dxfId="13187" priority="18804" stopIfTrue="1" operator="equal">
      <formula>"Towel"</formula>
    </cfRule>
    <cfRule type="cellIs" dxfId="13186" priority="18805" stopIfTrue="1" operator="equal">
      <formula>"Napkin Hs"</formula>
    </cfRule>
    <cfRule type="cellIs" dxfId="13185" priority="18810" stopIfTrue="1" operator="equal">
      <formula>"Towel"</formula>
    </cfRule>
    <cfRule type="cellIs" dxfId="13184" priority="18811" stopIfTrue="1" operator="equal">
      <formula>"Napkin Hs"</formula>
    </cfRule>
    <cfRule type="cellIs" dxfId="13183" priority="18812" stopIfTrue="1" operator="equal">
      <formula>"Towel"</formula>
    </cfRule>
    <cfRule type="cellIs" dxfId="13182" priority="18813" stopIfTrue="1" operator="equal">
      <formula>"Napkin Hs"</formula>
    </cfRule>
    <cfRule type="cellIs" dxfId="13181" priority="18816" stopIfTrue="1" operator="equal">
      <formula>"Towel"</formula>
    </cfRule>
    <cfRule type="cellIs" dxfId="13180" priority="18817" stopIfTrue="1" operator="equal">
      <formula>"Napkin Hs"</formula>
    </cfRule>
    <cfRule type="cellIs" dxfId="13179" priority="18818" stopIfTrue="1" operator="equal">
      <formula>"Towel"</formula>
    </cfRule>
    <cfRule type="cellIs" dxfId="13178" priority="18819" stopIfTrue="1" operator="equal">
      <formula>"Napkin Hs"</formula>
    </cfRule>
    <cfRule type="cellIs" dxfId="13177" priority="18820" stopIfTrue="1" operator="equal">
      <formula>"Towel"</formula>
    </cfRule>
    <cfRule type="cellIs" dxfId="13176" priority="18821" stopIfTrue="1" operator="equal">
      <formula>"Napkin Hs"</formula>
    </cfRule>
    <cfRule type="cellIs" dxfId="13175" priority="18822" stopIfTrue="1" operator="equal">
      <formula>"Towel"</formula>
    </cfRule>
    <cfRule type="cellIs" dxfId="13174" priority="18823" stopIfTrue="1" operator="equal">
      <formula>"Napkin Hs"</formula>
    </cfRule>
    <cfRule type="cellIs" dxfId="13173" priority="18828" stopIfTrue="1" operator="equal">
      <formula>"Towel"</formula>
    </cfRule>
    <cfRule type="cellIs" dxfId="13172" priority="18829" stopIfTrue="1" operator="equal">
      <formula>"Napkin Hs"</formula>
    </cfRule>
    <cfRule type="cellIs" dxfId="13171" priority="18830" stopIfTrue="1" operator="equal">
      <formula>"Towel"</formula>
    </cfRule>
    <cfRule type="cellIs" dxfId="13170" priority="18831" stopIfTrue="1" operator="equal">
      <formula>"Napkin Hs"</formula>
    </cfRule>
    <cfRule type="cellIs" dxfId="13169" priority="18834" stopIfTrue="1" operator="equal">
      <formula>"Towel"</formula>
    </cfRule>
    <cfRule type="cellIs" dxfId="13168" priority="18835" stopIfTrue="1" operator="equal">
      <formula>"Napkin Hs"</formula>
    </cfRule>
    <cfRule type="cellIs" dxfId="13167" priority="18836" stopIfTrue="1" operator="equal">
      <formula>"Towel"</formula>
    </cfRule>
    <cfRule type="cellIs" dxfId="13166" priority="18837" stopIfTrue="1" operator="equal">
      <formula>"Napkin Hs"</formula>
    </cfRule>
  </conditionalFormatting>
  <conditionalFormatting sqref="C44">
    <cfRule type="cellIs" dxfId="13165" priority="18740" stopIfTrue="1" operator="equal">
      <formula>"Napkin Hs"</formula>
    </cfRule>
  </conditionalFormatting>
  <conditionalFormatting sqref="C44">
    <cfRule type="cellIs" dxfId="13164" priority="18739" stopIfTrue="1" operator="equal">
      <formula>"Napkin Hs"</formula>
    </cfRule>
  </conditionalFormatting>
  <conditionalFormatting sqref="B44">
    <cfRule type="cellIs" dxfId="13163" priority="18738" stopIfTrue="1" operator="equal">
      <formula>"Napkin Hs"</formula>
    </cfRule>
  </conditionalFormatting>
  <conditionalFormatting sqref="C44">
    <cfRule type="cellIs" dxfId="13162" priority="18737" stopIfTrue="1" operator="equal">
      <formula>"Napkin Hs"</formula>
    </cfRule>
  </conditionalFormatting>
  <conditionalFormatting sqref="C44">
    <cfRule type="cellIs" dxfId="13161" priority="18736" stopIfTrue="1" operator="equal">
      <formula>"Napkin Hs"</formula>
    </cfRule>
  </conditionalFormatting>
  <conditionalFormatting sqref="C44">
    <cfRule type="cellIs" dxfId="13160" priority="18735" stopIfTrue="1" operator="equal">
      <formula>"Napkin Hs"</formula>
    </cfRule>
  </conditionalFormatting>
  <conditionalFormatting sqref="C44">
    <cfRule type="cellIs" dxfId="13159" priority="18734" stopIfTrue="1" operator="equal">
      <formula>"Napkin Hs"</formula>
    </cfRule>
  </conditionalFormatting>
  <conditionalFormatting sqref="B44">
    <cfRule type="cellIs" dxfId="13158" priority="18733" stopIfTrue="1" operator="equal">
      <formula>"Napkin Hs"</formula>
    </cfRule>
  </conditionalFormatting>
  <conditionalFormatting sqref="B44">
    <cfRule type="cellIs" dxfId="13157" priority="18732" stopIfTrue="1" operator="equal">
      <formula>"Napkin Hs"</formula>
    </cfRule>
  </conditionalFormatting>
  <conditionalFormatting sqref="C44">
    <cfRule type="cellIs" dxfId="13156" priority="18728" stopIfTrue="1" operator="equal">
      <formula>"Towel"</formula>
    </cfRule>
    <cfRule type="cellIs" dxfId="13155" priority="18729" stopIfTrue="1" operator="equal">
      <formula>"Napkin Hs"</formula>
    </cfRule>
  </conditionalFormatting>
  <conditionalFormatting sqref="C44">
    <cfRule type="cellIs" dxfId="13154" priority="18730" stopIfTrue="1" operator="equal">
      <formula>"Towel"</formula>
    </cfRule>
    <cfRule type="cellIs" dxfId="13153" priority="18731" stopIfTrue="1" operator="equal">
      <formula>"Napkin Hs"</formula>
    </cfRule>
  </conditionalFormatting>
  <conditionalFormatting sqref="C44">
    <cfRule type="cellIs" dxfId="13152" priority="18724" stopIfTrue="1" operator="equal">
      <formula>"Towel"</formula>
    </cfRule>
    <cfRule type="cellIs" dxfId="13151" priority="18725" stopIfTrue="1" operator="equal">
      <formula>"Napkin Hs"</formula>
    </cfRule>
  </conditionalFormatting>
  <conditionalFormatting sqref="C44">
    <cfRule type="cellIs" dxfId="13150" priority="18726" stopIfTrue="1" operator="equal">
      <formula>"Towel"</formula>
    </cfRule>
    <cfRule type="cellIs" dxfId="13149" priority="18727" stopIfTrue="1" operator="equal">
      <formula>"Napkin Hs"</formula>
    </cfRule>
  </conditionalFormatting>
  <conditionalFormatting sqref="C43">
    <cfRule type="cellIs" dxfId="13148" priority="18720" stopIfTrue="1" operator="equal">
      <formula>"Towel"</formula>
    </cfRule>
    <cfRule type="cellIs" dxfId="13147" priority="18721" stopIfTrue="1" operator="equal">
      <formula>"Napkin Hs"</formula>
    </cfRule>
  </conditionalFormatting>
  <conditionalFormatting sqref="C43">
    <cfRule type="cellIs" dxfId="13146" priority="18722" stopIfTrue="1" operator="equal">
      <formula>"Towel"</formula>
    </cfRule>
    <cfRule type="cellIs" dxfId="13145" priority="18723" stopIfTrue="1" operator="equal">
      <formula>"Napkin Hs"</formula>
    </cfRule>
  </conditionalFormatting>
  <conditionalFormatting sqref="C43">
    <cfRule type="cellIs" dxfId="13144" priority="18718" stopIfTrue="1" operator="equal">
      <formula>"Towel"</formula>
    </cfRule>
    <cfRule type="cellIs" dxfId="13143" priority="18719" stopIfTrue="1" operator="equal">
      <formula>"Napkin Hs"</formula>
    </cfRule>
  </conditionalFormatting>
  <conditionalFormatting sqref="B43">
    <cfRule type="cellIs" dxfId="13142" priority="18716" stopIfTrue="1" operator="equal">
      <formula>"Towel"</formula>
    </cfRule>
    <cfRule type="cellIs" dxfId="13141" priority="18717" stopIfTrue="1" operator="equal">
      <formula>"Napkin Hs"</formula>
    </cfRule>
  </conditionalFormatting>
  <conditionalFormatting sqref="C43">
    <cfRule type="cellIs" dxfId="13140" priority="18710" stopIfTrue="1" operator="equal">
      <formula>"Towel"</formula>
    </cfRule>
    <cfRule type="cellIs" dxfId="13139" priority="18711" stopIfTrue="1" operator="equal">
      <formula>"Napkin Hs"</formula>
    </cfRule>
  </conditionalFormatting>
  <conditionalFormatting sqref="C43">
    <cfRule type="cellIs" dxfId="13138" priority="18714" stopIfTrue="1" operator="equal">
      <formula>"Towel"</formula>
    </cfRule>
    <cfRule type="cellIs" dxfId="13137" priority="18715" stopIfTrue="1" operator="equal">
      <formula>"Napkin Hs"</formula>
    </cfRule>
  </conditionalFormatting>
  <conditionalFormatting sqref="C43">
    <cfRule type="cellIs" dxfId="13136" priority="18712" stopIfTrue="1" operator="equal">
      <formula>"Towel"</formula>
    </cfRule>
    <cfRule type="cellIs" dxfId="13135" priority="18713" stopIfTrue="1" operator="equal">
      <formula>"Napkin Hs"</formula>
    </cfRule>
  </conditionalFormatting>
  <conditionalFormatting sqref="C43">
    <cfRule type="cellIs" dxfId="13134" priority="18704" stopIfTrue="1" operator="equal">
      <formula>"Towel"</formula>
    </cfRule>
    <cfRule type="cellIs" dxfId="13133" priority="18705" stopIfTrue="1" operator="equal">
      <formula>"Napkin Hs"</formula>
    </cfRule>
  </conditionalFormatting>
  <conditionalFormatting sqref="C43">
    <cfRule type="cellIs" dxfId="13132" priority="18706" stopIfTrue="1" operator="equal">
      <formula>"Towel"</formula>
    </cfRule>
    <cfRule type="cellIs" dxfId="13131" priority="18707" stopIfTrue="1" operator="equal">
      <formula>"Napkin Hs"</formula>
    </cfRule>
  </conditionalFormatting>
  <conditionalFormatting sqref="C43">
    <cfRule type="cellIs" dxfId="13130" priority="18708" stopIfTrue="1" operator="equal">
      <formula>"Towel"</formula>
    </cfRule>
    <cfRule type="cellIs" dxfId="13129" priority="18709" stopIfTrue="1" operator="equal">
      <formula>"Napkin Hs"</formula>
    </cfRule>
  </conditionalFormatting>
  <conditionalFormatting sqref="B43:C43">
    <cfRule type="cellIs" dxfId="13128" priority="18702" stopIfTrue="1" operator="equal">
      <formula>"Towel"</formula>
    </cfRule>
    <cfRule type="cellIs" dxfId="13127" priority="18703" stopIfTrue="1" operator="equal">
      <formula>"Napkin Hs"</formula>
    </cfRule>
  </conditionalFormatting>
  <conditionalFormatting sqref="B43:C43">
    <cfRule type="cellIs" dxfId="13126" priority="18700" stopIfTrue="1" operator="equal">
      <formula>"Towel"</formula>
    </cfRule>
    <cfRule type="cellIs" dxfId="13125" priority="18701" stopIfTrue="1" operator="equal">
      <formula>"Napkin Hs"</formula>
    </cfRule>
  </conditionalFormatting>
  <conditionalFormatting sqref="B43:C43">
    <cfRule type="cellIs" dxfId="13124" priority="18676" stopIfTrue="1" operator="equal">
      <formula>"Towel"</formula>
    </cfRule>
  </conditionalFormatting>
  <conditionalFormatting sqref="B43:C43">
    <cfRule type="cellIs" dxfId="13123" priority="18677" stopIfTrue="1" operator="equal">
      <formula>"Napkin Hs"</formula>
    </cfRule>
    <cfRule type="cellIs" dxfId="13122" priority="18682" stopIfTrue="1" operator="equal">
      <formula>"Towel"</formula>
    </cfRule>
    <cfRule type="cellIs" dxfId="13121" priority="18683" stopIfTrue="1" operator="equal">
      <formula>"Napkin Hs"</formula>
    </cfRule>
    <cfRule type="cellIs" dxfId="13120" priority="18692" stopIfTrue="1" operator="equal">
      <formula>"Towel"</formula>
    </cfRule>
    <cfRule type="cellIs" dxfId="13119" priority="18693" stopIfTrue="1" operator="equal">
      <formula>"Napkin Hs"</formula>
    </cfRule>
    <cfRule type="cellIs" dxfId="13118" priority="18698" stopIfTrue="1" operator="equal">
      <formula>"Towel"</formula>
    </cfRule>
    <cfRule type="cellIs" dxfId="13117" priority="18699" stopIfTrue="1" operator="equal">
      <formula>"Napkin Hs"</formula>
    </cfRule>
  </conditionalFormatting>
  <conditionalFormatting sqref="C43">
    <cfRule type="cellIs" dxfId="13116" priority="18678" stopIfTrue="1" operator="equal">
      <formula>"Towel"</formula>
    </cfRule>
    <cfRule type="cellIs" dxfId="13115" priority="18679" stopIfTrue="1" operator="equal">
      <formula>"Napkin Hs"</formula>
    </cfRule>
    <cfRule type="cellIs" dxfId="13114" priority="18680" stopIfTrue="1" operator="equal">
      <formula>"Towel"</formula>
    </cfRule>
    <cfRule type="cellIs" dxfId="13113" priority="18681" stopIfTrue="1" operator="equal">
      <formula>"Napkin Hs"</formula>
    </cfRule>
    <cfRule type="cellIs" dxfId="13112" priority="18684" stopIfTrue="1" operator="equal">
      <formula>"Towel"</formula>
    </cfRule>
    <cfRule type="cellIs" dxfId="13111" priority="18685" stopIfTrue="1" operator="equal">
      <formula>"Napkin Hs"</formula>
    </cfRule>
    <cfRule type="cellIs" dxfId="13110" priority="18686" stopIfTrue="1" operator="equal">
      <formula>"Towel"</formula>
    </cfRule>
    <cfRule type="cellIs" dxfId="13109" priority="18687" stopIfTrue="1" operator="equal">
      <formula>"Napkin Hs"</formula>
    </cfRule>
    <cfRule type="cellIs" dxfId="13108" priority="18688" stopIfTrue="1" operator="equal">
      <formula>"Towel"</formula>
    </cfRule>
    <cfRule type="cellIs" dxfId="13107" priority="18689" stopIfTrue="1" operator="equal">
      <formula>"Napkin Hs"</formula>
    </cfRule>
    <cfRule type="cellIs" dxfId="13106" priority="18690" stopIfTrue="1" operator="equal">
      <formula>"Towel"</formula>
    </cfRule>
    <cfRule type="cellIs" dxfId="13105" priority="18691" stopIfTrue="1" operator="equal">
      <formula>"Napkin Hs"</formula>
    </cfRule>
    <cfRule type="cellIs" dxfId="13104" priority="18694" stopIfTrue="1" operator="equal">
      <formula>"Towel"</formula>
    </cfRule>
    <cfRule type="cellIs" dxfId="13103" priority="18695" stopIfTrue="1" operator="equal">
      <formula>"Napkin Hs"</formula>
    </cfRule>
    <cfRule type="cellIs" dxfId="13102" priority="18697" stopIfTrue="1" operator="equal">
      <formula>"Napkin Hs"</formula>
    </cfRule>
  </conditionalFormatting>
  <conditionalFormatting sqref="C43">
    <cfRule type="cellIs" dxfId="13101" priority="18696" stopIfTrue="1" operator="equal">
      <formula>"Towel"</formula>
    </cfRule>
  </conditionalFormatting>
  <conditionalFormatting sqref="B43:C43">
    <cfRule type="cellIs" dxfId="13100" priority="18674" stopIfTrue="1" operator="equal">
      <formula>"Towel"</formula>
    </cfRule>
    <cfRule type="cellIs" dxfId="13099" priority="18675" stopIfTrue="1" operator="equal">
      <formula>"Napkin Hs"</formula>
    </cfRule>
  </conditionalFormatting>
  <conditionalFormatting sqref="C43">
    <cfRule type="cellIs" dxfId="13098" priority="18673" stopIfTrue="1" operator="equal">
      <formula>"Napkin Hs"</formula>
    </cfRule>
  </conditionalFormatting>
  <conditionalFormatting sqref="C43">
    <cfRule type="cellIs" dxfId="13097" priority="18672" stopIfTrue="1" operator="equal">
      <formula>"Towel"</formula>
    </cfRule>
  </conditionalFormatting>
  <conditionalFormatting sqref="C43">
    <cfRule type="cellIs" dxfId="13096" priority="18670" stopIfTrue="1" operator="equal">
      <formula>"Towel"</formula>
    </cfRule>
  </conditionalFormatting>
  <conditionalFormatting sqref="C43">
    <cfRule type="cellIs" dxfId="13095" priority="18671" stopIfTrue="1" operator="equal">
      <formula>"Napkin Hs"</formula>
    </cfRule>
  </conditionalFormatting>
  <conditionalFormatting sqref="B43">
    <cfRule type="cellIs" dxfId="13094" priority="18574" stopIfTrue="1" operator="equal">
      <formula>"Napkin Hs"</formula>
    </cfRule>
  </conditionalFormatting>
  <conditionalFormatting sqref="B43:C43">
    <cfRule type="cellIs" dxfId="13093" priority="18573" stopIfTrue="1" operator="equal">
      <formula>"Towel"</formula>
    </cfRule>
  </conditionalFormatting>
  <conditionalFormatting sqref="B43:C43">
    <cfRule type="cellIs" dxfId="13092" priority="18584" stopIfTrue="1" operator="equal">
      <formula>"Towel"</formula>
    </cfRule>
    <cfRule type="cellIs" dxfId="13091" priority="18585" stopIfTrue="1" operator="equal">
      <formula>"Napkin Hs"</formula>
    </cfRule>
    <cfRule type="cellIs" dxfId="13090" priority="18590" stopIfTrue="1" operator="equal">
      <formula>"Towel"</formula>
    </cfRule>
    <cfRule type="cellIs" dxfId="13089" priority="18591" stopIfTrue="1" operator="equal">
      <formula>"Napkin Hs"</formula>
    </cfRule>
    <cfRule type="cellIs" dxfId="13088" priority="18596" stopIfTrue="1" operator="equal">
      <formula>"Towel"</formula>
    </cfRule>
    <cfRule type="cellIs" dxfId="13087" priority="18597" stopIfTrue="1" operator="equal">
      <formula>"Napkin Hs"</formula>
    </cfRule>
    <cfRule type="cellIs" dxfId="13086" priority="18598" stopIfTrue="1" operator="equal">
      <formula>"Towel"</formula>
    </cfRule>
    <cfRule type="cellIs" dxfId="13085" priority="18599" stopIfTrue="1" operator="equal">
      <formula>"Napkin Hs"</formula>
    </cfRule>
    <cfRule type="cellIs" dxfId="13084" priority="18604" stopIfTrue="1" operator="equal">
      <formula>"Towel"</formula>
    </cfRule>
    <cfRule type="cellIs" dxfId="13083" priority="18605" stopIfTrue="1" operator="equal">
      <formula>"Napkin Hs"</formula>
    </cfRule>
    <cfRule type="cellIs" dxfId="13082" priority="18614" stopIfTrue="1" operator="equal">
      <formula>"Towel"</formula>
    </cfRule>
    <cfRule type="cellIs" dxfId="13081" priority="18615" stopIfTrue="1" operator="equal">
      <formula>"Napkin Hs"</formula>
    </cfRule>
    <cfRule type="cellIs" dxfId="13080" priority="18620" stopIfTrue="1" operator="equal">
      <formula>"Towel"</formula>
    </cfRule>
    <cfRule type="cellIs" dxfId="13079" priority="18621" stopIfTrue="1" operator="equal">
      <formula>"Napkin Hs"</formula>
    </cfRule>
    <cfRule type="cellIs" dxfId="13078" priority="18622" stopIfTrue="1" operator="equal">
      <formula>"Towel"</formula>
    </cfRule>
    <cfRule type="cellIs" dxfId="13077" priority="18623" stopIfTrue="1" operator="equal">
      <formula>"Napkin Hs"</formula>
    </cfRule>
    <cfRule type="cellIs" dxfId="13076" priority="18628" stopIfTrue="1" operator="equal">
      <formula>"Towel"</formula>
    </cfRule>
    <cfRule type="cellIs" dxfId="13075" priority="18629" stopIfTrue="1" operator="equal">
      <formula>"Napkin Hs"</formula>
    </cfRule>
    <cfRule type="cellIs" dxfId="13074" priority="18638" stopIfTrue="1" operator="equal">
      <formula>"Towel"</formula>
    </cfRule>
    <cfRule type="cellIs" dxfId="13073" priority="18639" stopIfTrue="1" operator="equal">
      <formula>"Napkin Hs"</formula>
    </cfRule>
    <cfRule type="cellIs" dxfId="13072" priority="18640" stopIfTrue="1" operator="equal">
      <formula>"Towel"</formula>
    </cfRule>
    <cfRule type="cellIs" dxfId="13071" priority="18641" stopIfTrue="1" operator="equal">
      <formula>"Napkin Hs"</formula>
    </cfRule>
    <cfRule type="cellIs" dxfId="13070" priority="18646" stopIfTrue="1" operator="equal">
      <formula>"Towel"</formula>
    </cfRule>
    <cfRule type="cellIs" dxfId="13069" priority="18647" stopIfTrue="1" operator="equal">
      <formula>"Napkin Hs"</formula>
    </cfRule>
    <cfRule type="cellIs" dxfId="13068" priority="18656" stopIfTrue="1" operator="equal">
      <formula>"Towel"</formula>
    </cfRule>
    <cfRule type="cellIs" dxfId="13067" priority="18657" stopIfTrue="1" operator="equal">
      <formula>"Napkin Hs"</formula>
    </cfRule>
    <cfRule type="cellIs" dxfId="13066" priority="18658" stopIfTrue="1" operator="equal">
      <formula>"Towel"</formula>
    </cfRule>
    <cfRule type="cellIs" dxfId="13065" priority="18659" stopIfTrue="1" operator="equal">
      <formula>"Napkin Hs"</formula>
    </cfRule>
    <cfRule type="cellIs" dxfId="13064" priority="18665" stopIfTrue="1" operator="equal">
      <formula>"Napkin Hs"</formula>
    </cfRule>
  </conditionalFormatting>
  <conditionalFormatting sqref="B43:C43">
    <cfRule type="cellIs" dxfId="13063" priority="18664" stopIfTrue="1" operator="equal">
      <formula>"Towel"</formula>
    </cfRule>
  </conditionalFormatting>
  <conditionalFormatting sqref="C43">
    <cfRule type="cellIs" dxfId="13062" priority="18575" stopIfTrue="1" operator="equal">
      <formula>"Napkin Hs"</formula>
    </cfRule>
    <cfRule type="cellIs" dxfId="13061" priority="18576" stopIfTrue="1" operator="equal">
      <formula>"Towel"</formula>
    </cfRule>
    <cfRule type="cellIs" dxfId="13060" priority="18577" stopIfTrue="1" operator="equal">
      <formula>"Napkin Hs"</formula>
    </cfRule>
    <cfRule type="cellIs" dxfId="13059" priority="18578" stopIfTrue="1" operator="equal">
      <formula>"Towel"</formula>
    </cfRule>
    <cfRule type="cellIs" dxfId="13058" priority="18579" stopIfTrue="1" operator="equal">
      <formula>"Napkin Hs"</formula>
    </cfRule>
    <cfRule type="cellIs" dxfId="13057" priority="18580" stopIfTrue="1" operator="equal">
      <formula>"Towel"</formula>
    </cfRule>
    <cfRule type="cellIs" dxfId="13056" priority="18581" stopIfTrue="1" operator="equal">
      <formula>"Napkin Hs"</formula>
    </cfRule>
    <cfRule type="cellIs" dxfId="13055" priority="18582" stopIfTrue="1" operator="equal">
      <formula>"Towel"</formula>
    </cfRule>
    <cfRule type="cellIs" dxfId="13054" priority="18583" stopIfTrue="1" operator="equal">
      <formula>"Napkin Hs"</formula>
    </cfRule>
    <cfRule type="cellIs" dxfId="13053" priority="18586" stopIfTrue="1" operator="equal">
      <formula>"Towel"</formula>
    </cfRule>
    <cfRule type="cellIs" dxfId="13052" priority="18587" stopIfTrue="1" operator="equal">
      <formula>"Napkin Hs"</formula>
    </cfRule>
    <cfRule type="cellIs" dxfId="13051" priority="18588" stopIfTrue="1" operator="equal">
      <formula>"Towel"</formula>
    </cfRule>
    <cfRule type="cellIs" dxfId="13050" priority="18589" stopIfTrue="1" operator="equal">
      <formula>"Napkin Hs"</formula>
    </cfRule>
    <cfRule type="cellIs" dxfId="13049" priority="18592" stopIfTrue="1" operator="equal">
      <formula>"Towel"</formula>
    </cfRule>
    <cfRule type="cellIs" dxfId="13048" priority="18593" stopIfTrue="1" operator="equal">
      <formula>"Napkin Hs"</formula>
    </cfRule>
    <cfRule type="cellIs" dxfId="13047" priority="18594" stopIfTrue="1" operator="equal">
      <formula>"Towel"</formula>
    </cfRule>
    <cfRule type="cellIs" dxfId="13046" priority="18595" stopIfTrue="1" operator="equal">
      <formula>"Napkin Hs"</formula>
    </cfRule>
    <cfRule type="cellIs" dxfId="13045" priority="18600" stopIfTrue="1" operator="equal">
      <formula>"Towel"</formula>
    </cfRule>
    <cfRule type="cellIs" dxfId="13044" priority="18601" stopIfTrue="1" operator="equal">
      <formula>"Napkin Hs"</formula>
    </cfRule>
    <cfRule type="cellIs" dxfId="13043" priority="18602" stopIfTrue="1" operator="equal">
      <formula>"Towel"</formula>
    </cfRule>
    <cfRule type="cellIs" dxfId="13042" priority="18603" stopIfTrue="1" operator="equal">
      <formula>"Napkin Hs"</formula>
    </cfRule>
    <cfRule type="cellIs" dxfId="13041" priority="18606" stopIfTrue="1" operator="equal">
      <formula>"Towel"</formula>
    </cfRule>
    <cfRule type="cellIs" dxfId="13040" priority="18607" stopIfTrue="1" operator="equal">
      <formula>"Napkin Hs"</formula>
    </cfRule>
    <cfRule type="cellIs" dxfId="13039" priority="18608" stopIfTrue="1" operator="equal">
      <formula>"Towel"</formula>
    </cfRule>
    <cfRule type="cellIs" dxfId="13038" priority="18609" stopIfTrue="1" operator="equal">
      <formula>"Napkin Hs"</formula>
    </cfRule>
    <cfRule type="cellIs" dxfId="13037" priority="18610" stopIfTrue="1" operator="equal">
      <formula>"Towel"</formula>
    </cfRule>
    <cfRule type="cellIs" dxfId="13036" priority="18611" stopIfTrue="1" operator="equal">
      <formula>"Napkin Hs"</formula>
    </cfRule>
    <cfRule type="cellIs" dxfId="13035" priority="18612" stopIfTrue="1" operator="equal">
      <formula>"Towel"</formula>
    </cfRule>
    <cfRule type="cellIs" dxfId="13034" priority="18613" stopIfTrue="1" operator="equal">
      <formula>"Napkin Hs"</formula>
    </cfRule>
    <cfRule type="cellIs" dxfId="13033" priority="18616" stopIfTrue="1" operator="equal">
      <formula>"Towel"</formula>
    </cfRule>
    <cfRule type="cellIs" dxfId="13032" priority="18617" stopIfTrue="1" operator="equal">
      <formula>"Napkin Hs"</formula>
    </cfRule>
    <cfRule type="cellIs" dxfId="13031" priority="18618" stopIfTrue="1" operator="equal">
      <formula>"Towel"</formula>
    </cfRule>
    <cfRule type="cellIs" dxfId="13030" priority="18619" stopIfTrue="1" operator="equal">
      <formula>"Napkin Hs"</formula>
    </cfRule>
    <cfRule type="cellIs" dxfId="13029" priority="18624" stopIfTrue="1" operator="equal">
      <formula>"Towel"</formula>
    </cfRule>
    <cfRule type="cellIs" dxfId="13028" priority="18625" stopIfTrue="1" operator="equal">
      <formula>"Napkin Hs"</formula>
    </cfRule>
    <cfRule type="cellIs" dxfId="13027" priority="18626" stopIfTrue="1" operator="equal">
      <formula>"Towel"</formula>
    </cfRule>
    <cfRule type="cellIs" dxfId="13026" priority="18627" stopIfTrue="1" operator="equal">
      <formula>"Napkin Hs"</formula>
    </cfRule>
    <cfRule type="cellIs" dxfId="13025" priority="18630" stopIfTrue="1" operator="equal">
      <formula>"Towel"</formula>
    </cfRule>
    <cfRule type="cellIs" dxfId="13024" priority="18631" stopIfTrue="1" operator="equal">
      <formula>"Napkin Hs"</formula>
    </cfRule>
    <cfRule type="cellIs" dxfId="13023" priority="18632" stopIfTrue="1" operator="equal">
      <formula>"Towel"</formula>
    </cfRule>
    <cfRule type="cellIs" dxfId="13022" priority="18633" stopIfTrue="1" operator="equal">
      <formula>"Napkin Hs"</formula>
    </cfRule>
    <cfRule type="cellIs" dxfId="13021" priority="18634" stopIfTrue="1" operator="equal">
      <formula>"Towel"</formula>
    </cfRule>
    <cfRule type="cellIs" dxfId="13020" priority="18635" stopIfTrue="1" operator="equal">
      <formula>"Napkin Hs"</formula>
    </cfRule>
    <cfRule type="cellIs" dxfId="13019" priority="18636" stopIfTrue="1" operator="equal">
      <formula>"Towel"</formula>
    </cfRule>
    <cfRule type="cellIs" dxfId="13018" priority="18637" stopIfTrue="1" operator="equal">
      <formula>"Napkin Hs"</formula>
    </cfRule>
    <cfRule type="cellIs" dxfId="13017" priority="18642" stopIfTrue="1" operator="equal">
      <formula>"Towel"</formula>
    </cfRule>
    <cfRule type="cellIs" dxfId="13016" priority="18643" stopIfTrue="1" operator="equal">
      <formula>"Napkin Hs"</formula>
    </cfRule>
    <cfRule type="cellIs" dxfId="13015" priority="18644" stopIfTrue="1" operator="equal">
      <formula>"Towel"</formula>
    </cfRule>
    <cfRule type="cellIs" dxfId="13014" priority="18645" stopIfTrue="1" operator="equal">
      <formula>"Napkin Hs"</formula>
    </cfRule>
    <cfRule type="cellIs" dxfId="13013" priority="18648" stopIfTrue="1" operator="equal">
      <formula>"Towel"</formula>
    </cfRule>
    <cfRule type="cellIs" dxfId="13012" priority="18649" stopIfTrue="1" operator="equal">
      <formula>"Napkin Hs"</formula>
    </cfRule>
    <cfRule type="cellIs" dxfId="13011" priority="18650" stopIfTrue="1" operator="equal">
      <formula>"Towel"</formula>
    </cfRule>
    <cfRule type="cellIs" dxfId="13010" priority="18651" stopIfTrue="1" operator="equal">
      <formula>"Napkin Hs"</formula>
    </cfRule>
    <cfRule type="cellIs" dxfId="13009" priority="18652" stopIfTrue="1" operator="equal">
      <formula>"Towel"</formula>
    </cfRule>
    <cfRule type="cellIs" dxfId="13008" priority="18653" stopIfTrue="1" operator="equal">
      <formula>"Napkin Hs"</formula>
    </cfRule>
    <cfRule type="cellIs" dxfId="13007" priority="18654" stopIfTrue="1" operator="equal">
      <formula>"Towel"</formula>
    </cfRule>
    <cfRule type="cellIs" dxfId="13006" priority="18655" stopIfTrue="1" operator="equal">
      <formula>"Napkin Hs"</formula>
    </cfRule>
    <cfRule type="cellIs" dxfId="13005" priority="18660" stopIfTrue="1" operator="equal">
      <formula>"Towel"</formula>
    </cfRule>
    <cfRule type="cellIs" dxfId="13004" priority="18661" stopIfTrue="1" operator="equal">
      <formula>"Napkin Hs"</formula>
    </cfRule>
    <cfRule type="cellIs" dxfId="13003" priority="18662" stopIfTrue="1" operator="equal">
      <formula>"Towel"</formula>
    </cfRule>
    <cfRule type="cellIs" dxfId="13002" priority="18663" stopIfTrue="1" operator="equal">
      <formula>"Napkin Hs"</formula>
    </cfRule>
    <cfRule type="cellIs" dxfId="13001" priority="18666" stopIfTrue="1" operator="equal">
      <formula>"Towel"</formula>
    </cfRule>
    <cfRule type="cellIs" dxfId="13000" priority="18667" stopIfTrue="1" operator="equal">
      <formula>"Napkin Hs"</formula>
    </cfRule>
    <cfRule type="cellIs" dxfId="12999" priority="18668" stopIfTrue="1" operator="equal">
      <formula>"Towel"</formula>
    </cfRule>
    <cfRule type="cellIs" dxfId="12998" priority="18669" stopIfTrue="1" operator="equal">
      <formula>"Napkin Hs"</formula>
    </cfRule>
  </conditionalFormatting>
  <conditionalFormatting sqref="C43">
    <cfRule type="cellIs" dxfId="12997" priority="18572" stopIfTrue="1" operator="equal">
      <formula>"Napkin Hs"</formula>
    </cfRule>
  </conditionalFormatting>
  <conditionalFormatting sqref="C43">
    <cfRule type="cellIs" dxfId="12996" priority="18571" stopIfTrue="1" operator="equal">
      <formula>"Napkin Hs"</formula>
    </cfRule>
  </conditionalFormatting>
  <conditionalFormatting sqref="B43">
    <cfRule type="cellIs" dxfId="12995" priority="18570" stopIfTrue="1" operator="equal">
      <formula>"Napkin Hs"</formula>
    </cfRule>
  </conditionalFormatting>
  <conditionalFormatting sqref="C43">
    <cfRule type="cellIs" dxfId="12994" priority="18569" stopIfTrue="1" operator="equal">
      <formula>"Napkin Hs"</formula>
    </cfRule>
  </conditionalFormatting>
  <conditionalFormatting sqref="C43">
    <cfRule type="cellIs" dxfId="12993" priority="18568" stopIfTrue="1" operator="equal">
      <formula>"Napkin Hs"</formula>
    </cfRule>
  </conditionalFormatting>
  <conditionalFormatting sqref="C43">
    <cfRule type="cellIs" dxfId="12992" priority="18567" stopIfTrue="1" operator="equal">
      <formula>"Napkin Hs"</formula>
    </cfRule>
  </conditionalFormatting>
  <conditionalFormatting sqref="C43">
    <cfRule type="cellIs" dxfId="12991" priority="18566" stopIfTrue="1" operator="equal">
      <formula>"Napkin Hs"</formula>
    </cfRule>
  </conditionalFormatting>
  <conditionalFormatting sqref="B43">
    <cfRule type="cellIs" dxfId="12990" priority="18565" stopIfTrue="1" operator="equal">
      <formula>"Napkin Hs"</formula>
    </cfRule>
  </conditionalFormatting>
  <conditionalFormatting sqref="B43">
    <cfRule type="cellIs" dxfId="12989" priority="18564" stopIfTrue="1" operator="equal">
      <formula>"Napkin Hs"</formula>
    </cfRule>
  </conditionalFormatting>
  <conditionalFormatting sqref="C43">
    <cfRule type="cellIs" dxfId="12988" priority="18560" stopIfTrue="1" operator="equal">
      <formula>"Towel"</formula>
    </cfRule>
    <cfRule type="cellIs" dxfId="12987" priority="18561" stopIfTrue="1" operator="equal">
      <formula>"Napkin Hs"</formula>
    </cfRule>
  </conditionalFormatting>
  <conditionalFormatting sqref="C43">
    <cfRule type="cellIs" dxfId="12986" priority="18562" stopIfTrue="1" operator="equal">
      <formula>"Towel"</formula>
    </cfRule>
    <cfRule type="cellIs" dxfId="12985" priority="18563" stopIfTrue="1" operator="equal">
      <formula>"Napkin Hs"</formula>
    </cfRule>
  </conditionalFormatting>
  <conditionalFormatting sqref="C43">
    <cfRule type="cellIs" dxfId="12984" priority="18556" stopIfTrue="1" operator="equal">
      <formula>"Towel"</formula>
    </cfRule>
    <cfRule type="cellIs" dxfId="12983" priority="18557" stopIfTrue="1" operator="equal">
      <formula>"Napkin Hs"</formula>
    </cfRule>
  </conditionalFormatting>
  <conditionalFormatting sqref="C43">
    <cfRule type="cellIs" dxfId="12982" priority="18558" stopIfTrue="1" operator="equal">
      <formula>"Towel"</formula>
    </cfRule>
    <cfRule type="cellIs" dxfId="12981" priority="18559" stopIfTrue="1" operator="equal">
      <formula>"Napkin Hs"</formula>
    </cfRule>
  </conditionalFormatting>
  <conditionalFormatting sqref="C42">
    <cfRule type="cellIs" dxfId="12980" priority="18552" stopIfTrue="1" operator="equal">
      <formula>"Towel"</formula>
    </cfRule>
    <cfRule type="cellIs" dxfId="12979" priority="18553" stopIfTrue="1" operator="equal">
      <formula>"Napkin Hs"</formula>
    </cfRule>
  </conditionalFormatting>
  <conditionalFormatting sqref="C42">
    <cfRule type="cellIs" dxfId="12978" priority="18554" stopIfTrue="1" operator="equal">
      <formula>"Towel"</formula>
    </cfRule>
    <cfRule type="cellIs" dxfId="12977" priority="18555" stopIfTrue="1" operator="equal">
      <formula>"Napkin Hs"</formula>
    </cfRule>
  </conditionalFormatting>
  <conditionalFormatting sqref="C42">
    <cfRule type="cellIs" dxfId="12976" priority="18550" stopIfTrue="1" operator="equal">
      <formula>"Towel"</formula>
    </cfRule>
    <cfRule type="cellIs" dxfId="12975" priority="18551" stopIfTrue="1" operator="equal">
      <formula>"Napkin Hs"</formula>
    </cfRule>
  </conditionalFormatting>
  <conditionalFormatting sqref="B42">
    <cfRule type="cellIs" dxfId="12974" priority="18548" stopIfTrue="1" operator="equal">
      <formula>"Towel"</formula>
    </cfRule>
    <cfRule type="cellIs" dxfId="12973" priority="18549" stopIfTrue="1" operator="equal">
      <formula>"Napkin Hs"</formula>
    </cfRule>
  </conditionalFormatting>
  <conditionalFormatting sqref="C42">
    <cfRule type="cellIs" dxfId="12972" priority="18542" stopIfTrue="1" operator="equal">
      <formula>"Towel"</formula>
    </cfRule>
    <cfRule type="cellIs" dxfId="12971" priority="18543" stopIfTrue="1" operator="equal">
      <formula>"Napkin Hs"</formula>
    </cfRule>
  </conditionalFormatting>
  <conditionalFormatting sqref="C42">
    <cfRule type="cellIs" dxfId="12970" priority="18546" stopIfTrue="1" operator="equal">
      <formula>"Towel"</formula>
    </cfRule>
    <cfRule type="cellIs" dxfId="12969" priority="18547" stopIfTrue="1" operator="equal">
      <formula>"Napkin Hs"</formula>
    </cfRule>
  </conditionalFormatting>
  <conditionalFormatting sqref="C42">
    <cfRule type="cellIs" dxfId="12968" priority="18544" stopIfTrue="1" operator="equal">
      <formula>"Towel"</formula>
    </cfRule>
    <cfRule type="cellIs" dxfId="12967" priority="18545" stopIfTrue="1" operator="equal">
      <formula>"Napkin Hs"</formula>
    </cfRule>
  </conditionalFormatting>
  <conditionalFormatting sqref="C42">
    <cfRule type="cellIs" dxfId="12966" priority="18536" stopIfTrue="1" operator="equal">
      <formula>"Towel"</formula>
    </cfRule>
    <cfRule type="cellIs" dxfId="12965" priority="18537" stopIfTrue="1" operator="equal">
      <formula>"Napkin Hs"</formula>
    </cfRule>
  </conditionalFormatting>
  <conditionalFormatting sqref="C42">
    <cfRule type="cellIs" dxfId="12964" priority="18538" stopIfTrue="1" operator="equal">
      <formula>"Towel"</formula>
    </cfRule>
    <cfRule type="cellIs" dxfId="12963" priority="18539" stopIfTrue="1" operator="equal">
      <formula>"Napkin Hs"</formula>
    </cfRule>
  </conditionalFormatting>
  <conditionalFormatting sqref="C42">
    <cfRule type="cellIs" dxfId="12962" priority="18540" stopIfTrue="1" operator="equal">
      <formula>"Towel"</formula>
    </cfRule>
    <cfRule type="cellIs" dxfId="12961" priority="18541" stopIfTrue="1" operator="equal">
      <formula>"Napkin Hs"</formula>
    </cfRule>
  </conditionalFormatting>
  <conditionalFormatting sqref="B42:C42">
    <cfRule type="cellIs" dxfId="12960" priority="18534" stopIfTrue="1" operator="equal">
      <formula>"Towel"</formula>
    </cfRule>
    <cfRule type="cellIs" dxfId="12959" priority="18535" stopIfTrue="1" operator="equal">
      <formula>"Napkin Hs"</formula>
    </cfRule>
  </conditionalFormatting>
  <conditionalFormatting sqref="B42:C42">
    <cfRule type="cellIs" dxfId="12958" priority="18532" stopIfTrue="1" operator="equal">
      <formula>"Towel"</formula>
    </cfRule>
    <cfRule type="cellIs" dxfId="12957" priority="18533" stopIfTrue="1" operator="equal">
      <formula>"Napkin Hs"</formula>
    </cfRule>
  </conditionalFormatting>
  <conditionalFormatting sqref="B42:C42">
    <cfRule type="cellIs" dxfId="12956" priority="18508" stopIfTrue="1" operator="equal">
      <formula>"Towel"</formula>
    </cfRule>
  </conditionalFormatting>
  <conditionalFormatting sqref="B42:C42">
    <cfRule type="cellIs" dxfId="12955" priority="18509" stopIfTrue="1" operator="equal">
      <formula>"Napkin Hs"</formula>
    </cfRule>
    <cfRule type="cellIs" dxfId="12954" priority="18514" stopIfTrue="1" operator="equal">
      <formula>"Towel"</formula>
    </cfRule>
    <cfRule type="cellIs" dxfId="12953" priority="18515" stopIfTrue="1" operator="equal">
      <formula>"Napkin Hs"</formula>
    </cfRule>
    <cfRule type="cellIs" dxfId="12952" priority="18524" stopIfTrue="1" operator="equal">
      <formula>"Towel"</formula>
    </cfRule>
    <cfRule type="cellIs" dxfId="12951" priority="18525" stopIfTrue="1" operator="equal">
      <formula>"Napkin Hs"</formula>
    </cfRule>
    <cfRule type="cellIs" dxfId="12950" priority="18530" stopIfTrue="1" operator="equal">
      <formula>"Towel"</formula>
    </cfRule>
    <cfRule type="cellIs" dxfId="12949" priority="18531" stopIfTrue="1" operator="equal">
      <formula>"Napkin Hs"</formula>
    </cfRule>
  </conditionalFormatting>
  <conditionalFormatting sqref="C42">
    <cfRule type="cellIs" dxfId="12948" priority="18510" stopIfTrue="1" operator="equal">
      <formula>"Towel"</formula>
    </cfRule>
    <cfRule type="cellIs" dxfId="12947" priority="18511" stopIfTrue="1" operator="equal">
      <formula>"Napkin Hs"</formula>
    </cfRule>
    <cfRule type="cellIs" dxfId="12946" priority="18512" stopIfTrue="1" operator="equal">
      <formula>"Towel"</formula>
    </cfRule>
    <cfRule type="cellIs" dxfId="12945" priority="18513" stopIfTrue="1" operator="equal">
      <formula>"Napkin Hs"</formula>
    </cfRule>
    <cfRule type="cellIs" dxfId="12944" priority="18516" stopIfTrue="1" operator="equal">
      <formula>"Towel"</formula>
    </cfRule>
    <cfRule type="cellIs" dxfId="12943" priority="18517" stopIfTrue="1" operator="equal">
      <formula>"Napkin Hs"</formula>
    </cfRule>
    <cfRule type="cellIs" dxfId="12942" priority="18518" stopIfTrue="1" operator="equal">
      <formula>"Towel"</formula>
    </cfRule>
    <cfRule type="cellIs" dxfId="12941" priority="18519" stopIfTrue="1" operator="equal">
      <formula>"Napkin Hs"</formula>
    </cfRule>
    <cfRule type="cellIs" dxfId="12940" priority="18520" stopIfTrue="1" operator="equal">
      <formula>"Towel"</formula>
    </cfRule>
    <cfRule type="cellIs" dxfId="12939" priority="18521" stopIfTrue="1" operator="equal">
      <formula>"Napkin Hs"</formula>
    </cfRule>
    <cfRule type="cellIs" dxfId="12938" priority="18522" stopIfTrue="1" operator="equal">
      <formula>"Towel"</formula>
    </cfRule>
    <cfRule type="cellIs" dxfId="12937" priority="18523" stopIfTrue="1" operator="equal">
      <formula>"Napkin Hs"</formula>
    </cfRule>
    <cfRule type="cellIs" dxfId="12936" priority="18526" stopIfTrue="1" operator="equal">
      <formula>"Towel"</formula>
    </cfRule>
    <cfRule type="cellIs" dxfId="12935" priority="18527" stopIfTrue="1" operator="equal">
      <formula>"Napkin Hs"</formula>
    </cfRule>
    <cfRule type="cellIs" dxfId="12934" priority="18529" stopIfTrue="1" operator="equal">
      <formula>"Napkin Hs"</formula>
    </cfRule>
  </conditionalFormatting>
  <conditionalFormatting sqref="C42">
    <cfRule type="cellIs" dxfId="12933" priority="18528" stopIfTrue="1" operator="equal">
      <formula>"Towel"</formula>
    </cfRule>
  </conditionalFormatting>
  <conditionalFormatting sqref="B42:C42">
    <cfRule type="cellIs" dxfId="12932" priority="18506" stopIfTrue="1" operator="equal">
      <formula>"Towel"</formula>
    </cfRule>
    <cfRule type="cellIs" dxfId="12931" priority="18507" stopIfTrue="1" operator="equal">
      <formula>"Napkin Hs"</formula>
    </cfRule>
  </conditionalFormatting>
  <conditionalFormatting sqref="C42">
    <cfRule type="cellIs" dxfId="12930" priority="18505" stopIfTrue="1" operator="equal">
      <formula>"Napkin Hs"</formula>
    </cfRule>
  </conditionalFormatting>
  <conditionalFormatting sqref="C42">
    <cfRule type="cellIs" dxfId="12929" priority="18504" stopIfTrue="1" operator="equal">
      <formula>"Towel"</formula>
    </cfRule>
  </conditionalFormatting>
  <conditionalFormatting sqref="C42">
    <cfRule type="cellIs" dxfId="12928" priority="18502" stopIfTrue="1" operator="equal">
      <formula>"Towel"</formula>
    </cfRule>
  </conditionalFormatting>
  <conditionalFormatting sqref="C42">
    <cfRule type="cellIs" dxfId="12927" priority="18503" stopIfTrue="1" operator="equal">
      <formula>"Napkin Hs"</formula>
    </cfRule>
  </conditionalFormatting>
  <conditionalFormatting sqref="B42">
    <cfRule type="cellIs" dxfId="12926" priority="18406" stopIfTrue="1" operator="equal">
      <formula>"Napkin Hs"</formula>
    </cfRule>
  </conditionalFormatting>
  <conditionalFormatting sqref="B42:C42">
    <cfRule type="cellIs" dxfId="12925" priority="18405" stopIfTrue="1" operator="equal">
      <formula>"Towel"</formula>
    </cfRule>
  </conditionalFormatting>
  <conditionalFormatting sqref="B42:C42">
    <cfRule type="cellIs" dxfId="12924" priority="18416" stopIfTrue="1" operator="equal">
      <formula>"Towel"</formula>
    </cfRule>
    <cfRule type="cellIs" dxfId="12923" priority="18417" stopIfTrue="1" operator="equal">
      <formula>"Napkin Hs"</formula>
    </cfRule>
    <cfRule type="cellIs" dxfId="12922" priority="18422" stopIfTrue="1" operator="equal">
      <formula>"Towel"</formula>
    </cfRule>
    <cfRule type="cellIs" dxfId="12921" priority="18423" stopIfTrue="1" operator="equal">
      <formula>"Napkin Hs"</formula>
    </cfRule>
    <cfRule type="cellIs" dxfId="12920" priority="18428" stopIfTrue="1" operator="equal">
      <formula>"Towel"</formula>
    </cfRule>
    <cfRule type="cellIs" dxfId="12919" priority="18429" stopIfTrue="1" operator="equal">
      <formula>"Napkin Hs"</formula>
    </cfRule>
    <cfRule type="cellIs" dxfId="12918" priority="18430" stopIfTrue="1" operator="equal">
      <formula>"Towel"</formula>
    </cfRule>
    <cfRule type="cellIs" dxfId="12917" priority="18431" stopIfTrue="1" operator="equal">
      <formula>"Napkin Hs"</formula>
    </cfRule>
    <cfRule type="cellIs" dxfId="12916" priority="18436" stopIfTrue="1" operator="equal">
      <formula>"Towel"</formula>
    </cfRule>
    <cfRule type="cellIs" dxfId="12915" priority="18437" stopIfTrue="1" operator="equal">
      <formula>"Napkin Hs"</formula>
    </cfRule>
    <cfRule type="cellIs" dxfId="12914" priority="18446" stopIfTrue="1" operator="equal">
      <formula>"Towel"</formula>
    </cfRule>
    <cfRule type="cellIs" dxfId="12913" priority="18447" stopIfTrue="1" operator="equal">
      <formula>"Napkin Hs"</formula>
    </cfRule>
    <cfRule type="cellIs" dxfId="12912" priority="18452" stopIfTrue="1" operator="equal">
      <formula>"Towel"</formula>
    </cfRule>
    <cfRule type="cellIs" dxfId="12911" priority="18453" stopIfTrue="1" operator="equal">
      <formula>"Napkin Hs"</formula>
    </cfRule>
    <cfRule type="cellIs" dxfId="12910" priority="18454" stopIfTrue="1" operator="equal">
      <formula>"Towel"</formula>
    </cfRule>
    <cfRule type="cellIs" dxfId="12909" priority="18455" stopIfTrue="1" operator="equal">
      <formula>"Napkin Hs"</formula>
    </cfRule>
    <cfRule type="cellIs" dxfId="12908" priority="18460" stopIfTrue="1" operator="equal">
      <formula>"Towel"</formula>
    </cfRule>
    <cfRule type="cellIs" dxfId="12907" priority="18461" stopIfTrue="1" operator="equal">
      <formula>"Napkin Hs"</formula>
    </cfRule>
    <cfRule type="cellIs" dxfId="12906" priority="18470" stopIfTrue="1" operator="equal">
      <formula>"Towel"</formula>
    </cfRule>
    <cfRule type="cellIs" dxfId="12905" priority="18471" stopIfTrue="1" operator="equal">
      <formula>"Napkin Hs"</formula>
    </cfRule>
    <cfRule type="cellIs" dxfId="12904" priority="18472" stopIfTrue="1" operator="equal">
      <formula>"Towel"</formula>
    </cfRule>
    <cfRule type="cellIs" dxfId="12903" priority="18473" stopIfTrue="1" operator="equal">
      <formula>"Napkin Hs"</formula>
    </cfRule>
    <cfRule type="cellIs" dxfId="12902" priority="18478" stopIfTrue="1" operator="equal">
      <formula>"Towel"</formula>
    </cfRule>
    <cfRule type="cellIs" dxfId="12901" priority="18479" stopIfTrue="1" operator="equal">
      <formula>"Napkin Hs"</formula>
    </cfRule>
    <cfRule type="cellIs" dxfId="12900" priority="18488" stopIfTrue="1" operator="equal">
      <formula>"Towel"</formula>
    </cfRule>
    <cfRule type="cellIs" dxfId="12899" priority="18489" stopIfTrue="1" operator="equal">
      <formula>"Napkin Hs"</formula>
    </cfRule>
    <cfRule type="cellIs" dxfId="12898" priority="18490" stopIfTrue="1" operator="equal">
      <formula>"Towel"</formula>
    </cfRule>
    <cfRule type="cellIs" dxfId="12897" priority="18491" stopIfTrue="1" operator="equal">
      <formula>"Napkin Hs"</formula>
    </cfRule>
    <cfRule type="cellIs" dxfId="12896" priority="18497" stopIfTrue="1" operator="equal">
      <formula>"Napkin Hs"</formula>
    </cfRule>
  </conditionalFormatting>
  <conditionalFormatting sqref="B42:C42">
    <cfRule type="cellIs" dxfId="12895" priority="18496" stopIfTrue="1" operator="equal">
      <formula>"Towel"</formula>
    </cfRule>
  </conditionalFormatting>
  <conditionalFormatting sqref="C42">
    <cfRule type="cellIs" dxfId="12894" priority="18407" stopIfTrue="1" operator="equal">
      <formula>"Napkin Hs"</formula>
    </cfRule>
    <cfRule type="cellIs" dxfId="12893" priority="18408" stopIfTrue="1" operator="equal">
      <formula>"Towel"</formula>
    </cfRule>
    <cfRule type="cellIs" dxfId="12892" priority="18409" stopIfTrue="1" operator="equal">
      <formula>"Napkin Hs"</formula>
    </cfRule>
    <cfRule type="cellIs" dxfId="12891" priority="18410" stopIfTrue="1" operator="equal">
      <formula>"Towel"</formula>
    </cfRule>
    <cfRule type="cellIs" dxfId="12890" priority="18411" stopIfTrue="1" operator="equal">
      <formula>"Napkin Hs"</formula>
    </cfRule>
    <cfRule type="cellIs" dxfId="12889" priority="18412" stopIfTrue="1" operator="equal">
      <formula>"Towel"</formula>
    </cfRule>
    <cfRule type="cellIs" dxfId="12888" priority="18413" stopIfTrue="1" operator="equal">
      <formula>"Napkin Hs"</formula>
    </cfRule>
    <cfRule type="cellIs" dxfId="12887" priority="18414" stopIfTrue="1" operator="equal">
      <formula>"Towel"</formula>
    </cfRule>
    <cfRule type="cellIs" dxfId="12886" priority="18415" stopIfTrue="1" operator="equal">
      <formula>"Napkin Hs"</formula>
    </cfRule>
    <cfRule type="cellIs" dxfId="12885" priority="18418" stopIfTrue="1" operator="equal">
      <formula>"Towel"</formula>
    </cfRule>
    <cfRule type="cellIs" dxfId="12884" priority="18419" stopIfTrue="1" operator="equal">
      <formula>"Napkin Hs"</formula>
    </cfRule>
    <cfRule type="cellIs" dxfId="12883" priority="18420" stopIfTrue="1" operator="equal">
      <formula>"Towel"</formula>
    </cfRule>
    <cfRule type="cellIs" dxfId="12882" priority="18421" stopIfTrue="1" operator="equal">
      <formula>"Napkin Hs"</formula>
    </cfRule>
    <cfRule type="cellIs" dxfId="12881" priority="18424" stopIfTrue="1" operator="equal">
      <formula>"Towel"</formula>
    </cfRule>
    <cfRule type="cellIs" dxfId="12880" priority="18425" stopIfTrue="1" operator="equal">
      <formula>"Napkin Hs"</formula>
    </cfRule>
    <cfRule type="cellIs" dxfId="12879" priority="18426" stopIfTrue="1" operator="equal">
      <formula>"Towel"</formula>
    </cfRule>
    <cfRule type="cellIs" dxfId="12878" priority="18427" stopIfTrue="1" operator="equal">
      <formula>"Napkin Hs"</formula>
    </cfRule>
    <cfRule type="cellIs" dxfId="12877" priority="18432" stopIfTrue="1" operator="equal">
      <formula>"Towel"</formula>
    </cfRule>
    <cfRule type="cellIs" dxfId="12876" priority="18433" stopIfTrue="1" operator="equal">
      <formula>"Napkin Hs"</formula>
    </cfRule>
    <cfRule type="cellIs" dxfId="12875" priority="18434" stopIfTrue="1" operator="equal">
      <formula>"Towel"</formula>
    </cfRule>
    <cfRule type="cellIs" dxfId="12874" priority="18435" stopIfTrue="1" operator="equal">
      <formula>"Napkin Hs"</formula>
    </cfRule>
    <cfRule type="cellIs" dxfId="12873" priority="18438" stopIfTrue="1" operator="equal">
      <formula>"Towel"</formula>
    </cfRule>
    <cfRule type="cellIs" dxfId="12872" priority="18439" stopIfTrue="1" operator="equal">
      <formula>"Napkin Hs"</formula>
    </cfRule>
    <cfRule type="cellIs" dxfId="12871" priority="18440" stopIfTrue="1" operator="equal">
      <formula>"Towel"</formula>
    </cfRule>
    <cfRule type="cellIs" dxfId="12870" priority="18441" stopIfTrue="1" operator="equal">
      <formula>"Napkin Hs"</formula>
    </cfRule>
    <cfRule type="cellIs" dxfId="12869" priority="18442" stopIfTrue="1" operator="equal">
      <formula>"Towel"</formula>
    </cfRule>
    <cfRule type="cellIs" dxfId="12868" priority="18443" stopIfTrue="1" operator="equal">
      <formula>"Napkin Hs"</formula>
    </cfRule>
    <cfRule type="cellIs" dxfId="12867" priority="18444" stopIfTrue="1" operator="equal">
      <formula>"Towel"</formula>
    </cfRule>
    <cfRule type="cellIs" dxfId="12866" priority="18445" stopIfTrue="1" operator="equal">
      <formula>"Napkin Hs"</formula>
    </cfRule>
    <cfRule type="cellIs" dxfId="12865" priority="18448" stopIfTrue="1" operator="equal">
      <formula>"Towel"</formula>
    </cfRule>
    <cfRule type="cellIs" dxfId="12864" priority="18449" stopIfTrue="1" operator="equal">
      <formula>"Napkin Hs"</formula>
    </cfRule>
    <cfRule type="cellIs" dxfId="12863" priority="18450" stopIfTrue="1" operator="equal">
      <formula>"Towel"</formula>
    </cfRule>
    <cfRule type="cellIs" dxfId="12862" priority="18451" stopIfTrue="1" operator="equal">
      <formula>"Napkin Hs"</formula>
    </cfRule>
    <cfRule type="cellIs" dxfId="12861" priority="18456" stopIfTrue="1" operator="equal">
      <formula>"Towel"</formula>
    </cfRule>
    <cfRule type="cellIs" dxfId="12860" priority="18457" stopIfTrue="1" operator="equal">
      <formula>"Napkin Hs"</formula>
    </cfRule>
    <cfRule type="cellIs" dxfId="12859" priority="18458" stopIfTrue="1" operator="equal">
      <formula>"Towel"</formula>
    </cfRule>
    <cfRule type="cellIs" dxfId="12858" priority="18459" stopIfTrue="1" operator="equal">
      <formula>"Napkin Hs"</formula>
    </cfRule>
    <cfRule type="cellIs" dxfId="12857" priority="18462" stopIfTrue="1" operator="equal">
      <formula>"Towel"</formula>
    </cfRule>
    <cfRule type="cellIs" dxfId="12856" priority="18463" stopIfTrue="1" operator="equal">
      <formula>"Napkin Hs"</formula>
    </cfRule>
    <cfRule type="cellIs" dxfId="12855" priority="18464" stopIfTrue="1" operator="equal">
      <formula>"Towel"</formula>
    </cfRule>
    <cfRule type="cellIs" dxfId="12854" priority="18465" stopIfTrue="1" operator="equal">
      <formula>"Napkin Hs"</formula>
    </cfRule>
    <cfRule type="cellIs" dxfId="12853" priority="18466" stopIfTrue="1" operator="equal">
      <formula>"Towel"</formula>
    </cfRule>
    <cfRule type="cellIs" dxfId="12852" priority="18467" stopIfTrue="1" operator="equal">
      <formula>"Napkin Hs"</formula>
    </cfRule>
    <cfRule type="cellIs" dxfId="12851" priority="18468" stopIfTrue="1" operator="equal">
      <formula>"Towel"</formula>
    </cfRule>
    <cfRule type="cellIs" dxfId="12850" priority="18469" stopIfTrue="1" operator="equal">
      <formula>"Napkin Hs"</formula>
    </cfRule>
    <cfRule type="cellIs" dxfId="12849" priority="18474" stopIfTrue="1" operator="equal">
      <formula>"Towel"</formula>
    </cfRule>
    <cfRule type="cellIs" dxfId="12848" priority="18475" stopIfTrue="1" operator="equal">
      <formula>"Napkin Hs"</formula>
    </cfRule>
    <cfRule type="cellIs" dxfId="12847" priority="18476" stopIfTrue="1" operator="equal">
      <formula>"Towel"</formula>
    </cfRule>
    <cfRule type="cellIs" dxfId="12846" priority="18477" stopIfTrue="1" operator="equal">
      <formula>"Napkin Hs"</formula>
    </cfRule>
    <cfRule type="cellIs" dxfId="12845" priority="18480" stopIfTrue="1" operator="equal">
      <formula>"Towel"</formula>
    </cfRule>
    <cfRule type="cellIs" dxfId="12844" priority="18481" stopIfTrue="1" operator="equal">
      <formula>"Napkin Hs"</formula>
    </cfRule>
    <cfRule type="cellIs" dxfId="12843" priority="18482" stopIfTrue="1" operator="equal">
      <formula>"Towel"</formula>
    </cfRule>
    <cfRule type="cellIs" dxfId="12842" priority="18483" stopIfTrue="1" operator="equal">
      <formula>"Napkin Hs"</formula>
    </cfRule>
    <cfRule type="cellIs" dxfId="12841" priority="18484" stopIfTrue="1" operator="equal">
      <formula>"Towel"</formula>
    </cfRule>
    <cfRule type="cellIs" dxfId="12840" priority="18485" stopIfTrue="1" operator="equal">
      <formula>"Napkin Hs"</formula>
    </cfRule>
    <cfRule type="cellIs" dxfId="12839" priority="18486" stopIfTrue="1" operator="equal">
      <formula>"Towel"</formula>
    </cfRule>
    <cfRule type="cellIs" dxfId="12838" priority="18487" stopIfTrue="1" operator="equal">
      <formula>"Napkin Hs"</formula>
    </cfRule>
    <cfRule type="cellIs" dxfId="12837" priority="18492" stopIfTrue="1" operator="equal">
      <formula>"Towel"</formula>
    </cfRule>
    <cfRule type="cellIs" dxfId="12836" priority="18493" stopIfTrue="1" operator="equal">
      <formula>"Napkin Hs"</formula>
    </cfRule>
    <cfRule type="cellIs" dxfId="12835" priority="18494" stopIfTrue="1" operator="equal">
      <formula>"Towel"</formula>
    </cfRule>
    <cfRule type="cellIs" dxfId="12834" priority="18495" stopIfTrue="1" operator="equal">
      <formula>"Napkin Hs"</formula>
    </cfRule>
    <cfRule type="cellIs" dxfId="12833" priority="18498" stopIfTrue="1" operator="equal">
      <formula>"Towel"</formula>
    </cfRule>
    <cfRule type="cellIs" dxfId="12832" priority="18499" stopIfTrue="1" operator="equal">
      <formula>"Napkin Hs"</formula>
    </cfRule>
    <cfRule type="cellIs" dxfId="12831" priority="18500" stopIfTrue="1" operator="equal">
      <formula>"Towel"</formula>
    </cfRule>
    <cfRule type="cellIs" dxfId="12830" priority="18501" stopIfTrue="1" operator="equal">
      <formula>"Napkin Hs"</formula>
    </cfRule>
  </conditionalFormatting>
  <conditionalFormatting sqref="C42">
    <cfRule type="cellIs" dxfId="12829" priority="18404" stopIfTrue="1" operator="equal">
      <formula>"Napkin Hs"</formula>
    </cfRule>
  </conditionalFormatting>
  <conditionalFormatting sqref="C42">
    <cfRule type="cellIs" dxfId="12828" priority="18403" stopIfTrue="1" operator="equal">
      <formula>"Napkin Hs"</formula>
    </cfRule>
  </conditionalFormatting>
  <conditionalFormatting sqref="B42">
    <cfRule type="cellIs" dxfId="12827" priority="18402" stopIfTrue="1" operator="equal">
      <formula>"Napkin Hs"</formula>
    </cfRule>
  </conditionalFormatting>
  <conditionalFormatting sqref="C42">
    <cfRule type="cellIs" dxfId="12826" priority="18401" stopIfTrue="1" operator="equal">
      <formula>"Napkin Hs"</formula>
    </cfRule>
  </conditionalFormatting>
  <conditionalFormatting sqref="C42">
    <cfRule type="cellIs" dxfId="12825" priority="18400" stopIfTrue="1" operator="equal">
      <formula>"Napkin Hs"</formula>
    </cfRule>
  </conditionalFormatting>
  <conditionalFormatting sqref="C42">
    <cfRule type="cellIs" dxfId="12824" priority="18399" stopIfTrue="1" operator="equal">
      <formula>"Napkin Hs"</formula>
    </cfRule>
  </conditionalFormatting>
  <conditionalFormatting sqref="C42">
    <cfRule type="cellIs" dxfId="12823" priority="18398" stopIfTrue="1" operator="equal">
      <formula>"Napkin Hs"</formula>
    </cfRule>
  </conditionalFormatting>
  <conditionalFormatting sqref="B42">
    <cfRule type="cellIs" dxfId="12822" priority="18397" stopIfTrue="1" operator="equal">
      <formula>"Napkin Hs"</formula>
    </cfRule>
  </conditionalFormatting>
  <conditionalFormatting sqref="B42">
    <cfRule type="cellIs" dxfId="12821" priority="18396" stopIfTrue="1" operator="equal">
      <formula>"Napkin Hs"</formula>
    </cfRule>
  </conditionalFormatting>
  <conditionalFormatting sqref="C42">
    <cfRule type="cellIs" dxfId="12820" priority="18392" stopIfTrue="1" operator="equal">
      <formula>"Towel"</formula>
    </cfRule>
    <cfRule type="cellIs" dxfId="12819" priority="18393" stopIfTrue="1" operator="equal">
      <formula>"Napkin Hs"</formula>
    </cfRule>
  </conditionalFormatting>
  <conditionalFormatting sqref="C42">
    <cfRule type="cellIs" dxfId="12818" priority="18394" stopIfTrue="1" operator="equal">
      <formula>"Towel"</formula>
    </cfRule>
    <cfRule type="cellIs" dxfId="12817" priority="18395" stopIfTrue="1" operator="equal">
      <formula>"Napkin Hs"</formula>
    </cfRule>
  </conditionalFormatting>
  <conditionalFormatting sqref="C42">
    <cfRule type="cellIs" dxfId="12816" priority="18388" stopIfTrue="1" operator="equal">
      <formula>"Towel"</formula>
    </cfRule>
    <cfRule type="cellIs" dxfId="12815" priority="18389" stopIfTrue="1" operator="equal">
      <formula>"Napkin Hs"</formula>
    </cfRule>
  </conditionalFormatting>
  <conditionalFormatting sqref="C42">
    <cfRule type="cellIs" dxfId="12814" priority="18390" stopIfTrue="1" operator="equal">
      <formula>"Towel"</formula>
    </cfRule>
    <cfRule type="cellIs" dxfId="12813" priority="18391" stopIfTrue="1" operator="equal">
      <formula>"Napkin Hs"</formula>
    </cfRule>
  </conditionalFormatting>
  <conditionalFormatting sqref="C45">
    <cfRule type="cellIs" dxfId="12812" priority="18924" stopIfTrue="1" operator="equal">
      <formula>"Towel"</formula>
    </cfRule>
    <cfRule type="cellIs" dxfId="12811" priority="18925" stopIfTrue="1" operator="equal">
      <formula>"Napkin Hs"</formula>
    </cfRule>
  </conditionalFormatting>
  <conditionalFormatting sqref="B45:C45">
    <cfRule type="cellIs" dxfId="12810" priority="18926" stopIfTrue="1" operator="equal">
      <formula>"Towel"</formula>
    </cfRule>
    <cfRule type="cellIs" dxfId="12809" priority="18927" stopIfTrue="1" operator="equal">
      <formula>"Napkin Hs"</formula>
    </cfRule>
  </conditionalFormatting>
  <conditionalFormatting sqref="C45">
    <cfRule type="cellIs" dxfId="12808" priority="18922" stopIfTrue="1" operator="equal">
      <formula>"Towel"</formula>
    </cfRule>
    <cfRule type="cellIs" dxfId="12807" priority="18923" stopIfTrue="1" operator="equal">
      <formula>"Napkin Hs"</formula>
    </cfRule>
  </conditionalFormatting>
  <conditionalFormatting sqref="B45:C45">
    <cfRule type="cellIs" dxfId="12806" priority="18920" stopIfTrue="1" operator="equal">
      <formula>"Towel"</formula>
    </cfRule>
    <cfRule type="cellIs" dxfId="12805" priority="18921" stopIfTrue="1" operator="equal">
      <formula>"Napkin Hs"</formula>
    </cfRule>
  </conditionalFormatting>
  <conditionalFormatting sqref="C45">
    <cfRule type="cellIs" dxfId="12804" priority="18928" stopIfTrue="1" operator="equal">
      <formula>"Towel"</formula>
    </cfRule>
    <cfRule type="cellIs" dxfId="12803" priority="18929" stopIfTrue="1" operator="equal">
      <formula>"Napkin Hs"</formula>
    </cfRule>
  </conditionalFormatting>
  <conditionalFormatting sqref="C45">
    <cfRule type="cellIs" dxfId="12802" priority="18930" stopIfTrue="1" operator="equal">
      <formula>"Towel"</formula>
    </cfRule>
    <cfRule type="cellIs" dxfId="12801" priority="18931" stopIfTrue="1" operator="equal">
      <formula>"Napkin Hs"</formula>
    </cfRule>
  </conditionalFormatting>
  <conditionalFormatting sqref="B56:C56">
    <cfRule type="cellIs" dxfId="12800" priority="18386" stopIfTrue="1" operator="equal">
      <formula>"Towel"</formula>
    </cfRule>
    <cfRule type="cellIs" dxfId="12799" priority="18387" stopIfTrue="1" operator="equal">
      <formula>"Napkin Hs"</formula>
    </cfRule>
  </conditionalFormatting>
  <conditionalFormatting sqref="C56">
    <cfRule type="cellIs" dxfId="12798" priority="18384" stopIfTrue="1" operator="equal">
      <formula>"Towel"</formula>
    </cfRule>
    <cfRule type="cellIs" dxfId="12797" priority="18385" stopIfTrue="1" operator="equal">
      <formula>"Napkin Hs"</formula>
    </cfRule>
  </conditionalFormatting>
  <conditionalFormatting sqref="C56">
    <cfRule type="cellIs" dxfId="12796" priority="18382" stopIfTrue="1" operator="equal">
      <formula>"Towel"</formula>
    </cfRule>
    <cfRule type="cellIs" dxfId="12795" priority="18383" stopIfTrue="1" operator="equal">
      <formula>"Napkin Hs"</formula>
    </cfRule>
  </conditionalFormatting>
  <conditionalFormatting sqref="C51">
    <cfRule type="cellIs" dxfId="12794" priority="18374" stopIfTrue="1" operator="equal">
      <formula>"Towel"</formula>
    </cfRule>
    <cfRule type="cellIs" dxfId="12793" priority="18375" stopIfTrue="1" operator="equal">
      <formula>"Napkin Hs"</formula>
    </cfRule>
  </conditionalFormatting>
  <conditionalFormatting sqref="B51:C51">
    <cfRule type="cellIs" dxfId="12792" priority="18376" stopIfTrue="1" operator="equal">
      <formula>"Towel"</formula>
    </cfRule>
    <cfRule type="cellIs" dxfId="12791" priority="18377" stopIfTrue="1" operator="equal">
      <formula>"Napkin Hs"</formula>
    </cfRule>
  </conditionalFormatting>
  <conditionalFormatting sqref="C51">
    <cfRule type="cellIs" dxfId="12790" priority="18372" stopIfTrue="1" operator="equal">
      <formula>"Towel"</formula>
    </cfRule>
    <cfRule type="cellIs" dxfId="12789" priority="18373" stopIfTrue="1" operator="equal">
      <formula>"Napkin Hs"</formula>
    </cfRule>
  </conditionalFormatting>
  <conditionalFormatting sqref="B51:C51">
    <cfRule type="cellIs" dxfId="12788" priority="18370" stopIfTrue="1" operator="equal">
      <formula>"Towel"</formula>
    </cfRule>
    <cfRule type="cellIs" dxfId="12787" priority="18371" stopIfTrue="1" operator="equal">
      <formula>"Napkin Hs"</formula>
    </cfRule>
  </conditionalFormatting>
  <conditionalFormatting sqref="C51">
    <cfRule type="cellIs" dxfId="12786" priority="18378" stopIfTrue="1" operator="equal">
      <formula>"Towel"</formula>
    </cfRule>
    <cfRule type="cellIs" dxfId="12785" priority="18379" stopIfTrue="1" operator="equal">
      <formula>"Napkin Hs"</formula>
    </cfRule>
  </conditionalFormatting>
  <conditionalFormatting sqref="C51">
    <cfRule type="cellIs" dxfId="12784" priority="18380" stopIfTrue="1" operator="equal">
      <formula>"Towel"</formula>
    </cfRule>
    <cfRule type="cellIs" dxfId="12783" priority="18381" stopIfTrue="1" operator="equal">
      <formula>"Napkin Hs"</formula>
    </cfRule>
  </conditionalFormatting>
  <conditionalFormatting sqref="C51">
    <cfRule type="cellIs" dxfId="12782" priority="18362" stopIfTrue="1" operator="equal">
      <formula>"Towel"</formula>
    </cfRule>
    <cfRule type="cellIs" dxfId="12781" priority="18363" stopIfTrue="1" operator="equal">
      <formula>"Napkin Hs"</formula>
    </cfRule>
  </conditionalFormatting>
  <conditionalFormatting sqref="B51:C51">
    <cfRule type="cellIs" dxfId="12780" priority="18364" stopIfTrue="1" operator="equal">
      <formula>"Towel"</formula>
    </cfRule>
    <cfRule type="cellIs" dxfId="12779" priority="18365" stopIfTrue="1" operator="equal">
      <formula>"Napkin Hs"</formula>
    </cfRule>
  </conditionalFormatting>
  <conditionalFormatting sqref="C51">
    <cfRule type="cellIs" dxfId="12778" priority="18360" stopIfTrue="1" operator="equal">
      <formula>"Towel"</formula>
    </cfRule>
    <cfRule type="cellIs" dxfId="12777" priority="18361" stopIfTrue="1" operator="equal">
      <formula>"Napkin Hs"</formula>
    </cfRule>
  </conditionalFormatting>
  <conditionalFormatting sqref="B51:C51">
    <cfRule type="cellIs" dxfId="12776" priority="18358" stopIfTrue="1" operator="equal">
      <formula>"Towel"</formula>
    </cfRule>
    <cfRule type="cellIs" dxfId="12775" priority="18359" stopIfTrue="1" operator="equal">
      <formula>"Napkin Hs"</formula>
    </cfRule>
  </conditionalFormatting>
  <conditionalFormatting sqref="C51">
    <cfRule type="cellIs" dxfId="12774" priority="18366" stopIfTrue="1" operator="equal">
      <formula>"Towel"</formula>
    </cfRule>
    <cfRule type="cellIs" dxfId="12773" priority="18367" stopIfTrue="1" operator="equal">
      <formula>"Napkin Hs"</formula>
    </cfRule>
  </conditionalFormatting>
  <conditionalFormatting sqref="C51">
    <cfRule type="cellIs" dxfId="12772" priority="18368" stopIfTrue="1" operator="equal">
      <formula>"Towel"</formula>
    </cfRule>
    <cfRule type="cellIs" dxfId="12771" priority="18369" stopIfTrue="1" operator="equal">
      <formula>"Napkin Hs"</formula>
    </cfRule>
  </conditionalFormatting>
  <conditionalFormatting sqref="C48:C50">
    <cfRule type="cellIs" dxfId="12770" priority="18354" stopIfTrue="1" operator="equal">
      <formula>"Towel"</formula>
    </cfRule>
    <cfRule type="cellIs" dxfId="12769" priority="18355" stopIfTrue="1" operator="equal">
      <formula>"Napkin Hs"</formula>
    </cfRule>
  </conditionalFormatting>
  <conditionalFormatting sqref="C48:C50">
    <cfRule type="cellIs" dxfId="12768" priority="18356" stopIfTrue="1" operator="equal">
      <formula>"Towel"</formula>
    </cfRule>
    <cfRule type="cellIs" dxfId="12767" priority="18357" stopIfTrue="1" operator="equal">
      <formula>"Napkin Hs"</formula>
    </cfRule>
  </conditionalFormatting>
  <conditionalFormatting sqref="C48:C50">
    <cfRule type="cellIs" dxfId="12766" priority="18352" stopIfTrue="1" operator="equal">
      <formula>"Towel"</formula>
    </cfRule>
    <cfRule type="cellIs" dxfId="12765" priority="18353" stopIfTrue="1" operator="equal">
      <formula>"Napkin Hs"</formula>
    </cfRule>
  </conditionalFormatting>
  <conditionalFormatting sqref="B48:B50">
    <cfRule type="cellIs" dxfId="12764" priority="18350" stopIfTrue="1" operator="equal">
      <formula>"Towel"</formula>
    </cfRule>
    <cfRule type="cellIs" dxfId="12763" priority="18351" stopIfTrue="1" operator="equal">
      <formula>"Napkin Hs"</formula>
    </cfRule>
  </conditionalFormatting>
  <conditionalFormatting sqref="C48:C50">
    <cfRule type="cellIs" dxfId="12762" priority="18344" stopIfTrue="1" operator="equal">
      <formula>"Towel"</formula>
    </cfRule>
    <cfRule type="cellIs" dxfId="12761" priority="18345" stopIfTrue="1" operator="equal">
      <formula>"Napkin Hs"</formula>
    </cfRule>
  </conditionalFormatting>
  <conditionalFormatting sqref="C48:C50">
    <cfRule type="cellIs" dxfId="12760" priority="18348" stopIfTrue="1" operator="equal">
      <formula>"Towel"</formula>
    </cfRule>
    <cfRule type="cellIs" dxfId="12759" priority="18349" stopIfTrue="1" operator="equal">
      <formula>"Napkin Hs"</formula>
    </cfRule>
  </conditionalFormatting>
  <conditionalFormatting sqref="C48:C50">
    <cfRule type="cellIs" dxfId="12758" priority="18346" stopIfTrue="1" operator="equal">
      <formula>"Towel"</formula>
    </cfRule>
    <cfRule type="cellIs" dxfId="12757" priority="18347" stopIfTrue="1" operator="equal">
      <formula>"Napkin Hs"</formula>
    </cfRule>
  </conditionalFormatting>
  <conditionalFormatting sqref="C48:C50">
    <cfRule type="cellIs" dxfId="12756" priority="18338" stopIfTrue="1" operator="equal">
      <formula>"Towel"</formula>
    </cfRule>
    <cfRule type="cellIs" dxfId="12755" priority="18339" stopIfTrue="1" operator="equal">
      <formula>"Napkin Hs"</formula>
    </cfRule>
  </conditionalFormatting>
  <conditionalFormatting sqref="C48:C50">
    <cfRule type="cellIs" dxfId="12754" priority="18340" stopIfTrue="1" operator="equal">
      <formula>"Towel"</formula>
    </cfRule>
    <cfRule type="cellIs" dxfId="12753" priority="18341" stopIfTrue="1" operator="equal">
      <formula>"Napkin Hs"</formula>
    </cfRule>
  </conditionalFormatting>
  <conditionalFormatting sqref="C48:C50">
    <cfRule type="cellIs" dxfId="12752" priority="18342" stopIfTrue="1" operator="equal">
      <formula>"Towel"</formula>
    </cfRule>
    <cfRule type="cellIs" dxfId="12751" priority="18343" stopIfTrue="1" operator="equal">
      <formula>"Napkin Hs"</formula>
    </cfRule>
  </conditionalFormatting>
  <conditionalFormatting sqref="B48:C50">
    <cfRule type="cellIs" dxfId="12750" priority="18336" stopIfTrue="1" operator="equal">
      <formula>"Towel"</formula>
    </cfRule>
    <cfRule type="cellIs" dxfId="12749" priority="18337" stopIfTrue="1" operator="equal">
      <formula>"Napkin Hs"</formula>
    </cfRule>
  </conditionalFormatting>
  <conditionalFormatting sqref="B48:C50">
    <cfRule type="cellIs" dxfId="12748" priority="18334" stopIfTrue="1" operator="equal">
      <formula>"Towel"</formula>
    </cfRule>
    <cfRule type="cellIs" dxfId="12747" priority="18335" stopIfTrue="1" operator="equal">
      <formula>"Napkin Hs"</formula>
    </cfRule>
  </conditionalFormatting>
  <conditionalFormatting sqref="B48:C50">
    <cfRule type="cellIs" dxfId="12746" priority="18310" stopIfTrue="1" operator="equal">
      <formula>"Towel"</formula>
    </cfRule>
  </conditionalFormatting>
  <conditionalFormatting sqref="B48:C50">
    <cfRule type="cellIs" dxfId="12745" priority="18311" stopIfTrue="1" operator="equal">
      <formula>"Napkin Hs"</formula>
    </cfRule>
    <cfRule type="cellIs" dxfId="12744" priority="18316" stopIfTrue="1" operator="equal">
      <formula>"Towel"</formula>
    </cfRule>
    <cfRule type="cellIs" dxfId="12743" priority="18317" stopIfTrue="1" operator="equal">
      <formula>"Napkin Hs"</formula>
    </cfRule>
    <cfRule type="cellIs" dxfId="12742" priority="18326" stopIfTrue="1" operator="equal">
      <formula>"Towel"</formula>
    </cfRule>
    <cfRule type="cellIs" dxfId="12741" priority="18327" stopIfTrue="1" operator="equal">
      <formula>"Napkin Hs"</formula>
    </cfRule>
    <cfRule type="cellIs" dxfId="12740" priority="18332" stopIfTrue="1" operator="equal">
      <formula>"Towel"</formula>
    </cfRule>
    <cfRule type="cellIs" dxfId="12739" priority="18333" stopIfTrue="1" operator="equal">
      <formula>"Napkin Hs"</formula>
    </cfRule>
  </conditionalFormatting>
  <conditionalFormatting sqref="C48:C50">
    <cfRule type="cellIs" dxfId="12738" priority="18312" stopIfTrue="1" operator="equal">
      <formula>"Towel"</formula>
    </cfRule>
    <cfRule type="cellIs" dxfId="12737" priority="18313" stopIfTrue="1" operator="equal">
      <formula>"Napkin Hs"</formula>
    </cfRule>
    <cfRule type="cellIs" dxfId="12736" priority="18314" stopIfTrue="1" operator="equal">
      <formula>"Towel"</formula>
    </cfRule>
    <cfRule type="cellIs" dxfId="12735" priority="18315" stopIfTrue="1" operator="equal">
      <formula>"Napkin Hs"</formula>
    </cfRule>
    <cfRule type="cellIs" dxfId="12734" priority="18318" stopIfTrue="1" operator="equal">
      <formula>"Towel"</formula>
    </cfRule>
    <cfRule type="cellIs" dxfId="12733" priority="18319" stopIfTrue="1" operator="equal">
      <formula>"Napkin Hs"</formula>
    </cfRule>
    <cfRule type="cellIs" dxfId="12732" priority="18320" stopIfTrue="1" operator="equal">
      <formula>"Towel"</formula>
    </cfRule>
    <cfRule type="cellIs" dxfId="12731" priority="18321" stopIfTrue="1" operator="equal">
      <formula>"Napkin Hs"</formula>
    </cfRule>
    <cfRule type="cellIs" dxfId="12730" priority="18322" stopIfTrue="1" operator="equal">
      <formula>"Towel"</formula>
    </cfRule>
    <cfRule type="cellIs" dxfId="12729" priority="18323" stopIfTrue="1" operator="equal">
      <formula>"Napkin Hs"</formula>
    </cfRule>
    <cfRule type="cellIs" dxfId="12728" priority="18324" stopIfTrue="1" operator="equal">
      <formula>"Towel"</formula>
    </cfRule>
    <cfRule type="cellIs" dxfId="12727" priority="18325" stopIfTrue="1" operator="equal">
      <formula>"Napkin Hs"</formula>
    </cfRule>
    <cfRule type="cellIs" dxfId="12726" priority="18328" stopIfTrue="1" operator="equal">
      <formula>"Towel"</formula>
    </cfRule>
    <cfRule type="cellIs" dxfId="12725" priority="18329" stopIfTrue="1" operator="equal">
      <formula>"Napkin Hs"</formula>
    </cfRule>
    <cfRule type="cellIs" dxfId="12724" priority="18331" stopIfTrue="1" operator="equal">
      <formula>"Napkin Hs"</formula>
    </cfRule>
  </conditionalFormatting>
  <conditionalFormatting sqref="C48:C50">
    <cfRule type="cellIs" dxfId="12723" priority="18330" stopIfTrue="1" operator="equal">
      <formula>"Towel"</formula>
    </cfRule>
  </conditionalFormatting>
  <conditionalFormatting sqref="B48:C50">
    <cfRule type="cellIs" dxfId="12722" priority="18308" stopIfTrue="1" operator="equal">
      <formula>"Towel"</formula>
    </cfRule>
    <cfRule type="cellIs" dxfId="12721" priority="18309" stopIfTrue="1" operator="equal">
      <formula>"Napkin Hs"</formula>
    </cfRule>
  </conditionalFormatting>
  <conditionalFormatting sqref="C48:C50">
    <cfRule type="cellIs" dxfId="12720" priority="18307" stopIfTrue="1" operator="equal">
      <formula>"Napkin Hs"</formula>
    </cfRule>
  </conditionalFormatting>
  <conditionalFormatting sqref="C48:C50">
    <cfRule type="cellIs" dxfId="12719" priority="18306" stopIfTrue="1" operator="equal">
      <formula>"Towel"</formula>
    </cfRule>
  </conditionalFormatting>
  <conditionalFormatting sqref="C48:C50">
    <cfRule type="cellIs" dxfId="12718" priority="18304" stopIfTrue="1" operator="equal">
      <formula>"Towel"</formula>
    </cfRule>
  </conditionalFormatting>
  <conditionalFormatting sqref="C48:C50">
    <cfRule type="cellIs" dxfId="12717" priority="18305" stopIfTrue="1" operator="equal">
      <formula>"Napkin Hs"</formula>
    </cfRule>
  </conditionalFormatting>
  <conditionalFormatting sqref="B48:B50">
    <cfRule type="cellIs" dxfId="12716" priority="18208" stopIfTrue="1" operator="equal">
      <formula>"Napkin Hs"</formula>
    </cfRule>
  </conditionalFormatting>
  <conditionalFormatting sqref="B48:C50">
    <cfRule type="cellIs" dxfId="12715" priority="18207" stopIfTrue="1" operator="equal">
      <formula>"Towel"</formula>
    </cfRule>
  </conditionalFormatting>
  <conditionalFormatting sqref="B48:C50">
    <cfRule type="cellIs" dxfId="12714" priority="18218" stopIfTrue="1" operator="equal">
      <formula>"Towel"</formula>
    </cfRule>
    <cfRule type="cellIs" dxfId="12713" priority="18219" stopIfTrue="1" operator="equal">
      <formula>"Napkin Hs"</formula>
    </cfRule>
    <cfRule type="cellIs" dxfId="12712" priority="18224" stopIfTrue="1" operator="equal">
      <formula>"Towel"</formula>
    </cfRule>
    <cfRule type="cellIs" dxfId="12711" priority="18225" stopIfTrue="1" operator="equal">
      <formula>"Napkin Hs"</formula>
    </cfRule>
    <cfRule type="cellIs" dxfId="12710" priority="18230" stopIfTrue="1" operator="equal">
      <formula>"Towel"</formula>
    </cfRule>
    <cfRule type="cellIs" dxfId="12709" priority="18231" stopIfTrue="1" operator="equal">
      <formula>"Napkin Hs"</formula>
    </cfRule>
    <cfRule type="cellIs" dxfId="12708" priority="18232" stopIfTrue="1" operator="equal">
      <formula>"Towel"</formula>
    </cfRule>
    <cfRule type="cellIs" dxfId="12707" priority="18233" stopIfTrue="1" operator="equal">
      <formula>"Napkin Hs"</formula>
    </cfRule>
    <cfRule type="cellIs" dxfId="12706" priority="18238" stopIfTrue="1" operator="equal">
      <formula>"Towel"</formula>
    </cfRule>
    <cfRule type="cellIs" dxfId="12705" priority="18239" stopIfTrue="1" operator="equal">
      <formula>"Napkin Hs"</formula>
    </cfRule>
    <cfRule type="cellIs" dxfId="12704" priority="18248" stopIfTrue="1" operator="equal">
      <formula>"Towel"</formula>
    </cfRule>
    <cfRule type="cellIs" dxfId="12703" priority="18249" stopIfTrue="1" operator="equal">
      <formula>"Napkin Hs"</formula>
    </cfRule>
    <cfRule type="cellIs" dxfId="12702" priority="18254" stopIfTrue="1" operator="equal">
      <formula>"Towel"</formula>
    </cfRule>
    <cfRule type="cellIs" dxfId="12701" priority="18255" stopIfTrue="1" operator="equal">
      <formula>"Napkin Hs"</formula>
    </cfRule>
    <cfRule type="cellIs" dxfId="12700" priority="18256" stopIfTrue="1" operator="equal">
      <formula>"Towel"</formula>
    </cfRule>
    <cfRule type="cellIs" dxfId="12699" priority="18257" stopIfTrue="1" operator="equal">
      <formula>"Napkin Hs"</formula>
    </cfRule>
    <cfRule type="cellIs" dxfId="12698" priority="18262" stopIfTrue="1" operator="equal">
      <formula>"Towel"</formula>
    </cfRule>
    <cfRule type="cellIs" dxfId="12697" priority="18263" stopIfTrue="1" operator="equal">
      <formula>"Napkin Hs"</formula>
    </cfRule>
    <cfRule type="cellIs" dxfId="12696" priority="18272" stopIfTrue="1" operator="equal">
      <formula>"Towel"</formula>
    </cfRule>
    <cfRule type="cellIs" dxfId="12695" priority="18273" stopIfTrue="1" operator="equal">
      <formula>"Napkin Hs"</formula>
    </cfRule>
    <cfRule type="cellIs" dxfId="12694" priority="18274" stopIfTrue="1" operator="equal">
      <formula>"Towel"</formula>
    </cfRule>
    <cfRule type="cellIs" dxfId="12693" priority="18275" stopIfTrue="1" operator="equal">
      <formula>"Napkin Hs"</formula>
    </cfRule>
    <cfRule type="cellIs" dxfId="12692" priority="18280" stopIfTrue="1" operator="equal">
      <formula>"Towel"</formula>
    </cfRule>
    <cfRule type="cellIs" dxfId="12691" priority="18281" stopIfTrue="1" operator="equal">
      <formula>"Napkin Hs"</formula>
    </cfRule>
    <cfRule type="cellIs" dxfId="12690" priority="18290" stopIfTrue="1" operator="equal">
      <formula>"Towel"</formula>
    </cfRule>
    <cfRule type="cellIs" dxfId="12689" priority="18291" stopIfTrue="1" operator="equal">
      <formula>"Napkin Hs"</formula>
    </cfRule>
    <cfRule type="cellIs" dxfId="12688" priority="18292" stopIfTrue="1" operator="equal">
      <formula>"Towel"</formula>
    </cfRule>
    <cfRule type="cellIs" dxfId="12687" priority="18293" stopIfTrue="1" operator="equal">
      <formula>"Napkin Hs"</formula>
    </cfRule>
    <cfRule type="cellIs" dxfId="12686" priority="18299" stopIfTrue="1" operator="equal">
      <formula>"Napkin Hs"</formula>
    </cfRule>
  </conditionalFormatting>
  <conditionalFormatting sqref="B48:C50">
    <cfRule type="cellIs" dxfId="12685" priority="18298" stopIfTrue="1" operator="equal">
      <formula>"Towel"</formula>
    </cfRule>
  </conditionalFormatting>
  <conditionalFormatting sqref="C48:C50">
    <cfRule type="cellIs" dxfId="12684" priority="18209" stopIfTrue="1" operator="equal">
      <formula>"Napkin Hs"</formula>
    </cfRule>
    <cfRule type="cellIs" dxfId="12683" priority="18210" stopIfTrue="1" operator="equal">
      <formula>"Towel"</formula>
    </cfRule>
    <cfRule type="cellIs" dxfId="12682" priority="18211" stopIfTrue="1" operator="equal">
      <formula>"Napkin Hs"</formula>
    </cfRule>
    <cfRule type="cellIs" dxfId="12681" priority="18212" stopIfTrue="1" operator="equal">
      <formula>"Towel"</formula>
    </cfRule>
    <cfRule type="cellIs" dxfId="12680" priority="18213" stopIfTrue="1" operator="equal">
      <formula>"Napkin Hs"</formula>
    </cfRule>
    <cfRule type="cellIs" dxfId="12679" priority="18214" stopIfTrue="1" operator="equal">
      <formula>"Towel"</formula>
    </cfRule>
    <cfRule type="cellIs" dxfId="12678" priority="18215" stopIfTrue="1" operator="equal">
      <formula>"Napkin Hs"</formula>
    </cfRule>
    <cfRule type="cellIs" dxfId="12677" priority="18216" stopIfTrue="1" operator="equal">
      <formula>"Towel"</formula>
    </cfRule>
    <cfRule type="cellIs" dxfId="12676" priority="18217" stopIfTrue="1" operator="equal">
      <formula>"Napkin Hs"</formula>
    </cfRule>
    <cfRule type="cellIs" dxfId="12675" priority="18220" stopIfTrue="1" operator="equal">
      <formula>"Towel"</formula>
    </cfRule>
    <cfRule type="cellIs" dxfId="12674" priority="18221" stopIfTrue="1" operator="equal">
      <formula>"Napkin Hs"</formula>
    </cfRule>
    <cfRule type="cellIs" dxfId="12673" priority="18222" stopIfTrue="1" operator="equal">
      <formula>"Towel"</formula>
    </cfRule>
    <cfRule type="cellIs" dxfId="12672" priority="18223" stopIfTrue="1" operator="equal">
      <formula>"Napkin Hs"</formula>
    </cfRule>
    <cfRule type="cellIs" dxfId="12671" priority="18226" stopIfTrue="1" operator="equal">
      <formula>"Towel"</formula>
    </cfRule>
    <cfRule type="cellIs" dxfId="12670" priority="18227" stopIfTrue="1" operator="equal">
      <formula>"Napkin Hs"</formula>
    </cfRule>
    <cfRule type="cellIs" dxfId="12669" priority="18228" stopIfTrue="1" operator="equal">
      <formula>"Towel"</formula>
    </cfRule>
    <cfRule type="cellIs" dxfId="12668" priority="18229" stopIfTrue="1" operator="equal">
      <formula>"Napkin Hs"</formula>
    </cfRule>
    <cfRule type="cellIs" dxfId="12667" priority="18234" stopIfTrue="1" operator="equal">
      <formula>"Towel"</formula>
    </cfRule>
    <cfRule type="cellIs" dxfId="12666" priority="18235" stopIfTrue="1" operator="equal">
      <formula>"Napkin Hs"</formula>
    </cfRule>
    <cfRule type="cellIs" dxfId="12665" priority="18236" stopIfTrue="1" operator="equal">
      <formula>"Towel"</formula>
    </cfRule>
    <cfRule type="cellIs" dxfId="12664" priority="18237" stopIfTrue="1" operator="equal">
      <formula>"Napkin Hs"</formula>
    </cfRule>
    <cfRule type="cellIs" dxfId="12663" priority="18240" stopIfTrue="1" operator="equal">
      <formula>"Towel"</formula>
    </cfRule>
    <cfRule type="cellIs" dxfId="12662" priority="18241" stopIfTrue="1" operator="equal">
      <formula>"Napkin Hs"</formula>
    </cfRule>
    <cfRule type="cellIs" dxfId="12661" priority="18242" stopIfTrue="1" operator="equal">
      <formula>"Towel"</formula>
    </cfRule>
    <cfRule type="cellIs" dxfId="12660" priority="18243" stopIfTrue="1" operator="equal">
      <formula>"Napkin Hs"</formula>
    </cfRule>
    <cfRule type="cellIs" dxfId="12659" priority="18244" stopIfTrue="1" operator="equal">
      <formula>"Towel"</formula>
    </cfRule>
    <cfRule type="cellIs" dxfId="12658" priority="18245" stopIfTrue="1" operator="equal">
      <formula>"Napkin Hs"</formula>
    </cfRule>
    <cfRule type="cellIs" dxfId="12657" priority="18246" stopIfTrue="1" operator="equal">
      <formula>"Towel"</formula>
    </cfRule>
    <cfRule type="cellIs" dxfId="12656" priority="18247" stopIfTrue="1" operator="equal">
      <formula>"Napkin Hs"</formula>
    </cfRule>
    <cfRule type="cellIs" dxfId="12655" priority="18250" stopIfTrue="1" operator="equal">
      <formula>"Towel"</formula>
    </cfRule>
    <cfRule type="cellIs" dxfId="12654" priority="18251" stopIfTrue="1" operator="equal">
      <formula>"Napkin Hs"</formula>
    </cfRule>
    <cfRule type="cellIs" dxfId="12653" priority="18252" stopIfTrue="1" operator="equal">
      <formula>"Towel"</formula>
    </cfRule>
    <cfRule type="cellIs" dxfId="12652" priority="18253" stopIfTrue="1" operator="equal">
      <formula>"Napkin Hs"</formula>
    </cfRule>
    <cfRule type="cellIs" dxfId="12651" priority="18258" stopIfTrue="1" operator="equal">
      <formula>"Towel"</formula>
    </cfRule>
    <cfRule type="cellIs" dxfId="12650" priority="18259" stopIfTrue="1" operator="equal">
      <formula>"Napkin Hs"</formula>
    </cfRule>
    <cfRule type="cellIs" dxfId="12649" priority="18260" stopIfTrue="1" operator="equal">
      <formula>"Towel"</formula>
    </cfRule>
    <cfRule type="cellIs" dxfId="12648" priority="18261" stopIfTrue="1" operator="equal">
      <formula>"Napkin Hs"</formula>
    </cfRule>
    <cfRule type="cellIs" dxfId="12647" priority="18264" stopIfTrue="1" operator="equal">
      <formula>"Towel"</formula>
    </cfRule>
    <cfRule type="cellIs" dxfId="12646" priority="18265" stopIfTrue="1" operator="equal">
      <formula>"Napkin Hs"</formula>
    </cfRule>
    <cfRule type="cellIs" dxfId="12645" priority="18266" stopIfTrue="1" operator="equal">
      <formula>"Towel"</formula>
    </cfRule>
    <cfRule type="cellIs" dxfId="12644" priority="18267" stopIfTrue="1" operator="equal">
      <formula>"Napkin Hs"</formula>
    </cfRule>
    <cfRule type="cellIs" dxfId="12643" priority="18268" stopIfTrue="1" operator="equal">
      <formula>"Towel"</formula>
    </cfRule>
    <cfRule type="cellIs" dxfId="12642" priority="18269" stopIfTrue="1" operator="equal">
      <formula>"Napkin Hs"</formula>
    </cfRule>
    <cfRule type="cellIs" dxfId="12641" priority="18270" stopIfTrue="1" operator="equal">
      <formula>"Towel"</formula>
    </cfRule>
    <cfRule type="cellIs" dxfId="12640" priority="18271" stopIfTrue="1" operator="equal">
      <formula>"Napkin Hs"</formula>
    </cfRule>
    <cfRule type="cellIs" dxfId="12639" priority="18276" stopIfTrue="1" operator="equal">
      <formula>"Towel"</formula>
    </cfRule>
    <cfRule type="cellIs" dxfId="12638" priority="18277" stopIfTrue="1" operator="equal">
      <formula>"Napkin Hs"</formula>
    </cfRule>
    <cfRule type="cellIs" dxfId="12637" priority="18278" stopIfTrue="1" operator="equal">
      <formula>"Towel"</formula>
    </cfRule>
    <cfRule type="cellIs" dxfId="12636" priority="18279" stopIfTrue="1" operator="equal">
      <formula>"Napkin Hs"</formula>
    </cfRule>
    <cfRule type="cellIs" dxfId="12635" priority="18282" stopIfTrue="1" operator="equal">
      <formula>"Towel"</formula>
    </cfRule>
    <cfRule type="cellIs" dxfId="12634" priority="18283" stopIfTrue="1" operator="equal">
      <formula>"Napkin Hs"</formula>
    </cfRule>
    <cfRule type="cellIs" dxfId="12633" priority="18284" stopIfTrue="1" operator="equal">
      <formula>"Towel"</formula>
    </cfRule>
    <cfRule type="cellIs" dxfId="12632" priority="18285" stopIfTrue="1" operator="equal">
      <formula>"Napkin Hs"</formula>
    </cfRule>
    <cfRule type="cellIs" dxfId="12631" priority="18286" stopIfTrue="1" operator="equal">
      <formula>"Towel"</formula>
    </cfRule>
    <cfRule type="cellIs" dxfId="12630" priority="18287" stopIfTrue="1" operator="equal">
      <formula>"Napkin Hs"</formula>
    </cfRule>
    <cfRule type="cellIs" dxfId="12629" priority="18288" stopIfTrue="1" operator="equal">
      <formula>"Towel"</formula>
    </cfRule>
    <cfRule type="cellIs" dxfId="12628" priority="18289" stopIfTrue="1" operator="equal">
      <formula>"Napkin Hs"</formula>
    </cfRule>
    <cfRule type="cellIs" dxfId="12627" priority="18294" stopIfTrue="1" operator="equal">
      <formula>"Towel"</formula>
    </cfRule>
    <cfRule type="cellIs" dxfId="12626" priority="18295" stopIfTrue="1" operator="equal">
      <formula>"Napkin Hs"</formula>
    </cfRule>
    <cfRule type="cellIs" dxfId="12625" priority="18296" stopIfTrue="1" operator="equal">
      <formula>"Towel"</formula>
    </cfRule>
    <cfRule type="cellIs" dxfId="12624" priority="18297" stopIfTrue="1" operator="equal">
      <formula>"Napkin Hs"</formula>
    </cfRule>
    <cfRule type="cellIs" dxfId="12623" priority="18300" stopIfTrue="1" operator="equal">
      <formula>"Towel"</formula>
    </cfRule>
    <cfRule type="cellIs" dxfId="12622" priority="18301" stopIfTrue="1" operator="equal">
      <formula>"Napkin Hs"</formula>
    </cfRule>
    <cfRule type="cellIs" dxfId="12621" priority="18302" stopIfTrue="1" operator="equal">
      <formula>"Towel"</formula>
    </cfRule>
    <cfRule type="cellIs" dxfId="12620" priority="18303" stopIfTrue="1" operator="equal">
      <formula>"Napkin Hs"</formula>
    </cfRule>
  </conditionalFormatting>
  <conditionalFormatting sqref="C48:C50">
    <cfRule type="cellIs" dxfId="12619" priority="18206" stopIfTrue="1" operator="equal">
      <formula>"Napkin Hs"</formula>
    </cfRule>
  </conditionalFormatting>
  <conditionalFormatting sqref="C48:C50">
    <cfRule type="cellIs" dxfId="12618" priority="18205" stopIfTrue="1" operator="equal">
      <formula>"Napkin Hs"</formula>
    </cfRule>
  </conditionalFormatting>
  <conditionalFormatting sqref="B48:B50">
    <cfRule type="cellIs" dxfId="12617" priority="18204" stopIfTrue="1" operator="equal">
      <formula>"Napkin Hs"</formula>
    </cfRule>
  </conditionalFormatting>
  <conditionalFormatting sqref="C48:C50">
    <cfRule type="cellIs" dxfId="12616" priority="18203" stopIfTrue="1" operator="equal">
      <formula>"Napkin Hs"</formula>
    </cfRule>
  </conditionalFormatting>
  <conditionalFormatting sqref="C48:C50">
    <cfRule type="cellIs" dxfId="12615" priority="18202" stopIfTrue="1" operator="equal">
      <formula>"Napkin Hs"</formula>
    </cfRule>
  </conditionalFormatting>
  <conditionalFormatting sqref="C48:C50">
    <cfRule type="cellIs" dxfId="12614" priority="18201" stopIfTrue="1" operator="equal">
      <formula>"Napkin Hs"</formula>
    </cfRule>
  </conditionalFormatting>
  <conditionalFormatting sqref="C48:C50">
    <cfRule type="cellIs" dxfId="12613" priority="18200" stopIfTrue="1" operator="equal">
      <formula>"Napkin Hs"</formula>
    </cfRule>
  </conditionalFormatting>
  <conditionalFormatting sqref="B48:B50">
    <cfRule type="cellIs" dxfId="12612" priority="18199" stopIfTrue="1" operator="equal">
      <formula>"Napkin Hs"</formula>
    </cfRule>
  </conditionalFormatting>
  <conditionalFormatting sqref="B48:B50">
    <cfRule type="cellIs" dxfId="12611" priority="18198" stopIfTrue="1" operator="equal">
      <formula>"Napkin Hs"</formula>
    </cfRule>
  </conditionalFormatting>
  <conditionalFormatting sqref="C48:C50">
    <cfRule type="cellIs" dxfId="12610" priority="18194" stopIfTrue="1" operator="equal">
      <formula>"Towel"</formula>
    </cfRule>
    <cfRule type="cellIs" dxfId="12609" priority="18195" stopIfTrue="1" operator="equal">
      <formula>"Napkin Hs"</formula>
    </cfRule>
  </conditionalFormatting>
  <conditionalFormatting sqref="C48:C50">
    <cfRule type="cellIs" dxfId="12608" priority="18196" stopIfTrue="1" operator="equal">
      <formula>"Towel"</formula>
    </cfRule>
    <cfRule type="cellIs" dxfId="12607" priority="18197" stopIfTrue="1" operator="equal">
      <formula>"Napkin Hs"</formula>
    </cfRule>
  </conditionalFormatting>
  <conditionalFormatting sqref="C48:C50">
    <cfRule type="cellIs" dxfId="12606" priority="18190" stopIfTrue="1" operator="equal">
      <formula>"Towel"</formula>
    </cfRule>
    <cfRule type="cellIs" dxfId="12605" priority="18191" stopIfTrue="1" operator="equal">
      <formula>"Napkin Hs"</formula>
    </cfRule>
  </conditionalFormatting>
  <conditionalFormatting sqref="C48:C50">
    <cfRule type="cellIs" dxfId="12604" priority="18192" stopIfTrue="1" operator="equal">
      <formula>"Towel"</formula>
    </cfRule>
    <cfRule type="cellIs" dxfId="12603" priority="18193" stopIfTrue="1" operator="equal">
      <formula>"Napkin Hs"</formula>
    </cfRule>
  </conditionalFormatting>
  <conditionalFormatting sqref="C47">
    <cfRule type="cellIs" dxfId="12602" priority="18186" stopIfTrue="1" operator="equal">
      <formula>"Towel"</formula>
    </cfRule>
    <cfRule type="cellIs" dxfId="12601" priority="18187" stopIfTrue="1" operator="equal">
      <formula>"Napkin Hs"</formula>
    </cfRule>
  </conditionalFormatting>
  <conditionalFormatting sqref="C47">
    <cfRule type="cellIs" dxfId="12600" priority="18188" stopIfTrue="1" operator="equal">
      <formula>"Towel"</formula>
    </cfRule>
    <cfRule type="cellIs" dxfId="12599" priority="18189" stopIfTrue="1" operator="equal">
      <formula>"Napkin Hs"</formula>
    </cfRule>
  </conditionalFormatting>
  <conditionalFormatting sqref="C47">
    <cfRule type="cellIs" dxfId="12598" priority="18184" stopIfTrue="1" operator="equal">
      <formula>"Towel"</formula>
    </cfRule>
    <cfRule type="cellIs" dxfId="12597" priority="18185" stopIfTrue="1" operator="equal">
      <formula>"Napkin Hs"</formula>
    </cfRule>
  </conditionalFormatting>
  <conditionalFormatting sqref="B47">
    <cfRule type="cellIs" dxfId="12596" priority="18182" stopIfTrue="1" operator="equal">
      <formula>"Towel"</formula>
    </cfRule>
    <cfRule type="cellIs" dxfId="12595" priority="18183" stopIfTrue="1" operator="equal">
      <formula>"Napkin Hs"</formula>
    </cfRule>
  </conditionalFormatting>
  <conditionalFormatting sqref="C47">
    <cfRule type="cellIs" dxfId="12594" priority="18176" stopIfTrue="1" operator="equal">
      <formula>"Towel"</formula>
    </cfRule>
    <cfRule type="cellIs" dxfId="12593" priority="18177" stopIfTrue="1" operator="equal">
      <formula>"Napkin Hs"</formula>
    </cfRule>
  </conditionalFormatting>
  <conditionalFormatting sqref="C47">
    <cfRule type="cellIs" dxfId="12592" priority="18180" stopIfTrue="1" operator="equal">
      <formula>"Towel"</formula>
    </cfRule>
    <cfRule type="cellIs" dxfId="12591" priority="18181" stopIfTrue="1" operator="equal">
      <formula>"Napkin Hs"</formula>
    </cfRule>
  </conditionalFormatting>
  <conditionalFormatting sqref="C47">
    <cfRule type="cellIs" dxfId="12590" priority="18178" stopIfTrue="1" operator="equal">
      <formula>"Towel"</formula>
    </cfRule>
    <cfRule type="cellIs" dxfId="12589" priority="18179" stopIfTrue="1" operator="equal">
      <formula>"Napkin Hs"</formula>
    </cfRule>
  </conditionalFormatting>
  <conditionalFormatting sqref="C47">
    <cfRule type="cellIs" dxfId="12588" priority="18170" stopIfTrue="1" operator="equal">
      <formula>"Towel"</formula>
    </cfRule>
    <cfRule type="cellIs" dxfId="12587" priority="18171" stopIfTrue="1" operator="equal">
      <formula>"Napkin Hs"</formula>
    </cfRule>
  </conditionalFormatting>
  <conditionalFormatting sqref="C47">
    <cfRule type="cellIs" dxfId="12586" priority="18172" stopIfTrue="1" operator="equal">
      <formula>"Towel"</formula>
    </cfRule>
    <cfRule type="cellIs" dxfId="12585" priority="18173" stopIfTrue="1" operator="equal">
      <formula>"Napkin Hs"</formula>
    </cfRule>
  </conditionalFormatting>
  <conditionalFormatting sqref="C47">
    <cfRule type="cellIs" dxfId="12584" priority="18174" stopIfTrue="1" operator="equal">
      <formula>"Towel"</formula>
    </cfRule>
    <cfRule type="cellIs" dxfId="12583" priority="18175" stopIfTrue="1" operator="equal">
      <formula>"Napkin Hs"</formula>
    </cfRule>
  </conditionalFormatting>
  <conditionalFormatting sqref="B47:C47">
    <cfRule type="cellIs" dxfId="12582" priority="18168" stopIfTrue="1" operator="equal">
      <formula>"Towel"</formula>
    </cfRule>
    <cfRule type="cellIs" dxfId="12581" priority="18169" stopIfTrue="1" operator="equal">
      <formula>"Napkin Hs"</formula>
    </cfRule>
  </conditionalFormatting>
  <conditionalFormatting sqref="B47:C47">
    <cfRule type="cellIs" dxfId="12580" priority="18166" stopIfTrue="1" operator="equal">
      <formula>"Towel"</formula>
    </cfRule>
    <cfRule type="cellIs" dxfId="12579" priority="18167" stopIfTrue="1" operator="equal">
      <formula>"Napkin Hs"</formula>
    </cfRule>
  </conditionalFormatting>
  <conditionalFormatting sqref="B47:C47">
    <cfRule type="cellIs" dxfId="12578" priority="18142" stopIfTrue="1" operator="equal">
      <formula>"Towel"</formula>
    </cfRule>
  </conditionalFormatting>
  <conditionalFormatting sqref="B47:C47">
    <cfRule type="cellIs" dxfId="12577" priority="18143" stopIfTrue="1" operator="equal">
      <formula>"Napkin Hs"</formula>
    </cfRule>
    <cfRule type="cellIs" dxfId="12576" priority="18148" stopIfTrue="1" operator="equal">
      <formula>"Towel"</formula>
    </cfRule>
    <cfRule type="cellIs" dxfId="12575" priority="18149" stopIfTrue="1" operator="equal">
      <formula>"Napkin Hs"</formula>
    </cfRule>
    <cfRule type="cellIs" dxfId="12574" priority="18158" stopIfTrue="1" operator="equal">
      <formula>"Towel"</formula>
    </cfRule>
    <cfRule type="cellIs" dxfId="12573" priority="18159" stopIfTrue="1" operator="equal">
      <formula>"Napkin Hs"</formula>
    </cfRule>
    <cfRule type="cellIs" dxfId="12572" priority="18164" stopIfTrue="1" operator="equal">
      <formula>"Towel"</formula>
    </cfRule>
    <cfRule type="cellIs" dxfId="12571" priority="18165" stopIfTrue="1" operator="equal">
      <formula>"Napkin Hs"</formula>
    </cfRule>
  </conditionalFormatting>
  <conditionalFormatting sqref="C47">
    <cfRule type="cellIs" dxfId="12570" priority="18144" stopIfTrue="1" operator="equal">
      <formula>"Towel"</formula>
    </cfRule>
    <cfRule type="cellIs" dxfId="12569" priority="18145" stopIfTrue="1" operator="equal">
      <formula>"Napkin Hs"</formula>
    </cfRule>
    <cfRule type="cellIs" dxfId="12568" priority="18146" stopIfTrue="1" operator="equal">
      <formula>"Towel"</formula>
    </cfRule>
    <cfRule type="cellIs" dxfId="12567" priority="18147" stopIfTrue="1" operator="equal">
      <formula>"Napkin Hs"</formula>
    </cfRule>
    <cfRule type="cellIs" dxfId="12566" priority="18150" stopIfTrue="1" operator="equal">
      <formula>"Towel"</formula>
    </cfRule>
    <cfRule type="cellIs" dxfId="12565" priority="18151" stopIfTrue="1" operator="equal">
      <formula>"Napkin Hs"</formula>
    </cfRule>
    <cfRule type="cellIs" dxfId="12564" priority="18152" stopIfTrue="1" operator="equal">
      <formula>"Towel"</formula>
    </cfRule>
    <cfRule type="cellIs" dxfId="12563" priority="18153" stopIfTrue="1" operator="equal">
      <formula>"Napkin Hs"</formula>
    </cfRule>
    <cfRule type="cellIs" dxfId="12562" priority="18154" stopIfTrue="1" operator="equal">
      <formula>"Towel"</formula>
    </cfRule>
    <cfRule type="cellIs" dxfId="12561" priority="18155" stopIfTrue="1" operator="equal">
      <formula>"Napkin Hs"</formula>
    </cfRule>
    <cfRule type="cellIs" dxfId="12560" priority="18156" stopIfTrue="1" operator="equal">
      <formula>"Towel"</formula>
    </cfRule>
    <cfRule type="cellIs" dxfId="12559" priority="18157" stopIfTrue="1" operator="equal">
      <formula>"Napkin Hs"</formula>
    </cfRule>
    <cfRule type="cellIs" dxfId="12558" priority="18160" stopIfTrue="1" operator="equal">
      <formula>"Towel"</formula>
    </cfRule>
    <cfRule type="cellIs" dxfId="12557" priority="18161" stopIfTrue="1" operator="equal">
      <formula>"Napkin Hs"</formula>
    </cfRule>
    <cfRule type="cellIs" dxfId="12556" priority="18163" stopIfTrue="1" operator="equal">
      <formula>"Napkin Hs"</formula>
    </cfRule>
  </conditionalFormatting>
  <conditionalFormatting sqref="C47">
    <cfRule type="cellIs" dxfId="12555" priority="18162" stopIfTrue="1" operator="equal">
      <formula>"Towel"</formula>
    </cfRule>
  </conditionalFormatting>
  <conditionalFormatting sqref="B47:C47">
    <cfRule type="cellIs" dxfId="12554" priority="18140" stopIfTrue="1" operator="equal">
      <formula>"Towel"</formula>
    </cfRule>
    <cfRule type="cellIs" dxfId="12553" priority="18141" stopIfTrue="1" operator="equal">
      <formula>"Napkin Hs"</formula>
    </cfRule>
  </conditionalFormatting>
  <conditionalFormatting sqref="C47">
    <cfRule type="cellIs" dxfId="12552" priority="18139" stopIfTrue="1" operator="equal">
      <formula>"Napkin Hs"</formula>
    </cfRule>
  </conditionalFormatting>
  <conditionalFormatting sqref="C47">
    <cfRule type="cellIs" dxfId="12551" priority="18138" stopIfTrue="1" operator="equal">
      <formula>"Towel"</formula>
    </cfRule>
  </conditionalFormatting>
  <conditionalFormatting sqref="C47">
    <cfRule type="cellIs" dxfId="12550" priority="18136" stopIfTrue="1" operator="equal">
      <formula>"Towel"</formula>
    </cfRule>
  </conditionalFormatting>
  <conditionalFormatting sqref="C47">
    <cfRule type="cellIs" dxfId="12549" priority="18137" stopIfTrue="1" operator="equal">
      <formula>"Napkin Hs"</formula>
    </cfRule>
  </conditionalFormatting>
  <conditionalFormatting sqref="B47">
    <cfRule type="cellIs" dxfId="12548" priority="18040" stopIfTrue="1" operator="equal">
      <formula>"Napkin Hs"</formula>
    </cfRule>
  </conditionalFormatting>
  <conditionalFormatting sqref="B47:C47">
    <cfRule type="cellIs" dxfId="12547" priority="18039" stopIfTrue="1" operator="equal">
      <formula>"Towel"</formula>
    </cfRule>
  </conditionalFormatting>
  <conditionalFormatting sqref="B47:C47">
    <cfRule type="cellIs" dxfId="12546" priority="18050" stopIfTrue="1" operator="equal">
      <formula>"Towel"</formula>
    </cfRule>
    <cfRule type="cellIs" dxfId="12545" priority="18051" stopIfTrue="1" operator="equal">
      <formula>"Napkin Hs"</formula>
    </cfRule>
    <cfRule type="cellIs" dxfId="12544" priority="18056" stopIfTrue="1" operator="equal">
      <formula>"Towel"</formula>
    </cfRule>
    <cfRule type="cellIs" dxfId="12543" priority="18057" stopIfTrue="1" operator="equal">
      <formula>"Napkin Hs"</formula>
    </cfRule>
    <cfRule type="cellIs" dxfId="12542" priority="18062" stopIfTrue="1" operator="equal">
      <formula>"Towel"</formula>
    </cfRule>
    <cfRule type="cellIs" dxfId="12541" priority="18063" stopIfTrue="1" operator="equal">
      <formula>"Napkin Hs"</formula>
    </cfRule>
    <cfRule type="cellIs" dxfId="12540" priority="18064" stopIfTrue="1" operator="equal">
      <formula>"Towel"</formula>
    </cfRule>
    <cfRule type="cellIs" dxfId="12539" priority="18065" stopIfTrue="1" operator="equal">
      <formula>"Napkin Hs"</formula>
    </cfRule>
    <cfRule type="cellIs" dxfId="12538" priority="18070" stopIfTrue="1" operator="equal">
      <formula>"Towel"</formula>
    </cfRule>
    <cfRule type="cellIs" dxfId="12537" priority="18071" stopIfTrue="1" operator="equal">
      <formula>"Napkin Hs"</formula>
    </cfRule>
    <cfRule type="cellIs" dxfId="12536" priority="18080" stopIfTrue="1" operator="equal">
      <formula>"Towel"</formula>
    </cfRule>
    <cfRule type="cellIs" dxfId="12535" priority="18081" stopIfTrue="1" operator="equal">
      <formula>"Napkin Hs"</formula>
    </cfRule>
    <cfRule type="cellIs" dxfId="12534" priority="18086" stopIfTrue="1" operator="equal">
      <formula>"Towel"</formula>
    </cfRule>
    <cfRule type="cellIs" dxfId="12533" priority="18087" stopIfTrue="1" operator="equal">
      <formula>"Napkin Hs"</formula>
    </cfRule>
    <cfRule type="cellIs" dxfId="12532" priority="18088" stopIfTrue="1" operator="equal">
      <formula>"Towel"</formula>
    </cfRule>
    <cfRule type="cellIs" dxfId="12531" priority="18089" stopIfTrue="1" operator="equal">
      <formula>"Napkin Hs"</formula>
    </cfRule>
    <cfRule type="cellIs" dxfId="12530" priority="18094" stopIfTrue="1" operator="equal">
      <formula>"Towel"</formula>
    </cfRule>
    <cfRule type="cellIs" dxfId="12529" priority="18095" stopIfTrue="1" operator="equal">
      <formula>"Napkin Hs"</formula>
    </cfRule>
    <cfRule type="cellIs" dxfId="12528" priority="18104" stopIfTrue="1" operator="equal">
      <formula>"Towel"</formula>
    </cfRule>
    <cfRule type="cellIs" dxfId="12527" priority="18105" stopIfTrue="1" operator="equal">
      <formula>"Napkin Hs"</formula>
    </cfRule>
    <cfRule type="cellIs" dxfId="12526" priority="18106" stopIfTrue="1" operator="equal">
      <formula>"Towel"</formula>
    </cfRule>
    <cfRule type="cellIs" dxfId="12525" priority="18107" stopIfTrue="1" operator="equal">
      <formula>"Napkin Hs"</formula>
    </cfRule>
    <cfRule type="cellIs" dxfId="12524" priority="18112" stopIfTrue="1" operator="equal">
      <formula>"Towel"</formula>
    </cfRule>
    <cfRule type="cellIs" dxfId="12523" priority="18113" stopIfTrue="1" operator="equal">
      <formula>"Napkin Hs"</formula>
    </cfRule>
    <cfRule type="cellIs" dxfId="12522" priority="18122" stopIfTrue="1" operator="equal">
      <formula>"Towel"</formula>
    </cfRule>
    <cfRule type="cellIs" dxfId="12521" priority="18123" stopIfTrue="1" operator="equal">
      <formula>"Napkin Hs"</formula>
    </cfRule>
    <cfRule type="cellIs" dxfId="12520" priority="18124" stopIfTrue="1" operator="equal">
      <formula>"Towel"</formula>
    </cfRule>
    <cfRule type="cellIs" dxfId="12519" priority="18125" stopIfTrue="1" operator="equal">
      <formula>"Napkin Hs"</formula>
    </cfRule>
    <cfRule type="cellIs" dxfId="12518" priority="18131" stopIfTrue="1" operator="equal">
      <formula>"Napkin Hs"</formula>
    </cfRule>
  </conditionalFormatting>
  <conditionalFormatting sqref="B47:C47">
    <cfRule type="cellIs" dxfId="12517" priority="18130" stopIfTrue="1" operator="equal">
      <formula>"Towel"</formula>
    </cfRule>
  </conditionalFormatting>
  <conditionalFormatting sqref="C47">
    <cfRule type="cellIs" dxfId="12516" priority="18041" stopIfTrue="1" operator="equal">
      <formula>"Napkin Hs"</formula>
    </cfRule>
    <cfRule type="cellIs" dxfId="12515" priority="18042" stopIfTrue="1" operator="equal">
      <formula>"Towel"</formula>
    </cfRule>
    <cfRule type="cellIs" dxfId="12514" priority="18043" stopIfTrue="1" operator="equal">
      <formula>"Napkin Hs"</formula>
    </cfRule>
    <cfRule type="cellIs" dxfId="12513" priority="18044" stopIfTrue="1" operator="equal">
      <formula>"Towel"</formula>
    </cfRule>
    <cfRule type="cellIs" dxfId="12512" priority="18045" stopIfTrue="1" operator="equal">
      <formula>"Napkin Hs"</formula>
    </cfRule>
    <cfRule type="cellIs" dxfId="12511" priority="18046" stopIfTrue="1" operator="equal">
      <formula>"Towel"</formula>
    </cfRule>
    <cfRule type="cellIs" dxfId="12510" priority="18047" stopIfTrue="1" operator="equal">
      <formula>"Napkin Hs"</formula>
    </cfRule>
    <cfRule type="cellIs" dxfId="12509" priority="18048" stopIfTrue="1" operator="equal">
      <formula>"Towel"</formula>
    </cfRule>
    <cfRule type="cellIs" dxfId="12508" priority="18049" stopIfTrue="1" operator="equal">
      <formula>"Napkin Hs"</formula>
    </cfRule>
    <cfRule type="cellIs" dxfId="12507" priority="18052" stopIfTrue="1" operator="equal">
      <formula>"Towel"</formula>
    </cfRule>
    <cfRule type="cellIs" dxfId="12506" priority="18053" stopIfTrue="1" operator="equal">
      <formula>"Napkin Hs"</formula>
    </cfRule>
    <cfRule type="cellIs" dxfId="12505" priority="18054" stopIfTrue="1" operator="equal">
      <formula>"Towel"</formula>
    </cfRule>
    <cfRule type="cellIs" dxfId="12504" priority="18055" stopIfTrue="1" operator="equal">
      <formula>"Napkin Hs"</formula>
    </cfRule>
    <cfRule type="cellIs" dxfId="12503" priority="18058" stopIfTrue="1" operator="equal">
      <formula>"Towel"</formula>
    </cfRule>
    <cfRule type="cellIs" dxfId="12502" priority="18059" stopIfTrue="1" operator="equal">
      <formula>"Napkin Hs"</formula>
    </cfRule>
    <cfRule type="cellIs" dxfId="12501" priority="18060" stopIfTrue="1" operator="equal">
      <formula>"Towel"</formula>
    </cfRule>
    <cfRule type="cellIs" dxfId="12500" priority="18061" stopIfTrue="1" operator="equal">
      <formula>"Napkin Hs"</formula>
    </cfRule>
    <cfRule type="cellIs" dxfId="12499" priority="18066" stopIfTrue="1" operator="equal">
      <formula>"Towel"</formula>
    </cfRule>
    <cfRule type="cellIs" dxfId="12498" priority="18067" stopIfTrue="1" operator="equal">
      <formula>"Napkin Hs"</formula>
    </cfRule>
    <cfRule type="cellIs" dxfId="12497" priority="18068" stopIfTrue="1" operator="equal">
      <formula>"Towel"</formula>
    </cfRule>
    <cfRule type="cellIs" dxfId="12496" priority="18069" stopIfTrue="1" operator="equal">
      <formula>"Napkin Hs"</formula>
    </cfRule>
    <cfRule type="cellIs" dxfId="12495" priority="18072" stopIfTrue="1" operator="equal">
      <formula>"Towel"</formula>
    </cfRule>
    <cfRule type="cellIs" dxfId="12494" priority="18073" stopIfTrue="1" operator="equal">
      <formula>"Napkin Hs"</formula>
    </cfRule>
    <cfRule type="cellIs" dxfId="12493" priority="18074" stopIfTrue="1" operator="equal">
      <formula>"Towel"</formula>
    </cfRule>
    <cfRule type="cellIs" dxfId="12492" priority="18075" stopIfTrue="1" operator="equal">
      <formula>"Napkin Hs"</formula>
    </cfRule>
    <cfRule type="cellIs" dxfId="12491" priority="18076" stopIfTrue="1" operator="equal">
      <formula>"Towel"</formula>
    </cfRule>
    <cfRule type="cellIs" dxfId="12490" priority="18077" stopIfTrue="1" operator="equal">
      <formula>"Napkin Hs"</formula>
    </cfRule>
    <cfRule type="cellIs" dxfId="12489" priority="18078" stopIfTrue="1" operator="equal">
      <formula>"Towel"</formula>
    </cfRule>
    <cfRule type="cellIs" dxfId="12488" priority="18079" stopIfTrue="1" operator="equal">
      <formula>"Napkin Hs"</formula>
    </cfRule>
    <cfRule type="cellIs" dxfId="12487" priority="18082" stopIfTrue="1" operator="equal">
      <formula>"Towel"</formula>
    </cfRule>
    <cfRule type="cellIs" dxfId="12486" priority="18083" stopIfTrue="1" operator="equal">
      <formula>"Napkin Hs"</formula>
    </cfRule>
    <cfRule type="cellIs" dxfId="12485" priority="18084" stopIfTrue="1" operator="equal">
      <formula>"Towel"</formula>
    </cfRule>
    <cfRule type="cellIs" dxfId="12484" priority="18085" stopIfTrue="1" operator="equal">
      <formula>"Napkin Hs"</formula>
    </cfRule>
    <cfRule type="cellIs" dxfId="12483" priority="18090" stopIfTrue="1" operator="equal">
      <formula>"Towel"</formula>
    </cfRule>
    <cfRule type="cellIs" dxfId="12482" priority="18091" stopIfTrue="1" operator="equal">
      <formula>"Napkin Hs"</formula>
    </cfRule>
    <cfRule type="cellIs" dxfId="12481" priority="18092" stopIfTrue="1" operator="equal">
      <formula>"Towel"</formula>
    </cfRule>
    <cfRule type="cellIs" dxfId="12480" priority="18093" stopIfTrue="1" operator="equal">
      <formula>"Napkin Hs"</formula>
    </cfRule>
    <cfRule type="cellIs" dxfId="12479" priority="18096" stopIfTrue="1" operator="equal">
      <formula>"Towel"</formula>
    </cfRule>
    <cfRule type="cellIs" dxfId="12478" priority="18097" stopIfTrue="1" operator="equal">
      <formula>"Napkin Hs"</formula>
    </cfRule>
    <cfRule type="cellIs" dxfId="12477" priority="18098" stopIfTrue="1" operator="equal">
      <formula>"Towel"</formula>
    </cfRule>
    <cfRule type="cellIs" dxfId="12476" priority="18099" stopIfTrue="1" operator="equal">
      <formula>"Napkin Hs"</formula>
    </cfRule>
    <cfRule type="cellIs" dxfId="12475" priority="18100" stopIfTrue="1" operator="equal">
      <formula>"Towel"</formula>
    </cfRule>
    <cfRule type="cellIs" dxfId="12474" priority="18101" stopIfTrue="1" operator="equal">
      <formula>"Napkin Hs"</formula>
    </cfRule>
    <cfRule type="cellIs" dxfId="12473" priority="18102" stopIfTrue="1" operator="equal">
      <formula>"Towel"</formula>
    </cfRule>
    <cfRule type="cellIs" dxfId="12472" priority="18103" stopIfTrue="1" operator="equal">
      <formula>"Napkin Hs"</formula>
    </cfRule>
    <cfRule type="cellIs" dxfId="12471" priority="18108" stopIfTrue="1" operator="equal">
      <formula>"Towel"</formula>
    </cfRule>
    <cfRule type="cellIs" dxfId="12470" priority="18109" stopIfTrue="1" operator="equal">
      <formula>"Napkin Hs"</formula>
    </cfRule>
    <cfRule type="cellIs" dxfId="12469" priority="18110" stopIfTrue="1" operator="equal">
      <formula>"Towel"</formula>
    </cfRule>
    <cfRule type="cellIs" dxfId="12468" priority="18111" stopIfTrue="1" operator="equal">
      <formula>"Napkin Hs"</formula>
    </cfRule>
    <cfRule type="cellIs" dxfId="12467" priority="18114" stopIfTrue="1" operator="equal">
      <formula>"Towel"</formula>
    </cfRule>
    <cfRule type="cellIs" dxfId="12466" priority="18115" stopIfTrue="1" operator="equal">
      <formula>"Napkin Hs"</formula>
    </cfRule>
    <cfRule type="cellIs" dxfId="12465" priority="18116" stopIfTrue="1" operator="equal">
      <formula>"Towel"</formula>
    </cfRule>
    <cfRule type="cellIs" dxfId="12464" priority="18117" stopIfTrue="1" operator="equal">
      <formula>"Napkin Hs"</formula>
    </cfRule>
    <cfRule type="cellIs" dxfId="12463" priority="18118" stopIfTrue="1" operator="equal">
      <formula>"Towel"</formula>
    </cfRule>
    <cfRule type="cellIs" dxfId="12462" priority="18119" stopIfTrue="1" operator="equal">
      <formula>"Napkin Hs"</formula>
    </cfRule>
    <cfRule type="cellIs" dxfId="12461" priority="18120" stopIfTrue="1" operator="equal">
      <formula>"Towel"</formula>
    </cfRule>
    <cfRule type="cellIs" dxfId="12460" priority="18121" stopIfTrue="1" operator="equal">
      <formula>"Napkin Hs"</formula>
    </cfRule>
    <cfRule type="cellIs" dxfId="12459" priority="18126" stopIfTrue="1" operator="equal">
      <formula>"Towel"</formula>
    </cfRule>
    <cfRule type="cellIs" dxfId="12458" priority="18127" stopIfTrue="1" operator="equal">
      <formula>"Napkin Hs"</formula>
    </cfRule>
    <cfRule type="cellIs" dxfId="12457" priority="18128" stopIfTrue="1" operator="equal">
      <formula>"Towel"</formula>
    </cfRule>
    <cfRule type="cellIs" dxfId="12456" priority="18129" stopIfTrue="1" operator="equal">
      <formula>"Napkin Hs"</formula>
    </cfRule>
    <cfRule type="cellIs" dxfId="12455" priority="18132" stopIfTrue="1" operator="equal">
      <formula>"Towel"</formula>
    </cfRule>
    <cfRule type="cellIs" dxfId="12454" priority="18133" stopIfTrue="1" operator="equal">
      <formula>"Napkin Hs"</formula>
    </cfRule>
    <cfRule type="cellIs" dxfId="12453" priority="18134" stopIfTrue="1" operator="equal">
      <formula>"Towel"</formula>
    </cfRule>
    <cfRule type="cellIs" dxfId="12452" priority="18135" stopIfTrue="1" operator="equal">
      <formula>"Napkin Hs"</formula>
    </cfRule>
  </conditionalFormatting>
  <conditionalFormatting sqref="C47">
    <cfRule type="cellIs" dxfId="12451" priority="18038" stopIfTrue="1" operator="equal">
      <formula>"Napkin Hs"</formula>
    </cfRule>
  </conditionalFormatting>
  <conditionalFormatting sqref="C47">
    <cfRule type="cellIs" dxfId="12450" priority="18037" stopIfTrue="1" operator="equal">
      <formula>"Napkin Hs"</formula>
    </cfRule>
  </conditionalFormatting>
  <conditionalFormatting sqref="B47">
    <cfRule type="cellIs" dxfId="12449" priority="18036" stopIfTrue="1" operator="equal">
      <formula>"Napkin Hs"</formula>
    </cfRule>
  </conditionalFormatting>
  <conditionalFormatting sqref="C47">
    <cfRule type="cellIs" dxfId="12448" priority="18035" stopIfTrue="1" operator="equal">
      <formula>"Napkin Hs"</formula>
    </cfRule>
  </conditionalFormatting>
  <conditionalFormatting sqref="C47">
    <cfRule type="cellIs" dxfId="12447" priority="18034" stopIfTrue="1" operator="equal">
      <formula>"Napkin Hs"</formula>
    </cfRule>
  </conditionalFormatting>
  <conditionalFormatting sqref="C47">
    <cfRule type="cellIs" dxfId="12446" priority="18033" stopIfTrue="1" operator="equal">
      <formula>"Napkin Hs"</formula>
    </cfRule>
  </conditionalFormatting>
  <conditionalFormatting sqref="C47">
    <cfRule type="cellIs" dxfId="12445" priority="18032" stopIfTrue="1" operator="equal">
      <formula>"Napkin Hs"</formula>
    </cfRule>
  </conditionalFormatting>
  <conditionalFormatting sqref="B47">
    <cfRule type="cellIs" dxfId="12444" priority="18031" stopIfTrue="1" operator="equal">
      <formula>"Napkin Hs"</formula>
    </cfRule>
  </conditionalFormatting>
  <conditionalFormatting sqref="B47">
    <cfRule type="cellIs" dxfId="12443" priority="18030" stopIfTrue="1" operator="equal">
      <formula>"Napkin Hs"</formula>
    </cfRule>
  </conditionalFormatting>
  <conditionalFormatting sqref="C47">
    <cfRule type="cellIs" dxfId="12442" priority="18026" stopIfTrue="1" operator="equal">
      <formula>"Towel"</formula>
    </cfRule>
    <cfRule type="cellIs" dxfId="12441" priority="18027" stopIfTrue="1" operator="equal">
      <formula>"Napkin Hs"</formula>
    </cfRule>
  </conditionalFormatting>
  <conditionalFormatting sqref="C47">
    <cfRule type="cellIs" dxfId="12440" priority="18028" stopIfTrue="1" operator="equal">
      <formula>"Towel"</formula>
    </cfRule>
    <cfRule type="cellIs" dxfId="12439" priority="18029" stopIfTrue="1" operator="equal">
      <formula>"Napkin Hs"</formula>
    </cfRule>
  </conditionalFormatting>
  <conditionalFormatting sqref="C47">
    <cfRule type="cellIs" dxfId="12438" priority="18022" stopIfTrue="1" operator="equal">
      <formula>"Towel"</formula>
    </cfRule>
    <cfRule type="cellIs" dxfId="12437" priority="18023" stopIfTrue="1" operator="equal">
      <formula>"Napkin Hs"</formula>
    </cfRule>
  </conditionalFormatting>
  <conditionalFormatting sqref="C47">
    <cfRule type="cellIs" dxfId="12436" priority="18024" stopIfTrue="1" operator="equal">
      <formula>"Towel"</formula>
    </cfRule>
    <cfRule type="cellIs" dxfId="12435" priority="18025" stopIfTrue="1" operator="equal">
      <formula>"Napkin Hs"</formula>
    </cfRule>
  </conditionalFormatting>
  <conditionalFormatting sqref="C46">
    <cfRule type="cellIs" dxfId="12434" priority="18018" stopIfTrue="1" operator="equal">
      <formula>"Towel"</formula>
    </cfRule>
    <cfRule type="cellIs" dxfId="12433" priority="18019" stopIfTrue="1" operator="equal">
      <formula>"Napkin Hs"</formula>
    </cfRule>
  </conditionalFormatting>
  <conditionalFormatting sqref="C46">
    <cfRule type="cellIs" dxfId="12432" priority="18020" stopIfTrue="1" operator="equal">
      <formula>"Towel"</formula>
    </cfRule>
    <cfRule type="cellIs" dxfId="12431" priority="18021" stopIfTrue="1" operator="equal">
      <formula>"Napkin Hs"</formula>
    </cfRule>
  </conditionalFormatting>
  <conditionalFormatting sqref="C46">
    <cfRule type="cellIs" dxfId="12430" priority="18016" stopIfTrue="1" operator="equal">
      <formula>"Towel"</formula>
    </cfRule>
    <cfRule type="cellIs" dxfId="12429" priority="18017" stopIfTrue="1" operator="equal">
      <formula>"Napkin Hs"</formula>
    </cfRule>
  </conditionalFormatting>
  <conditionalFormatting sqref="B46">
    <cfRule type="cellIs" dxfId="12428" priority="18014" stopIfTrue="1" operator="equal">
      <formula>"Towel"</formula>
    </cfRule>
    <cfRule type="cellIs" dxfId="12427" priority="18015" stopIfTrue="1" operator="equal">
      <formula>"Napkin Hs"</formula>
    </cfRule>
  </conditionalFormatting>
  <conditionalFormatting sqref="C46">
    <cfRule type="cellIs" dxfId="12426" priority="18008" stopIfTrue="1" operator="equal">
      <formula>"Towel"</formula>
    </cfRule>
    <cfRule type="cellIs" dxfId="12425" priority="18009" stopIfTrue="1" operator="equal">
      <formula>"Napkin Hs"</formula>
    </cfRule>
  </conditionalFormatting>
  <conditionalFormatting sqref="C46">
    <cfRule type="cellIs" dxfId="12424" priority="18012" stopIfTrue="1" operator="equal">
      <formula>"Towel"</formula>
    </cfRule>
    <cfRule type="cellIs" dxfId="12423" priority="18013" stopIfTrue="1" operator="equal">
      <formula>"Napkin Hs"</formula>
    </cfRule>
  </conditionalFormatting>
  <conditionalFormatting sqref="C46">
    <cfRule type="cellIs" dxfId="12422" priority="18010" stopIfTrue="1" operator="equal">
      <formula>"Towel"</formula>
    </cfRule>
    <cfRule type="cellIs" dxfId="12421" priority="18011" stopIfTrue="1" operator="equal">
      <formula>"Napkin Hs"</formula>
    </cfRule>
  </conditionalFormatting>
  <conditionalFormatting sqref="C46">
    <cfRule type="cellIs" dxfId="12420" priority="18002" stopIfTrue="1" operator="equal">
      <formula>"Towel"</formula>
    </cfRule>
    <cfRule type="cellIs" dxfId="12419" priority="18003" stopIfTrue="1" operator="equal">
      <formula>"Napkin Hs"</formula>
    </cfRule>
  </conditionalFormatting>
  <conditionalFormatting sqref="C46">
    <cfRule type="cellIs" dxfId="12418" priority="18004" stopIfTrue="1" operator="equal">
      <formula>"Towel"</formula>
    </cfRule>
    <cfRule type="cellIs" dxfId="12417" priority="18005" stopIfTrue="1" operator="equal">
      <formula>"Napkin Hs"</formula>
    </cfRule>
  </conditionalFormatting>
  <conditionalFormatting sqref="C46">
    <cfRule type="cellIs" dxfId="12416" priority="18006" stopIfTrue="1" operator="equal">
      <formula>"Towel"</formula>
    </cfRule>
    <cfRule type="cellIs" dxfId="12415" priority="18007" stopIfTrue="1" operator="equal">
      <formula>"Napkin Hs"</formula>
    </cfRule>
  </conditionalFormatting>
  <conditionalFormatting sqref="B46:C46">
    <cfRule type="cellIs" dxfId="12414" priority="18000" stopIfTrue="1" operator="equal">
      <formula>"Towel"</formula>
    </cfRule>
    <cfRule type="cellIs" dxfId="12413" priority="18001" stopIfTrue="1" operator="equal">
      <formula>"Napkin Hs"</formula>
    </cfRule>
  </conditionalFormatting>
  <conditionalFormatting sqref="B46:C46">
    <cfRule type="cellIs" dxfId="12412" priority="17998" stopIfTrue="1" operator="equal">
      <formula>"Towel"</formula>
    </cfRule>
    <cfRule type="cellIs" dxfId="12411" priority="17999" stopIfTrue="1" operator="equal">
      <formula>"Napkin Hs"</formula>
    </cfRule>
  </conditionalFormatting>
  <conditionalFormatting sqref="B46:C46">
    <cfRule type="cellIs" dxfId="12410" priority="17974" stopIfTrue="1" operator="equal">
      <formula>"Towel"</formula>
    </cfRule>
  </conditionalFormatting>
  <conditionalFormatting sqref="B46:C46">
    <cfRule type="cellIs" dxfId="12409" priority="17975" stopIfTrue="1" operator="equal">
      <formula>"Napkin Hs"</formula>
    </cfRule>
    <cfRule type="cellIs" dxfId="12408" priority="17980" stopIfTrue="1" operator="equal">
      <formula>"Towel"</formula>
    </cfRule>
    <cfRule type="cellIs" dxfId="12407" priority="17981" stopIfTrue="1" operator="equal">
      <formula>"Napkin Hs"</formula>
    </cfRule>
    <cfRule type="cellIs" dxfId="12406" priority="17990" stopIfTrue="1" operator="equal">
      <formula>"Towel"</formula>
    </cfRule>
    <cfRule type="cellIs" dxfId="12405" priority="17991" stopIfTrue="1" operator="equal">
      <formula>"Napkin Hs"</formula>
    </cfRule>
    <cfRule type="cellIs" dxfId="12404" priority="17996" stopIfTrue="1" operator="equal">
      <formula>"Towel"</formula>
    </cfRule>
    <cfRule type="cellIs" dxfId="12403" priority="17997" stopIfTrue="1" operator="equal">
      <formula>"Napkin Hs"</formula>
    </cfRule>
  </conditionalFormatting>
  <conditionalFormatting sqref="C46">
    <cfRule type="cellIs" dxfId="12402" priority="17976" stopIfTrue="1" operator="equal">
      <formula>"Towel"</formula>
    </cfRule>
    <cfRule type="cellIs" dxfId="12401" priority="17977" stopIfTrue="1" operator="equal">
      <formula>"Napkin Hs"</formula>
    </cfRule>
    <cfRule type="cellIs" dxfId="12400" priority="17978" stopIfTrue="1" operator="equal">
      <formula>"Towel"</formula>
    </cfRule>
    <cfRule type="cellIs" dxfId="12399" priority="17979" stopIfTrue="1" operator="equal">
      <formula>"Napkin Hs"</formula>
    </cfRule>
    <cfRule type="cellIs" dxfId="12398" priority="17982" stopIfTrue="1" operator="equal">
      <formula>"Towel"</formula>
    </cfRule>
    <cfRule type="cellIs" dxfId="12397" priority="17983" stopIfTrue="1" operator="equal">
      <formula>"Napkin Hs"</formula>
    </cfRule>
    <cfRule type="cellIs" dxfId="12396" priority="17984" stopIfTrue="1" operator="equal">
      <formula>"Towel"</formula>
    </cfRule>
    <cfRule type="cellIs" dxfId="12395" priority="17985" stopIfTrue="1" operator="equal">
      <formula>"Napkin Hs"</formula>
    </cfRule>
    <cfRule type="cellIs" dxfId="12394" priority="17986" stopIfTrue="1" operator="equal">
      <formula>"Towel"</formula>
    </cfRule>
    <cfRule type="cellIs" dxfId="12393" priority="17987" stopIfTrue="1" operator="equal">
      <formula>"Napkin Hs"</formula>
    </cfRule>
    <cfRule type="cellIs" dxfId="12392" priority="17988" stopIfTrue="1" operator="equal">
      <formula>"Towel"</formula>
    </cfRule>
    <cfRule type="cellIs" dxfId="12391" priority="17989" stopIfTrue="1" operator="equal">
      <formula>"Napkin Hs"</formula>
    </cfRule>
    <cfRule type="cellIs" dxfId="12390" priority="17992" stopIfTrue="1" operator="equal">
      <formula>"Towel"</formula>
    </cfRule>
    <cfRule type="cellIs" dxfId="12389" priority="17993" stopIfTrue="1" operator="equal">
      <formula>"Napkin Hs"</formula>
    </cfRule>
    <cfRule type="cellIs" dxfId="12388" priority="17995" stopIfTrue="1" operator="equal">
      <formula>"Napkin Hs"</formula>
    </cfRule>
  </conditionalFormatting>
  <conditionalFormatting sqref="C46">
    <cfRule type="cellIs" dxfId="12387" priority="17994" stopIfTrue="1" operator="equal">
      <formula>"Towel"</formula>
    </cfRule>
  </conditionalFormatting>
  <conditionalFormatting sqref="B46:C46">
    <cfRule type="cellIs" dxfId="12386" priority="17972" stopIfTrue="1" operator="equal">
      <formula>"Towel"</formula>
    </cfRule>
    <cfRule type="cellIs" dxfId="12385" priority="17973" stopIfTrue="1" operator="equal">
      <formula>"Napkin Hs"</formula>
    </cfRule>
  </conditionalFormatting>
  <conditionalFormatting sqref="C46">
    <cfRule type="cellIs" dxfId="12384" priority="17971" stopIfTrue="1" operator="equal">
      <formula>"Napkin Hs"</formula>
    </cfRule>
  </conditionalFormatting>
  <conditionalFormatting sqref="C46">
    <cfRule type="cellIs" dxfId="12383" priority="17970" stopIfTrue="1" operator="equal">
      <formula>"Towel"</formula>
    </cfRule>
  </conditionalFormatting>
  <conditionalFormatting sqref="C46">
    <cfRule type="cellIs" dxfId="12382" priority="17968" stopIfTrue="1" operator="equal">
      <formula>"Towel"</formula>
    </cfRule>
  </conditionalFormatting>
  <conditionalFormatting sqref="C46">
    <cfRule type="cellIs" dxfId="12381" priority="17969" stopIfTrue="1" operator="equal">
      <formula>"Napkin Hs"</formula>
    </cfRule>
  </conditionalFormatting>
  <conditionalFormatting sqref="B46">
    <cfRule type="cellIs" dxfId="12380" priority="17872" stopIfTrue="1" operator="equal">
      <formula>"Napkin Hs"</formula>
    </cfRule>
  </conditionalFormatting>
  <conditionalFormatting sqref="B46:C46">
    <cfRule type="cellIs" dxfId="12379" priority="17871" stopIfTrue="1" operator="equal">
      <formula>"Towel"</formula>
    </cfRule>
  </conditionalFormatting>
  <conditionalFormatting sqref="B46:C46">
    <cfRule type="cellIs" dxfId="12378" priority="17882" stopIfTrue="1" operator="equal">
      <formula>"Towel"</formula>
    </cfRule>
    <cfRule type="cellIs" dxfId="12377" priority="17883" stopIfTrue="1" operator="equal">
      <formula>"Napkin Hs"</formula>
    </cfRule>
    <cfRule type="cellIs" dxfId="12376" priority="17888" stopIfTrue="1" operator="equal">
      <formula>"Towel"</formula>
    </cfRule>
    <cfRule type="cellIs" dxfId="12375" priority="17889" stopIfTrue="1" operator="equal">
      <formula>"Napkin Hs"</formula>
    </cfRule>
    <cfRule type="cellIs" dxfId="12374" priority="17894" stopIfTrue="1" operator="equal">
      <formula>"Towel"</formula>
    </cfRule>
    <cfRule type="cellIs" dxfId="12373" priority="17895" stopIfTrue="1" operator="equal">
      <formula>"Napkin Hs"</formula>
    </cfRule>
    <cfRule type="cellIs" dxfId="12372" priority="17896" stopIfTrue="1" operator="equal">
      <formula>"Towel"</formula>
    </cfRule>
    <cfRule type="cellIs" dxfId="12371" priority="17897" stopIfTrue="1" operator="equal">
      <formula>"Napkin Hs"</formula>
    </cfRule>
    <cfRule type="cellIs" dxfId="12370" priority="17902" stopIfTrue="1" operator="equal">
      <formula>"Towel"</formula>
    </cfRule>
    <cfRule type="cellIs" dxfId="12369" priority="17903" stopIfTrue="1" operator="equal">
      <formula>"Napkin Hs"</formula>
    </cfRule>
    <cfRule type="cellIs" dxfId="12368" priority="17912" stopIfTrue="1" operator="equal">
      <formula>"Towel"</formula>
    </cfRule>
    <cfRule type="cellIs" dxfId="12367" priority="17913" stopIfTrue="1" operator="equal">
      <formula>"Napkin Hs"</formula>
    </cfRule>
    <cfRule type="cellIs" dxfId="12366" priority="17918" stopIfTrue="1" operator="equal">
      <formula>"Towel"</formula>
    </cfRule>
    <cfRule type="cellIs" dxfId="12365" priority="17919" stopIfTrue="1" operator="equal">
      <formula>"Napkin Hs"</formula>
    </cfRule>
    <cfRule type="cellIs" dxfId="12364" priority="17920" stopIfTrue="1" operator="equal">
      <formula>"Towel"</formula>
    </cfRule>
    <cfRule type="cellIs" dxfId="12363" priority="17921" stopIfTrue="1" operator="equal">
      <formula>"Napkin Hs"</formula>
    </cfRule>
    <cfRule type="cellIs" dxfId="12362" priority="17926" stopIfTrue="1" operator="equal">
      <formula>"Towel"</formula>
    </cfRule>
    <cfRule type="cellIs" dxfId="12361" priority="17927" stopIfTrue="1" operator="equal">
      <formula>"Napkin Hs"</formula>
    </cfRule>
    <cfRule type="cellIs" dxfId="12360" priority="17936" stopIfTrue="1" operator="equal">
      <formula>"Towel"</formula>
    </cfRule>
    <cfRule type="cellIs" dxfId="12359" priority="17937" stopIfTrue="1" operator="equal">
      <formula>"Napkin Hs"</formula>
    </cfRule>
    <cfRule type="cellIs" dxfId="12358" priority="17938" stopIfTrue="1" operator="equal">
      <formula>"Towel"</formula>
    </cfRule>
    <cfRule type="cellIs" dxfId="12357" priority="17939" stopIfTrue="1" operator="equal">
      <formula>"Napkin Hs"</formula>
    </cfRule>
    <cfRule type="cellIs" dxfId="12356" priority="17944" stopIfTrue="1" operator="equal">
      <formula>"Towel"</formula>
    </cfRule>
    <cfRule type="cellIs" dxfId="12355" priority="17945" stopIfTrue="1" operator="equal">
      <formula>"Napkin Hs"</formula>
    </cfRule>
    <cfRule type="cellIs" dxfId="12354" priority="17954" stopIfTrue="1" operator="equal">
      <formula>"Towel"</formula>
    </cfRule>
    <cfRule type="cellIs" dxfId="12353" priority="17955" stopIfTrue="1" operator="equal">
      <formula>"Napkin Hs"</formula>
    </cfRule>
    <cfRule type="cellIs" dxfId="12352" priority="17956" stopIfTrue="1" operator="equal">
      <formula>"Towel"</formula>
    </cfRule>
    <cfRule type="cellIs" dxfId="12351" priority="17957" stopIfTrue="1" operator="equal">
      <formula>"Napkin Hs"</formula>
    </cfRule>
    <cfRule type="cellIs" dxfId="12350" priority="17963" stopIfTrue="1" operator="equal">
      <formula>"Napkin Hs"</formula>
    </cfRule>
  </conditionalFormatting>
  <conditionalFormatting sqref="B46:C46">
    <cfRule type="cellIs" dxfId="12349" priority="17962" stopIfTrue="1" operator="equal">
      <formula>"Towel"</formula>
    </cfRule>
  </conditionalFormatting>
  <conditionalFormatting sqref="C46">
    <cfRule type="cellIs" dxfId="12348" priority="17873" stopIfTrue="1" operator="equal">
      <formula>"Napkin Hs"</formula>
    </cfRule>
    <cfRule type="cellIs" dxfId="12347" priority="17874" stopIfTrue="1" operator="equal">
      <formula>"Towel"</formula>
    </cfRule>
    <cfRule type="cellIs" dxfId="12346" priority="17875" stopIfTrue="1" operator="equal">
      <formula>"Napkin Hs"</formula>
    </cfRule>
    <cfRule type="cellIs" dxfId="12345" priority="17876" stopIfTrue="1" operator="equal">
      <formula>"Towel"</formula>
    </cfRule>
    <cfRule type="cellIs" dxfId="12344" priority="17877" stopIfTrue="1" operator="equal">
      <formula>"Napkin Hs"</formula>
    </cfRule>
    <cfRule type="cellIs" dxfId="12343" priority="17878" stopIfTrue="1" operator="equal">
      <formula>"Towel"</formula>
    </cfRule>
    <cfRule type="cellIs" dxfId="12342" priority="17879" stopIfTrue="1" operator="equal">
      <formula>"Napkin Hs"</formula>
    </cfRule>
    <cfRule type="cellIs" dxfId="12341" priority="17880" stopIfTrue="1" operator="equal">
      <formula>"Towel"</formula>
    </cfRule>
    <cfRule type="cellIs" dxfId="12340" priority="17881" stopIfTrue="1" operator="equal">
      <formula>"Napkin Hs"</formula>
    </cfRule>
    <cfRule type="cellIs" dxfId="12339" priority="17884" stopIfTrue="1" operator="equal">
      <formula>"Towel"</formula>
    </cfRule>
    <cfRule type="cellIs" dxfId="12338" priority="17885" stopIfTrue="1" operator="equal">
      <formula>"Napkin Hs"</formula>
    </cfRule>
    <cfRule type="cellIs" dxfId="12337" priority="17886" stopIfTrue="1" operator="equal">
      <formula>"Towel"</formula>
    </cfRule>
    <cfRule type="cellIs" dxfId="12336" priority="17887" stopIfTrue="1" operator="equal">
      <formula>"Napkin Hs"</formula>
    </cfRule>
    <cfRule type="cellIs" dxfId="12335" priority="17890" stopIfTrue="1" operator="equal">
      <formula>"Towel"</formula>
    </cfRule>
    <cfRule type="cellIs" dxfId="12334" priority="17891" stopIfTrue="1" operator="equal">
      <formula>"Napkin Hs"</formula>
    </cfRule>
    <cfRule type="cellIs" dxfId="12333" priority="17892" stopIfTrue="1" operator="equal">
      <formula>"Towel"</formula>
    </cfRule>
    <cfRule type="cellIs" dxfId="12332" priority="17893" stopIfTrue="1" operator="equal">
      <formula>"Napkin Hs"</formula>
    </cfRule>
    <cfRule type="cellIs" dxfId="12331" priority="17898" stopIfTrue="1" operator="equal">
      <formula>"Towel"</formula>
    </cfRule>
    <cfRule type="cellIs" dxfId="12330" priority="17899" stopIfTrue="1" operator="equal">
      <formula>"Napkin Hs"</formula>
    </cfRule>
    <cfRule type="cellIs" dxfId="12329" priority="17900" stopIfTrue="1" operator="equal">
      <formula>"Towel"</formula>
    </cfRule>
    <cfRule type="cellIs" dxfId="12328" priority="17901" stopIfTrue="1" operator="equal">
      <formula>"Napkin Hs"</formula>
    </cfRule>
    <cfRule type="cellIs" dxfId="12327" priority="17904" stopIfTrue="1" operator="equal">
      <formula>"Towel"</formula>
    </cfRule>
    <cfRule type="cellIs" dxfId="12326" priority="17905" stopIfTrue="1" operator="equal">
      <formula>"Napkin Hs"</formula>
    </cfRule>
    <cfRule type="cellIs" dxfId="12325" priority="17906" stopIfTrue="1" operator="equal">
      <formula>"Towel"</formula>
    </cfRule>
    <cfRule type="cellIs" dxfId="12324" priority="17907" stopIfTrue="1" operator="equal">
      <formula>"Napkin Hs"</formula>
    </cfRule>
    <cfRule type="cellIs" dxfId="12323" priority="17908" stopIfTrue="1" operator="equal">
      <formula>"Towel"</formula>
    </cfRule>
    <cfRule type="cellIs" dxfId="12322" priority="17909" stopIfTrue="1" operator="equal">
      <formula>"Napkin Hs"</formula>
    </cfRule>
    <cfRule type="cellIs" dxfId="12321" priority="17910" stopIfTrue="1" operator="equal">
      <formula>"Towel"</formula>
    </cfRule>
    <cfRule type="cellIs" dxfId="12320" priority="17911" stopIfTrue="1" operator="equal">
      <formula>"Napkin Hs"</formula>
    </cfRule>
    <cfRule type="cellIs" dxfId="12319" priority="17914" stopIfTrue="1" operator="equal">
      <formula>"Towel"</formula>
    </cfRule>
    <cfRule type="cellIs" dxfId="12318" priority="17915" stopIfTrue="1" operator="equal">
      <formula>"Napkin Hs"</formula>
    </cfRule>
    <cfRule type="cellIs" dxfId="12317" priority="17916" stopIfTrue="1" operator="equal">
      <formula>"Towel"</formula>
    </cfRule>
    <cfRule type="cellIs" dxfId="12316" priority="17917" stopIfTrue="1" operator="equal">
      <formula>"Napkin Hs"</formula>
    </cfRule>
    <cfRule type="cellIs" dxfId="12315" priority="17922" stopIfTrue="1" operator="equal">
      <formula>"Towel"</formula>
    </cfRule>
    <cfRule type="cellIs" dxfId="12314" priority="17923" stopIfTrue="1" operator="equal">
      <formula>"Napkin Hs"</formula>
    </cfRule>
    <cfRule type="cellIs" dxfId="12313" priority="17924" stopIfTrue="1" operator="equal">
      <formula>"Towel"</formula>
    </cfRule>
    <cfRule type="cellIs" dxfId="12312" priority="17925" stopIfTrue="1" operator="equal">
      <formula>"Napkin Hs"</formula>
    </cfRule>
    <cfRule type="cellIs" dxfId="12311" priority="17928" stopIfTrue="1" operator="equal">
      <formula>"Towel"</formula>
    </cfRule>
    <cfRule type="cellIs" dxfId="12310" priority="17929" stopIfTrue="1" operator="equal">
      <formula>"Napkin Hs"</formula>
    </cfRule>
    <cfRule type="cellIs" dxfId="12309" priority="17930" stopIfTrue="1" operator="equal">
      <formula>"Towel"</formula>
    </cfRule>
    <cfRule type="cellIs" dxfId="12308" priority="17931" stopIfTrue="1" operator="equal">
      <formula>"Napkin Hs"</formula>
    </cfRule>
    <cfRule type="cellIs" dxfId="12307" priority="17932" stopIfTrue="1" operator="equal">
      <formula>"Towel"</formula>
    </cfRule>
    <cfRule type="cellIs" dxfId="12306" priority="17933" stopIfTrue="1" operator="equal">
      <formula>"Napkin Hs"</formula>
    </cfRule>
    <cfRule type="cellIs" dxfId="12305" priority="17934" stopIfTrue="1" operator="equal">
      <formula>"Towel"</formula>
    </cfRule>
    <cfRule type="cellIs" dxfId="12304" priority="17935" stopIfTrue="1" operator="equal">
      <formula>"Napkin Hs"</formula>
    </cfRule>
    <cfRule type="cellIs" dxfId="12303" priority="17940" stopIfTrue="1" operator="equal">
      <formula>"Towel"</formula>
    </cfRule>
    <cfRule type="cellIs" dxfId="12302" priority="17941" stopIfTrue="1" operator="equal">
      <formula>"Napkin Hs"</formula>
    </cfRule>
    <cfRule type="cellIs" dxfId="12301" priority="17942" stopIfTrue="1" operator="equal">
      <formula>"Towel"</formula>
    </cfRule>
    <cfRule type="cellIs" dxfId="12300" priority="17943" stopIfTrue="1" operator="equal">
      <formula>"Napkin Hs"</formula>
    </cfRule>
    <cfRule type="cellIs" dxfId="12299" priority="17946" stopIfTrue="1" operator="equal">
      <formula>"Towel"</formula>
    </cfRule>
    <cfRule type="cellIs" dxfId="12298" priority="17947" stopIfTrue="1" operator="equal">
      <formula>"Napkin Hs"</formula>
    </cfRule>
    <cfRule type="cellIs" dxfId="12297" priority="17948" stopIfTrue="1" operator="equal">
      <formula>"Towel"</formula>
    </cfRule>
    <cfRule type="cellIs" dxfId="12296" priority="17949" stopIfTrue="1" operator="equal">
      <formula>"Napkin Hs"</formula>
    </cfRule>
    <cfRule type="cellIs" dxfId="12295" priority="17950" stopIfTrue="1" operator="equal">
      <formula>"Towel"</formula>
    </cfRule>
    <cfRule type="cellIs" dxfId="12294" priority="17951" stopIfTrue="1" operator="equal">
      <formula>"Napkin Hs"</formula>
    </cfRule>
    <cfRule type="cellIs" dxfId="12293" priority="17952" stopIfTrue="1" operator="equal">
      <formula>"Towel"</formula>
    </cfRule>
    <cfRule type="cellIs" dxfId="12292" priority="17953" stopIfTrue="1" operator="equal">
      <formula>"Napkin Hs"</formula>
    </cfRule>
    <cfRule type="cellIs" dxfId="12291" priority="17958" stopIfTrue="1" operator="equal">
      <formula>"Towel"</formula>
    </cfRule>
    <cfRule type="cellIs" dxfId="12290" priority="17959" stopIfTrue="1" operator="equal">
      <formula>"Napkin Hs"</formula>
    </cfRule>
    <cfRule type="cellIs" dxfId="12289" priority="17960" stopIfTrue="1" operator="equal">
      <formula>"Towel"</formula>
    </cfRule>
    <cfRule type="cellIs" dxfId="12288" priority="17961" stopIfTrue="1" operator="equal">
      <formula>"Napkin Hs"</formula>
    </cfRule>
    <cfRule type="cellIs" dxfId="12287" priority="17964" stopIfTrue="1" operator="equal">
      <formula>"Towel"</formula>
    </cfRule>
    <cfRule type="cellIs" dxfId="12286" priority="17965" stopIfTrue="1" operator="equal">
      <formula>"Napkin Hs"</formula>
    </cfRule>
    <cfRule type="cellIs" dxfId="12285" priority="17966" stopIfTrue="1" operator="equal">
      <formula>"Towel"</formula>
    </cfRule>
    <cfRule type="cellIs" dxfId="12284" priority="17967" stopIfTrue="1" operator="equal">
      <formula>"Napkin Hs"</formula>
    </cfRule>
  </conditionalFormatting>
  <conditionalFormatting sqref="C46">
    <cfRule type="cellIs" dxfId="12283" priority="17870" stopIfTrue="1" operator="equal">
      <formula>"Napkin Hs"</formula>
    </cfRule>
  </conditionalFormatting>
  <conditionalFormatting sqref="C46">
    <cfRule type="cellIs" dxfId="12282" priority="17869" stopIfTrue="1" operator="equal">
      <formula>"Napkin Hs"</formula>
    </cfRule>
  </conditionalFormatting>
  <conditionalFormatting sqref="B46">
    <cfRule type="cellIs" dxfId="12281" priority="17868" stopIfTrue="1" operator="equal">
      <formula>"Napkin Hs"</formula>
    </cfRule>
  </conditionalFormatting>
  <conditionalFormatting sqref="C46">
    <cfRule type="cellIs" dxfId="12280" priority="17867" stopIfTrue="1" operator="equal">
      <formula>"Napkin Hs"</formula>
    </cfRule>
  </conditionalFormatting>
  <conditionalFormatting sqref="C46">
    <cfRule type="cellIs" dxfId="12279" priority="17866" stopIfTrue="1" operator="equal">
      <formula>"Napkin Hs"</formula>
    </cfRule>
  </conditionalFormatting>
  <conditionalFormatting sqref="C46">
    <cfRule type="cellIs" dxfId="12278" priority="17865" stopIfTrue="1" operator="equal">
      <formula>"Napkin Hs"</formula>
    </cfRule>
  </conditionalFormatting>
  <conditionalFormatting sqref="C46">
    <cfRule type="cellIs" dxfId="12277" priority="17864" stopIfTrue="1" operator="equal">
      <formula>"Napkin Hs"</formula>
    </cfRule>
  </conditionalFormatting>
  <conditionalFormatting sqref="B46">
    <cfRule type="cellIs" dxfId="12276" priority="17863" stopIfTrue="1" operator="equal">
      <formula>"Napkin Hs"</formula>
    </cfRule>
  </conditionalFormatting>
  <conditionalFormatting sqref="B46">
    <cfRule type="cellIs" dxfId="12275" priority="17862" stopIfTrue="1" operator="equal">
      <formula>"Napkin Hs"</formula>
    </cfRule>
  </conditionalFormatting>
  <conditionalFormatting sqref="C46">
    <cfRule type="cellIs" dxfId="12274" priority="17858" stopIfTrue="1" operator="equal">
      <formula>"Towel"</formula>
    </cfRule>
    <cfRule type="cellIs" dxfId="12273" priority="17859" stopIfTrue="1" operator="equal">
      <formula>"Napkin Hs"</formula>
    </cfRule>
  </conditionalFormatting>
  <conditionalFormatting sqref="C46">
    <cfRule type="cellIs" dxfId="12272" priority="17860" stopIfTrue="1" operator="equal">
      <formula>"Towel"</formula>
    </cfRule>
    <cfRule type="cellIs" dxfId="12271" priority="17861" stopIfTrue="1" operator="equal">
      <formula>"Napkin Hs"</formula>
    </cfRule>
  </conditionalFormatting>
  <conditionalFormatting sqref="C46">
    <cfRule type="cellIs" dxfId="12270" priority="17854" stopIfTrue="1" operator="equal">
      <formula>"Towel"</formula>
    </cfRule>
    <cfRule type="cellIs" dxfId="12269" priority="17855" stopIfTrue="1" operator="equal">
      <formula>"Napkin Hs"</formula>
    </cfRule>
  </conditionalFormatting>
  <conditionalFormatting sqref="C46">
    <cfRule type="cellIs" dxfId="12268" priority="17856" stopIfTrue="1" operator="equal">
      <formula>"Towel"</formula>
    </cfRule>
    <cfRule type="cellIs" dxfId="12267" priority="17857" stopIfTrue="1" operator="equal">
      <formula>"Napkin Hs"</formula>
    </cfRule>
  </conditionalFormatting>
  <conditionalFormatting sqref="C53:C55">
    <cfRule type="cellIs" dxfId="12266" priority="17850" stopIfTrue="1" operator="equal">
      <formula>"Towel"</formula>
    </cfRule>
    <cfRule type="cellIs" dxfId="12265" priority="17851" stopIfTrue="1" operator="equal">
      <formula>"Napkin Hs"</formula>
    </cfRule>
  </conditionalFormatting>
  <conditionalFormatting sqref="C53:C55">
    <cfRule type="cellIs" dxfId="12264" priority="17852" stopIfTrue="1" operator="equal">
      <formula>"Towel"</formula>
    </cfRule>
    <cfRule type="cellIs" dxfId="12263" priority="17853" stopIfTrue="1" operator="equal">
      <formula>"Napkin Hs"</formula>
    </cfRule>
  </conditionalFormatting>
  <conditionalFormatting sqref="C53:C55">
    <cfRule type="cellIs" dxfId="12262" priority="17848" stopIfTrue="1" operator="equal">
      <formula>"Towel"</formula>
    </cfRule>
    <cfRule type="cellIs" dxfId="12261" priority="17849" stopIfTrue="1" operator="equal">
      <formula>"Napkin Hs"</formula>
    </cfRule>
  </conditionalFormatting>
  <conditionalFormatting sqref="B53:B55">
    <cfRule type="cellIs" dxfId="12260" priority="17846" stopIfTrue="1" operator="equal">
      <formula>"Towel"</formula>
    </cfRule>
    <cfRule type="cellIs" dxfId="12259" priority="17847" stopIfTrue="1" operator="equal">
      <formula>"Napkin Hs"</formula>
    </cfRule>
  </conditionalFormatting>
  <conditionalFormatting sqref="C53:C55">
    <cfRule type="cellIs" dxfId="12258" priority="17840" stopIfTrue="1" operator="equal">
      <formula>"Towel"</formula>
    </cfRule>
    <cfRule type="cellIs" dxfId="12257" priority="17841" stopIfTrue="1" operator="equal">
      <formula>"Napkin Hs"</formula>
    </cfRule>
  </conditionalFormatting>
  <conditionalFormatting sqref="C53:C55">
    <cfRule type="cellIs" dxfId="12256" priority="17844" stopIfTrue="1" operator="equal">
      <formula>"Towel"</formula>
    </cfRule>
    <cfRule type="cellIs" dxfId="12255" priority="17845" stopIfTrue="1" operator="equal">
      <formula>"Napkin Hs"</formula>
    </cfRule>
  </conditionalFormatting>
  <conditionalFormatting sqref="C53:C55">
    <cfRule type="cellIs" dxfId="12254" priority="17842" stopIfTrue="1" operator="equal">
      <formula>"Towel"</formula>
    </cfRule>
    <cfRule type="cellIs" dxfId="12253" priority="17843" stopIfTrue="1" operator="equal">
      <formula>"Napkin Hs"</formula>
    </cfRule>
  </conditionalFormatting>
  <conditionalFormatting sqref="C53:C55">
    <cfRule type="cellIs" dxfId="12252" priority="17834" stopIfTrue="1" operator="equal">
      <formula>"Towel"</formula>
    </cfRule>
    <cfRule type="cellIs" dxfId="12251" priority="17835" stopIfTrue="1" operator="equal">
      <formula>"Napkin Hs"</formula>
    </cfRule>
  </conditionalFormatting>
  <conditionalFormatting sqref="C53:C55">
    <cfRule type="cellIs" dxfId="12250" priority="17836" stopIfTrue="1" operator="equal">
      <formula>"Towel"</formula>
    </cfRule>
    <cfRule type="cellIs" dxfId="12249" priority="17837" stopIfTrue="1" operator="equal">
      <formula>"Napkin Hs"</formula>
    </cfRule>
  </conditionalFormatting>
  <conditionalFormatting sqref="C53:C55">
    <cfRule type="cellIs" dxfId="12248" priority="17838" stopIfTrue="1" operator="equal">
      <formula>"Towel"</formula>
    </cfRule>
    <cfRule type="cellIs" dxfId="12247" priority="17839" stopIfTrue="1" operator="equal">
      <formula>"Napkin Hs"</formula>
    </cfRule>
  </conditionalFormatting>
  <conditionalFormatting sqref="B53:C55">
    <cfRule type="cellIs" dxfId="12246" priority="17832" stopIfTrue="1" operator="equal">
      <formula>"Towel"</formula>
    </cfRule>
    <cfRule type="cellIs" dxfId="12245" priority="17833" stopIfTrue="1" operator="equal">
      <formula>"Napkin Hs"</formula>
    </cfRule>
  </conditionalFormatting>
  <conditionalFormatting sqref="B53:C55">
    <cfRule type="cellIs" dxfId="12244" priority="17830" stopIfTrue="1" operator="equal">
      <formula>"Towel"</formula>
    </cfRule>
    <cfRule type="cellIs" dxfId="12243" priority="17831" stopIfTrue="1" operator="equal">
      <formula>"Napkin Hs"</formula>
    </cfRule>
  </conditionalFormatting>
  <conditionalFormatting sqref="B53:C55">
    <cfRule type="cellIs" dxfId="12242" priority="17806" stopIfTrue="1" operator="equal">
      <formula>"Towel"</formula>
    </cfRule>
  </conditionalFormatting>
  <conditionalFormatting sqref="B53:C55">
    <cfRule type="cellIs" dxfId="12241" priority="17807" stopIfTrue="1" operator="equal">
      <formula>"Napkin Hs"</formula>
    </cfRule>
    <cfRule type="cellIs" dxfId="12240" priority="17812" stopIfTrue="1" operator="equal">
      <formula>"Towel"</formula>
    </cfRule>
    <cfRule type="cellIs" dxfId="12239" priority="17813" stopIfTrue="1" operator="equal">
      <formula>"Napkin Hs"</formula>
    </cfRule>
    <cfRule type="cellIs" dxfId="12238" priority="17822" stopIfTrue="1" operator="equal">
      <formula>"Towel"</formula>
    </cfRule>
    <cfRule type="cellIs" dxfId="12237" priority="17823" stopIfTrue="1" operator="equal">
      <formula>"Napkin Hs"</formula>
    </cfRule>
    <cfRule type="cellIs" dxfId="12236" priority="17828" stopIfTrue="1" operator="equal">
      <formula>"Towel"</formula>
    </cfRule>
    <cfRule type="cellIs" dxfId="12235" priority="17829" stopIfTrue="1" operator="equal">
      <formula>"Napkin Hs"</formula>
    </cfRule>
  </conditionalFormatting>
  <conditionalFormatting sqref="C53:C55">
    <cfRule type="cellIs" dxfId="12234" priority="17808" stopIfTrue="1" operator="equal">
      <formula>"Towel"</formula>
    </cfRule>
    <cfRule type="cellIs" dxfId="12233" priority="17809" stopIfTrue="1" operator="equal">
      <formula>"Napkin Hs"</formula>
    </cfRule>
    <cfRule type="cellIs" dxfId="12232" priority="17810" stopIfTrue="1" operator="equal">
      <formula>"Towel"</formula>
    </cfRule>
    <cfRule type="cellIs" dxfId="12231" priority="17811" stopIfTrue="1" operator="equal">
      <formula>"Napkin Hs"</formula>
    </cfRule>
    <cfRule type="cellIs" dxfId="12230" priority="17814" stopIfTrue="1" operator="equal">
      <formula>"Towel"</formula>
    </cfRule>
    <cfRule type="cellIs" dxfId="12229" priority="17815" stopIfTrue="1" operator="equal">
      <formula>"Napkin Hs"</formula>
    </cfRule>
    <cfRule type="cellIs" dxfId="12228" priority="17816" stopIfTrue="1" operator="equal">
      <formula>"Towel"</formula>
    </cfRule>
    <cfRule type="cellIs" dxfId="12227" priority="17817" stopIfTrue="1" operator="equal">
      <formula>"Napkin Hs"</formula>
    </cfRule>
    <cfRule type="cellIs" dxfId="12226" priority="17818" stopIfTrue="1" operator="equal">
      <formula>"Towel"</formula>
    </cfRule>
    <cfRule type="cellIs" dxfId="12225" priority="17819" stopIfTrue="1" operator="equal">
      <formula>"Napkin Hs"</formula>
    </cfRule>
    <cfRule type="cellIs" dxfId="12224" priority="17820" stopIfTrue="1" operator="equal">
      <formula>"Towel"</formula>
    </cfRule>
    <cfRule type="cellIs" dxfId="12223" priority="17821" stopIfTrue="1" operator="equal">
      <formula>"Napkin Hs"</formula>
    </cfRule>
    <cfRule type="cellIs" dxfId="12222" priority="17824" stopIfTrue="1" operator="equal">
      <formula>"Towel"</formula>
    </cfRule>
    <cfRule type="cellIs" dxfId="12221" priority="17825" stopIfTrue="1" operator="equal">
      <formula>"Napkin Hs"</formula>
    </cfRule>
    <cfRule type="cellIs" dxfId="12220" priority="17827" stopIfTrue="1" operator="equal">
      <formula>"Napkin Hs"</formula>
    </cfRule>
  </conditionalFormatting>
  <conditionalFormatting sqref="C53:C55">
    <cfRule type="cellIs" dxfId="12219" priority="17826" stopIfTrue="1" operator="equal">
      <formula>"Towel"</formula>
    </cfRule>
  </conditionalFormatting>
  <conditionalFormatting sqref="B53:C55">
    <cfRule type="cellIs" dxfId="12218" priority="17804" stopIfTrue="1" operator="equal">
      <formula>"Towel"</formula>
    </cfRule>
    <cfRule type="cellIs" dxfId="12217" priority="17805" stopIfTrue="1" operator="equal">
      <formula>"Napkin Hs"</formula>
    </cfRule>
  </conditionalFormatting>
  <conditionalFormatting sqref="C53:C55">
    <cfRule type="cellIs" dxfId="12216" priority="17803" stopIfTrue="1" operator="equal">
      <formula>"Napkin Hs"</formula>
    </cfRule>
  </conditionalFormatting>
  <conditionalFormatting sqref="C53:C55">
    <cfRule type="cellIs" dxfId="12215" priority="17802" stopIfTrue="1" operator="equal">
      <formula>"Towel"</formula>
    </cfRule>
  </conditionalFormatting>
  <conditionalFormatting sqref="C53:C55">
    <cfRule type="cellIs" dxfId="12214" priority="17800" stopIfTrue="1" operator="equal">
      <formula>"Towel"</formula>
    </cfRule>
  </conditionalFormatting>
  <conditionalFormatting sqref="C53:C55">
    <cfRule type="cellIs" dxfId="12213" priority="17801" stopIfTrue="1" operator="equal">
      <formula>"Napkin Hs"</formula>
    </cfRule>
  </conditionalFormatting>
  <conditionalFormatting sqref="B53:B55">
    <cfRule type="cellIs" dxfId="12212" priority="17704" stopIfTrue="1" operator="equal">
      <formula>"Napkin Hs"</formula>
    </cfRule>
  </conditionalFormatting>
  <conditionalFormatting sqref="B53:C55">
    <cfRule type="cellIs" dxfId="12211" priority="17703" stopIfTrue="1" operator="equal">
      <formula>"Towel"</formula>
    </cfRule>
  </conditionalFormatting>
  <conditionalFormatting sqref="B53:C55">
    <cfRule type="cellIs" dxfId="12210" priority="17714" stopIfTrue="1" operator="equal">
      <formula>"Towel"</formula>
    </cfRule>
    <cfRule type="cellIs" dxfId="12209" priority="17715" stopIfTrue="1" operator="equal">
      <formula>"Napkin Hs"</formula>
    </cfRule>
    <cfRule type="cellIs" dxfId="12208" priority="17720" stopIfTrue="1" operator="equal">
      <formula>"Towel"</formula>
    </cfRule>
    <cfRule type="cellIs" dxfId="12207" priority="17721" stopIfTrue="1" operator="equal">
      <formula>"Napkin Hs"</formula>
    </cfRule>
    <cfRule type="cellIs" dxfId="12206" priority="17726" stopIfTrue="1" operator="equal">
      <formula>"Towel"</formula>
    </cfRule>
    <cfRule type="cellIs" dxfId="12205" priority="17727" stopIfTrue="1" operator="equal">
      <formula>"Napkin Hs"</formula>
    </cfRule>
    <cfRule type="cellIs" dxfId="12204" priority="17728" stopIfTrue="1" operator="equal">
      <formula>"Towel"</formula>
    </cfRule>
    <cfRule type="cellIs" dxfId="12203" priority="17729" stopIfTrue="1" operator="equal">
      <formula>"Napkin Hs"</formula>
    </cfRule>
    <cfRule type="cellIs" dxfId="12202" priority="17734" stopIfTrue="1" operator="equal">
      <formula>"Towel"</formula>
    </cfRule>
    <cfRule type="cellIs" dxfId="12201" priority="17735" stopIfTrue="1" operator="equal">
      <formula>"Napkin Hs"</formula>
    </cfRule>
    <cfRule type="cellIs" dxfId="12200" priority="17744" stopIfTrue="1" operator="equal">
      <formula>"Towel"</formula>
    </cfRule>
    <cfRule type="cellIs" dxfId="12199" priority="17745" stopIfTrue="1" operator="equal">
      <formula>"Napkin Hs"</formula>
    </cfRule>
    <cfRule type="cellIs" dxfId="12198" priority="17750" stopIfTrue="1" operator="equal">
      <formula>"Towel"</formula>
    </cfRule>
    <cfRule type="cellIs" dxfId="12197" priority="17751" stopIfTrue="1" operator="equal">
      <formula>"Napkin Hs"</formula>
    </cfRule>
    <cfRule type="cellIs" dxfId="12196" priority="17752" stopIfTrue="1" operator="equal">
      <formula>"Towel"</formula>
    </cfRule>
    <cfRule type="cellIs" dxfId="12195" priority="17753" stopIfTrue="1" operator="equal">
      <formula>"Napkin Hs"</formula>
    </cfRule>
    <cfRule type="cellIs" dxfId="12194" priority="17758" stopIfTrue="1" operator="equal">
      <formula>"Towel"</formula>
    </cfRule>
    <cfRule type="cellIs" dxfId="12193" priority="17759" stopIfTrue="1" operator="equal">
      <formula>"Napkin Hs"</formula>
    </cfRule>
    <cfRule type="cellIs" dxfId="12192" priority="17768" stopIfTrue="1" operator="equal">
      <formula>"Towel"</formula>
    </cfRule>
    <cfRule type="cellIs" dxfId="12191" priority="17769" stopIfTrue="1" operator="equal">
      <formula>"Napkin Hs"</formula>
    </cfRule>
    <cfRule type="cellIs" dxfId="12190" priority="17770" stopIfTrue="1" operator="equal">
      <formula>"Towel"</formula>
    </cfRule>
    <cfRule type="cellIs" dxfId="12189" priority="17771" stopIfTrue="1" operator="equal">
      <formula>"Napkin Hs"</formula>
    </cfRule>
    <cfRule type="cellIs" dxfId="12188" priority="17776" stopIfTrue="1" operator="equal">
      <formula>"Towel"</formula>
    </cfRule>
    <cfRule type="cellIs" dxfId="12187" priority="17777" stopIfTrue="1" operator="equal">
      <formula>"Napkin Hs"</formula>
    </cfRule>
    <cfRule type="cellIs" dxfId="12186" priority="17786" stopIfTrue="1" operator="equal">
      <formula>"Towel"</formula>
    </cfRule>
    <cfRule type="cellIs" dxfId="12185" priority="17787" stopIfTrue="1" operator="equal">
      <formula>"Napkin Hs"</formula>
    </cfRule>
    <cfRule type="cellIs" dxfId="12184" priority="17788" stopIfTrue="1" operator="equal">
      <formula>"Towel"</formula>
    </cfRule>
    <cfRule type="cellIs" dxfId="12183" priority="17789" stopIfTrue="1" operator="equal">
      <formula>"Napkin Hs"</formula>
    </cfRule>
    <cfRule type="cellIs" dxfId="12182" priority="17795" stopIfTrue="1" operator="equal">
      <formula>"Napkin Hs"</formula>
    </cfRule>
  </conditionalFormatting>
  <conditionalFormatting sqref="B53:C55">
    <cfRule type="cellIs" dxfId="12181" priority="17794" stopIfTrue="1" operator="equal">
      <formula>"Towel"</formula>
    </cfRule>
  </conditionalFormatting>
  <conditionalFormatting sqref="C53:C55">
    <cfRule type="cellIs" dxfId="12180" priority="17705" stopIfTrue="1" operator="equal">
      <formula>"Napkin Hs"</formula>
    </cfRule>
    <cfRule type="cellIs" dxfId="12179" priority="17706" stopIfTrue="1" operator="equal">
      <formula>"Towel"</formula>
    </cfRule>
    <cfRule type="cellIs" dxfId="12178" priority="17707" stopIfTrue="1" operator="equal">
      <formula>"Napkin Hs"</formula>
    </cfRule>
    <cfRule type="cellIs" dxfId="12177" priority="17708" stopIfTrue="1" operator="equal">
      <formula>"Towel"</formula>
    </cfRule>
    <cfRule type="cellIs" dxfId="12176" priority="17709" stopIfTrue="1" operator="equal">
      <formula>"Napkin Hs"</formula>
    </cfRule>
    <cfRule type="cellIs" dxfId="12175" priority="17710" stopIfTrue="1" operator="equal">
      <formula>"Towel"</formula>
    </cfRule>
    <cfRule type="cellIs" dxfId="12174" priority="17711" stopIfTrue="1" operator="equal">
      <formula>"Napkin Hs"</formula>
    </cfRule>
    <cfRule type="cellIs" dxfId="12173" priority="17712" stopIfTrue="1" operator="equal">
      <formula>"Towel"</formula>
    </cfRule>
    <cfRule type="cellIs" dxfId="12172" priority="17713" stopIfTrue="1" operator="equal">
      <formula>"Napkin Hs"</formula>
    </cfRule>
    <cfRule type="cellIs" dxfId="12171" priority="17716" stopIfTrue="1" operator="equal">
      <formula>"Towel"</formula>
    </cfRule>
    <cfRule type="cellIs" dxfId="12170" priority="17717" stopIfTrue="1" operator="equal">
      <formula>"Napkin Hs"</formula>
    </cfRule>
    <cfRule type="cellIs" dxfId="12169" priority="17718" stopIfTrue="1" operator="equal">
      <formula>"Towel"</formula>
    </cfRule>
    <cfRule type="cellIs" dxfId="12168" priority="17719" stopIfTrue="1" operator="equal">
      <formula>"Napkin Hs"</formula>
    </cfRule>
    <cfRule type="cellIs" dxfId="12167" priority="17722" stopIfTrue="1" operator="equal">
      <formula>"Towel"</formula>
    </cfRule>
    <cfRule type="cellIs" dxfId="12166" priority="17723" stopIfTrue="1" operator="equal">
      <formula>"Napkin Hs"</formula>
    </cfRule>
    <cfRule type="cellIs" dxfId="12165" priority="17724" stopIfTrue="1" operator="equal">
      <formula>"Towel"</formula>
    </cfRule>
    <cfRule type="cellIs" dxfId="12164" priority="17725" stopIfTrue="1" operator="equal">
      <formula>"Napkin Hs"</formula>
    </cfRule>
    <cfRule type="cellIs" dxfId="12163" priority="17730" stopIfTrue="1" operator="equal">
      <formula>"Towel"</formula>
    </cfRule>
    <cfRule type="cellIs" dxfId="12162" priority="17731" stopIfTrue="1" operator="equal">
      <formula>"Napkin Hs"</formula>
    </cfRule>
    <cfRule type="cellIs" dxfId="12161" priority="17732" stopIfTrue="1" operator="equal">
      <formula>"Towel"</formula>
    </cfRule>
    <cfRule type="cellIs" dxfId="12160" priority="17733" stopIfTrue="1" operator="equal">
      <formula>"Napkin Hs"</formula>
    </cfRule>
    <cfRule type="cellIs" dxfId="12159" priority="17736" stopIfTrue="1" operator="equal">
      <formula>"Towel"</formula>
    </cfRule>
    <cfRule type="cellIs" dxfId="12158" priority="17737" stopIfTrue="1" operator="equal">
      <formula>"Napkin Hs"</formula>
    </cfRule>
    <cfRule type="cellIs" dxfId="12157" priority="17738" stopIfTrue="1" operator="equal">
      <formula>"Towel"</formula>
    </cfRule>
    <cfRule type="cellIs" dxfId="12156" priority="17739" stopIfTrue="1" operator="equal">
      <formula>"Napkin Hs"</formula>
    </cfRule>
    <cfRule type="cellIs" dxfId="12155" priority="17740" stopIfTrue="1" operator="equal">
      <formula>"Towel"</formula>
    </cfRule>
    <cfRule type="cellIs" dxfId="12154" priority="17741" stopIfTrue="1" operator="equal">
      <formula>"Napkin Hs"</formula>
    </cfRule>
    <cfRule type="cellIs" dxfId="12153" priority="17742" stopIfTrue="1" operator="equal">
      <formula>"Towel"</formula>
    </cfRule>
    <cfRule type="cellIs" dxfId="12152" priority="17743" stopIfTrue="1" operator="equal">
      <formula>"Napkin Hs"</formula>
    </cfRule>
    <cfRule type="cellIs" dxfId="12151" priority="17746" stopIfTrue="1" operator="equal">
      <formula>"Towel"</formula>
    </cfRule>
    <cfRule type="cellIs" dxfId="12150" priority="17747" stopIfTrue="1" operator="equal">
      <formula>"Napkin Hs"</formula>
    </cfRule>
    <cfRule type="cellIs" dxfId="12149" priority="17748" stopIfTrue="1" operator="equal">
      <formula>"Towel"</formula>
    </cfRule>
    <cfRule type="cellIs" dxfId="12148" priority="17749" stopIfTrue="1" operator="equal">
      <formula>"Napkin Hs"</formula>
    </cfRule>
    <cfRule type="cellIs" dxfId="12147" priority="17754" stopIfTrue="1" operator="equal">
      <formula>"Towel"</formula>
    </cfRule>
    <cfRule type="cellIs" dxfId="12146" priority="17755" stopIfTrue="1" operator="equal">
      <formula>"Napkin Hs"</formula>
    </cfRule>
    <cfRule type="cellIs" dxfId="12145" priority="17756" stopIfTrue="1" operator="equal">
      <formula>"Towel"</formula>
    </cfRule>
    <cfRule type="cellIs" dxfId="12144" priority="17757" stopIfTrue="1" operator="equal">
      <formula>"Napkin Hs"</formula>
    </cfRule>
    <cfRule type="cellIs" dxfId="12143" priority="17760" stopIfTrue="1" operator="equal">
      <formula>"Towel"</formula>
    </cfRule>
    <cfRule type="cellIs" dxfId="12142" priority="17761" stopIfTrue="1" operator="equal">
      <formula>"Napkin Hs"</formula>
    </cfRule>
    <cfRule type="cellIs" dxfId="12141" priority="17762" stopIfTrue="1" operator="equal">
      <formula>"Towel"</formula>
    </cfRule>
    <cfRule type="cellIs" dxfId="12140" priority="17763" stopIfTrue="1" operator="equal">
      <formula>"Napkin Hs"</formula>
    </cfRule>
    <cfRule type="cellIs" dxfId="12139" priority="17764" stopIfTrue="1" operator="equal">
      <formula>"Towel"</formula>
    </cfRule>
    <cfRule type="cellIs" dxfId="12138" priority="17765" stopIfTrue="1" operator="equal">
      <formula>"Napkin Hs"</formula>
    </cfRule>
    <cfRule type="cellIs" dxfId="12137" priority="17766" stopIfTrue="1" operator="equal">
      <formula>"Towel"</formula>
    </cfRule>
    <cfRule type="cellIs" dxfId="12136" priority="17767" stopIfTrue="1" operator="equal">
      <formula>"Napkin Hs"</formula>
    </cfRule>
    <cfRule type="cellIs" dxfId="12135" priority="17772" stopIfTrue="1" operator="equal">
      <formula>"Towel"</formula>
    </cfRule>
    <cfRule type="cellIs" dxfId="12134" priority="17773" stopIfTrue="1" operator="equal">
      <formula>"Napkin Hs"</formula>
    </cfRule>
    <cfRule type="cellIs" dxfId="12133" priority="17774" stopIfTrue="1" operator="equal">
      <formula>"Towel"</formula>
    </cfRule>
    <cfRule type="cellIs" dxfId="12132" priority="17775" stopIfTrue="1" operator="equal">
      <formula>"Napkin Hs"</formula>
    </cfRule>
    <cfRule type="cellIs" dxfId="12131" priority="17778" stopIfTrue="1" operator="equal">
      <formula>"Towel"</formula>
    </cfRule>
    <cfRule type="cellIs" dxfId="12130" priority="17779" stopIfTrue="1" operator="equal">
      <formula>"Napkin Hs"</formula>
    </cfRule>
    <cfRule type="cellIs" dxfId="12129" priority="17780" stopIfTrue="1" operator="equal">
      <formula>"Towel"</formula>
    </cfRule>
    <cfRule type="cellIs" dxfId="12128" priority="17781" stopIfTrue="1" operator="equal">
      <formula>"Napkin Hs"</formula>
    </cfRule>
    <cfRule type="cellIs" dxfId="12127" priority="17782" stopIfTrue="1" operator="equal">
      <formula>"Towel"</formula>
    </cfRule>
    <cfRule type="cellIs" dxfId="12126" priority="17783" stopIfTrue="1" operator="equal">
      <formula>"Napkin Hs"</formula>
    </cfRule>
    <cfRule type="cellIs" dxfId="12125" priority="17784" stopIfTrue="1" operator="equal">
      <formula>"Towel"</formula>
    </cfRule>
    <cfRule type="cellIs" dxfId="12124" priority="17785" stopIfTrue="1" operator="equal">
      <formula>"Napkin Hs"</formula>
    </cfRule>
    <cfRule type="cellIs" dxfId="12123" priority="17790" stopIfTrue="1" operator="equal">
      <formula>"Towel"</formula>
    </cfRule>
    <cfRule type="cellIs" dxfId="12122" priority="17791" stopIfTrue="1" operator="equal">
      <formula>"Napkin Hs"</formula>
    </cfRule>
    <cfRule type="cellIs" dxfId="12121" priority="17792" stopIfTrue="1" operator="equal">
      <formula>"Towel"</formula>
    </cfRule>
    <cfRule type="cellIs" dxfId="12120" priority="17793" stopIfTrue="1" operator="equal">
      <formula>"Napkin Hs"</formula>
    </cfRule>
    <cfRule type="cellIs" dxfId="12119" priority="17796" stopIfTrue="1" operator="equal">
      <formula>"Towel"</formula>
    </cfRule>
    <cfRule type="cellIs" dxfId="12118" priority="17797" stopIfTrue="1" operator="equal">
      <formula>"Napkin Hs"</formula>
    </cfRule>
    <cfRule type="cellIs" dxfId="12117" priority="17798" stopIfTrue="1" operator="equal">
      <formula>"Towel"</formula>
    </cfRule>
    <cfRule type="cellIs" dxfId="12116" priority="17799" stopIfTrue="1" operator="equal">
      <formula>"Napkin Hs"</formula>
    </cfRule>
  </conditionalFormatting>
  <conditionalFormatting sqref="C53:C55">
    <cfRule type="cellIs" dxfId="12115" priority="17702" stopIfTrue="1" operator="equal">
      <formula>"Napkin Hs"</formula>
    </cfRule>
  </conditionalFormatting>
  <conditionalFormatting sqref="C53:C55">
    <cfRule type="cellIs" dxfId="12114" priority="17701" stopIfTrue="1" operator="equal">
      <formula>"Napkin Hs"</formula>
    </cfRule>
  </conditionalFormatting>
  <conditionalFormatting sqref="B53:B55">
    <cfRule type="cellIs" dxfId="12113" priority="17700" stopIfTrue="1" operator="equal">
      <formula>"Napkin Hs"</formula>
    </cfRule>
  </conditionalFormatting>
  <conditionalFormatting sqref="C53:C55">
    <cfRule type="cellIs" dxfId="12112" priority="17699" stopIfTrue="1" operator="equal">
      <formula>"Napkin Hs"</formula>
    </cfRule>
  </conditionalFormatting>
  <conditionalFormatting sqref="C53:C55">
    <cfRule type="cellIs" dxfId="12111" priority="17698" stopIfTrue="1" operator="equal">
      <formula>"Napkin Hs"</formula>
    </cfRule>
  </conditionalFormatting>
  <conditionalFormatting sqref="C53:C55">
    <cfRule type="cellIs" dxfId="12110" priority="17697" stopIfTrue="1" operator="equal">
      <formula>"Napkin Hs"</formula>
    </cfRule>
  </conditionalFormatting>
  <conditionalFormatting sqref="C53:C55">
    <cfRule type="cellIs" dxfId="12109" priority="17696" stopIfTrue="1" operator="equal">
      <formula>"Napkin Hs"</formula>
    </cfRule>
  </conditionalFormatting>
  <conditionalFormatting sqref="B53:B55">
    <cfRule type="cellIs" dxfId="12108" priority="17695" stopIfTrue="1" operator="equal">
      <formula>"Napkin Hs"</formula>
    </cfRule>
  </conditionalFormatting>
  <conditionalFormatting sqref="B53:B55">
    <cfRule type="cellIs" dxfId="12107" priority="17694" stopIfTrue="1" operator="equal">
      <formula>"Napkin Hs"</formula>
    </cfRule>
  </conditionalFormatting>
  <conditionalFormatting sqref="C53:C55">
    <cfRule type="cellIs" dxfId="12106" priority="17690" stopIfTrue="1" operator="equal">
      <formula>"Towel"</formula>
    </cfRule>
    <cfRule type="cellIs" dxfId="12105" priority="17691" stopIfTrue="1" operator="equal">
      <formula>"Napkin Hs"</formula>
    </cfRule>
  </conditionalFormatting>
  <conditionalFormatting sqref="C53:C55">
    <cfRule type="cellIs" dxfId="12104" priority="17692" stopIfTrue="1" operator="equal">
      <formula>"Towel"</formula>
    </cfRule>
    <cfRule type="cellIs" dxfId="12103" priority="17693" stopIfTrue="1" operator="equal">
      <formula>"Napkin Hs"</formula>
    </cfRule>
  </conditionalFormatting>
  <conditionalFormatting sqref="C53:C55">
    <cfRule type="cellIs" dxfId="12102" priority="17686" stopIfTrue="1" operator="equal">
      <formula>"Towel"</formula>
    </cfRule>
    <cfRule type="cellIs" dxfId="12101" priority="17687" stopIfTrue="1" operator="equal">
      <formula>"Napkin Hs"</formula>
    </cfRule>
  </conditionalFormatting>
  <conditionalFormatting sqref="C53:C55">
    <cfRule type="cellIs" dxfId="12100" priority="17688" stopIfTrue="1" operator="equal">
      <formula>"Towel"</formula>
    </cfRule>
    <cfRule type="cellIs" dxfId="12099" priority="17689" stopIfTrue="1" operator="equal">
      <formula>"Napkin Hs"</formula>
    </cfRule>
  </conditionalFormatting>
  <conditionalFormatting sqref="C52">
    <cfRule type="cellIs" dxfId="12098" priority="17682" stopIfTrue="1" operator="equal">
      <formula>"Towel"</formula>
    </cfRule>
    <cfRule type="cellIs" dxfId="12097" priority="17683" stopIfTrue="1" operator="equal">
      <formula>"Napkin Hs"</formula>
    </cfRule>
  </conditionalFormatting>
  <conditionalFormatting sqref="C52">
    <cfRule type="cellIs" dxfId="12096" priority="17684" stopIfTrue="1" operator="equal">
      <formula>"Towel"</formula>
    </cfRule>
    <cfRule type="cellIs" dxfId="12095" priority="17685" stopIfTrue="1" operator="equal">
      <formula>"Napkin Hs"</formula>
    </cfRule>
  </conditionalFormatting>
  <conditionalFormatting sqref="C52">
    <cfRule type="cellIs" dxfId="12094" priority="17680" stopIfTrue="1" operator="equal">
      <formula>"Towel"</formula>
    </cfRule>
    <cfRule type="cellIs" dxfId="12093" priority="17681" stopIfTrue="1" operator="equal">
      <formula>"Napkin Hs"</formula>
    </cfRule>
  </conditionalFormatting>
  <conditionalFormatting sqref="B52">
    <cfRule type="cellIs" dxfId="12092" priority="17678" stopIfTrue="1" operator="equal">
      <formula>"Towel"</formula>
    </cfRule>
    <cfRule type="cellIs" dxfId="12091" priority="17679" stopIfTrue="1" operator="equal">
      <formula>"Napkin Hs"</formula>
    </cfRule>
  </conditionalFormatting>
  <conditionalFormatting sqref="C52">
    <cfRule type="cellIs" dxfId="12090" priority="17672" stopIfTrue="1" operator="equal">
      <formula>"Towel"</formula>
    </cfRule>
    <cfRule type="cellIs" dxfId="12089" priority="17673" stopIfTrue="1" operator="equal">
      <formula>"Napkin Hs"</formula>
    </cfRule>
  </conditionalFormatting>
  <conditionalFormatting sqref="C52">
    <cfRule type="cellIs" dxfId="12088" priority="17676" stopIfTrue="1" operator="equal">
      <formula>"Towel"</formula>
    </cfRule>
    <cfRule type="cellIs" dxfId="12087" priority="17677" stopIfTrue="1" operator="equal">
      <formula>"Napkin Hs"</formula>
    </cfRule>
  </conditionalFormatting>
  <conditionalFormatting sqref="C52">
    <cfRule type="cellIs" dxfId="12086" priority="17674" stopIfTrue="1" operator="equal">
      <formula>"Towel"</formula>
    </cfRule>
    <cfRule type="cellIs" dxfId="12085" priority="17675" stopIfTrue="1" operator="equal">
      <formula>"Napkin Hs"</formula>
    </cfRule>
  </conditionalFormatting>
  <conditionalFormatting sqref="C52">
    <cfRule type="cellIs" dxfId="12084" priority="17666" stopIfTrue="1" operator="equal">
      <formula>"Towel"</formula>
    </cfRule>
    <cfRule type="cellIs" dxfId="12083" priority="17667" stopIfTrue="1" operator="equal">
      <formula>"Napkin Hs"</formula>
    </cfRule>
  </conditionalFormatting>
  <conditionalFormatting sqref="C52">
    <cfRule type="cellIs" dxfId="12082" priority="17668" stopIfTrue="1" operator="equal">
      <formula>"Towel"</formula>
    </cfRule>
    <cfRule type="cellIs" dxfId="12081" priority="17669" stopIfTrue="1" operator="equal">
      <formula>"Napkin Hs"</formula>
    </cfRule>
  </conditionalFormatting>
  <conditionalFormatting sqref="C52">
    <cfRule type="cellIs" dxfId="12080" priority="17670" stopIfTrue="1" operator="equal">
      <formula>"Towel"</formula>
    </cfRule>
    <cfRule type="cellIs" dxfId="12079" priority="17671" stopIfTrue="1" operator="equal">
      <formula>"Napkin Hs"</formula>
    </cfRule>
  </conditionalFormatting>
  <conditionalFormatting sqref="B52:C52">
    <cfRule type="cellIs" dxfId="12078" priority="17664" stopIfTrue="1" operator="equal">
      <formula>"Towel"</formula>
    </cfRule>
    <cfRule type="cellIs" dxfId="12077" priority="17665" stopIfTrue="1" operator="equal">
      <formula>"Napkin Hs"</formula>
    </cfRule>
  </conditionalFormatting>
  <conditionalFormatting sqref="B52:C52">
    <cfRule type="cellIs" dxfId="12076" priority="17662" stopIfTrue="1" operator="equal">
      <formula>"Towel"</formula>
    </cfRule>
    <cfRule type="cellIs" dxfId="12075" priority="17663" stopIfTrue="1" operator="equal">
      <formula>"Napkin Hs"</formula>
    </cfRule>
  </conditionalFormatting>
  <conditionalFormatting sqref="B52:C52">
    <cfRule type="cellIs" dxfId="12074" priority="17638" stopIfTrue="1" operator="equal">
      <formula>"Towel"</formula>
    </cfRule>
  </conditionalFormatting>
  <conditionalFormatting sqref="B52:C52">
    <cfRule type="cellIs" dxfId="12073" priority="17639" stopIfTrue="1" operator="equal">
      <formula>"Napkin Hs"</formula>
    </cfRule>
    <cfRule type="cellIs" dxfId="12072" priority="17644" stopIfTrue="1" operator="equal">
      <formula>"Towel"</formula>
    </cfRule>
    <cfRule type="cellIs" dxfId="12071" priority="17645" stopIfTrue="1" operator="equal">
      <formula>"Napkin Hs"</formula>
    </cfRule>
    <cfRule type="cellIs" dxfId="12070" priority="17654" stopIfTrue="1" operator="equal">
      <formula>"Towel"</formula>
    </cfRule>
    <cfRule type="cellIs" dxfId="12069" priority="17655" stopIfTrue="1" operator="equal">
      <formula>"Napkin Hs"</formula>
    </cfRule>
    <cfRule type="cellIs" dxfId="12068" priority="17660" stopIfTrue="1" operator="equal">
      <formula>"Towel"</formula>
    </cfRule>
    <cfRule type="cellIs" dxfId="12067" priority="17661" stopIfTrue="1" operator="equal">
      <formula>"Napkin Hs"</formula>
    </cfRule>
  </conditionalFormatting>
  <conditionalFormatting sqref="C52">
    <cfRule type="cellIs" dxfId="12066" priority="17640" stopIfTrue="1" operator="equal">
      <formula>"Towel"</formula>
    </cfRule>
    <cfRule type="cellIs" dxfId="12065" priority="17641" stopIfTrue="1" operator="equal">
      <formula>"Napkin Hs"</formula>
    </cfRule>
    <cfRule type="cellIs" dxfId="12064" priority="17642" stopIfTrue="1" operator="equal">
      <formula>"Towel"</formula>
    </cfRule>
    <cfRule type="cellIs" dxfId="12063" priority="17643" stopIfTrue="1" operator="equal">
      <formula>"Napkin Hs"</formula>
    </cfRule>
    <cfRule type="cellIs" dxfId="12062" priority="17646" stopIfTrue="1" operator="equal">
      <formula>"Towel"</formula>
    </cfRule>
    <cfRule type="cellIs" dxfId="12061" priority="17647" stopIfTrue="1" operator="equal">
      <formula>"Napkin Hs"</formula>
    </cfRule>
    <cfRule type="cellIs" dxfId="12060" priority="17648" stopIfTrue="1" operator="equal">
      <formula>"Towel"</formula>
    </cfRule>
    <cfRule type="cellIs" dxfId="12059" priority="17649" stopIfTrue="1" operator="equal">
      <formula>"Napkin Hs"</formula>
    </cfRule>
    <cfRule type="cellIs" dxfId="12058" priority="17650" stopIfTrue="1" operator="equal">
      <formula>"Towel"</formula>
    </cfRule>
    <cfRule type="cellIs" dxfId="12057" priority="17651" stopIfTrue="1" operator="equal">
      <formula>"Napkin Hs"</formula>
    </cfRule>
    <cfRule type="cellIs" dxfId="12056" priority="17652" stopIfTrue="1" operator="equal">
      <formula>"Towel"</formula>
    </cfRule>
    <cfRule type="cellIs" dxfId="12055" priority="17653" stopIfTrue="1" operator="equal">
      <formula>"Napkin Hs"</formula>
    </cfRule>
    <cfRule type="cellIs" dxfId="12054" priority="17656" stopIfTrue="1" operator="equal">
      <formula>"Towel"</formula>
    </cfRule>
    <cfRule type="cellIs" dxfId="12053" priority="17657" stopIfTrue="1" operator="equal">
      <formula>"Napkin Hs"</formula>
    </cfRule>
    <cfRule type="cellIs" dxfId="12052" priority="17659" stopIfTrue="1" operator="equal">
      <formula>"Napkin Hs"</formula>
    </cfRule>
  </conditionalFormatting>
  <conditionalFormatting sqref="C52">
    <cfRule type="cellIs" dxfId="12051" priority="17658" stopIfTrue="1" operator="equal">
      <formula>"Towel"</formula>
    </cfRule>
  </conditionalFormatting>
  <conditionalFormatting sqref="B52:C52">
    <cfRule type="cellIs" dxfId="12050" priority="17636" stopIfTrue="1" operator="equal">
      <formula>"Towel"</formula>
    </cfRule>
    <cfRule type="cellIs" dxfId="12049" priority="17637" stopIfTrue="1" operator="equal">
      <formula>"Napkin Hs"</formula>
    </cfRule>
  </conditionalFormatting>
  <conditionalFormatting sqref="C52">
    <cfRule type="cellIs" dxfId="12048" priority="17635" stopIfTrue="1" operator="equal">
      <formula>"Napkin Hs"</formula>
    </cfRule>
  </conditionalFormatting>
  <conditionalFormatting sqref="C52">
    <cfRule type="cellIs" dxfId="12047" priority="17634" stopIfTrue="1" operator="equal">
      <formula>"Towel"</formula>
    </cfRule>
  </conditionalFormatting>
  <conditionalFormatting sqref="C52">
    <cfRule type="cellIs" dxfId="12046" priority="17632" stopIfTrue="1" operator="equal">
      <formula>"Towel"</formula>
    </cfRule>
  </conditionalFormatting>
  <conditionalFormatting sqref="C52">
    <cfRule type="cellIs" dxfId="12045" priority="17633" stopIfTrue="1" operator="equal">
      <formula>"Napkin Hs"</formula>
    </cfRule>
  </conditionalFormatting>
  <conditionalFormatting sqref="B52">
    <cfRule type="cellIs" dxfId="12044" priority="17536" stopIfTrue="1" operator="equal">
      <formula>"Napkin Hs"</formula>
    </cfRule>
  </conditionalFormatting>
  <conditionalFormatting sqref="B52:C52">
    <cfRule type="cellIs" dxfId="12043" priority="17535" stopIfTrue="1" operator="equal">
      <formula>"Towel"</formula>
    </cfRule>
  </conditionalFormatting>
  <conditionalFormatting sqref="B52:C52">
    <cfRule type="cellIs" dxfId="12042" priority="17546" stopIfTrue="1" operator="equal">
      <formula>"Towel"</formula>
    </cfRule>
    <cfRule type="cellIs" dxfId="12041" priority="17547" stopIfTrue="1" operator="equal">
      <formula>"Napkin Hs"</formula>
    </cfRule>
    <cfRule type="cellIs" dxfId="12040" priority="17552" stopIfTrue="1" operator="equal">
      <formula>"Towel"</formula>
    </cfRule>
    <cfRule type="cellIs" dxfId="12039" priority="17553" stopIfTrue="1" operator="equal">
      <formula>"Napkin Hs"</formula>
    </cfRule>
    <cfRule type="cellIs" dxfId="12038" priority="17558" stopIfTrue="1" operator="equal">
      <formula>"Towel"</formula>
    </cfRule>
    <cfRule type="cellIs" dxfId="12037" priority="17559" stopIfTrue="1" operator="equal">
      <formula>"Napkin Hs"</formula>
    </cfRule>
    <cfRule type="cellIs" dxfId="12036" priority="17560" stopIfTrue="1" operator="equal">
      <formula>"Towel"</formula>
    </cfRule>
    <cfRule type="cellIs" dxfId="12035" priority="17561" stopIfTrue="1" operator="equal">
      <formula>"Napkin Hs"</formula>
    </cfRule>
    <cfRule type="cellIs" dxfId="12034" priority="17566" stopIfTrue="1" operator="equal">
      <formula>"Towel"</formula>
    </cfRule>
    <cfRule type="cellIs" dxfId="12033" priority="17567" stopIfTrue="1" operator="equal">
      <formula>"Napkin Hs"</formula>
    </cfRule>
    <cfRule type="cellIs" dxfId="12032" priority="17576" stopIfTrue="1" operator="equal">
      <formula>"Towel"</formula>
    </cfRule>
    <cfRule type="cellIs" dxfId="12031" priority="17577" stopIfTrue="1" operator="equal">
      <formula>"Napkin Hs"</formula>
    </cfRule>
    <cfRule type="cellIs" dxfId="12030" priority="17582" stopIfTrue="1" operator="equal">
      <formula>"Towel"</formula>
    </cfRule>
    <cfRule type="cellIs" dxfId="12029" priority="17583" stopIfTrue="1" operator="equal">
      <formula>"Napkin Hs"</formula>
    </cfRule>
    <cfRule type="cellIs" dxfId="12028" priority="17584" stopIfTrue="1" operator="equal">
      <formula>"Towel"</formula>
    </cfRule>
    <cfRule type="cellIs" dxfId="12027" priority="17585" stopIfTrue="1" operator="equal">
      <formula>"Napkin Hs"</formula>
    </cfRule>
    <cfRule type="cellIs" dxfId="12026" priority="17590" stopIfTrue="1" operator="equal">
      <formula>"Towel"</formula>
    </cfRule>
    <cfRule type="cellIs" dxfId="12025" priority="17591" stopIfTrue="1" operator="equal">
      <formula>"Napkin Hs"</formula>
    </cfRule>
    <cfRule type="cellIs" dxfId="12024" priority="17600" stopIfTrue="1" operator="equal">
      <formula>"Towel"</formula>
    </cfRule>
    <cfRule type="cellIs" dxfId="12023" priority="17601" stopIfTrue="1" operator="equal">
      <formula>"Napkin Hs"</formula>
    </cfRule>
    <cfRule type="cellIs" dxfId="12022" priority="17602" stopIfTrue="1" operator="equal">
      <formula>"Towel"</formula>
    </cfRule>
    <cfRule type="cellIs" dxfId="12021" priority="17603" stopIfTrue="1" operator="equal">
      <formula>"Napkin Hs"</formula>
    </cfRule>
    <cfRule type="cellIs" dxfId="12020" priority="17608" stopIfTrue="1" operator="equal">
      <formula>"Towel"</formula>
    </cfRule>
    <cfRule type="cellIs" dxfId="12019" priority="17609" stopIfTrue="1" operator="equal">
      <formula>"Napkin Hs"</formula>
    </cfRule>
    <cfRule type="cellIs" dxfId="12018" priority="17618" stopIfTrue="1" operator="equal">
      <formula>"Towel"</formula>
    </cfRule>
    <cfRule type="cellIs" dxfId="12017" priority="17619" stopIfTrue="1" operator="equal">
      <formula>"Napkin Hs"</formula>
    </cfRule>
    <cfRule type="cellIs" dxfId="12016" priority="17620" stopIfTrue="1" operator="equal">
      <formula>"Towel"</formula>
    </cfRule>
    <cfRule type="cellIs" dxfId="12015" priority="17621" stopIfTrue="1" operator="equal">
      <formula>"Napkin Hs"</formula>
    </cfRule>
    <cfRule type="cellIs" dxfId="12014" priority="17627" stopIfTrue="1" operator="equal">
      <formula>"Napkin Hs"</formula>
    </cfRule>
  </conditionalFormatting>
  <conditionalFormatting sqref="B52:C52">
    <cfRule type="cellIs" dxfId="12013" priority="17626" stopIfTrue="1" operator="equal">
      <formula>"Towel"</formula>
    </cfRule>
  </conditionalFormatting>
  <conditionalFormatting sqref="C52">
    <cfRule type="cellIs" dxfId="12012" priority="17537" stopIfTrue="1" operator="equal">
      <formula>"Napkin Hs"</formula>
    </cfRule>
    <cfRule type="cellIs" dxfId="12011" priority="17538" stopIfTrue="1" operator="equal">
      <formula>"Towel"</formula>
    </cfRule>
    <cfRule type="cellIs" dxfId="12010" priority="17539" stopIfTrue="1" operator="equal">
      <formula>"Napkin Hs"</formula>
    </cfRule>
    <cfRule type="cellIs" dxfId="12009" priority="17540" stopIfTrue="1" operator="equal">
      <formula>"Towel"</formula>
    </cfRule>
    <cfRule type="cellIs" dxfId="12008" priority="17541" stopIfTrue="1" operator="equal">
      <formula>"Napkin Hs"</formula>
    </cfRule>
    <cfRule type="cellIs" dxfId="12007" priority="17542" stopIfTrue="1" operator="equal">
      <formula>"Towel"</formula>
    </cfRule>
    <cfRule type="cellIs" dxfId="12006" priority="17543" stopIfTrue="1" operator="equal">
      <formula>"Napkin Hs"</formula>
    </cfRule>
    <cfRule type="cellIs" dxfId="12005" priority="17544" stopIfTrue="1" operator="equal">
      <formula>"Towel"</formula>
    </cfRule>
    <cfRule type="cellIs" dxfId="12004" priority="17545" stopIfTrue="1" operator="equal">
      <formula>"Napkin Hs"</formula>
    </cfRule>
    <cfRule type="cellIs" dxfId="12003" priority="17548" stopIfTrue="1" operator="equal">
      <formula>"Towel"</formula>
    </cfRule>
    <cfRule type="cellIs" dxfId="12002" priority="17549" stopIfTrue="1" operator="equal">
      <formula>"Napkin Hs"</formula>
    </cfRule>
    <cfRule type="cellIs" dxfId="12001" priority="17550" stopIfTrue="1" operator="equal">
      <formula>"Towel"</formula>
    </cfRule>
    <cfRule type="cellIs" dxfId="12000" priority="17551" stopIfTrue="1" operator="equal">
      <formula>"Napkin Hs"</formula>
    </cfRule>
    <cfRule type="cellIs" dxfId="11999" priority="17554" stopIfTrue="1" operator="equal">
      <formula>"Towel"</formula>
    </cfRule>
    <cfRule type="cellIs" dxfId="11998" priority="17555" stopIfTrue="1" operator="equal">
      <formula>"Napkin Hs"</formula>
    </cfRule>
    <cfRule type="cellIs" dxfId="11997" priority="17556" stopIfTrue="1" operator="equal">
      <formula>"Towel"</formula>
    </cfRule>
    <cfRule type="cellIs" dxfId="11996" priority="17557" stopIfTrue="1" operator="equal">
      <formula>"Napkin Hs"</formula>
    </cfRule>
    <cfRule type="cellIs" dxfId="11995" priority="17562" stopIfTrue="1" operator="equal">
      <formula>"Towel"</formula>
    </cfRule>
    <cfRule type="cellIs" dxfId="11994" priority="17563" stopIfTrue="1" operator="equal">
      <formula>"Napkin Hs"</formula>
    </cfRule>
    <cfRule type="cellIs" dxfId="11993" priority="17564" stopIfTrue="1" operator="equal">
      <formula>"Towel"</formula>
    </cfRule>
    <cfRule type="cellIs" dxfId="11992" priority="17565" stopIfTrue="1" operator="equal">
      <formula>"Napkin Hs"</formula>
    </cfRule>
    <cfRule type="cellIs" dxfId="11991" priority="17568" stopIfTrue="1" operator="equal">
      <formula>"Towel"</formula>
    </cfRule>
    <cfRule type="cellIs" dxfId="11990" priority="17569" stopIfTrue="1" operator="equal">
      <formula>"Napkin Hs"</formula>
    </cfRule>
    <cfRule type="cellIs" dxfId="11989" priority="17570" stopIfTrue="1" operator="equal">
      <formula>"Towel"</formula>
    </cfRule>
    <cfRule type="cellIs" dxfId="11988" priority="17571" stopIfTrue="1" operator="equal">
      <formula>"Napkin Hs"</formula>
    </cfRule>
    <cfRule type="cellIs" dxfId="11987" priority="17572" stopIfTrue="1" operator="equal">
      <formula>"Towel"</formula>
    </cfRule>
    <cfRule type="cellIs" dxfId="11986" priority="17573" stopIfTrue="1" operator="equal">
      <formula>"Napkin Hs"</formula>
    </cfRule>
    <cfRule type="cellIs" dxfId="11985" priority="17574" stopIfTrue="1" operator="equal">
      <formula>"Towel"</formula>
    </cfRule>
    <cfRule type="cellIs" dxfId="11984" priority="17575" stopIfTrue="1" operator="equal">
      <formula>"Napkin Hs"</formula>
    </cfRule>
    <cfRule type="cellIs" dxfId="11983" priority="17578" stopIfTrue="1" operator="equal">
      <formula>"Towel"</formula>
    </cfRule>
    <cfRule type="cellIs" dxfId="11982" priority="17579" stopIfTrue="1" operator="equal">
      <formula>"Napkin Hs"</formula>
    </cfRule>
    <cfRule type="cellIs" dxfId="11981" priority="17580" stopIfTrue="1" operator="equal">
      <formula>"Towel"</formula>
    </cfRule>
    <cfRule type="cellIs" dxfId="11980" priority="17581" stopIfTrue="1" operator="equal">
      <formula>"Napkin Hs"</formula>
    </cfRule>
    <cfRule type="cellIs" dxfId="11979" priority="17586" stopIfTrue="1" operator="equal">
      <formula>"Towel"</formula>
    </cfRule>
    <cfRule type="cellIs" dxfId="11978" priority="17587" stopIfTrue="1" operator="equal">
      <formula>"Napkin Hs"</formula>
    </cfRule>
    <cfRule type="cellIs" dxfId="11977" priority="17588" stopIfTrue="1" operator="equal">
      <formula>"Towel"</formula>
    </cfRule>
    <cfRule type="cellIs" dxfId="11976" priority="17589" stopIfTrue="1" operator="equal">
      <formula>"Napkin Hs"</formula>
    </cfRule>
    <cfRule type="cellIs" dxfId="11975" priority="17592" stopIfTrue="1" operator="equal">
      <formula>"Towel"</formula>
    </cfRule>
    <cfRule type="cellIs" dxfId="11974" priority="17593" stopIfTrue="1" operator="equal">
      <formula>"Napkin Hs"</formula>
    </cfRule>
    <cfRule type="cellIs" dxfId="11973" priority="17594" stopIfTrue="1" operator="equal">
      <formula>"Towel"</formula>
    </cfRule>
    <cfRule type="cellIs" dxfId="11972" priority="17595" stopIfTrue="1" operator="equal">
      <formula>"Napkin Hs"</formula>
    </cfRule>
    <cfRule type="cellIs" dxfId="11971" priority="17596" stopIfTrue="1" operator="equal">
      <formula>"Towel"</formula>
    </cfRule>
    <cfRule type="cellIs" dxfId="11970" priority="17597" stopIfTrue="1" operator="equal">
      <formula>"Napkin Hs"</formula>
    </cfRule>
    <cfRule type="cellIs" dxfId="11969" priority="17598" stopIfTrue="1" operator="equal">
      <formula>"Towel"</formula>
    </cfRule>
    <cfRule type="cellIs" dxfId="11968" priority="17599" stopIfTrue="1" operator="equal">
      <formula>"Napkin Hs"</formula>
    </cfRule>
    <cfRule type="cellIs" dxfId="11967" priority="17604" stopIfTrue="1" operator="equal">
      <formula>"Towel"</formula>
    </cfRule>
    <cfRule type="cellIs" dxfId="11966" priority="17605" stopIfTrue="1" operator="equal">
      <formula>"Napkin Hs"</formula>
    </cfRule>
    <cfRule type="cellIs" dxfId="11965" priority="17606" stopIfTrue="1" operator="equal">
      <formula>"Towel"</formula>
    </cfRule>
    <cfRule type="cellIs" dxfId="11964" priority="17607" stopIfTrue="1" operator="equal">
      <formula>"Napkin Hs"</formula>
    </cfRule>
    <cfRule type="cellIs" dxfId="11963" priority="17610" stopIfTrue="1" operator="equal">
      <formula>"Towel"</formula>
    </cfRule>
    <cfRule type="cellIs" dxfId="11962" priority="17611" stopIfTrue="1" operator="equal">
      <formula>"Napkin Hs"</formula>
    </cfRule>
    <cfRule type="cellIs" dxfId="11961" priority="17612" stopIfTrue="1" operator="equal">
      <formula>"Towel"</formula>
    </cfRule>
    <cfRule type="cellIs" dxfId="11960" priority="17613" stopIfTrue="1" operator="equal">
      <formula>"Napkin Hs"</formula>
    </cfRule>
    <cfRule type="cellIs" dxfId="11959" priority="17614" stopIfTrue="1" operator="equal">
      <formula>"Towel"</formula>
    </cfRule>
    <cfRule type="cellIs" dxfId="11958" priority="17615" stopIfTrue="1" operator="equal">
      <formula>"Napkin Hs"</formula>
    </cfRule>
    <cfRule type="cellIs" dxfId="11957" priority="17616" stopIfTrue="1" operator="equal">
      <formula>"Towel"</formula>
    </cfRule>
    <cfRule type="cellIs" dxfId="11956" priority="17617" stopIfTrue="1" operator="equal">
      <formula>"Napkin Hs"</formula>
    </cfRule>
    <cfRule type="cellIs" dxfId="11955" priority="17622" stopIfTrue="1" operator="equal">
      <formula>"Towel"</formula>
    </cfRule>
    <cfRule type="cellIs" dxfId="11954" priority="17623" stopIfTrue="1" operator="equal">
      <formula>"Napkin Hs"</formula>
    </cfRule>
    <cfRule type="cellIs" dxfId="11953" priority="17624" stopIfTrue="1" operator="equal">
      <formula>"Towel"</formula>
    </cfRule>
    <cfRule type="cellIs" dxfId="11952" priority="17625" stopIfTrue="1" operator="equal">
      <formula>"Napkin Hs"</formula>
    </cfRule>
    <cfRule type="cellIs" dxfId="11951" priority="17628" stopIfTrue="1" operator="equal">
      <formula>"Towel"</formula>
    </cfRule>
    <cfRule type="cellIs" dxfId="11950" priority="17629" stopIfTrue="1" operator="equal">
      <formula>"Napkin Hs"</formula>
    </cfRule>
    <cfRule type="cellIs" dxfId="11949" priority="17630" stopIfTrue="1" operator="equal">
      <formula>"Towel"</formula>
    </cfRule>
    <cfRule type="cellIs" dxfId="11948" priority="17631" stopIfTrue="1" operator="equal">
      <formula>"Napkin Hs"</formula>
    </cfRule>
  </conditionalFormatting>
  <conditionalFormatting sqref="C52">
    <cfRule type="cellIs" dxfId="11947" priority="17534" stopIfTrue="1" operator="equal">
      <formula>"Napkin Hs"</formula>
    </cfRule>
  </conditionalFormatting>
  <conditionalFormatting sqref="C52">
    <cfRule type="cellIs" dxfId="11946" priority="17533" stopIfTrue="1" operator="equal">
      <formula>"Napkin Hs"</formula>
    </cfRule>
  </conditionalFormatting>
  <conditionalFormatting sqref="B52">
    <cfRule type="cellIs" dxfId="11945" priority="17532" stopIfTrue="1" operator="equal">
      <formula>"Napkin Hs"</formula>
    </cfRule>
  </conditionalFormatting>
  <conditionalFormatting sqref="C52">
    <cfRule type="cellIs" dxfId="11944" priority="17531" stopIfTrue="1" operator="equal">
      <formula>"Napkin Hs"</formula>
    </cfRule>
  </conditionalFormatting>
  <conditionalFormatting sqref="C52">
    <cfRule type="cellIs" dxfId="11943" priority="17530" stopIfTrue="1" operator="equal">
      <formula>"Napkin Hs"</formula>
    </cfRule>
  </conditionalFormatting>
  <conditionalFormatting sqref="C52">
    <cfRule type="cellIs" dxfId="11942" priority="17529" stopIfTrue="1" operator="equal">
      <formula>"Napkin Hs"</formula>
    </cfRule>
  </conditionalFormatting>
  <conditionalFormatting sqref="C52">
    <cfRule type="cellIs" dxfId="11941" priority="17528" stopIfTrue="1" operator="equal">
      <formula>"Napkin Hs"</formula>
    </cfRule>
  </conditionalFormatting>
  <conditionalFormatting sqref="B52">
    <cfRule type="cellIs" dxfId="11940" priority="17527" stopIfTrue="1" operator="equal">
      <formula>"Napkin Hs"</formula>
    </cfRule>
  </conditionalFormatting>
  <conditionalFormatting sqref="B52">
    <cfRule type="cellIs" dxfId="11939" priority="17526" stopIfTrue="1" operator="equal">
      <formula>"Napkin Hs"</formula>
    </cfRule>
  </conditionalFormatting>
  <conditionalFormatting sqref="C52">
    <cfRule type="cellIs" dxfId="11938" priority="17522" stopIfTrue="1" operator="equal">
      <formula>"Towel"</formula>
    </cfRule>
    <cfRule type="cellIs" dxfId="11937" priority="17523" stopIfTrue="1" operator="equal">
      <formula>"Napkin Hs"</formula>
    </cfRule>
  </conditionalFormatting>
  <conditionalFormatting sqref="C52">
    <cfRule type="cellIs" dxfId="11936" priority="17524" stopIfTrue="1" operator="equal">
      <formula>"Towel"</formula>
    </cfRule>
    <cfRule type="cellIs" dxfId="11935" priority="17525" stopIfTrue="1" operator="equal">
      <formula>"Napkin Hs"</formula>
    </cfRule>
  </conditionalFormatting>
  <conditionalFormatting sqref="C52">
    <cfRule type="cellIs" dxfId="11934" priority="17518" stopIfTrue="1" operator="equal">
      <formula>"Towel"</formula>
    </cfRule>
    <cfRule type="cellIs" dxfId="11933" priority="17519" stopIfTrue="1" operator="equal">
      <formula>"Napkin Hs"</formula>
    </cfRule>
  </conditionalFormatting>
  <conditionalFormatting sqref="C52">
    <cfRule type="cellIs" dxfId="11932" priority="17520" stopIfTrue="1" operator="equal">
      <formula>"Towel"</formula>
    </cfRule>
    <cfRule type="cellIs" dxfId="11931" priority="17521" stopIfTrue="1" operator="equal">
      <formula>"Napkin Hs"</formula>
    </cfRule>
  </conditionalFormatting>
  <conditionalFormatting sqref="C59:C60">
    <cfRule type="cellIs" dxfId="11930" priority="17502" stopIfTrue="1" operator="equal">
      <formula>"Towel"</formula>
    </cfRule>
    <cfRule type="cellIs" dxfId="11929" priority="17503" stopIfTrue="1" operator="equal">
      <formula>"Napkin Hs"</formula>
    </cfRule>
  </conditionalFormatting>
  <conditionalFormatting sqref="C59:C60">
    <cfRule type="cellIs" dxfId="11928" priority="17504" stopIfTrue="1" operator="equal">
      <formula>"Towel"</formula>
    </cfRule>
    <cfRule type="cellIs" dxfId="11927" priority="17505" stopIfTrue="1" operator="equal">
      <formula>"Napkin Hs"</formula>
    </cfRule>
  </conditionalFormatting>
  <conditionalFormatting sqref="C59:C60">
    <cfRule type="cellIs" dxfId="11926" priority="17500" stopIfTrue="1" operator="equal">
      <formula>"Towel"</formula>
    </cfRule>
    <cfRule type="cellIs" dxfId="11925" priority="17501" stopIfTrue="1" operator="equal">
      <formula>"Napkin Hs"</formula>
    </cfRule>
  </conditionalFormatting>
  <conditionalFormatting sqref="B59:B60">
    <cfRule type="cellIs" dxfId="11924" priority="17498" stopIfTrue="1" operator="equal">
      <formula>"Towel"</formula>
    </cfRule>
    <cfRule type="cellIs" dxfId="11923" priority="17499" stopIfTrue="1" operator="equal">
      <formula>"Napkin Hs"</formula>
    </cfRule>
  </conditionalFormatting>
  <conditionalFormatting sqref="C59:C60">
    <cfRule type="cellIs" dxfId="11922" priority="17492" stopIfTrue="1" operator="equal">
      <formula>"Towel"</formula>
    </cfRule>
    <cfRule type="cellIs" dxfId="11921" priority="17493" stopIfTrue="1" operator="equal">
      <formula>"Napkin Hs"</formula>
    </cfRule>
  </conditionalFormatting>
  <conditionalFormatting sqref="C59:C60">
    <cfRule type="cellIs" dxfId="11920" priority="17496" stopIfTrue="1" operator="equal">
      <formula>"Towel"</formula>
    </cfRule>
    <cfRule type="cellIs" dxfId="11919" priority="17497" stopIfTrue="1" operator="equal">
      <formula>"Napkin Hs"</formula>
    </cfRule>
  </conditionalFormatting>
  <conditionalFormatting sqref="C59:C60">
    <cfRule type="cellIs" dxfId="11918" priority="17494" stopIfTrue="1" operator="equal">
      <formula>"Towel"</formula>
    </cfRule>
    <cfRule type="cellIs" dxfId="11917" priority="17495" stopIfTrue="1" operator="equal">
      <formula>"Napkin Hs"</formula>
    </cfRule>
  </conditionalFormatting>
  <conditionalFormatting sqref="C59:C60">
    <cfRule type="cellIs" dxfId="11916" priority="17486" stopIfTrue="1" operator="equal">
      <formula>"Towel"</formula>
    </cfRule>
    <cfRule type="cellIs" dxfId="11915" priority="17487" stopIfTrue="1" operator="equal">
      <formula>"Napkin Hs"</formula>
    </cfRule>
  </conditionalFormatting>
  <conditionalFormatting sqref="C59:C60">
    <cfRule type="cellIs" dxfId="11914" priority="17488" stopIfTrue="1" operator="equal">
      <formula>"Towel"</formula>
    </cfRule>
    <cfRule type="cellIs" dxfId="11913" priority="17489" stopIfTrue="1" operator="equal">
      <formula>"Napkin Hs"</formula>
    </cfRule>
  </conditionalFormatting>
  <conditionalFormatting sqref="C59:C60">
    <cfRule type="cellIs" dxfId="11912" priority="17490" stopIfTrue="1" operator="equal">
      <formula>"Towel"</formula>
    </cfRule>
    <cfRule type="cellIs" dxfId="11911" priority="17491" stopIfTrue="1" operator="equal">
      <formula>"Napkin Hs"</formula>
    </cfRule>
  </conditionalFormatting>
  <conditionalFormatting sqref="B59:C60">
    <cfRule type="cellIs" dxfId="11910" priority="17484" stopIfTrue="1" operator="equal">
      <formula>"Towel"</formula>
    </cfRule>
    <cfRule type="cellIs" dxfId="11909" priority="17485" stopIfTrue="1" operator="equal">
      <formula>"Napkin Hs"</formula>
    </cfRule>
  </conditionalFormatting>
  <conditionalFormatting sqref="B59:C60">
    <cfRule type="cellIs" dxfId="11908" priority="17482" stopIfTrue="1" operator="equal">
      <formula>"Towel"</formula>
    </cfRule>
    <cfRule type="cellIs" dxfId="11907" priority="17483" stopIfTrue="1" operator="equal">
      <formula>"Napkin Hs"</formula>
    </cfRule>
  </conditionalFormatting>
  <conditionalFormatting sqref="B59:C60">
    <cfRule type="cellIs" dxfId="11906" priority="17458" stopIfTrue="1" operator="equal">
      <formula>"Towel"</formula>
    </cfRule>
  </conditionalFormatting>
  <conditionalFormatting sqref="B59:C60">
    <cfRule type="cellIs" dxfId="11905" priority="17459" stopIfTrue="1" operator="equal">
      <formula>"Napkin Hs"</formula>
    </cfRule>
    <cfRule type="cellIs" dxfId="11904" priority="17464" stopIfTrue="1" operator="equal">
      <formula>"Towel"</formula>
    </cfRule>
    <cfRule type="cellIs" dxfId="11903" priority="17465" stopIfTrue="1" operator="equal">
      <formula>"Napkin Hs"</formula>
    </cfRule>
    <cfRule type="cellIs" dxfId="11902" priority="17474" stopIfTrue="1" operator="equal">
      <formula>"Towel"</formula>
    </cfRule>
    <cfRule type="cellIs" dxfId="11901" priority="17475" stopIfTrue="1" operator="equal">
      <formula>"Napkin Hs"</formula>
    </cfRule>
    <cfRule type="cellIs" dxfId="11900" priority="17480" stopIfTrue="1" operator="equal">
      <formula>"Towel"</formula>
    </cfRule>
    <cfRule type="cellIs" dxfId="11899" priority="17481" stopIfTrue="1" operator="equal">
      <formula>"Napkin Hs"</formula>
    </cfRule>
  </conditionalFormatting>
  <conditionalFormatting sqref="C59:C60">
    <cfRule type="cellIs" dxfId="11898" priority="17460" stopIfTrue="1" operator="equal">
      <formula>"Towel"</formula>
    </cfRule>
    <cfRule type="cellIs" dxfId="11897" priority="17461" stopIfTrue="1" operator="equal">
      <formula>"Napkin Hs"</formula>
    </cfRule>
    <cfRule type="cellIs" dxfId="11896" priority="17462" stopIfTrue="1" operator="equal">
      <formula>"Towel"</formula>
    </cfRule>
    <cfRule type="cellIs" dxfId="11895" priority="17463" stopIfTrue="1" operator="equal">
      <formula>"Napkin Hs"</formula>
    </cfRule>
    <cfRule type="cellIs" dxfId="11894" priority="17466" stopIfTrue="1" operator="equal">
      <formula>"Towel"</formula>
    </cfRule>
    <cfRule type="cellIs" dxfId="11893" priority="17467" stopIfTrue="1" operator="equal">
      <formula>"Napkin Hs"</formula>
    </cfRule>
    <cfRule type="cellIs" dxfId="11892" priority="17468" stopIfTrue="1" operator="equal">
      <formula>"Towel"</formula>
    </cfRule>
    <cfRule type="cellIs" dxfId="11891" priority="17469" stopIfTrue="1" operator="equal">
      <formula>"Napkin Hs"</formula>
    </cfRule>
    <cfRule type="cellIs" dxfId="11890" priority="17470" stopIfTrue="1" operator="equal">
      <formula>"Towel"</formula>
    </cfRule>
    <cfRule type="cellIs" dxfId="11889" priority="17471" stopIfTrue="1" operator="equal">
      <formula>"Napkin Hs"</formula>
    </cfRule>
    <cfRule type="cellIs" dxfId="11888" priority="17472" stopIfTrue="1" operator="equal">
      <formula>"Towel"</formula>
    </cfRule>
    <cfRule type="cellIs" dxfId="11887" priority="17473" stopIfTrue="1" operator="equal">
      <formula>"Napkin Hs"</formula>
    </cfRule>
    <cfRule type="cellIs" dxfId="11886" priority="17476" stopIfTrue="1" operator="equal">
      <formula>"Towel"</formula>
    </cfRule>
    <cfRule type="cellIs" dxfId="11885" priority="17477" stopIfTrue="1" operator="equal">
      <formula>"Napkin Hs"</formula>
    </cfRule>
    <cfRule type="cellIs" dxfId="11884" priority="17479" stopIfTrue="1" operator="equal">
      <formula>"Napkin Hs"</formula>
    </cfRule>
  </conditionalFormatting>
  <conditionalFormatting sqref="C59:C60">
    <cfRule type="cellIs" dxfId="11883" priority="17478" stopIfTrue="1" operator="equal">
      <formula>"Towel"</formula>
    </cfRule>
  </conditionalFormatting>
  <conditionalFormatting sqref="B59:C60">
    <cfRule type="cellIs" dxfId="11882" priority="17456" stopIfTrue="1" operator="equal">
      <formula>"Towel"</formula>
    </cfRule>
    <cfRule type="cellIs" dxfId="11881" priority="17457" stopIfTrue="1" operator="equal">
      <formula>"Napkin Hs"</formula>
    </cfRule>
  </conditionalFormatting>
  <conditionalFormatting sqref="C59:C60">
    <cfRule type="cellIs" dxfId="11880" priority="17455" stopIfTrue="1" operator="equal">
      <formula>"Napkin Hs"</formula>
    </cfRule>
  </conditionalFormatting>
  <conditionalFormatting sqref="C59:C60">
    <cfRule type="cellIs" dxfId="11879" priority="17454" stopIfTrue="1" operator="equal">
      <formula>"Towel"</formula>
    </cfRule>
  </conditionalFormatting>
  <conditionalFormatting sqref="C59:C60">
    <cfRule type="cellIs" dxfId="11878" priority="17452" stopIfTrue="1" operator="equal">
      <formula>"Towel"</formula>
    </cfRule>
  </conditionalFormatting>
  <conditionalFormatting sqref="C59:C60">
    <cfRule type="cellIs" dxfId="11877" priority="17453" stopIfTrue="1" operator="equal">
      <formula>"Napkin Hs"</formula>
    </cfRule>
  </conditionalFormatting>
  <conditionalFormatting sqref="B59:B60">
    <cfRule type="cellIs" dxfId="11876" priority="17356" stopIfTrue="1" operator="equal">
      <formula>"Napkin Hs"</formula>
    </cfRule>
  </conditionalFormatting>
  <conditionalFormatting sqref="B59:C60">
    <cfRule type="cellIs" dxfId="11875" priority="17355" stopIfTrue="1" operator="equal">
      <formula>"Towel"</formula>
    </cfRule>
  </conditionalFormatting>
  <conditionalFormatting sqref="B59:C60">
    <cfRule type="cellIs" dxfId="11874" priority="17366" stopIfTrue="1" operator="equal">
      <formula>"Towel"</formula>
    </cfRule>
    <cfRule type="cellIs" dxfId="11873" priority="17367" stopIfTrue="1" operator="equal">
      <formula>"Napkin Hs"</formula>
    </cfRule>
    <cfRule type="cellIs" dxfId="11872" priority="17372" stopIfTrue="1" operator="equal">
      <formula>"Towel"</formula>
    </cfRule>
    <cfRule type="cellIs" dxfId="11871" priority="17373" stopIfTrue="1" operator="equal">
      <formula>"Napkin Hs"</formula>
    </cfRule>
    <cfRule type="cellIs" dxfId="11870" priority="17378" stopIfTrue="1" operator="equal">
      <formula>"Towel"</formula>
    </cfRule>
    <cfRule type="cellIs" dxfId="11869" priority="17379" stopIfTrue="1" operator="equal">
      <formula>"Napkin Hs"</formula>
    </cfRule>
    <cfRule type="cellIs" dxfId="11868" priority="17380" stopIfTrue="1" operator="equal">
      <formula>"Towel"</formula>
    </cfRule>
    <cfRule type="cellIs" dxfId="11867" priority="17381" stopIfTrue="1" operator="equal">
      <formula>"Napkin Hs"</formula>
    </cfRule>
    <cfRule type="cellIs" dxfId="11866" priority="17386" stopIfTrue="1" operator="equal">
      <formula>"Towel"</formula>
    </cfRule>
    <cfRule type="cellIs" dxfId="11865" priority="17387" stopIfTrue="1" operator="equal">
      <formula>"Napkin Hs"</formula>
    </cfRule>
    <cfRule type="cellIs" dxfId="11864" priority="17396" stopIfTrue="1" operator="equal">
      <formula>"Towel"</formula>
    </cfRule>
    <cfRule type="cellIs" dxfId="11863" priority="17397" stopIfTrue="1" operator="equal">
      <formula>"Napkin Hs"</formula>
    </cfRule>
    <cfRule type="cellIs" dxfId="11862" priority="17402" stopIfTrue="1" operator="equal">
      <formula>"Towel"</formula>
    </cfRule>
    <cfRule type="cellIs" dxfId="11861" priority="17403" stopIfTrue="1" operator="equal">
      <formula>"Napkin Hs"</formula>
    </cfRule>
    <cfRule type="cellIs" dxfId="11860" priority="17404" stopIfTrue="1" operator="equal">
      <formula>"Towel"</formula>
    </cfRule>
    <cfRule type="cellIs" dxfId="11859" priority="17405" stopIfTrue="1" operator="equal">
      <formula>"Napkin Hs"</formula>
    </cfRule>
    <cfRule type="cellIs" dxfId="11858" priority="17410" stopIfTrue="1" operator="equal">
      <formula>"Towel"</formula>
    </cfRule>
    <cfRule type="cellIs" dxfId="11857" priority="17411" stopIfTrue="1" operator="equal">
      <formula>"Napkin Hs"</formula>
    </cfRule>
    <cfRule type="cellIs" dxfId="11856" priority="17420" stopIfTrue="1" operator="equal">
      <formula>"Towel"</formula>
    </cfRule>
    <cfRule type="cellIs" dxfId="11855" priority="17421" stopIfTrue="1" operator="equal">
      <formula>"Napkin Hs"</formula>
    </cfRule>
    <cfRule type="cellIs" dxfId="11854" priority="17422" stopIfTrue="1" operator="equal">
      <formula>"Towel"</formula>
    </cfRule>
    <cfRule type="cellIs" dxfId="11853" priority="17423" stopIfTrue="1" operator="equal">
      <formula>"Napkin Hs"</formula>
    </cfRule>
    <cfRule type="cellIs" dxfId="11852" priority="17428" stopIfTrue="1" operator="equal">
      <formula>"Towel"</formula>
    </cfRule>
    <cfRule type="cellIs" dxfId="11851" priority="17429" stopIfTrue="1" operator="equal">
      <formula>"Napkin Hs"</formula>
    </cfRule>
    <cfRule type="cellIs" dxfId="11850" priority="17438" stopIfTrue="1" operator="equal">
      <formula>"Towel"</formula>
    </cfRule>
    <cfRule type="cellIs" dxfId="11849" priority="17439" stopIfTrue="1" operator="equal">
      <formula>"Napkin Hs"</formula>
    </cfRule>
    <cfRule type="cellIs" dxfId="11848" priority="17440" stopIfTrue="1" operator="equal">
      <formula>"Towel"</formula>
    </cfRule>
    <cfRule type="cellIs" dxfId="11847" priority="17441" stopIfTrue="1" operator="equal">
      <formula>"Napkin Hs"</formula>
    </cfRule>
    <cfRule type="cellIs" dxfId="11846" priority="17447" stopIfTrue="1" operator="equal">
      <formula>"Napkin Hs"</formula>
    </cfRule>
  </conditionalFormatting>
  <conditionalFormatting sqref="B59:C60">
    <cfRule type="cellIs" dxfId="11845" priority="17446" stopIfTrue="1" operator="equal">
      <formula>"Towel"</formula>
    </cfRule>
  </conditionalFormatting>
  <conditionalFormatting sqref="C59:C60">
    <cfRule type="cellIs" dxfId="11844" priority="17357" stopIfTrue="1" operator="equal">
      <formula>"Napkin Hs"</formula>
    </cfRule>
    <cfRule type="cellIs" dxfId="11843" priority="17358" stopIfTrue="1" operator="equal">
      <formula>"Towel"</formula>
    </cfRule>
    <cfRule type="cellIs" dxfId="11842" priority="17359" stopIfTrue="1" operator="equal">
      <formula>"Napkin Hs"</formula>
    </cfRule>
    <cfRule type="cellIs" dxfId="11841" priority="17360" stopIfTrue="1" operator="equal">
      <formula>"Towel"</formula>
    </cfRule>
    <cfRule type="cellIs" dxfId="11840" priority="17361" stopIfTrue="1" operator="equal">
      <formula>"Napkin Hs"</formula>
    </cfRule>
    <cfRule type="cellIs" dxfId="11839" priority="17362" stopIfTrue="1" operator="equal">
      <formula>"Towel"</formula>
    </cfRule>
    <cfRule type="cellIs" dxfId="11838" priority="17363" stopIfTrue="1" operator="equal">
      <formula>"Napkin Hs"</formula>
    </cfRule>
    <cfRule type="cellIs" dxfId="11837" priority="17364" stopIfTrue="1" operator="equal">
      <formula>"Towel"</formula>
    </cfRule>
    <cfRule type="cellIs" dxfId="11836" priority="17365" stopIfTrue="1" operator="equal">
      <formula>"Napkin Hs"</formula>
    </cfRule>
    <cfRule type="cellIs" dxfId="11835" priority="17368" stopIfTrue="1" operator="equal">
      <formula>"Towel"</formula>
    </cfRule>
    <cfRule type="cellIs" dxfId="11834" priority="17369" stopIfTrue="1" operator="equal">
      <formula>"Napkin Hs"</formula>
    </cfRule>
    <cfRule type="cellIs" dxfId="11833" priority="17370" stopIfTrue="1" operator="equal">
      <formula>"Towel"</formula>
    </cfRule>
    <cfRule type="cellIs" dxfId="11832" priority="17371" stopIfTrue="1" operator="equal">
      <formula>"Napkin Hs"</formula>
    </cfRule>
    <cfRule type="cellIs" dxfId="11831" priority="17374" stopIfTrue="1" operator="equal">
      <formula>"Towel"</formula>
    </cfRule>
    <cfRule type="cellIs" dxfId="11830" priority="17375" stopIfTrue="1" operator="equal">
      <formula>"Napkin Hs"</formula>
    </cfRule>
    <cfRule type="cellIs" dxfId="11829" priority="17376" stopIfTrue="1" operator="equal">
      <formula>"Towel"</formula>
    </cfRule>
    <cfRule type="cellIs" dxfId="11828" priority="17377" stopIfTrue="1" operator="equal">
      <formula>"Napkin Hs"</formula>
    </cfRule>
    <cfRule type="cellIs" dxfId="11827" priority="17382" stopIfTrue="1" operator="equal">
      <formula>"Towel"</formula>
    </cfRule>
    <cfRule type="cellIs" dxfId="11826" priority="17383" stopIfTrue="1" operator="equal">
      <formula>"Napkin Hs"</formula>
    </cfRule>
    <cfRule type="cellIs" dxfId="11825" priority="17384" stopIfTrue="1" operator="equal">
      <formula>"Towel"</formula>
    </cfRule>
    <cfRule type="cellIs" dxfId="11824" priority="17385" stopIfTrue="1" operator="equal">
      <formula>"Napkin Hs"</formula>
    </cfRule>
    <cfRule type="cellIs" dxfId="11823" priority="17388" stopIfTrue="1" operator="equal">
      <formula>"Towel"</formula>
    </cfRule>
    <cfRule type="cellIs" dxfId="11822" priority="17389" stopIfTrue="1" operator="equal">
      <formula>"Napkin Hs"</formula>
    </cfRule>
    <cfRule type="cellIs" dxfId="11821" priority="17390" stopIfTrue="1" operator="equal">
      <formula>"Towel"</formula>
    </cfRule>
    <cfRule type="cellIs" dxfId="11820" priority="17391" stopIfTrue="1" operator="equal">
      <formula>"Napkin Hs"</formula>
    </cfRule>
    <cfRule type="cellIs" dxfId="11819" priority="17392" stopIfTrue="1" operator="equal">
      <formula>"Towel"</formula>
    </cfRule>
    <cfRule type="cellIs" dxfId="11818" priority="17393" stopIfTrue="1" operator="equal">
      <formula>"Napkin Hs"</formula>
    </cfRule>
    <cfRule type="cellIs" dxfId="11817" priority="17394" stopIfTrue="1" operator="equal">
      <formula>"Towel"</formula>
    </cfRule>
    <cfRule type="cellIs" dxfId="11816" priority="17395" stopIfTrue="1" operator="equal">
      <formula>"Napkin Hs"</formula>
    </cfRule>
    <cfRule type="cellIs" dxfId="11815" priority="17398" stopIfTrue="1" operator="equal">
      <formula>"Towel"</formula>
    </cfRule>
    <cfRule type="cellIs" dxfId="11814" priority="17399" stopIfTrue="1" operator="equal">
      <formula>"Napkin Hs"</formula>
    </cfRule>
    <cfRule type="cellIs" dxfId="11813" priority="17400" stopIfTrue="1" operator="equal">
      <formula>"Towel"</formula>
    </cfRule>
    <cfRule type="cellIs" dxfId="11812" priority="17401" stopIfTrue="1" operator="equal">
      <formula>"Napkin Hs"</formula>
    </cfRule>
    <cfRule type="cellIs" dxfId="11811" priority="17406" stopIfTrue="1" operator="equal">
      <formula>"Towel"</formula>
    </cfRule>
    <cfRule type="cellIs" dxfId="11810" priority="17407" stopIfTrue="1" operator="equal">
      <formula>"Napkin Hs"</formula>
    </cfRule>
    <cfRule type="cellIs" dxfId="11809" priority="17408" stopIfTrue="1" operator="equal">
      <formula>"Towel"</formula>
    </cfRule>
    <cfRule type="cellIs" dxfId="11808" priority="17409" stopIfTrue="1" operator="equal">
      <formula>"Napkin Hs"</formula>
    </cfRule>
    <cfRule type="cellIs" dxfId="11807" priority="17412" stopIfTrue="1" operator="equal">
      <formula>"Towel"</formula>
    </cfRule>
    <cfRule type="cellIs" dxfId="11806" priority="17413" stopIfTrue="1" operator="equal">
      <formula>"Napkin Hs"</formula>
    </cfRule>
    <cfRule type="cellIs" dxfId="11805" priority="17414" stopIfTrue="1" operator="equal">
      <formula>"Towel"</formula>
    </cfRule>
    <cfRule type="cellIs" dxfId="11804" priority="17415" stopIfTrue="1" operator="equal">
      <formula>"Napkin Hs"</formula>
    </cfRule>
    <cfRule type="cellIs" dxfId="11803" priority="17416" stopIfTrue="1" operator="equal">
      <formula>"Towel"</formula>
    </cfRule>
    <cfRule type="cellIs" dxfId="11802" priority="17417" stopIfTrue="1" operator="equal">
      <formula>"Napkin Hs"</formula>
    </cfRule>
    <cfRule type="cellIs" dxfId="11801" priority="17418" stopIfTrue="1" operator="equal">
      <formula>"Towel"</formula>
    </cfRule>
    <cfRule type="cellIs" dxfId="11800" priority="17419" stopIfTrue="1" operator="equal">
      <formula>"Napkin Hs"</formula>
    </cfRule>
    <cfRule type="cellIs" dxfId="11799" priority="17424" stopIfTrue="1" operator="equal">
      <formula>"Towel"</formula>
    </cfRule>
    <cfRule type="cellIs" dxfId="11798" priority="17425" stopIfTrue="1" operator="equal">
      <formula>"Napkin Hs"</formula>
    </cfRule>
    <cfRule type="cellIs" dxfId="11797" priority="17426" stopIfTrue="1" operator="equal">
      <formula>"Towel"</formula>
    </cfRule>
    <cfRule type="cellIs" dxfId="11796" priority="17427" stopIfTrue="1" operator="equal">
      <formula>"Napkin Hs"</formula>
    </cfRule>
    <cfRule type="cellIs" dxfId="11795" priority="17430" stopIfTrue="1" operator="equal">
      <formula>"Towel"</formula>
    </cfRule>
    <cfRule type="cellIs" dxfId="11794" priority="17431" stopIfTrue="1" operator="equal">
      <formula>"Napkin Hs"</formula>
    </cfRule>
    <cfRule type="cellIs" dxfId="11793" priority="17432" stopIfTrue="1" operator="equal">
      <formula>"Towel"</formula>
    </cfRule>
    <cfRule type="cellIs" dxfId="11792" priority="17433" stopIfTrue="1" operator="equal">
      <formula>"Napkin Hs"</formula>
    </cfRule>
    <cfRule type="cellIs" dxfId="11791" priority="17434" stopIfTrue="1" operator="equal">
      <formula>"Towel"</formula>
    </cfRule>
    <cfRule type="cellIs" dxfId="11790" priority="17435" stopIfTrue="1" operator="equal">
      <formula>"Napkin Hs"</formula>
    </cfRule>
    <cfRule type="cellIs" dxfId="11789" priority="17436" stopIfTrue="1" operator="equal">
      <formula>"Towel"</formula>
    </cfRule>
    <cfRule type="cellIs" dxfId="11788" priority="17437" stopIfTrue="1" operator="equal">
      <formula>"Napkin Hs"</formula>
    </cfRule>
    <cfRule type="cellIs" dxfId="11787" priority="17442" stopIfTrue="1" operator="equal">
      <formula>"Towel"</formula>
    </cfRule>
    <cfRule type="cellIs" dxfId="11786" priority="17443" stopIfTrue="1" operator="equal">
      <formula>"Napkin Hs"</formula>
    </cfRule>
    <cfRule type="cellIs" dxfId="11785" priority="17444" stopIfTrue="1" operator="equal">
      <formula>"Towel"</formula>
    </cfRule>
    <cfRule type="cellIs" dxfId="11784" priority="17445" stopIfTrue="1" operator="equal">
      <formula>"Napkin Hs"</formula>
    </cfRule>
    <cfRule type="cellIs" dxfId="11783" priority="17448" stopIfTrue="1" operator="equal">
      <formula>"Towel"</formula>
    </cfRule>
    <cfRule type="cellIs" dxfId="11782" priority="17449" stopIfTrue="1" operator="equal">
      <formula>"Napkin Hs"</formula>
    </cfRule>
    <cfRule type="cellIs" dxfId="11781" priority="17450" stopIfTrue="1" operator="equal">
      <formula>"Towel"</formula>
    </cfRule>
    <cfRule type="cellIs" dxfId="11780" priority="17451" stopIfTrue="1" operator="equal">
      <formula>"Napkin Hs"</formula>
    </cfRule>
  </conditionalFormatting>
  <conditionalFormatting sqref="C59:C60">
    <cfRule type="cellIs" dxfId="11779" priority="17354" stopIfTrue="1" operator="equal">
      <formula>"Napkin Hs"</formula>
    </cfRule>
  </conditionalFormatting>
  <conditionalFormatting sqref="C59:C60">
    <cfRule type="cellIs" dxfId="11778" priority="17353" stopIfTrue="1" operator="equal">
      <formula>"Napkin Hs"</formula>
    </cfRule>
  </conditionalFormatting>
  <conditionalFormatting sqref="B59:B60">
    <cfRule type="cellIs" dxfId="11777" priority="17352" stopIfTrue="1" operator="equal">
      <formula>"Napkin Hs"</formula>
    </cfRule>
  </conditionalFormatting>
  <conditionalFormatting sqref="C59:C60">
    <cfRule type="cellIs" dxfId="11776" priority="17351" stopIfTrue="1" operator="equal">
      <formula>"Napkin Hs"</formula>
    </cfRule>
  </conditionalFormatting>
  <conditionalFormatting sqref="C59:C60">
    <cfRule type="cellIs" dxfId="11775" priority="17350" stopIfTrue="1" operator="equal">
      <formula>"Napkin Hs"</formula>
    </cfRule>
  </conditionalFormatting>
  <conditionalFormatting sqref="C59:C60">
    <cfRule type="cellIs" dxfId="11774" priority="17349" stopIfTrue="1" operator="equal">
      <formula>"Napkin Hs"</formula>
    </cfRule>
  </conditionalFormatting>
  <conditionalFormatting sqref="C59:C60">
    <cfRule type="cellIs" dxfId="11773" priority="17348" stopIfTrue="1" operator="equal">
      <formula>"Napkin Hs"</formula>
    </cfRule>
  </conditionalFormatting>
  <conditionalFormatting sqref="B59:B60">
    <cfRule type="cellIs" dxfId="11772" priority="17347" stopIfTrue="1" operator="equal">
      <formula>"Napkin Hs"</formula>
    </cfRule>
  </conditionalFormatting>
  <conditionalFormatting sqref="B59:B60">
    <cfRule type="cellIs" dxfId="11771" priority="17346" stopIfTrue="1" operator="equal">
      <formula>"Napkin Hs"</formula>
    </cfRule>
  </conditionalFormatting>
  <conditionalFormatting sqref="C59:C60">
    <cfRule type="cellIs" dxfId="11770" priority="17342" stopIfTrue="1" operator="equal">
      <formula>"Towel"</formula>
    </cfRule>
    <cfRule type="cellIs" dxfId="11769" priority="17343" stopIfTrue="1" operator="equal">
      <formula>"Napkin Hs"</formula>
    </cfRule>
  </conditionalFormatting>
  <conditionalFormatting sqref="C59:C60">
    <cfRule type="cellIs" dxfId="11768" priority="17344" stopIfTrue="1" operator="equal">
      <formula>"Towel"</formula>
    </cfRule>
    <cfRule type="cellIs" dxfId="11767" priority="17345" stopIfTrue="1" operator="equal">
      <formula>"Napkin Hs"</formula>
    </cfRule>
  </conditionalFormatting>
  <conditionalFormatting sqref="C59:C60">
    <cfRule type="cellIs" dxfId="11766" priority="17338" stopIfTrue="1" operator="equal">
      <formula>"Towel"</formula>
    </cfRule>
    <cfRule type="cellIs" dxfId="11765" priority="17339" stopIfTrue="1" operator="equal">
      <formula>"Napkin Hs"</formula>
    </cfRule>
  </conditionalFormatting>
  <conditionalFormatting sqref="C59:C60">
    <cfRule type="cellIs" dxfId="11764" priority="17340" stopIfTrue="1" operator="equal">
      <formula>"Towel"</formula>
    </cfRule>
    <cfRule type="cellIs" dxfId="11763" priority="17341" stopIfTrue="1" operator="equal">
      <formula>"Napkin Hs"</formula>
    </cfRule>
  </conditionalFormatting>
  <conditionalFormatting sqref="C57">
    <cfRule type="cellIs" dxfId="11762" priority="17334" stopIfTrue="1" operator="equal">
      <formula>"Towel"</formula>
    </cfRule>
    <cfRule type="cellIs" dxfId="11761" priority="17335" stopIfTrue="1" operator="equal">
      <formula>"Napkin Hs"</formula>
    </cfRule>
  </conditionalFormatting>
  <conditionalFormatting sqref="C57">
    <cfRule type="cellIs" dxfId="11760" priority="17336" stopIfTrue="1" operator="equal">
      <formula>"Towel"</formula>
    </cfRule>
    <cfRule type="cellIs" dxfId="11759" priority="17337" stopIfTrue="1" operator="equal">
      <formula>"Napkin Hs"</formula>
    </cfRule>
  </conditionalFormatting>
  <conditionalFormatting sqref="C57">
    <cfRule type="cellIs" dxfId="11758" priority="17332" stopIfTrue="1" operator="equal">
      <formula>"Towel"</formula>
    </cfRule>
    <cfRule type="cellIs" dxfId="11757" priority="17333" stopIfTrue="1" operator="equal">
      <formula>"Napkin Hs"</formula>
    </cfRule>
  </conditionalFormatting>
  <conditionalFormatting sqref="B57">
    <cfRule type="cellIs" dxfId="11756" priority="17330" stopIfTrue="1" operator="equal">
      <formula>"Towel"</formula>
    </cfRule>
    <cfRule type="cellIs" dxfId="11755" priority="17331" stopIfTrue="1" operator="equal">
      <formula>"Napkin Hs"</formula>
    </cfRule>
  </conditionalFormatting>
  <conditionalFormatting sqref="C57">
    <cfRule type="cellIs" dxfId="11754" priority="17324" stopIfTrue="1" operator="equal">
      <formula>"Towel"</formula>
    </cfRule>
    <cfRule type="cellIs" dxfId="11753" priority="17325" stopIfTrue="1" operator="equal">
      <formula>"Napkin Hs"</formula>
    </cfRule>
  </conditionalFormatting>
  <conditionalFormatting sqref="C57">
    <cfRule type="cellIs" dxfId="11752" priority="17328" stopIfTrue="1" operator="equal">
      <formula>"Towel"</formula>
    </cfRule>
    <cfRule type="cellIs" dxfId="11751" priority="17329" stopIfTrue="1" operator="equal">
      <formula>"Napkin Hs"</formula>
    </cfRule>
  </conditionalFormatting>
  <conditionalFormatting sqref="C57">
    <cfRule type="cellIs" dxfId="11750" priority="17326" stopIfTrue="1" operator="equal">
      <formula>"Towel"</formula>
    </cfRule>
    <cfRule type="cellIs" dxfId="11749" priority="17327" stopIfTrue="1" operator="equal">
      <formula>"Napkin Hs"</formula>
    </cfRule>
  </conditionalFormatting>
  <conditionalFormatting sqref="C57">
    <cfRule type="cellIs" dxfId="11748" priority="17318" stopIfTrue="1" operator="equal">
      <formula>"Towel"</formula>
    </cfRule>
    <cfRule type="cellIs" dxfId="11747" priority="17319" stopIfTrue="1" operator="equal">
      <formula>"Napkin Hs"</formula>
    </cfRule>
  </conditionalFormatting>
  <conditionalFormatting sqref="C57">
    <cfRule type="cellIs" dxfId="11746" priority="17320" stopIfTrue="1" operator="equal">
      <formula>"Towel"</formula>
    </cfRule>
    <cfRule type="cellIs" dxfId="11745" priority="17321" stopIfTrue="1" operator="equal">
      <formula>"Napkin Hs"</formula>
    </cfRule>
  </conditionalFormatting>
  <conditionalFormatting sqref="C57">
    <cfRule type="cellIs" dxfId="11744" priority="17322" stopIfTrue="1" operator="equal">
      <formula>"Towel"</formula>
    </cfRule>
    <cfRule type="cellIs" dxfId="11743" priority="17323" stopIfTrue="1" operator="equal">
      <formula>"Napkin Hs"</formula>
    </cfRule>
  </conditionalFormatting>
  <conditionalFormatting sqref="B57:C57">
    <cfRule type="cellIs" dxfId="11742" priority="17316" stopIfTrue="1" operator="equal">
      <formula>"Towel"</formula>
    </cfRule>
    <cfRule type="cellIs" dxfId="11741" priority="17317" stopIfTrue="1" operator="equal">
      <formula>"Napkin Hs"</formula>
    </cfRule>
  </conditionalFormatting>
  <conditionalFormatting sqref="B57:C57">
    <cfRule type="cellIs" dxfId="11740" priority="17314" stopIfTrue="1" operator="equal">
      <formula>"Towel"</formula>
    </cfRule>
    <cfRule type="cellIs" dxfId="11739" priority="17315" stopIfTrue="1" operator="equal">
      <formula>"Napkin Hs"</formula>
    </cfRule>
  </conditionalFormatting>
  <conditionalFormatting sqref="B57:C57">
    <cfRule type="cellIs" dxfId="11738" priority="17290" stopIfTrue="1" operator="equal">
      <formula>"Towel"</formula>
    </cfRule>
  </conditionalFormatting>
  <conditionalFormatting sqref="B57:C57">
    <cfRule type="cellIs" dxfId="11737" priority="17291" stopIfTrue="1" operator="equal">
      <formula>"Napkin Hs"</formula>
    </cfRule>
    <cfRule type="cellIs" dxfId="11736" priority="17296" stopIfTrue="1" operator="equal">
      <formula>"Towel"</formula>
    </cfRule>
    <cfRule type="cellIs" dxfId="11735" priority="17297" stopIfTrue="1" operator="equal">
      <formula>"Napkin Hs"</formula>
    </cfRule>
    <cfRule type="cellIs" dxfId="11734" priority="17306" stopIfTrue="1" operator="equal">
      <formula>"Towel"</formula>
    </cfRule>
    <cfRule type="cellIs" dxfId="11733" priority="17307" stopIfTrue="1" operator="equal">
      <formula>"Napkin Hs"</formula>
    </cfRule>
    <cfRule type="cellIs" dxfId="11732" priority="17312" stopIfTrue="1" operator="equal">
      <formula>"Towel"</formula>
    </cfRule>
    <cfRule type="cellIs" dxfId="11731" priority="17313" stopIfTrue="1" operator="equal">
      <formula>"Napkin Hs"</formula>
    </cfRule>
  </conditionalFormatting>
  <conditionalFormatting sqref="C57">
    <cfRule type="cellIs" dxfId="11730" priority="17292" stopIfTrue="1" operator="equal">
      <formula>"Towel"</formula>
    </cfRule>
    <cfRule type="cellIs" dxfId="11729" priority="17293" stopIfTrue="1" operator="equal">
      <formula>"Napkin Hs"</formula>
    </cfRule>
    <cfRule type="cellIs" dxfId="11728" priority="17294" stopIfTrue="1" operator="equal">
      <formula>"Towel"</formula>
    </cfRule>
    <cfRule type="cellIs" dxfId="11727" priority="17295" stopIfTrue="1" operator="equal">
      <formula>"Napkin Hs"</formula>
    </cfRule>
    <cfRule type="cellIs" dxfId="11726" priority="17298" stopIfTrue="1" operator="equal">
      <formula>"Towel"</formula>
    </cfRule>
    <cfRule type="cellIs" dxfId="11725" priority="17299" stopIfTrue="1" operator="equal">
      <formula>"Napkin Hs"</formula>
    </cfRule>
    <cfRule type="cellIs" dxfId="11724" priority="17300" stopIfTrue="1" operator="equal">
      <formula>"Towel"</formula>
    </cfRule>
    <cfRule type="cellIs" dxfId="11723" priority="17301" stopIfTrue="1" operator="equal">
      <formula>"Napkin Hs"</formula>
    </cfRule>
    <cfRule type="cellIs" dxfId="11722" priority="17302" stopIfTrue="1" operator="equal">
      <formula>"Towel"</formula>
    </cfRule>
    <cfRule type="cellIs" dxfId="11721" priority="17303" stopIfTrue="1" operator="equal">
      <formula>"Napkin Hs"</formula>
    </cfRule>
    <cfRule type="cellIs" dxfId="11720" priority="17304" stopIfTrue="1" operator="equal">
      <formula>"Towel"</formula>
    </cfRule>
    <cfRule type="cellIs" dxfId="11719" priority="17305" stopIfTrue="1" operator="equal">
      <formula>"Napkin Hs"</formula>
    </cfRule>
    <cfRule type="cellIs" dxfId="11718" priority="17308" stopIfTrue="1" operator="equal">
      <formula>"Towel"</formula>
    </cfRule>
    <cfRule type="cellIs" dxfId="11717" priority="17309" stopIfTrue="1" operator="equal">
      <formula>"Napkin Hs"</formula>
    </cfRule>
    <cfRule type="cellIs" dxfId="11716" priority="17311" stopIfTrue="1" operator="equal">
      <formula>"Napkin Hs"</formula>
    </cfRule>
  </conditionalFormatting>
  <conditionalFormatting sqref="C57">
    <cfRule type="cellIs" dxfId="11715" priority="17310" stopIfTrue="1" operator="equal">
      <formula>"Towel"</formula>
    </cfRule>
  </conditionalFormatting>
  <conditionalFormatting sqref="B57:C57">
    <cfRule type="cellIs" dxfId="11714" priority="17288" stopIfTrue="1" operator="equal">
      <formula>"Towel"</formula>
    </cfRule>
    <cfRule type="cellIs" dxfId="11713" priority="17289" stopIfTrue="1" operator="equal">
      <formula>"Napkin Hs"</formula>
    </cfRule>
  </conditionalFormatting>
  <conditionalFormatting sqref="C57">
    <cfRule type="cellIs" dxfId="11712" priority="17287" stopIfTrue="1" operator="equal">
      <formula>"Napkin Hs"</formula>
    </cfRule>
  </conditionalFormatting>
  <conditionalFormatting sqref="C57">
    <cfRule type="cellIs" dxfId="11711" priority="17286" stopIfTrue="1" operator="equal">
      <formula>"Towel"</formula>
    </cfRule>
  </conditionalFormatting>
  <conditionalFormatting sqref="C57">
    <cfRule type="cellIs" dxfId="11710" priority="17284" stopIfTrue="1" operator="equal">
      <formula>"Towel"</formula>
    </cfRule>
  </conditionalFormatting>
  <conditionalFormatting sqref="C57">
    <cfRule type="cellIs" dxfId="11709" priority="17285" stopIfTrue="1" operator="equal">
      <formula>"Napkin Hs"</formula>
    </cfRule>
  </conditionalFormatting>
  <conditionalFormatting sqref="B57">
    <cfRule type="cellIs" dxfId="11708" priority="17188" stopIfTrue="1" operator="equal">
      <formula>"Napkin Hs"</formula>
    </cfRule>
  </conditionalFormatting>
  <conditionalFormatting sqref="B57:C57">
    <cfRule type="cellIs" dxfId="11707" priority="17187" stopIfTrue="1" operator="equal">
      <formula>"Towel"</formula>
    </cfRule>
  </conditionalFormatting>
  <conditionalFormatting sqref="B57:C57">
    <cfRule type="cellIs" dxfId="11706" priority="17198" stopIfTrue="1" operator="equal">
      <formula>"Towel"</formula>
    </cfRule>
    <cfRule type="cellIs" dxfId="11705" priority="17199" stopIfTrue="1" operator="equal">
      <formula>"Napkin Hs"</formula>
    </cfRule>
    <cfRule type="cellIs" dxfId="11704" priority="17204" stopIfTrue="1" operator="equal">
      <formula>"Towel"</formula>
    </cfRule>
    <cfRule type="cellIs" dxfId="11703" priority="17205" stopIfTrue="1" operator="equal">
      <formula>"Napkin Hs"</formula>
    </cfRule>
    <cfRule type="cellIs" dxfId="11702" priority="17210" stopIfTrue="1" operator="equal">
      <formula>"Towel"</formula>
    </cfRule>
    <cfRule type="cellIs" dxfId="11701" priority="17211" stopIfTrue="1" operator="equal">
      <formula>"Napkin Hs"</formula>
    </cfRule>
    <cfRule type="cellIs" dxfId="11700" priority="17212" stopIfTrue="1" operator="equal">
      <formula>"Towel"</formula>
    </cfRule>
    <cfRule type="cellIs" dxfId="11699" priority="17213" stopIfTrue="1" operator="equal">
      <formula>"Napkin Hs"</formula>
    </cfRule>
    <cfRule type="cellIs" dxfId="11698" priority="17218" stopIfTrue="1" operator="equal">
      <formula>"Towel"</formula>
    </cfRule>
    <cfRule type="cellIs" dxfId="11697" priority="17219" stopIfTrue="1" operator="equal">
      <formula>"Napkin Hs"</formula>
    </cfRule>
    <cfRule type="cellIs" dxfId="11696" priority="17228" stopIfTrue="1" operator="equal">
      <formula>"Towel"</formula>
    </cfRule>
    <cfRule type="cellIs" dxfId="11695" priority="17229" stopIfTrue="1" operator="equal">
      <formula>"Napkin Hs"</formula>
    </cfRule>
    <cfRule type="cellIs" dxfId="11694" priority="17234" stopIfTrue="1" operator="equal">
      <formula>"Towel"</formula>
    </cfRule>
    <cfRule type="cellIs" dxfId="11693" priority="17235" stopIfTrue="1" operator="equal">
      <formula>"Napkin Hs"</formula>
    </cfRule>
    <cfRule type="cellIs" dxfId="11692" priority="17236" stopIfTrue="1" operator="equal">
      <formula>"Towel"</formula>
    </cfRule>
    <cfRule type="cellIs" dxfId="11691" priority="17237" stopIfTrue="1" operator="equal">
      <formula>"Napkin Hs"</formula>
    </cfRule>
    <cfRule type="cellIs" dxfId="11690" priority="17242" stopIfTrue="1" operator="equal">
      <formula>"Towel"</formula>
    </cfRule>
    <cfRule type="cellIs" dxfId="11689" priority="17243" stopIfTrue="1" operator="equal">
      <formula>"Napkin Hs"</formula>
    </cfRule>
    <cfRule type="cellIs" dxfId="11688" priority="17252" stopIfTrue="1" operator="equal">
      <formula>"Towel"</formula>
    </cfRule>
    <cfRule type="cellIs" dxfId="11687" priority="17253" stopIfTrue="1" operator="equal">
      <formula>"Napkin Hs"</formula>
    </cfRule>
    <cfRule type="cellIs" dxfId="11686" priority="17254" stopIfTrue="1" operator="equal">
      <formula>"Towel"</formula>
    </cfRule>
    <cfRule type="cellIs" dxfId="11685" priority="17255" stopIfTrue="1" operator="equal">
      <formula>"Napkin Hs"</formula>
    </cfRule>
    <cfRule type="cellIs" dxfId="11684" priority="17260" stopIfTrue="1" operator="equal">
      <formula>"Towel"</formula>
    </cfRule>
    <cfRule type="cellIs" dxfId="11683" priority="17261" stopIfTrue="1" operator="equal">
      <formula>"Napkin Hs"</formula>
    </cfRule>
    <cfRule type="cellIs" dxfId="11682" priority="17270" stopIfTrue="1" operator="equal">
      <formula>"Towel"</formula>
    </cfRule>
    <cfRule type="cellIs" dxfId="11681" priority="17271" stopIfTrue="1" operator="equal">
      <formula>"Napkin Hs"</formula>
    </cfRule>
    <cfRule type="cellIs" dxfId="11680" priority="17272" stopIfTrue="1" operator="equal">
      <formula>"Towel"</formula>
    </cfRule>
    <cfRule type="cellIs" dxfId="11679" priority="17273" stopIfTrue="1" operator="equal">
      <formula>"Napkin Hs"</formula>
    </cfRule>
    <cfRule type="cellIs" dxfId="11678" priority="17279" stopIfTrue="1" operator="equal">
      <formula>"Napkin Hs"</formula>
    </cfRule>
  </conditionalFormatting>
  <conditionalFormatting sqref="B57:C57">
    <cfRule type="cellIs" dxfId="11677" priority="17278" stopIfTrue="1" operator="equal">
      <formula>"Towel"</formula>
    </cfRule>
  </conditionalFormatting>
  <conditionalFormatting sqref="C57">
    <cfRule type="cellIs" dxfId="11676" priority="17189" stopIfTrue="1" operator="equal">
      <formula>"Napkin Hs"</formula>
    </cfRule>
    <cfRule type="cellIs" dxfId="11675" priority="17190" stopIfTrue="1" operator="equal">
      <formula>"Towel"</formula>
    </cfRule>
    <cfRule type="cellIs" dxfId="11674" priority="17191" stopIfTrue="1" operator="equal">
      <formula>"Napkin Hs"</formula>
    </cfRule>
    <cfRule type="cellIs" dxfId="11673" priority="17192" stopIfTrue="1" operator="equal">
      <formula>"Towel"</formula>
    </cfRule>
    <cfRule type="cellIs" dxfId="11672" priority="17193" stopIfTrue="1" operator="equal">
      <formula>"Napkin Hs"</formula>
    </cfRule>
    <cfRule type="cellIs" dxfId="11671" priority="17194" stopIfTrue="1" operator="equal">
      <formula>"Towel"</formula>
    </cfRule>
    <cfRule type="cellIs" dxfId="11670" priority="17195" stopIfTrue="1" operator="equal">
      <formula>"Napkin Hs"</formula>
    </cfRule>
    <cfRule type="cellIs" dxfId="11669" priority="17196" stopIfTrue="1" operator="equal">
      <formula>"Towel"</formula>
    </cfRule>
    <cfRule type="cellIs" dxfId="11668" priority="17197" stopIfTrue="1" operator="equal">
      <formula>"Napkin Hs"</formula>
    </cfRule>
    <cfRule type="cellIs" dxfId="11667" priority="17200" stopIfTrue="1" operator="equal">
      <formula>"Towel"</formula>
    </cfRule>
    <cfRule type="cellIs" dxfId="11666" priority="17201" stopIfTrue="1" operator="equal">
      <formula>"Napkin Hs"</formula>
    </cfRule>
    <cfRule type="cellIs" dxfId="11665" priority="17202" stopIfTrue="1" operator="equal">
      <formula>"Towel"</formula>
    </cfRule>
    <cfRule type="cellIs" dxfId="11664" priority="17203" stopIfTrue="1" operator="equal">
      <formula>"Napkin Hs"</formula>
    </cfRule>
    <cfRule type="cellIs" dxfId="11663" priority="17206" stopIfTrue="1" operator="equal">
      <formula>"Towel"</formula>
    </cfRule>
    <cfRule type="cellIs" dxfId="11662" priority="17207" stopIfTrue="1" operator="equal">
      <formula>"Napkin Hs"</formula>
    </cfRule>
    <cfRule type="cellIs" dxfId="11661" priority="17208" stopIfTrue="1" operator="equal">
      <formula>"Towel"</formula>
    </cfRule>
    <cfRule type="cellIs" dxfId="11660" priority="17209" stopIfTrue="1" operator="equal">
      <formula>"Napkin Hs"</formula>
    </cfRule>
    <cfRule type="cellIs" dxfId="11659" priority="17214" stopIfTrue="1" operator="equal">
      <formula>"Towel"</formula>
    </cfRule>
    <cfRule type="cellIs" dxfId="11658" priority="17215" stopIfTrue="1" operator="equal">
      <formula>"Napkin Hs"</formula>
    </cfRule>
    <cfRule type="cellIs" dxfId="11657" priority="17216" stopIfTrue="1" operator="equal">
      <formula>"Towel"</formula>
    </cfRule>
    <cfRule type="cellIs" dxfId="11656" priority="17217" stopIfTrue="1" operator="equal">
      <formula>"Napkin Hs"</formula>
    </cfRule>
    <cfRule type="cellIs" dxfId="11655" priority="17220" stopIfTrue="1" operator="equal">
      <formula>"Towel"</formula>
    </cfRule>
    <cfRule type="cellIs" dxfId="11654" priority="17221" stopIfTrue="1" operator="equal">
      <formula>"Napkin Hs"</formula>
    </cfRule>
    <cfRule type="cellIs" dxfId="11653" priority="17222" stopIfTrue="1" operator="equal">
      <formula>"Towel"</formula>
    </cfRule>
    <cfRule type="cellIs" dxfId="11652" priority="17223" stopIfTrue="1" operator="equal">
      <formula>"Napkin Hs"</formula>
    </cfRule>
    <cfRule type="cellIs" dxfId="11651" priority="17224" stopIfTrue="1" operator="equal">
      <formula>"Towel"</formula>
    </cfRule>
    <cfRule type="cellIs" dxfId="11650" priority="17225" stopIfTrue="1" operator="equal">
      <formula>"Napkin Hs"</formula>
    </cfRule>
    <cfRule type="cellIs" dxfId="11649" priority="17226" stopIfTrue="1" operator="equal">
      <formula>"Towel"</formula>
    </cfRule>
    <cfRule type="cellIs" dxfId="11648" priority="17227" stopIfTrue="1" operator="equal">
      <formula>"Napkin Hs"</formula>
    </cfRule>
    <cfRule type="cellIs" dxfId="11647" priority="17230" stopIfTrue="1" operator="equal">
      <formula>"Towel"</formula>
    </cfRule>
    <cfRule type="cellIs" dxfId="11646" priority="17231" stopIfTrue="1" operator="equal">
      <formula>"Napkin Hs"</formula>
    </cfRule>
    <cfRule type="cellIs" dxfId="11645" priority="17232" stopIfTrue="1" operator="equal">
      <formula>"Towel"</formula>
    </cfRule>
    <cfRule type="cellIs" dxfId="11644" priority="17233" stopIfTrue="1" operator="equal">
      <formula>"Napkin Hs"</formula>
    </cfRule>
    <cfRule type="cellIs" dxfId="11643" priority="17238" stopIfTrue="1" operator="equal">
      <formula>"Towel"</formula>
    </cfRule>
    <cfRule type="cellIs" dxfId="11642" priority="17239" stopIfTrue="1" operator="equal">
      <formula>"Napkin Hs"</formula>
    </cfRule>
    <cfRule type="cellIs" dxfId="11641" priority="17240" stopIfTrue="1" operator="equal">
      <formula>"Towel"</formula>
    </cfRule>
    <cfRule type="cellIs" dxfId="11640" priority="17241" stopIfTrue="1" operator="equal">
      <formula>"Napkin Hs"</formula>
    </cfRule>
    <cfRule type="cellIs" dxfId="11639" priority="17244" stopIfTrue="1" operator="equal">
      <formula>"Towel"</formula>
    </cfRule>
    <cfRule type="cellIs" dxfId="11638" priority="17245" stopIfTrue="1" operator="equal">
      <formula>"Napkin Hs"</formula>
    </cfRule>
    <cfRule type="cellIs" dxfId="11637" priority="17246" stopIfTrue="1" operator="equal">
      <formula>"Towel"</formula>
    </cfRule>
    <cfRule type="cellIs" dxfId="11636" priority="17247" stopIfTrue="1" operator="equal">
      <formula>"Napkin Hs"</formula>
    </cfRule>
    <cfRule type="cellIs" dxfId="11635" priority="17248" stopIfTrue="1" operator="equal">
      <formula>"Towel"</formula>
    </cfRule>
    <cfRule type="cellIs" dxfId="11634" priority="17249" stopIfTrue="1" operator="equal">
      <formula>"Napkin Hs"</formula>
    </cfRule>
    <cfRule type="cellIs" dxfId="11633" priority="17250" stopIfTrue="1" operator="equal">
      <formula>"Towel"</formula>
    </cfRule>
    <cfRule type="cellIs" dxfId="11632" priority="17251" stopIfTrue="1" operator="equal">
      <formula>"Napkin Hs"</formula>
    </cfRule>
    <cfRule type="cellIs" dxfId="11631" priority="17256" stopIfTrue="1" operator="equal">
      <formula>"Towel"</formula>
    </cfRule>
    <cfRule type="cellIs" dxfId="11630" priority="17257" stopIfTrue="1" operator="equal">
      <formula>"Napkin Hs"</formula>
    </cfRule>
    <cfRule type="cellIs" dxfId="11629" priority="17258" stopIfTrue="1" operator="equal">
      <formula>"Towel"</formula>
    </cfRule>
    <cfRule type="cellIs" dxfId="11628" priority="17259" stopIfTrue="1" operator="equal">
      <formula>"Napkin Hs"</formula>
    </cfRule>
    <cfRule type="cellIs" dxfId="11627" priority="17262" stopIfTrue="1" operator="equal">
      <formula>"Towel"</formula>
    </cfRule>
    <cfRule type="cellIs" dxfId="11626" priority="17263" stopIfTrue="1" operator="equal">
      <formula>"Napkin Hs"</formula>
    </cfRule>
    <cfRule type="cellIs" dxfId="11625" priority="17264" stopIfTrue="1" operator="equal">
      <formula>"Towel"</formula>
    </cfRule>
    <cfRule type="cellIs" dxfId="11624" priority="17265" stopIfTrue="1" operator="equal">
      <formula>"Napkin Hs"</formula>
    </cfRule>
    <cfRule type="cellIs" dxfId="11623" priority="17266" stopIfTrue="1" operator="equal">
      <formula>"Towel"</formula>
    </cfRule>
    <cfRule type="cellIs" dxfId="11622" priority="17267" stopIfTrue="1" operator="equal">
      <formula>"Napkin Hs"</formula>
    </cfRule>
    <cfRule type="cellIs" dxfId="11621" priority="17268" stopIfTrue="1" operator="equal">
      <formula>"Towel"</formula>
    </cfRule>
    <cfRule type="cellIs" dxfId="11620" priority="17269" stopIfTrue="1" operator="equal">
      <formula>"Napkin Hs"</formula>
    </cfRule>
    <cfRule type="cellIs" dxfId="11619" priority="17274" stopIfTrue="1" operator="equal">
      <formula>"Towel"</formula>
    </cfRule>
    <cfRule type="cellIs" dxfId="11618" priority="17275" stopIfTrue="1" operator="equal">
      <formula>"Napkin Hs"</formula>
    </cfRule>
    <cfRule type="cellIs" dxfId="11617" priority="17276" stopIfTrue="1" operator="equal">
      <formula>"Towel"</formula>
    </cfRule>
    <cfRule type="cellIs" dxfId="11616" priority="17277" stopIfTrue="1" operator="equal">
      <formula>"Napkin Hs"</formula>
    </cfRule>
    <cfRule type="cellIs" dxfId="11615" priority="17280" stopIfTrue="1" operator="equal">
      <formula>"Towel"</formula>
    </cfRule>
    <cfRule type="cellIs" dxfId="11614" priority="17281" stopIfTrue="1" operator="equal">
      <formula>"Napkin Hs"</formula>
    </cfRule>
    <cfRule type="cellIs" dxfId="11613" priority="17282" stopIfTrue="1" operator="equal">
      <formula>"Towel"</formula>
    </cfRule>
    <cfRule type="cellIs" dxfId="11612" priority="17283" stopIfTrue="1" operator="equal">
      <formula>"Napkin Hs"</formula>
    </cfRule>
  </conditionalFormatting>
  <conditionalFormatting sqref="C57">
    <cfRule type="cellIs" dxfId="11611" priority="17186" stopIfTrue="1" operator="equal">
      <formula>"Napkin Hs"</formula>
    </cfRule>
  </conditionalFormatting>
  <conditionalFormatting sqref="C57">
    <cfRule type="cellIs" dxfId="11610" priority="17185" stopIfTrue="1" operator="equal">
      <formula>"Napkin Hs"</formula>
    </cfRule>
  </conditionalFormatting>
  <conditionalFormatting sqref="B57">
    <cfRule type="cellIs" dxfId="11609" priority="17184" stopIfTrue="1" operator="equal">
      <formula>"Napkin Hs"</formula>
    </cfRule>
  </conditionalFormatting>
  <conditionalFormatting sqref="C57">
    <cfRule type="cellIs" dxfId="11608" priority="17183" stopIfTrue="1" operator="equal">
      <formula>"Napkin Hs"</formula>
    </cfRule>
  </conditionalFormatting>
  <conditionalFormatting sqref="C57">
    <cfRule type="cellIs" dxfId="11607" priority="17182" stopIfTrue="1" operator="equal">
      <formula>"Napkin Hs"</formula>
    </cfRule>
  </conditionalFormatting>
  <conditionalFormatting sqref="C57">
    <cfRule type="cellIs" dxfId="11606" priority="17181" stopIfTrue="1" operator="equal">
      <formula>"Napkin Hs"</formula>
    </cfRule>
  </conditionalFormatting>
  <conditionalFormatting sqref="C57">
    <cfRule type="cellIs" dxfId="11605" priority="17180" stopIfTrue="1" operator="equal">
      <formula>"Napkin Hs"</formula>
    </cfRule>
  </conditionalFormatting>
  <conditionalFormatting sqref="B57">
    <cfRule type="cellIs" dxfId="11604" priority="17179" stopIfTrue="1" operator="equal">
      <formula>"Napkin Hs"</formula>
    </cfRule>
  </conditionalFormatting>
  <conditionalFormatting sqref="B57">
    <cfRule type="cellIs" dxfId="11603" priority="17178" stopIfTrue="1" operator="equal">
      <formula>"Napkin Hs"</formula>
    </cfRule>
  </conditionalFormatting>
  <conditionalFormatting sqref="C57">
    <cfRule type="cellIs" dxfId="11602" priority="17174" stopIfTrue="1" operator="equal">
      <formula>"Towel"</formula>
    </cfRule>
    <cfRule type="cellIs" dxfId="11601" priority="17175" stopIfTrue="1" operator="equal">
      <formula>"Napkin Hs"</formula>
    </cfRule>
  </conditionalFormatting>
  <conditionalFormatting sqref="C57">
    <cfRule type="cellIs" dxfId="11600" priority="17176" stopIfTrue="1" operator="equal">
      <formula>"Towel"</formula>
    </cfRule>
    <cfRule type="cellIs" dxfId="11599" priority="17177" stopIfTrue="1" operator="equal">
      <formula>"Napkin Hs"</formula>
    </cfRule>
  </conditionalFormatting>
  <conditionalFormatting sqref="C57">
    <cfRule type="cellIs" dxfId="11598" priority="17170" stopIfTrue="1" operator="equal">
      <formula>"Towel"</formula>
    </cfRule>
    <cfRule type="cellIs" dxfId="11597" priority="17171" stopIfTrue="1" operator="equal">
      <formula>"Napkin Hs"</formula>
    </cfRule>
  </conditionalFormatting>
  <conditionalFormatting sqref="C57">
    <cfRule type="cellIs" dxfId="11596" priority="17172" stopIfTrue="1" operator="equal">
      <formula>"Towel"</formula>
    </cfRule>
    <cfRule type="cellIs" dxfId="11595" priority="17173" stopIfTrue="1" operator="equal">
      <formula>"Napkin Hs"</formula>
    </cfRule>
  </conditionalFormatting>
  <conditionalFormatting sqref="C58">
    <cfRule type="cellIs" dxfId="11594" priority="17166" stopIfTrue="1" operator="equal">
      <formula>"Towel"</formula>
    </cfRule>
    <cfRule type="cellIs" dxfId="11593" priority="17167" stopIfTrue="1" operator="equal">
      <formula>"Napkin Hs"</formula>
    </cfRule>
  </conditionalFormatting>
  <conditionalFormatting sqref="C58">
    <cfRule type="cellIs" dxfId="11592" priority="17168" stopIfTrue="1" operator="equal">
      <formula>"Towel"</formula>
    </cfRule>
    <cfRule type="cellIs" dxfId="11591" priority="17169" stopIfTrue="1" operator="equal">
      <formula>"Napkin Hs"</formula>
    </cfRule>
  </conditionalFormatting>
  <conditionalFormatting sqref="C58">
    <cfRule type="cellIs" dxfId="11590" priority="17164" stopIfTrue="1" operator="equal">
      <formula>"Towel"</formula>
    </cfRule>
    <cfRule type="cellIs" dxfId="11589" priority="17165" stopIfTrue="1" operator="equal">
      <formula>"Napkin Hs"</formula>
    </cfRule>
  </conditionalFormatting>
  <conditionalFormatting sqref="C58">
    <cfRule type="cellIs" dxfId="11588" priority="17158" stopIfTrue="1" operator="equal">
      <formula>"Towel"</formula>
    </cfRule>
    <cfRule type="cellIs" dxfId="11587" priority="17159" stopIfTrue="1" operator="equal">
      <formula>"Napkin Hs"</formula>
    </cfRule>
  </conditionalFormatting>
  <conditionalFormatting sqref="C58">
    <cfRule type="cellIs" dxfId="11586" priority="17162" stopIfTrue="1" operator="equal">
      <formula>"Towel"</formula>
    </cfRule>
    <cfRule type="cellIs" dxfId="11585" priority="17163" stopIfTrue="1" operator="equal">
      <formula>"Napkin Hs"</formula>
    </cfRule>
  </conditionalFormatting>
  <conditionalFormatting sqref="C58">
    <cfRule type="cellIs" dxfId="11584" priority="17160" stopIfTrue="1" operator="equal">
      <formula>"Towel"</formula>
    </cfRule>
    <cfRule type="cellIs" dxfId="11583" priority="17161" stopIfTrue="1" operator="equal">
      <formula>"Napkin Hs"</formula>
    </cfRule>
  </conditionalFormatting>
  <conditionalFormatting sqref="C58">
    <cfRule type="cellIs" dxfId="11582" priority="17152" stopIfTrue="1" operator="equal">
      <formula>"Towel"</formula>
    </cfRule>
    <cfRule type="cellIs" dxfId="11581" priority="17153" stopIfTrue="1" operator="equal">
      <formula>"Napkin Hs"</formula>
    </cfRule>
  </conditionalFormatting>
  <conditionalFormatting sqref="C58">
    <cfRule type="cellIs" dxfId="11580" priority="17154" stopIfTrue="1" operator="equal">
      <formula>"Towel"</formula>
    </cfRule>
    <cfRule type="cellIs" dxfId="11579" priority="17155" stopIfTrue="1" operator="equal">
      <formula>"Napkin Hs"</formula>
    </cfRule>
  </conditionalFormatting>
  <conditionalFormatting sqref="C58">
    <cfRule type="cellIs" dxfId="11578" priority="17156" stopIfTrue="1" operator="equal">
      <formula>"Towel"</formula>
    </cfRule>
    <cfRule type="cellIs" dxfId="11577" priority="17157" stopIfTrue="1" operator="equal">
      <formula>"Napkin Hs"</formula>
    </cfRule>
  </conditionalFormatting>
  <conditionalFormatting sqref="C58">
    <cfRule type="cellIs" dxfId="11576" priority="17150" stopIfTrue="1" operator="equal">
      <formula>"Towel"</formula>
    </cfRule>
    <cfRule type="cellIs" dxfId="11575" priority="17151" stopIfTrue="1" operator="equal">
      <formula>"Napkin Hs"</formula>
    </cfRule>
  </conditionalFormatting>
  <conditionalFormatting sqref="C58">
    <cfRule type="cellIs" dxfId="11574" priority="17148" stopIfTrue="1" operator="equal">
      <formula>"Towel"</formula>
    </cfRule>
    <cfRule type="cellIs" dxfId="11573" priority="17149" stopIfTrue="1" operator="equal">
      <formula>"Napkin Hs"</formula>
    </cfRule>
  </conditionalFormatting>
  <conditionalFormatting sqref="C58">
    <cfRule type="cellIs" dxfId="11572" priority="17124" stopIfTrue="1" operator="equal">
      <formula>"Towel"</formula>
    </cfRule>
  </conditionalFormatting>
  <conditionalFormatting sqref="C58">
    <cfRule type="cellIs" dxfId="11571" priority="17125" stopIfTrue="1" operator="equal">
      <formula>"Napkin Hs"</formula>
    </cfRule>
    <cfRule type="cellIs" dxfId="11570" priority="17130" stopIfTrue="1" operator="equal">
      <formula>"Towel"</formula>
    </cfRule>
    <cfRule type="cellIs" dxfId="11569" priority="17131" stopIfTrue="1" operator="equal">
      <formula>"Napkin Hs"</formula>
    </cfRule>
    <cfRule type="cellIs" dxfId="11568" priority="17140" stopIfTrue="1" operator="equal">
      <formula>"Towel"</formula>
    </cfRule>
    <cfRule type="cellIs" dxfId="11567" priority="17141" stopIfTrue="1" operator="equal">
      <formula>"Napkin Hs"</formula>
    </cfRule>
    <cfRule type="cellIs" dxfId="11566" priority="17146" stopIfTrue="1" operator="equal">
      <formula>"Towel"</formula>
    </cfRule>
    <cfRule type="cellIs" dxfId="11565" priority="17147" stopIfTrue="1" operator="equal">
      <formula>"Napkin Hs"</formula>
    </cfRule>
  </conditionalFormatting>
  <conditionalFormatting sqref="C58">
    <cfRule type="cellIs" dxfId="11564" priority="17126" stopIfTrue="1" operator="equal">
      <formula>"Towel"</formula>
    </cfRule>
    <cfRule type="cellIs" dxfId="11563" priority="17127" stopIfTrue="1" operator="equal">
      <formula>"Napkin Hs"</formula>
    </cfRule>
    <cfRule type="cellIs" dxfId="11562" priority="17128" stopIfTrue="1" operator="equal">
      <formula>"Towel"</formula>
    </cfRule>
    <cfRule type="cellIs" dxfId="11561" priority="17129" stopIfTrue="1" operator="equal">
      <formula>"Napkin Hs"</formula>
    </cfRule>
    <cfRule type="cellIs" dxfId="11560" priority="17132" stopIfTrue="1" operator="equal">
      <formula>"Towel"</formula>
    </cfRule>
    <cfRule type="cellIs" dxfId="11559" priority="17133" stopIfTrue="1" operator="equal">
      <formula>"Napkin Hs"</formula>
    </cfRule>
    <cfRule type="cellIs" dxfId="11558" priority="17134" stopIfTrue="1" operator="equal">
      <formula>"Towel"</formula>
    </cfRule>
    <cfRule type="cellIs" dxfId="11557" priority="17135" stopIfTrue="1" operator="equal">
      <formula>"Napkin Hs"</formula>
    </cfRule>
    <cfRule type="cellIs" dxfId="11556" priority="17136" stopIfTrue="1" operator="equal">
      <formula>"Towel"</formula>
    </cfRule>
    <cfRule type="cellIs" dxfId="11555" priority="17137" stopIfTrue="1" operator="equal">
      <formula>"Napkin Hs"</formula>
    </cfRule>
    <cfRule type="cellIs" dxfId="11554" priority="17138" stopIfTrue="1" operator="equal">
      <formula>"Towel"</formula>
    </cfRule>
    <cfRule type="cellIs" dxfId="11553" priority="17139" stopIfTrue="1" operator="equal">
      <formula>"Napkin Hs"</formula>
    </cfRule>
    <cfRule type="cellIs" dxfId="11552" priority="17142" stopIfTrue="1" operator="equal">
      <formula>"Towel"</formula>
    </cfRule>
    <cfRule type="cellIs" dxfId="11551" priority="17143" stopIfTrue="1" operator="equal">
      <formula>"Napkin Hs"</formula>
    </cfRule>
    <cfRule type="cellIs" dxfId="11550" priority="17145" stopIfTrue="1" operator="equal">
      <formula>"Napkin Hs"</formula>
    </cfRule>
  </conditionalFormatting>
  <conditionalFormatting sqref="C58">
    <cfRule type="cellIs" dxfId="11549" priority="17144" stopIfTrue="1" operator="equal">
      <formula>"Towel"</formula>
    </cfRule>
  </conditionalFormatting>
  <conditionalFormatting sqref="C58">
    <cfRule type="cellIs" dxfId="11548" priority="17122" stopIfTrue="1" operator="equal">
      <formula>"Towel"</formula>
    </cfRule>
    <cfRule type="cellIs" dxfId="11547" priority="17123" stopIfTrue="1" operator="equal">
      <formula>"Napkin Hs"</formula>
    </cfRule>
  </conditionalFormatting>
  <conditionalFormatting sqref="C58">
    <cfRule type="cellIs" dxfId="11546" priority="17121" stopIfTrue="1" operator="equal">
      <formula>"Napkin Hs"</formula>
    </cfRule>
  </conditionalFormatting>
  <conditionalFormatting sqref="C58">
    <cfRule type="cellIs" dxfId="11545" priority="17120" stopIfTrue="1" operator="equal">
      <formula>"Towel"</formula>
    </cfRule>
  </conditionalFormatting>
  <conditionalFormatting sqref="C58">
    <cfRule type="cellIs" dxfId="11544" priority="17118" stopIfTrue="1" operator="equal">
      <formula>"Towel"</formula>
    </cfRule>
  </conditionalFormatting>
  <conditionalFormatting sqref="C58">
    <cfRule type="cellIs" dxfId="11543" priority="17119" stopIfTrue="1" operator="equal">
      <formula>"Napkin Hs"</formula>
    </cfRule>
  </conditionalFormatting>
  <conditionalFormatting sqref="C58">
    <cfRule type="cellIs" dxfId="11542" priority="17022" stopIfTrue="1" operator="equal">
      <formula>"Towel"</formula>
    </cfRule>
  </conditionalFormatting>
  <conditionalFormatting sqref="C58">
    <cfRule type="cellIs" dxfId="11541" priority="17032" stopIfTrue="1" operator="equal">
      <formula>"Towel"</formula>
    </cfRule>
    <cfRule type="cellIs" dxfId="11540" priority="17033" stopIfTrue="1" operator="equal">
      <formula>"Napkin Hs"</formula>
    </cfRule>
    <cfRule type="cellIs" dxfId="11539" priority="17038" stopIfTrue="1" operator="equal">
      <formula>"Towel"</formula>
    </cfRule>
    <cfRule type="cellIs" dxfId="11538" priority="17039" stopIfTrue="1" operator="equal">
      <formula>"Napkin Hs"</formula>
    </cfRule>
    <cfRule type="cellIs" dxfId="11537" priority="17044" stopIfTrue="1" operator="equal">
      <formula>"Towel"</formula>
    </cfRule>
    <cfRule type="cellIs" dxfId="11536" priority="17045" stopIfTrue="1" operator="equal">
      <formula>"Napkin Hs"</formula>
    </cfRule>
    <cfRule type="cellIs" dxfId="11535" priority="17046" stopIfTrue="1" operator="equal">
      <formula>"Towel"</formula>
    </cfRule>
    <cfRule type="cellIs" dxfId="11534" priority="17047" stopIfTrue="1" operator="equal">
      <formula>"Napkin Hs"</formula>
    </cfRule>
    <cfRule type="cellIs" dxfId="11533" priority="17052" stopIfTrue="1" operator="equal">
      <formula>"Towel"</formula>
    </cfRule>
    <cfRule type="cellIs" dxfId="11532" priority="17053" stopIfTrue="1" operator="equal">
      <formula>"Napkin Hs"</formula>
    </cfRule>
    <cfRule type="cellIs" dxfId="11531" priority="17062" stopIfTrue="1" operator="equal">
      <formula>"Towel"</formula>
    </cfRule>
    <cfRule type="cellIs" dxfId="11530" priority="17063" stopIfTrue="1" operator="equal">
      <formula>"Napkin Hs"</formula>
    </cfRule>
    <cfRule type="cellIs" dxfId="11529" priority="17068" stopIfTrue="1" operator="equal">
      <formula>"Towel"</formula>
    </cfRule>
    <cfRule type="cellIs" dxfId="11528" priority="17069" stopIfTrue="1" operator="equal">
      <formula>"Napkin Hs"</formula>
    </cfRule>
    <cfRule type="cellIs" dxfId="11527" priority="17070" stopIfTrue="1" operator="equal">
      <formula>"Towel"</formula>
    </cfRule>
    <cfRule type="cellIs" dxfId="11526" priority="17071" stopIfTrue="1" operator="equal">
      <formula>"Napkin Hs"</formula>
    </cfRule>
    <cfRule type="cellIs" dxfId="11525" priority="17076" stopIfTrue="1" operator="equal">
      <formula>"Towel"</formula>
    </cfRule>
    <cfRule type="cellIs" dxfId="11524" priority="17077" stopIfTrue="1" operator="equal">
      <formula>"Napkin Hs"</formula>
    </cfRule>
    <cfRule type="cellIs" dxfId="11523" priority="17086" stopIfTrue="1" operator="equal">
      <formula>"Towel"</formula>
    </cfRule>
    <cfRule type="cellIs" dxfId="11522" priority="17087" stopIfTrue="1" operator="equal">
      <formula>"Napkin Hs"</formula>
    </cfRule>
    <cfRule type="cellIs" dxfId="11521" priority="17088" stopIfTrue="1" operator="equal">
      <formula>"Towel"</formula>
    </cfRule>
    <cfRule type="cellIs" dxfId="11520" priority="17089" stopIfTrue="1" operator="equal">
      <formula>"Napkin Hs"</formula>
    </cfRule>
    <cfRule type="cellIs" dxfId="11519" priority="17094" stopIfTrue="1" operator="equal">
      <formula>"Towel"</formula>
    </cfRule>
    <cfRule type="cellIs" dxfId="11518" priority="17095" stopIfTrue="1" operator="equal">
      <formula>"Napkin Hs"</formula>
    </cfRule>
    <cfRule type="cellIs" dxfId="11517" priority="17104" stopIfTrue="1" operator="equal">
      <formula>"Towel"</formula>
    </cfRule>
    <cfRule type="cellIs" dxfId="11516" priority="17105" stopIfTrue="1" operator="equal">
      <formula>"Napkin Hs"</formula>
    </cfRule>
    <cfRule type="cellIs" dxfId="11515" priority="17106" stopIfTrue="1" operator="equal">
      <formula>"Towel"</formula>
    </cfRule>
    <cfRule type="cellIs" dxfId="11514" priority="17107" stopIfTrue="1" operator="equal">
      <formula>"Napkin Hs"</formula>
    </cfRule>
    <cfRule type="cellIs" dxfId="11513" priority="17113" stopIfTrue="1" operator="equal">
      <formula>"Napkin Hs"</formula>
    </cfRule>
  </conditionalFormatting>
  <conditionalFormatting sqref="C58">
    <cfRule type="cellIs" dxfId="11512" priority="17112" stopIfTrue="1" operator="equal">
      <formula>"Towel"</formula>
    </cfRule>
  </conditionalFormatting>
  <conditionalFormatting sqref="C58">
    <cfRule type="cellIs" dxfId="11511" priority="17023" stopIfTrue="1" operator="equal">
      <formula>"Napkin Hs"</formula>
    </cfRule>
    <cfRule type="cellIs" dxfId="11510" priority="17024" stopIfTrue="1" operator="equal">
      <formula>"Towel"</formula>
    </cfRule>
    <cfRule type="cellIs" dxfId="11509" priority="17025" stopIfTrue="1" operator="equal">
      <formula>"Napkin Hs"</formula>
    </cfRule>
    <cfRule type="cellIs" dxfId="11508" priority="17026" stopIfTrue="1" operator="equal">
      <formula>"Towel"</formula>
    </cfRule>
    <cfRule type="cellIs" dxfId="11507" priority="17027" stopIfTrue="1" operator="equal">
      <formula>"Napkin Hs"</formula>
    </cfRule>
    <cfRule type="cellIs" dxfId="11506" priority="17028" stopIfTrue="1" operator="equal">
      <formula>"Towel"</formula>
    </cfRule>
    <cfRule type="cellIs" dxfId="11505" priority="17029" stopIfTrue="1" operator="equal">
      <formula>"Napkin Hs"</formula>
    </cfRule>
    <cfRule type="cellIs" dxfId="11504" priority="17030" stopIfTrue="1" operator="equal">
      <formula>"Towel"</formula>
    </cfRule>
    <cfRule type="cellIs" dxfId="11503" priority="17031" stopIfTrue="1" operator="equal">
      <formula>"Napkin Hs"</formula>
    </cfRule>
    <cfRule type="cellIs" dxfId="11502" priority="17034" stopIfTrue="1" operator="equal">
      <formula>"Towel"</formula>
    </cfRule>
    <cfRule type="cellIs" dxfId="11501" priority="17035" stopIfTrue="1" operator="equal">
      <formula>"Napkin Hs"</formula>
    </cfRule>
    <cfRule type="cellIs" dxfId="11500" priority="17036" stopIfTrue="1" operator="equal">
      <formula>"Towel"</formula>
    </cfRule>
    <cfRule type="cellIs" dxfId="11499" priority="17037" stopIfTrue="1" operator="equal">
      <formula>"Napkin Hs"</formula>
    </cfRule>
    <cfRule type="cellIs" dxfId="11498" priority="17040" stopIfTrue="1" operator="equal">
      <formula>"Towel"</formula>
    </cfRule>
    <cfRule type="cellIs" dxfId="11497" priority="17041" stopIfTrue="1" operator="equal">
      <formula>"Napkin Hs"</formula>
    </cfRule>
    <cfRule type="cellIs" dxfId="11496" priority="17042" stopIfTrue="1" operator="equal">
      <formula>"Towel"</formula>
    </cfRule>
    <cfRule type="cellIs" dxfId="11495" priority="17043" stopIfTrue="1" operator="equal">
      <formula>"Napkin Hs"</formula>
    </cfRule>
    <cfRule type="cellIs" dxfId="11494" priority="17048" stopIfTrue="1" operator="equal">
      <formula>"Towel"</formula>
    </cfRule>
    <cfRule type="cellIs" dxfId="11493" priority="17049" stopIfTrue="1" operator="equal">
      <formula>"Napkin Hs"</formula>
    </cfRule>
    <cfRule type="cellIs" dxfId="11492" priority="17050" stopIfTrue="1" operator="equal">
      <formula>"Towel"</formula>
    </cfRule>
    <cfRule type="cellIs" dxfId="11491" priority="17051" stopIfTrue="1" operator="equal">
      <formula>"Napkin Hs"</formula>
    </cfRule>
    <cfRule type="cellIs" dxfId="11490" priority="17054" stopIfTrue="1" operator="equal">
      <formula>"Towel"</formula>
    </cfRule>
    <cfRule type="cellIs" dxfId="11489" priority="17055" stopIfTrue="1" operator="equal">
      <formula>"Napkin Hs"</formula>
    </cfRule>
    <cfRule type="cellIs" dxfId="11488" priority="17056" stopIfTrue="1" operator="equal">
      <formula>"Towel"</formula>
    </cfRule>
    <cfRule type="cellIs" dxfId="11487" priority="17057" stopIfTrue="1" operator="equal">
      <formula>"Napkin Hs"</formula>
    </cfRule>
    <cfRule type="cellIs" dxfId="11486" priority="17058" stopIfTrue="1" operator="equal">
      <formula>"Towel"</formula>
    </cfRule>
    <cfRule type="cellIs" dxfId="11485" priority="17059" stopIfTrue="1" operator="equal">
      <formula>"Napkin Hs"</formula>
    </cfRule>
    <cfRule type="cellIs" dxfId="11484" priority="17060" stopIfTrue="1" operator="equal">
      <formula>"Towel"</formula>
    </cfRule>
    <cfRule type="cellIs" dxfId="11483" priority="17061" stopIfTrue="1" operator="equal">
      <formula>"Napkin Hs"</formula>
    </cfRule>
    <cfRule type="cellIs" dxfId="11482" priority="17064" stopIfTrue="1" operator="equal">
      <formula>"Towel"</formula>
    </cfRule>
    <cfRule type="cellIs" dxfId="11481" priority="17065" stopIfTrue="1" operator="equal">
      <formula>"Napkin Hs"</formula>
    </cfRule>
    <cfRule type="cellIs" dxfId="11480" priority="17066" stopIfTrue="1" operator="equal">
      <formula>"Towel"</formula>
    </cfRule>
    <cfRule type="cellIs" dxfId="11479" priority="17067" stopIfTrue="1" operator="equal">
      <formula>"Napkin Hs"</formula>
    </cfRule>
    <cfRule type="cellIs" dxfId="11478" priority="17072" stopIfTrue="1" operator="equal">
      <formula>"Towel"</formula>
    </cfRule>
    <cfRule type="cellIs" dxfId="11477" priority="17073" stopIfTrue="1" operator="equal">
      <formula>"Napkin Hs"</formula>
    </cfRule>
    <cfRule type="cellIs" dxfId="11476" priority="17074" stopIfTrue="1" operator="equal">
      <formula>"Towel"</formula>
    </cfRule>
    <cfRule type="cellIs" dxfId="11475" priority="17075" stopIfTrue="1" operator="equal">
      <formula>"Napkin Hs"</formula>
    </cfRule>
    <cfRule type="cellIs" dxfId="11474" priority="17078" stopIfTrue="1" operator="equal">
      <formula>"Towel"</formula>
    </cfRule>
    <cfRule type="cellIs" dxfId="11473" priority="17079" stopIfTrue="1" operator="equal">
      <formula>"Napkin Hs"</formula>
    </cfRule>
    <cfRule type="cellIs" dxfId="11472" priority="17080" stopIfTrue="1" operator="equal">
      <formula>"Towel"</formula>
    </cfRule>
    <cfRule type="cellIs" dxfId="11471" priority="17081" stopIfTrue="1" operator="equal">
      <formula>"Napkin Hs"</formula>
    </cfRule>
    <cfRule type="cellIs" dxfId="11470" priority="17082" stopIfTrue="1" operator="equal">
      <formula>"Towel"</formula>
    </cfRule>
    <cfRule type="cellIs" dxfId="11469" priority="17083" stopIfTrue="1" operator="equal">
      <formula>"Napkin Hs"</formula>
    </cfRule>
    <cfRule type="cellIs" dxfId="11468" priority="17084" stopIfTrue="1" operator="equal">
      <formula>"Towel"</formula>
    </cfRule>
    <cfRule type="cellIs" dxfId="11467" priority="17085" stopIfTrue="1" operator="equal">
      <formula>"Napkin Hs"</formula>
    </cfRule>
    <cfRule type="cellIs" dxfId="11466" priority="17090" stopIfTrue="1" operator="equal">
      <formula>"Towel"</formula>
    </cfRule>
    <cfRule type="cellIs" dxfId="11465" priority="17091" stopIfTrue="1" operator="equal">
      <formula>"Napkin Hs"</formula>
    </cfRule>
    <cfRule type="cellIs" dxfId="11464" priority="17092" stopIfTrue="1" operator="equal">
      <formula>"Towel"</formula>
    </cfRule>
    <cfRule type="cellIs" dxfId="11463" priority="17093" stopIfTrue="1" operator="equal">
      <formula>"Napkin Hs"</formula>
    </cfRule>
    <cfRule type="cellIs" dxfId="11462" priority="17096" stopIfTrue="1" operator="equal">
      <formula>"Towel"</formula>
    </cfRule>
    <cfRule type="cellIs" dxfId="11461" priority="17097" stopIfTrue="1" operator="equal">
      <formula>"Napkin Hs"</formula>
    </cfRule>
    <cfRule type="cellIs" dxfId="11460" priority="17098" stopIfTrue="1" operator="equal">
      <formula>"Towel"</formula>
    </cfRule>
    <cfRule type="cellIs" dxfId="11459" priority="17099" stopIfTrue="1" operator="equal">
      <formula>"Napkin Hs"</formula>
    </cfRule>
    <cfRule type="cellIs" dxfId="11458" priority="17100" stopIfTrue="1" operator="equal">
      <formula>"Towel"</formula>
    </cfRule>
    <cfRule type="cellIs" dxfId="11457" priority="17101" stopIfTrue="1" operator="equal">
      <formula>"Napkin Hs"</formula>
    </cfRule>
    <cfRule type="cellIs" dxfId="11456" priority="17102" stopIfTrue="1" operator="equal">
      <formula>"Towel"</formula>
    </cfRule>
    <cfRule type="cellIs" dxfId="11455" priority="17103" stopIfTrue="1" operator="equal">
      <formula>"Napkin Hs"</formula>
    </cfRule>
    <cfRule type="cellIs" dxfId="11454" priority="17108" stopIfTrue="1" operator="equal">
      <formula>"Towel"</formula>
    </cfRule>
    <cfRule type="cellIs" dxfId="11453" priority="17109" stopIfTrue="1" operator="equal">
      <formula>"Napkin Hs"</formula>
    </cfRule>
    <cfRule type="cellIs" dxfId="11452" priority="17110" stopIfTrue="1" operator="equal">
      <formula>"Towel"</formula>
    </cfRule>
    <cfRule type="cellIs" dxfId="11451" priority="17111" stopIfTrue="1" operator="equal">
      <formula>"Napkin Hs"</formula>
    </cfRule>
    <cfRule type="cellIs" dxfId="11450" priority="17114" stopIfTrue="1" operator="equal">
      <formula>"Towel"</formula>
    </cfRule>
    <cfRule type="cellIs" dxfId="11449" priority="17115" stopIfTrue="1" operator="equal">
      <formula>"Napkin Hs"</formula>
    </cfRule>
    <cfRule type="cellIs" dxfId="11448" priority="17116" stopIfTrue="1" operator="equal">
      <formula>"Towel"</formula>
    </cfRule>
    <cfRule type="cellIs" dxfId="11447" priority="17117" stopIfTrue="1" operator="equal">
      <formula>"Napkin Hs"</formula>
    </cfRule>
  </conditionalFormatting>
  <conditionalFormatting sqref="C58">
    <cfRule type="cellIs" dxfId="11446" priority="17021" stopIfTrue="1" operator="equal">
      <formula>"Napkin Hs"</formula>
    </cfRule>
  </conditionalFormatting>
  <conditionalFormatting sqref="C58">
    <cfRule type="cellIs" dxfId="11445" priority="17020" stopIfTrue="1" operator="equal">
      <formula>"Napkin Hs"</formula>
    </cfRule>
  </conditionalFormatting>
  <conditionalFormatting sqref="C58">
    <cfRule type="cellIs" dxfId="11444" priority="17019" stopIfTrue="1" operator="equal">
      <formula>"Napkin Hs"</formula>
    </cfRule>
  </conditionalFormatting>
  <conditionalFormatting sqref="C58">
    <cfRule type="cellIs" dxfId="11443" priority="17018" stopIfTrue="1" operator="equal">
      <formula>"Napkin Hs"</formula>
    </cfRule>
  </conditionalFormatting>
  <conditionalFormatting sqref="C58">
    <cfRule type="cellIs" dxfId="11442" priority="17017" stopIfTrue="1" operator="equal">
      <formula>"Napkin Hs"</formula>
    </cfRule>
  </conditionalFormatting>
  <conditionalFormatting sqref="C58">
    <cfRule type="cellIs" dxfId="11441" priority="17016" stopIfTrue="1" operator="equal">
      <formula>"Napkin Hs"</formula>
    </cfRule>
  </conditionalFormatting>
  <conditionalFormatting sqref="C58">
    <cfRule type="cellIs" dxfId="11440" priority="17012" stopIfTrue="1" operator="equal">
      <formula>"Towel"</formula>
    </cfRule>
    <cfRule type="cellIs" dxfId="11439" priority="17013" stopIfTrue="1" operator="equal">
      <formula>"Napkin Hs"</formula>
    </cfRule>
  </conditionalFormatting>
  <conditionalFormatting sqref="C58">
    <cfRule type="cellIs" dxfId="11438" priority="17014" stopIfTrue="1" operator="equal">
      <formula>"Towel"</formula>
    </cfRule>
    <cfRule type="cellIs" dxfId="11437" priority="17015" stopIfTrue="1" operator="equal">
      <formula>"Napkin Hs"</formula>
    </cfRule>
  </conditionalFormatting>
  <conditionalFormatting sqref="C58">
    <cfRule type="cellIs" dxfId="11436" priority="17008" stopIfTrue="1" operator="equal">
      <formula>"Towel"</formula>
    </cfRule>
    <cfRule type="cellIs" dxfId="11435" priority="17009" stopIfTrue="1" operator="equal">
      <formula>"Napkin Hs"</formula>
    </cfRule>
  </conditionalFormatting>
  <conditionalFormatting sqref="C58">
    <cfRule type="cellIs" dxfId="11434" priority="17010" stopIfTrue="1" operator="equal">
      <formula>"Towel"</formula>
    </cfRule>
    <cfRule type="cellIs" dxfId="11433" priority="17011" stopIfTrue="1" operator="equal">
      <formula>"Napkin Hs"</formula>
    </cfRule>
  </conditionalFormatting>
  <conditionalFormatting sqref="B58">
    <cfRule type="cellIs" dxfId="11432" priority="17006" stopIfTrue="1" operator="equal">
      <formula>"Towel"</formula>
    </cfRule>
    <cfRule type="cellIs" dxfId="11431" priority="17007" stopIfTrue="1" operator="equal">
      <formula>"Napkin Hs"</formula>
    </cfRule>
  </conditionalFormatting>
  <conditionalFormatting sqref="B58">
    <cfRule type="cellIs" dxfId="11430" priority="17004" stopIfTrue="1" operator="equal">
      <formula>"Towel"</formula>
    </cfRule>
    <cfRule type="cellIs" dxfId="11429" priority="17005" stopIfTrue="1" operator="equal">
      <formula>"Napkin Hs"</formula>
    </cfRule>
  </conditionalFormatting>
  <conditionalFormatting sqref="B58">
    <cfRule type="cellIs" dxfId="11428" priority="17002" stopIfTrue="1" operator="equal">
      <formula>"Towel"</formula>
    </cfRule>
    <cfRule type="cellIs" dxfId="11427" priority="17003" stopIfTrue="1" operator="equal">
      <formula>"Napkin Hs"</formula>
    </cfRule>
  </conditionalFormatting>
  <conditionalFormatting sqref="B58">
    <cfRule type="cellIs" dxfId="11426" priority="16994" stopIfTrue="1" operator="equal">
      <formula>"Towel"</formula>
    </cfRule>
  </conditionalFormatting>
  <conditionalFormatting sqref="B58">
    <cfRule type="cellIs" dxfId="11425" priority="16995" stopIfTrue="1" operator="equal">
      <formula>"Napkin Hs"</formula>
    </cfRule>
    <cfRule type="cellIs" dxfId="11424" priority="16996" stopIfTrue="1" operator="equal">
      <formula>"Towel"</formula>
    </cfRule>
    <cfRule type="cellIs" dxfId="11423" priority="16997" stopIfTrue="1" operator="equal">
      <formula>"Napkin Hs"</formula>
    </cfRule>
    <cfRule type="cellIs" dxfId="11422" priority="16998" stopIfTrue="1" operator="equal">
      <formula>"Towel"</formula>
    </cfRule>
    <cfRule type="cellIs" dxfId="11421" priority="16999" stopIfTrue="1" operator="equal">
      <formula>"Napkin Hs"</formula>
    </cfRule>
    <cfRule type="cellIs" dxfId="11420" priority="17000" stopIfTrue="1" operator="equal">
      <formula>"Towel"</formula>
    </cfRule>
    <cfRule type="cellIs" dxfId="11419" priority="17001" stopIfTrue="1" operator="equal">
      <formula>"Napkin Hs"</formula>
    </cfRule>
  </conditionalFormatting>
  <conditionalFormatting sqref="B58">
    <cfRule type="cellIs" dxfId="11418" priority="16992" stopIfTrue="1" operator="equal">
      <formula>"Towel"</formula>
    </cfRule>
    <cfRule type="cellIs" dxfId="11417" priority="16993" stopIfTrue="1" operator="equal">
      <formula>"Napkin Hs"</formula>
    </cfRule>
  </conditionalFormatting>
  <conditionalFormatting sqref="B58">
    <cfRule type="cellIs" dxfId="11416" priority="16961" stopIfTrue="1" operator="equal">
      <formula>"Napkin Hs"</formula>
    </cfRule>
  </conditionalFormatting>
  <conditionalFormatting sqref="B58">
    <cfRule type="cellIs" dxfId="11415" priority="16960" stopIfTrue="1" operator="equal">
      <formula>"Towel"</formula>
    </cfRule>
  </conditionalFormatting>
  <conditionalFormatting sqref="B58">
    <cfRule type="cellIs" dxfId="11414" priority="16962" stopIfTrue="1" operator="equal">
      <formula>"Towel"</formula>
    </cfRule>
    <cfRule type="cellIs" dxfId="11413" priority="16963" stopIfTrue="1" operator="equal">
      <formula>"Napkin Hs"</formula>
    </cfRule>
    <cfRule type="cellIs" dxfId="11412" priority="16964" stopIfTrue="1" operator="equal">
      <formula>"Towel"</formula>
    </cfRule>
    <cfRule type="cellIs" dxfId="11411" priority="16965" stopIfTrue="1" operator="equal">
      <formula>"Napkin Hs"</formula>
    </cfRule>
    <cfRule type="cellIs" dxfId="11410" priority="16966" stopIfTrue="1" operator="equal">
      <formula>"Towel"</formula>
    </cfRule>
    <cfRule type="cellIs" dxfId="11409" priority="16967" stopIfTrue="1" operator="equal">
      <formula>"Napkin Hs"</formula>
    </cfRule>
    <cfRule type="cellIs" dxfId="11408" priority="16968" stopIfTrue="1" operator="equal">
      <formula>"Towel"</formula>
    </cfRule>
    <cfRule type="cellIs" dxfId="11407" priority="16969" stopIfTrue="1" operator="equal">
      <formula>"Napkin Hs"</formula>
    </cfRule>
    <cfRule type="cellIs" dxfId="11406" priority="16970" stopIfTrue="1" operator="equal">
      <formula>"Towel"</formula>
    </cfRule>
    <cfRule type="cellIs" dxfId="11405" priority="16971" stopIfTrue="1" operator="equal">
      <formula>"Napkin Hs"</formula>
    </cfRule>
    <cfRule type="cellIs" dxfId="11404" priority="16972" stopIfTrue="1" operator="equal">
      <formula>"Towel"</formula>
    </cfRule>
    <cfRule type="cellIs" dxfId="11403" priority="16973" stopIfTrue="1" operator="equal">
      <formula>"Napkin Hs"</formula>
    </cfRule>
    <cfRule type="cellIs" dxfId="11402" priority="16974" stopIfTrue="1" operator="equal">
      <formula>"Towel"</formula>
    </cfRule>
    <cfRule type="cellIs" dxfId="11401" priority="16975" stopIfTrue="1" operator="equal">
      <formula>"Napkin Hs"</formula>
    </cfRule>
    <cfRule type="cellIs" dxfId="11400" priority="16976" stopIfTrue="1" operator="equal">
      <formula>"Towel"</formula>
    </cfRule>
    <cfRule type="cellIs" dxfId="11399" priority="16977" stopIfTrue="1" operator="equal">
      <formula>"Napkin Hs"</formula>
    </cfRule>
    <cfRule type="cellIs" dxfId="11398" priority="16978" stopIfTrue="1" operator="equal">
      <formula>"Towel"</formula>
    </cfRule>
    <cfRule type="cellIs" dxfId="11397" priority="16979" stopIfTrue="1" operator="equal">
      <formula>"Napkin Hs"</formula>
    </cfRule>
    <cfRule type="cellIs" dxfId="11396" priority="16980" stopIfTrue="1" operator="equal">
      <formula>"Towel"</formula>
    </cfRule>
    <cfRule type="cellIs" dxfId="11395" priority="16981" stopIfTrue="1" operator="equal">
      <formula>"Napkin Hs"</formula>
    </cfRule>
    <cfRule type="cellIs" dxfId="11394" priority="16982" stopIfTrue="1" operator="equal">
      <formula>"Towel"</formula>
    </cfRule>
    <cfRule type="cellIs" dxfId="11393" priority="16983" stopIfTrue="1" operator="equal">
      <formula>"Napkin Hs"</formula>
    </cfRule>
    <cfRule type="cellIs" dxfId="11392" priority="16984" stopIfTrue="1" operator="equal">
      <formula>"Towel"</formula>
    </cfRule>
    <cfRule type="cellIs" dxfId="11391" priority="16985" stopIfTrue="1" operator="equal">
      <formula>"Napkin Hs"</formula>
    </cfRule>
    <cfRule type="cellIs" dxfId="11390" priority="16986" stopIfTrue="1" operator="equal">
      <formula>"Towel"</formula>
    </cfRule>
    <cfRule type="cellIs" dxfId="11389" priority="16987" stopIfTrue="1" operator="equal">
      <formula>"Napkin Hs"</formula>
    </cfRule>
    <cfRule type="cellIs" dxfId="11388" priority="16988" stopIfTrue="1" operator="equal">
      <formula>"Towel"</formula>
    </cfRule>
    <cfRule type="cellIs" dxfId="11387" priority="16989" stopIfTrue="1" operator="equal">
      <formula>"Napkin Hs"</formula>
    </cfRule>
    <cfRule type="cellIs" dxfId="11386" priority="16991" stopIfTrue="1" operator="equal">
      <formula>"Napkin Hs"</formula>
    </cfRule>
  </conditionalFormatting>
  <conditionalFormatting sqref="B58">
    <cfRule type="cellIs" dxfId="11385" priority="16990" stopIfTrue="1" operator="equal">
      <formula>"Towel"</formula>
    </cfRule>
  </conditionalFormatting>
  <conditionalFormatting sqref="B58">
    <cfRule type="cellIs" dxfId="11384" priority="16959" stopIfTrue="1" operator="equal">
      <formula>"Napkin Hs"</formula>
    </cfRule>
  </conditionalFormatting>
  <conditionalFormatting sqref="B58">
    <cfRule type="cellIs" dxfId="11383" priority="16958" stopIfTrue="1" operator="equal">
      <formula>"Napkin Hs"</formula>
    </cfRule>
  </conditionalFormatting>
  <conditionalFormatting sqref="B58">
    <cfRule type="cellIs" dxfId="11382" priority="16957" stopIfTrue="1" operator="equal">
      <formula>"Napkin Hs"</formula>
    </cfRule>
  </conditionalFormatting>
  <conditionalFormatting sqref="C72:C73">
    <cfRule type="cellIs" dxfId="11381" priority="15466" stopIfTrue="1" operator="equal">
      <formula>"Towel"</formula>
    </cfRule>
    <cfRule type="cellIs" dxfId="11380" priority="15467" stopIfTrue="1" operator="equal">
      <formula>"Napkin Hs"</formula>
    </cfRule>
  </conditionalFormatting>
  <conditionalFormatting sqref="C72:C73">
    <cfRule type="cellIs" dxfId="11379" priority="15468" stopIfTrue="1" operator="equal">
      <formula>"Towel"</formula>
    </cfRule>
    <cfRule type="cellIs" dxfId="11378" priority="15469" stopIfTrue="1" operator="equal">
      <formula>"Napkin Hs"</formula>
    </cfRule>
  </conditionalFormatting>
  <conditionalFormatting sqref="C72:C73">
    <cfRule type="cellIs" dxfId="11377" priority="15464" stopIfTrue="1" operator="equal">
      <formula>"Towel"</formula>
    </cfRule>
    <cfRule type="cellIs" dxfId="11376" priority="15465" stopIfTrue="1" operator="equal">
      <formula>"Napkin Hs"</formula>
    </cfRule>
  </conditionalFormatting>
  <conditionalFormatting sqref="B72:B73">
    <cfRule type="cellIs" dxfId="11375" priority="15462" stopIfTrue="1" operator="equal">
      <formula>"Towel"</formula>
    </cfRule>
    <cfRule type="cellIs" dxfId="11374" priority="15463" stopIfTrue="1" operator="equal">
      <formula>"Napkin Hs"</formula>
    </cfRule>
  </conditionalFormatting>
  <conditionalFormatting sqref="C72:C73">
    <cfRule type="cellIs" dxfId="11373" priority="15456" stopIfTrue="1" operator="equal">
      <formula>"Towel"</formula>
    </cfRule>
    <cfRule type="cellIs" dxfId="11372" priority="15457" stopIfTrue="1" operator="equal">
      <formula>"Napkin Hs"</formula>
    </cfRule>
  </conditionalFormatting>
  <conditionalFormatting sqref="C72:C73">
    <cfRule type="cellIs" dxfId="11371" priority="15460" stopIfTrue="1" operator="equal">
      <formula>"Towel"</formula>
    </cfRule>
    <cfRule type="cellIs" dxfId="11370" priority="15461" stopIfTrue="1" operator="equal">
      <formula>"Napkin Hs"</formula>
    </cfRule>
  </conditionalFormatting>
  <conditionalFormatting sqref="C72:C73">
    <cfRule type="cellIs" dxfId="11369" priority="15458" stopIfTrue="1" operator="equal">
      <formula>"Towel"</formula>
    </cfRule>
    <cfRule type="cellIs" dxfId="11368" priority="15459" stopIfTrue="1" operator="equal">
      <formula>"Napkin Hs"</formula>
    </cfRule>
  </conditionalFormatting>
  <conditionalFormatting sqref="C72:C73">
    <cfRule type="cellIs" dxfId="11367" priority="15450" stopIfTrue="1" operator="equal">
      <formula>"Towel"</formula>
    </cfRule>
    <cfRule type="cellIs" dxfId="11366" priority="15451" stopIfTrue="1" operator="equal">
      <formula>"Napkin Hs"</formula>
    </cfRule>
  </conditionalFormatting>
  <conditionalFormatting sqref="C72:C73">
    <cfRule type="cellIs" dxfId="11365" priority="15452" stopIfTrue="1" operator="equal">
      <formula>"Towel"</formula>
    </cfRule>
    <cfRule type="cellIs" dxfId="11364" priority="15453" stopIfTrue="1" operator="equal">
      <formula>"Napkin Hs"</formula>
    </cfRule>
  </conditionalFormatting>
  <conditionalFormatting sqref="C72:C73">
    <cfRule type="cellIs" dxfId="11363" priority="15454" stopIfTrue="1" operator="equal">
      <formula>"Towel"</formula>
    </cfRule>
    <cfRule type="cellIs" dxfId="11362" priority="15455" stopIfTrue="1" operator="equal">
      <formula>"Napkin Hs"</formula>
    </cfRule>
  </conditionalFormatting>
  <conditionalFormatting sqref="B72:C73">
    <cfRule type="cellIs" dxfId="11361" priority="15448" stopIfTrue="1" operator="equal">
      <formula>"Towel"</formula>
    </cfRule>
    <cfRule type="cellIs" dxfId="11360" priority="15449" stopIfTrue="1" operator="equal">
      <formula>"Napkin Hs"</formula>
    </cfRule>
  </conditionalFormatting>
  <conditionalFormatting sqref="B72:C73">
    <cfRule type="cellIs" dxfId="11359" priority="15446" stopIfTrue="1" operator="equal">
      <formula>"Towel"</formula>
    </cfRule>
    <cfRule type="cellIs" dxfId="11358" priority="15447" stopIfTrue="1" operator="equal">
      <formula>"Napkin Hs"</formula>
    </cfRule>
  </conditionalFormatting>
  <conditionalFormatting sqref="B72:C73">
    <cfRule type="cellIs" dxfId="11357" priority="15422" stopIfTrue="1" operator="equal">
      <formula>"Towel"</formula>
    </cfRule>
  </conditionalFormatting>
  <conditionalFormatting sqref="B72:C73">
    <cfRule type="cellIs" dxfId="11356" priority="15423" stopIfTrue="1" operator="equal">
      <formula>"Napkin Hs"</formula>
    </cfRule>
    <cfRule type="cellIs" dxfId="11355" priority="15428" stopIfTrue="1" operator="equal">
      <formula>"Towel"</formula>
    </cfRule>
    <cfRule type="cellIs" dxfId="11354" priority="15429" stopIfTrue="1" operator="equal">
      <formula>"Napkin Hs"</formula>
    </cfRule>
    <cfRule type="cellIs" dxfId="11353" priority="15438" stopIfTrue="1" operator="equal">
      <formula>"Towel"</formula>
    </cfRule>
    <cfRule type="cellIs" dxfId="11352" priority="15439" stopIfTrue="1" operator="equal">
      <formula>"Napkin Hs"</formula>
    </cfRule>
    <cfRule type="cellIs" dxfId="11351" priority="15444" stopIfTrue="1" operator="equal">
      <formula>"Towel"</formula>
    </cfRule>
    <cfRule type="cellIs" dxfId="11350" priority="15445" stopIfTrue="1" operator="equal">
      <formula>"Napkin Hs"</formula>
    </cfRule>
  </conditionalFormatting>
  <conditionalFormatting sqref="C72:C73">
    <cfRule type="cellIs" dxfId="11349" priority="15424" stopIfTrue="1" operator="equal">
      <formula>"Towel"</formula>
    </cfRule>
    <cfRule type="cellIs" dxfId="11348" priority="15425" stopIfTrue="1" operator="equal">
      <formula>"Napkin Hs"</formula>
    </cfRule>
    <cfRule type="cellIs" dxfId="11347" priority="15426" stopIfTrue="1" operator="equal">
      <formula>"Towel"</formula>
    </cfRule>
    <cfRule type="cellIs" dxfId="11346" priority="15427" stopIfTrue="1" operator="equal">
      <formula>"Napkin Hs"</formula>
    </cfRule>
    <cfRule type="cellIs" dxfId="11345" priority="15430" stopIfTrue="1" operator="equal">
      <formula>"Towel"</formula>
    </cfRule>
    <cfRule type="cellIs" dxfId="11344" priority="15431" stopIfTrue="1" operator="equal">
      <formula>"Napkin Hs"</formula>
    </cfRule>
    <cfRule type="cellIs" dxfId="11343" priority="15432" stopIfTrue="1" operator="equal">
      <formula>"Towel"</formula>
    </cfRule>
    <cfRule type="cellIs" dxfId="11342" priority="15433" stopIfTrue="1" operator="equal">
      <formula>"Napkin Hs"</formula>
    </cfRule>
    <cfRule type="cellIs" dxfId="11341" priority="15434" stopIfTrue="1" operator="equal">
      <formula>"Towel"</formula>
    </cfRule>
    <cfRule type="cellIs" dxfId="11340" priority="15435" stopIfTrue="1" operator="equal">
      <formula>"Napkin Hs"</formula>
    </cfRule>
    <cfRule type="cellIs" dxfId="11339" priority="15436" stopIfTrue="1" operator="equal">
      <formula>"Towel"</formula>
    </cfRule>
    <cfRule type="cellIs" dxfId="11338" priority="15437" stopIfTrue="1" operator="equal">
      <formula>"Napkin Hs"</formula>
    </cfRule>
    <cfRule type="cellIs" dxfId="11337" priority="15440" stopIfTrue="1" operator="equal">
      <formula>"Towel"</formula>
    </cfRule>
    <cfRule type="cellIs" dxfId="11336" priority="15441" stopIfTrue="1" operator="equal">
      <formula>"Napkin Hs"</formula>
    </cfRule>
    <cfRule type="cellIs" dxfId="11335" priority="15443" stopIfTrue="1" operator="equal">
      <formula>"Napkin Hs"</formula>
    </cfRule>
  </conditionalFormatting>
  <conditionalFormatting sqref="C72:C73">
    <cfRule type="cellIs" dxfId="11334" priority="15442" stopIfTrue="1" operator="equal">
      <formula>"Towel"</formula>
    </cfRule>
  </conditionalFormatting>
  <conditionalFormatting sqref="B72:C73">
    <cfRule type="cellIs" dxfId="11333" priority="15420" stopIfTrue="1" operator="equal">
      <formula>"Towel"</formula>
    </cfRule>
    <cfRule type="cellIs" dxfId="11332" priority="15421" stopIfTrue="1" operator="equal">
      <formula>"Napkin Hs"</formula>
    </cfRule>
  </conditionalFormatting>
  <conditionalFormatting sqref="C72:C73">
    <cfRule type="cellIs" dxfId="11331" priority="15419" stopIfTrue="1" operator="equal">
      <formula>"Napkin Hs"</formula>
    </cfRule>
  </conditionalFormatting>
  <conditionalFormatting sqref="C72:C73">
    <cfRule type="cellIs" dxfId="11330" priority="15418" stopIfTrue="1" operator="equal">
      <formula>"Towel"</formula>
    </cfRule>
  </conditionalFormatting>
  <conditionalFormatting sqref="C72:C73">
    <cfRule type="cellIs" dxfId="11329" priority="15416" stopIfTrue="1" operator="equal">
      <formula>"Towel"</formula>
    </cfRule>
  </conditionalFormatting>
  <conditionalFormatting sqref="C72:C73">
    <cfRule type="cellIs" dxfId="11328" priority="15417" stopIfTrue="1" operator="equal">
      <formula>"Napkin Hs"</formula>
    </cfRule>
  </conditionalFormatting>
  <conditionalFormatting sqref="B72:B73">
    <cfRule type="cellIs" dxfId="11327" priority="15320" stopIfTrue="1" operator="equal">
      <formula>"Napkin Hs"</formula>
    </cfRule>
  </conditionalFormatting>
  <conditionalFormatting sqref="B72:C73">
    <cfRule type="cellIs" dxfId="11326" priority="15319" stopIfTrue="1" operator="equal">
      <formula>"Towel"</formula>
    </cfRule>
  </conditionalFormatting>
  <conditionalFormatting sqref="B72:C73">
    <cfRule type="cellIs" dxfId="11325" priority="15330" stopIfTrue="1" operator="equal">
      <formula>"Towel"</formula>
    </cfRule>
    <cfRule type="cellIs" dxfId="11324" priority="15331" stopIfTrue="1" operator="equal">
      <formula>"Napkin Hs"</formula>
    </cfRule>
    <cfRule type="cellIs" dxfId="11323" priority="15336" stopIfTrue="1" operator="equal">
      <formula>"Towel"</formula>
    </cfRule>
    <cfRule type="cellIs" dxfId="11322" priority="15337" stopIfTrue="1" operator="equal">
      <formula>"Napkin Hs"</formula>
    </cfRule>
    <cfRule type="cellIs" dxfId="11321" priority="15342" stopIfTrue="1" operator="equal">
      <formula>"Towel"</formula>
    </cfRule>
    <cfRule type="cellIs" dxfId="11320" priority="15343" stopIfTrue="1" operator="equal">
      <formula>"Napkin Hs"</formula>
    </cfRule>
    <cfRule type="cellIs" dxfId="11319" priority="15344" stopIfTrue="1" operator="equal">
      <formula>"Towel"</formula>
    </cfRule>
    <cfRule type="cellIs" dxfId="11318" priority="15345" stopIfTrue="1" operator="equal">
      <formula>"Napkin Hs"</formula>
    </cfRule>
    <cfRule type="cellIs" dxfId="11317" priority="15350" stopIfTrue="1" operator="equal">
      <formula>"Towel"</formula>
    </cfRule>
    <cfRule type="cellIs" dxfId="11316" priority="15351" stopIfTrue="1" operator="equal">
      <formula>"Napkin Hs"</formula>
    </cfRule>
    <cfRule type="cellIs" dxfId="11315" priority="15360" stopIfTrue="1" operator="equal">
      <formula>"Towel"</formula>
    </cfRule>
    <cfRule type="cellIs" dxfId="11314" priority="15361" stopIfTrue="1" operator="equal">
      <formula>"Napkin Hs"</formula>
    </cfRule>
    <cfRule type="cellIs" dxfId="11313" priority="15366" stopIfTrue="1" operator="equal">
      <formula>"Towel"</formula>
    </cfRule>
    <cfRule type="cellIs" dxfId="11312" priority="15367" stopIfTrue="1" operator="equal">
      <formula>"Napkin Hs"</formula>
    </cfRule>
    <cfRule type="cellIs" dxfId="11311" priority="15368" stopIfTrue="1" operator="equal">
      <formula>"Towel"</formula>
    </cfRule>
    <cfRule type="cellIs" dxfId="11310" priority="15369" stopIfTrue="1" operator="equal">
      <formula>"Napkin Hs"</formula>
    </cfRule>
    <cfRule type="cellIs" dxfId="11309" priority="15374" stopIfTrue="1" operator="equal">
      <formula>"Towel"</formula>
    </cfRule>
    <cfRule type="cellIs" dxfId="11308" priority="15375" stopIfTrue="1" operator="equal">
      <formula>"Napkin Hs"</formula>
    </cfRule>
    <cfRule type="cellIs" dxfId="11307" priority="15384" stopIfTrue="1" operator="equal">
      <formula>"Towel"</formula>
    </cfRule>
    <cfRule type="cellIs" dxfId="11306" priority="15385" stopIfTrue="1" operator="equal">
      <formula>"Napkin Hs"</formula>
    </cfRule>
    <cfRule type="cellIs" dxfId="11305" priority="15386" stopIfTrue="1" operator="equal">
      <formula>"Towel"</formula>
    </cfRule>
    <cfRule type="cellIs" dxfId="11304" priority="15387" stopIfTrue="1" operator="equal">
      <formula>"Napkin Hs"</formula>
    </cfRule>
    <cfRule type="cellIs" dxfId="11303" priority="15392" stopIfTrue="1" operator="equal">
      <formula>"Towel"</formula>
    </cfRule>
    <cfRule type="cellIs" dxfId="11302" priority="15393" stopIfTrue="1" operator="equal">
      <formula>"Napkin Hs"</formula>
    </cfRule>
    <cfRule type="cellIs" dxfId="11301" priority="15402" stopIfTrue="1" operator="equal">
      <formula>"Towel"</formula>
    </cfRule>
    <cfRule type="cellIs" dxfId="11300" priority="15403" stopIfTrue="1" operator="equal">
      <formula>"Napkin Hs"</formula>
    </cfRule>
    <cfRule type="cellIs" dxfId="11299" priority="15404" stopIfTrue="1" operator="equal">
      <formula>"Towel"</formula>
    </cfRule>
    <cfRule type="cellIs" dxfId="11298" priority="15405" stopIfTrue="1" operator="equal">
      <formula>"Napkin Hs"</formula>
    </cfRule>
    <cfRule type="cellIs" dxfId="11297" priority="15411" stopIfTrue="1" operator="equal">
      <formula>"Napkin Hs"</formula>
    </cfRule>
  </conditionalFormatting>
  <conditionalFormatting sqref="B72:C73">
    <cfRule type="cellIs" dxfId="11296" priority="15410" stopIfTrue="1" operator="equal">
      <formula>"Towel"</formula>
    </cfRule>
  </conditionalFormatting>
  <conditionalFormatting sqref="C72:C73">
    <cfRule type="cellIs" dxfId="11295" priority="15321" stopIfTrue="1" operator="equal">
      <formula>"Napkin Hs"</formula>
    </cfRule>
    <cfRule type="cellIs" dxfId="11294" priority="15322" stopIfTrue="1" operator="equal">
      <formula>"Towel"</formula>
    </cfRule>
    <cfRule type="cellIs" dxfId="11293" priority="15323" stopIfTrue="1" operator="equal">
      <formula>"Napkin Hs"</formula>
    </cfRule>
    <cfRule type="cellIs" dxfId="11292" priority="15324" stopIfTrue="1" operator="equal">
      <formula>"Towel"</formula>
    </cfRule>
    <cfRule type="cellIs" dxfId="11291" priority="15325" stopIfTrue="1" operator="equal">
      <formula>"Napkin Hs"</formula>
    </cfRule>
    <cfRule type="cellIs" dxfId="11290" priority="15326" stopIfTrue="1" operator="equal">
      <formula>"Towel"</formula>
    </cfRule>
    <cfRule type="cellIs" dxfId="11289" priority="15327" stopIfTrue="1" operator="equal">
      <formula>"Napkin Hs"</formula>
    </cfRule>
    <cfRule type="cellIs" dxfId="11288" priority="15328" stopIfTrue="1" operator="equal">
      <formula>"Towel"</formula>
    </cfRule>
    <cfRule type="cellIs" dxfId="11287" priority="15329" stopIfTrue="1" operator="equal">
      <formula>"Napkin Hs"</formula>
    </cfRule>
    <cfRule type="cellIs" dxfId="11286" priority="15332" stopIfTrue="1" operator="equal">
      <formula>"Towel"</formula>
    </cfRule>
    <cfRule type="cellIs" dxfId="11285" priority="15333" stopIfTrue="1" operator="equal">
      <formula>"Napkin Hs"</formula>
    </cfRule>
    <cfRule type="cellIs" dxfId="11284" priority="15334" stopIfTrue="1" operator="equal">
      <formula>"Towel"</formula>
    </cfRule>
    <cfRule type="cellIs" dxfId="11283" priority="15335" stopIfTrue="1" operator="equal">
      <formula>"Napkin Hs"</formula>
    </cfRule>
    <cfRule type="cellIs" dxfId="11282" priority="15338" stopIfTrue="1" operator="equal">
      <formula>"Towel"</formula>
    </cfRule>
    <cfRule type="cellIs" dxfId="11281" priority="15339" stopIfTrue="1" operator="equal">
      <formula>"Napkin Hs"</formula>
    </cfRule>
    <cfRule type="cellIs" dxfId="11280" priority="15340" stopIfTrue="1" operator="equal">
      <formula>"Towel"</formula>
    </cfRule>
    <cfRule type="cellIs" dxfId="11279" priority="15341" stopIfTrue="1" operator="equal">
      <formula>"Napkin Hs"</formula>
    </cfRule>
    <cfRule type="cellIs" dxfId="11278" priority="15346" stopIfTrue="1" operator="equal">
      <formula>"Towel"</formula>
    </cfRule>
    <cfRule type="cellIs" dxfId="11277" priority="15347" stopIfTrue="1" operator="equal">
      <formula>"Napkin Hs"</formula>
    </cfRule>
    <cfRule type="cellIs" dxfId="11276" priority="15348" stopIfTrue="1" operator="equal">
      <formula>"Towel"</formula>
    </cfRule>
    <cfRule type="cellIs" dxfId="11275" priority="15349" stopIfTrue="1" operator="equal">
      <formula>"Napkin Hs"</formula>
    </cfRule>
    <cfRule type="cellIs" dxfId="11274" priority="15352" stopIfTrue="1" operator="equal">
      <formula>"Towel"</formula>
    </cfRule>
    <cfRule type="cellIs" dxfId="11273" priority="15353" stopIfTrue="1" operator="equal">
      <formula>"Napkin Hs"</formula>
    </cfRule>
    <cfRule type="cellIs" dxfId="11272" priority="15354" stopIfTrue="1" operator="equal">
      <formula>"Towel"</formula>
    </cfRule>
    <cfRule type="cellIs" dxfId="11271" priority="15355" stopIfTrue="1" operator="equal">
      <formula>"Napkin Hs"</formula>
    </cfRule>
    <cfRule type="cellIs" dxfId="11270" priority="15356" stopIfTrue="1" operator="equal">
      <formula>"Towel"</formula>
    </cfRule>
    <cfRule type="cellIs" dxfId="11269" priority="15357" stopIfTrue="1" operator="equal">
      <formula>"Napkin Hs"</formula>
    </cfRule>
    <cfRule type="cellIs" dxfId="11268" priority="15358" stopIfTrue="1" operator="equal">
      <formula>"Towel"</formula>
    </cfRule>
    <cfRule type="cellIs" dxfId="11267" priority="15359" stopIfTrue="1" operator="equal">
      <formula>"Napkin Hs"</formula>
    </cfRule>
    <cfRule type="cellIs" dxfId="11266" priority="15362" stopIfTrue="1" operator="equal">
      <formula>"Towel"</formula>
    </cfRule>
    <cfRule type="cellIs" dxfId="11265" priority="15363" stopIfTrue="1" operator="equal">
      <formula>"Napkin Hs"</formula>
    </cfRule>
    <cfRule type="cellIs" dxfId="11264" priority="15364" stopIfTrue="1" operator="equal">
      <formula>"Towel"</formula>
    </cfRule>
    <cfRule type="cellIs" dxfId="11263" priority="15365" stopIfTrue="1" operator="equal">
      <formula>"Napkin Hs"</formula>
    </cfRule>
    <cfRule type="cellIs" dxfId="11262" priority="15370" stopIfTrue="1" operator="equal">
      <formula>"Towel"</formula>
    </cfRule>
    <cfRule type="cellIs" dxfId="11261" priority="15371" stopIfTrue="1" operator="equal">
      <formula>"Napkin Hs"</formula>
    </cfRule>
    <cfRule type="cellIs" dxfId="11260" priority="15372" stopIfTrue="1" operator="equal">
      <formula>"Towel"</formula>
    </cfRule>
    <cfRule type="cellIs" dxfId="11259" priority="15373" stopIfTrue="1" operator="equal">
      <formula>"Napkin Hs"</formula>
    </cfRule>
    <cfRule type="cellIs" dxfId="11258" priority="15376" stopIfTrue="1" operator="equal">
      <formula>"Towel"</formula>
    </cfRule>
    <cfRule type="cellIs" dxfId="11257" priority="15377" stopIfTrue="1" operator="equal">
      <formula>"Napkin Hs"</formula>
    </cfRule>
    <cfRule type="cellIs" dxfId="11256" priority="15378" stopIfTrue="1" operator="equal">
      <formula>"Towel"</formula>
    </cfRule>
    <cfRule type="cellIs" dxfId="11255" priority="15379" stopIfTrue="1" operator="equal">
      <formula>"Napkin Hs"</formula>
    </cfRule>
    <cfRule type="cellIs" dxfId="11254" priority="15380" stopIfTrue="1" operator="equal">
      <formula>"Towel"</formula>
    </cfRule>
    <cfRule type="cellIs" dxfId="11253" priority="15381" stopIfTrue="1" operator="equal">
      <formula>"Napkin Hs"</formula>
    </cfRule>
    <cfRule type="cellIs" dxfId="11252" priority="15382" stopIfTrue="1" operator="equal">
      <formula>"Towel"</formula>
    </cfRule>
    <cfRule type="cellIs" dxfId="11251" priority="15383" stopIfTrue="1" operator="equal">
      <formula>"Napkin Hs"</formula>
    </cfRule>
    <cfRule type="cellIs" dxfId="11250" priority="15388" stopIfTrue="1" operator="equal">
      <formula>"Towel"</formula>
    </cfRule>
    <cfRule type="cellIs" dxfId="11249" priority="15389" stopIfTrue="1" operator="equal">
      <formula>"Napkin Hs"</formula>
    </cfRule>
    <cfRule type="cellIs" dxfId="11248" priority="15390" stopIfTrue="1" operator="equal">
      <formula>"Towel"</formula>
    </cfRule>
    <cfRule type="cellIs" dxfId="11247" priority="15391" stopIfTrue="1" operator="equal">
      <formula>"Napkin Hs"</formula>
    </cfRule>
    <cfRule type="cellIs" dxfId="11246" priority="15394" stopIfTrue="1" operator="equal">
      <formula>"Towel"</formula>
    </cfRule>
    <cfRule type="cellIs" dxfId="11245" priority="15395" stopIfTrue="1" operator="equal">
      <formula>"Napkin Hs"</formula>
    </cfRule>
    <cfRule type="cellIs" dxfId="11244" priority="15396" stopIfTrue="1" operator="equal">
      <formula>"Towel"</formula>
    </cfRule>
    <cfRule type="cellIs" dxfId="11243" priority="15397" stopIfTrue="1" operator="equal">
      <formula>"Napkin Hs"</formula>
    </cfRule>
    <cfRule type="cellIs" dxfId="11242" priority="15398" stopIfTrue="1" operator="equal">
      <formula>"Towel"</formula>
    </cfRule>
    <cfRule type="cellIs" dxfId="11241" priority="15399" stopIfTrue="1" operator="equal">
      <formula>"Napkin Hs"</formula>
    </cfRule>
    <cfRule type="cellIs" dxfId="11240" priority="15400" stopIfTrue="1" operator="equal">
      <formula>"Towel"</formula>
    </cfRule>
    <cfRule type="cellIs" dxfId="11239" priority="15401" stopIfTrue="1" operator="equal">
      <formula>"Napkin Hs"</formula>
    </cfRule>
    <cfRule type="cellIs" dxfId="11238" priority="15406" stopIfTrue="1" operator="equal">
      <formula>"Towel"</formula>
    </cfRule>
    <cfRule type="cellIs" dxfId="11237" priority="15407" stopIfTrue="1" operator="equal">
      <formula>"Napkin Hs"</formula>
    </cfRule>
    <cfRule type="cellIs" dxfId="11236" priority="15408" stopIfTrue="1" operator="equal">
      <formula>"Towel"</formula>
    </cfRule>
    <cfRule type="cellIs" dxfId="11235" priority="15409" stopIfTrue="1" operator="equal">
      <formula>"Napkin Hs"</formula>
    </cfRule>
    <cfRule type="cellIs" dxfId="11234" priority="15412" stopIfTrue="1" operator="equal">
      <formula>"Towel"</formula>
    </cfRule>
    <cfRule type="cellIs" dxfId="11233" priority="15413" stopIfTrue="1" operator="equal">
      <formula>"Napkin Hs"</formula>
    </cfRule>
    <cfRule type="cellIs" dxfId="11232" priority="15414" stopIfTrue="1" operator="equal">
      <formula>"Towel"</formula>
    </cfRule>
    <cfRule type="cellIs" dxfId="11231" priority="15415" stopIfTrue="1" operator="equal">
      <formula>"Napkin Hs"</formula>
    </cfRule>
  </conditionalFormatting>
  <conditionalFormatting sqref="C72:C73">
    <cfRule type="cellIs" dxfId="11230" priority="15318" stopIfTrue="1" operator="equal">
      <formula>"Napkin Hs"</formula>
    </cfRule>
  </conditionalFormatting>
  <conditionalFormatting sqref="C72:C73">
    <cfRule type="cellIs" dxfId="11229" priority="15317" stopIfTrue="1" operator="equal">
      <formula>"Napkin Hs"</formula>
    </cfRule>
  </conditionalFormatting>
  <conditionalFormatting sqref="B72:B73">
    <cfRule type="cellIs" dxfId="11228" priority="15316" stopIfTrue="1" operator="equal">
      <formula>"Napkin Hs"</formula>
    </cfRule>
  </conditionalFormatting>
  <conditionalFormatting sqref="C72:C73">
    <cfRule type="cellIs" dxfId="11227" priority="15315" stopIfTrue="1" operator="equal">
      <formula>"Napkin Hs"</formula>
    </cfRule>
  </conditionalFormatting>
  <conditionalFormatting sqref="C72:C73">
    <cfRule type="cellIs" dxfId="11226" priority="15314" stopIfTrue="1" operator="equal">
      <formula>"Napkin Hs"</formula>
    </cfRule>
  </conditionalFormatting>
  <conditionalFormatting sqref="C72:C73">
    <cfRule type="cellIs" dxfId="11225" priority="15313" stopIfTrue="1" operator="equal">
      <formula>"Napkin Hs"</formula>
    </cfRule>
  </conditionalFormatting>
  <conditionalFormatting sqref="C72:C73">
    <cfRule type="cellIs" dxfId="11224" priority="15312" stopIfTrue="1" operator="equal">
      <formula>"Napkin Hs"</formula>
    </cfRule>
  </conditionalFormatting>
  <conditionalFormatting sqref="B72:B73">
    <cfRule type="cellIs" dxfId="11223" priority="15311" stopIfTrue="1" operator="equal">
      <formula>"Napkin Hs"</formula>
    </cfRule>
  </conditionalFormatting>
  <conditionalFormatting sqref="B72:B73">
    <cfRule type="cellIs" dxfId="11222" priority="15310" stopIfTrue="1" operator="equal">
      <formula>"Napkin Hs"</formula>
    </cfRule>
  </conditionalFormatting>
  <conditionalFormatting sqref="C72:C73">
    <cfRule type="cellIs" dxfId="11221" priority="15306" stopIfTrue="1" operator="equal">
      <formula>"Towel"</formula>
    </cfRule>
    <cfRule type="cellIs" dxfId="11220" priority="15307" stopIfTrue="1" operator="equal">
      <formula>"Napkin Hs"</formula>
    </cfRule>
  </conditionalFormatting>
  <conditionalFormatting sqref="C72:C73">
    <cfRule type="cellIs" dxfId="11219" priority="15308" stopIfTrue="1" operator="equal">
      <formula>"Towel"</formula>
    </cfRule>
    <cfRule type="cellIs" dxfId="11218" priority="15309" stopIfTrue="1" operator="equal">
      <formula>"Napkin Hs"</formula>
    </cfRule>
  </conditionalFormatting>
  <conditionalFormatting sqref="C72:C73">
    <cfRule type="cellIs" dxfId="11217" priority="15302" stopIfTrue="1" operator="equal">
      <formula>"Towel"</formula>
    </cfRule>
    <cfRule type="cellIs" dxfId="11216" priority="15303" stopIfTrue="1" operator="equal">
      <formula>"Napkin Hs"</formula>
    </cfRule>
  </conditionalFormatting>
  <conditionalFormatting sqref="C72:C73">
    <cfRule type="cellIs" dxfId="11215" priority="15304" stopIfTrue="1" operator="equal">
      <formula>"Towel"</formula>
    </cfRule>
    <cfRule type="cellIs" dxfId="11214" priority="15305" stopIfTrue="1" operator="equal">
      <formula>"Napkin Hs"</formula>
    </cfRule>
  </conditionalFormatting>
  <conditionalFormatting sqref="C71">
    <cfRule type="cellIs" dxfId="11213" priority="15298" stopIfTrue="1" operator="equal">
      <formula>"Towel"</formula>
    </cfRule>
    <cfRule type="cellIs" dxfId="11212" priority="15299" stopIfTrue="1" operator="equal">
      <formula>"Napkin Hs"</formula>
    </cfRule>
  </conditionalFormatting>
  <conditionalFormatting sqref="C71">
    <cfRule type="cellIs" dxfId="11211" priority="15300" stopIfTrue="1" operator="equal">
      <formula>"Towel"</formula>
    </cfRule>
    <cfRule type="cellIs" dxfId="11210" priority="15301" stopIfTrue="1" operator="equal">
      <formula>"Napkin Hs"</formula>
    </cfRule>
  </conditionalFormatting>
  <conditionalFormatting sqref="C71">
    <cfRule type="cellIs" dxfId="11209" priority="15296" stopIfTrue="1" operator="equal">
      <formula>"Towel"</formula>
    </cfRule>
    <cfRule type="cellIs" dxfId="11208" priority="15297" stopIfTrue="1" operator="equal">
      <formula>"Napkin Hs"</formula>
    </cfRule>
  </conditionalFormatting>
  <conditionalFormatting sqref="C71">
    <cfRule type="cellIs" dxfId="11207" priority="15290" stopIfTrue="1" operator="equal">
      <formula>"Towel"</formula>
    </cfRule>
    <cfRule type="cellIs" dxfId="11206" priority="15291" stopIfTrue="1" operator="equal">
      <formula>"Napkin Hs"</formula>
    </cfRule>
  </conditionalFormatting>
  <conditionalFormatting sqref="C71">
    <cfRule type="cellIs" dxfId="11205" priority="15294" stopIfTrue="1" operator="equal">
      <formula>"Towel"</formula>
    </cfRule>
    <cfRule type="cellIs" dxfId="11204" priority="15295" stopIfTrue="1" operator="equal">
      <formula>"Napkin Hs"</formula>
    </cfRule>
  </conditionalFormatting>
  <conditionalFormatting sqref="C71">
    <cfRule type="cellIs" dxfId="11203" priority="15292" stopIfTrue="1" operator="equal">
      <formula>"Towel"</formula>
    </cfRule>
    <cfRule type="cellIs" dxfId="11202" priority="15293" stopIfTrue="1" operator="equal">
      <formula>"Napkin Hs"</formula>
    </cfRule>
  </conditionalFormatting>
  <conditionalFormatting sqref="C71">
    <cfRule type="cellIs" dxfId="11201" priority="15284" stopIfTrue="1" operator="equal">
      <formula>"Towel"</formula>
    </cfRule>
    <cfRule type="cellIs" dxfId="11200" priority="15285" stopIfTrue="1" operator="equal">
      <formula>"Napkin Hs"</formula>
    </cfRule>
  </conditionalFormatting>
  <conditionalFormatting sqref="C71">
    <cfRule type="cellIs" dxfId="11199" priority="15286" stopIfTrue="1" operator="equal">
      <formula>"Towel"</formula>
    </cfRule>
    <cfRule type="cellIs" dxfId="11198" priority="15287" stopIfTrue="1" operator="equal">
      <formula>"Napkin Hs"</formula>
    </cfRule>
  </conditionalFormatting>
  <conditionalFormatting sqref="C71">
    <cfRule type="cellIs" dxfId="11197" priority="15288" stopIfTrue="1" operator="equal">
      <formula>"Towel"</formula>
    </cfRule>
    <cfRule type="cellIs" dxfId="11196" priority="15289" stopIfTrue="1" operator="equal">
      <formula>"Napkin Hs"</formula>
    </cfRule>
  </conditionalFormatting>
  <conditionalFormatting sqref="C71">
    <cfRule type="cellIs" dxfId="11195" priority="15282" stopIfTrue="1" operator="equal">
      <formula>"Towel"</formula>
    </cfRule>
    <cfRule type="cellIs" dxfId="11194" priority="15283" stopIfTrue="1" operator="equal">
      <formula>"Napkin Hs"</formula>
    </cfRule>
  </conditionalFormatting>
  <conditionalFormatting sqref="C71">
    <cfRule type="cellIs" dxfId="11193" priority="15280" stopIfTrue="1" operator="equal">
      <formula>"Towel"</formula>
    </cfRule>
    <cfRule type="cellIs" dxfId="11192" priority="15281" stopIfTrue="1" operator="equal">
      <formula>"Napkin Hs"</formula>
    </cfRule>
  </conditionalFormatting>
  <conditionalFormatting sqref="C71">
    <cfRule type="cellIs" dxfId="11191" priority="15256" stopIfTrue="1" operator="equal">
      <formula>"Towel"</formula>
    </cfRule>
  </conditionalFormatting>
  <conditionalFormatting sqref="C71">
    <cfRule type="cellIs" dxfId="11190" priority="15257" stopIfTrue="1" operator="equal">
      <formula>"Napkin Hs"</formula>
    </cfRule>
    <cfRule type="cellIs" dxfId="11189" priority="15262" stopIfTrue="1" operator="equal">
      <formula>"Towel"</formula>
    </cfRule>
    <cfRule type="cellIs" dxfId="11188" priority="15263" stopIfTrue="1" operator="equal">
      <formula>"Napkin Hs"</formula>
    </cfRule>
    <cfRule type="cellIs" dxfId="11187" priority="15272" stopIfTrue="1" operator="equal">
      <formula>"Towel"</formula>
    </cfRule>
    <cfRule type="cellIs" dxfId="11186" priority="15273" stopIfTrue="1" operator="equal">
      <formula>"Napkin Hs"</formula>
    </cfRule>
    <cfRule type="cellIs" dxfId="11185" priority="15278" stopIfTrue="1" operator="equal">
      <formula>"Towel"</formula>
    </cfRule>
    <cfRule type="cellIs" dxfId="11184" priority="15279" stopIfTrue="1" operator="equal">
      <formula>"Napkin Hs"</formula>
    </cfRule>
  </conditionalFormatting>
  <conditionalFormatting sqref="C71">
    <cfRule type="cellIs" dxfId="11183" priority="15258" stopIfTrue="1" operator="equal">
      <formula>"Towel"</formula>
    </cfRule>
    <cfRule type="cellIs" dxfId="11182" priority="15259" stopIfTrue="1" operator="equal">
      <formula>"Napkin Hs"</formula>
    </cfRule>
    <cfRule type="cellIs" dxfId="11181" priority="15260" stopIfTrue="1" operator="equal">
      <formula>"Towel"</formula>
    </cfRule>
    <cfRule type="cellIs" dxfId="11180" priority="15261" stopIfTrue="1" operator="equal">
      <formula>"Napkin Hs"</formula>
    </cfRule>
    <cfRule type="cellIs" dxfId="11179" priority="15264" stopIfTrue="1" operator="equal">
      <formula>"Towel"</formula>
    </cfRule>
    <cfRule type="cellIs" dxfId="11178" priority="15265" stopIfTrue="1" operator="equal">
      <formula>"Napkin Hs"</formula>
    </cfRule>
    <cfRule type="cellIs" dxfId="11177" priority="15266" stopIfTrue="1" operator="equal">
      <formula>"Towel"</formula>
    </cfRule>
    <cfRule type="cellIs" dxfId="11176" priority="15267" stopIfTrue="1" operator="equal">
      <formula>"Napkin Hs"</formula>
    </cfRule>
    <cfRule type="cellIs" dxfId="11175" priority="15268" stopIfTrue="1" operator="equal">
      <formula>"Towel"</formula>
    </cfRule>
    <cfRule type="cellIs" dxfId="11174" priority="15269" stopIfTrue="1" operator="equal">
      <formula>"Napkin Hs"</formula>
    </cfRule>
    <cfRule type="cellIs" dxfId="11173" priority="15270" stopIfTrue="1" operator="equal">
      <formula>"Towel"</formula>
    </cfRule>
    <cfRule type="cellIs" dxfId="11172" priority="15271" stopIfTrue="1" operator="equal">
      <formula>"Napkin Hs"</formula>
    </cfRule>
    <cfRule type="cellIs" dxfId="11171" priority="15274" stopIfTrue="1" operator="equal">
      <formula>"Towel"</formula>
    </cfRule>
    <cfRule type="cellIs" dxfId="11170" priority="15275" stopIfTrue="1" operator="equal">
      <formula>"Napkin Hs"</formula>
    </cfRule>
    <cfRule type="cellIs" dxfId="11169" priority="15277" stopIfTrue="1" operator="equal">
      <formula>"Napkin Hs"</formula>
    </cfRule>
  </conditionalFormatting>
  <conditionalFormatting sqref="C71">
    <cfRule type="cellIs" dxfId="11168" priority="15276" stopIfTrue="1" operator="equal">
      <formula>"Towel"</formula>
    </cfRule>
  </conditionalFormatting>
  <conditionalFormatting sqref="C71">
    <cfRule type="cellIs" dxfId="11167" priority="15254" stopIfTrue="1" operator="equal">
      <formula>"Towel"</formula>
    </cfRule>
    <cfRule type="cellIs" dxfId="11166" priority="15255" stopIfTrue="1" operator="equal">
      <formula>"Napkin Hs"</formula>
    </cfRule>
  </conditionalFormatting>
  <conditionalFormatting sqref="C71">
    <cfRule type="cellIs" dxfId="11165" priority="15253" stopIfTrue="1" operator="equal">
      <formula>"Napkin Hs"</formula>
    </cfRule>
  </conditionalFormatting>
  <conditionalFormatting sqref="C71">
    <cfRule type="cellIs" dxfId="11164" priority="15252" stopIfTrue="1" operator="equal">
      <formula>"Towel"</formula>
    </cfRule>
  </conditionalFormatting>
  <conditionalFormatting sqref="C71">
    <cfRule type="cellIs" dxfId="11163" priority="15250" stopIfTrue="1" operator="equal">
      <formula>"Towel"</formula>
    </cfRule>
  </conditionalFormatting>
  <conditionalFormatting sqref="C71">
    <cfRule type="cellIs" dxfId="11162" priority="15251" stopIfTrue="1" operator="equal">
      <formula>"Napkin Hs"</formula>
    </cfRule>
  </conditionalFormatting>
  <conditionalFormatting sqref="C71">
    <cfRule type="cellIs" dxfId="11161" priority="15154" stopIfTrue="1" operator="equal">
      <formula>"Towel"</formula>
    </cfRule>
  </conditionalFormatting>
  <conditionalFormatting sqref="C71">
    <cfRule type="cellIs" dxfId="11160" priority="15164" stopIfTrue="1" operator="equal">
      <formula>"Towel"</formula>
    </cfRule>
    <cfRule type="cellIs" dxfId="11159" priority="15165" stopIfTrue="1" operator="equal">
      <formula>"Napkin Hs"</formula>
    </cfRule>
    <cfRule type="cellIs" dxfId="11158" priority="15170" stopIfTrue="1" operator="equal">
      <formula>"Towel"</formula>
    </cfRule>
    <cfRule type="cellIs" dxfId="11157" priority="15171" stopIfTrue="1" operator="equal">
      <formula>"Napkin Hs"</formula>
    </cfRule>
    <cfRule type="cellIs" dxfId="11156" priority="15176" stopIfTrue="1" operator="equal">
      <formula>"Towel"</formula>
    </cfRule>
    <cfRule type="cellIs" dxfId="11155" priority="15177" stopIfTrue="1" operator="equal">
      <formula>"Napkin Hs"</formula>
    </cfRule>
    <cfRule type="cellIs" dxfId="11154" priority="15178" stopIfTrue="1" operator="equal">
      <formula>"Towel"</formula>
    </cfRule>
    <cfRule type="cellIs" dxfId="11153" priority="15179" stopIfTrue="1" operator="equal">
      <formula>"Napkin Hs"</formula>
    </cfRule>
    <cfRule type="cellIs" dxfId="11152" priority="15184" stopIfTrue="1" operator="equal">
      <formula>"Towel"</formula>
    </cfRule>
    <cfRule type="cellIs" dxfId="11151" priority="15185" stopIfTrue="1" operator="equal">
      <formula>"Napkin Hs"</formula>
    </cfRule>
    <cfRule type="cellIs" dxfId="11150" priority="15194" stopIfTrue="1" operator="equal">
      <formula>"Towel"</formula>
    </cfRule>
    <cfRule type="cellIs" dxfId="11149" priority="15195" stopIfTrue="1" operator="equal">
      <formula>"Napkin Hs"</formula>
    </cfRule>
    <cfRule type="cellIs" dxfId="11148" priority="15200" stopIfTrue="1" operator="equal">
      <formula>"Towel"</formula>
    </cfRule>
    <cfRule type="cellIs" dxfId="11147" priority="15201" stopIfTrue="1" operator="equal">
      <formula>"Napkin Hs"</formula>
    </cfRule>
    <cfRule type="cellIs" dxfId="11146" priority="15202" stopIfTrue="1" operator="equal">
      <formula>"Towel"</formula>
    </cfRule>
    <cfRule type="cellIs" dxfId="11145" priority="15203" stopIfTrue="1" operator="equal">
      <formula>"Napkin Hs"</formula>
    </cfRule>
    <cfRule type="cellIs" dxfId="11144" priority="15208" stopIfTrue="1" operator="equal">
      <formula>"Towel"</formula>
    </cfRule>
    <cfRule type="cellIs" dxfId="11143" priority="15209" stopIfTrue="1" operator="equal">
      <formula>"Napkin Hs"</formula>
    </cfRule>
    <cfRule type="cellIs" dxfId="11142" priority="15218" stopIfTrue="1" operator="equal">
      <formula>"Towel"</formula>
    </cfRule>
    <cfRule type="cellIs" dxfId="11141" priority="15219" stopIfTrue="1" operator="equal">
      <formula>"Napkin Hs"</formula>
    </cfRule>
    <cfRule type="cellIs" dxfId="11140" priority="15220" stopIfTrue="1" operator="equal">
      <formula>"Towel"</formula>
    </cfRule>
    <cfRule type="cellIs" dxfId="11139" priority="15221" stopIfTrue="1" operator="equal">
      <formula>"Napkin Hs"</formula>
    </cfRule>
    <cfRule type="cellIs" dxfId="11138" priority="15226" stopIfTrue="1" operator="equal">
      <formula>"Towel"</formula>
    </cfRule>
    <cfRule type="cellIs" dxfId="11137" priority="15227" stopIfTrue="1" operator="equal">
      <formula>"Napkin Hs"</formula>
    </cfRule>
    <cfRule type="cellIs" dxfId="11136" priority="15236" stopIfTrue="1" operator="equal">
      <formula>"Towel"</formula>
    </cfRule>
    <cfRule type="cellIs" dxfId="11135" priority="15237" stopIfTrue="1" operator="equal">
      <formula>"Napkin Hs"</formula>
    </cfRule>
    <cfRule type="cellIs" dxfId="11134" priority="15238" stopIfTrue="1" operator="equal">
      <formula>"Towel"</formula>
    </cfRule>
    <cfRule type="cellIs" dxfId="11133" priority="15239" stopIfTrue="1" operator="equal">
      <formula>"Napkin Hs"</formula>
    </cfRule>
    <cfRule type="cellIs" dxfId="11132" priority="15245" stopIfTrue="1" operator="equal">
      <formula>"Napkin Hs"</formula>
    </cfRule>
  </conditionalFormatting>
  <conditionalFormatting sqref="C71">
    <cfRule type="cellIs" dxfId="11131" priority="15244" stopIfTrue="1" operator="equal">
      <formula>"Towel"</formula>
    </cfRule>
  </conditionalFormatting>
  <conditionalFormatting sqref="C71">
    <cfRule type="cellIs" dxfId="11130" priority="15155" stopIfTrue="1" operator="equal">
      <formula>"Napkin Hs"</formula>
    </cfRule>
    <cfRule type="cellIs" dxfId="11129" priority="15156" stopIfTrue="1" operator="equal">
      <formula>"Towel"</formula>
    </cfRule>
    <cfRule type="cellIs" dxfId="11128" priority="15157" stopIfTrue="1" operator="equal">
      <formula>"Napkin Hs"</formula>
    </cfRule>
    <cfRule type="cellIs" dxfId="11127" priority="15158" stopIfTrue="1" operator="equal">
      <formula>"Towel"</formula>
    </cfRule>
    <cfRule type="cellIs" dxfId="11126" priority="15159" stopIfTrue="1" operator="equal">
      <formula>"Napkin Hs"</formula>
    </cfRule>
    <cfRule type="cellIs" dxfId="11125" priority="15160" stopIfTrue="1" operator="equal">
      <formula>"Towel"</formula>
    </cfRule>
    <cfRule type="cellIs" dxfId="11124" priority="15161" stopIfTrue="1" operator="equal">
      <formula>"Napkin Hs"</formula>
    </cfRule>
    <cfRule type="cellIs" dxfId="11123" priority="15162" stopIfTrue="1" operator="equal">
      <formula>"Towel"</formula>
    </cfRule>
    <cfRule type="cellIs" dxfId="11122" priority="15163" stopIfTrue="1" operator="equal">
      <formula>"Napkin Hs"</formula>
    </cfRule>
    <cfRule type="cellIs" dxfId="11121" priority="15166" stopIfTrue="1" operator="equal">
      <formula>"Towel"</formula>
    </cfRule>
    <cfRule type="cellIs" dxfId="11120" priority="15167" stopIfTrue="1" operator="equal">
      <formula>"Napkin Hs"</formula>
    </cfRule>
    <cfRule type="cellIs" dxfId="11119" priority="15168" stopIfTrue="1" operator="equal">
      <formula>"Towel"</formula>
    </cfRule>
    <cfRule type="cellIs" dxfId="11118" priority="15169" stopIfTrue="1" operator="equal">
      <formula>"Napkin Hs"</formula>
    </cfRule>
    <cfRule type="cellIs" dxfId="11117" priority="15172" stopIfTrue="1" operator="equal">
      <formula>"Towel"</formula>
    </cfRule>
    <cfRule type="cellIs" dxfId="11116" priority="15173" stopIfTrue="1" operator="equal">
      <formula>"Napkin Hs"</formula>
    </cfRule>
    <cfRule type="cellIs" dxfId="11115" priority="15174" stopIfTrue="1" operator="equal">
      <formula>"Towel"</formula>
    </cfRule>
    <cfRule type="cellIs" dxfId="11114" priority="15175" stopIfTrue="1" operator="equal">
      <formula>"Napkin Hs"</formula>
    </cfRule>
    <cfRule type="cellIs" dxfId="11113" priority="15180" stopIfTrue="1" operator="equal">
      <formula>"Towel"</formula>
    </cfRule>
    <cfRule type="cellIs" dxfId="11112" priority="15181" stopIfTrue="1" operator="equal">
      <formula>"Napkin Hs"</formula>
    </cfRule>
    <cfRule type="cellIs" dxfId="11111" priority="15182" stopIfTrue="1" operator="equal">
      <formula>"Towel"</formula>
    </cfRule>
    <cfRule type="cellIs" dxfId="11110" priority="15183" stopIfTrue="1" operator="equal">
      <formula>"Napkin Hs"</formula>
    </cfRule>
    <cfRule type="cellIs" dxfId="11109" priority="15186" stopIfTrue="1" operator="equal">
      <formula>"Towel"</formula>
    </cfRule>
    <cfRule type="cellIs" dxfId="11108" priority="15187" stopIfTrue="1" operator="equal">
      <formula>"Napkin Hs"</formula>
    </cfRule>
    <cfRule type="cellIs" dxfId="11107" priority="15188" stopIfTrue="1" operator="equal">
      <formula>"Towel"</formula>
    </cfRule>
    <cfRule type="cellIs" dxfId="11106" priority="15189" stopIfTrue="1" operator="equal">
      <formula>"Napkin Hs"</formula>
    </cfRule>
    <cfRule type="cellIs" dxfId="11105" priority="15190" stopIfTrue="1" operator="equal">
      <formula>"Towel"</formula>
    </cfRule>
    <cfRule type="cellIs" dxfId="11104" priority="15191" stopIfTrue="1" operator="equal">
      <formula>"Napkin Hs"</formula>
    </cfRule>
    <cfRule type="cellIs" dxfId="11103" priority="15192" stopIfTrue="1" operator="equal">
      <formula>"Towel"</formula>
    </cfRule>
    <cfRule type="cellIs" dxfId="11102" priority="15193" stopIfTrue="1" operator="equal">
      <formula>"Napkin Hs"</formula>
    </cfRule>
    <cfRule type="cellIs" dxfId="11101" priority="15196" stopIfTrue="1" operator="equal">
      <formula>"Towel"</formula>
    </cfRule>
    <cfRule type="cellIs" dxfId="11100" priority="15197" stopIfTrue="1" operator="equal">
      <formula>"Napkin Hs"</formula>
    </cfRule>
    <cfRule type="cellIs" dxfId="11099" priority="15198" stopIfTrue="1" operator="equal">
      <formula>"Towel"</formula>
    </cfRule>
    <cfRule type="cellIs" dxfId="11098" priority="15199" stopIfTrue="1" operator="equal">
      <formula>"Napkin Hs"</formula>
    </cfRule>
    <cfRule type="cellIs" dxfId="11097" priority="15204" stopIfTrue="1" operator="equal">
      <formula>"Towel"</formula>
    </cfRule>
    <cfRule type="cellIs" dxfId="11096" priority="15205" stopIfTrue="1" operator="equal">
      <formula>"Napkin Hs"</formula>
    </cfRule>
    <cfRule type="cellIs" dxfId="11095" priority="15206" stopIfTrue="1" operator="equal">
      <formula>"Towel"</formula>
    </cfRule>
    <cfRule type="cellIs" dxfId="11094" priority="15207" stopIfTrue="1" operator="equal">
      <formula>"Napkin Hs"</formula>
    </cfRule>
    <cfRule type="cellIs" dxfId="11093" priority="15210" stopIfTrue="1" operator="equal">
      <formula>"Towel"</formula>
    </cfRule>
    <cfRule type="cellIs" dxfId="11092" priority="15211" stopIfTrue="1" operator="equal">
      <formula>"Napkin Hs"</formula>
    </cfRule>
    <cfRule type="cellIs" dxfId="11091" priority="15212" stopIfTrue="1" operator="equal">
      <formula>"Towel"</formula>
    </cfRule>
    <cfRule type="cellIs" dxfId="11090" priority="15213" stopIfTrue="1" operator="equal">
      <formula>"Napkin Hs"</formula>
    </cfRule>
    <cfRule type="cellIs" dxfId="11089" priority="15214" stopIfTrue="1" operator="equal">
      <formula>"Towel"</formula>
    </cfRule>
    <cfRule type="cellIs" dxfId="11088" priority="15215" stopIfTrue="1" operator="equal">
      <formula>"Napkin Hs"</formula>
    </cfRule>
    <cfRule type="cellIs" dxfId="11087" priority="15216" stopIfTrue="1" operator="equal">
      <formula>"Towel"</formula>
    </cfRule>
    <cfRule type="cellIs" dxfId="11086" priority="15217" stopIfTrue="1" operator="equal">
      <formula>"Napkin Hs"</formula>
    </cfRule>
    <cfRule type="cellIs" dxfId="11085" priority="15222" stopIfTrue="1" operator="equal">
      <formula>"Towel"</formula>
    </cfRule>
    <cfRule type="cellIs" dxfId="11084" priority="15223" stopIfTrue="1" operator="equal">
      <formula>"Napkin Hs"</formula>
    </cfRule>
    <cfRule type="cellIs" dxfId="11083" priority="15224" stopIfTrue="1" operator="equal">
      <formula>"Towel"</formula>
    </cfRule>
    <cfRule type="cellIs" dxfId="11082" priority="15225" stopIfTrue="1" operator="equal">
      <formula>"Napkin Hs"</formula>
    </cfRule>
    <cfRule type="cellIs" dxfId="11081" priority="15228" stopIfTrue="1" operator="equal">
      <formula>"Towel"</formula>
    </cfRule>
    <cfRule type="cellIs" dxfId="11080" priority="15229" stopIfTrue="1" operator="equal">
      <formula>"Napkin Hs"</formula>
    </cfRule>
    <cfRule type="cellIs" dxfId="11079" priority="15230" stopIfTrue="1" operator="equal">
      <formula>"Towel"</formula>
    </cfRule>
    <cfRule type="cellIs" dxfId="11078" priority="15231" stopIfTrue="1" operator="equal">
      <formula>"Napkin Hs"</formula>
    </cfRule>
    <cfRule type="cellIs" dxfId="11077" priority="15232" stopIfTrue="1" operator="equal">
      <formula>"Towel"</formula>
    </cfRule>
    <cfRule type="cellIs" dxfId="11076" priority="15233" stopIfTrue="1" operator="equal">
      <formula>"Napkin Hs"</formula>
    </cfRule>
    <cfRule type="cellIs" dxfId="11075" priority="15234" stopIfTrue="1" operator="equal">
      <formula>"Towel"</formula>
    </cfRule>
    <cfRule type="cellIs" dxfId="11074" priority="15235" stopIfTrue="1" operator="equal">
      <formula>"Napkin Hs"</formula>
    </cfRule>
    <cfRule type="cellIs" dxfId="11073" priority="15240" stopIfTrue="1" operator="equal">
      <formula>"Towel"</formula>
    </cfRule>
    <cfRule type="cellIs" dxfId="11072" priority="15241" stopIfTrue="1" operator="equal">
      <formula>"Napkin Hs"</formula>
    </cfRule>
    <cfRule type="cellIs" dxfId="11071" priority="15242" stopIfTrue="1" operator="equal">
      <formula>"Towel"</formula>
    </cfRule>
    <cfRule type="cellIs" dxfId="11070" priority="15243" stopIfTrue="1" operator="equal">
      <formula>"Napkin Hs"</formula>
    </cfRule>
    <cfRule type="cellIs" dxfId="11069" priority="15246" stopIfTrue="1" operator="equal">
      <formula>"Towel"</formula>
    </cfRule>
    <cfRule type="cellIs" dxfId="11068" priority="15247" stopIfTrue="1" operator="equal">
      <formula>"Napkin Hs"</formula>
    </cfRule>
    <cfRule type="cellIs" dxfId="11067" priority="15248" stopIfTrue="1" operator="equal">
      <formula>"Towel"</formula>
    </cfRule>
    <cfRule type="cellIs" dxfId="11066" priority="15249" stopIfTrue="1" operator="equal">
      <formula>"Napkin Hs"</formula>
    </cfRule>
  </conditionalFormatting>
  <conditionalFormatting sqref="C71">
    <cfRule type="cellIs" dxfId="11065" priority="15153" stopIfTrue="1" operator="equal">
      <formula>"Napkin Hs"</formula>
    </cfRule>
  </conditionalFormatting>
  <conditionalFormatting sqref="C71">
    <cfRule type="cellIs" dxfId="11064" priority="15152" stopIfTrue="1" operator="equal">
      <formula>"Napkin Hs"</formula>
    </cfRule>
  </conditionalFormatting>
  <conditionalFormatting sqref="C71">
    <cfRule type="cellIs" dxfId="11063" priority="15151" stopIfTrue="1" operator="equal">
      <formula>"Napkin Hs"</formula>
    </cfRule>
  </conditionalFormatting>
  <conditionalFormatting sqref="C71">
    <cfRule type="cellIs" dxfId="11062" priority="15150" stopIfTrue="1" operator="equal">
      <formula>"Napkin Hs"</formula>
    </cfRule>
  </conditionalFormatting>
  <conditionalFormatting sqref="C71">
    <cfRule type="cellIs" dxfId="11061" priority="15149" stopIfTrue="1" operator="equal">
      <formula>"Napkin Hs"</formula>
    </cfRule>
  </conditionalFormatting>
  <conditionalFormatting sqref="C71">
    <cfRule type="cellIs" dxfId="11060" priority="15148" stopIfTrue="1" operator="equal">
      <formula>"Napkin Hs"</formula>
    </cfRule>
  </conditionalFormatting>
  <conditionalFormatting sqref="C71">
    <cfRule type="cellIs" dxfId="11059" priority="15144" stopIfTrue="1" operator="equal">
      <formula>"Towel"</formula>
    </cfRule>
    <cfRule type="cellIs" dxfId="11058" priority="15145" stopIfTrue="1" operator="equal">
      <formula>"Napkin Hs"</formula>
    </cfRule>
  </conditionalFormatting>
  <conditionalFormatting sqref="C71">
    <cfRule type="cellIs" dxfId="11057" priority="15146" stopIfTrue="1" operator="equal">
      <formula>"Towel"</formula>
    </cfRule>
    <cfRule type="cellIs" dxfId="11056" priority="15147" stopIfTrue="1" operator="equal">
      <formula>"Napkin Hs"</formula>
    </cfRule>
  </conditionalFormatting>
  <conditionalFormatting sqref="C71">
    <cfRule type="cellIs" dxfId="11055" priority="15140" stopIfTrue="1" operator="equal">
      <formula>"Towel"</formula>
    </cfRule>
    <cfRule type="cellIs" dxfId="11054" priority="15141" stopIfTrue="1" operator="equal">
      <formula>"Napkin Hs"</formula>
    </cfRule>
  </conditionalFormatting>
  <conditionalFormatting sqref="C71">
    <cfRule type="cellIs" dxfId="11053" priority="15142" stopIfTrue="1" operator="equal">
      <formula>"Towel"</formula>
    </cfRule>
    <cfRule type="cellIs" dxfId="11052" priority="15143" stopIfTrue="1" operator="equal">
      <formula>"Napkin Hs"</formula>
    </cfRule>
  </conditionalFormatting>
  <conditionalFormatting sqref="B71">
    <cfRule type="cellIs" dxfId="11051" priority="15138" stopIfTrue="1" operator="equal">
      <formula>"Towel"</formula>
    </cfRule>
    <cfRule type="cellIs" dxfId="11050" priority="15139" stopIfTrue="1" operator="equal">
      <formula>"Napkin Hs"</formula>
    </cfRule>
  </conditionalFormatting>
  <conditionalFormatting sqref="B71">
    <cfRule type="cellIs" dxfId="11049" priority="15136" stopIfTrue="1" operator="equal">
      <formula>"Towel"</formula>
    </cfRule>
    <cfRule type="cellIs" dxfId="11048" priority="15137" stopIfTrue="1" operator="equal">
      <formula>"Napkin Hs"</formula>
    </cfRule>
  </conditionalFormatting>
  <conditionalFormatting sqref="B71">
    <cfRule type="cellIs" dxfId="11047" priority="15134" stopIfTrue="1" operator="equal">
      <formula>"Towel"</formula>
    </cfRule>
    <cfRule type="cellIs" dxfId="11046" priority="15135" stopIfTrue="1" operator="equal">
      <formula>"Napkin Hs"</formula>
    </cfRule>
  </conditionalFormatting>
  <conditionalFormatting sqref="B71">
    <cfRule type="cellIs" dxfId="11045" priority="15126" stopIfTrue="1" operator="equal">
      <formula>"Towel"</formula>
    </cfRule>
  </conditionalFormatting>
  <conditionalFormatting sqref="B71">
    <cfRule type="cellIs" dxfId="11044" priority="15127" stopIfTrue="1" operator="equal">
      <formula>"Napkin Hs"</formula>
    </cfRule>
    <cfRule type="cellIs" dxfId="11043" priority="15128" stopIfTrue="1" operator="equal">
      <formula>"Towel"</formula>
    </cfRule>
    <cfRule type="cellIs" dxfId="11042" priority="15129" stopIfTrue="1" operator="equal">
      <formula>"Napkin Hs"</formula>
    </cfRule>
    <cfRule type="cellIs" dxfId="11041" priority="15130" stopIfTrue="1" operator="equal">
      <formula>"Towel"</formula>
    </cfRule>
    <cfRule type="cellIs" dxfId="11040" priority="15131" stopIfTrue="1" operator="equal">
      <formula>"Napkin Hs"</formula>
    </cfRule>
    <cfRule type="cellIs" dxfId="11039" priority="15132" stopIfTrue="1" operator="equal">
      <formula>"Towel"</formula>
    </cfRule>
    <cfRule type="cellIs" dxfId="11038" priority="15133" stopIfTrue="1" operator="equal">
      <formula>"Napkin Hs"</formula>
    </cfRule>
  </conditionalFormatting>
  <conditionalFormatting sqref="B71">
    <cfRule type="cellIs" dxfId="11037" priority="15124" stopIfTrue="1" operator="equal">
      <formula>"Towel"</formula>
    </cfRule>
    <cfRule type="cellIs" dxfId="11036" priority="15125" stopIfTrue="1" operator="equal">
      <formula>"Napkin Hs"</formula>
    </cfRule>
  </conditionalFormatting>
  <conditionalFormatting sqref="B71">
    <cfRule type="cellIs" dxfId="11035" priority="15093" stopIfTrue="1" operator="equal">
      <formula>"Napkin Hs"</formula>
    </cfRule>
  </conditionalFormatting>
  <conditionalFormatting sqref="B71">
    <cfRule type="cellIs" dxfId="11034" priority="15092" stopIfTrue="1" operator="equal">
      <formula>"Towel"</formula>
    </cfRule>
  </conditionalFormatting>
  <conditionalFormatting sqref="B71">
    <cfRule type="cellIs" dxfId="11033" priority="15094" stopIfTrue="1" operator="equal">
      <formula>"Towel"</formula>
    </cfRule>
    <cfRule type="cellIs" dxfId="11032" priority="15095" stopIfTrue="1" operator="equal">
      <formula>"Napkin Hs"</formula>
    </cfRule>
    <cfRule type="cellIs" dxfId="11031" priority="15096" stopIfTrue="1" operator="equal">
      <formula>"Towel"</formula>
    </cfRule>
    <cfRule type="cellIs" dxfId="11030" priority="15097" stopIfTrue="1" operator="equal">
      <formula>"Napkin Hs"</formula>
    </cfRule>
    <cfRule type="cellIs" dxfId="11029" priority="15098" stopIfTrue="1" operator="equal">
      <formula>"Towel"</formula>
    </cfRule>
    <cfRule type="cellIs" dxfId="11028" priority="15099" stopIfTrue="1" operator="equal">
      <formula>"Napkin Hs"</formula>
    </cfRule>
    <cfRule type="cellIs" dxfId="11027" priority="15100" stopIfTrue="1" operator="equal">
      <formula>"Towel"</formula>
    </cfRule>
    <cfRule type="cellIs" dxfId="11026" priority="15101" stopIfTrue="1" operator="equal">
      <formula>"Napkin Hs"</formula>
    </cfRule>
    <cfRule type="cellIs" dxfId="11025" priority="15102" stopIfTrue="1" operator="equal">
      <formula>"Towel"</formula>
    </cfRule>
    <cfRule type="cellIs" dxfId="11024" priority="15103" stopIfTrue="1" operator="equal">
      <formula>"Napkin Hs"</formula>
    </cfRule>
    <cfRule type="cellIs" dxfId="11023" priority="15104" stopIfTrue="1" operator="equal">
      <formula>"Towel"</formula>
    </cfRule>
    <cfRule type="cellIs" dxfId="11022" priority="15105" stopIfTrue="1" operator="equal">
      <formula>"Napkin Hs"</formula>
    </cfRule>
    <cfRule type="cellIs" dxfId="11021" priority="15106" stopIfTrue="1" operator="equal">
      <formula>"Towel"</formula>
    </cfRule>
    <cfRule type="cellIs" dxfId="11020" priority="15107" stopIfTrue="1" operator="equal">
      <formula>"Napkin Hs"</formula>
    </cfRule>
    <cfRule type="cellIs" dxfId="11019" priority="15108" stopIfTrue="1" operator="equal">
      <formula>"Towel"</formula>
    </cfRule>
    <cfRule type="cellIs" dxfId="11018" priority="15109" stopIfTrue="1" operator="equal">
      <formula>"Napkin Hs"</formula>
    </cfRule>
    <cfRule type="cellIs" dxfId="11017" priority="15110" stopIfTrue="1" operator="equal">
      <formula>"Towel"</formula>
    </cfRule>
    <cfRule type="cellIs" dxfId="11016" priority="15111" stopIfTrue="1" operator="equal">
      <formula>"Napkin Hs"</formula>
    </cfRule>
    <cfRule type="cellIs" dxfId="11015" priority="15112" stopIfTrue="1" operator="equal">
      <formula>"Towel"</formula>
    </cfRule>
    <cfRule type="cellIs" dxfId="11014" priority="15113" stopIfTrue="1" operator="equal">
      <formula>"Napkin Hs"</formula>
    </cfRule>
    <cfRule type="cellIs" dxfId="11013" priority="15114" stopIfTrue="1" operator="equal">
      <formula>"Towel"</formula>
    </cfRule>
    <cfRule type="cellIs" dxfId="11012" priority="15115" stopIfTrue="1" operator="equal">
      <formula>"Napkin Hs"</formula>
    </cfRule>
    <cfRule type="cellIs" dxfId="11011" priority="15116" stopIfTrue="1" operator="equal">
      <formula>"Towel"</formula>
    </cfRule>
    <cfRule type="cellIs" dxfId="11010" priority="15117" stopIfTrue="1" operator="equal">
      <formula>"Napkin Hs"</formula>
    </cfRule>
    <cfRule type="cellIs" dxfId="11009" priority="15118" stopIfTrue="1" operator="equal">
      <formula>"Towel"</formula>
    </cfRule>
    <cfRule type="cellIs" dxfId="11008" priority="15119" stopIfTrue="1" operator="equal">
      <formula>"Napkin Hs"</formula>
    </cfRule>
    <cfRule type="cellIs" dxfId="11007" priority="15120" stopIfTrue="1" operator="equal">
      <formula>"Towel"</formula>
    </cfRule>
    <cfRule type="cellIs" dxfId="11006" priority="15121" stopIfTrue="1" operator="equal">
      <formula>"Napkin Hs"</formula>
    </cfRule>
    <cfRule type="cellIs" dxfId="11005" priority="15123" stopIfTrue="1" operator="equal">
      <formula>"Napkin Hs"</formula>
    </cfRule>
  </conditionalFormatting>
  <conditionalFormatting sqref="B71">
    <cfRule type="cellIs" dxfId="11004" priority="15122" stopIfTrue="1" operator="equal">
      <formula>"Towel"</formula>
    </cfRule>
  </conditionalFormatting>
  <conditionalFormatting sqref="B71">
    <cfRule type="cellIs" dxfId="11003" priority="15091" stopIfTrue="1" operator="equal">
      <formula>"Napkin Hs"</formula>
    </cfRule>
  </conditionalFormatting>
  <conditionalFormatting sqref="B71">
    <cfRule type="cellIs" dxfId="11002" priority="15090" stopIfTrue="1" operator="equal">
      <formula>"Napkin Hs"</formula>
    </cfRule>
  </conditionalFormatting>
  <conditionalFormatting sqref="B71">
    <cfRule type="cellIs" dxfId="11001" priority="15089" stopIfTrue="1" operator="equal">
      <formula>"Napkin Hs"</formula>
    </cfRule>
  </conditionalFormatting>
  <conditionalFormatting sqref="C76:C77">
    <cfRule type="cellIs" dxfId="11000" priority="14866" stopIfTrue="1" operator="equal">
      <formula>"Towel"</formula>
    </cfRule>
    <cfRule type="cellIs" dxfId="10999" priority="14867" stopIfTrue="1" operator="equal">
      <formula>"Napkin Hs"</formula>
    </cfRule>
  </conditionalFormatting>
  <conditionalFormatting sqref="C76:C77">
    <cfRule type="cellIs" dxfId="10998" priority="14868" stopIfTrue="1" operator="equal">
      <formula>"Towel"</formula>
    </cfRule>
    <cfRule type="cellIs" dxfId="10997" priority="14869" stopIfTrue="1" operator="equal">
      <formula>"Napkin Hs"</formula>
    </cfRule>
  </conditionalFormatting>
  <conditionalFormatting sqref="C76:C77">
    <cfRule type="cellIs" dxfId="10996" priority="14864" stopIfTrue="1" operator="equal">
      <formula>"Towel"</formula>
    </cfRule>
    <cfRule type="cellIs" dxfId="10995" priority="14865" stopIfTrue="1" operator="equal">
      <formula>"Napkin Hs"</formula>
    </cfRule>
  </conditionalFormatting>
  <conditionalFormatting sqref="B76:B77">
    <cfRule type="cellIs" dxfId="10994" priority="14862" stopIfTrue="1" operator="equal">
      <formula>"Towel"</formula>
    </cfRule>
    <cfRule type="cellIs" dxfId="10993" priority="14863" stopIfTrue="1" operator="equal">
      <formula>"Napkin Hs"</formula>
    </cfRule>
  </conditionalFormatting>
  <conditionalFormatting sqref="C76:C77">
    <cfRule type="cellIs" dxfId="10992" priority="14856" stopIfTrue="1" operator="equal">
      <formula>"Towel"</formula>
    </cfRule>
    <cfRule type="cellIs" dxfId="10991" priority="14857" stopIfTrue="1" operator="equal">
      <formula>"Napkin Hs"</formula>
    </cfRule>
  </conditionalFormatting>
  <conditionalFormatting sqref="C76:C77">
    <cfRule type="cellIs" dxfId="10990" priority="14860" stopIfTrue="1" operator="equal">
      <formula>"Towel"</formula>
    </cfRule>
    <cfRule type="cellIs" dxfId="10989" priority="14861" stopIfTrue="1" operator="equal">
      <formula>"Napkin Hs"</formula>
    </cfRule>
  </conditionalFormatting>
  <conditionalFormatting sqref="C76:C77">
    <cfRule type="cellIs" dxfId="10988" priority="14858" stopIfTrue="1" operator="equal">
      <formula>"Towel"</formula>
    </cfRule>
    <cfRule type="cellIs" dxfId="10987" priority="14859" stopIfTrue="1" operator="equal">
      <formula>"Napkin Hs"</formula>
    </cfRule>
  </conditionalFormatting>
  <conditionalFormatting sqref="C76:C77">
    <cfRule type="cellIs" dxfId="10986" priority="14850" stopIfTrue="1" operator="equal">
      <formula>"Towel"</formula>
    </cfRule>
    <cfRule type="cellIs" dxfId="10985" priority="14851" stopIfTrue="1" operator="equal">
      <formula>"Napkin Hs"</formula>
    </cfRule>
  </conditionalFormatting>
  <conditionalFormatting sqref="C76:C77">
    <cfRule type="cellIs" dxfId="10984" priority="14852" stopIfTrue="1" operator="equal">
      <formula>"Towel"</formula>
    </cfRule>
    <cfRule type="cellIs" dxfId="10983" priority="14853" stopIfTrue="1" operator="equal">
      <formula>"Napkin Hs"</formula>
    </cfRule>
  </conditionalFormatting>
  <conditionalFormatting sqref="C76:C77">
    <cfRule type="cellIs" dxfId="10982" priority="14854" stopIfTrue="1" operator="equal">
      <formula>"Towel"</formula>
    </cfRule>
    <cfRule type="cellIs" dxfId="10981" priority="14855" stopIfTrue="1" operator="equal">
      <formula>"Napkin Hs"</formula>
    </cfRule>
  </conditionalFormatting>
  <conditionalFormatting sqref="B76:C77">
    <cfRule type="cellIs" dxfId="10980" priority="14848" stopIfTrue="1" operator="equal">
      <formula>"Towel"</formula>
    </cfRule>
    <cfRule type="cellIs" dxfId="10979" priority="14849" stopIfTrue="1" operator="equal">
      <formula>"Napkin Hs"</formula>
    </cfRule>
  </conditionalFormatting>
  <conditionalFormatting sqref="B76:C77">
    <cfRule type="cellIs" dxfId="10978" priority="14846" stopIfTrue="1" operator="equal">
      <formula>"Towel"</formula>
    </cfRule>
    <cfRule type="cellIs" dxfId="10977" priority="14847" stopIfTrue="1" operator="equal">
      <formula>"Napkin Hs"</formula>
    </cfRule>
  </conditionalFormatting>
  <conditionalFormatting sqref="B76:C77">
    <cfRule type="cellIs" dxfId="10976" priority="14822" stopIfTrue="1" operator="equal">
      <formula>"Towel"</formula>
    </cfRule>
  </conditionalFormatting>
  <conditionalFormatting sqref="B76:C77">
    <cfRule type="cellIs" dxfId="10975" priority="14823" stopIfTrue="1" operator="equal">
      <formula>"Napkin Hs"</formula>
    </cfRule>
    <cfRule type="cellIs" dxfId="10974" priority="14828" stopIfTrue="1" operator="equal">
      <formula>"Towel"</formula>
    </cfRule>
    <cfRule type="cellIs" dxfId="10973" priority="14829" stopIfTrue="1" operator="equal">
      <formula>"Napkin Hs"</formula>
    </cfRule>
    <cfRule type="cellIs" dxfId="10972" priority="14838" stopIfTrue="1" operator="equal">
      <formula>"Towel"</formula>
    </cfRule>
    <cfRule type="cellIs" dxfId="10971" priority="14839" stopIfTrue="1" operator="equal">
      <formula>"Napkin Hs"</formula>
    </cfRule>
    <cfRule type="cellIs" dxfId="10970" priority="14844" stopIfTrue="1" operator="equal">
      <formula>"Towel"</formula>
    </cfRule>
    <cfRule type="cellIs" dxfId="10969" priority="14845" stopIfTrue="1" operator="equal">
      <formula>"Napkin Hs"</formula>
    </cfRule>
  </conditionalFormatting>
  <conditionalFormatting sqref="C76:C77">
    <cfRule type="cellIs" dxfId="10968" priority="14824" stopIfTrue="1" operator="equal">
      <formula>"Towel"</formula>
    </cfRule>
    <cfRule type="cellIs" dxfId="10967" priority="14825" stopIfTrue="1" operator="equal">
      <formula>"Napkin Hs"</formula>
    </cfRule>
    <cfRule type="cellIs" dxfId="10966" priority="14826" stopIfTrue="1" operator="equal">
      <formula>"Towel"</formula>
    </cfRule>
    <cfRule type="cellIs" dxfId="10965" priority="14827" stopIfTrue="1" operator="equal">
      <formula>"Napkin Hs"</formula>
    </cfRule>
    <cfRule type="cellIs" dxfId="10964" priority="14830" stopIfTrue="1" operator="equal">
      <formula>"Towel"</formula>
    </cfRule>
    <cfRule type="cellIs" dxfId="10963" priority="14831" stopIfTrue="1" operator="equal">
      <formula>"Napkin Hs"</formula>
    </cfRule>
    <cfRule type="cellIs" dxfId="10962" priority="14832" stopIfTrue="1" operator="equal">
      <formula>"Towel"</formula>
    </cfRule>
    <cfRule type="cellIs" dxfId="10961" priority="14833" stopIfTrue="1" operator="equal">
      <formula>"Napkin Hs"</formula>
    </cfRule>
    <cfRule type="cellIs" dxfId="10960" priority="14834" stopIfTrue="1" operator="equal">
      <formula>"Towel"</formula>
    </cfRule>
    <cfRule type="cellIs" dxfId="10959" priority="14835" stopIfTrue="1" operator="equal">
      <formula>"Napkin Hs"</formula>
    </cfRule>
    <cfRule type="cellIs" dxfId="10958" priority="14836" stopIfTrue="1" operator="equal">
      <formula>"Towel"</formula>
    </cfRule>
    <cfRule type="cellIs" dxfId="10957" priority="14837" stopIfTrue="1" operator="equal">
      <formula>"Napkin Hs"</formula>
    </cfRule>
    <cfRule type="cellIs" dxfId="10956" priority="14840" stopIfTrue="1" operator="equal">
      <formula>"Towel"</formula>
    </cfRule>
    <cfRule type="cellIs" dxfId="10955" priority="14841" stopIfTrue="1" operator="equal">
      <formula>"Napkin Hs"</formula>
    </cfRule>
    <cfRule type="cellIs" dxfId="10954" priority="14843" stopIfTrue="1" operator="equal">
      <formula>"Napkin Hs"</formula>
    </cfRule>
  </conditionalFormatting>
  <conditionalFormatting sqref="C76:C77">
    <cfRule type="cellIs" dxfId="10953" priority="14842" stopIfTrue="1" operator="equal">
      <formula>"Towel"</formula>
    </cfRule>
  </conditionalFormatting>
  <conditionalFormatting sqref="B76:C77">
    <cfRule type="cellIs" dxfId="10952" priority="14820" stopIfTrue="1" operator="equal">
      <formula>"Towel"</formula>
    </cfRule>
    <cfRule type="cellIs" dxfId="10951" priority="14821" stopIfTrue="1" operator="equal">
      <formula>"Napkin Hs"</formula>
    </cfRule>
  </conditionalFormatting>
  <conditionalFormatting sqref="C76:C77">
    <cfRule type="cellIs" dxfId="10950" priority="14819" stopIfTrue="1" operator="equal">
      <formula>"Napkin Hs"</formula>
    </cfRule>
  </conditionalFormatting>
  <conditionalFormatting sqref="C76:C77">
    <cfRule type="cellIs" dxfId="10949" priority="14818" stopIfTrue="1" operator="equal">
      <formula>"Towel"</formula>
    </cfRule>
  </conditionalFormatting>
  <conditionalFormatting sqref="C76:C77">
    <cfRule type="cellIs" dxfId="10948" priority="14816" stopIfTrue="1" operator="equal">
      <formula>"Towel"</formula>
    </cfRule>
  </conditionalFormatting>
  <conditionalFormatting sqref="C76:C77">
    <cfRule type="cellIs" dxfId="10947" priority="14817" stopIfTrue="1" operator="equal">
      <formula>"Napkin Hs"</formula>
    </cfRule>
  </conditionalFormatting>
  <conditionalFormatting sqref="B76:B77">
    <cfRule type="cellIs" dxfId="10946" priority="14720" stopIfTrue="1" operator="equal">
      <formula>"Napkin Hs"</formula>
    </cfRule>
  </conditionalFormatting>
  <conditionalFormatting sqref="B76:C77">
    <cfRule type="cellIs" dxfId="10945" priority="14719" stopIfTrue="1" operator="equal">
      <formula>"Towel"</formula>
    </cfRule>
  </conditionalFormatting>
  <conditionalFormatting sqref="B76:C77">
    <cfRule type="cellIs" dxfId="10944" priority="14730" stopIfTrue="1" operator="equal">
      <formula>"Towel"</formula>
    </cfRule>
    <cfRule type="cellIs" dxfId="10943" priority="14731" stopIfTrue="1" operator="equal">
      <formula>"Napkin Hs"</formula>
    </cfRule>
    <cfRule type="cellIs" dxfId="10942" priority="14736" stopIfTrue="1" operator="equal">
      <formula>"Towel"</formula>
    </cfRule>
    <cfRule type="cellIs" dxfId="10941" priority="14737" stopIfTrue="1" operator="equal">
      <formula>"Napkin Hs"</formula>
    </cfRule>
    <cfRule type="cellIs" dxfId="10940" priority="14742" stopIfTrue="1" operator="equal">
      <formula>"Towel"</formula>
    </cfRule>
    <cfRule type="cellIs" dxfId="10939" priority="14743" stopIfTrue="1" operator="equal">
      <formula>"Napkin Hs"</formula>
    </cfRule>
    <cfRule type="cellIs" dxfId="10938" priority="14744" stopIfTrue="1" operator="equal">
      <formula>"Towel"</formula>
    </cfRule>
    <cfRule type="cellIs" dxfId="10937" priority="14745" stopIfTrue="1" operator="equal">
      <formula>"Napkin Hs"</formula>
    </cfRule>
    <cfRule type="cellIs" dxfId="10936" priority="14750" stopIfTrue="1" operator="equal">
      <formula>"Towel"</formula>
    </cfRule>
    <cfRule type="cellIs" dxfId="10935" priority="14751" stopIfTrue="1" operator="equal">
      <formula>"Napkin Hs"</formula>
    </cfRule>
    <cfRule type="cellIs" dxfId="10934" priority="14760" stopIfTrue="1" operator="equal">
      <formula>"Towel"</formula>
    </cfRule>
    <cfRule type="cellIs" dxfId="10933" priority="14761" stopIfTrue="1" operator="equal">
      <formula>"Napkin Hs"</formula>
    </cfRule>
    <cfRule type="cellIs" dxfId="10932" priority="14766" stopIfTrue="1" operator="equal">
      <formula>"Towel"</formula>
    </cfRule>
    <cfRule type="cellIs" dxfId="10931" priority="14767" stopIfTrue="1" operator="equal">
      <formula>"Napkin Hs"</formula>
    </cfRule>
    <cfRule type="cellIs" dxfId="10930" priority="14768" stopIfTrue="1" operator="equal">
      <formula>"Towel"</formula>
    </cfRule>
    <cfRule type="cellIs" dxfId="10929" priority="14769" stopIfTrue="1" operator="equal">
      <formula>"Napkin Hs"</formula>
    </cfRule>
    <cfRule type="cellIs" dxfId="10928" priority="14774" stopIfTrue="1" operator="equal">
      <formula>"Towel"</formula>
    </cfRule>
    <cfRule type="cellIs" dxfId="10927" priority="14775" stopIfTrue="1" operator="equal">
      <formula>"Napkin Hs"</formula>
    </cfRule>
    <cfRule type="cellIs" dxfId="10926" priority="14784" stopIfTrue="1" operator="equal">
      <formula>"Towel"</formula>
    </cfRule>
    <cfRule type="cellIs" dxfId="10925" priority="14785" stopIfTrue="1" operator="equal">
      <formula>"Napkin Hs"</formula>
    </cfRule>
    <cfRule type="cellIs" dxfId="10924" priority="14786" stopIfTrue="1" operator="equal">
      <formula>"Towel"</formula>
    </cfRule>
    <cfRule type="cellIs" dxfId="10923" priority="14787" stopIfTrue="1" operator="equal">
      <formula>"Napkin Hs"</formula>
    </cfRule>
    <cfRule type="cellIs" dxfId="10922" priority="14792" stopIfTrue="1" operator="equal">
      <formula>"Towel"</formula>
    </cfRule>
    <cfRule type="cellIs" dxfId="10921" priority="14793" stopIfTrue="1" operator="equal">
      <formula>"Napkin Hs"</formula>
    </cfRule>
    <cfRule type="cellIs" dxfId="10920" priority="14802" stopIfTrue="1" operator="equal">
      <formula>"Towel"</formula>
    </cfRule>
    <cfRule type="cellIs" dxfId="10919" priority="14803" stopIfTrue="1" operator="equal">
      <formula>"Napkin Hs"</formula>
    </cfRule>
    <cfRule type="cellIs" dxfId="10918" priority="14804" stopIfTrue="1" operator="equal">
      <formula>"Towel"</formula>
    </cfRule>
    <cfRule type="cellIs" dxfId="10917" priority="14805" stopIfTrue="1" operator="equal">
      <formula>"Napkin Hs"</formula>
    </cfRule>
    <cfRule type="cellIs" dxfId="10916" priority="14811" stopIfTrue="1" operator="equal">
      <formula>"Napkin Hs"</formula>
    </cfRule>
  </conditionalFormatting>
  <conditionalFormatting sqref="B76:C77">
    <cfRule type="cellIs" dxfId="10915" priority="14810" stopIfTrue="1" operator="equal">
      <formula>"Towel"</formula>
    </cfRule>
  </conditionalFormatting>
  <conditionalFormatting sqref="C76:C77">
    <cfRule type="cellIs" dxfId="10914" priority="14721" stopIfTrue="1" operator="equal">
      <formula>"Napkin Hs"</formula>
    </cfRule>
    <cfRule type="cellIs" dxfId="10913" priority="14722" stopIfTrue="1" operator="equal">
      <formula>"Towel"</formula>
    </cfRule>
    <cfRule type="cellIs" dxfId="10912" priority="14723" stopIfTrue="1" operator="equal">
      <formula>"Napkin Hs"</formula>
    </cfRule>
    <cfRule type="cellIs" dxfId="10911" priority="14724" stopIfTrue="1" operator="equal">
      <formula>"Towel"</formula>
    </cfRule>
    <cfRule type="cellIs" dxfId="10910" priority="14725" stopIfTrue="1" operator="equal">
      <formula>"Napkin Hs"</formula>
    </cfRule>
    <cfRule type="cellIs" dxfId="10909" priority="14726" stopIfTrue="1" operator="equal">
      <formula>"Towel"</formula>
    </cfRule>
    <cfRule type="cellIs" dxfId="10908" priority="14727" stopIfTrue="1" operator="equal">
      <formula>"Napkin Hs"</formula>
    </cfRule>
    <cfRule type="cellIs" dxfId="10907" priority="14728" stopIfTrue="1" operator="equal">
      <formula>"Towel"</formula>
    </cfRule>
    <cfRule type="cellIs" dxfId="10906" priority="14729" stopIfTrue="1" operator="equal">
      <formula>"Napkin Hs"</formula>
    </cfRule>
    <cfRule type="cellIs" dxfId="10905" priority="14732" stopIfTrue="1" operator="equal">
      <formula>"Towel"</formula>
    </cfRule>
    <cfRule type="cellIs" dxfId="10904" priority="14733" stopIfTrue="1" operator="equal">
      <formula>"Napkin Hs"</formula>
    </cfRule>
    <cfRule type="cellIs" dxfId="10903" priority="14734" stopIfTrue="1" operator="equal">
      <formula>"Towel"</formula>
    </cfRule>
    <cfRule type="cellIs" dxfId="10902" priority="14735" stopIfTrue="1" operator="equal">
      <formula>"Napkin Hs"</formula>
    </cfRule>
    <cfRule type="cellIs" dxfId="10901" priority="14738" stopIfTrue="1" operator="equal">
      <formula>"Towel"</formula>
    </cfRule>
    <cfRule type="cellIs" dxfId="10900" priority="14739" stopIfTrue="1" operator="equal">
      <formula>"Napkin Hs"</formula>
    </cfRule>
    <cfRule type="cellIs" dxfId="10899" priority="14740" stopIfTrue="1" operator="equal">
      <formula>"Towel"</formula>
    </cfRule>
    <cfRule type="cellIs" dxfId="10898" priority="14741" stopIfTrue="1" operator="equal">
      <formula>"Napkin Hs"</formula>
    </cfRule>
    <cfRule type="cellIs" dxfId="10897" priority="14746" stopIfTrue="1" operator="equal">
      <formula>"Towel"</formula>
    </cfRule>
    <cfRule type="cellIs" dxfId="10896" priority="14747" stopIfTrue="1" operator="equal">
      <formula>"Napkin Hs"</formula>
    </cfRule>
    <cfRule type="cellIs" dxfId="10895" priority="14748" stopIfTrue="1" operator="equal">
      <formula>"Towel"</formula>
    </cfRule>
    <cfRule type="cellIs" dxfId="10894" priority="14749" stopIfTrue="1" operator="equal">
      <formula>"Napkin Hs"</formula>
    </cfRule>
    <cfRule type="cellIs" dxfId="10893" priority="14752" stopIfTrue="1" operator="equal">
      <formula>"Towel"</formula>
    </cfRule>
    <cfRule type="cellIs" dxfId="10892" priority="14753" stopIfTrue="1" operator="equal">
      <formula>"Napkin Hs"</formula>
    </cfRule>
    <cfRule type="cellIs" dxfId="10891" priority="14754" stopIfTrue="1" operator="equal">
      <formula>"Towel"</formula>
    </cfRule>
    <cfRule type="cellIs" dxfId="10890" priority="14755" stopIfTrue="1" operator="equal">
      <formula>"Napkin Hs"</formula>
    </cfRule>
    <cfRule type="cellIs" dxfId="10889" priority="14756" stopIfTrue="1" operator="equal">
      <formula>"Towel"</formula>
    </cfRule>
    <cfRule type="cellIs" dxfId="10888" priority="14757" stopIfTrue="1" operator="equal">
      <formula>"Napkin Hs"</formula>
    </cfRule>
    <cfRule type="cellIs" dxfId="10887" priority="14758" stopIfTrue="1" operator="equal">
      <formula>"Towel"</formula>
    </cfRule>
    <cfRule type="cellIs" dxfId="10886" priority="14759" stopIfTrue="1" operator="equal">
      <formula>"Napkin Hs"</formula>
    </cfRule>
    <cfRule type="cellIs" dxfId="10885" priority="14762" stopIfTrue="1" operator="equal">
      <formula>"Towel"</formula>
    </cfRule>
    <cfRule type="cellIs" dxfId="10884" priority="14763" stopIfTrue="1" operator="equal">
      <formula>"Napkin Hs"</formula>
    </cfRule>
    <cfRule type="cellIs" dxfId="10883" priority="14764" stopIfTrue="1" operator="equal">
      <formula>"Towel"</formula>
    </cfRule>
    <cfRule type="cellIs" dxfId="10882" priority="14765" stopIfTrue="1" operator="equal">
      <formula>"Napkin Hs"</formula>
    </cfRule>
    <cfRule type="cellIs" dxfId="10881" priority="14770" stopIfTrue="1" operator="equal">
      <formula>"Towel"</formula>
    </cfRule>
    <cfRule type="cellIs" dxfId="10880" priority="14771" stopIfTrue="1" operator="equal">
      <formula>"Napkin Hs"</formula>
    </cfRule>
    <cfRule type="cellIs" dxfId="10879" priority="14772" stopIfTrue="1" operator="equal">
      <formula>"Towel"</formula>
    </cfRule>
    <cfRule type="cellIs" dxfId="10878" priority="14773" stopIfTrue="1" operator="equal">
      <formula>"Napkin Hs"</formula>
    </cfRule>
    <cfRule type="cellIs" dxfId="10877" priority="14776" stopIfTrue="1" operator="equal">
      <formula>"Towel"</formula>
    </cfRule>
    <cfRule type="cellIs" dxfId="10876" priority="14777" stopIfTrue="1" operator="equal">
      <formula>"Napkin Hs"</formula>
    </cfRule>
    <cfRule type="cellIs" dxfId="10875" priority="14778" stopIfTrue="1" operator="equal">
      <formula>"Towel"</formula>
    </cfRule>
    <cfRule type="cellIs" dxfId="10874" priority="14779" stopIfTrue="1" operator="equal">
      <formula>"Napkin Hs"</formula>
    </cfRule>
    <cfRule type="cellIs" dxfId="10873" priority="14780" stopIfTrue="1" operator="equal">
      <formula>"Towel"</formula>
    </cfRule>
    <cfRule type="cellIs" dxfId="10872" priority="14781" stopIfTrue="1" operator="equal">
      <formula>"Napkin Hs"</formula>
    </cfRule>
    <cfRule type="cellIs" dxfId="10871" priority="14782" stopIfTrue="1" operator="equal">
      <formula>"Towel"</formula>
    </cfRule>
    <cfRule type="cellIs" dxfId="10870" priority="14783" stopIfTrue="1" operator="equal">
      <formula>"Napkin Hs"</formula>
    </cfRule>
    <cfRule type="cellIs" dxfId="10869" priority="14788" stopIfTrue="1" operator="equal">
      <formula>"Towel"</formula>
    </cfRule>
    <cfRule type="cellIs" dxfId="10868" priority="14789" stopIfTrue="1" operator="equal">
      <formula>"Napkin Hs"</formula>
    </cfRule>
    <cfRule type="cellIs" dxfId="10867" priority="14790" stopIfTrue="1" operator="equal">
      <formula>"Towel"</formula>
    </cfRule>
    <cfRule type="cellIs" dxfId="10866" priority="14791" stopIfTrue="1" operator="equal">
      <formula>"Napkin Hs"</formula>
    </cfRule>
    <cfRule type="cellIs" dxfId="10865" priority="14794" stopIfTrue="1" operator="equal">
      <formula>"Towel"</formula>
    </cfRule>
    <cfRule type="cellIs" dxfId="10864" priority="14795" stopIfTrue="1" operator="equal">
      <formula>"Napkin Hs"</formula>
    </cfRule>
    <cfRule type="cellIs" dxfId="10863" priority="14796" stopIfTrue="1" operator="equal">
      <formula>"Towel"</formula>
    </cfRule>
    <cfRule type="cellIs" dxfId="10862" priority="14797" stopIfTrue="1" operator="equal">
      <formula>"Napkin Hs"</formula>
    </cfRule>
    <cfRule type="cellIs" dxfId="10861" priority="14798" stopIfTrue="1" operator="equal">
      <formula>"Towel"</formula>
    </cfRule>
    <cfRule type="cellIs" dxfId="10860" priority="14799" stopIfTrue="1" operator="equal">
      <formula>"Napkin Hs"</formula>
    </cfRule>
    <cfRule type="cellIs" dxfId="10859" priority="14800" stopIfTrue="1" operator="equal">
      <formula>"Towel"</formula>
    </cfRule>
    <cfRule type="cellIs" dxfId="10858" priority="14801" stopIfTrue="1" operator="equal">
      <formula>"Napkin Hs"</formula>
    </cfRule>
    <cfRule type="cellIs" dxfId="10857" priority="14806" stopIfTrue="1" operator="equal">
      <formula>"Towel"</formula>
    </cfRule>
    <cfRule type="cellIs" dxfId="10856" priority="14807" stopIfTrue="1" operator="equal">
      <formula>"Napkin Hs"</formula>
    </cfRule>
    <cfRule type="cellIs" dxfId="10855" priority="14808" stopIfTrue="1" operator="equal">
      <formula>"Towel"</formula>
    </cfRule>
    <cfRule type="cellIs" dxfId="10854" priority="14809" stopIfTrue="1" operator="equal">
      <formula>"Napkin Hs"</formula>
    </cfRule>
    <cfRule type="cellIs" dxfId="10853" priority="14812" stopIfTrue="1" operator="equal">
      <formula>"Towel"</formula>
    </cfRule>
    <cfRule type="cellIs" dxfId="10852" priority="14813" stopIfTrue="1" operator="equal">
      <formula>"Napkin Hs"</formula>
    </cfRule>
    <cfRule type="cellIs" dxfId="10851" priority="14814" stopIfTrue="1" operator="equal">
      <formula>"Towel"</formula>
    </cfRule>
    <cfRule type="cellIs" dxfId="10850" priority="14815" stopIfTrue="1" operator="equal">
      <formula>"Napkin Hs"</formula>
    </cfRule>
  </conditionalFormatting>
  <conditionalFormatting sqref="C76:C77">
    <cfRule type="cellIs" dxfId="10849" priority="14718" stopIfTrue="1" operator="equal">
      <formula>"Napkin Hs"</formula>
    </cfRule>
  </conditionalFormatting>
  <conditionalFormatting sqref="C76:C77">
    <cfRule type="cellIs" dxfId="10848" priority="14717" stopIfTrue="1" operator="equal">
      <formula>"Napkin Hs"</formula>
    </cfRule>
  </conditionalFormatting>
  <conditionalFormatting sqref="B76:B77">
    <cfRule type="cellIs" dxfId="10847" priority="14716" stopIfTrue="1" operator="equal">
      <formula>"Napkin Hs"</formula>
    </cfRule>
  </conditionalFormatting>
  <conditionalFormatting sqref="C76:C77">
    <cfRule type="cellIs" dxfId="10846" priority="14715" stopIfTrue="1" operator="equal">
      <formula>"Napkin Hs"</formula>
    </cfRule>
  </conditionalFormatting>
  <conditionalFormatting sqref="C76:C77">
    <cfRule type="cellIs" dxfId="10845" priority="14714" stopIfTrue="1" operator="equal">
      <formula>"Napkin Hs"</formula>
    </cfRule>
  </conditionalFormatting>
  <conditionalFormatting sqref="C76:C77">
    <cfRule type="cellIs" dxfId="10844" priority="14713" stopIfTrue="1" operator="equal">
      <formula>"Napkin Hs"</formula>
    </cfRule>
  </conditionalFormatting>
  <conditionalFormatting sqref="C76:C77">
    <cfRule type="cellIs" dxfId="10843" priority="14712" stopIfTrue="1" operator="equal">
      <formula>"Napkin Hs"</formula>
    </cfRule>
  </conditionalFormatting>
  <conditionalFormatting sqref="B76:B77">
    <cfRule type="cellIs" dxfId="10842" priority="14711" stopIfTrue="1" operator="equal">
      <formula>"Napkin Hs"</formula>
    </cfRule>
  </conditionalFormatting>
  <conditionalFormatting sqref="B76:B77">
    <cfRule type="cellIs" dxfId="10841" priority="14710" stopIfTrue="1" operator="equal">
      <formula>"Napkin Hs"</formula>
    </cfRule>
  </conditionalFormatting>
  <conditionalFormatting sqref="C76:C77">
    <cfRule type="cellIs" dxfId="10840" priority="14706" stopIfTrue="1" operator="equal">
      <formula>"Towel"</formula>
    </cfRule>
    <cfRule type="cellIs" dxfId="10839" priority="14707" stopIfTrue="1" operator="equal">
      <formula>"Napkin Hs"</formula>
    </cfRule>
  </conditionalFormatting>
  <conditionalFormatting sqref="C76:C77">
    <cfRule type="cellIs" dxfId="10838" priority="14708" stopIfTrue="1" operator="equal">
      <formula>"Towel"</formula>
    </cfRule>
    <cfRule type="cellIs" dxfId="10837" priority="14709" stopIfTrue="1" operator="equal">
      <formula>"Napkin Hs"</formula>
    </cfRule>
  </conditionalFormatting>
  <conditionalFormatting sqref="C76:C77">
    <cfRule type="cellIs" dxfId="10836" priority="14702" stopIfTrue="1" operator="equal">
      <formula>"Towel"</formula>
    </cfRule>
    <cfRule type="cellIs" dxfId="10835" priority="14703" stopIfTrue="1" operator="equal">
      <formula>"Napkin Hs"</formula>
    </cfRule>
  </conditionalFormatting>
  <conditionalFormatting sqref="C76:C77">
    <cfRule type="cellIs" dxfId="10834" priority="14704" stopIfTrue="1" operator="equal">
      <formula>"Towel"</formula>
    </cfRule>
    <cfRule type="cellIs" dxfId="10833" priority="14705" stopIfTrue="1" operator="equal">
      <formula>"Napkin Hs"</formula>
    </cfRule>
  </conditionalFormatting>
  <conditionalFormatting sqref="C75">
    <cfRule type="cellIs" dxfId="10832" priority="14698" stopIfTrue="1" operator="equal">
      <formula>"Towel"</formula>
    </cfRule>
    <cfRule type="cellIs" dxfId="10831" priority="14699" stopIfTrue="1" operator="equal">
      <formula>"Napkin Hs"</formula>
    </cfRule>
  </conditionalFormatting>
  <conditionalFormatting sqref="C75">
    <cfRule type="cellIs" dxfId="10830" priority="14700" stopIfTrue="1" operator="equal">
      <formula>"Towel"</formula>
    </cfRule>
    <cfRule type="cellIs" dxfId="10829" priority="14701" stopIfTrue="1" operator="equal">
      <formula>"Napkin Hs"</formula>
    </cfRule>
  </conditionalFormatting>
  <conditionalFormatting sqref="C75">
    <cfRule type="cellIs" dxfId="10828" priority="14696" stopIfTrue="1" operator="equal">
      <formula>"Towel"</formula>
    </cfRule>
    <cfRule type="cellIs" dxfId="10827" priority="14697" stopIfTrue="1" operator="equal">
      <formula>"Napkin Hs"</formula>
    </cfRule>
  </conditionalFormatting>
  <conditionalFormatting sqref="C75">
    <cfRule type="cellIs" dxfId="10826" priority="14690" stopIfTrue="1" operator="equal">
      <formula>"Towel"</formula>
    </cfRule>
    <cfRule type="cellIs" dxfId="10825" priority="14691" stopIfTrue="1" operator="equal">
      <formula>"Napkin Hs"</formula>
    </cfRule>
  </conditionalFormatting>
  <conditionalFormatting sqref="C75">
    <cfRule type="cellIs" dxfId="10824" priority="14694" stopIfTrue="1" operator="equal">
      <formula>"Towel"</formula>
    </cfRule>
    <cfRule type="cellIs" dxfId="10823" priority="14695" stopIfTrue="1" operator="equal">
      <formula>"Napkin Hs"</formula>
    </cfRule>
  </conditionalFormatting>
  <conditionalFormatting sqref="C75">
    <cfRule type="cellIs" dxfId="10822" priority="14692" stopIfTrue="1" operator="equal">
      <formula>"Towel"</formula>
    </cfRule>
    <cfRule type="cellIs" dxfId="10821" priority="14693" stopIfTrue="1" operator="equal">
      <formula>"Napkin Hs"</formula>
    </cfRule>
  </conditionalFormatting>
  <conditionalFormatting sqref="C75">
    <cfRule type="cellIs" dxfId="10820" priority="14684" stopIfTrue="1" operator="equal">
      <formula>"Towel"</formula>
    </cfRule>
    <cfRule type="cellIs" dxfId="10819" priority="14685" stopIfTrue="1" operator="equal">
      <formula>"Napkin Hs"</formula>
    </cfRule>
  </conditionalFormatting>
  <conditionalFormatting sqref="C75">
    <cfRule type="cellIs" dxfId="10818" priority="14686" stopIfTrue="1" operator="equal">
      <formula>"Towel"</formula>
    </cfRule>
    <cfRule type="cellIs" dxfId="10817" priority="14687" stopIfTrue="1" operator="equal">
      <formula>"Napkin Hs"</formula>
    </cfRule>
  </conditionalFormatting>
  <conditionalFormatting sqref="C75">
    <cfRule type="cellIs" dxfId="10816" priority="14688" stopIfTrue="1" operator="equal">
      <formula>"Towel"</formula>
    </cfRule>
    <cfRule type="cellIs" dxfId="10815" priority="14689" stopIfTrue="1" operator="equal">
      <formula>"Napkin Hs"</formula>
    </cfRule>
  </conditionalFormatting>
  <conditionalFormatting sqref="C75">
    <cfRule type="cellIs" dxfId="10814" priority="14682" stopIfTrue="1" operator="equal">
      <formula>"Towel"</formula>
    </cfRule>
    <cfRule type="cellIs" dxfId="10813" priority="14683" stopIfTrue="1" operator="equal">
      <formula>"Napkin Hs"</formula>
    </cfRule>
  </conditionalFormatting>
  <conditionalFormatting sqref="C75">
    <cfRule type="cellIs" dxfId="10812" priority="14680" stopIfTrue="1" operator="equal">
      <formula>"Towel"</formula>
    </cfRule>
    <cfRule type="cellIs" dxfId="10811" priority="14681" stopIfTrue="1" operator="equal">
      <formula>"Napkin Hs"</formula>
    </cfRule>
  </conditionalFormatting>
  <conditionalFormatting sqref="C75">
    <cfRule type="cellIs" dxfId="10810" priority="14656" stopIfTrue="1" operator="equal">
      <formula>"Towel"</formula>
    </cfRule>
  </conditionalFormatting>
  <conditionalFormatting sqref="C75">
    <cfRule type="cellIs" dxfId="10809" priority="14657" stopIfTrue="1" operator="equal">
      <formula>"Napkin Hs"</formula>
    </cfRule>
    <cfRule type="cellIs" dxfId="10808" priority="14662" stopIfTrue="1" operator="equal">
      <formula>"Towel"</formula>
    </cfRule>
    <cfRule type="cellIs" dxfId="10807" priority="14663" stopIfTrue="1" operator="equal">
      <formula>"Napkin Hs"</formula>
    </cfRule>
    <cfRule type="cellIs" dxfId="10806" priority="14672" stopIfTrue="1" operator="equal">
      <formula>"Towel"</formula>
    </cfRule>
    <cfRule type="cellIs" dxfId="10805" priority="14673" stopIfTrue="1" operator="equal">
      <formula>"Napkin Hs"</formula>
    </cfRule>
    <cfRule type="cellIs" dxfId="10804" priority="14678" stopIfTrue="1" operator="equal">
      <formula>"Towel"</formula>
    </cfRule>
    <cfRule type="cellIs" dxfId="10803" priority="14679" stopIfTrue="1" operator="equal">
      <formula>"Napkin Hs"</formula>
    </cfRule>
  </conditionalFormatting>
  <conditionalFormatting sqref="C75">
    <cfRule type="cellIs" dxfId="10802" priority="14658" stopIfTrue="1" operator="equal">
      <formula>"Towel"</formula>
    </cfRule>
    <cfRule type="cellIs" dxfId="10801" priority="14659" stopIfTrue="1" operator="equal">
      <formula>"Napkin Hs"</formula>
    </cfRule>
    <cfRule type="cellIs" dxfId="10800" priority="14660" stopIfTrue="1" operator="equal">
      <formula>"Towel"</formula>
    </cfRule>
    <cfRule type="cellIs" dxfId="10799" priority="14661" stopIfTrue="1" operator="equal">
      <formula>"Napkin Hs"</formula>
    </cfRule>
    <cfRule type="cellIs" dxfId="10798" priority="14664" stopIfTrue="1" operator="equal">
      <formula>"Towel"</formula>
    </cfRule>
    <cfRule type="cellIs" dxfId="10797" priority="14665" stopIfTrue="1" operator="equal">
      <formula>"Napkin Hs"</formula>
    </cfRule>
    <cfRule type="cellIs" dxfId="10796" priority="14666" stopIfTrue="1" operator="equal">
      <formula>"Towel"</formula>
    </cfRule>
    <cfRule type="cellIs" dxfId="10795" priority="14667" stopIfTrue="1" operator="equal">
      <formula>"Napkin Hs"</formula>
    </cfRule>
    <cfRule type="cellIs" dxfId="10794" priority="14668" stopIfTrue="1" operator="equal">
      <formula>"Towel"</formula>
    </cfRule>
    <cfRule type="cellIs" dxfId="10793" priority="14669" stopIfTrue="1" operator="equal">
      <formula>"Napkin Hs"</formula>
    </cfRule>
    <cfRule type="cellIs" dxfId="10792" priority="14670" stopIfTrue="1" operator="equal">
      <formula>"Towel"</formula>
    </cfRule>
    <cfRule type="cellIs" dxfId="10791" priority="14671" stopIfTrue="1" operator="equal">
      <formula>"Napkin Hs"</formula>
    </cfRule>
    <cfRule type="cellIs" dxfId="10790" priority="14674" stopIfTrue="1" operator="equal">
      <formula>"Towel"</formula>
    </cfRule>
    <cfRule type="cellIs" dxfId="10789" priority="14675" stopIfTrue="1" operator="equal">
      <formula>"Napkin Hs"</formula>
    </cfRule>
    <cfRule type="cellIs" dxfId="10788" priority="14677" stopIfTrue="1" operator="equal">
      <formula>"Napkin Hs"</formula>
    </cfRule>
  </conditionalFormatting>
  <conditionalFormatting sqref="C75">
    <cfRule type="cellIs" dxfId="10787" priority="14676" stopIfTrue="1" operator="equal">
      <formula>"Towel"</formula>
    </cfRule>
  </conditionalFormatting>
  <conditionalFormatting sqref="C75">
    <cfRule type="cellIs" dxfId="10786" priority="14654" stopIfTrue="1" operator="equal">
      <formula>"Towel"</formula>
    </cfRule>
    <cfRule type="cellIs" dxfId="10785" priority="14655" stopIfTrue="1" operator="equal">
      <formula>"Napkin Hs"</formula>
    </cfRule>
  </conditionalFormatting>
  <conditionalFormatting sqref="C75">
    <cfRule type="cellIs" dxfId="10784" priority="14653" stopIfTrue="1" operator="equal">
      <formula>"Napkin Hs"</formula>
    </cfRule>
  </conditionalFormatting>
  <conditionalFormatting sqref="C75">
    <cfRule type="cellIs" dxfId="10783" priority="14652" stopIfTrue="1" operator="equal">
      <formula>"Towel"</formula>
    </cfRule>
  </conditionalFormatting>
  <conditionalFormatting sqref="C75">
    <cfRule type="cellIs" dxfId="10782" priority="14650" stopIfTrue="1" operator="equal">
      <formula>"Towel"</formula>
    </cfRule>
  </conditionalFormatting>
  <conditionalFormatting sqref="C75">
    <cfRule type="cellIs" dxfId="10781" priority="14651" stopIfTrue="1" operator="equal">
      <formula>"Napkin Hs"</formula>
    </cfRule>
  </conditionalFormatting>
  <conditionalFormatting sqref="C75">
    <cfRule type="cellIs" dxfId="10780" priority="14554" stopIfTrue="1" operator="equal">
      <formula>"Towel"</formula>
    </cfRule>
  </conditionalFormatting>
  <conditionalFormatting sqref="C75">
    <cfRule type="cellIs" dxfId="10779" priority="14564" stopIfTrue="1" operator="equal">
      <formula>"Towel"</formula>
    </cfRule>
    <cfRule type="cellIs" dxfId="10778" priority="14565" stopIfTrue="1" operator="equal">
      <formula>"Napkin Hs"</formula>
    </cfRule>
    <cfRule type="cellIs" dxfId="10777" priority="14570" stopIfTrue="1" operator="equal">
      <formula>"Towel"</formula>
    </cfRule>
    <cfRule type="cellIs" dxfId="10776" priority="14571" stopIfTrue="1" operator="equal">
      <formula>"Napkin Hs"</formula>
    </cfRule>
    <cfRule type="cellIs" dxfId="10775" priority="14576" stopIfTrue="1" operator="equal">
      <formula>"Towel"</formula>
    </cfRule>
    <cfRule type="cellIs" dxfId="10774" priority="14577" stopIfTrue="1" operator="equal">
      <formula>"Napkin Hs"</formula>
    </cfRule>
    <cfRule type="cellIs" dxfId="10773" priority="14578" stopIfTrue="1" operator="equal">
      <formula>"Towel"</formula>
    </cfRule>
    <cfRule type="cellIs" dxfId="10772" priority="14579" stopIfTrue="1" operator="equal">
      <formula>"Napkin Hs"</formula>
    </cfRule>
    <cfRule type="cellIs" dxfId="10771" priority="14584" stopIfTrue="1" operator="equal">
      <formula>"Towel"</formula>
    </cfRule>
    <cfRule type="cellIs" dxfId="10770" priority="14585" stopIfTrue="1" operator="equal">
      <formula>"Napkin Hs"</formula>
    </cfRule>
    <cfRule type="cellIs" dxfId="10769" priority="14594" stopIfTrue="1" operator="equal">
      <formula>"Towel"</formula>
    </cfRule>
    <cfRule type="cellIs" dxfId="10768" priority="14595" stopIfTrue="1" operator="equal">
      <formula>"Napkin Hs"</formula>
    </cfRule>
    <cfRule type="cellIs" dxfId="10767" priority="14600" stopIfTrue="1" operator="equal">
      <formula>"Towel"</formula>
    </cfRule>
    <cfRule type="cellIs" dxfId="10766" priority="14601" stopIfTrue="1" operator="equal">
      <formula>"Napkin Hs"</formula>
    </cfRule>
    <cfRule type="cellIs" dxfId="10765" priority="14602" stopIfTrue="1" operator="equal">
      <formula>"Towel"</formula>
    </cfRule>
    <cfRule type="cellIs" dxfId="10764" priority="14603" stopIfTrue="1" operator="equal">
      <formula>"Napkin Hs"</formula>
    </cfRule>
    <cfRule type="cellIs" dxfId="10763" priority="14608" stopIfTrue="1" operator="equal">
      <formula>"Towel"</formula>
    </cfRule>
    <cfRule type="cellIs" dxfId="10762" priority="14609" stopIfTrue="1" operator="equal">
      <formula>"Napkin Hs"</formula>
    </cfRule>
    <cfRule type="cellIs" dxfId="10761" priority="14618" stopIfTrue="1" operator="equal">
      <formula>"Towel"</formula>
    </cfRule>
    <cfRule type="cellIs" dxfId="10760" priority="14619" stopIfTrue="1" operator="equal">
      <formula>"Napkin Hs"</formula>
    </cfRule>
    <cfRule type="cellIs" dxfId="10759" priority="14620" stopIfTrue="1" operator="equal">
      <formula>"Towel"</formula>
    </cfRule>
    <cfRule type="cellIs" dxfId="10758" priority="14621" stopIfTrue="1" operator="equal">
      <formula>"Napkin Hs"</formula>
    </cfRule>
    <cfRule type="cellIs" dxfId="10757" priority="14626" stopIfTrue="1" operator="equal">
      <formula>"Towel"</formula>
    </cfRule>
    <cfRule type="cellIs" dxfId="10756" priority="14627" stopIfTrue="1" operator="equal">
      <formula>"Napkin Hs"</formula>
    </cfRule>
    <cfRule type="cellIs" dxfId="10755" priority="14636" stopIfTrue="1" operator="equal">
      <formula>"Towel"</formula>
    </cfRule>
    <cfRule type="cellIs" dxfId="10754" priority="14637" stopIfTrue="1" operator="equal">
      <formula>"Napkin Hs"</formula>
    </cfRule>
    <cfRule type="cellIs" dxfId="10753" priority="14638" stopIfTrue="1" operator="equal">
      <formula>"Towel"</formula>
    </cfRule>
    <cfRule type="cellIs" dxfId="10752" priority="14639" stopIfTrue="1" operator="equal">
      <formula>"Napkin Hs"</formula>
    </cfRule>
    <cfRule type="cellIs" dxfId="10751" priority="14645" stopIfTrue="1" operator="equal">
      <formula>"Napkin Hs"</formula>
    </cfRule>
  </conditionalFormatting>
  <conditionalFormatting sqref="C75">
    <cfRule type="cellIs" dxfId="10750" priority="14644" stopIfTrue="1" operator="equal">
      <formula>"Towel"</formula>
    </cfRule>
  </conditionalFormatting>
  <conditionalFormatting sqref="C75">
    <cfRule type="cellIs" dxfId="10749" priority="14555" stopIfTrue="1" operator="equal">
      <formula>"Napkin Hs"</formula>
    </cfRule>
    <cfRule type="cellIs" dxfId="10748" priority="14556" stopIfTrue="1" operator="equal">
      <formula>"Towel"</formula>
    </cfRule>
    <cfRule type="cellIs" dxfId="10747" priority="14557" stopIfTrue="1" operator="equal">
      <formula>"Napkin Hs"</formula>
    </cfRule>
    <cfRule type="cellIs" dxfId="10746" priority="14558" stopIfTrue="1" operator="equal">
      <formula>"Towel"</formula>
    </cfRule>
    <cfRule type="cellIs" dxfId="10745" priority="14559" stopIfTrue="1" operator="equal">
      <formula>"Napkin Hs"</formula>
    </cfRule>
    <cfRule type="cellIs" dxfId="10744" priority="14560" stopIfTrue="1" operator="equal">
      <formula>"Towel"</formula>
    </cfRule>
    <cfRule type="cellIs" dxfId="10743" priority="14561" stopIfTrue="1" operator="equal">
      <formula>"Napkin Hs"</formula>
    </cfRule>
    <cfRule type="cellIs" dxfId="10742" priority="14562" stopIfTrue="1" operator="equal">
      <formula>"Towel"</formula>
    </cfRule>
    <cfRule type="cellIs" dxfId="10741" priority="14563" stopIfTrue="1" operator="equal">
      <formula>"Napkin Hs"</formula>
    </cfRule>
    <cfRule type="cellIs" dxfId="10740" priority="14566" stopIfTrue="1" operator="equal">
      <formula>"Towel"</formula>
    </cfRule>
    <cfRule type="cellIs" dxfId="10739" priority="14567" stopIfTrue="1" operator="equal">
      <formula>"Napkin Hs"</formula>
    </cfRule>
    <cfRule type="cellIs" dxfId="10738" priority="14568" stopIfTrue="1" operator="equal">
      <formula>"Towel"</formula>
    </cfRule>
    <cfRule type="cellIs" dxfId="10737" priority="14569" stopIfTrue="1" operator="equal">
      <formula>"Napkin Hs"</formula>
    </cfRule>
    <cfRule type="cellIs" dxfId="10736" priority="14572" stopIfTrue="1" operator="equal">
      <formula>"Towel"</formula>
    </cfRule>
    <cfRule type="cellIs" dxfId="10735" priority="14573" stopIfTrue="1" operator="equal">
      <formula>"Napkin Hs"</formula>
    </cfRule>
    <cfRule type="cellIs" dxfId="10734" priority="14574" stopIfTrue="1" operator="equal">
      <formula>"Towel"</formula>
    </cfRule>
    <cfRule type="cellIs" dxfId="10733" priority="14575" stopIfTrue="1" operator="equal">
      <formula>"Napkin Hs"</formula>
    </cfRule>
    <cfRule type="cellIs" dxfId="10732" priority="14580" stopIfTrue="1" operator="equal">
      <formula>"Towel"</formula>
    </cfRule>
    <cfRule type="cellIs" dxfId="10731" priority="14581" stopIfTrue="1" operator="equal">
      <formula>"Napkin Hs"</formula>
    </cfRule>
    <cfRule type="cellIs" dxfId="10730" priority="14582" stopIfTrue="1" operator="equal">
      <formula>"Towel"</formula>
    </cfRule>
    <cfRule type="cellIs" dxfId="10729" priority="14583" stopIfTrue="1" operator="equal">
      <formula>"Napkin Hs"</formula>
    </cfRule>
    <cfRule type="cellIs" dxfId="10728" priority="14586" stopIfTrue="1" operator="equal">
      <formula>"Towel"</formula>
    </cfRule>
    <cfRule type="cellIs" dxfId="10727" priority="14587" stopIfTrue="1" operator="equal">
      <formula>"Napkin Hs"</formula>
    </cfRule>
    <cfRule type="cellIs" dxfId="10726" priority="14588" stopIfTrue="1" operator="equal">
      <formula>"Towel"</formula>
    </cfRule>
    <cfRule type="cellIs" dxfId="10725" priority="14589" stopIfTrue="1" operator="equal">
      <formula>"Napkin Hs"</formula>
    </cfRule>
    <cfRule type="cellIs" dxfId="10724" priority="14590" stopIfTrue="1" operator="equal">
      <formula>"Towel"</formula>
    </cfRule>
    <cfRule type="cellIs" dxfId="10723" priority="14591" stopIfTrue="1" operator="equal">
      <formula>"Napkin Hs"</formula>
    </cfRule>
    <cfRule type="cellIs" dxfId="10722" priority="14592" stopIfTrue="1" operator="equal">
      <formula>"Towel"</formula>
    </cfRule>
    <cfRule type="cellIs" dxfId="10721" priority="14593" stopIfTrue="1" operator="equal">
      <formula>"Napkin Hs"</formula>
    </cfRule>
    <cfRule type="cellIs" dxfId="10720" priority="14596" stopIfTrue="1" operator="equal">
      <formula>"Towel"</formula>
    </cfRule>
    <cfRule type="cellIs" dxfId="10719" priority="14597" stopIfTrue="1" operator="equal">
      <formula>"Napkin Hs"</formula>
    </cfRule>
    <cfRule type="cellIs" dxfId="10718" priority="14598" stopIfTrue="1" operator="equal">
      <formula>"Towel"</formula>
    </cfRule>
    <cfRule type="cellIs" dxfId="10717" priority="14599" stopIfTrue="1" operator="equal">
      <formula>"Napkin Hs"</formula>
    </cfRule>
    <cfRule type="cellIs" dxfId="10716" priority="14604" stopIfTrue="1" operator="equal">
      <formula>"Towel"</formula>
    </cfRule>
    <cfRule type="cellIs" dxfId="10715" priority="14605" stopIfTrue="1" operator="equal">
      <formula>"Napkin Hs"</formula>
    </cfRule>
    <cfRule type="cellIs" dxfId="10714" priority="14606" stopIfTrue="1" operator="equal">
      <formula>"Towel"</formula>
    </cfRule>
    <cfRule type="cellIs" dxfId="10713" priority="14607" stopIfTrue="1" operator="equal">
      <formula>"Napkin Hs"</formula>
    </cfRule>
    <cfRule type="cellIs" dxfId="10712" priority="14610" stopIfTrue="1" operator="equal">
      <formula>"Towel"</formula>
    </cfRule>
    <cfRule type="cellIs" dxfId="10711" priority="14611" stopIfTrue="1" operator="equal">
      <formula>"Napkin Hs"</formula>
    </cfRule>
    <cfRule type="cellIs" dxfId="10710" priority="14612" stopIfTrue="1" operator="equal">
      <formula>"Towel"</formula>
    </cfRule>
    <cfRule type="cellIs" dxfId="10709" priority="14613" stopIfTrue="1" operator="equal">
      <formula>"Napkin Hs"</formula>
    </cfRule>
    <cfRule type="cellIs" dxfId="10708" priority="14614" stopIfTrue="1" operator="equal">
      <formula>"Towel"</formula>
    </cfRule>
    <cfRule type="cellIs" dxfId="10707" priority="14615" stopIfTrue="1" operator="equal">
      <formula>"Napkin Hs"</formula>
    </cfRule>
    <cfRule type="cellIs" dxfId="10706" priority="14616" stopIfTrue="1" operator="equal">
      <formula>"Towel"</formula>
    </cfRule>
    <cfRule type="cellIs" dxfId="10705" priority="14617" stopIfTrue="1" operator="equal">
      <formula>"Napkin Hs"</formula>
    </cfRule>
    <cfRule type="cellIs" dxfId="10704" priority="14622" stopIfTrue="1" operator="equal">
      <formula>"Towel"</formula>
    </cfRule>
    <cfRule type="cellIs" dxfId="10703" priority="14623" stopIfTrue="1" operator="equal">
      <formula>"Napkin Hs"</formula>
    </cfRule>
    <cfRule type="cellIs" dxfId="10702" priority="14624" stopIfTrue="1" operator="equal">
      <formula>"Towel"</formula>
    </cfRule>
    <cfRule type="cellIs" dxfId="10701" priority="14625" stopIfTrue="1" operator="equal">
      <formula>"Napkin Hs"</formula>
    </cfRule>
    <cfRule type="cellIs" dxfId="10700" priority="14628" stopIfTrue="1" operator="equal">
      <formula>"Towel"</formula>
    </cfRule>
    <cfRule type="cellIs" dxfId="10699" priority="14629" stopIfTrue="1" operator="equal">
      <formula>"Napkin Hs"</formula>
    </cfRule>
    <cfRule type="cellIs" dxfId="10698" priority="14630" stopIfTrue="1" operator="equal">
      <formula>"Towel"</formula>
    </cfRule>
    <cfRule type="cellIs" dxfId="10697" priority="14631" stopIfTrue="1" operator="equal">
      <formula>"Napkin Hs"</formula>
    </cfRule>
    <cfRule type="cellIs" dxfId="10696" priority="14632" stopIfTrue="1" operator="equal">
      <formula>"Towel"</formula>
    </cfRule>
    <cfRule type="cellIs" dxfId="10695" priority="14633" stopIfTrue="1" operator="equal">
      <formula>"Napkin Hs"</formula>
    </cfRule>
    <cfRule type="cellIs" dxfId="10694" priority="14634" stopIfTrue="1" operator="equal">
      <formula>"Towel"</formula>
    </cfRule>
    <cfRule type="cellIs" dxfId="10693" priority="14635" stopIfTrue="1" operator="equal">
      <formula>"Napkin Hs"</formula>
    </cfRule>
    <cfRule type="cellIs" dxfId="10692" priority="14640" stopIfTrue="1" operator="equal">
      <formula>"Towel"</formula>
    </cfRule>
    <cfRule type="cellIs" dxfId="10691" priority="14641" stopIfTrue="1" operator="equal">
      <formula>"Napkin Hs"</formula>
    </cfRule>
    <cfRule type="cellIs" dxfId="10690" priority="14642" stopIfTrue="1" operator="equal">
      <formula>"Towel"</formula>
    </cfRule>
    <cfRule type="cellIs" dxfId="10689" priority="14643" stopIfTrue="1" operator="equal">
      <formula>"Napkin Hs"</formula>
    </cfRule>
    <cfRule type="cellIs" dxfId="10688" priority="14646" stopIfTrue="1" operator="equal">
      <formula>"Towel"</formula>
    </cfRule>
    <cfRule type="cellIs" dxfId="10687" priority="14647" stopIfTrue="1" operator="equal">
      <formula>"Napkin Hs"</formula>
    </cfRule>
    <cfRule type="cellIs" dxfId="10686" priority="14648" stopIfTrue="1" operator="equal">
      <formula>"Towel"</formula>
    </cfRule>
    <cfRule type="cellIs" dxfId="10685" priority="14649" stopIfTrue="1" operator="equal">
      <formula>"Napkin Hs"</formula>
    </cfRule>
  </conditionalFormatting>
  <conditionalFormatting sqref="C75">
    <cfRule type="cellIs" dxfId="10684" priority="14553" stopIfTrue="1" operator="equal">
      <formula>"Napkin Hs"</formula>
    </cfRule>
  </conditionalFormatting>
  <conditionalFormatting sqref="C75">
    <cfRule type="cellIs" dxfId="10683" priority="14552" stopIfTrue="1" operator="equal">
      <formula>"Napkin Hs"</formula>
    </cfRule>
  </conditionalFormatting>
  <conditionalFormatting sqref="C75">
    <cfRule type="cellIs" dxfId="10682" priority="14551" stopIfTrue="1" operator="equal">
      <formula>"Napkin Hs"</formula>
    </cfRule>
  </conditionalFormatting>
  <conditionalFormatting sqref="C75">
    <cfRule type="cellIs" dxfId="10681" priority="14550" stopIfTrue="1" operator="equal">
      <formula>"Napkin Hs"</formula>
    </cfRule>
  </conditionalFormatting>
  <conditionalFormatting sqref="C75">
    <cfRule type="cellIs" dxfId="10680" priority="14549" stopIfTrue="1" operator="equal">
      <formula>"Napkin Hs"</formula>
    </cfRule>
  </conditionalFormatting>
  <conditionalFormatting sqref="C75">
    <cfRule type="cellIs" dxfId="10679" priority="14548" stopIfTrue="1" operator="equal">
      <formula>"Napkin Hs"</formula>
    </cfRule>
  </conditionalFormatting>
  <conditionalFormatting sqref="C75">
    <cfRule type="cellIs" dxfId="10678" priority="14544" stopIfTrue="1" operator="equal">
      <formula>"Towel"</formula>
    </cfRule>
    <cfRule type="cellIs" dxfId="10677" priority="14545" stopIfTrue="1" operator="equal">
      <formula>"Napkin Hs"</formula>
    </cfRule>
  </conditionalFormatting>
  <conditionalFormatting sqref="C75">
    <cfRule type="cellIs" dxfId="10676" priority="14546" stopIfTrue="1" operator="equal">
      <formula>"Towel"</formula>
    </cfRule>
    <cfRule type="cellIs" dxfId="10675" priority="14547" stopIfTrue="1" operator="equal">
      <formula>"Napkin Hs"</formula>
    </cfRule>
  </conditionalFormatting>
  <conditionalFormatting sqref="C75">
    <cfRule type="cellIs" dxfId="10674" priority="14540" stopIfTrue="1" operator="equal">
      <formula>"Towel"</formula>
    </cfRule>
    <cfRule type="cellIs" dxfId="10673" priority="14541" stopIfTrue="1" operator="equal">
      <formula>"Napkin Hs"</formula>
    </cfRule>
  </conditionalFormatting>
  <conditionalFormatting sqref="C75">
    <cfRule type="cellIs" dxfId="10672" priority="14542" stopIfTrue="1" operator="equal">
      <formula>"Towel"</formula>
    </cfRule>
    <cfRule type="cellIs" dxfId="10671" priority="14543" stopIfTrue="1" operator="equal">
      <formula>"Napkin Hs"</formula>
    </cfRule>
  </conditionalFormatting>
  <conditionalFormatting sqref="B75">
    <cfRule type="cellIs" dxfId="10670" priority="14538" stopIfTrue="1" operator="equal">
      <formula>"Towel"</formula>
    </cfRule>
    <cfRule type="cellIs" dxfId="10669" priority="14539" stopIfTrue="1" operator="equal">
      <formula>"Napkin Hs"</formula>
    </cfRule>
  </conditionalFormatting>
  <conditionalFormatting sqref="B75">
    <cfRule type="cellIs" dxfId="10668" priority="14536" stopIfTrue="1" operator="equal">
      <formula>"Towel"</formula>
    </cfRule>
    <cfRule type="cellIs" dxfId="10667" priority="14537" stopIfTrue="1" operator="equal">
      <formula>"Napkin Hs"</formula>
    </cfRule>
  </conditionalFormatting>
  <conditionalFormatting sqref="B75">
    <cfRule type="cellIs" dxfId="10666" priority="14534" stopIfTrue="1" operator="equal">
      <formula>"Towel"</formula>
    </cfRule>
    <cfRule type="cellIs" dxfId="10665" priority="14535" stopIfTrue="1" operator="equal">
      <formula>"Napkin Hs"</formula>
    </cfRule>
  </conditionalFormatting>
  <conditionalFormatting sqref="B75">
    <cfRule type="cellIs" dxfId="10664" priority="14526" stopIfTrue="1" operator="equal">
      <formula>"Towel"</formula>
    </cfRule>
  </conditionalFormatting>
  <conditionalFormatting sqref="B75">
    <cfRule type="cellIs" dxfId="10663" priority="14527" stopIfTrue="1" operator="equal">
      <formula>"Napkin Hs"</formula>
    </cfRule>
    <cfRule type="cellIs" dxfId="10662" priority="14528" stopIfTrue="1" operator="equal">
      <formula>"Towel"</formula>
    </cfRule>
    <cfRule type="cellIs" dxfId="10661" priority="14529" stopIfTrue="1" operator="equal">
      <formula>"Napkin Hs"</formula>
    </cfRule>
    <cfRule type="cellIs" dxfId="10660" priority="14530" stopIfTrue="1" operator="equal">
      <formula>"Towel"</formula>
    </cfRule>
    <cfRule type="cellIs" dxfId="10659" priority="14531" stopIfTrue="1" operator="equal">
      <formula>"Napkin Hs"</formula>
    </cfRule>
    <cfRule type="cellIs" dxfId="10658" priority="14532" stopIfTrue="1" operator="equal">
      <formula>"Towel"</formula>
    </cfRule>
    <cfRule type="cellIs" dxfId="10657" priority="14533" stopIfTrue="1" operator="equal">
      <formula>"Napkin Hs"</formula>
    </cfRule>
  </conditionalFormatting>
  <conditionalFormatting sqref="B75">
    <cfRule type="cellIs" dxfId="10656" priority="14524" stopIfTrue="1" operator="equal">
      <formula>"Towel"</formula>
    </cfRule>
    <cfRule type="cellIs" dxfId="10655" priority="14525" stopIfTrue="1" operator="equal">
      <formula>"Napkin Hs"</formula>
    </cfRule>
  </conditionalFormatting>
  <conditionalFormatting sqref="B75">
    <cfRule type="cellIs" dxfId="10654" priority="14493" stopIfTrue="1" operator="equal">
      <formula>"Napkin Hs"</formula>
    </cfRule>
  </conditionalFormatting>
  <conditionalFormatting sqref="B75">
    <cfRule type="cellIs" dxfId="10653" priority="14492" stopIfTrue="1" operator="equal">
      <formula>"Towel"</formula>
    </cfRule>
  </conditionalFormatting>
  <conditionalFormatting sqref="B75">
    <cfRule type="cellIs" dxfId="10652" priority="14494" stopIfTrue="1" operator="equal">
      <formula>"Towel"</formula>
    </cfRule>
    <cfRule type="cellIs" dxfId="10651" priority="14495" stopIfTrue="1" operator="equal">
      <formula>"Napkin Hs"</formula>
    </cfRule>
    <cfRule type="cellIs" dxfId="10650" priority="14496" stopIfTrue="1" operator="equal">
      <formula>"Towel"</formula>
    </cfRule>
    <cfRule type="cellIs" dxfId="10649" priority="14497" stopIfTrue="1" operator="equal">
      <formula>"Napkin Hs"</formula>
    </cfRule>
    <cfRule type="cellIs" dxfId="10648" priority="14498" stopIfTrue="1" operator="equal">
      <formula>"Towel"</formula>
    </cfRule>
    <cfRule type="cellIs" dxfId="10647" priority="14499" stopIfTrue="1" operator="equal">
      <formula>"Napkin Hs"</formula>
    </cfRule>
    <cfRule type="cellIs" dxfId="10646" priority="14500" stopIfTrue="1" operator="equal">
      <formula>"Towel"</formula>
    </cfRule>
    <cfRule type="cellIs" dxfId="10645" priority="14501" stopIfTrue="1" operator="equal">
      <formula>"Napkin Hs"</formula>
    </cfRule>
    <cfRule type="cellIs" dxfId="10644" priority="14502" stopIfTrue="1" operator="equal">
      <formula>"Towel"</formula>
    </cfRule>
    <cfRule type="cellIs" dxfId="10643" priority="14503" stopIfTrue="1" operator="equal">
      <formula>"Napkin Hs"</formula>
    </cfRule>
    <cfRule type="cellIs" dxfId="10642" priority="14504" stopIfTrue="1" operator="equal">
      <formula>"Towel"</formula>
    </cfRule>
    <cfRule type="cellIs" dxfId="10641" priority="14505" stopIfTrue="1" operator="equal">
      <formula>"Napkin Hs"</formula>
    </cfRule>
    <cfRule type="cellIs" dxfId="10640" priority="14506" stopIfTrue="1" operator="equal">
      <formula>"Towel"</formula>
    </cfRule>
    <cfRule type="cellIs" dxfId="10639" priority="14507" stopIfTrue="1" operator="equal">
      <formula>"Napkin Hs"</formula>
    </cfRule>
    <cfRule type="cellIs" dxfId="10638" priority="14508" stopIfTrue="1" operator="equal">
      <formula>"Towel"</formula>
    </cfRule>
    <cfRule type="cellIs" dxfId="10637" priority="14509" stopIfTrue="1" operator="equal">
      <formula>"Napkin Hs"</formula>
    </cfRule>
    <cfRule type="cellIs" dxfId="10636" priority="14510" stopIfTrue="1" operator="equal">
      <formula>"Towel"</formula>
    </cfRule>
    <cfRule type="cellIs" dxfId="10635" priority="14511" stopIfTrue="1" operator="equal">
      <formula>"Napkin Hs"</formula>
    </cfRule>
    <cfRule type="cellIs" dxfId="10634" priority="14512" stopIfTrue="1" operator="equal">
      <formula>"Towel"</formula>
    </cfRule>
    <cfRule type="cellIs" dxfId="10633" priority="14513" stopIfTrue="1" operator="equal">
      <formula>"Napkin Hs"</formula>
    </cfRule>
    <cfRule type="cellIs" dxfId="10632" priority="14514" stopIfTrue="1" operator="equal">
      <formula>"Towel"</formula>
    </cfRule>
    <cfRule type="cellIs" dxfId="10631" priority="14515" stopIfTrue="1" operator="equal">
      <formula>"Napkin Hs"</formula>
    </cfRule>
    <cfRule type="cellIs" dxfId="10630" priority="14516" stopIfTrue="1" operator="equal">
      <formula>"Towel"</formula>
    </cfRule>
    <cfRule type="cellIs" dxfId="10629" priority="14517" stopIfTrue="1" operator="equal">
      <formula>"Napkin Hs"</formula>
    </cfRule>
    <cfRule type="cellIs" dxfId="10628" priority="14518" stopIfTrue="1" operator="equal">
      <formula>"Towel"</formula>
    </cfRule>
    <cfRule type="cellIs" dxfId="10627" priority="14519" stopIfTrue="1" operator="equal">
      <formula>"Napkin Hs"</formula>
    </cfRule>
    <cfRule type="cellIs" dxfId="10626" priority="14520" stopIfTrue="1" operator="equal">
      <formula>"Towel"</formula>
    </cfRule>
    <cfRule type="cellIs" dxfId="10625" priority="14521" stopIfTrue="1" operator="equal">
      <formula>"Napkin Hs"</formula>
    </cfRule>
    <cfRule type="cellIs" dxfId="10624" priority="14523" stopIfTrue="1" operator="equal">
      <formula>"Napkin Hs"</formula>
    </cfRule>
  </conditionalFormatting>
  <conditionalFormatting sqref="B75">
    <cfRule type="cellIs" dxfId="10623" priority="14522" stopIfTrue="1" operator="equal">
      <formula>"Towel"</formula>
    </cfRule>
  </conditionalFormatting>
  <conditionalFormatting sqref="B75">
    <cfRule type="cellIs" dxfId="10622" priority="14491" stopIfTrue="1" operator="equal">
      <formula>"Napkin Hs"</formula>
    </cfRule>
  </conditionalFormatting>
  <conditionalFormatting sqref="B75">
    <cfRule type="cellIs" dxfId="10621" priority="14490" stopIfTrue="1" operator="equal">
      <formula>"Napkin Hs"</formula>
    </cfRule>
  </conditionalFormatting>
  <conditionalFormatting sqref="B75">
    <cfRule type="cellIs" dxfId="10620" priority="14489" stopIfTrue="1" operator="equal">
      <formula>"Napkin Hs"</formula>
    </cfRule>
  </conditionalFormatting>
  <conditionalFormatting sqref="C74">
    <cfRule type="cellIs" dxfId="10619" priority="14485" stopIfTrue="1" operator="equal">
      <formula>"Towel"</formula>
    </cfRule>
    <cfRule type="cellIs" dxfId="10618" priority="14486" stopIfTrue="1" operator="equal">
      <formula>"Napkin Hs"</formula>
    </cfRule>
  </conditionalFormatting>
  <conditionalFormatting sqref="C74">
    <cfRule type="cellIs" dxfId="10617" priority="14487" stopIfTrue="1" operator="equal">
      <formula>"Towel"</formula>
    </cfRule>
    <cfRule type="cellIs" dxfId="10616" priority="14488" stopIfTrue="1" operator="equal">
      <formula>"Napkin Hs"</formula>
    </cfRule>
  </conditionalFormatting>
  <conditionalFormatting sqref="C74">
    <cfRule type="cellIs" dxfId="10615" priority="14483" stopIfTrue="1" operator="equal">
      <formula>"Towel"</formula>
    </cfRule>
    <cfRule type="cellIs" dxfId="10614" priority="14484" stopIfTrue="1" operator="equal">
      <formula>"Napkin Hs"</formula>
    </cfRule>
  </conditionalFormatting>
  <conditionalFormatting sqref="C74">
    <cfRule type="cellIs" dxfId="10613" priority="14477" stopIfTrue="1" operator="equal">
      <formula>"Towel"</formula>
    </cfRule>
    <cfRule type="cellIs" dxfId="10612" priority="14478" stopIfTrue="1" operator="equal">
      <formula>"Napkin Hs"</formula>
    </cfRule>
  </conditionalFormatting>
  <conditionalFormatting sqref="C74">
    <cfRule type="cellIs" dxfId="10611" priority="14481" stopIfTrue="1" operator="equal">
      <formula>"Towel"</formula>
    </cfRule>
    <cfRule type="cellIs" dxfId="10610" priority="14482" stopIfTrue="1" operator="equal">
      <formula>"Napkin Hs"</formula>
    </cfRule>
  </conditionalFormatting>
  <conditionalFormatting sqref="C74">
    <cfRule type="cellIs" dxfId="10609" priority="14479" stopIfTrue="1" operator="equal">
      <formula>"Towel"</formula>
    </cfRule>
    <cfRule type="cellIs" dxfId="10608" priority="14480" stopIfTrue="1" operator="equal">
      <formula>"Napkin Hs"</formula>
    </cfRule>
  </conditionalFormatting>
  <conditionalFormatting sqref="C74">
    <cfRule type="cellIs" dxfId="10607" priority="14471" stopIfTrue="1" operator="equal">
      <formula>"Towel"</formula>
    </cfRule>
    <cfRule type="cellIs" dxfId="10606" priority="14472" stopIfTrue="1" operator="equal">
      <formula>"Napkin Hs"</formula>
    </cfRule>
  </conditionalFormatting>
  <conditionalFormatting sqref="C74">
    <cfRule type="cellIs" dxfId="10605" priority="14473" stopIfTrue="1" operator="equal">
      <formula>"Towel"</formula>
    </cfRule>
    <cfRule type="cellIs" dxfId="10604" priority="14474" stopIfTrue="1" operator="equal">
      <formula>"Napkin Hs"</formula>
    </cfRule>
  </conditionalFormatting>
  <conditionalFormatting sqref="C74">
    <cfRule type="cellIs" dxfId="10603" priority="14475" stopIfTrue="1" operator="equal">
      <formula>"Towel"</formula>
    </cfRule>
    <cfRule type="cellIs" dxfId="10602" priority="14476" stopIfTrue="1" operator="equal">
      <formula>"Napkin Hs"</formula>
    </cfRule>
  </conditionalFormatting>
  <conditionalFormatting sqref="C74">
    <cfRule type="cellIs" dxfId="10601" priority="14469" stopIfTrue="1" operator="equal">
      <formula>"Towel"</formula>
    </cfRule>
    <cfRule type="cellIs" dxfId="10600" priority="14470" stopIfTrue="1" operator="equal">
      <formula>"Napkin Hs"</formula>
    </cfRule>
  </conditionalFormatting>
  <conditionalFormatting sqref="C74">
    <cfRule type="cellIs" dxfId="10599" priority="14467" stopIfTrue="1" operator="equal">
      <formula>"Towel"</formula>
    </cfRule>
    <cfRule type="cellIs" dxfId="10598" priority="14468" stopIfTrue="1" operator="equal">
      <formula>"Napkin Hs"</formula>
    </cfRule>
  </conditionalFormatting>
  <conditionalFormatting sqref="C74">
    <cfRule type="cellIs" dxfId="10597" priority="14443" stopIfTrue="1" operator="equal">
      <formula>"Towel"</formula>
    </cfRule>
  </conditionalFormatting>
  <conditionalFormatting sqref="C74">
    <cfRule type="cellIs" dxfId="10596" priority="14444" stopIfTrue="1" operator="equal">
      <formula>"Napkin Hs"</formula>
    </cfRule>
    <cfRule type="cellIs" dxfId="10595" priority="14449" stopIfTrue="1" operator="equal">
      <formula>"Towel"</formula>
    </cfRule>
    <cfRule type="cellIs" dxfId="10594" priority="14450" stopIfTrue="1" operator="equal">
      <formula>"Napkin Hs"</formula>
    </cfRule>
    <cfRule type="cellIs" dxfId="10593" priority="14459" stopIfTrue="1" operator="equal">
      <formula>"Towel"</formula>
    </cfRule>
    <cfRule type="cellIs" dxfId="10592" priority="14460" stopIfTrue="1" operator="equal">
      <formula>"Napkin Hs"</formula>
    </cfRule>
    <cfRule type="cellIs" dxfId="10591" priority="14465" stopIfTrue="1" operator="equal">
      <formula>"Towel"</formula>
    </cfRule>
    <cfRule type="cellIs" dxfId="10590" priority="14466" stopIfTrue="1" operator="equal">
      <formula>"Napkin Hs"</formula>
    </cfRule>
  </conditionalFormatting>
  <conditionalFormatting sqref="C74">
    <cfRule type="cellIs" dxfId="10589" priority="14445" stopIfTrue="1" operator="equal">
      <formula>"Towel"</formula>
    </cfRule>
    <cfRule type="cellIs" dxfId="10588" priority="14446" stopIfTrue="1" operator="equal">
      <formula>"Napkin Hs"</formula>
    </cfRule>
    <cfRule type="cellIs" dxfId="10587" priority="14447" stopIfTrue="1" operator="equal">
      <formula>"Towel"</formula>
    </cfRule>
    <cfRule type="cellIs" dxfId="10586" priority="14448" stopIfTrue="1" operator="equal">
      <formula>"Napkin Hs"</formula>
    </cfRule>
    <cfRule type="cellIs" dxfId="10585" priority="14451" stopIfTrue="1" operator="equal">
      <formula>"Towel"</formula>
    </cfRule>
    <cfRule type="cellIs" dxfId="10584" priority="14452" stopIfTrue="1" operator="equal">
      <formula>"Napkin Hs"</formula>
    </cfRule>
    <cfRule type="cellIs" dxfId="10583" priority="14453" stopIfTrue="1" operator="equal">
      <formula>"Towel"</formula>
    </cfRule>
    <cfRule type="cellIs" dxfId="10582" priority="14454" stopIfTrue="1" operator="equal">
      <formula>"Napkin Hs"</formula>
    </cfRule>
    <cfRule type="cellIs" dxfId="10581" priority="14455" stopIfTrue="1" operator="equal">
      <formula>"Towel"</formula>
    </cfRule>
    <cfRule type="cellIs" dxfId="10580" priority="14456" stopIfTrue="1" operator="equal">
      <formula>"Napkin Hs"</formula>
    </cfRule>
    <cfRule type="cellIs" dxfId="10579" priority="14457" stopIfTrue="1" operator="equal">
      <formula>"Towel"</formula>
    </cfRule>
    <cfRule type="cellIs" dxfId="10578" priority="14458" stopIfTrue="1" operator="equal">
      <formula>"Napkin Hs"</formula>
    </cfRule>
    <cfRule type="cellIs" dxfId="10577" priority="14461" stopIfTrue="1" operator="equal">
      <formula>"Towel"</formula>
    </cfRule>
    <cfRule type="cellIs" dxfId="10576" priority="14462" stopIfTrue="1" operator="equal">
      <formula>"Napkin Hs"</formula>
    </cfRule>
    <cfRule type="cellIs" dxfId="10575" priority="14464" stopIfTrue="1" operator="equal">
      <formula>"Napkin Hs"</formula>
    </cfRule>
  </conditionalFormatting>
  <conditionalFormatting sqref="C74">
    <cfRule type="cellIs" dxfId="10574" priority="14463" stopIfTrue="1" operator="equal">
      <formula>"Towel"</formula>
    </cfRule>
  </conditionalFormatting>
  <conditionalFormatting sqref="C74">
    <cfRule type="cellIs" dxfId="10573" priority="14441" stopIfTrue="1" operator="equal">
      <formula>"Towel"</formula>
    </cfRule>
    <cfRule type="cellIs" dxfId="10572" priority="14442" stopIfTrue="1" operator="equal">
      <formula>"Napkin Hs"</formula>
    </cfRule>
  </conditionalFormatting>
  <conditionalFormatting sqref="C74">
    <cfRule type="cellIs" dxfId="10571" priority="14440" stopIfTrue="1" operator="equal">
      <formula>"Napkin Hs"</formula>
    </cfRule>
  </conditionalFormatting>
  <conditionalFormatting sqref="C74">
    <cfRule type="cellIs" dxfId="10570" priority="14439" stopIfTrue="1" operator="equal">
      <formula>"Towel"</formula>
    </cfRule>
  </conditionalFormatting>
  <conditionalFormatting sqref="C74">
    <cfRule type="cellIs" dxfId="10569" priority="14437" stopIfTrue="1" operator="equal">
      <formula>"Towel"</formula>
    </cfRule>
  </conditionalFormatting>
  <conditionalFormatting sqref="C74">
    <cfRule type="cellIs" dxfId="10568" priority="14438" stopIfTrue="1" operator="equal">
      <formula>"Napkin Hs"</formula>
    </cfRule>
  </conditionalFormatting>
  <conditionalFormatting sqref="C74">
    <cfRule type="cellIs" dxfId="10567" priority="14341" stopIfTrue="1" operator="equal">
      <formula>"Towel"</formula>
    </cfRule>
  </conditionalFormatting>
  <conditionalFormatting sqref="C74">
    <cfRule type="cellIs" dxfId="10566" priority="14351" stopIfTrue="1" operator="equal">
      <formula>"Towel"</formula>
    </cfRule>
    <cfRule type="cellIs" dxfId="10565" priority="14352" stopIfTrue="1" operator="equal">
      <formula>"Napkin Hs"</formula>
    </cfRule>
    <cfRule type="cellIs" dxfId="10564" priority="14357" stopIfTrue="1" operator="equal">
      <formula>"Towel"</formula>
    </cfRule>
    <cfRule type="cellIs" dxfId="10563" priority="14358" stopIfTrue="1" operator="equal">
      <formula>"Napkin Hs"</formula>
    </cfRule>
    <cfRule type="cellIs" dxfId="10562" priority="14363" stopIfTrue="1" operator="equal">
      <formula>"Towel"</formula>
    </cfRule>
    <cfRule type="cellIs" dxfId="10561" priority="14364" stopIfTrue="1" operator="equal">
      <formula>"Napkin Hs"</formula>
    </cfRule>
    <cfRule type="cellIs" dxfId="10560" priority="14365" stopIfTrue="1" operator="equal">
      <formula>"Towel"</formula>
    </cfRule>
    <cfRule type="cellIs" dxfId="10559" priority="14366" stopIfTrue="1" operator="equal">
      <formula>"Napkin Hs"</formula>
    </cfRule>
    <cfRule type="cellIs" dxfId="10558" priority="14371" stopIfTrue="1" operator="equal">
      <formula>"Towel"</formula>
    </cfRule>
    <cfRule type="cellIs" dxfId="10557" priority="14372" stopIfTrue="1" operator="equal">
      <formula>"Napkin Hs"</formula>
    </cfRule>
    <cfRule type="cellIs" dxfId="10556" priority="14381" stopIfTrue="1" operator="equal">
      <formula>"Towel"</formula>
    </cfRule>
    <cfRule type="cellIs" dxfId="10555" priority="14382" stopIfTrue="1" operator="equal">
      <formula>"Napkin Hs"</formula>
    </cfRule>
    <cfRule type="cellIs" dxfId="10554" priority="14387" stopIfTrue="1" operator="equal">
      <formula>"Towel"</formula>
    </cfRule>
    <cfRule type="cellIs" dxfId="10553" priority="14388" stopIfTrue="1" operator="equal">
      <formula>"Napkin Hs"</formula>
    </cfRule>
    <cfRule type="cellIs" dxfId="10552" priority="14389" stopIfTrue="1" operator="equal">
      <formula>"Towel"</formula>
    </cfRule>
    <cfRule type="cellIs" dxfId="10551" priority="14390" stopIfTrue="1" operator="equal">
      <formula>"Napkin Hs"</formula>
    </cfRule>
    <cfRule type="cellIs" dxfId="10550" priority="14395" stopIfTrue="1" operator="equal">
      <formula>"Towel"</formula>
    </cfRule>
    <cfRule type="cellIs" dxfId="10549" priority="14396" stopIfTrue="1" operator="equal">
      <formula>"Napkin Hs"</formula>
    </cfRule>
    <cfRule type="cellIs" dxfId="10548" priority="14405" stopIfTrue="1" operator="equal">
      <formula>"Towel"</formula>
    </cfRule>
    <cfRule type="cellIs" dxfId="10547" priority="14406" stopIfTrue="1" operator="equal">
      <formula>"Napkin Hs"</formula>
    </cfRule>
    <cfRule type="cellIs" dxfId="10546" priority="14407" stopIfTrue="1" operator="equal">
      <formula>"Towel"</formula>
    </cfRule>
    <cfRule type="cellIs" dxfId="10545" priority="14408" stopIfTrue="1" operator="equal">
      <formula>"Napkin Hs"</formula>
    </cfRule>
    <cfRule type="cellIs" dxfId="10544" priority="14413" stopIfTrue="1" operator="equal">
      <formula>"Towel"</formula>
    </cfRule>
    <cfRule type="cellIs" dxfId="10543" priority="14414" stopIfTrue="1" operator="equal">
      <formula>"Napkin Hs"</formula>
    </cfRule>
    <cfRule type="cellIs" dxfId="10542" priority="14423" stopIfTrue="1" operator="equal">
      <formula>"Towel"</formula>
    </cfRule>
    <cfRule type="cellIs" dxfId="10541" priority="14424" stopIfTrue="1" operator="equal">
      <formula>"Napkin Hs"</formula>
    </cfRule>
    <cfRule type="cellIs" dxfId="10540" priority="14425" stopIfTrue="1" operator="equal">
      <formula>"Towel"</formula>
    </cfRule>
    <cfRule type="cellIs" dxfId="10539" priority="14426" stopIfTrue="1" operator="equal">
      <formula>"Napkin Hs"</formula>
    </cfRule>
    <cfRule type="cellIs" dxfId="10538" priority="14432" stopIfTrue="1" operator="equal">
      <formula>"Napkin Hs"</formula>
    </cfRule>
  </conditionalFormatting>
  <conditionalFormatting sqref="C74">
    <cfRule type="cellIs" dxfId="10537" priority="14431" stopIfTrue="1" operator="equal">
      <formula>"Towel"</formula>
    </cfRule>
  </conditionalFormatting>
  <conditionalFormatting sqref="C74">
    <cfRule type="cellIs" dxfId="10536" priority="14342" stopIfTrue="1" operator="equal">
      <formula>"Napkin Hs"</formula>
    </cfRule>
    <cfRule type="cellIs" dxfId="10535" priority="14343" stopIfTrue="1" operator="equal">
      <formula>"Towel"</formula>
    </cfRule>
    <cfRule type="cellIs" dxfId="10534" priority="14344" stopIfTrue="1" operator="equal">
      <formula>"Napkin Hs"</formula>
    </cfRule>
    <cfRule type="cellIs" dxfId="10533" priority="14345" stopIfTrue="1" operator="equal">
      <formula>"Towel"</formula>
    </cfRule>
    <cfRule type="cellIs" dxfId="10532" priority="14346" stopIfTrue="1" operator="equal">
      <formula>"Napkin Hs"</formula>
    </cfRule>
    <cfRule type="cellIs" dxfId="10531" priority="14347" stopIfTrue="1" operator="equal">
      <formula>"Towel"</formula>
    </cfRule>
    <cfRule type="cellIs" dxfId="10530" priority="14348" stopIfTrue="1" operator="equal">
      <formula>"Napkin Hs"</formula>
    </cfRule>
    <cfRule type="cellIs" dxfId="10529" priority="14349" stopIfTrue="1" operator="equal">
      <formula>"Towel"</formula>
    </cfRule>
    <cfRule type="cellIs" dxfId="10528" priority="14350" stopIfTrue="1" operator="equal">
      <formula>"Napkin Hs"</formula>
    </cfRule>
    <cfRule type="cellIs" dxfId="10527" priority="14353" stopIfTrue="1" operator="equal">
      <formula>"Towel"</formula>
    </cfRule>
    <cfRule type="cellIs" dxfId="10526" priority="14354" stopIfTrue="1" operator="equal">
      <formula>"Napkin Hs"</formula>
    </cfRule>
    <cfRule type="cellIs" dxfId="10525" priority="14355" stopIfTrue="1" operator="equal">
      <formula>"Towel"</formula>
    </cfRule>
    <cfRule type="cellIs" dxfId="10524" priority="14356" stopIfTrue="1" operator="equal">
      <formula>"Napkin Hs"</formula>
    </cfRule>
    <cfRule type="cellIs" dxfId="10523" priority="14359" stopIfTrue="1" operator="equal">
      <formula>"Towel"</formula>
    </cfRule>
    <cfRule type="cellIs" dxfId="10522" priority="14360" stopIfTrue="1" operator="equal">
      <formula>"Napkin Hs"</formula>
    </cfRule>
    <cfRule type="cellIs" dxfId="10521" priority="14361" stopIfTrue="1" operator="equal">
      <formula>"Towel"</formula>
    </cfRule>
    <cfRule type="cellIs" dxfId="10520" priority="14362" stopIfTrue="1" operator="equal">
      <formula>"Napkin Hs"</formula>
    </cfRule>
    <cfRule type="cellIs" dxfId="10519" priority="14367" stopIfTrue="1" operator="equal">
      <formula>"Towel"</formula>
    </cfRule>
    <cfRule type="cellIs" dxfId="10518" priority="14368" stopIfTrue="1" operator="equal">
      <formula>"Napkin Hs"</formula>
    </cfRule>
    <cfRule type="cellIs" dxfId="10517" priority="14369" stopIfTrue="1" operator="equal">
      <formula>"Towel"</formula>
    </cfRule>
    <cfRule type="cellIs" dxfId="10516" priority="14370" stopIfTrue="1" operator="equal">
      <formula>"Napkin Hs"</formula>
    </cfRule>
    <cfRule type="cellIs" dxfId="10515" priority="14373" stopIfTrue="1" operator="equal">
      <formula>"Towel"</formula>
    </cfRule>
    <cfRule type="cellIs" dxfId="10514" priority="14374" stopIfTrue="1" operator="equal">
      <formula>"Napkin Hs"</formula>
    </cfRule>
    <cfRule type="cellIs" dxfId="10513" priority="14375" stopIfTrue="1" operator="equal">
      <formula>"Towel"</formula>
    </cfRule>
    <cfRule type="cellIs" dxfId="10512" priority="14376" stopIfTrue="1" operator="equal">
      <formula>"Napkin Hs"</formula>
    </cfRule>
    <cfRule type="cellIs" dxfId="10511" priority="14377" stopIfTrue="1" operator="equal">
      <formula>"Towel"</formula>
    </cfRule>
    <cfRule type="cellIs" dxfId="10510" priority="14378" stopIfTrue="1" operator="equal">
      <formula>"Napkin Hs"</formula>
    </cfRule>
    <cfRule type="cellIs" dxfId="10509" priority="14379" stopIfTrue="1" operator="equal">
      <formula>"Towel"</formula>
    </cfRule>
    <cfRule type="cellIs" dxfId="10508" priority="14380" stopIfTrue="1" operator="equal">
      <formula>"Napkin Hs"</formula>
    </cfRule>
    <cfRule type="cellIs" dxfId="10507" priority="14383" stopIfTrue="1" operator="equal">
      <formula>"Towel"</formula>
    </cfRule>
    <cfRule type="cellIs" dxfId="10506" priority="14384" stopIfTrue="1" operator="equal">
      <formula>"Napkin Hs"</formula>
    </cfRule>
    <cfRule type="cellIs" dxfId="10505" priority="14385" stopIfTrue="1" operator="equal">
      <formula>"Towel"</formula>
    </cfRule>
    <cfRule type="cellIs" dxfId="10504" priority="14386" stopIfTrue="1" operator="equal">
      <formula>"Napkin Hs"</formula>
    </cfRule>
    <cfRule type="cellIs" dxfId="10503" priority="14391" stopIfTrue="1" operator="equal">
      <formula>"Towel"</formula>
    </cfRule>
    <cfRule type="cellIs" dxfId="10502" priority="14392" stopIfTrue="1" operator="equal">
      <formula>"Napkin Hs"</formula>
    </cfRule>
    <cfRule type="cellIs" dxfId="10501" priority="14393" stopIfTrue="1" operator="equal">
      <formula>"Towel"</formula>
    </cfRule>
    <cfRule type="cellIs" dxfId="10500" priority="14394" stopIfTrue="1" operator="equal">
      <formula>"Napkin Hs"</formula>
    </cfRule>
    <cfRule type="cellIs" dxfId="10499" priority="14397" stopIfTrue="1" operator="equal">
      <formula>"Towel"</formula>
    </cfRule>
    <cfRule type="cellIs" dxfId="10498" priority="14398" stopIfTrue="1" operator="equal">
      <formula>"Napkin Hs"</formula>
    </cfRule>
    <cfRule type="cellIs" dxfId="10497" priority="14399" stopIfTrue="1" operator="equal">
      <formula>"Towel"</formula>
    </cfRule>
    <cfRule type="cellIs" dxfId="10496" priority="14400" stopIfTrue="1" operator="equal">
      <formula>"Napkin Hs"</formula>
    </cfRule>
    <cfRule type="cellIs" dxfId="10495" priority="14401" stopIfTrue="1" operator="equal">
      <formula>"Towel"</formula>
    </cfRule>
    <cfRule type="cellIs" dxfId="10494" priority="14402" stopIfTrue="1" operator="equal">
      <formula>"Napkin Hs"</formula>
    </cfRule>
    <cfRule type="cellIs" dxfId="10493" priority="14403" stopIfTrue="1" operator="equal">
      <formula>"Towel"</formula>
    </cfRule>
    <cfRule type="cellIs" dxfId="10492" priority="14404" stopIfTrue="1" operator="equal">
      <formula>"Napkin Hs"</formula>
    </cfRule>
    <cfRule type="cellIs" dxfId="10491" priority="14409" stopIfTrue="1" operator="equal">
      <formula>"Towel"</formula>
    </cfRule>
    <cfRule type="cellIs" dxfId="10490" priority="14410" stopIfTrue="1" operator="equal">
      <formula>"Napkin Hs"</formula>
    </cfRule>
    <cfRule type="cellIs" dxfId="10489" priority="14411" stopIfTrue="1" operator="equal">
      <formula>"Towel"</formula>
    </cfRule>
    <cfRule type="cellIs" dxfId="10488" priority="14412" stopIfTrue="1" operator="equal">
      <formula>"Napkin Hs"</formula>
    </cfRule>
    <cfRule type="cellIs" dxfId="10487" priority="14415" stopIfTrue="1" operator="equal">
      <formula>"Towel"</formula>
    </cfRule>
    <cfRule type="cellIs" dxfId="10486" priority="14416" stopIfTrue="1" operator="equal">
      <formula>"Napkin Hs"</formula>
    </cfRule>
    <cfRule type="cellIs" dxfId="10485" priority="14417" stopIfTrue="1" operator="equal">
      <formula>"Towel"</formula>
    </cfRule>
    <cfRule type="cellIs" dxfId="10484" priority="14418" stopIfTrue="1" operator="equal">
      <formula>"Napkin Hs"</formula>
    </cfRule>
    <cfRule type="cellIs" dxfId="10483" priority="14419" stopIfTrue="1" operator="equal">
      <formula>"Towel"</formula>
    </cfRule>
    <cfRule type="cellIs" dxfId="10482" priority="14420" stopIfTrue="1" operator="equal">
      <formula>"Napkin Hs"</formula>
    </cfRule>
    <cfRule type="cellIs" dxfId="10481" priority="14421" stopIfTrue="1" operator="equal">
      <formula>"Towel"</formula>
    </cfRule>
    <cfRule type="cellIs" dxfId="10480" priority="14422" stopIfTrue="1" operator="equal">
      <formula>"Napkin Hs"</formula>
    </cfRule>
    <cfRule type="cellIs" dxfId="10479" priority="14427" stopIfTrue="1" operator="equal">
      <formula>"Towel"</formula>
    </cfRule>
    <cfRule type="cellIs" dxfId="10478" priority="14428" stopIfTrue="1" operator="equal">
      <formula>"Napkin Hs"</formula>
    </cfRule>
    <cfRule type="cellIs" dxfId="10477" priority="14429" stopIfTrue="1" operator="equal">
      <formula>"Towel"</formula>
    </cfRule>
    <cfRule type="cellIs" dxfId="10476" priority="14430" stopIfTrue="1" operator="equal">
      <formula>"Napkin Hs"</formula>
    </cfRule>
    <cfRule type="cellIs" dxfId="10475" priority="14433" stopIfTrue="1" operator="equal">
      <formula>"Towel"</formula>
    </cfRule>
    <cfRule type="cellIs" dxfId="10474" priority="14434" stopIfTrue="1" operator="equal">
      <formula>"Napkin Hs"</formula>
    </cfRule>
    <cfRule type="cellIs" dxfId="10473" priority="14435" stopIfTrue="1" operator="equal">
      <formula>"Towel"</formula>
    </cfRule>
    <cfRule type="cellIs" dxfId="10472" priority="14436" stopIfTrue="1" operator="equal">
      <formula>"Napkin Hs"</formula>
    </cfRule>
  </conditionalFormatting>
  <conditionalFormatting sqref="C74">
    <cfRule type="cellIs" dxfId="10471" priority="14340" stopIfTrue="1" operator="equal">
      <formula>"Napkin Hs"</formula>
    </cfRule>
  </conditionalFormatting>
  <conditionalFormatting sqref="C74">
    <cfRule type="cellIs" dxfId="10470" priority="14339" stopIfTrue="1" operator="equal">
      <formula>"Napkin Hs"</formula>
    </cfRule>
  </conditionalFormatting>
  <conditionalFormatting sqref="C74">
    <cfRule type="cellIs" dxfId="10469" priority="14338" stopIfTrue="1" operator="equal">
      <formula>"Napkin Hs"</formula>
    </cfRule>
  </conditionalFormatting>
  <conditionalFormatting sqref="C74">
    <cfRule type="cellIs" dxfId="10468" priority="14337" stopIfTrue="1" operator="equal">
      <formula>"Napkin Hs"</formula>
    </cfRule>
  </conditionalFormatting>
  <conditionalFormatting sqref="C74">
    <cfRule type="cellIs" dxfId="10467" priority="14336" stopIfTrue="1" operator="equal">
      <formula>"Napkin Hs"</formula>
    </cfRule>
  </conditionalFormatting>
  <conditionalFormatting sqref="C74">
    <cfRule type="cellIs" dxfId="10466" priority="14335" stopIfTrue="1" operator="equal">
      <formula>"Napkin Hs"</formula>
    </cfRule>
  </conditionalFormatting>
  <conditionalFormatting sqref="C74">
    <cfRule type="cellIs" dxfId="10465" priority="14331" stopIfTrue="1" operator="equal">
      <formula>"Towel"</formula>
    </cfRule>
    <cfRule type="cellIs" dxfId="10464" priority="14332" stopIfTrue="1" operator="equal">
      <formula>"Napkin Hs"</formula>
    </cfRule>
  </conditionalFormatting>
  <conditionalFormatting sqref="C74">
    <cfRule type="cellIs" dxfId="10463" priority="14333" stopIfTrue="1" operator="equal">
      <formula>"Towel"</formula>
    </cfRule>
    <cfRule type="cellIs" dxfId="10462" priority="14334" stopIfTrue="1" operator="equal">
      <formula>"Napkin Hs"</formula>
    </cfRule>
  </conditionalFormatting>
  <conditionalFormatting sqref="C74">
    <cfRule type="cellIs" dxfId="10461" priority="14327" stopIfTrue="1" operator="equal">
      <formula>"Towel"</formula>
    </cfRule>
    <cfRule type="cellIs" dxfId="10460" priority="14328" stopIfTrue="1" operator="equal">
      <formula>"Napkin Hs"</formula>
    </cfRule>
  </conditionalFormatting>
  <conditionalFormatting sqref="C74">
    <cfRule type="cellIs" dxfId="10459" priority="14329" stopIfTrue="1" operator="equal">
      <formula>"Towel"</formula>
    </cfRule>
    <cfRule type="cellIs" dxfId="10458" priority="14330" stopIfTrue="1" operator="equal">
      <formula>"Napkin Hs"</formula>
    </cfRule>
  </conditionalFormatting>
  <conditionalFormatting sqref="B74">
    <cfRule type="cellIs" dxfId="10457" priority="14325" stopIfTrue="1" operator="equal">
      <formula>"Towel"</formula>
    </cfRule>
    <cfRule type="cellIs" dxfId="10456" priority="14326" stopIfTrue="1" operator="equal">
      <formula>"Napkin Hs"</formula>
    </cfRule>
  </conditionalFormatting>
  <conditionalFormatting sqref="B74">
    <cfRule type="cellIs" dxfId="10455" priority="14323" stopIfTrue="1" operator="equal">
      <formula>"Towel"</formula>
    </cfRule>
    <cfRule type="cellIs" dxfId="10454" priority="14324" stopIfTrue="1" operator="equal">
      <formula>"Napkin Hs"</formula>
    </cfRule>
  </conditionalFormatting>
  <conditionalFormatting sqref="B74">
    <cfRule type="cellIs" dxfId="10453" priority="14321" stopIfTrue="1" operator="equal">
      <formula>"Towel"</formula>
    </cfRule>
    <cfRule type="cellIs" dxfId="10452" priority="14322" stopIfTrue="1" operator="equal">
      <formula>"Napkin Hs"</formula>
    </cfRule>
  </conditionalFormatting>
  <conditionalFormatting sqref="B74">
    <cfRule type="cellIs" dxfId="10451" priority="14313" stopIfTrue="1" operator="equal">
      <formula>"Towel"</formula>
    </cfRule>
  </conditionalFormatting>
  <conditionalFormatting sqref="B74">
    <cfRule type="cellIs" dxfId="10450" priority="14314" stopIfTrue="1" operator="equal">
      <formula>"Napkin Hs"</formula>
    </cfRule>
    <cfRule type="cellIs" dxfId="10449" priority="14315" stopIfTrue="1" operator="equal">
      <formula>"Towel"</formula>
    </cfRule>
    <cfRule type="cellIs" dxfId="10448" priority="14316" stopIfTrue="1" operator="equal">
      <formula>"Napkin Hs"</formula>
    </cfRule>
    <cfRule type="cellIs" dxfId="10447" priority="14317" stopIfTrue="1" operator="equal">
      <formula>"Towel"</formula>
    </cfRule>
    <cfRule type="cellIs" dxfId="10446" priority="14318" stopIfTrue="1" operator="equal">
      <formula>"Napkin Hs"</formula>
    </cfRule>
    <cfRule type="cellIs" dxfId="10445" priority="14319" stopIfTrue="1" operator="equal">
      <formula>"Towel"</formula>
    </cfRule>
    <cfRule type="cellIs" dxfId="10444" priority="14320" stopIfTrue="1" operator="equal">
      <formula>"Napkin Hs"</formula>
    </cfRule>
  </conditionalFormatting>
  <conditionalFormatting sqref="B74">
    <cfRule type="cellIs" dxfId="10443" priority="14311" stopIfTrue="1" operator="equal">
      <formula>"Towel"</formula>
    </cfRule>
    <cfRule type="cellIs" dxfId="10442" priority="14312" stopIfTrue="1" operator="equal">
      <formula>"Napkin Hs"</formula>
    </cfRule>
  </conditionalFormatting>
  <conditionalFormatting sqref="B74">
    <cfRule type="cellIs" dxfId="10441" priority="14280" stopIfTrue="1" operator="equal">
      <formula>"Napkin Hs"</formula>
    </cfRule>
  </conditionalFormatting>
  <conditionalFormatting sqref="B74">
    <cfRule type="cellIs" dxfId="10440" priority="14279" stopIfTrue="1" operator="equal">
      <formula>"Towel"</formula>
    </cfRule>
  </conditionalFormatting>
  <conditionalFormatting sqref="B74">
    <cfRule type="cellIs" dxfId="10439" priority="14281" stopIfTrue="1" operator="equal">
      <formula>"Towel"</formula>
    </cfRule>
    <cfRule type="cellIs" dxfId="10438" priority="14282" stopIfTrue="1" operator="equal">
      <formula>"Napkin Hs"</formula>
    </cfRule>
    <cfRule type="cellIs" dxfId="10437" priority="14283" stopIfTrue="1" operator="equal">
      <formula>"Towel"</formula>
    </cfRule>
    <cfRule type="cellIs" dxfId="10436" priority="14284" stopIfTrue="1" operator="equal">
      <formula>"Napkin Hs"</formula>
    </cfRule>
    <cfRule type="cellIs" dxfId="10435" priority="14285" stopIfTrue="1" operator="equal">
      <formula>"Towel"</formula>
    </cfRule>
    <cfRule type="cellIs" dxfId="10434" priority="14286" stopIfTrue="1" operator="equal">
      <formula>"Napkin Hs"</formula>
    </cfRule>
    <cfRule type="cellIs" dxfId="10433" priority="14287" stopIfTrue="1" operator="equal">
      <formula>"Towel"</formula>
    </cfRule>
    <cfRule type="cellIs" dxfId="10432" priority="14288" stopIfTrue="1" operator="equal">
      <formula>"Napkin Hs"</formula>
    </cfRule>
    <cfRule type="cellIs" dxfId="10431" priority="14289" stopIfTrue="1" operator="equal">
      <formula>"Towel"</formula>
    </cfRule>
    <cfRule type="cellIs" dxfId="10430" priority="14290" stopIfTrue="1" operator="equal">
      <formula>"Napkin Hs"</formula>
    </cfRule>
    <cfRule type="cellIs" dxfId="10429" priority="14291" stopIfTrue="1" operator="equal">
      <formula>"Towel"</formula>
    </cfRule>
    <cfRule type="cellIs" dxfId="10428" priority="14292" stopIfTrue="1" operator="equal">
      <formula>"Napkin Hs"</formula>
    </cfRule>
    <cfRule type="cellIs" dxfId="10427" priority="14293" stopIfTrue="1" operator="equal">
      <formula>"Towel"</formula>
    </cfRule>
    <cfRule type="cellIs" dxfId="10426" priority="14294" stopIfTrue="1" operator="equal">
      <formula>"Napkin Hs"</formula>
    </cfRule>
    <cfRule type="cellIs" dxfId="10425" priority="14295" stopIfTrue="1" operator="equal">
      <formula>"Towel"</formula>
    </cfRule>
    <cfRule type="cellIs" dxfId="10424" priority="14296" stopIfTrue="1" operator="equal">
      <formula>"Napkin Hs"</formula>
    </cfRule>
    <cfRule type="cellIs" dxfId="10423" priority="14297" stopIfTrue="1" operator="equal">
      <formula>"Towel"</formula>
    </cfRule>
    <cfRule type="cellIs" dxfId="10422" priority="14298" stopIfTrue="1" operator="equal">
      <formula>"Napkin Hs"</formula>
    </cfRule>
    <cfRule type="cellIs" dxfId="10421" priority="14299" stopIfTrue="1" operator="equal">
      <formula>"Towel"</formula>
    </cfRule>
    <cfRule type="cellIs" dxfId="10420" priority="14300" stopIfTrue="1" operator="equal">
      <formula>"Napkin Hs"</formula>
    </cfRule>
    <cfRule type="cellIs" dxfId="10419" priority="14301" stopIfTrue="1" operator="equal">
      <formula>"Towel"</formula>
    </cfRule>
    <cfRule type="cellIs" dxfId="10418" priority="14302" stopIfTrue="1" operator="equal">
      <formula>"Napkin Hs"</formula>
    </cfRule>
    <cfRule type="cellIs" dxfId="10417" priority="14303" stopIfTrue="1" operator="equal">
      <formula>"Towel"</formula>
    </cfRule>
    <cfRule type="cellIs" dxfId="10416" priority="14304" stopIfTrue="1" operator="equal">
      <formula>"Napkin Hs"</formula>
    </cfRule>
    <cfRule type="cellIs" dxfId="10415" priority="14305" stopIfTrue="1" operator="equal">
      <formula>"Towel"</formula>
    </cfRule>
    <cfRule type="cellIs" dxfId="10414" priority="14306" stopIfTrue="1" operator="equal">
      <formula>"Napkin Hs"</formula>
    </cfRule>
    <cfRule type="cellIs" dxfId="10413" priority="14307" stopIfTrue="1" operator="equal">
      <formula>"Towel"</formula>
    </cfRule>
    <cfRule type="cellIs" dxfId="10412" priority="14308" stopIfTrue="1" operator="equal">
      <formula>"Napkin Hs"</formula>
    </cfRule>
    <cfRule type="cellIs" dxfId="10411" priority="14310" stopIfTrue="1" operator="equal">
      <formula>"Napkin Hs"</formula>
    </cfRule>
  </conditionalFormatting>
  <conditionalFormatting sqref="B74">
    <cfRule type="cellIs" dxfId="10410" priority="14309" stopIfTrue="1" operator="equal">
      <formula>"Towel"</formula>
    </cfRule>
  </conditionalFormatting>
  <conditionalFormatting sqref="B74">
    <cfRule type="cellIs" dxfId="10409" priority="14278" stopIfTrue="1" operator="equal">
      <formula>"Napkin Hs"</formula>
    </cfRule>
  </conditionalFormatting>
  <conditionalFormatting sqref="B74">
    <cfRule type="cellIs" dxfId="10408" priority="14277" stopIfTrue="1" operator="equal">
      <formula>"Napkin Hs"</formula>
    </cfRule>
  </conditionalFormatting>
  <conditionalFormatting sqref="B74">
    <cfRule type="cellIs" dxfId="10407" priority="14276" stopIfTrue="1" operator="equal">
      <formula>"Napkin Hs"</formula>
    </cfRule>
  </conditionalFormatting>
  <conditionalFormatting sqref="C63:C64">
    <cfRule type="cellIs" dxfId="10406" priority="14104" stopIfTrue="1" operator="equal">
      <formula>"Towel"</formula>
    </cfRule>
    <cfRule type="cellIs" dxfId="10405" priority="14105" stopIfTrue="1" operator="equal">
      <formula>"Napkin Hs"</formula>
    </cfRule>
  </conditionalFormatting>
  <conditionalFormatting sqref="C63:C64">
    <cfRule type="cellIs" dxfId="10404" priority="14106" stopIfTrue="1" operator="equal">
      <formula>"Towel"</formula>
    </cfRule>
    <cfRule type="cellIs" dxfId="10403" priority="14107" stopIfTrue="1" operator="equal">
      <formula>"Napkin Hs"</formula>
    </cfRule>
  </conditionalFormatting>
  <conditionalFormatting sqref="C63:C64">
    <cfRule type="cellIs" dxfId="10402" priority="14102" stopIfTrue="1" operator="equal">
      <formula>"Towel"</formula>
    </cfRule>
    <cfRule type="cellIs" dxfId="10401" priority="14103" stopIfTrue="1" operator="equal">
      <formula>"Napkin Hs"</formula>
    </cfRule>
  </conditionalFormatting>
  <conditionalFormatting sqref="B63:B64">
    <cfRule type="cellIs" dxfId="10400" priority="14100" stopIfTrue="1" operator="equal">
      <formula>"Towel"</formula>
    </cfRule>
    <cfRule type="cellIs" dxfId="10399" priority="14101" stopIfTrue="1" operator="equal">
      <formula>"Napkin Hs"</formula>
    </cfRule>
  </conditionalFormatting>
  <conditionalFormatting sqref="C63:C64">
    <cfRule type="cellIs" dxfId="10398" priority="14094" stopIfTrue="1" operator="equal">
      <formula>"Towel"</formula>
    </cfRule>
    <cfRule type="cellIs" dxfId="10397" priority="14095" stopIfTrue="1" operator="equal">
      <formula>"Napkin Hs"</formula>
    </cfRule>
  </conditionalFormatting>
  <conditionalFormatting sqref="C63:C64">
    <cfRule type="cellIs" dxfId="10396" priority="14098" stopIfTrue="1" operator="equal">
      <formula>"Towel"</formula>
    </cfRule>
    <cfRule type="cellIs" dxfId="10395" priority="14099" stopIfTrue="1" operator="equal">
      <formula>"Napkin Hs"</formula>
    </cfRule>
  </conditionalFormatting>
  <conditionalFormatting sqref="C63:C64">
    <cfRule type="cellIs" dxfId="10394" priority="14096" stopIfTrue="1" operator="equal">
      <formula>"Towel"</formula>
    </cfRule>
    <cfRule type="cellIs" dxfId="10393" priority="14097" stopIfTrue="1" operator="equal">
      <formula>"Napkin Hs"</formula>
    </cfRule>
  </conditionalFormatting>
  <conditionalFormatting sqref="C63:C64">
    <cfRule type="cellIs" dxfId="10392" priority="14088" stopIfTrue="1" operator="equal">
      <formula>"Towel"</formula>
    </cfRule>
    <cfRule type="cellIs" dxfId="10391" priority="14089" stopIfTrue="1" operator="equal">
      <formula>"Napkin Hs"</formula>
    </cfRule>
  </conditionalFormatting>
  <conditionalFormatting sqref="C63:C64">
    <cfRule type="cellIs" dxfId="10390" priority="14090" stopIfTrue="1" operator="equal">
      <formula>"Towel"</formula>
    </cfRule>
    <cfRule type="cellIs" dxfId="10389" priority="14091" stopIfTrue="1" operator="equal">
      <formula>"Napkin Hs"</formula>
    </cfRule>
  </conditionalFormatting>
  <conditionalFormatting sqref="C63:C64">
    <cfRule type="cellIs" dxfId="10388" priority="14092" stopIfTrue="1" operator="equal">
      <formula>"Towel"</formula>
    </cfRule>
    <cfRule type="cellIs" dxfId="10387" priority="14093" stopIfTrue="1" operator="equal">
      <formula>"Napkin Hs"</formula>
    </cfRule>
  </conditionalFormatting>
  <conditionalFormatting sqref="B63:C64">
    <cfRule type="cellIs" dxfId="10386" priority="14086" stopIfTrue="1" operator="equal">
      <formula>"Towel"</formula>
    </cfRule>
    <cfRule type="cellIs" dxfId="10385" priority="14087" stopIfTrue="1" operator="equal">
      <formula>"Napkin Hs"</formula>
    </cfRule>
  </conditionalFormatting>
  <conditionalFormatting sqref="B63:C64">
    <cfRule type="cellIs" dxfId="10384" priority="14084" stopIfTrue="1" operator="equal">
      <formula>"Towel"</formula>
    </cfRule>
    <cfRule type="cellIs" dxfId="10383" priority="14085" stopIfTrue="1" operator="equal">
      <formula>"Napkin Hs"</formula>
    </cfRule>
  </conditionalFormatting>
  <conditionalFormatting sqref="B63:C64">
    <cfRule type="cellIs" dxfId="10382" priority="14060" stopIfTrue="1" operator="equal">
      <formula>"Towel"</formula>
    </cfRule>
  </conditionalFormatting>
  <conditionalFormatting sqref="B63:C64">
    <cfRule type="cellIs" dxfId="10381" priority="14061" stopIfTrue="1" operator="equal">
      <formula>"Napkin Hs"</formula>
    </cfRule>
    <cfRule type="cellIs" dxfId="10380" priority="14066" stopIfTrue="1" operator="equal">
      <formula>"Towel"</formula>
    </cfRule>
    <cfRule type="cellIs" dxfId="10379" priority="14067" stopIfTrue="1" operator="equal">
      <formula>"Napkin Hs"</formula>
    </cfRule>
    <cfRule type="cellIs" dxfId="10378" priority="14076" stopIfTrue="1" operator="equal">
      <formula>"Towel"</formula>
    </cfRule>
    <cfRule type="cellIs" dxfId="10377" priority="14077" stopIfTrue="1" operator="equal">
      <formula>"Napkin Hs"</formula>
    </cfRule>
    <cfRule type="cellIs" dxfId="10376" priority="14082" stopIfTrue="1" operator="equal">
      <formula>"Towel"</formula>
    </cfRule>
    <cfRule type="cellIs" dxfId="10375" priority="14083" stopIfTrue="1" operator="equal">
      <formula>"Napkin Hs"</formula>
    </cfRule>
  </conditionalFormatting>
  <conditionalFormatting sqref="C63:C64">
    <cfRule type="cellIs" dxfId="10374" priority="14062" stopIfTrue="1" operator="equal">
      <formula>"Towel"</formula>
    </cfRule>
    <cfRule type="cellIs" dxfId="10373" priority="14063" stopIfTrue="1" operator="equal">
      <formula>"Napkin Hs"</formula>
    </cfRule>
    <cfRule type="cellIs" dxfId="10372" priority="14064" stopIfTrue="1" operator="equal">
      <formula>"Towel"</formula>
    </cfRule>
    <cfRule type="cellIs" dxfId="10371" priority="14065" stopIfTrue="1" operator="equal">
      <formula>"Napkin Hs"</formula>
    </cfRule>
    <cfRule type="cellIs" dxfId="10370" priority="14068" stopIfTrue="1" operator="equal">
      <formula>"Towel"</formula>
    </cfRule>
    <cfRule type="cellIs" dxfId="10369" priority="14069" stopIfTrue="1" operator="equal">
      <formula>"Napkin Hs"</formula>
    </cfRule>
    <cfRule type="cellIs" dxfId="10368" priority="14070" stopIfTrue="1" operator="equal">
      <formula>"Towel"</formula>
    </cfRule>
    <cfRule type="cellIs" dxfId="10367" priority="14071" stopIfTrue="1" operator="equal">
      <formula>"Napkin Hs"</formula>
    </cfRule>
    <cfRule type="cellIs" dxfId="10366" priority="14072" stopIfTrue="1" operator="equal">
      <formula>"Towel"</formula>
    </cfRule>
    <cfRule type="cellIs" dxfId="10365" priority="14073" stopIfTrue="1" operator="equal">
      <formula>"Napkin Hs"</formula>
    </cfRule>
    <cfRule type="cellIs" dxfId="10364" priority="14074" stopIfTrue="1" operator="equal">
      <formula>"Towel"</formula>
    </cfRule>
    <cfRule type="cellIs" dxfId="10363" priority="14075" stopIfTrue="1" operator="equal">
      <formula>"Napkin Hs"</formula>
    </cfRule>
    <cfRule type="cellIs" dxfId="10362" priority="14078" stopIfTrue="1" operator="equal">
      <formula>"Towel"</formula>
    </cfRule>
    <cfRule type="cellIs" dxfId="10361" priority="14079" stopIfTrue="1" operator="equal">
      <formula>"Napkin Hs"</formula>
    </cfRule>
    <cfRule type="cellIs" dxfId="10360" priority="14081" stopIfTrue="1" operator="equal">
      <formula>"Napkin Hs"</formula>
    </cfRule>
  </conditionalFormatting>
  <conditionalFormatting sqref="C63:C64">
    <cfRule type="cellIs" dxfId="10359" priority="14080" stopIfTrue="1" operator="equal">
      <formula>"Towel"</formula>
    </cfRule>
  </conditionalFormatting>
  <conditionalFormatting sqref="B63:C64">
    <cfRule type="cellIs" dxfId="10358" priority="14058" stopIfTrue="1" operator="equal">
      <formula>"Towel"</formula>
    </cfRule>
    <cfRule type="cellIs" dxfId="10357" priority="14059" stopIfTrue="1" operator="equal">
      <formula>"Napkin Hs"</formula>
    </cfRule>
  </conditionalFormatting>
  <conditionalFormatting sqref="C63:C64">
    <cfRule type="cellIs" dxfId="10356" priority="14057" stopIfTrue="1" operator="equal">
      <formula>"Napkin Hs"</formula>
    </cfRule>
  </conditionalFormatting>
  <conditionalFormatting sqref="C63:C64">
    <cfRule type="cellIs" dxfId="10355" priority="14056" stopIfTrue="1" operator="equal">
      <formula>"Towel"</formula>
    </cfRule>
  </conditionalFormatting>
  <conditionalFormatting sqref="C63:C64">
    <cfRule type="cellIs" dxfId="10354" priority="14054" stopIfTrue="1" operator="equal">
      <formula>"Towel"</formula>
    </cfRule>
  </conditionalFormatting>
  <conditionalFormatting sqref="C63:C64">
    <cfRule type="cellIs" dxfId="10353" priority="14055" stopIfTrue="1" operator="equal">
      <formula>"Napkin Hs"</formula>
    </cfRule>
  </conditionalFormatting>
  <conditionalFormatting sqref="B63:B64">
    <cfRule type="cellIs" dxfId="10352" priority="13958" stopIfTrue="1" operator="equal">
      <formula>"Napkin Hs"</formula>
    </cfRule>
  </conditionalFormatting>
  <conditionalFormatting sqref="B63:C64">
    <cfRule type="cellIs" dxfId="10351" priority="13957" stopIfTrue="1" operator="equal">
      <formula>"Towel"</formula>
    </cfRule>
  </conditionalFormatting>
  <conditionalFormatting sqref="B63:C64">
    <cfRule type="cellIs" dxfId="10350" priority="13968" stopIfTrue="1" operator="equal">
      <formula>"Towel"</formula>
    </cfRule>
    <cfRule type="cellIs" dxfId="10349" priority="13969" stopIfTrue="1" operator="equal">
      <formula>"Napkin Hs"</formula>
    </cfRule>
    <cfRule type="cellIs" dxfId="10348" priority="13974" stopIfTrue="1" operator="equal">
      <formula>"Towel"</formula>
    </cfRule>
    <cfRule type="cellIs" dxfId="10347" priority="13975" stopIfTrue="1" operator="equal">
      <formula>"Napkin Hs"</formula>
    </cfRule>
    <cfRule type="cellIs" dxfId="10346" priority="13980" stopIfTrue="1" operator="equal">
      <formula>"Towel"</formula>
    </cfRule>
    <cfRule type="cellIs" dxfId="10345" priority="13981" stopIfTrue="1" operator="equal">
      <formula>"Napkin Hs"</formula>
    </cfRule>
    <cfRule type="cellIs" dxfId="10344" priority="13982" stopIfTrue="1" operator="equal">
      <formula>"Towel"</formula>
    </cfRule>
    <cfRule type="cellIs" dxfId="10343" priority="13983" stopIfTrue="1" operator="equal">
      <formula>"Napkin Hs"</formula>
    </cfRule>
    <cfRule type="cellIs" dxfId="10342" priority="13988" stopIfTrue="1" operator="equal">
      <formula>"Towel"</formula>
    </cfRule>
    <cfRule type="cellIs" dxfId="10341" priority="13989" stopIfTrue="1" operator="equal">
      <formula>"Napkin Hs"</formula>
    </cfRule>
    <cfRule type="cellIs" dxfId="10340" priority="13998" stopIfTrue="1" operator="equal">
      <formula>"Towel"</formula>
    </cfRule>
    <cfRule type="cellIs" dxfId="10339" priority="13999" stopIfTrue="1" operator="equal">
      <formula>"Napkin Hs"</formula>
    </cfRule>
    <cfRule type="cellIs" dxfId="10338" priority="14004" stopIfTrue="1" operator="equal">
      <formula>"Towel"</formula>
    </cfRule>
    <cfRule type="cellIs" dxfId="10337" priority="14005" stopIfTrue="1" operator="equal">
      <formula>"Napkin Hs"</formula>
    </cfRule>
    <cfRule type="cellIs" dxfId="10336" priority="14006" stopIfTrue="1" operator="equal">
      <formula>"Towel"</formula>
    </cfRule>
    <cfRule type="cellIs" dxfId="10335" priority="14007" stopIfTrue="1" operator="equal">
      <formula>"Napkin Hs"</formula>
    </cfRule>
    <cfRule type="cellIs" dxfId="10334" priority="14012" stopIfTrue="1" operator="equal">
      <formula>"Towel"</formula>
    </cfRule>
    <cfRule type="cellIs" dxfId="10333" priority="14013" stopIfTrue="1" operator="equal">
      <formula>"Napkin Hs"</formula>
    </cfRule>
    <cfRule type="cellIs" dxfId="10332" priority="14022" stopIfTrue="1" operator="equal">
      <formula>"Towel"</formula>
    </cfRule>
    <cfRule type="cellIs" dxfId="10331" priority="14023" stopIfTrue="1" operator="equal">
      <formula>"Napkin Hs"</formula>
    </cfRule>
    <cfRule type="cellIs" dxfId="10330" priority="14024" stopIfTrue="1" operator="equal">
      <formula>"Towel"</formula>
    </cfRule>
    <cfRule type="cellIs" dxfId="10329" priority="14025" stopIfTrue="1" operator="equal">
      <formula>"Napkin Hs"</formula>
    </cfRule>
    <cfRule type="cellIs" dxfId="10328" priority="14030" stopIfTrue="1" operator="equal">
      <formula>"Towel"</formula>
    </cfRule>
    <cfRule type="cellIs" dxfId="10327" priority="14031" stopIfTrue="1" operator="equal">
      <formula>"Napkin Hs"</formula>
    </cfRule>
    <cfRule type="cellIs" dxfId="10326" priority="14040" stopIfTrue="1" operator="equal">
      <formula>"Towel"</formula>
    </cfRule>
    <cfRule type="cellIs" dxfId="10325" priority="14041" stopIfTrue="1" operator="equal">
      <formula>"Napkin Hs"</formula>
    </cfRule>
    <cfRule type="cellIs" dxfId="10324" priority="14042" stopIfTrue="1" operator="equal">
      <formula>"Towel"</formula>
    </cfRule>
    <cfRule type="cellIs" dxfId="10323" priority="14043" stopIfTrue="1" operator="equal">
      <formula>"Napkin Hs"</formula>
    </cfRule>
    <cfRule type="cellIs" dxfId="10322" priority="14049" stopIfTrue="1" operator="equal">
      <formula>"Napkin Hs"</formula>
    </cfRule>
  </conditionalFormatting>
  <conditionalFormatting sqref="B63:C64">
    <cfRule type="cellIs" dxfId="10321" priority="14048" stopIfTrue="1" operator="equal">
      <formula>"Towel"</formula>
    </cfRule>
  </conditionalFormatting>
  <conditionalFormatting sqref="C63:C64">
    <cfRule type="cellIs" dxfId="10320" priority="13959" stopIfTrue="1" operator="equal">
      <formula>"Napkin Hs"</formula>
    </cfRule>
    <cfRule type="cellIs" dxfId="10319" priority="13960" stopIfTrue="1" operator="equal">
      <formula>"Towel"</formula>
    </cfRule>
    <cfRule type="cellIs" dxfId="10318" priority="13961" stopIfTrue="1" operator="equal">
      <formula>"Napkin Hs"</formula>
    </cfRule>
    <cfRule type="cellIs" dxfId="10317" priority="13962" stopIfTrue="1" operator="equal">
      <formula>"Towel"</formula>
    </cfRule>
    <cfRule type="cellIs" dxfId="10316" priority="13963" stopIfTrue="1" operator="equal">
      <formula>"Napkin Hs"</formula>
    </cfRule>
    <cfRule type="cellIs" dxfId="10315" priority="13964" stopIfTrue="1" operator="equal">
      <formula>"Towel"</formula>
    </cfRule>
    <cfRule type="cellIs" dxfId="10314" priority="13965" stopIfTrue="1" operator="equal">
      <formula>"Napkin Hs"</formula>
    </cfRule>
    <cfRule type="cellIs" dxfId="10313" priority="13966" stopIfTrue="1" operator="equal">
      <formula>"Towel"</formula>
    </cfRule>
    <cfRule type="cellIs" dxfId="10312" priority="13967" stopIfTrue="1" operator="equal">
      <formula>"Napkin Hs"</formula>
    </cfRule>
    <cfRule type="cellIs" dxfId="10311" priority="13970" stopIfTrue="1" operator="equal">
      <formula>"Towel"</formula>
    </cfRule>
    <cfRule type="cellIs" dxfId="10310" priority="13971" stopIfTrue="1" operator="equal">
      <formula>"Napkin Hs"</formula>
    </cfRule>
    <cfRule type="cellIs" dxfId="10309" priority="13972" stopIfTrue="1" operator="equal">
      <formula>"Towel"</formula>
    </cfRule>
    <cfRule type="cellIs" dxfId="10308" priority="13973" stopIfTrue="1" operator="equal">
      <formula>"Napkin Hs"</formula>
    </cfRule>
    <cfRule type="cellIs" dxfId="10307" priority="13976" stopIfTrue="1" operator="equal">
      <formula>"Towel"</formula>
    </cfRule>
    <cfRule type="cellIs" dxfId="10306" priority="13977" stopIfTrue="1" operator="equal">
      <formula>"Napkin Hs"</formula>
    </cfRule>
    <cfRule type="cellIs" dxfId="10305" priority="13978" stopIfTrue="1" operator="equal">
      <formula>"Towel"</formula>
    </cfRule>
    <cfRule type="cellIs" dxfId="10304" priority="13979" stopIfTrue="1" operator="equal">
      <formula>"Napkin Hs"</formula>
    </cfRule>
    <cfRule type="cellIs" dxfId="10303" priority="13984" stopIfTrue="1" operator="equal">
      <formula>"Towel"</formula>
    </cfRule>
    <cfRule type="cellIs" dxfId="10302" priority="13985" stopIfTrue="1" operator="equal">
      <formula>"Napkin Hs"</formula>
    </cfRule>
    <cfRule type="cellIs" dxfId="10301" priority="13986" stopIfTrue="1" operator="equal">
      <formula>"Towel"</formula>
    </cfRule>
    <cfRule type="cellIs" dxfId="10300" priority="13987" stopIfTrue="1" operator="equal">
      <formula>"Napkin Hs"</formula>
    </cfRule>
    <cfRule type="cellIs" dxfId="10299" priority="13990" stopIfTrue="1" operator="equal">
      <formula>"Towel"</formula>
    </cfRule>
    <cfRule type="cellIs" dxfId="10298" priority="13991" stopIfTrue="1" operator="equal">
      <formula>"Napkin Hs"</formula>
    </cfRule>
    <cfRule type="cellIs" dxfId="10297" priority="13992" stopIfTrue="1" operator="equal">
      <formula>"Towel"</formula>
    </cfRule>
    <cfRule type="cellIs" dxfId="10296" priority="13993" stopIfTrue="1" operator="equal">
      <formula>"Napkin Hs"</formula>
    </cfRule>
    <cfRule type="cellIs" dxfId="10295" priority="13994" stopIfTrue="1" operator="equal">
      <formula>"Towel"</formula>
    </cfRule>
    <cfRule type="cellIs" dxfId="10294" priority="13995" stopIfTrue="1" operator="equal">
      <formula>"Napkin Hs"</formula>
    </cfRule>
    <cfRule type="cellIs" dxfId="10293" priority="13996" stopIfTrue="1" operator="equal">
      <formula>"Towel"</formula>
    </cfRule>
    <cfRule type="cellIs" dxfId="10292" priority="13997" stopIfTrue="1" operator="equal">
      <formula>"Napkin Hs"</formula>
    </cfRule>
    <cfRule type="cellIs" dxfId="10291" priority="14000" stopIfTrue="1" operator="equal">
      <formula>"Towel"</formula>
    </cfRule>
    <cfRule type="cellIs" dxfId="10290" priority="14001" stopIfTrue="1" operator="equal">
      <formula>"Napkin Hs"</formula>
    </cfRule>
    <cfRule type="cellIs" dxfId="10289" priority="14002" stopIfTrue="1" operator="equal">
      <formula>"Towel"</formula>
    </cfRule>
    <cfRule type="cellIs" dxfId="10288" priority="14003" stopIfTrue="1" operator="equal">
      <formula>"Napkin Hs"</formula>
    </cfRule>
    <cfRule type="cellIs" dxfId="10287" priority="14008" stopIfTrue="1" operator="equal">
      <formula>"Towel"</formula>
    </cfRule>
    <cfRule type="cellIs" dxfId="10286" priority="14009" stopIfTrue="1" operator="equal">
      <formula>"Napkin Hs"</formula>
    </cfRule>
    <cfRule type="cellIs" dxfId="10285" priority="14010" stopIfTrue="1" operator="equal">
      <formula>"Towel"</formula>
    </cfRule>
    <cfRule type="cellIs" dxfId="10284" priority="14011" stopIfTrue="1" operator="equal">
      <formula>"Napkin Hs"</formula>
    </cfRule>
    <cfRule type="cellIs" dxfId="10283" priority="14014" stopIfTrue="1" operator="equal">
      <formula>"Towel"</formula>
    </cfRule>
    <cfRule type="cellIs" dxfId="10282" priority="14015" stopIfTrue="1" operator="equal">
      <formula>"Napkin Hs"</formula>
    </cfRule>
    <cfRule type="cellIs" dxfId="10281" priority="14016" stopIfTrue="1" operator="equal">
      <formula>"Towel"</formula>
    </cfRule>
    <cfRule type="cellIs" dxfId="10280" priority="14017" stopIfTrue="1" operator="equal">
      <formula>"Napkin Hs"</formula>
    </cfRule>
    <cfRule type="cellIs" dxfId="10279" priority="14018" stopIfTrue="1" operator="equal">
      <formula>"Towel"</formula>
    </cfRule>
    <cfRule type="cellIs" dxfId="10278" priority="14019" stopIfTrue="1" operator="equal">
      <formula>"Napkin Hs"</formula>
    </cfRule>
    <cfRule type="cellIs" dxfId="10277" priority="14020" stopIfTrue="1" operator="equal">
      <formula>"Towel"</formula>
    </cfRule>
    <cfRule type="cellIs" dxfId="10276" priority="14021" stopIfTrue="1" operator="equal">
      <formula>"Napkin Hs"</formula>
    </cfRule>
    <cfRule type="cellIs" dxfId="10275" priority="14026" stopIfTrue="1" operator="equal">
      <formula>"Towel"</formula>
    </cfRule>
    <cfRule type="cellIs" dxfId="10274" priority="14027" stopIfTrue="1" operator="equal">
      <formula>"Napkin Hs"</formula>
    </cfRule>
    <cfRule type="cellIs" dxfId="10273" priority="14028" stopIfTrue="1" operator="equal">
      <formula>"Towel"</formula>
    </cfRule>
    <cfRule type="cellIs" dxfId="10272" priority="14029" stopIfTrue="1" operator="equal">
      <formula>"Napkin Hs"</formula>
    </cfRule>
    <cfRule type="cellIs" dxfId="10271" priority="14032" stopIfTrue="1" operator="equal">
      <formula>"Towel"</formula>
    </cfRule>
    <cfRule type="cellIs" dxfId="10270" priority="14033" stopIfTrue="1" operator="equal">
      <formula>"Napkin Hs"</formula>
    </cfRule>
    <cfRule type="cellIs" dxfId="10269" priority="14034" stopIfTrue="1" operator="equal">
      <formula>"Towel"</formula>
    </cfRule>
    <cfRule type="cellIs" dxfId="10268" priority="14035" stopIfTrue="1" operator="equal">
      <formula>"Napkin Hs"</formula>
    </cfRule>
    <cfRule type="cellIs" dxfId="10267" priority="14036" stopIfTrue="1" operator="equal">
      <formula>"Towel"</formula>
    </cfRule>
    <cfRule type="cellIs" dxfId="10266" priority="14037" stopIfTrue="1" operator="equal">
      <formula>"Napkin Hs"</formula>
    </cfRule>
    <cfRule type="cellIs" dxfId="10265" priority="14038" stopIfTrue="1" operator="equal">
      <formula>"Towel"</formula>
    </cfRule>
    <cfRule type="cellIs" dxfId="10264" priority="14039" stopIfTrue="1" operator="equal">
      <formula>"Napkin Hs"</formula>
    </cfRule>
    <cfRule type="cellIs" dxfId="10263" priority="14044" stopIfTrue="1" operator="equal">
      <formula>"Towel"</formula>
    </cfRule>
    <cfRule type="cellIs" dxfId="10262" priority="14045" stopIfTrue="1" operator="equal">
      <formula>"Napkin Hs"</formula>
    </cfRule>
    <cfRule type="cellIs" dxfId="10261" priority="14046" stopIfTrue="1" operator="equal">
      <formula>"Towel"</formula>
    </cfRule>
    <cfRule type="cellIs" dxfId="10260" priority="14047" stopIfTrue="1" operator="equal">
      <formula>"Napkin Hs"</formula>
    </cfRule>
    <cfRule type="cellIs" dxfId="10259" priority="14050" stopIfTrue="1" operator="equal">
      <formula>"Towel"</formula>
    </cfRule>
    <cfRule type="cellIs" dxfId="10258" priority="14051" stopIfTrue="1" operator="equal">
      <formula>"Napkin Hs"</formula>
    </cfRule>
    <cfRule type="cellIs" dxfId="10257" priority="14052" stopIfTrue="1" operator="equal">
      <formula>"Towel"</formula>
    </cfRule>
    <cfRule type="cellIs" dxfId="10256" priority="14053" stopIfTrue="1" operator="equal">
      <formula>"Napkin Hs"</formula>
    </cfRule>
  </conditionalFormatting>
  <conditionalFormatting sqref="C63:C64">
    <cfRule type="cellIs" dxfId="10255" priority="13956" stopIfTrue="1" operator="equal">
      <formula>"Napkin Hs"</formula>
    </cfRule>
  </conditionalFormatting>
  <conditionalFormatting sqref="C63:C64">
    <cfRule type="cellIs" dxfId="10254" priority="13955" stopIfTrue="1" operator="equal">
      <formula>"Napkin Hs"</formula>
    </cfRule>
  </conditionalFormatting>
  <conditionalFormatting sqref="B63:B64">
    <cfRule type="cellIs" dxfId="10253" priority="13954" stopIfTrue="1" operator="equal">
      <formula>"Napkin Hs"</formula>
    </cfRule>
  </conditionalFormatting>
  <conditionalFormatting sqref="C63:C64">
    <cfRule type="cellIs" dxfId="10252" priority="13953" stopIfTrue="1" operator="equal">
      <formula>"Napkin Hs"</formula>
    </cfRule>
  </conditionalFormatting>
  <conditionalFormatting sqref="C63:C64">
    <cfRule type="cellIs" dxfId="10251" priority="13952" stopIfTrue="1" operator="equal">
      <formula>"Napkin Hs"</formula>
    </cfRule>
  </conditionalFormatting>
  <conditionalFormatting sqref="C63:C64">
    <cfRule type="cellIs" dxfId="10250" priority="13951" stopIfTrue="1" operator="equal">
      <formula>"Napkin Hs"</formula>
    </cfRule>
  </conditionalFormatting>
  <conditionalFormatting sqref="C63:C64">
    <cfRule type="cellIs" dxfId="10249" priority="13950" stopIfTrue="1" operator="equal">
      <formula>"Napkin Hs"</formula>
    </cfRule>
  </conditionalFormatting>
  <conditionalFormatting sqref="B63:B64">
    <cfRule type="cellIs" dxfId="10248" priority="13949" stopIfTrue="1" operator="equal">
      <formula>"Napkin Hs"</formula>
    </cfRule>
  </conditionalFormatting>
  <conditionalFormatting sqref="B63:B64">
    <cfRule type="cellIs" dxfId="10247" priority="13948" stopIfTrue="1" operator="equal">
      <formula>"Napkin Hs"</formula>
    </cfRule>
  </conditionalFormatting>
  <conditionalFormatting sqref="C63:C64">
    <cfRule type="cellIs" dxfId="10246" priority="13944" stopIfTrue="1" operator="equal">
      <formula>"Towel"</formula>
    </cfRule>
    <cfRule type="cellIs" dxfId="10245" priority="13945" stopIfTrue="1" operator="equal">
      <formula>"Napkin Hs"</formula>
    </cfRule>
  </conditionalFormatting>
  <conditionalFormatting sqref="C63:C64">
    <cfRule type="cellIs" dxfId="10244" priority="13946" stopIfTrue="1" operator="equal">
      <formula>"Towel"</formula>
    </cfRule>
    <cfRule type="cellIs" dxfId="10243" priority="13947" stopIfTrue="1" operator="equal">
      <formula>"Napkin Hs"</formula>
    </cfRule>
  </conditionalFormatting>
  <conditionalFormatting sqref="C63:C64">
    <cfRule type="cellIs" dxfId="10242" priority="13940" stopIfTrue="1" operator="equal">
      <formula>"Towel"</formula>
    </cfRule>
    <cfRule type="cellIs" dxfId="10241" priority="13941" stopIfTrue="1" operator="equal">
      <formula>"Napkin Hs"</formula>
    </cfRule>
  </conditionalFormatting>
  <conditionalFormatting sqref="C63:C64">
    <cfRule type="cellIs" dxfId="10240" priority="13942" stopIfTrue="1" operator="equal">
      <formula>"Towel"</formula>
    </cfRule>
    <cfRule type="cellIs" dxfId="10239" priority="13943" stopIfTrue="1" operator="equal">
      <formula>"Napkin Hs"</formula>
    </cfRule>
  </conditionalFormatting>
  <conditionalFormatting sqref="C61:C62">
    <cfRule type="cellIs" dxfId="10238" priority="13936" stopIfTrue="1" operator="equal">
      <formula>"Towel"</formula>
    </cfRule>
    <cfRule type="cellIs" dxfId="10237" priority="13937" stopIfTrue="1" operator="equal">
      <formula>"Napkin Hs"</formula>
    </cfRule>
  </conditionalFormatting>
  <conditionalFormatting sqref="C61:C62">
    <cfRule type="cellIs" dxfId="10236" priority="13938" stopIfTrue="1" operator="equal">
      <formula>"Towel"</formula>
    </cfRule>
    <cfRule type="cellIs" dxfId="10235" priority="13939" stopIfTrue="1" operator="equal">
      <formula>"Napkin Hs"</formula>
    </cfRule>
  </conditionalFormatting>
  <conditionalFormatting sqref="C61:C62">
    <cfRule type="cellIs" dxfId="10234" priority="13934" stopIfTrue="1" operator="equal">
      <formula>"Towel"</formula>
    </cfRule>
    <cfRule type="cellIs" dxfId="10233" priority="13935" stopIfTrue="1" operator="equal">
      <formula>"Napkin Hs"</formula>
    </cfRule>
  </conditionalFormatting>
  <conditionalFormatting sqref="B61">
    <cfRule type="cellIs" dxfId="10232" priority="13932" stopIfTrue="1" operator="equal">
      <formula>"Towel"</formula>
    </cfRule>
    <cfRule type="cellIs" dxfId="10231" priority="13933" stopIfTrue="1" operator="equal">
      <formula>"Napkin Hs"</formula>
    </cfRule>
  </conditionalFormatting>
  <conditionalFormatting sqref="C61:C62">
    <cfRule type="cellIs" dxfId="10230" priority="13926" stopIfTrue="1" operator="equal">
      <formula>"Towel"</formula>
    </cfRule>
    <cfRule type="cellIs" dxfId="10229" priority="13927" stopIfTrue="1" operator="equal">
      <formula>"Napkin Hs"</formula>
    </cfRule>
  </conditionalFormatting>
  <conditionalFormatting sqref="C61:C62">
    <cfRule type="cellIs" dxfId="10228" priority="13930" stopIfTrue="1" operator="equal">
      <formula>"Towel"</formula>
    </cfRule>
    <cfRule type="cellIs" dxfId="10227" priority="13931" stopIfTrue="1" operator="equal">
      <formula>"Napkin Hs"</formula>
    </cfRule>
  </conditionalFormatting>
  <conditionalFormatting sqref="C61:C62">
    <cfRule type="cellIs" dxfId="10226" priority="13928" stopIfTrue="1" operator="equal">
      <formula>"Towel"</formula>
    </cfRule>
    <cfRule type="cellIs" dxfId="10225" priority="13929" stopIfTrue="1" operator="equal">
      <formula>"Napkin Hs"</formula>
    </cfRule>
  </conditionalFormatting>
  <conditionalFormatting sqref="C61:C62">
    <cfRule type="cellIs" dxfId="10224" priority="13920" stopIfTrue="1" operator="equal">
      <formula>"Towel"</formula>
    </cfRule>
    <cfRule type="cellIs" dxfId="10223" priority="13921" stopIfTrue="1" operator="equal">
      <formula>"Napkin Hs"</formula>
    </cfRule>
  </conditionalFormatting>
  <conditionalFormatting sqref="C61:C62">
    <cfRule type="cellIs" dxfId="10222" priority="13922" stopIfTrue="1" operator="equal">
      <formula>"Towel"</formula>
    </cfRule>
    <cfRule type="cellIs" dxfId="10221" priority="13923" stopIfTrue="1" operator="equal">
      <formula>"Napkin Hs"</formula>
    </cfRule>
  </conditionalFormatting>
  <conditionalFormatting sqref="C61:C62">
    <cfRule type="cellIs" dxfId="10220" priority="13924" stopIfTrue="1" operator="equal">
      <formula>"Towel"</formula>
    </cfRule>
    <cfRule type="cellIs" dxfId="10219" priority="13925" stopIfTrue="1" operator="equal">
      <formula>"Napkin Hs"</formula>
    </cfRule>
  </conditionalFormatting>
  <conditionalFormatting sqref="B61:C61 C62">
    <cfRule type="cellIs" dxfId="10218" priority="13918" stopIfTrue="1" operator="equal">
      <formula>"Towel"</formula>
    </cfRule>
    <cfRule type="cellIs" dxfId="10217" priority="13919" stopIfTrue="1" operator="equal">
      <formula>"Napkin Hs"</formula>
    </cfRule>
  </conditionalFormatting>
  <conditionalFormatting sqref="B61:C61 C62">
    <cfRule type="cellIs" dxfId="10216" priority="13916" stopIfTrue="1" operator="equal">
      <formula>"Towel"</formula>
    </cfRule>
    <cfRule type="cellIs" dxfId="10215" priority="13917" stopIfTrue="1" operator="equal">
      <formula>"Napkin Hs"</formula>
    </cfRule>
  </conditionalFormatting>
  <conditionalFormatting sqref="B61:C61 C62">
    <cfRule type="cellIs" dxfId="10214" priority="13892" stopIfTrue="1" operator="equal">
      <formula>"Towel"</formula>
    </cfRule>
  </conditionalFormatting>
  <conditionalFormatting sqref="B61:C61 C62">
    <cfRule type="cellIs" dxfId="10213" priority="13893" stopIfTrue="1" operator="equal">
      <formula>"Napkin Hs"</formula>
    </cfRule>
    <cfRule type="cellIs" dxfId="10212" priority="13898" stopIfTrue="1" operator="equal">
      <formula>"Towel"</formula>
    </cfRule>
    <cfRule type="cellIs" dxfId="10211" priority="13899" stopIfTrue="1" operator="equal">
      <formula>"Napkin Hs"</formula>
    </cfRule>
    <cfRule type="cellIs" dxfId="10210" priority="13908" stopIfTrue="1" operator="equal">
      <formula>"Towel"</formula>
    </cfRule>
    <cfRule type="cellIs" dxfId="10209" priority="13909" stopIfTrue="1" operator="equal">
      <formula>"Napkin Hs"</formula>
    </cfRule>
    <cfRule type="cellIs" dxfId="10208" priority="13914" stopIfTrue="1" operator="equal">
      <formula>"Towel"</formula>
    </cfRule>
    <cfRule type="cellIs" dxfId="10207" priority="13915" stopIfTrue="1" operator="equal">
      <formula>"Napkin Hs"</formula>
    </cfRule>
  </conditionalFormatting>
  <conditionalFormatting sqref="C61:C62">
    <cfRule type="cellIs" dxfId="10206" priority="13894" stopIfTrue="1" operator="equal">
      <formula>"Towel"</formula>
    </cfRule>
    <cfRule type="cellIs" dxfId="10205" priority="13895" stopIfTrue="1" operator="equal">
      <formula>"Napkin Hs"</formula>
    </cfRule>
    <cfRule type="cellIs" dxfId="10204" priority="13896" stopIfTrue="1" operator="equal">
      <formula>"Towel"</formula>
    </cfRule>
    <cfRule type="cellIs" dxfId="10203" priority="13897" stopIfTrue="1" operator="equal">
      <formula>"Napkin Hs"</formula>
    </cfRule>
    <cfRule type="cellIs" dxfId="10202" priority="13900" stopIfTrue="1" operator="equal">
      <formula>"Towel"</formula>
    </cfRule>
    <cfRule type="cellIs" dxfId="10201" priority="13901" stopIfTrue="1" operator="equal">
      <formula>"Napkin Hs"</formula>
    </cfRule>
    <cfRule type="cellIs" dxfId="10200" priority="13902" stopIfTrue="1" operator="equal">
      <formula>"Towel"</formula>
    </cfRule>
    <cfRule type="cellIs" dxfId="10199" priority="13903" stopIfTrue="1" operator="equal">
      <formula>"Napkin Hs"</formula>
    </cfRule>
    <cfRule type="cellIs" dxfId="10198" priority="13904" stopIfTrue="1" operator="equal">
      <formula>"Towel"</formula>
    </cfRule>
    <cfRule type="cellIs" dxfId="10197" priority="13905" stopIfTrue="1" operator="equal">
      <formula>"Napkin Hs"</formula>
    </cfRule>
    <cfRule type="cellIs" dxfId="10196" priority="13906" stopIfTrue="1" operator="equal">
      <formula>"Towel"</formula>
    </cfRule>
    <cfRule type="cellIs" dxfId="10195" priority="13907" stopIfTrue="1" operator="equal">
      <formula>"Napkin Hs"</formula>
    </cfRule>
    <cfRule type="cellIs" dxfId="10194" priority="13910" stopIfTrue="1" operator="equal">
      <formula>"Towel"</formula>
    </cfRule>
    <cfRule type="cellIs" dxfId="10193" priority="13911" stopIfTrue="1" operator="equal">
      <formula>"Napkin Hs"</formula>
    </cfRule>
    <cfRule type="cellIs" dxfId="10192" priority="13913" stopIfTrue="1" operator="equal">
      <formula>"Napkin Hs"</formula>
    </cfRule>
  </conditionalFormatting>
  <conditionalFormatting sqref="C61:C62">
    <cfRule type="cellIs" dxfId="10191" priority="13912" stopIfTrue="1" operator="equal">
      <formula>"Towel"</formula>
    </cfRule>
  </conditionalFormatting>
  <conditionalFormatting sqref="B61:C61 C62">
    <cfRule type="cellIs" dxfId="10190" priority="13890" stopIfTrue="1" operator="equal">
      <formula>"Towel"</formula>
    </cfRule>
    <cfRule type="cellIs" dxfId="10189" priority="13891" stopIfTrue="1" operator="equal">
      <formula>"Napkin Hs"</formula>
    </cfRule>
  </conditionalFormatting>
  <conditionalFormatting sqref="C61:C62">
    <cfRule type="cellIs" dxfId="10188" priority="13889" stopIfTrue="1" operator="equal">
      <formula>"Napkin Hs"</formula>
    </cfRule>
  </conditionalFormatting>
  <conditionalFormatting sqref="C61:C62">
    <cfRule type="cellIs" dxfId="10187" priority="13888" stopIfTrue="1" operator="equal">
      <formula>"Towel"</formula>
    </cfRule>
  </conditionalFormatting>
  <conditionalFormatting sqref="C61:C62">
    <cfRule type="cellIs" dxfId="10186" priority="13886" stopIfTrue="1" operator="equal">
      <formula>"Towel"</formula>
    </cfRule>
  </conditionalFormatting>
  <conditionalFormatting sqref="C61:C62">
    <cfRule type="cellIs" dxfId="10185" priority="13887" stopIfTrue="1" operator="equal">
      <formula>"Napkin Hs"</formula>
    </cfRule>
  </conditionalFormatting>
  <conditionalFormatting sqref="B61">
    <cfRule type="cellIs" dxfId="10184" priority="13790" stopIfTrue="1" operator="equal">
      <formula>"Napkin Hs"</formula>
    </cfRule>
  </conditionalFormatting>
  <conditionalFormatting sqref="B61:C61 C62">
    <cfRule type="cellIs" dxfId="10183" priority="13789" stopIfTrue="1" operator="equal">
      <formula>"Towel"</formula>
    </cfRule>
  </conditionalFormatting>
  <conditionalFormatting sqref="B61:C61 C62">
    <cfRule type="cellIs" dxfId="10182" priority="13800" stopIfTrue="1" operator="equal">
      <formula>"Towel"</formula>
    </cfRule>
    <cfRule type="cellIs" dxfId="10181" priority="13801" stopIfTrue="1" operator="equal">
      <formula>"Napkin Hs"</formula>
    </cfRule>
    <cfRule type="cellIs" dxfId="10180" priority="13806" stopIfTrue="1" operator="equal">
      <formula>"Towel"</formula>
    </cfRule>
    <cfRule type="cellIs" dxfId="10179" priority="13807" stopIfTrue="1" operator="equal">
      <formula>"Napkin Hs"</formula>
    </cfRule>
    <cfRule type="cellIs" dxfId="10178" priority="13812" stopIfTrue="1" operator="equal">
      <formula>"Towel"</formula>
    </cfRule>
    <cfRule type="cellIs" dxfId="10177" priority="13813" stopIfTrue="1" operator="equal">
      <formula>"Napkin Hs"</formula>
    </cfRule>
    <cfRule type="cellIs" dxfId="10176" priority="13814" stopIfTrue="1" operator="equal">
      <formula>"Towel"</formula>
    </cfRule>
    <cfRule type="cellIs" dxfId="10175" priority="13815" stopIfTrue="1" operator="equal">
      <formula>"Napkin Hs"</formula>
    </cfRule>
    <cfRule type="cellIs" dxfId="10174" priority="13820" stopIfTrue="1" operator="equal">
      <formula>"Towel"</formula>
    </cfRule>
    <cfRule type="cellIs" dxfId="10173" priority="13821" stopIfTrue="1" operator="equal">
      <formula>"Napkin Hs"</formula>
    </cfRule>
    <cfRule type="cellIs" dxfId="10172" priority="13830" stopIfTrue="1" operator="equal">
      <formula>"Towel"</formula>
    </cfRule>
    <cfRule type="cellIs" dxfId="10171" priority="13831" stopIfTrue="1" operator="equal">
      <formula>"Napkin Hs"</formula>
    </cfRule>
    <cfRule type="cellIs" dxfId="10170" priority="13836" stopIfTrue="1" operator="equal">
      <formula>"Towel"</formula>
    </cfRule>
    <cfRule type="cellIs" dxfId="10169" priority="13837" stopIfTrue="1" operator="equal">
      <formula>"Napkin Hs"</formula>
    </cfRule>
    <cfRule type="cellIs" dxfId="10168" priority="13838" stopIfTrue="1" operator="equal">
      <formula>"Towel"</formula>
    </cfRule>
    <cfRule type="cellIs" dxfId="10167" priority="13839" stopIfTrue="1" operator="equal">
      <formula>"Napkin Hs"</formula>
    </cfRule>
    <cfRule type="cellIs" dxfId="10166" priority="13844" stopIfTrue="1" operator="equal">
      <formula>"Towel"</formula>
    </cfRule>
    <cfRule type="cellIs" dxfId="10165" priority="13845" stopIfTrue="1" operator="equal">
      <formula>"Napkin Hs"</formula>
    </cfRule>
    <cfRule type="cellIs" dxfId="10164" priority="13854" stopIfTrue="1" operator="equal">
      <formula>"Towel"</formula>
    </cfRule>
    <cfRule type="cellIs" dxfId="10163" priority="13855" stopIfTrue="1" operator="equal">
      <formula>"Napkin Hs"</formula>
    </cfRule>
    <cfRule type="cellIs" dxfId="10162" priority="13856" stopIfTrue="1" operator="equal">
      <formula>"Towel"</formula>
    </cfRule>
    <cfRule type="cellIs" dxfId="10161" priority="13857" stopIfTrue="1" operator="equal">
      <formula>"Napkin Hs"</formula>
    </cfRule>
    <cfRule type="cellIs" dxfId="10160" priority="13862" stopIfTrue="1" operator="equal">
      <formula>"Towel"</formula>
    </cfRule>
    <cfRule type="cellIs" dxfId="10159" priority="13863" stopIfTrue="1" operator="equal">
      <formula>"Napkin Hs"</formula>
    </cfRule>
    <cfRule type="cellIs" dxfId="10158" priority="13872" stopIfTrue="1" operator="equal">
      <formula>"Towel"</formula>
    </cfRule>
    <cfRule type="cellIs" dxfId="10157" priority="13873" stopIfTrue="1" operator="equal">
      <formula>"Napkin Hs"</formula>
    </cfRule>
    <cfRule type="cellIs" dxfId="10156" priority="13874" stopIfTrue="1" operator="equal">
      <formula>"Towel"</formula>
    </cfRule>
    <cfRule type="cellIs" dxfId="10155" priority="13875" stopIfTrue="1" operator="equal">
      <formula>"Napkin Hs"</formula>
    </cfRule>
    <cfRule type="cellIs" dxfId="10154" priority="13881" stopIfTrue="1" operator="equal">
      <formula>"Napkin Hs"</formula>
    </cfRule>
  </conditionalFormatting>
  <conditionalFormatting sqref="B61:C61 C62">
    <cfRule type="cellIs" dxfId="10153" priority="13880" stopIfTrue="1" operator="equal">
      <formula>"Towel"</formula>
    </cfRule>
  </conditionalFormatting>
  <conditionalFormatting sqref="C61:C62">
    <cfRule type="cellIs" dxfId="10152" priority="13791" stopIfTrue="1" operator="equal">
      <formula>"Napkin Hs"</formula>
    </cfRule>
    <cfRule type="cellIs" dxfId="10151" priority="13792" stopIfTrue="1" operator="equal">
      <formula>"Towel"</formula>
    </cfRule>
    <cfRule type="cellIs" dxfId="10150" priority="13793" stopIfTrue="1" operator="equal">
      <formula>"Napkin Hs"</formula>
    </cfRule>
    <cfRule type="cellIs" dxfId="10149" priority="13794" stopIfTrue="1" operator="equal">
      <formula>"Towel"</formula>
    </cfRule>
    <cfRule type="cellIs" dxfId="10148" priority="13795" stopIfTrue="1" operator="equal">
      <formula>"Napkin Hs"</formula>
    </cfRule>
    <cfRule type="cellIs" dxfId="10147" priority="13796" stopIfTrue="1" operator="equal">
      <formula>"Towel"</formula>
    </cfRule>
    <cfRule type="cellIs" dxfId="10146" priority="13797" stopIfTrue="1" operator="equal">
      <formula>"Napkin Hs"</formula>
    </cfRule>
    <cfRule type="cellIs" dxfId="10145" priority="13798" stopIfTrue="1" operator="equal">
      <formula>"Towel"</formula>
    </cfRule>
    <cfRule type="cellIs" dxfId="10144" priority="13799" stopIfTrue="1" operator="equal">
      <formula>"Napkin Hs"</formula>
    </cfRule>
    <cfRule type="cellIs" dxfId="10143" priority="13802" stopIfTrue="1" operator="equal">
      <formula>"Towel"</formula>
    </cfRule>
    <cfRule type="cellIs" dxfId="10142" priority="13803" stopIfTrue="1" operator="equal">
      <formula>"Napkin Hs"</formula>
    </cfRule>
    <cfRule type="cellIs" dxfId="10141" priority="13804" stopIfTrue="1" operator="equal">
      <formula>"Towel"</formula>
    </cfRule>
    <cfRule type="cellIs" dxfId="10140" priority="13805" stopIfTrue="1" operator="equal">
      <formula>"Napkin Hs"</formula>
    </cfRule>
    <cfRule type="cellIs" dxfId="10139" priority="13808" stopIfTrue="1" operator="equal">
      <formula>"Towel"</formula>
    </cfRule>
    <cfRule type="cellIs" dxfId="10138" priority="13809" stopIfTrue="1" operator="equal">
      <formula>"Napkin Hs"</formula>
    </cfRule>
    <cfRule type="cellIs" dxfId="10137" priority="13810" stopIfTrue="1" operator="equal">
      <formula>"Towel"</formula>
    </cfRule>
    <cfRule type="cellIs" dxfId="10136" priority="13811" stopIfTrue="1" operator="equal">
      <formula>"Napkin Hs"</formula>
    </cfRule>
    <cfRule type="cellIs" dxfId="10135" priority="13816" stopIfTrue="1" operator="equal">
      <formula>"Towel"</formula>
    </cfRule>
    <cfRule type="cellIs" dxfId="10134" priority="13817" stopIfTrue="1" operator="equal">
      <formula>"Napkin Hs"</formula>
    </cfRule>
    <cfRule type="cellIs" dxfId="10133" priority="13818" stopIfTrue="1" operator="equal">
      <formula>"Towel"</formula>
    </cfRule>
    <cfRule type="cellIs" dxfId="10132" priority="13819" stopIfTrue="1" operator="equal">
      <formula>"Napkin Hs"</formula>
    </cfRule>
    <cfRule type="cellIs" dxfId="10131" priority="13822" stopIfTrue="1" operator="equal">
      <formula>"Towel"</formula>
    </cfRule>
    <cfRule type="cellIs" dxfId="10130" priority="13823" stopIfTrue="1" operator="equal">
      <formula>"Napkin Hs"</formula>
    </cfRule>
    <cfRule type="cellIs" dxfId="10129" priority="13824" stopIfTrue="1" operator="equal">
      <formula>"Towel"</formula>
    </cfRule>
    <cfRule type="cellIs" dxfId="10128" priority="13825" stopIfTrue="1" operator="equal">
      <formula>"Napkin Hs"</formula>
    </cfRule>
    <cfRule type="cellIs" dxfId="10127" priority="13826" stopIfTrue="1" operator="equal">
      <formula>"Towel"</formula>
    </cfRule>
    <cfRule type="cellIs" dxfId="10126" priority="13827" stopIfTrue="1" operator="equal">
      <formula>"Napkin Hs"</formula>
    </cfRule>
    <cfRule type="cellIs" dxfId="10125" priority="13828" stopIfTrue="1" operator="equal">
      <formula>"Towel"</formula>
    </cfRule>
    <cfRule type="cellIs" dxfId="10124" priority="13829" stopIfTrue="1" operator="equal">
      <formula>"Napkin Hs"</formula>
    </cfRule>
    <cfRule type="cellIs" dxfId="10123" priority="13832" stopIfTrue="1" operator="equal">
      <formula>"Towel"</formula>
    </cfRule>
    <cfRule type="cellIs" dxfId="10122" priority="13833" stopIfTrue="1" operator="equal">
      <formula>"Napkin Hs"</formula>
    </cfRule>
    <cfRule type="cellIs" dxfId="10121" priority="13834" stopIfTrue="1" operator="equal">
      <formula>"Towel"</formula>
    </cfRule>
    <cfRule type="cellIs" dxfId="10120" priority="13835" stopIfTrue="1" operator="equal">
      <formula>"Napkin Hs"</formula>
    </cfRule>
    <cfRule type="cellIs" dxfId="10119" priority="13840" stopIfTrue="1" operator="equal">
      <formula>"Towel"</formula>
    </cfRule>
    <cfRule type="cellIs" dxfId="10118" priority="13841" stopIfTrue="1" operator="equal">
      <formula>"Napkin Hs"</formula>
    </cfRule>
    <cfRule type="cellIs" dxfId="10117" priority="13842" stopIfTrue="1" operator="equal">
      <formula>"Towel"</formula>
    </cfRule>
    <cfRule type="cellIs" dxfId="10116" priority="13843" stopIfTrue="1" operator="equal">
      <formula>"Napkin Hs"</formula>
    </cfRule>
    <cfRule type="cellIs" dxfId="10115" priority="13846" stopIfTrue="1" operator="equal">
      <formula>"Towel"</formula>
    </cfRule>
    <cfRule type="cellIs" dxfId="10114" priority="13847" stopIfTrue="1" operator="equal">
      <formula>"Napkin Hs"</formula>
    </cfRule>
    <cfRule type="cellIs" dxfId="10113" priority="13848" stopIfTrue="1" operator="equal">
      <formula>"Towel"</formula>
    </cfRule>
    <cfRule type="cellIs" dxfId="10112" priority="13849" stopIfTrue="1" operator="equal">
      <formula>"Napkin Hs"</formula>
    </cfRule>
    <cfRule type="cellIs" dxfId="10111" priority="13850" stopIfTrue="1" operator="equal">
      <formula>"Towel"</formula>
    </cfRule>
    <cfRule type="cellIs" dxfId="10110" priority="13851" stopIfTrue="1" operator="equal">
      <formula>"Napkin Hs"</formula>
    </cfRule>
    <cfRule type="cellIs" dxfId="10109" priority="13852" stopIfTrue="1" operator="equal">
      <formula>"Towel"</formula>
    </cfRule>
    <cfRule type="cellIs" dxfId="10108" priority="13853" stopIfTrue="1" operator="equal">
      <formula>"Napkin Hs"</formula>
    </cfRule>
    <cfRule type="cellIs" dxfId="10107" priority="13858" stopIfTrue="1" operator="equal">
      <formula>"Towel"</formula>
    </cfRule>
    <cfRule type="cellIs" dxfId="10106" priority="13859" stopIfTrue="1" operator="equal">
      <formula>"Napkin Hs"</formula>
    </cfRule>
    <cfRule type="cellIs" dxfId="10105" priority="13860" stopIfTrue="1" operator="equal">
      <formula>"Towel"</formula>
    </cfRule>
    <cfRule type="cellIs" dxfId="10104" priority="13861" stopIfTrue="1" operator="equal">
      <formula>"Napkin Hs"</formula>
    </cfRule>
    <cfRule type="cellIs" dxfId="10103" priority="13864" stopIfTrue="1" operator="equal">
      <formula>"Towel"</formula>
    </cfRule>
    <cfRule type="cellIs" dxfId="10102" priority="13865" stopIfTrue="1" operator="equal">
      <formula>"Napkin Hs"</formula>
    </cfRule>
    <cfRule type="cellIs" dxfId="10101" priority="13866" stopIfTrue="1" operator="equal">
      <formula>"Towel"</formula>
    </cfRule>
    <cfRule type="cellIs" dxfId="10100" priority="13867" stopIfTrue="1" operator="equal">
      <formula>"Napkin Hs"</formula>
    </cfRule>
    <cfRule type="cellIs" dxfId="10099" priority="13868" stopIfTrue="1" operator="equal">
      <formula>"Towel"</formula>
    </cfRule>
    <cfRule type="cellIs" dxfId="10098" priority="13869" stopIfTrue="1" operator="equal">
      <formula>"Napkin Hs"</formula>
    </cfRule>
    <cfRule type="cellIs" dxfId="10097" priority="13870" stopIfTrue="1" operator="equal">
      <formula>"Towel"</formula>
    </cfRule>
    <cfRule type="cellIs" dxfId="10096" priority="13871" stopIfTrue="1" operator="equal">
      <formula>"Napkin Hs"</formula>
    </cfRule>
    <cfRule type="cellIs" dxfId="10095" priority="13876" stopIfTrue="1" operator="equal">
      <formula>"Towel"</formula>
    </cfRule>
    <cfRule type="cellIs" dxfId="10094" priority="13877" stopIfTrue="1" operator="equal">
      <formula>"Napkin Hs"</formula>
    </cfRule>
    <cfRule type="cellIs" dxfId="10093" priority="13878" stopIfTrue="1" operator="equal">
      <formula>"Towel"</formula>
    </cfRule>
    <cfRule type="cellIs" dxfId="10092" priority="13879" stopIfTrue="1" operator="equal">
      <formula>"Napkin Hs"</formula>
    </cfRule>
    <cfRule type="cellIs" dxfId="10091" priority="13882" stopIfTrue="1" operator="equal">
      <formula>"Towel"</formula>
    </cfRule>
    <cfRule type="cellIs" dxfId="10090" priority="13883" stopIfTrue="1" operator="equal">
      <formula>"Napkin Hs"</formula>
    </cfRule>
    <cfRule type="cellIs" dxfId="10089" priority="13884" stopIfTrue="1" operator="equal">
      <formula>"Towel"</formula>
    </cfRule>
    <cfRule type="cellIs" dxfId="10088" priority="13885" stopIfTrue="1" operator="equal">
      <formula>"Napkin Hs"</formula>
    </cfRule>
  </conditionalFormatting>
  <conditionalFormatting sqref="C61:C62">
    <cfRule type="cellIs" dxfId="10087" priority="13788" stopIfTrue="1" operator="equal">
      <formula>"Napkin Hs"</formula>
    </cfRule>
  </conditionalFormatting>
  <conditionalFormatting sqref="C61:C62">
    <cfRule type="cellIs" dxfId="10086" priority="13787" stopIfTrue="1" operator="equal">
      <formula>"Napkin Hs"</formula>
    </cfRule>
  </conditionalFormatting>
  <conditionalFormatting sqref="B61">
    <cfRule type="cellIs" dxfId="10085" priority="13786" stopIfTrue="1" operator="equal">
      <formula>"Napkin Hs"</formula>
    </cfRule>
  </conditionalFormatting>
  <conditionalFormatting sqref="C61:C62">
    <cfRule type="cellIs" dxfId="10084" priority="13785" stopIfTrue="1" operator="equal">
      <formula>"Napkin Hs"</formula>
    </cfRule>
  </conditionalFormatting>
  <conditionalFormatting sqref="C61:C62">
    <cfRule type="cellIs" dxfId="10083" priority="13784" stopIfTrue="1" operator="equal">
      <formula>"Napkin Hs"</formula>
    </cfRule>
  </conditionalFormatting>
  <conditionalFormatting sqref="C61:C62">
    <cfRule type="cellIs" dxfId="10082" priority="13783" stopIfTrue="1" operator="equal">
      <formula>"Napkin Hs"</formula>
    </cfRule>
  </conditionalFormatting>
  <conditionalFormatting sqref="C61:C62">
    <cfRule type="cellIs" dxfId="10081" priority="13782" stopIfTrue="1" operator="equal">
      <formula>"Napkin Hs"</formula>
    </cfRule>
  </conditionalFormatting>
  <conditionalFormatting sqref="B61">
    <cfRule type="cellIs" dxfId="10080" priority="13781" stopIfTrue="1" operator="equal">
      <formula>"Napkin Hs"</formula>
    </cfRule>
  </conditionalFormatting>
  <conditionalFormatting sqref="B61">
    <cfRule type="cellIs" dxfId="10079" priority="13780" stopIfTrue="1" operator="equal">
      <formula>"Napkin Hs"</formula>
    </cfRule>
  </conditionalFormatting>
  <conditionalFormatting sqref="C61:C62">
    <cfRule type="cellIs" dxfId="10078" priority="13776" stopIfTrue="1" operator="equal">
      <formula>"Towel"</formula>
    </cfRule>
    <cfRule type="cellIs" dxfId="10077" priority="13777" stopIfTrue="1" operator="equal">
      <formula>"Napkin Hs"</formula>
    </cfRule>
  </conditionalFormatting>
  <conditionalFormatting sqref="C61:C62">
    <cfRule type="cellIs" dxfId="10076" priority="13778" stopIfTrue="1" operator="equal">
      <formula>"Towel"</formula>
    </cfRule>
    <cfRule type="cellIs" dxfId="10075" priority="13779" stopIfTrue="1" operator="equal">
      <formula>"Napkin Hs"</formula>
    </cfRule>
  </conditionalFormatting>
  <conditionalFormatting sqref="C61:C62">
    <cfRule type="cellIs" dxfId="10074" priority="13772" stopIfTrue="1" operator="equal">
      <formula>"Towel"</formula>
    </cfRule>
    <cfRule type="cellIs" dxfId="10073" priority="13773" stopIfTrue="1" operator="equal">
      <formula>"Napkin Hs"</formula>
    </cfRule>
  </conditionalFormatting>
  <conditionalFormatting sqref="C61:C62">
    <cfRule type="cellIs" dxfId="10072" priority="13774" stopIfTrue="1" operator="equal">
      <formula>"Towel"</formula>
    </cfRule>
    <cfRule type="cellIs" dxfId="10071" priority="13775" stopIfTrue="1" operator="equal">
      <formula>"Napkin Hs"</formula>
    </cfRule>
  </conditionalFormatting>
  <conditionalFormatting sqref="B62">
    <cfRule type="cellIs" dxfId="10070" priority="13770" stopIfTrue="1" operator="equal">
      <formula>"Towel"</formula>
    </cfRule>
    <cfRule type="cellIs" dxfId="10069" priority="13771" stopIfTrue="1" operator="equal">
      <formula>"Napkin Hs"</formula>
    </cfRule>
  </conditionalFormatting>
  <conditionalFormatting sqref="B62">
    <cfRule type="cellIs" dxfId="10068" priority="13768" stopIfTrue="1" operator="equal">
      <formula>"Towel"</formula>
    </cfRule>
    <cfRule type="cellIs" dxfId="10067" priority="13769" stopIfTrue="1" operator="equal">
      <formula>"Napkin Hs"</formula>
    </cfRule>
  </conditionalFormatting>
  <conditionalFormatting sqref="B62">
    <cfRule type="cellIs" dxfId="10066" priority="13766" stopIfTrue="1" operator="equal">
      <formula>"Towel"</formula>
    </cfRule>
    <cfRule type="cellIs" dxfId="10065" priority="13767" stopIfTrue="1" operator="equal">
      <formula>"Napkin Hs"</formula>
    </cfRule>
  </conditionalFormatting>
  <conditionalFormatting sqref="B62">
    <cfRule type="cellIs" dxfId="10064" priority="13758" stopIfTrue="1" operator="equal">
      <formula>"Towel"</formula>
    </cfRule>
  </conditionalFormatting>
  <conditionalFormatting sqref="B62">
    <cfRule type="cellIs" dxfId="10063" priority="13759" stopIfTrue="1" operator="equal">
      <formula>"Napkin Hs"</formula>
    </cfRule>
    <cfRule type="cellIs" dxfId="10062" priority="13760" stopIfTrue="1" operator="equal">
      <formula>"Towel"</formula>
    </cfRule>
    <cfRule type="cellIs" dxfId="10061" priority="13761" stopIfTrue="1" operator="equal">
      <formula>"Napkin Hs"</formula>
    </cfRule>
    <cfRule type="cellIs" dxfId="10060" priority="13762" stopIfTrue="1" operator="equal">
      <formula>"Towel"</formula>
    </cfRule>
    <cfRule type="cellIs" dxfId="10059" priority="13763" stopIfTrue="1" operator="equal">
      <formula>"Napkin Hs"</formula>
    </cfRule>
    <cfRule type="cellIs" dxfId="10058" priority="13764" stopIfTrue="1" operator="equal">
      <formula>"Towel"</formula>
    </cfRule>
    <cfRule type="cellIs" dxfId="10057" priority="13765" stopIfTrue="1" operator="equal">
      <formula>"Napkin Hs"</formula>
    </cfRule>
  </conditionalFormatting>
  <conditionalFormatting sqref="B62">
    <cfRule type="cellIs" dxfId="10056" priority="13756" stopIfTrue="1" operator="equal">
      <formula>"Towel"</formula>
    </cfRule>
    <cfRule type="cellIs" dxfId="10055" priority="13757" stopIfTrue="1" operator="equal">
      <formula>"Napkin Hs"</formula>
    </cfRule>
  </conditionalFormatting>
  <conditionalFormatting sqref="B62">
    <cfRule type="cellIs" dxfId="10054" priority="13725" stopIfTrue="1" operator="equal">
      <formula>"Napkin Hs"</formula>
    </cfRule>
  </conditionalFormatting>
  <conditionalFormatting sqref="B62">
    <cfRule type="cellIs" dxfId="10053" priority="13724" stopIfTrue="1" operator="equal">
      <formula>"Towel"</formula>
    </cfRule>
  </conditionalFormatting>
  <conditionalFormatting sqref="B62">
    <cfRule type="cellIs" dxfId="10052" priority="13726" stopIfTrue="1" operator="equal">
      <formula>"Towel"</formula>
    </cfRule>
    <cfRule type="cellIs" dxfId="10051" priority="13727" stopIfTrue="1" operator="equal">
      <formula>"Napkin Hs"</formula>
    </cfRule>
    <cfRule type="cellIs" dxfId="10050" priority="13728" stopIfTrue="1" operator="equal">
      <formula>"Towel"</formula>
    </cfRule>
    <cfRule type="cellIs" dxfId="10049" priority="13729" stopIfTrue="1" operator="equal">
      <formula>"Napkin Hs"</formula>
    </cfRule>
    <cfRule type="cellIs" dxfId="10048" priority="13730" stopIfTrue="1" operator="equal">
      <formula>"Towel"</formula>
    </cfRule>
    <cfRule type="cellIs" dxfId="10047" priority="13731" stopIfTrue="1" operator="equal">
      <formula>"Napkin Hs"</formula>
    </cfRule>
    <cfRule type="cellIs" dxfId="10046" priority="13732" stopIfTrue="1" operator="equal">
      <formula>"Towel"</formula>
    </cfRule>
    <cfRule type="cellIs" dxfId="10045" priority="13733" stopIfTrue="1" operator="equal">
      <formula>"Napkin Hs"</formula>
    </cfRule>
    <cfRule type="cellIs" dxfId="10044" priority="13734" stopIfTrue="1" operator="equal">
      <formula>"Towel"</formula>
    </cfRule>
    <cfRule type="cellIs" dxfId="10043" priority="13735" stopIfTrue="1" operator="equal">
      <formula>"Napkin Hs"</formula>
    </cfRule>
    <cfRule type="cellIs" dxfId="10042" priority="13736" stopIfTrue="1" operator="equal">
      <formula>"Towel"</formula>
    </cfRule>
    <cfRule type="cellIs" dxfId="10041" priority="13737" stopIfTrue="1" operator="equal">
      <formula>"Napkin Hs"</formula>
    </cfRule>
    <cfRule type="cellIs" dxfId="10040" priority="13738" stopIfTrue="1" operator="equal">
      <formula>"Towel"</formula>
    </cfRule>
    <cfRule type="cellIs" dxfId="10039" priority="13739" stopIfTrue="1" operator="equal">
      <formula>"Napkin Hs"</formula>
    </cfRule>
    <cfRule type="cellIs" dxfId="10038" priority="13740" stopIfTrue="1" operator="equal">
      <formula>"Towel"</formula>
    </cfRule>
    <cfRule type="cellIs" dxfId="10037" priority="13741" stopIfTrue="1" operator="equal">
      <formula>"Napkin Hs"</formula>
    </cfRule>
    <cfRule type="cellIs" dxfId="10036" priority="13742" stopIfTrue="1" operator="equal">
      <formula>"Towel"</formula>
    </cfRule>
    <cfRule type="cellIs" dxfId="10035" priority="13743" stopIfTrue="1" operator="equal">
      <formula>"Napkin Hs"</formula>
    </cfRule>
    <cfRule type="cellIs" dxfId="10034" priority="13744" stopIfTrue="1" operator="equal">
      <formula>"Towel"</formula>
    </cfRule>
    <cfRule type="cellIs" dxfId="10033" priority="13745" stopIfTrue="1" operator="equal">
      <formula>"Napkin Hs"</formula>
    </cfRule>
    <cfRule type="cellIs" dxfId="10032" priority="13746" stopIfTrue="1" operator="equal">
      <formula>"Towel"</formula>
    </cfRule>
    <cfRule type="cellIs" dxfId="10031" priority="13747" stopIfTrue="1" operator="equal">
      <formula>"Napkin Hs"</formula>
    </cfRule>
    <cfRule type="cellIs" dxfId="10030" priority="13748" stopIfTrue="1" operator="equal">
      <formula>"Towel"</formula>
    </cfRule>
    <cfRule type="cellIs" dxfId="10029" priority="13749" stopIfTrue="1" operator="equal">
      <formula>"Napkin Hs"</formula>
    </cfRule>
    <cfRule type="cellIs" dxfId="10028" priority="13750" stopIfTrue="1" operator="equal">
      <formula>"Towel"</formula>
    </cfRule>
    <cfRule type="cellIs" dxfId="10027" priority="13751" stopIfTrue="1" operator="equal">
      <formula>"Napkin Hs"</formula>
    </cfRule>
    <cfRule type="cellIs" dxfId="10026" priority="13752" stopIfTrue="1" operator="equal">
      <formula>"Towel"</formula>
    </cfRule>
    <cfRule type="cellIs" dxfId="10025" priority="13753" stopIfTrue="1" operator="equal">
      <formula>"Napkin Hs"</formula>
    </cfRule>
    <cfRule type="cellIs" dxfId="10024" priority="13755" stopIfTrue="1" operator="equal">
      <formula>"Napkin Hs"</formula>
    </cfRule>
  </conditionalFormatting>
  <conditionalFormatting sqref="B62">
    <cfRule type="cellIs" dxfId="10023" priority="13754" stopIfTrue="1" operator="equal">
      <formula>"Towel"</formula>
    </cfRule>
  </conditionalFormatting>
  <conditionalFormatting sqref="B62">
    <cfRule type="cellIs" dxfId="10022" priority="13723" stopIfTrue="1" operator="equal">
      <formula>"Napkin Hs"</formula>
    </cfRule>
  </conditionalFormatting>
  <conditionalFormatting sqref="B62">
    <cfRule type="cellIs" dxfId="10021" priority="13722" stopIfTrue="1" operator="equal">
      <formula>"Napkin Hs"</formula>
    </cfRule>
  </conditionalFormatting>
  <conditionalFormatting sqref="B62">
    <cfRule type="cellIs" dxfId="10020" priority="13721" stopIfTrue="1" operator="equal">
      <formula>"Napkin Hs"</formula>
    </cfRule>
  </conditionalFormatting>
  <conditionalFormatting sqref="C67:C69">
    <cfRule type="cellIs" dxfId="10019" priority="13717" stopIfTrue="1" operator="equal">
      <formula>"Towel"</formula>
    </cfRule>
    <cfRule type="cellIs" dxfId="10018" priority="13718" stopIfTrue="1" operator="equal">
      <formula>"Napkin Hs"</formula>
    </cfRule>
  </conditionalFormatting>
  <conditionalFormatting sqref="C67:C69">
    <cfRule type="cellIs" dxfId="10017" priority="13719" stopIfTrue="1" operator="equal">
      <formula>"Towel"</formula>
    </cfRule>
    <cfRule type="cellIs" dxfId="10016" priority="13720" stopIfTrue="1" operator="equal">
      <formula>"Napkin Hs"</formula>
    </cfRule>
  </conditionalFormatting>
  <conditionalFormatting sqref="C67:C69">
    <cfRule type="cellIs" dxfId="10015" priority="13715" stopIfTrue="1" operator="equal">
      <formula>"Towel"</formula>
    </cfRule>
    <cfRule type="cellIs" dxfId="10014" priority="13716" stopIfTrue="1" operator="equal">
      <formula>"Napkin Hs"</formula>
    </cfRule>
  </conditionalFormatting>
  <conditionalFormatting sqref="B67:B69">
    <cfRule type="cellIs" dxfId="10013" priority="13713" stopIfTrue="1" operator="equal">
      <formula>"Towel"</formula>
    </cfRule>
    <cfRule type="cellIs" dxfId="10012" priority="13714" stopIfTrue="1" operator="equal">
      <formula>"Napkin Hs"</formula>
    </cfRule>
  </conditionalFormatting>
  <conditionalFormatting sqref="C67:C69">
    <cfRule type="cellIs" dxfId="10011" priority="13707" stopIfTrue="1" operator="equal">
      <formula>"Towel"</formula>
    </cfRule>
    <cfRule type="cellIs" dxfId="10010" priority="13708" stopIfTrue="1" operator="equal">
      <formula>"Napkin Hs"</formula>
    </cfRule>
  </conditionalFormatting>
  <conditionalFormatting sqref="C67:C69">
    <cfRule type="cellIs" dxfId="10009" priority="13711" stopIfTrue="1" operator="equal">
      <formula>"Towel"</formula>
    </cfRule>
    <cfRule type="cellIs" dxfId="10008" priority="13712" stopIfTrue="1" operator="equal">
      <formula>"Napkin Hs"</formula>
    </cfRule>
  </conditionalFormatting>
  <conditionalFormatting sqref="C67:C69">
    <cfRule type="cellIs" dxfId="10007" priority="13709" stopIfTrue="1" operator="equal">
      <formula>"Towel"</formula>
    </cfRule>
    <cfRule type="cellIs" dxfId="10006" priority="13710" stopIfTrue="1" operator="equal">
      <formula>"Napkin Hs"</formula>
    </cfRule>
  </conditionalFormatting>
  <conditionalFormatting sqref="C67:C69">
    <cfRule type="cellIs" dxfId="10005" priority="13701" stopIfTrue="1" operator="equal">
      <formula>"Towel"</formula>
    </cfRule>
    <cfRule type="cellIs" dxfId="10004" priority="13702" stopIfTrue="1" operator="equal">
      <formula>"Napkin Hs"</formula>
    </cfRule>
  </conditionalFormatting>
  <conditionalFormatting sqref="C67:C69">
    <cfRule type="cellIs" dxfId="10003" priority="13703" stopIfTrue="1" operator="equal">
      <formula>"Towel"</formula>
    </cfRule>
    <cfRule type="cellIs" dxfId="10002" priority="13704" stopIfTrue="1" operator="equal">
      <formula>"Napkin Hs"</formula>
    </cfRule>
  </conditionalFormatting>
  <conditionalFormatting sqref="C67:C69">
    <cfRule type="cellIs" dxfId="10001" priority="13705" stopIfTrue="1" operator="equal">
      <formula>"Towel"</formula>
    </cfRule>
    <cfRule type="cellIs" dxfId="10000" priority="13706" stopIfTrue="1" operator="equal">
      <formula>"Napkin Hs"</formula>
    </cfRule>
  </conditionalFormatting>
  <conditionalFormatting sqref="B67:C69">
    <cfRule type="cellIs" dxfId="9999" priority="13699" stopIfTrue="1" operator="equal">
      <formula>"Towel"</formula>
    </cfRule>
    <cfRule type="cellIs" dxfId="9998" priority="13700" stopIfTrue="1" operator="equal">
      <formula>"Napkin Hs"</formula>
    </cfRule>
  </conditionalFormatting>
  <conditionalFormatting sqref="B67:C69">
    <cfRule type="cellIs" dxfId="9997" priority="13697" stopIfTrue="1" operator="equal">
      <formula>"Towel"</formula>
    </cfRule>
    <cfRule type="cellIs" dxfId="9996" priority="13698" stopIfTrue="1" operator="equal">
      <formula>"Napkin Hs"</formula>
    </cfRule>
  </conditionalFormatting>
  <conditionalFormatting sqref="B67:C69">
    <cfRule type="cellIs" dxfId="9995" priority="13673" stopIfTrue="1" operator="equal">
      <formula>"Towel"</formula>
    </cfRule>
  </conditionalFormatting>
  <conditionalFormatting sqref="B67:C69">
    <cfRule type="cellIs" dxfId="9994" priority="13674" stopIfTrue="1" operator="equal">
      <formula>"Napkin Hs"</formula>
    </cfRule>
    <cfRule type="cellIs" dxfId="9993" priority="13679" stopIfTrue="1" operator="equal">
      <formula>"Towel"</formula>
    </cfRule>
    <cfRule type="cellIs" dxfId="9992" priority="13680" stopIfTrue="1" operator="equal">
      <formula>"Napkin Hs"</formula>
    </cfRule>
    <cfRule type="cellIs" dxfId="9991" priority="13689" stopIfTrue="1" operator="equal">
      <formula>"Towel"</formula>
    </cfRule>
    <cfRule type="cellIs" dxfId="9990" priority="13690" stopIfTrue="1" operator="equal">
      <formula>"Napkin Hs"</formula>
    </cfRule>
    <cfRule type="cellIs" dxfId="9989" priority="13695" stopIfTrue="1" operator="equal">
      <formula>"Towel"</formula>
    </cfRule>
    <cfRule type="cellIs" dxfId="9988" priority="13696" stopIfTrue="1" operator="equal">
      <formula>"Napkin Hs"</formula>
    </cfRule>
  </conditionalFormatting>
  <conditionalFormatting sqref="C67:C69">
    <cfRule type="cellIs" dxfId="9987" priority="13675" stopIfTrue="1" operator="equal">
      <formula>"Towel"</formula>
    </cfRule>
    <cfRule type="cellIs" dxfId="9986" priority="13676" stopIfTrue="1" operator="equal">
      <formula>"Napkin Hs"</formula>
    </cfRule>
    <cfRule type="cellIs" dxfId="9985" priority="13677" stopIfTrue="1" operator="equal">
      <formula>"Towel"</formula>
    </cfRule>
    <cfRule type="cellIs" dxfId="9984" priority="13678" stopIfTrue="1" operator="equal">
      <formula>"Napkin Hs"</formula>
    </cfRule>
    <cfRule type="cellIs" dxfId="9983" priority="13681" stopIfTrue="1" operator="equal">
      <formula>"Towel"</formula>
    </cfRule>
    <cfRule type="cellIs" dxfId="9982" priority="13682" stopIfTrue="1" operator="equal">
      <formula>"Napkin Hs"</formula>
    </cfRule>
    <cfRule type="cellIs" dxfId="9981" priority="13683" stopIfTrue="1" operator="equal">
      <formula>"Towel"</formula>
    </cfRule>
    <cfRule type="cellIs" dxfId="9980" priority="13684" stopIfTrue="1" operator="equal">
      <formula>"Napkin Hs"</formula>
    </cfRule>
    <cfRule type="cellIs" dxfId="9979" priority="13685" stopIfTrue="1" operator="equal">
      <formula>"Towel"</formula>
    </cfRule>
    <cfRule type="cellIs" dxfId="9978" priority="13686" stopIfTrue="1" operator="equal">
      <formula>"Napkin Hs"</formula>
    </cfRule>
    <cfRule type="cellIs" dxfId="9977" priority="13687" stopIfTrue="1" operator="equal">
      <formula>"Towel"</formula>
    </cfRule>
    <cfRule type="cellIs" dxfId="9976" priority="13688" stopIfTrue="1" operator="equal">
      <formula>"Napkin Hs"</formula>
    </cfRule>
    <cfRule type="cellIs" dxfId="9975" priority="13691" stopIfTrue="1" operator="equal">
      <formula>"Towel"</formula>
    </cfRule>
    <cfRule type="cellIs" dxfId="9974" priority="13692" stopIfTrue="1" operator="equal">
      <formula>"Napkin Hs"</formula>
    </cfRule>
    <cfRule type="cellIs" dxfId="9973" priority="13694" stopIfTrue="1" operator="equal">
      <formula>"Napkin Hs"</formula>
    </cfRule>
  </conditionalFormatting>
  <conditionalFormatting sqref="C67:C69">
    <cfRule type="cellIs" dxfId="9972" priority="13693" stopIfTrue="1" operator="equal">
      <formula>"Towel"</formula>
    </cfRule>
  </conditionalFormatting>
  <conditionalFormatting sqref="B67:C69">
    <cfRule type="cellIs" dxfId="9971" priority="13671" stopIfTrue="1" operator="equal">
      <formula>"Towel"</formula>
    </cfRule>
    <cfRule type="cellIs" dxfId="9970" priority="13672" stopIfTrue="1" operator="equal">
      <formula>"Napkin Hs"</formula>
    </cfRule>
  </conditionalFormatting>
  <conditionalFormatting sqref="C67:C69">
    <cfRule type="cellIs" dxfId="9969" priority="13670" stopIfTrue="1" operator="equal">
      <formula>"Napkin Hs"</formula>
    </cfRule>
  </conditionalFormatting>
  <conditionalFormatting sqref="C67:C69">
    <cfRule type="cellIs" dxfId="9968" priority="13669" stopIfTrue="1" operator="equal">
      <formula>"Towel"</formula>
    </cfRule>
  </conditionalFormatting>
  <conditionalFormatting sqref="C67:C69">
    <cfRule type="cellIs" dxfId="9967" priority="13667" stopIfTrue="1" operator="equal">
      <formula>"Towel"</formula>
    </cfRule>
  </conditionalFormatting>
  <conditionalFormatting sqref="C67:C69">
    <cfRule type="cellIs" dxfId="9966" priority="13668" stopIfTrue="1" operator="equal">
      <formula>"Napkin Hs"</formula>
    </cfRule>
  </conditionalFormatting>
  <conditionalFormatting sqref="B67:B69">
    <cfRule type="cellIs" dxfId="9965" priority="13571" stopIfTrue="1" operator="equal">
      <formula>"Napkin Hs"</formula>
    </cfRule>
  </conditionalFormatting>
  <conditionalFormatting sqref="B67:C69">
    <cfRule type="cellIs" dxfId="9964" priority="13570" stopIfTrue="1" operator="equal">
      <formula>"Towel"</formula>
    </cfRule>
  </conditionalFormatting>
  <conditionalFormatting sqref="B67:C69">
    <cfRule type="cellIs" dxfId="9963" priority="13581" stopIfTrue="1" operator="equal">
      <formula>"Towel"</formula>
    </cfRule>
    <cfRule type="cellIs" dxfId="9962" priority="13582" stopIfTrue="1" operator="equal">
      <formula>"Napkin Hs"</formula>
    </cfRule>
    <cfRule type="cellIs" dxfId="9961" priority="13587" stopIfTrue="1" operator="equal">
      <formula>"Towel"</formula>
    </cfRule>
    <cfRule type="cellIs" dxfId="9960" priority="13588" stopIfTrue="1" operator="equal">
      <formula>"Napkin Hs"</formula>
    </cfRule>
    <cfRule type="cellIs" dxfId="9959" priority="13593" stopIfTrue="1" operator="equal">
      <formula>"Towel"</formula>
    </cfRule>
    <cfRule type="cellIs" dxfId="9958" priority="13594" stopIfTrue="1" operator="equal">
      <formula>"Napkin Hs"</formula>
    </cfRule>
    <cfRule type="cellIs" dxfId="9957" priority="13595" stopIfTrue="1" operator="equal">
      <formula>"Towel"</formula>
    </cfRule>
    <cfRule type="cellIs" dxfId="9956" priority="13596" stopIfTrue="1" operator="equal">
      <formula>"Napkin Hs"</formula>
    </cfRule>
    <cfRule type="cellIs" dxfId="9955" priority="13601" stopIfTrue="1" operator="equal">
      <formula>"Towel"</formula>
    </cfRule>
    <cfRule type="cellIs" dxfId="9954" priority="13602" stopIfTrue="1" operator="equal">
      <formula>"Napkin Hs"</formula>
    </cfRule>
    <cfRule type="cellIs" dxfId="9953" priority="13611" stopIfTrue="1" operator="equal">
      <formula>"Towel"</formula>
    </cfRule>
    <cfRule type="cellIs" dxfId="9952" priority="13612" stopIfTrue="1" operator="equal">
      <formula>"Napkin Hs"</formula>
    </cfRule>
    <cfRule type="cellIs" dxfId="9951" priority="13617" stopIfTrue="1" operator="equal">
      <formula>"Towel"</formula>
    </cfRule>
    <cfRule type="cellIs" dxfId="9950" priority="13618" stopIfTrue="1" operator="equal">
      <formula>"Napkin Hs"</formula>
    </cfRule>
    <cfRule type="cellIs" dxfId="9949" priority="13619" stopIfTrue="1" operator="equal">
      <formula>"Towel"</formula>
    </cfRule>
    <cfRule type="cellIs" dxfId="9948" priority="13620" stopIfTrue="1" operator="equal">
      <formula>"Napkin Hs"</formula>
    </cfRule>
    <cfRule type="cellIs" dxfId="9947" priority="13625" stopIfTrue="1" operator="equal">
      <formula>"Towel"</formula>
    </cfRule>
    <cfRule type="cellIs" dxfId="9946" priority="13626" stopIfTrue="1" operator="equal">
      <formula>"Napkin Hs"</formula>
    </cfRule>
    <cfRule type="cellIs" dxfId="9945" priority="13635" stopIfTrue="1" operator="equal">
      <formula>"Towel"</formula>
    </cfRule>
    <cfRule type="cellIs" dxfId="9944" priority="13636" stopIfTrue="1" operator="equal">
      <formula>"Napkin Hs"</formula>
    </cfRule>
    <cfRule type="cellIs" dxfId="9943" priority="13637" stopIfTrue="1" operator="equal">
      <formula>"Towel"</formula>
    </cfRule>
    <cfRule type="cellIs" dxfId="9942" priority="13638" stopIfTrue="1" operator="equal">
      <formula>"Napkin Hs"</formula>
    </cfRule>
    <cfRule type="cellIs" dxfId="9941" priority="13643" stopIfTrue="1" operator="equal">
      <formula>"Towel"</formula>
    </cfRule>
    <cfRule type="cellIs" dxfId="9940" priority="13644" stopIfTrue="1" operator="equal">
      <formula>"Napkin Hs"</formula>
    </cfRule>
    <cfRule type="cellIs" dxfId="9939" priority="13653" stopIfTrue="1" operator="equal">
      <formula>"Towel"</formula>
    </cfRule>
    <cfRule type="cellIs" dxfId="9938" priority="13654" stopIfTrue="1" operator="equal">
      <formula>"Napkin Hs"</formula>
    </cfRule>
    <cfRule type="cellIs" dxfId="9937" priority="13655" stopIfTrue="1" operator="equal">
      <formula>"Towel"</formula>
    </cfRule>
    <cfRule type="cellIs" dxfId="9936" priority="13656" stopIfTrue="1" operator="equal">
      <formula>"Napkin Hs"</formula>
    </cfRule>
    <cfRule type="cellIs" dxfId="9935" priority="13662" stopIfTrue="1" operator="equal">
      <formula>"Napkin Hs"</formula>
    </cfRule>
  </conditionalFormatting>
  <conditionalFormatting sqref="B67:C69">
    <cfRule type="cellIs" dxfId="9934" priority="13661" stopIfTrue="1" operator="equal">
      <formula>"Towel"</formula>
    </cfRule>
  </conditionalFormatting>
  <conditionalFormatting sqref="C67:C69">
    <cfRule type="cellIs" dxfId="9933" priority="13572" stopIfTrue="1" operator="equal">
      <formula>"Napkin Hs"</formula>
    </cfRule>
    <cfRule type="cellIs" dxfId="9932" priority="13573" stopIfTrue="1" operator="equal">
      <formula>"Towel"</formula>
    </cfRule>
    <cfRule type="cellIs" dxfId="9931" priority="13574" stopIfTrue="1" operator="equal">
      <formula>"Napkin Hs"</formula>
    </cfRule>
    <cfRule type="cellIs" dxfId="9930" priority="13575" stopIfTrue="1" operator="equal">
      <formula>"Towel"</formula>
    </cfRule>
    <cfRule type="cellIs" dxfId="9929" priority="13576" stopIfTrue="1" operator="equal">
      <formula>"Napkin Hs"</formula>
    </cfRule>
    <cfRule type="cellIs" dxfId="9928" priority="13577" stopIfTrue="1" operator="equal">
      <formula>"Towel"</formula>
    </cfRule>
    <cfRule type="cellIs" dxfId="9927" priority="13578" stopIfTrue="1" operator="equal">
      <formula>"Napkin Hs"</formula>
    </cfRule>
    <cfRule type="cellIs" dxfId="9926" priority="13579" stopIfTrue="1" operator="equal">
      <formula>"Towel"</formula>
    </cfRule>
    <cfRule type="cellIs" dxfId="9925" priority="13580" stopIfTrue="1" operator="equal">
      <formula>"Napkin Hs"</formula>
    </cfRule>
    <cfRule type="cellIs" dxfId="9924" priority="13583" stopIfTrue="1" operator="equal">
      <formula>"Towel"</formula>
    </cfRule>
    <cfRule type="cellIs" dxfId="9923" priority="13584" stopIfTrue="1" operator="equal">
      <formula>"Napkin Hs"</formula>
    </cfRule>
    <cfRule type="cellIs" dxfId="9922" priority="13585" stopIfTrue="1" operator="equal">
      <formula>"Towel"</formula>
    </cfRule>
    <cfRule type="cellIs" dxfId="9921" priority="13586" stopIfTrue="1" operator="equal">
      <formula>"Napkin Hs"</formula>
    </cfRule>
    <cfRule type="cellIs" dxfId="9920" priority="13589" stopIfTrue="1" operator="equal">
      <formula>"Towel"</formula>
    </cfRule>
    <cfRule type="cellIs" dxfId="9919" priority="13590" stopIfTrue="1" operator="equal">
      <formula>"Napkin Hs"</formula>
    </cfRule>
    <cfRule type="cellIs" dxfId="9918" priority="13591" stopIfTrue="1" operator="equal">
      <formula>"Towel"</formula>
    </cfRule>
    <cfRule type="cellIs" dxfId="9917" priority="13592" stopIfTrue="1" operator="equal">
      <formula>"Napkin Hs"</formula>
    </cfRule>
    <cfRule type="cellIs" dxfId="9916" priority="13597" stopIfTrue="1" operator="equal">
      <formula>"Towel"</formula>
    </cfRule>
    <cfRule type="cellIs" dxfId="9915" priority="13598" stopIfTrue="1" operator="equal">
      <formula>"Napkin Hs"</formula>
    </cfRule>
    <cfRule type="cellIs" dxfId="9914" priority="13599" stopIfTrue="1" operator="equal">
      <formula>"Towel"</formula>
    </cfRule>
    <cfRule type="cellIs" dxfId="9913" priority="13600" stopIfTrue="1" operator="equal">
      <formula>"Napkin Hs"</formula>
    </cfRule>
    <cfRule type="cellIs" dxfId="9912" priority="13603" stopIfTrue="1" operator="equal">
      <formula>"Towel"</formula>
    </cfRule>
    <cfRule type="cellIs" dxfId="9911" priority="13604" stopIfTrue="1" operator="equal">
      <formula>"Napkin Hs"</formula>
    </cfRule>
    <cfRule type="cellIs" dxfId="9910" priority="13605" stopIfTrue="1" operator="equal">
      <formula>"Towel"</formula>
    </cfRule>
    <cfRule type="cellIs" dxfId="9909" priority="13606" stopIfTrue="1" operator="equal">
      <formula>"Napkin Hs"</formula>
    </cfRule>
    <cfRule type="cellIs" dxfId="9908" priority="13607" stopIfTrue="1" operator="equal">
      <formula>"Towel"</formula>
    </cfRule>
    <cfRule type="cellIs" dxfId="9907" priority="13608" stopIfTrue="1" operator="equal">
      <formula>"Napkin Hs"</formula>
    </cfRule>
    <cfRule type="cellIs" dxfId="9906" priority="13609" stopIfTrue="1" operator="equal">
      <formula>"Towel"</formula>
    </cfRule>
    <cfRule type="cellIs" dxfId="9905" priority="13610" stopIfTrue="1" operator="equal">
      <formula>"Napkin Hs"</formula>
    </cfRule>
    <cfRule type="cellIs" dxfId="9904" priority="13613" stopIfTrue="1" operator="equal">
      <formula>"Towel"</formula>
    </cfRule>
    <cfRule type="cellIs" dxfId="9903" priority="13614" stopIfTrue="1" operator="equal">
      <formula>"Napkin Hs"</formula>
    </cfRule>
    <cfRule type="cellIs" dxfId="9902" priority="13615" stopIfTrue="1" operator="equal">
      <formula>"Towel"</formula>
    </cfRule>
    <cfRule type="cellIs" dxfId="9901" priority="13616" stopIfTrue="1" operator="equal">
      <formula>"Napkin Hs"</formula>
    </cfRule>
    <cfRule type="cellIs" dxfId="9900" priority="13621" stopIfTrue="1" operator="equal">
      <formula>"Towel"</formula>
    </cfRule>
    <cfRule type="cellIs" dxfId="9899" priority="13622" stopIfTrue="1" operator="equal">
      <formula>"Napkin Hs"</formula>
    </cfRule>
    <cfRule type="cellIs" dxfId="9898" priority="13623" stopIfTrue="1" operator="equal">
      <formula>"Towel"</formula>
    </cfRule>
    <cfRule type="cellIs" dxfId="9897" priority="13624" stopIfTrue="1" operator="equal">
      <formula>"Napkin Hs"</formula>
    </cfRule>
    <cfRule type="cellIs" dxfId="9896" priority="13627" stopIfTrue="1" operator="equal">
      <formula>"Towel"</formula>
    </cfRule>
    <cfRule type="cellIs" dxfId="9895" priority="13628" stopIfTrue="1" operator="equal">
      <formula>"Napkin Hs"</formula>
    </cfRule>
    <cfRule type="cellIs" dxfId="9894" priority="13629" stopIfTrue="1" operator="equal">
      <formula>"Towel"</formula>
    </cfRule>
    <cfRule type="cellIs" dxfId="9893" priority="13630" stopIfTrue="1" operator="equal">
      <formula>"Napkin Hs"</formula>
    </cfRule>
    <cfRule type="cellIs" dxfId="9892" priority="13631" stopIfTrue="1" operator="equal">
      <formula>"Towel"</formula>
    </cfRule>
    <cfRule type="cellIs" dxfId="9891" priority="13632" stopIfTrue="1" operator="equal">
      <formula>"Napkin Hs"</formula>
    </cfRule>
    <cfRule type="cellIs" dxfId="9890" priority="13633" stopIfTrue="1" operator="equal">
      <formula>"Towel"</formula>
    </cfRule>
    <cfRule type="cellIs" dxfId="9889" priority="13634" stopIfTrue="1" operator="equal">
      <formula>"Napkin Hs"</formula>
    </cfRule>
    <cfRule type="cellIs" dxfId="9888" priority="13639" stopIfTrue="1" operator="equal">
      <formula>"Towel"</formula>
    </cfRule>
    <cfRule type="cellIs" dxfId="9887" priority="13640" stopIfTrue="1" operator="equal">
      <formula>"Napkin Hs"</formula>
    </cfRule>
    <cfRule type="cellIs" dxfId="9886" priority="13641" stopIfTrue="1" operator="equal">
      <formula>"Towel"</formula>
    </cfRule>
    <cfRule type="cellIs" dxfId="9885" priority="13642" stopIfTrue="1" operator="equal">
      <formula>"Napkin Hs"</formula>
    </cfRule>
    <cfRule type="cellIs" dxfId="9884" priority="13645" stopIfTrue="1" operator="equal">
      <formula>"Towel"</formula>
    </cfRule>
    <cfRule type="cellIs" dxfId="9883" priority="13646" stopIfTrue="1" operator="equal">
      <formula>"Napkin Hs"</formula>
    </cfRule>
    <cfRule type="cellIs" dxfId="9882" priority="13647" stopIfTrue="1" operator="equal">
      <formula>"Towel"</formula>
    </cfRule>
    <cfRule type="cellIs" dxfId="9881" priority="13648" stopIfTrue="1" operator="equal">
      <formula>"Napkin Hs"</formula>
    </cfRule>
    <cfRule type="cellIs" dxfId="9880" priority="13649" stopIfTrue="1" operator="equal">
      <formula>"Towel"</formula>
    </cfRule>
    <cfRule type="cellIs" dxfId="9879" priority="13650" stopIfTrue="1" operator="equal">
      <formula>"Napkin Hs"</formula>
    </cfRule>
    <cfRule type="cellIs" dxfId="9878" priority="13651" stopIfTrue="1" operator="equal">
      <formula>"Towel"</formula>
    </cfRule>
    <cfRule type="cellIs" dxfId="9877" priority="13652" stopIfTrue="1" operator="equal">
      <formula>"Napkin Hs"</formula>
    </cfRule>
    <cfRule type="cellIs" dxfId="9876" priority="13657" stopIfTrue="1" operator="equal">
      <formula>"Towel"</formula>
    </cfRule>
    <cfRule type="cellIs" dxfId="9875" priority="13658" stopIfTrue="1" operator="equal">
      <formula>"Napkin Hs"</formula>
    </cfRule>
    <cfRule type="cellIs" dxfId="9874" priority="13659" stopIfTrue="1" operator="equal">
      <formula>"Towel"</formula>
    </cfRule>
    <cfRule type="cellIs" dxfId="9873" priority="13660" stopIfTrue="1" operator="equal">
      <formula>"Napkin Hs"</formula>
    </cfRule>
    <cfRule type="cellIs" dxfId="9872" priority="13663" stopIfTrue="1" operator="equal">
      <formula>"Towel"</formula>
    </cfRule>
    <cfRule type="cellIs" dxfId="9871" priority="13664" stopIfTrue="1" operator="equal">
      <formula>"Napkin Hs"</formula>
    </cfRule>
    <cfRule type="cellIs" dxfId="9870" priority="13665" stopIfTrue="1" operator="equal">
      <formula>"Towel"</formula>
    </cfRule>
    <cfRule type="cellIs" dxfId="9869" priority="13666" stopIfTrue="1" operator="equal">
      <formula>"Napkin Hs"</formula>
    </cfRule>
  </conditionalFormatting>
  <conditionalFormatting sqref="C67:C69">
    <cfRule type="cellIs" dxfId="9868" priority="13569" stopIfTrue="1" operator="equal">
      <formula>"Napkin Hs"</formula>
    </cfRule>
  </conditionalFormatting>
  <conditionalFormatting sqref="C67:C69">
    <cfRule type="cellIs" dxfId="9867" priority="13568" stopIfTrue="1" operator="equal">
      <formula>"Napkin Hs"</formula>
    </cfRule>
  </conditionalFormatting>
  <conditionalFormatting sqref="B67:B69">
    <cfRule type="cellIs" dxfId="9866" priority="13567" stopIfTrue="1" operator="equal">
      <formula>"Napkin Hs"</formula>
    </cfRule>
  </conditionalFormatting>
  <conditionalFormatting sqref="C67:C69">
    <cfRule type="cellIs" dxfId="9865" priority="13566" stopIfTrue="1" operator="equal">
      <formula>"Napkin Hs"</formula>
    </cfRule>
  </conditionalFormatting>
  <conditionalFormatting sqref="C67:C69">
    <cfRule type="cellIs" dxfId="9864" priority="13565" stopIfTrue="1" operator="equal">
      <formula>"Napkin Hs"</formula>
    </cfRule>
  </conditionalFormatting>
  <conditionalFormatting sqref="C67:C69">
    <cfRule type="cellIs" dxfId="9863" priority="13564" stopIfTrue="1" operator="equal">
      <formula>"Napkin Hs"</formula>
    </cfRule>
  </conditionalFormatting>
  <conditionalFormatting sqref="C67:C69">
    <cfRule type="cellIs" dxfId="9862" priority="13563" stopIfTrue="1" operator="equal">
      <formula>"Napkin Hs"</formula>
    </cfRule>
  </conditionalFormatting>
  <conditionalFormatting sqref="B67:B69">
    <cfRule type="cellIs" dxfId="9861" priority="13562" stopIfTrue="1" operator="equal">
      <formula>"Napkin Hs"</formula>
    </cfRule>
  </conditionalFormatting>
  <conditionalFormatting sqref="B67:B69">
    <cfRule type="cellIs" dxfId="9860" priority="13561" stopIfTrue="1" operator="equal">
      <formula>"Napkin Hs"</formula>
    </cfRule>
  </conditionalFormatting>
  <conditionalFormatting sqref="C67:C69">
    <cfRule type="cellIs" dxfId="9859" priority="13557" stopIfTrue="1" operator="equal">
      <formula>"Towel"</formula>
    </cfRule>
    <cfRule type="cellIs" dxfId="9858" priority="13558" stopIfTrue="1" operator="equal">
      <formula>"Napkin Hs"</formula>
    </cfRule>
  </conditionalFormatting>
  <conditionalFormatting sqref="C67:C69">
    <cfRule type="cellIs" dxfId="9857" priority="13559" stopIfTrue="1" operator="equal">
      <formula>"Towel"</formula>
    </cfRule>
    <cfRule type="cellIs" dxfId="9856" priority="13560" stopIfTrue="1" operator="equal">
      <formula>"Napkin Hs"</formula>
    </cfRule>
  </conditionalFormatting>
  <conditionalFormatting sqref="C67:C69">
    <cfRule type="cellIs" dxfId="9855" priority="13553" stopIfTrue="1" operator="equal">
      <formula>"Towel"</formula>
    </cfRule>
    <cfRule type="cellIs" dxfId="9854" priority="13554" stopIfTrue="1" operator="equal">
      <formula>"Napkin Hs"</formula>
    </cfRule>
  </conditionalFormatting>
  <conditionalFormatting sqref="C67:C69">
    <cfRule type="cellIs" dxfId="9853" priority="13555" stopIfTrue="1" operator="equal">
      <formula>"Towel"</formula>
    </cfRule>
    <cfRule type="cellIs" dxfId="9852" priority="13556" stopIfTrue="1" operator="equal">
      <formula>"Napkin Hs"</formula>
    </cfRule>
  </conditionalFormatting>
  <conditionalFormatting sqref="C66">
    <cfRule type="cellIs" dxfId="9851" priority="13549" stopIfTrue="1" operator="equal">
      <formula>"Towel"</formula>
    </cfRule>
    <cfRule type="cellIs" dxfId="9850" priority="13550" stopIfTrue="1" operator="equal">
      <formula>"Napkin Hs"</formula>
    </cfRule>
  </conditionalFormatting>
  <conditionalFormatting sqref="C66">
    <cfRule type="cellIs" dxfId="9849" priority="13551" stopIfTrue="1" operator="equal">
      <formula>"Towel"</formula>
    </cfRule>
    <cfRule type="cellIs" dxfId="9848" priority="13552" stopIfTrue="1" operator="equal">
      <formula>"Napkin Hs"</formula>
    </cfRule>
  </conditionalFormatting>
  <conditionalFormatting sqref="C66">
    <cfRule type="cellIs" dxfId="9847" priority="13547" stopIfTrue="1" operator="equal">
      <formula>"Towel"</formula>
    </cfRule>
    <cfRule type="cellIs" dxfId="9846" priority="13548" stopIfTrue="1" operator="equal">
      <formula>"Napkin Hs"</formula>
    </cfRule>
  </conditionalFormatting>
  <conditionalFormatting sqref="C66">
    <cfRule type="cellIs" dxfId="9845" priority="13541" stopIfTrue="1" operator="equal">
      <formula>"Towel"</formula>
    </cfRule>
    <cfRule type="cellIs" dxfId="9844" priority="13542" stopIfTrue="1" operator="equal">
      <formula>"Napkin Hs"</formula>
    </cfRule>
  </conditionalFormatting>
  <conditionalFormatting sqref="C66">
    <cfRule type="cellIs" dxfId="9843" priority="13545" stopIfTrue="1" operator="equal">
      <formula>"Towel"</formula>
    </cfRule>
    <cfRule type="cellIs" dxfId="9842" priority="13546" stopIfTrue="1" operator="equal">
      <formula>"Napkin Hs"</formula>
    </cfRule>
  </conditionalFormatting>
  <conditionalFormatting sqref="C66">
    <cfRule type="cellIs" dxfId="9841" priority="13543" stopIfTrue="1" operator="equal">
      <formula>"Towel"</formula>
    </cfRule>
    <cfRule type="cellIs" dxfId="9840" priority="13544" stopIfTrue="1" operator="equal">
      <formula>"Napkin Hs"</formula>
    </cfRule>
  </conditionalFormatting>
  <conditionalFormatting sqref="C66">
    <cfRule type="cellIs" dxfId="9839" priority="13535" stopIfTrue="1" operator="equal">
      <formula>"Towel"</formula>
    </cfRule>
    <cfRule type="cellIs" dxfId="9838" priority="13536" stopIfTrue="1" operator="equal">
      <formula>"Napkin Hs"</formula>
    </cfRule>
  </conditionalFormatting>
  <conditionalFormatting sqref="C66">
    <cfRule type="cellIs" dxfId="9837" priority="13537" stopIfTrue="1" operator="equal">
      <formula>"Towel"</formula>
    </cfRule>
    <cfRule type="cellIs" dxfId="9836" priority="13538" stopIfTrue="1" operator="equal">
      <formula>"Napkin Hs"</formula>
    </cfRule>
  </conditionalFormatting>
  <conditionalFormatting sqref="C66">
    <cfRule type="cellIs" dxfId="9835" priority="13539" stopIfTrue="1" operator="equal">
      <formula>"Towel"</formula>
    </cfRule>
    <cfRule type="cellIs" dxfId="9834" priority="13540" stopIfTrue="1" operator="equal">
      <formula>"Napkin Hs"</formula>
    </cfRule>
  </conditionalFormatting>
  <conditionalFormatting sqref="C66">
    <cfRule type="cellIs" dxfId="9833" priority="13533" stopIfTrue="1" operator="equal">
      <formula>"Towel"</formula>
    </cfRule>
    <cfRule type="cellIs" dxfId="9832" priority="13534" stopIfTrue="1" operator="equal">
      <formula>"Napkin Hs"</formula>
    </cfRule>
  </conditionalFormatting>
  <conditionalFormatting sqref="C66">
    <cfRule type="cellIs" dxfId="9831" priority="13531" stopIfTrue="1" operator="equal">
      <formula>"Towel"</formula>
    </cfRule>
    <cfRule type="cellIs" dxfId="9830" priority="13532" stopIfTrue="1" operator="equal">
      <formula>"Napkin Hs"</formula>
    </cfRule>
  </conditionalFormatting>
  <conditionalFormatting sqref="C66">
    <cfRule type="cellIs" dxfId="9829" priority="13507" stopIfTrue="1" operator="equal">
      <formula>"Towel"</formula>
    </cfRule>
  </conditionalFormatting>
  <conditionalFormatting sqref="C66">
    <cfRule type="cellIs" dxfId="9828" priority="13508" stopIfTrue="1" operator="equal">
      <formula>"Napkin Hs"</formula>
    </cfRule>
    <cfRule type="cellIs" dxfId="9827" priority="13513" stopIfTrue="1" operator="equal">
      <formula>"Towel"</formula>
    </cfRule>
    <cfRule type="cellIs" dxfId="9826" priority="13514" stopIfTrue="1" operator="equal">
      <formula>"Napkin Hs"</formula>
    </cfRule>
    <cfRule type="cellIs" dxfId="9825" priority="13523" stopIfTrue="1" operator="equal">
      <formula>"Towel"</formula>
    </cfRule>
    <cfRule type="cellIs" dxfId="9824" priority="13524" stopIfTrue="1" operator="equal">
      <formula>"Napkin Hs"</formula>
    </cfRule>
    <cfRule type="cellIs" dxfId="9823" priority="13529" stopIfTrue="1" operator="equal">
      <formula>"Towel"</formula>
    </cfRule>
    <cfRule type="cellIs" dxfId="9822" priority="13530" stopIfTrue="1" operator="equal">
      <formula>"Napkin Hs"</formula>
    </cfRule>
  </conditionalFormatting>
  <conditionalFormatting sqref="C66">
    <cfRule type="cellIs" dxfId="9821" priority="13509" stopIfTrue="1" operator="equal">
      <formula>"Towel"</formula>
    </cfRule>
    <cfRule type="cellIs" dxfId="9820" priority="13510" stopIfTrue="1" operator="equal">
      <formula>"Napkin Hs"</formula>
    </cfRule>
    <cfRule type="cellIs" dxfId="9819" priority="13511" stopIfTrue="1" operator="equal">
      <formula>"Towel"</formula>
    </cfRule>
    <cfRule type="cellIs" dxfId="9818" priority="13512" stopIfTrue="1" operator="equal">
      <formula>"Napkin Hs"</formula>
    </cfRule>
    <cfRule type="cellIs" dxfId="9817" priority="13515" stopIfTrue="1" operator="equal">
      <formula>"Towel"</formula>
    </cfRule>
    <cfRule type="cellIs" dxfId="9816" priority="13516" stopIfTrue="1" operator="equal">
      <formula>"Napkin Hs"</formula>
    </cfRule>
    <cfRule type="cellIs" dxfId="9815" priority="13517" stopIfTrue="1" operator="equal">
      <formula>"Towel"</formula>
    </cfRule>
    <cfRule type="cellIs" dxfId="9814" priority="13518" stopIfTrue="1" operator="equal">
      <formula>"Napkin Hs"</formula>
    </cfRule>
    <cfRule type="cellIs" dxfId="9813" priority="13519" stopIfTrue="1" operator="equal">
      <formula>"Towel"</formula>
    </cfRule>
    <cfRule type="cellIs" dxfId="9812" priority="13520" stopIfTrue="1" operator="equal">
      <formula>"Napkin Hs"</formula>
    </cfRule>
    <cfRule type="cellIs" dxfId="9811" priority="13521" stopIfTrue="1" operator="equal">
      <formula>"Towel"</formula>
    </cfRule>
    <cfRule type="cellIs" dxfId="9810" priority="13522" stopIfTrue="1" operator="equal">
      <formula>"Napkin Hs"</formula>
    </cfRule>
    <cfRule type="cellIs" dxfId="9809" priority="13525" stopIfTrue="1" operator="equal">
      <formula>"Towel"</formula>
    </cfRule>
    <cfRule type="cellIs" dxfId="9808" priority="13526" stopIfTrue="1" operator="equal">
      <formula>"Napkin Hs"</formula>
    </cfRule>
    <cfRule type="cellIs" dxfId="9807" priority="13528" stopIfTrue="1" operator="equal">
      <formula>"Napkin Hs"</formula>
    </cfRule>
  </conditionalFormatting>
  <conditionalFormatting sqref="C66">
    <cfRule type="cellIs" dxfId="9806" priority="13527" stopIfTrue="1" operator="equal">
      <formula>"Towel"</formula>
    </cfRule>
  </conditionalFormatting>
  <conditionalFormatting sqref="C66">
    <cfRule type="cellIs" dxfId="9805" priority="13505" stopIfTrue="1" operator="equal">
      <formula>"Towel"</formula>
    </cfRule>
    <cfRule type="cellIs" dxfId="9804" priority="13506" stopIfTrue="1" operator="equal">
      <formula>"Napkin Hs"</formula>
    </cfRule>
  </conditionalFormatting>
  <conditionalFormatting sqref="C66">
    <cfRule type="cellIs" dxfId="9803" priority="13504" stopIfTrue="1" operator="equal">
      <formula>"Napkin Hs"</formula>
    </cfRule>
  </conditionalFormatting>
  <conditionalFormatting sqref="C66">
    <cfRule type="cellIs" dxfId="9802" priority="13503" stopIfTrue="1" operator="equal">
      <formula>"Towel"</formula>
    </cfRule>
  </conditionalFormatting>
  <conditionalFormatting sqref="C66">
    <cfRule type="cellIs" dxfId="9801" priority="13501" stopIfTrue="1" operator="equal">
      <formula>"Towel"</formula>
    </cfRule>
  </conditionalFormatting>
  <conditionalFormatting sqref="C66">
    <cfRule type="cellIs" dxfId="9800" priority="13502" stopIfTrue="1" operator="equal">
      <formula>"Napkin Hs"</formula>
    </cfRule>
  </conditionalFormatting>
  <conditionalFormatting sqref="C66">
    <cfRule type="cellIs" dxfId="9799" priority="13405" stopIfTrue="1" operator="equal">
      <formula>"Towel"</formula>
    </cfRule>
  </conditionalFormatting>
  <conditionalFormatting sqref="C66">
    <cfRule type="cellIs" dxfId="9798" priority="13415" stopIfTrue="1" operator="equal">
      <formula>"Towel"</formula>
    </cfRule>
    <cfRule type="cellIs" dxfId="9797" priority="13416" stopIfTrue="1" operator="equal">
      <formula>"Napkin Hs"</formula>
    </cfRule>
    <cfRule type="cellIs" dxfId="9796" priority="13421" stopIfTrue="1" operator="equal">
      <formula>"Towel"</formula>
    </cfRule>
    <cfRule type="cellIs" dxfId="9795" priority="13422" stopIfTrue="1" operator="equal">
      <formula>"Napkin Hs"</formula>
    </cfRule>
    <cfRule type="cellIs" dxfId="9794" priority="13427" stopIfTrue="1" operator="equal">
      <formula>"Towel"</formula>
    </cfRule>
    <cfRule type="cellIs" dxfId="9793" priority="13428" stopIfTrue="1" operator="equal">
      <formula>"Napkin Hs"</formula>
    </cfRule>
    <cfRule type="cellIs" dxfId="9792" priority="13429" stopIfTrue="1" operator="equal">
      <formula>"Towel"</formula>
    </cfRule>
    <cfRule type="cellIs" dxfId="9791" priority="13430" stopIfTrue="1" operator="equal">
      <formula>"Napkin Hs"</formula>
    </cfRule>
    <cfRule type="cellIs" dxfId="9790" priority="13435" stopIfTrue="1" operator="equal">
      <formula>"Towel"</formula>
    </cfRule>
    <cfRule type="cellIs" dxfId="9789" priority="13436" stopIfTrue="1" operator="equal">
      <formula>"Napkin Hs"</formula>
    </cfRule>
    <cfRule type="cellIs" dxfId="9788" priority="13445" stopIfTrue="1" operator="equal">
      <formula>"Towel"</formula>
    </cfRule>
    <cfRule type="cellIs" dxfId="9787" priority="13446" stopIfTrue="1" operator="equal">
      <formula>"Napkin Hs"</formula>
    </cfRule>
    <cfRule type="cellIs" dxfId="9786" priority="13451" stopIfTrue="1" operator="equal">
      <formula>"Towel"</formula>
    </cfRule>
    <cfRule type="cellIs" dxfId="9785" priority="13452" stopIfTrue="1" operator="equal">
      <formula>"Napkin Hs"</formula>
    </cfRule>
    <cfRule type="cellIs" dxfId="9784" priority="13453" stopIfTrue="1" operator="equal">
      <formula>"Towel"</formula>
    </cfRule>
    <cfRule type="cellIs" dxfId="9783" priority="13454" stopIfTrue="1" operator="equal">
      <formula>"Napkin Hs"</formula>
    </cfRule>
    <cfRule type="cellIs" dxfId="9782" priority="13459" stopIfTrue="1" operator="equal">
      <formula>"Towel"</formula>
    </cfRule>
    <cfRule type="cellIs" dxfId="9781" priority="13460" stopIfTrue="1" operator="equal">
      <formula>"Napkin Hs"</formula>
    </cfRule>
    <cfRule type="cellIs" dxfId="9780" priority="13469" stopIfTrue="1" operator="equal">
      <formula>"Towel"</formula>
    </cfRule>
    <cfRule type="cellIs" dxfId="9779" priority="13470" stopIfTrue="1" operator="equal">
      <formula>"Napkin Hs"</formula>
    </cfRule>
    <cfRule type="cellIs" dxfId="9778" priority="13471" stopIfTrue="1" operator="equal">
      <formula>"Towel"</formula>
    </cfRule>
    <cfRule type="cellIs" dxfId="9777" priority="13472" stopIfTrue="1" operator="equal">
      <formula>"Napkin Hs"</formula>
    </cfRule>
    <cfRule type="cellIs" dxfId="9776" priority="13477" stopIfTrue="1" operator="equal">
      <formula>"Towel"</formula>
    </cfRule>
    <cfRule type="cellIs" dxfId="9775" priority="13478" stopIfTrue="1" operator="equal">
      <formula>"Napkin Hs"</formula>
    </cfRule>
    <cfRule type="cellIs" dxfId="9774" priority="13487" stopIfTrue="1" operator="equal">
      <formula>"Towel"</formula>
    </cfRule>
    <cfRule type="cellIs" dxfId="9773" priority="13488" stopIfTrue="1" operator="equal">
      <formula>"Napkin Hs"</formula>
    </cfRule>
    <cfRule type="cellIs" dxfId="9772" priority="13489" stopIfTrue="1" operator="equal">
      <formula>"Towel"</formula>
    </cfRule>
    <cfRule type="cellIs" dxfId="9771" priority="13490" stopIfTrue="1" operator="equal">
      <formula>"Napkin Hs"</formula>
    </cfRule>
    <cfRule type="cellIs" dxfId="9770" priority="13496" stopIfTrue="1" operator="equal">
      <formula>"Napkin Hs"</formula>
    </cfRule>
  </conditionalFormatting>
  <conditionalFormatting sqref="C66">
    <cfRule type="cellIs" dxfId="9769" priority="13495" stopIfTrue="1" operator="equal">
      <formula>"Towel"</formula>
    </cfRule>
  </conditionalFormatting>
  <conditionalFormatting sqref="C66">
    <cfRule type="cellIs" dxfId="9768" priority="13406" stopIfTrue="1" operator="equal">
      <formula>"Napkin Hs"</formula>
    </cfRule>
    <cfRule type="cellIs" dxfId="9767" priority="13407" stopIfTrue="1" operator="equal">
      <formula>"Towel"</formula>
    </cfRule>
    <cfRule type="cellIs" dxfId="9766" priority="13408" stopIfTrue="1" operator="equal">
      <formula>"Napkin Hs"</formula>
    </cfRule>
    <cfRule type="cellIs" dxfId="9765" priority="13409" stopIfTrue="1" operator="equal">
      <formula>"Towel"</formula>
    </cfRule>
    <cfRule type="cellIs" dxfId="9764" priority="13410" stopIfTrue="1" operator="equal">
      <formula>"Napkin Hs"</formula>
    </cfRule>
    <cfRule type="cellIs" dxfId="9763" priority="13411" stopIfTrue="1" operator="equal">
      <formula>"Towel"</formula>
    </cfRule>
    <cfRule type="cellIs" dxfId="9762" priority="13412" stopIfTrue="1" operator="equal">
      <formula>"Napkin Hs"</formula>
    </cfRule>
    <cfRule type="cellIs" dxfId="9761" priority="13413" stopIfTrue="1" operator="equal">
      <formula>"Towel"</formula>
    </cfRule>
    <cfRule type="cellIs" dxfId="9760" priority="13414" stopIfTrue="1" operator="equal">
      <formula>"Napkin Hs"</formula>
    </cfRule>
    <cfRule type="cellIs" dxfId="9759" priority="13417" stopIfTrue="1" operator="equal">
      <formula>"Towel"</formula>
    </cfRule>
    <cfRule type="cellIs" dxfId="9758" priority="13418" stopIfTrue="1" operator="equal">
      <formula>"Napkin Hs"</formula>
    </cfRule>
    <cfRule type="cellIs" dxfId="9757" priority="13419" stopIfTrue="1" operator="equal">
      <formula>"Towel"</formula>
    </cfRule>
    <cfRule type="cellIs" dxfId="9756" priority="13420" stopIfTrue="1" operator="equal">
      <formula>"Napkin Hs"</formula>
    </cfRule>
    <cfRule type="cellIs" dxfId="9755" priority="13423" stopIfTrue="1" operator="equal">
      <formula>"Towel"</formula>
    </cfRule>
    <cfRule type="cellIs" dxfId="9754" priority="13424" stopIfTrue="1" operator="equal">
      <formula>"Napkin Hs"</formula>
    </cfRule>
    <cfRule type="cellIs" dxfId="9753" priority="13425" stopIfTrue="1" operator="equal">
      <formula>"Towel"</formula>
    </cfRule>
    <cfRule type="cellIs" dxfId="9752" priority="13426" stopIfTrue="1" operator="equal">
      <formula>"Napkin Hs"</formula>
    </cfRule>
    <cfRule type="cellIs" dxfId="9751" priority="13431" stopIfTrue="1" operator="equal">
      <formula>"Towel"</formula>
    </cfRule>
    <cfRule type="cellIs" dxfId="9750" priority="13432" stopIfTrue="1" operator="equal">
      <formula>"Napkin Hs"</formula>
    </cfRule>
    <cfRule type="cellIs" dxfId="9749" priority="13433" stopIfTrue="1" operator="equal">
      <formula>"Towel"</formula>
    </cfRule>
    <cfRule type="cellIs" dxfId="9748" priority="13434" stopIfTrue="1" operator="equal">
      <formula>"Napkin Hs"</formula>
    </cfRule>
    <cfRule type="cellIs" dxfId="9747" priority="13437" stopIfTrue="1" operator="equal">
      <formula>"Towel"</formula>
    </cfRule>
    <cfRule type="cellIs" dxfId="9746" priority="13438" stopIfTrue="1" operator="equal">
      <formula>"Napkin Hs"</formula>
    </cfRule>
    <cfRule type="cellIs" dxfId="9745" priority="13439" stopIfTrue="1" operator="equal">
      <formula>"Towel"</formula>
    </cfRule>
    <cfRule type="cellIs" dxfId="9744" priority="13440" stopIfTrue="1" operator="equal">
      <formula>"Napkin Hs"</formula>
    </cfRule>
    <cfRule type="cellIs" dxfId="9743" priority="13441" stopIfTrue="1" operator="equal">
      <formula>"Towel"</formula>
    </cfRule>
    <cfRule type="cellIs" dxfId="9742" priority="13442" stopIfTrue="1" operator="equal">
      <formula>"Napkin Hs"</formula>
    </cfRule>
    <cfRule type="cellIs" dxfId="9741" priority="13443" stopIfTrue="1" operator="equal">
      <formula>"Towel"</formula>
    </cfRule>
    <cfRule type="cellIs" dxfId="9740" priority="13444" stopIfTrue="1" operator="equal">
      <formula>"Napkin Hs"</formula>
    </cfRule>
    <cfRule type="cellIs" dxfId="9739" priority="13447" stopIfTrue="1" operator="equal">
      <formula>"Towel"</formula>
    </cfRule>
    <cfRule type="cellIs" dxfId="9738" priority="13448" stopIfTrue="1" operator="equal">
      <formula>"Napkin Hs"</formula>
    </cfRule>
    <cfRule type="cellIs" dxfId="9737" priority="13449" stopIfTrue="1" operator="equal">
      <formula>"Towel"</formula>
    </cfRule>
    <cfRule type="cellIs" dxfId="9736" priority="13450" stopIfTrue="1" operator="equal">
      <formula>"Napkin Hs"</formula>
    </cfRule>
    <cfRule type="cellIs" dxfId="9735" priority="13455" stopIfTrue="1" operator="equal">
      <formula>"Towel"</formula>
    </cfRule>
    <cfRule type="cellIs" dxfId="9734" priority="13456" stopIfTrue="1" operator="equal">
      <formula>"Napkin Hs"</formula>
    </cfRule>
    <cfRule type="cellIs" dxfId="9733" priority="13457" stopIfTrue="1" operator="equal">
      <formula>"Towel"</formula>
    </cfRule>
    <cfRule type="cellIs" dxfId="9732" priority="13458" stopIfTrue="1" operator="equal">
      <formula>"Napkin Hs"</formula>
    </cfRule>
    <cfRule type="cellIs" dxfId="9731" priority="13461" stopIfTrue="1" operator="equal">
      <formula>"Towel"</formula>
    </cfRule>
    <cfRule type="cellIs" dxfId="9730" priority="13462" stopIfTrue="1" operator="equal">
      <formula>"Napkin Hs"</formula>
    </cfRule>
    <cfRule type="cellIs" dxfId="9729" priority="13463" stopIfTrue="1" operator="equal">
      <formula>"Towel"</formula>
    </cfRule>
    <cfRule type="cellIs" dxfId="9728" priority="13464" stopIfTrue="1" operator="equal">
      <formula>"Napkin Hs"</formula>
    </cfRule>
    <cfRule type="cellIs" dxfId="9727" priority="13465" stopIfTrue="1" operator="equal">
      <formula>"Towel"</formula>
    </cfRule>
    <cfRule type="cellIs" dxfId="9726" priority="13466" stopIfTrue="1" operator="equal">
      <formula>"Napkin Hs"</formula>
    </cfRule>
    <cfRule type="cellIs" dxfId="9725" priority="13467" stopIfTrue="1" operator="equal">
      <formula>"Towel"</formula>
    </cfRule>
    <cfRule type="cellIs" dxfId="9724" priority="13468" stopIfTrue="1" operator="equal">
      <formula>"Napkin Hs"</formula>
    </cfRule>
    <cfRule type="cellIs" dxfId="9723" priority="13473" stopIfTrue="1" operator="equal">
      <formula>"Towel"</formula>
    </cfRule>
    <cfRule type="cellIs" dxfId="9722" priority="13474" stopIfTrue="1" operator="equal">
      <formula>"Napkin Hs"</formula>
    </cfRule>
    <cfRule type="cellIs" dxfId="9721" priority="13475" stopIfTrue="1" operator="equal">
      <formula>"Towel"</formula>
    </cfRule>
    <cfRule type="cellIs" dxfId="9720" priority="13476" stopIfTrue="1" operator="equal">
      <formula>"Napkin Hs"</formula>
    </cfRule>
    <cfRule type="cellIs" dxfId="9719" priority="13479" stopIfTrue="1" operator="equal">
      <formula>"Towel"</formula>
    </cfRule>
    <cfRule type="cellIs" dxfId="9718" priority="13480" stopIfTrue="1" operator="equal">
      <formula>"Napkin Hs"</formula>
    </cfRule>
    <cfRule type="cellIs" dxfId="9717" priority="13481" stopIfTrue="1" operator="equal">
      <formula>"Towel"</formula>
    </cfRule>
    <cfRule type="cellIs" dxfId="9716" priority="13482" stopIfTrue="1" operator="equal">
      <formula>"Napkin Hs"</formula>
    </cfRule>
    <cfRule type="cellIs" dxfId="9715" priority="13483" stopIfTrue="1" operator="equal">
      <formula>"Towel"</formula>
    </cfRule>
    <cfRule type="cellIs" dxfId="9714" priority="13484" stopIfTrue="1" operator="equal">
      <formula>"Napkin Hs"</formula>
    </cfRule>
    <cfRule type="cellIs" dxfId="9713" priority="13485" stopIfTrue="1" operator="equal">
      <formula>"Towel"</formula>
    </cfRule>
    <cfRule type="cellIs" dxfId="9712" priority="13486" stopIfTrue="1" operator="equal">
      <formula>"Napkin Hs"</formula>
    </cfRule>
    <cfRule type="cellIs" dxfId="9711" priority="13491" stopIfTrue="1" operator="equal">
      <formula>"Towel"</formula>
    </cfRule>
    <cfRule type="cellIs" dxfId="9710" priority="13492" stopIfTrue="1" operator="equal">
      <formula>"Napkin Hs"</formula>
    </cfRule>
    <cfRule type="cellIs" dxfId="9709" priority="13493" stopIfTrue="1" operator="equal">
      <formula>"Towel"</formula>
    </cfRule>
    <cfRule type="cellIs" dxfId="9708" priority="13494" stopIfTrue="1" operator="equal">
      <formula>"Napkin Hs"</formula>
    </cfRule>
    <cfRule type="cellIs" dxfId="9707" priority="13497" stopIfTrue="1" operator="equal">
      <formula>"Towel"</formula>
    </cfRule>
    <cfRule type="cellIs" dxfId="9706" priority="13498" stopIfTrue="1" operator="equal">
      <formula>"Napkin Hs"</formula>
    </cfRule>
    <cfRule type="cellIs" dxfId="9705" priority="13499" stopIfTrue="1" operator="equal">
      <formula>"Towel"</formula>
    </cfRule>
    <cfRule type="cellIs" dxfId="9704" priority="13500" stopIfTrue="1" operator="equal">
      <formula>"Napkin Hs"</formula>
    </cfRule>
  </conditionalFormatting>
  <conditionalFormatting sqref="C66">
    <cfRule type="cellIs" dxfId="9703" priority="13404" stopIfTrue="1" operator="equal">
      <formula>"Napkin Hs"</formula>
    </cfRule>
  </conditionalFormatting>
  <conditionalFormatting sqref="C66">
    <cfRule type="cellIs" dxfId="9702" priority="13403" stopIfTrue="1" operator="equal">
      <formula>"Napkin Hs"</formula>
    </cfRule>
  </conditionalFormatting>
  <conditionalFormatting sqref="C66">
    <cfRule type="cellIs" dxfId="9701" priority="13402" stopIfTrue="1" operator="equal">
      <formula>"Napkin Hs"</formula>
    </cfRule>
  </conditionalFormatting>
  <conditionalFormatting sqref="C66">
    <cfRule type="cellIs" dxfId="9700" priority="13401" stopIfTrue="1" operator="equal">
      <formula>"Napkin Hs"</formula>
    </cfRule>
  </conditionalFormatting>
  <conditionalFormatting sqref="C66">
    <cfRule type="cellIs" dxfId="9699" priority="13400" stopIfTrue="1" operator="equal">
      <formula>"Napkin Hs"</formula>
    </cfRule>
  </conditionalFormatting>
  <conditionalFormatting sqref="C66">
    <cfRule type="cellIs" dxfId="9698" priority="13399" stopIfTrue="1" operator="equal">
      <formula>"Napkin Hs"</formula>
    </cfRule>
  </conditionalFormatting>
  <conditionalFormatting sqref="C66">
    <cfRule type="cellIs" dxfId="9697" priority="13395" stopIfTrue="1" operator="equal">
      <formula>"Towel"</formula>
    </cfRule>
    <cfRule type="cellIs" dxfId="9696" priority="13396" stopIfTrue="1" operator="equal">
      <formula>"Napkin Hs"</formula>
    </cfRule>
  </conditionalFormatting>
  <conditionalFormatting sqref="C66">
    <cfRule type="cellIs" dxfId="9695" priority="13397" stopIfTrue="1" operator="equal">
      <formula>"Towel"</formula>
    </cfRule>
    <cfRule type="cellIs" dxfId="9694" priority="13398" stopIfTrue="1" operator="equal">
      <formula>"Napkin Hs"</formula>
    </cfRule>
  </conditionalFormatting>
  <conditionalFormatting sqref="C66">
    <cfRule type="cellIs" dxfId="9693" priority="13391" stopIfTrue="1" operator="equal">
      <formula>"Towel"</formula>
    </cfRule>
    <cfRule type="cellIs" dxfId="9692" priority="13392" stopIfTrue="1" operator="equal">
      <formula>"Napkin Hs"</formula>
    </cfRule>
  </conditionalFormatting>
  <conditionalFormatting sqref="C66">
    <cfRule type="cellIs" dxfId="9691" priority="13393" stopIfTrue="1" operator="equal">
      <formula>"Towel"</formula>
    </cfRule>
    <cfRule type="cellIs" dxfId="9690" priority="13394" stopIfTrue="1" operator="equal">
      <formula>"Napkin Hs"</formula>
    </cfRule>
  </conditionalFormatting>
  <conditionalFormatting sqref="B66">
    <cfRule type="cellIs" dxfId="9689" priority="13389" stopIfTrue="1" operator="equal">
      <formula>"Towel"</formula>
    </cfRule>
    <cfRule type="cellIs" dxfId="9688" priority="13390" stopIfTrue="1" operator="equal">
      <formula>"Napkin Hs"</formula>
    </cfRule>
  </conditionalFormatting>
  <conditionalFormatting sqref="B66">
    <cfRule type="cellIs" dxfId="9687" priority="13387" stopIfTrue="1" operator="equal">
      <formula>"Towel"</formula>
    </cfRule>
    <cfRule type="cellIs" dxfId="9686" priority="13388" stopIfTrue="1" operator="equal">
      <formula>"Napkin Hs"</formula>
    </cfRule>
  </conditionalFormatting>
  <conditionalFormatting sqref="B66">
    <cfRule type="cellIs" dxfId="9685" priority="13385" stopIfTrue="1" operator="equal">
      <formula>"Towel"</formula>
    </cfRule>
    <cfRule type="cellIs" dxfId="9684" priority="13386" stopIfTrue="1" operator="equal">
      <formula>"Napkin Hs"</formula>
    </cfRule>
  </conditionalFormatting>
  <conditionalFormatting sqref="B66">
    <cfRule type="cellIs" dxfId="9683" priority="13377" stopIfTrue="1" operator="equal">
      <formula>"Towel"</formula>
    </cfRule>
  </conditionalFormatting>
  <conditionalFormatting sqref="B66">
    <cfRule type="cellIs" dxfId="9682" priority="13378" stopIfTrue="1" operator="equal">
      <formula>"Napkin Hs"</formula>
    </cfRule>
    <cfRule type="cellIs" dxfId="9681" priority="13379" stopIfTrue="1" operator="equal">
      <formula>"Towel"</formula>
    </cfRule>
    <cfRule type="cellIs" dxfId="9680" priority="13380" stopIfTrue="1" operator="equal">
      <formula>"Napkin Hs"</formula>
    </cfRule>
    <cfRule type="cellIs" dxfId="9679" priority="13381" stopIfTrue="1" operator="equal">
      <formula>"Towel"</formula>
    </cfRule>
    <cfRule type="cellIs" dxfId="9678" priority="13382" stopIfTrue="1" operator="equal">
      <formula>"Napkin Hs"</formula>
    </cfRule>
    <cfRule type="cellIs" dxfId="9677" priority="13383" stopIfTrue="1" operator="equal">
      <formula>"Towel"</formula>
    </cfRule>
    <cfRule type="cellIs" dxfId="9676" priority="13384" stopIfTrue="1" operator="equal">
      <formula>"Napkin Hs"</formula>
    </cfRule>
  </conditionalFormatting>
  <conditionalFormatting sqref="B66">
    <cfRule type="cellIs" dxfId="9675" priority="13375" stopIfTrue="1" operator="equal">
      <formula>"Towel"</formula>
    </cfRule>
    <cfRule type="cellIs" dxfId="9674" priority="13376" stopIfTrue="1" operator="equal">
      <formula>"Napkin Hs"</formula>
    </cfRule>
  </conditionalFormatting>
  <conditionalFormatting sqref="B66">
    <cfRule type="cellIs" dxfId="9673" priority="13344" stopIfTrue="1" operator="equal">
      <formula>"Napkin Hs"</formula>
    </cfRule>
  </conditionalFormatting>
  <conditionalFormatting sqref="B66">
    <cfRule type="cellIs" dxfId="9672" priority="13343" stopIfTrue="1" operator="equal">
      <formula>"Towel"</formula>
    </cfRule>
  </conditionalFormatting>
  <conditionalFormatting sqref="B66">
    <cfRule type="cellIs" dxfId="9671" priority="13345" stopIfTrue="1" operator="equal">
      <formula>"Towel"</formula>
    </cfRule>
    <cfRule type="cellIs" dxfId="9670" priority="13346" stopIfTrue="1" operator="equal">
      <formula>"Napkin Hs"</formula>
    </cfRule>
    <cfRule type="cellIs" dxfId="9669" priority="13347" stopIfTrue="1" operator="equal">
      <formula>"Towel"</formula>
    </cfRule>
    <cfRule type="cellIs" dxfId="9668" priority="13348" stopIfTrue="1" operator="equal">
      <formula>"Napkin Hs"</formula>
    </cfRule>
    <cfRule type="cellIs" dxfId="9667" priority="13349" stopIfTrue="1" operator="equal">
      <formula>"Towel"</formula>
    </cfRule>
    <cfRule type="cellIs" dxfId="9666" priority="13350" stopIfTrue="1" operator="equal">
      <formula>"Napkin Hs"</formula>
    </cfRule>
    <cfRule type="cellIs" dxfId="9665" priority="13351" stopIfTrue="1" operator="equal">
      <formula>"Towel"</formula>
    </cfRule>
    <cfRule type="cellIs" dxfId="9664" priority="13352" stopIfTrue="1" operator="equal">
      <formula>"Napkin Hs"</formula>
    </cfRule>
    <cfRule type="cellIs" dxfId="9663" priority="13353" stopIfTrue="1" operator="equal">
      <formula>"Towel"</formula>
    </cfRule>
    <cfRule type="cellIs" dxfId="9662" priority="13354" stopIfTrue="1" operator="equal">
      <formula>"Napkin Hs"</formula>
    </cfRule>
    <cfRule type="cellIs" dxfId="9661" priority="13355" stopIfTrue="1" operator="equal">
      <formula>"Towel"</formula>
    </cfRule>
    <cfRule type="cellIs" dxfId="9660" priority="13356" stopIfTrue="1" operator="equal">
      <formula>"Napkin Hs"</formula>
    </cfRule>
    <cfRule type="cellIs" dxfId="9659" priority="13357" stopIfTrue="1" operator="equal">
      <formula>"Towel"</formula>
    </cfRule>
    <cfRule type="cellIs" dxfId="9658" priority="13358" stopIfTrue="1" operator="equal">
      <formula>"Napkin Hs"</formula>
    </cfRule>
    <cfRule type="cellIs" dxfId="9657" priority="13359" stopIfTrue="1" operator="equal">
      <formula>"Towel"</formula>
    </cfRule>
    <cfRule type="cellIs" dxfId="9656" priority="13360" stopIfTrue="1" operator="equal">
      <formula>"Napkin Hs"</formula>
    </cfRule>
    <cfRule type="cellIs" dxfId="9655" priority="13361" stopIfTrue="1" operator="equal">
      <formula>"Towel"</formula>
    </cfRule>
    <cfRule type="cellIs" dxfId="9654" priority="13362" stopIfTrue="1" operator="equal">
      <formula>"Napkin Hs"</formula>
    </cfRule>
    <cfRule type="cellIs" dxfId="9653" priority="13363" stopIfTrue="1" operator="equal">
      <formula>"Towel"</formula>
    </cfRule>
    <cfRule type="cellIs" dxfId="9652" priority="13364" stopIfTrue="1" operator="equal">
      <formula>"Napkin Hs"</formula>
    </cfRule>
    <cfRule type="cellIs" dxfId="9651" priority="13365" stopIfTrue="1" operator="equal">
      <formula>"Towel"</formula>
    </cfRule>
    <cfRule type="cellIs" dxfId="9650" priority="13366" stopIfTrue="1" operator="equal">
      <formula>"Napkin Hs"</formula>
    </cfRule>
    <cfRule type="cellIs" dxfId="9649" priority="13367" stopIfTrue="1" operator="equal">
      <formula>"Towel"</formula>
    </cfRule>
    <cfRule type="cellIs" dxfId="9648" priority="13368" stopIfTrue="1" operator="equal">
      <formula>"Napkin Hs"</formula>
    </cfRule>
    <cfRule type="cellIs" dxfId="9647" priority="13369" stopIfTrue="1" operator="equal">
      <formula>"Towel"</formula>
    </cfRule>
    <cfRule type="cellIs" dxfId="9646" priority="13370" stopIfTrue="1" operator="equal">
      <formula>"Napkin Hs"</formula>
    </cfRule>
    <cfRule type="cellIs" dxfId="9645" priority="13371" stopIfTrue="1" operator="equal">
      <formula>"Towel"</formula>
    </cfRule>
    <cfRule type="cellIs" dxfId="9644" priority="13372" stopIfTrue="1" operator="equal">
      <formula>"Napkin Hs"</formula>
    </cfRule>
    <cfRule type="cellIs" dxfId="9643" priority="13374" stopIfTrue="1" operator="equal">
      <formula>"Napkin Hs"</formula>
    </cfRule>
  </conditionalFormatting>
  <conditionalFormatting sqref="B66">
    <cfRule type="cellIs" dxfId="9642" priority="13373" stopIfTrue="1" operator="equal">
      <formula>"Towel"</formula>
    </cfRule>
  </conditionalFormatting>
  <conditionalFormatting sqref="B66">
    <cfRule type="cellIs" dxfId="9641" priority="13342" stopIfTrue="1" operator="equal">
      <formula>"Napkin Hs"</formula>
    </cfRule>
  </conditionalFormatting>
  <conditionalFormatting sqref="B66">
    <cfRule type="cellIs" dxfId="9640" priority="13341" stopIfTrue="1" operator="equal">
      <formula>"Napkin Hs"</formula>
    </cfRule>
  </conditionalFormatting>
  <conditionalFormatting sqref="B66">
    <cfRule type="cellIs" dxfId="9639" priority="13340" stopIfTrue="1" operator="equal">
      <formula>"Napkin Hs"</formula>
    </cfRule>
  </conditionalFormatting>
  <conditionalFormatting sqref="C65">
    <cfRule type="cellIs" dxfId="9638" priority="13336" stopIfTrue="1" operator="equal">
      <formula>"Towel"</formula>
    </cfRule>
    <cfRule type="cellIs" dxfId="9637" priority="13337" stopIfTrue="1" operator="equal">
      <formula>"Napkin Hs"</formula>
    </cfRule>
  </conditionalFormatting>
  <conditionalFormatting sqref="C65">
    <cfRule type="cellIs" dxfId="9636" priority="13338" stopIfTrue="1" operator="equal">
      <formula>"Towel"</formula>
    </cfRule>
    <cfRule type="cellIs" dxfId="9635" priority="13339" stopIfTrue="1" operator="equal">
      <formula>"Napkin Hs"</formula>
    </cfRule>
  </conditionalFormatting>
  <conditionalFormatting sqref="C65">
    <cfRule type="cellIs" dxfId="9634" priority="13334" stopIfTrue="1" operator="equal">
      <formula>"Towel"</formula>
    </cfRule>
    <cfRule type="cellIs" dxfId="9633" priority="13335" stopIfTrue="1" operator="equal">
      <formula>"Napkin Hs"</formula>
    </cfRule>
  </conditionalFormatting>
  <conditionalFormatting sqref="C65">
    <cfRule type="cellIs" dxfId="9632" priority="13328" stopIfTrue="1" operator="equal">
      <formula>"Towel"</formula>
    </cfRule>
    <cfRule type="cellIs" dxfId="9631" priority="13329" stopIfTrue="1" operator="equal">
      <formula>"Napkin Hs"</formula>
    </cfRule>
  </conditionalFormatting>
  <conditionalFormatting sqref="C65">
    <cfRule type="cellIs" dxfId="9630" priority="13332" stopIfTrue="1" operator="equal">
      <formula>"Towel"</formula>
    </cfRule>
    <cfRule type="cellIs" dxfId="9629" priority="13333" stopIfTrue="1" operator="equal">
      <formula>"Napkin Hs"</formula>
    </cfRule>
  </conditionalFormatting>
  <conditionalFormatting sqref="C65">
    <cfRule type="cellIs" dxfId="9628" priority="13330" stopIfTrue="1" operator="equal">
      <formula>"Towel"</formula>
    </cfRule>
    <cfRule type="cellIs" dxfId="9627" priority="13331" stopIfTrue="1" operator="equal">
      <formula>"Napkin Hs"</formula>
    </cfRule>
  </conditionalFormatting>
  <conditionalFormatting sqref="C65">
    <cfRule type="cellIs" dxfId="9626" priority="13322" stopIfTrue="1" operator="equal">
      <formula>"Towel"</formula>
    </cfRule>
    <cfRule type="cellIs" dxfId="9625" priority="13323" stopIfTrue="1" operator="equal">
      <formula>"Napkin Hs"</formula>
    </cfRule>
  </conditionalFormatting>
  <conditionalFormatting sqref="C65">
    <cfRule type="cellIs" dxfId="9624" priority="13324" stopIfTrue="1" operator="equal">
      <formula>"Towel"</formula>
    </cfRule>
    <cfRule type="cellIs" dxfId="9623" priority="13325" stopIfTrue="1" operator="equal">
      <formula>"Napkin Hs"</formula>
    </cfRule>
  </conditionalFormatting>
  <conditionalFormatting sqref="C65">
    <cfRule type="cellIs" dxfId="9622" priority="13326" stopIfTrue="1" operator="equal">
      <formula>"Towel"</formula>
    </cfRule>
    <cfRule type="cellIs" dxfId="9621" priority="13327" stopIfTrue="1" operator="equal">
      <formula>"Napkin Hs"</formula>
    </cfRule>
  </conditionalFormatting>
  <conditionalFormatting sqref="C65">
    <cfRule type="cellIs" dxfId="9620" priority="13320" stopIfTrue="1" operator="equal">
      <formula>"Towel"</formula>
    </cfRule>
    <cfRule type="cellIs" dxfId="9619" priority="13321" stopIfTrue="1" operator="equal">
      <formula>"Napkin Hs"</formula>
    </cfRule>
  </conditionalFormatting>
  <conditionalFormatting sqref="C65">
    <cfRule type="cellIs" dxfId="9618" priority="13318" stopIfTrue="1" operator="equal">
      <formula>"Towel"</formula>
    </cfRule>
    <cfRule type="cellIs" dxfId="9617" priority="13319" stopIfTrue="1" operator="equal">
      <formula>"Napkin Hs"</formula>
    </cfRule>
  </conditionalFormatting>
  <conditionalFormatting sqref="C65">
    <cfRule type="cellIs" dxfId="9616" priority="13294" stopIfTrue="1" operator="equal">
      <formula>"Towel"</formula>
    </cfRule>
  </conditionalFormatting>
  <conditionalFormatting sqref="C65">
    <cfRule type="cellIs" dxfId="9615" priority="13295" stopIfTrue="1" operator="equal">
      <formula>"Napkin Hs"</formula>
    </cfRule>
    <cfRule type="cellIs" dxfId="9614" priority="13300" stopIfTrue="1" operator="equal">
      <formula>"Towel"</formula>
    </cfRule>
    <cfRule type="cellIs" dxfId="9613" priority="13301" stopIfTrue="1" operator="equal">
      <formula>"Napkin Hs"</formula>
    </cfRule>
    <cfRule type="cellIs" dxfId="9612" priority="13310" stopIfTrue="1" operator="equal">
      <formula>"Towel"</formula>
    </cfRule>
    <cfRule type="cellIs" dxfId="9611" priority="13311" stopIfTrue="1" operator="equal">
      <formula>"Napkin Hs"</formula>
    </cfRule>
    <cfRule type="cellIs" dxfId="9610" priority="13316" stopIfTrue="1" operator="equal">
      <formula>"Towel"</formula>
    </cfRule>
    <cfRule type="cellIs" dxfId="9609" priority="13317" stopIfTrue="1" operator="equal">
      <formula>"Napkin Hs"</formula>
    </cfRule>
  </conditionalFormatting>
  <conditionalFormatting sqref="C65">
    <cfRule type="cellIs" dxfId="9608" priority="13296" stopIfTrue="1" operator="equal">
      <formula>"Towel"</formula>
    </cfRule>
    <cfRule type="cellIs" dxfId="9607" priority="13297" stopIfTrue="1" operator="equal">
      <formula>"Napkin Hs"</formula>
    </cfRule>
    <cfRule type="cellIs" dxfId="9606" priority="13298" stopIfTrue="1" operator="equal">
      <formula>"Towel"</formula>
    </cfRule>
    <cfRule type="cellIs" dxfId="9605" priority="13299" stopIfTrue="1" operator="equal">
      <formula>"Napkin Hs"</formula>
    </cfRule>
    <cfRule type="cellIs" dxfId="9604" priority="13302" stopIfTrue="1" operator="equal">
      <formula>"Towel"</formula>
    </cfRule>
    <cfRule type="cellIs" dxfId="9603" priority="13303" stopIfTrue="1" operator="equal">
      <formula>"Napkin Hs"</formula>
    </cfRule>
    <cfRule type="cellIs" dxfId="9602" priority="13304" stopIfTrue="1" operator="equal">
      <formula>"Towel"</formula>
    </cfRule>
    <cfRule type="cellIs" dxfId="9601" priority="13305" stopIfTrue="1" operator="equal">
      <formula>"Napkin Hs"</formula>
    </cfRule>
    <cfRule type="cellIs" dxfId="9600" priority="13306" stopIfTrue="1" operator="equal">
      <formula>"Towel"</formula>
    </cfRule>
    <cfRule type="cellIs" dxfId="9599" priority="13307" stopIfTrue="1" operator="equal">
      <formula>"Napkin Hs"</formula>
    </cfRule>
    <cfRule type="cellIs" dxfId="9598" priority="13308" stopIfTrue="1" operator="equal">
      <formula>"Towel"</formula>
    </cfRule>
    <cfRule type="cellIs" dxfId="9597" priority="13309" stopIfTrue="1" operator="equal">
      <formula>"Napkin Hs"</formula>
    </cfRule>
    <cfRule type="cellIs" dxfId="9596" priority="13312" stopIfTrue="1" operator="equal">
      <formula>"Towel"</formula>
    </cfRule>
    <cfRule type="cellIs" dxfId="9595" priority="13313" stopIfTrue="1" operator="equal">
      <formula>"Napkin Hs"</formula>
    </cfRule>
    <cfRule type="cellIs" dxfId="9594" priority="13315" stopIfTrue="1" operator="equal">
      <formula>"Napkin Hs"</formula>
    </cfRule>
  </conditionalFormatting>
  <conditionalFormatting sqref="C65">
    <cfRule type="cellIs" dxfId="9593" priority="13314" stopIfTrue="1" operator="equal">
      <formula>"Towel"</formula>
    </cfRule>
  </conditionalFormatting>
  <conditionalFormatting sqref="C65">
    <cfRule type="cellIs" dxfId="9592" priority="13292" stopIfTrue="1" operator="equal">
      <formula>"Towel"</formula>
    </cfRule>
    <cfRule type="cellIs" dxfId="9591" priority="13293" stopIfTrue="1" operator="equal">
      <formula>"Napkin Hs"</formula>
    </cfRule>
  </conditionalFormatting>
  <conditionalFormatting sqref="C65">
    <cfRule type="cellIs" dxfId="9590" priority="13291" stopIfTrue="1" operator="equal">
      <formula>"Napkin Hs"</formula>
    </cfRule>
  </conditionalFormatting>
  <conditionalFormatting sqref="C65">
    <cfRule type="cellIs" dxfId="9589" priority="13290" stopIfTrue="1" operator="equal">
      <formula>"Towel"</formula>
    </cfRule>
  </conditionalFormatting>
  <conditionalFormatting sqref="C65">
    <cfRule type="cellIs" dxfId="9588" priority="13288" stopIfTrue="1" operator="equal">
      <formula>"Towel"</formula>
    </cfRule>
  </conditionalFormatting>
  <conditionalFormatting sqref="C65">
    <cfRule type="cellIs" dxfId="9587" priority="13289" stopIfTrue="1" operator="equal">
      <formula>"Napkin Hs"</formula>
    </cfRule>
  </conditionalFormatting>
  <conditionalFormatting sqref="C65">
    <cfRule type="cellIs" dxfId="9586" priority="13192" stopIfTrue="1" operator="equal">
      <formula>"Towel"</formula>
    </cfRule>
  </conditionalFormatting>
  <conditionalFormatting sqref="C65">
    <cfRule type="cellIs" dxfId="9585" priority="13202" stopIfTrue="1" operator="equal">
      <formula>"Towel"</formula>
    </cfRule>
    <cfRule type="cellIs" dxfId="9584" priority="13203" stopIfTrue="1" operator="equal">
      <formula>"Napkin Hs"</formula>
    </cfRule>
    <cfRule type="cellIs" dxfId="9583" priority="13208" stopIfTrue="1" operator="equal">
      <formula>"Towel"</formula>
    </cfRule>
    <cfRule type="cellIs" dxfId="9582" priority="13209" stopIfTrue="1" operator="equal">
      <formula>"Napkin Hs"</formula>
    </cfRule>
    <cfRule type="cellIs" dxfId="9581" priority="13214" stopIfTrue="1" operator="equal">
      <formula>"Towel"</formula>
    </cfRule>
    <cfRule type="cellIs" dxfId="9580" priority="13215" stopIfTrue="1" operator="equal">
      <formula>"Napkin Hs"</formula>
    </cfRule>
    <cfRule type="cellIs" dxfId="9579" priority="13216" stopIfTrue="1" operator="equal">
      <formula>"Towel"</formula>
    </cfRule>
    <cfRule type="cellIs" dxfId="9578" priority="13217" stopIfTrue="1" operator="equal">
      <formula>"Napkin Hs"</formula>
    </cfRule>
    <cfRule type="cellIs" dxfId="9577" priority="13222" stopIfTrue="1" operator="equal">
      <formula>"Towel"</formula>
    </cfRule>
    <cfRule type="cellIs" dxfId="9576" priority="13223" stopIfTrue="1" operator="equal">
      <formula>"Napkin Hs"</formula>
    </cfRule>
    <cfRule type="cellIs" dxfId="9575" priority="13232" stopIfTrue="1" operator="equal">
      <formula>"Towel"</formula>
    </cfRule>
    <cfRule type="cellIs" dxfId="9574" priority="13233" stopIfTrue="1" operator="equal">
      <formula>"Napkin Hs"</formula>
    </cfRule>
    <cfRule type="cellIs" dxfId="9573" priority="13238" stopIfTrue="1" operator="equal">
      <formula>"Towel"</formula>
    </cfRule>
    <cfRule type="cellIs" dxfId="9572" priority="13239" stopIfTrue="1" operator="equal">
      <formula>"Napkin Hs"</formula>
    </cfRule>
    <cfRule type="cellIs" dxfId="9571" priority="13240" stopIfTrue="1" operator="equal">
      <formula>"Towel"</formula>
    </cfRule>
    <cfRule type="cellIs" dxfId="9570" priority="13241" stopIfTrue="1" operator="equal">
      <formula>"Napkin Hs"</formula>
    </cfRule>
    <cfRule type="cellIs" dxfId="9569" priority="13246" stopIfTrue="1" operator="equal">
      <formula>"Towel"</formula>
    </cfRule>
    <cfRule type="cellIs" dxfId="9568" priority="13247" stopIfTrue="1" operator="equal">
      <formula>"Napkin Hs"</formula>
    </cfRule>
    <cfRule type="cellIs" dxfId="9567" priority="13256" stopIfTrue="1" operator="equal">
      <formula>"Towel"</formula>
    </cfRule>
    <cfRule type="cellIs" dxfId="9566" priority="13257" stopIfTrue="1" operator="equal">
      <formula>"Napkin Hs"</formula>
    </cfRule>
    <cfRule type="cellIs" dxfId="9565" priority="13258" stopIfTrue="1" operator="equal">
      <formula>"Towel"</formula>
    </cfRule>
    <cfRule type="cellIs" dxfId="9564" priority="13259" stopIfTrue="1" operator="equal">
      <formula>"Napkin Hs"</formula>
    </cfRule>
    <cfRule type="cellIs" dxfId="9563" priority="13264" stopIfTrue="1" operator="equal">
      <formula>"Towel"</formula>
    </cfRule>
    <cfRule type="cellIs" dxfId="9562" priority="13265" stopIfTrue="1" operator="equal">
      <formula>"Napkin Hs"</formula>
    </cfRule>
    <cfRule type="cellIs" dxfId="9561" priority="13274" stopIfTrue="1" operator="equal">
      <formula>"Towel"</formula>
    </cfRule>
    <cfRule type="cellIs" dxfId="9560" priority="13275" stopIfTrue="1" operator="equal">
      <formula>"Napkin Hs"</formula>
    </cfRule>
    <cfRule type="cellIs" dxfId="9559" priority="13276" stopIfTrue="1" operator="equal">
      <formula>"Towel"</formula>
    </cfRule>
    <cfRule type="cellIs" dxfId="9558" priority="13277" stopIfTrue="1" operator="equal">
      <formula>"Napkin Hs"</formula>
    </cfRule>
    <cfRule type="cellIs" dxfId="9557" priority="13283" stopIfTrue="1" operator="equal">
      <formula>"Napkin Hs"</formula>
    </cfRule>
  </conditionalFormatting>
  <conditionalFormatting sqref="C65">
    <cfRule type="cellIs" dxfId="9556" priority="13282" stopIfTrue="1" operator="equal">
      <formula>"Towel"</formula>
    </cfRule>
  </conditionalFormatting>
  <conditionalFormatting sqref="C65">
    <cfRule type="cellIs" dxfId="9555" priority="13193" stopIfTrue="1" operator="equal">
      <formula>"Napkin Hs"</formula>
    </cfRule>
    <cfRule type="cellIs" dxfId="9554" priority="13194" stopIfTrue="1" operator="equal">
      <formula>"Towel"</formula>
    </cfRule>
    <cfRule type="cellIs" dxfId="9553" priority="13195" stopIfTrue="1" operator="equal">
      <formula>"Napkin Hs"</formula>
    </cfRule>
    <cfRule type="cellIs" dxfId="9552" priority="13196" stopIfTrue="1" operator="equal">
      <formula>"Towel"</formula>
    </cfRule>
    <cfRule type="cellIs" dxfId="9551" priority="13197" stopIfTrue="1" operator="equal">
      <formula>"Napkin Hs"</formula>
    </cfRule>
    <cfRule type="cellIs" dxfId="9550" priority="13198" stopIfTrue="1" operator="equal">
      <formula>"Towel"</formula>
    </cfRule>
    <cfRule type="cellIs" dxfId="9549" priority="13199" stopIfTrue="1" operator="equal">
      <formula>"Napkin Hs"</formula>
    </cfRule>
    <cfRule type="cellIs" dxfId="9548" priority="13200" stopIfTrue="1" operator="equal">
      <formula>"Towel"</formula>
    </cfRule>
    <cfRule type="cellIs" dxfId="9547" priority="13201" stopIfTrue="1" operator="equal">
      <formula>"Napkin Hs"</formula>
    </cfRule>
    <cfRule type="cellIs" dxfId="9546" priority="13204" stopIfTrue="1" operator="equal">
      <formula>"Towel"</formula>
    </cfRule>
    <cfRule type="cellIs" dxfId="9545" priority="13205" stopIfTrue="1" operator="equal">
      <formula>"Napkin Hs"</formula>
    </cfRule>
    <cfRule type="cellIs" dxfId="9544" priority="13206" stopIfTrue="1" operator="equal">
      <formula>"Towel"</formula>
    </cfRule>
    <cfRule type="cellIs" dxfId="9543" priority="13207" stopIfTrue="1" operator="equal">
      <formula>"Napkin Hs"</formula>
    </cfRule>
    <cfRule type="cellIs" dxfId="9542" priority="13210" stopIfTrue="1" operator="equal">
      <formula>"Towel"</formula>
    </cfRule>
    <cfRule type="cellIs" dxfId="9541" priority="13211" stopIfTrue="1" operator="equal">
      <formula>"Napkin Hs"</formula>
    </cfRule>
    <cfRule type="cellIs" dxfId="9540" priority="13212" stopIfTrue="1" operator="equal">
      <formula>"Towel"</formula>
    </cfRule>
    <cfRule type="cellIs" dxfId="9539" priority="13213" stopIfTrue="1" operator="equal">
      <formula>"Napkin Hs"</formula>
    </cfRule>
    <cfRule type="cellIs" dxfId="9538" priority="13218" stopIfTrue="1" operator="equal">
      <formula>"Towel"</formula>
    </cfRule>
    <cfRule type="cellIs" dxfId="9537" priority="13219" stopIfTrue="1" operator="equal">
      <formula>"Napkin Hs"</formula>
    </cfRule>
    <cfRule type="cellIs" dxfId="9536" priority="13220" stopIfTrue="1" operator="equal">
      <formula>"Towel"</formula>
    </cfRule>
    <cfRule type="cellIs" dxfId="9535" priority="13221" stopIfTrue="1" operator="equal">
      <formula>"Napkin Hs"</formula>
    </cfRule>
    <cfRule type="cellIs" dxfId="9534" priority="13224" stopIfTrue="1" operator="equal">
      <formula>"Towel"</formula>
    </cfRule>
    <cfRule type="cellIs" dxfId="9533" priority="13225" stopIfTrue="1" operator="equal">
      <formula>"Napkin Hs"</formula>
    </cfRule>
    <cfRule type="cellIs" dxfId="9532" priority="13226" stopIfTrue="1" operator="equal">
      <formula>"Towel"</formula>
    </cfRule>
    <cfRule type="cellIs" dxfId="9531" priority="13227" stopIfTrue="1" operator="equal">
      <formula>"Napkin Hs"</formula>
    </cfRule>
    <cfRule type="cellIs" dxfId="9530" priority="13228" stopIfTrue="1" operator="equal">
      <formula>"Towel"</formula>
    </cfRule>
    <cfRule type="cellIs" dxfId="9529" priority="13229" stopIfTrue="1" operator="equal">
      <formula>"Napkin Hs"</formula>
    </cfRule>
    <cfRule type="cellIs" dxfId="9528" priority="13230" stopIfTrue="1" operator="equal">
      <formula>"Towel"</formula>
    </cfRule>
    <cfRule type="cellIs" dxfId="9527" priority="13231" stopIfTrue="1" operator="equal">
      <formula>"Napkin Hs"</formula>
    </cfRule>
    <cfRule type="cellIs" dxfId="9526" priority="13234" stopIfTrue="1" operator="equal">
      <formula>"Towel"</formula>
    </cfRule>
    <cfRule type="cellIs" dxfId="9525" priority="13235" stopIfTrue="1" operator="equal">
      <formula>"Napkin Hs"</formula>
    </cfRule>
    <cfRule type="cellIs" dxfId="9524" priority="13236" stopIfTrue="1" operator="equal">
      <formula>"Towel"</formula>
    </cfRule>
    <cfRule type="cellIs" dxfId="9523" priority="13237" stopIfTrue="1" operator="equal">
      <formula>"Napkin Hs"</formula>
    </cfRule>
    <cfRule type="cellIs" dxfId="9522" priority="13242" stopIfTrue="1" operator="equal">
      <formula>"Towel"</formula>
    </cfRule>
    <cfRule type="cellIs" dxfId="9521" priority="13243" stopIfTrue="1" operator="equal">
      <formula>"Napkin Hs"</formula>
    </cfRule>
    <cfRule type="cellIs" dxfId="9520" priority="13244" stopIfTrue="1" operator="equal">
      <formula>"Towel"</formula>
    </cfRule>
    <cfRule type="cellIs" dxfId="9519" priority="13245" stopIfTrue="1" operator="equal">
      <formula>"Napkin Hs"</formula>
    </cfRule>
    <cfRule type="cellIs" dxfId="9518" priority="13248" stopIfTrue="1" operator="equal">
      <formula>"Towel"</formula>
    </cfRule>
    <cfRule type="cellIs" dxfId="9517" priority="13249" stopIfTrue="1" operator="equal">
      <formula>"Napkin Hs"</formula>
    </cfRule>
    <cfRule type="cellIs" dxfId="9516" priority="13250" stopIfTrue="1" operator="equal">
      <formula>"Towel"</formula>
    </cfRule>
    <cfRule type="cellIs" dxfId="9515" priority="13251" stopIfTrue="1" operator="equal">
      <formula>"Napkin Hs"</formula>
    </cfRule>
    <cfRule type="cellIs" dxfId="9514" priority="13252" stopIfTrue="1" operator="equal">
      <formula>"Towel"</formula>
    </cfRule>
    <cfRule type="cellIs" dxfId="9513" priority="13253" stopIfTrue="1" operator="equal">
      <formula>"Napkin Hs"</formula>
    </cfRule>
    <cfRule type="cellIs" dxfId="9512" priority="13254" stopIfTrue="1" operator="equal">
      <formula>"Towel"</formula>
    </cfRule>
    <cfRule type="cellIs" dxfId="9511" priority="13255" stopIfTrue="1" operator="equal">
      <formula>"Napkin Hs"</formula>
    </cfRule>
    <cfRule type="cellIs" dxfId="9510" priority="13260" stopIfTrue="1" operator="equal">
      <formula>"Towel"</formula>
    </cfRule>
    <cfRule type="cellIs" dxfId="9509" priority="13261" stopIfTrue="1" operator="equal">
      <formula>"Napkin Hs"</formula>
    </cfRule>
    <cfRule type="cellIs" dxfId="9508" priority="13262" stopIfTrue="1" operator="equal">
      <formula>"Towel"</formula>
    </cfRule>
    <cfRule type="cellIs" dxfId="9507" priority="13263" stopIfTrue="1" operator="equal">
      <formula>"Napkin Hs"</formula>
    </cfRule>
    <cfRule type="cellIs" dxfId="9506" priority="13266" stopIfTrue="1" operator="equal">
      <formula>"Towel"</formula>
    </cfRule>
    <cfRule type="cellIs" dxfId="9505" priority="13267" stopIfTrue="1" operator="equal">
      <formula>"Napkin Hs"</formula>
    </cfRule>
    <cfRule type="cellIs" dxfId="9504" priority="13268" stopIfTrue="1" operator="equal">
      <formula>"Towel"</formula>
    </cfRule>
    <cfRule type="cellIs" dxfId="9503" priority="13269" stopIfTrue="1" operator="equal">
      <formula>"Napkin Hs"</formula>
    </cfRule>
    <cfRule type="cellIs" dxfId="9502" priority="13270" stopIfTrue="1" operator="equal">
      <formula>"Towel"</formula>
    </cfRule>
    <cfRule type="cellIs" dxfId="9501" priority="13271" stopIfTrue="1" operator="equal">
      <formula>"Napkin Hs"</formula>
    </cfRule>
    <cfRule type="cellIs" dxfId="9500" priority="13272" stopIfTrue="1" operator="equal">
      <formula>"Towel"</formula>
    </cfRule>
    <cfRule type="cellIs" dxfId="9499" priority="13273" stopIfTrue="1" operator="equal">
      <formula>"Napkin Hs"</formula>
    </cfRule>
    <cfRule type="cellIs" dxfId="9498" priority="13278" stopIfTrue="1" operator="equal">
      <formula>"Towel"</formula>
    </cfRule>
    <cfRule type="cellIs" dxfId="9497" priority="13279" stopIfTrue="1" operator="equal">
      <formula>"Napkin Hs"</formula>
    </cfRule>
    <cfRule type="cellIs" dxfId="9496" priority="13280" stopIfTrue="1" operator="equal">
      <formula>"Towel"</formula>
    </cfRule>
    <cfRule type="cellIs" dxfId="9495" priority="13281" stopIfTrue="1" operator="equal">
      <formula>"Napkin Hs"</formula>
    </cfRule>
    <cfRule type="cellIs" dxfId="9494" priority="13284" stopIfTrue="1" operator="equal">
      <formula>"Towel"</formula>
    </cfRule>
    <cfRule type="cellIs" dxfId="9493" priority="13285" stopIfTrue="1" operator="equal">
      <formula>"Napkin Hs"</formula>
    </cfRule>
    <cfRule type="cellIs" dxfId="9492" priority="13286" stopIfTrue="1" operator="equal">
      <formula>"Towel"</formula>
    </cfRule>
    <cfRule type="cellIs" dxfId="9491" priority="13287" stopIfTrue="1" operator="equal">
      <formula>"Napkin Hs"</formula>
    </cfRule>
  </conditionalFormatting>
  <conditionalFormatting sqref="C65">
    <cfRule type="cellIs" dxfId="9490" priority="13191" stopIfTrue="1" operator="equal">
      <formula>"Napkin Hs"</formula>
    </cfRule>
  </conditionalFormatting>
  <conditionalFormatting sqref="C65">
    <cfRule type="cellIs" dxfId="9489" priority="13190" stopIfTrue="1" operator="equal">
      <formula>"Napkin Hs"</formula>
    </cfRule>
  </conditionalFormatting>
  <conditionalFormatting sqref="C65">
    <cfRule type="cellIs" dxfId="9488" priority="13189" stopIfTrue="1" operator="equal">
      <formula>"Napkin Hs"</formula>
    </cfRule>
  </conditionalFormatting>
  <conditionalFormatting sqref="C65">
    <cfRule type="cellIs" dxfId="9487" priority="13188" stopIfTrue="1" operator="equal">
      <formula>"Napkin Hs"</formula>
    </cfRule>
  </conditionalFormatting>
  <conditionalFormatting sqref="C65">
    <cfRule type="cellIs" dxfId="9486" priority="13187" stopIfTrue="1" operator="equal">
      <formula>"Napkin Hs"</formula>
    </cfRule>
  </conditionalFormatting>
  <conditionalFormatting sqref="C65">
    <cfRule type="cellIs" dxfId="9485" priority="13186" stopIfTrue="1" operator="equal">
      <formula>"Napkin Hs"</formula>
    </cfRule>
  </conditionalFormatting>
  <conditionalFormatting sqref="C65">
    <cfRule type="cellIs" dxfId="9484" priority="13182" stopIfTrue="1" operator="equal">
      <formula>"Towel"</formula>
    </cfRule>
    <cfRule type="cellIs" dxfId="9483" priority="13183" stopIfTrue="1" operator="equal">
      <formula>"Napkin Hs"</formula>
    </cfRule>
  </conditionalFormatting>
  <conditionalFormatting sqref="C65">
    <cfRule type="cellIs" dxfId="9482" priority="13184" stopIfTrue="1" operator="equal">
      <formula>"Towel"</formula>
    </cfRule>
    <cfRule type="cellIs" dxfId="9481" priority="13185" stopIfTrue="1" operator="equal">
      <formula>"Napkin Hs"</formula>
    </cfRule>
  </conditionalFormatting>
  <conditionalFormatting sqref="C65">
    <cfRule type="cellIs" dxfId="9480" priority="13178" stopIfTrue="1" operator="equal">
      <formula>"Towel"</formula>
    </cfRule>
    <cfRule type="cellIs" dxfId="9479" priority="13179" stopIfTrue="1" operator="equal">
      <formula>"Napkin Hs"</formula>
    </cfRule>
  </conditionalFormatting>
  <conditionalFormatting sqref="C65">
    <cfRule type="cellIs" dxfId="9478" priority="13180" stopIfTrue="1" operator="equal">
      <formula>"Towel"</formula>
    </cfRule>
    <cfRule type="cellIs" dxfId="9477" priority="13181" stopIfTrue="1" operator="equal">
      <formula>"Napkin Hs"</formula>
    </cfRule>
  </conditionalFormatting>
  <conditionalFormatting sqref="B65">
    <cfRule type="cellIs" dxfId="9476" priority="13176" stopIfTrue="1" operator="equal">
      <formula>"Towel"</formula>
    </cfRule>
    <cfRule type="cellIs" dxfId="9475" priority="13177" stopIfTrue="1" operator="equal">
      <formula>"Napkin Hs"</formula>
    </cfRule>
  </conditionalFormatting>
  <conditionalFormatting sqref="B65">
    <cfRule type="cellIs" dxfId="9474" priority="13174" stopIfTrue="1" operator="equal">
      <formula>"Towel"</formula>
    </cfRule>
    <cfRule type="cellIs" dxfId="9473" priority="13175" stopIfTrue="1" operator="equal">
      <formula>"Napkin Hs"</formula>
    </cfRule>
  </conditionalFormatting>
  <conditionalFormatting sqref="B65">
    <cfRule type="cellIs" dxfId="9472" priority="13172" stopIfTrue="1" operator="equal">
      <formula>"Towel"</formula>
    </cfRule>
    <cfRule type="cellIs" dxfId="9471" priority="13173" stopIfTrue="1" operator="equal">
      <formula>"Napkin Hs"</formula>
    </cfRule>
  </conditionalFormatting>
  <conditionalFormatting sqref="B65">
    <cfRule type="cellIs" dxfId="9470" priority="13164" stopIfTrue="1" operator="equal">
      <formula>"Towel"</formula>
    </cfRule>
  </conditionalFormatting>
  <conditionalFormatting sqref="B65">
    <cfRule type="cellIs" dxfId="9469" priority="13165" stopIfTrue="1" operator="equal">
      <formula>"Napkin Hs"</formula>
    </cfRule>
    <cfRule type="cellIs" dxfId="9468" priority="13166" stopIfTrue="1" operator="equal">
      <formula>"Towel"</formula>
    </cfRule>
    <cfRule type="cellIs" dxfId="9467" priority="13167" stopIfTrue="1" operator="equal">
      <formula>"Napkin Hs"</formula>
    </cfRule>
    <cfRule type="cellIs" dxfId="9466" priority="13168" stopIfTrue="1" operator="equal">
      <formula>"Towel"</formula>
    </cfRule>
    <cfRule type="cellIs" dxfId="9465" priority="13169" stopIfTrue="1" operator="equal">
      <formula>"Napkin Hs"</formula>
    </cfRule>
    <cfRule type="cellIs" dxfId="9464" priority="13170" stopIfTrue="1" operator="equal">
      <formula>"Towel"</formula>
    </cfRule>
    <cfRule type="cellIs" dxfId="9463" priority="13171" stopIfTrue="1" operator="equal">
      <formula>"Napkin Hs"</formula>
    </cfRule>
  </conditionalFormatting>
  <conditionalFormatting sqref="B65">
    <cfRule type="cellIs" dxfId="9462" priority="13162" stopIfTrue="1" operator="equal">
      <formula>"Towel"</formula>
    </cfRule>
    <cfRule type="cellIs" dxfId="9461" priority="13163" stopIfTrue="1" operator="equal">
      <formula>"Napkin Hs"</formula>
    </cfRule>
  </conditionalFormatting>
  <conditionalFormatting sqref="B65">
    <cfRule type="cellIs" dxfId="9460" priority="13131" stopIfTrue="1" operator="equal">
      <formula>"Napkin Hs"</formula>
    </cfRule>
  </conditionalFormatting>
  <conditionalFormatting sqref="B65">
    <cfRule type="cellIs" dxfId="9459" priority="13130" stopIfTrue="1" operator="equal">
      <formula>"Towel"</formula>
    </cfRule>
  </conditionalFormatting>
  <conditionalFormatting sqref="B65">
    <cfRule type="cellIs" dxfId="9458" priority="13132" stopIfTrue="1" operator="equal">
      <formula>"Towel"</formula>
    </cfRule>
    <cfRule type="cellIs" dxfId="9457" priority="13133" stopIfTrue="1" operator="equal">
      <formula>"Napkin Hs"</formula>
    </cfRule>
    <cfRule type="cellIs" dxfId="9456" priority="13134" stopIfTrue="1" operator="equal">
      <formula>"Towel"</formula>
    </cfRule>
    <cfRule type="cellIs" dxfId="9455" priority="13135" stopIfTrue="1" operator="equal">
      <formula>"Napkin Hs"</formula>
    </cfRule>
    <cfRule type="cellIs" dxfId="9454" priority="13136" stopIfTrue="1" operator="equal">
      <formula>"Towel"</formula>
    </cfRule>
    <cfRule type="cellIs" dxfId="9453" priority="13137" stopIfTrue="1" operator="equal">
      <formula>"Napkin Hs"</formula>
    </cfRule>
    <cfRule type="cellIs" dxfId="9452" priority="13138" stopIfTrue="1" operator="equal">
      <formula>"Towel"</formula>
    </cfRule>
    <cfRule type="cellIs" dxfId="9451" priority="13139" stopIfTrue="1" operator="equal">
      <formula>"Napkin Hs"</formula>
    </cfRule>
    <cfRule type="cellIs" dxfId="9450" priority="13140" stopIfTrue="1" operator="equal">
      <formula>"Towel"</formula>
    </cfRule>
    <cfRule type="cellIs" dxfId="9449" priority="13141" stopIfTrue="1" operator="equal">
      <formula>"Napkin Hs"</formula>
    </cfRule>
    <cfRule type="cellIs" dxfId="9448" priority="13142" stopIfTrue="1" operator="equal">
      <formula>"Towel"</formula>
    </cfRule>
    <cfRule type="cellIs" dxfId="9447" priority="13143" stopIfTrue="1" operator="equal">
      <formula>"Napkin Hs"</formula>
    </cfRule>
    <cfRule type="cellIs" dxfId="9446" priority="13144" stopIfTrue="1" operator="equal">
      <formula>"Towel"</formula>
    </cfRule>
    <cfRule type="cellIs" dxfId="9445" priority="13145" stopIfTrue="1" operator="equal">
      <formula>"Napkin Hs"</formula>
    </cfRule>
    <cfRule type="cellIs" dxfId="9444" priority="13146" stopIfTrue="1" operator="equal">
      <formula>"Towel"</formula>
    </cfRule>
    <cfRule type="cellIs" dxfId="9443" priority="13147" stopIfTrue="1" operator="equal">
      <formula>"Napkin Hs"</formula>
    </cfRule>
    <cfRule type="cellIs" dxfId="9442" priority="13148" stopIfTrue="1" operator="equal">
      <formula>"Towel"</formula>
    </cfRule>
    <cfRule type="cellIs" dxfId="9441" priority="13149" stopIfTrue="1" operator="equal">
      <formula>"Napkin Hs"</formula>
    </cfRule>
    <cfRule type="cellIs" dxfId="9440" priority="13150" stopIfTrue="1" operator="equal">
      <formula>"Towel"</formula>
    </cfRule>
    <cfRule type="cellIs" dxfId="9439" priority="13151" stopIfTrue="1" operator="equal">
      <formula>"Napkin Hs"</formula>
    </cfRule>
    <cfRule type="cellIs" dxfId="9438" priority="13152" stopIfTrue="1" operator="equal">
      <formula>"Towel"</formula>
    </cfRule>
    <cfRule type="cellIs" dxfId="9437" priority="13153" stopIfTrue="1" operator="equal">
      <formula>"Napkin Hs"</formula>
    </cfRule>
    <cfRule type="cellIs" dxfId="9436" priority="13154" stopIfTrue="1" operator="equal">
      <formula>"Towel"</formula>
    </cfRule>
    <cfRule type="cellIs" dxfId="9435" priority="13155" stopIfTrue="1" operator="equal">
      <formula>"Napkin Hs"</formula>
    </cfRule>
    <cfRule type="cellIs" dxfId="9434" priority="13156" stopIfTrue="1" operator="equal">
      <formula>"Towel"</formula>
    </cfRule>
    <cfRule type="cellIs" dxfId="9433" priority="13157" stopIfTrue="1" operator="equal">
      <formula>"Napkin Hs"</formula>
    </cfRule>
    <cfRule type="cellIs" dxfId="9432" priority="13158" stopIfTrue="1" operator="equal">
      <formula>"Towel"</formula>
    </cfRule>
    <cfRule type="cellIs" dxfId="9431" priority="13159" stopIfTrue="1" operator="equal">
      <formula>"Napkin Hs"</formula>
    </cfRule>
    <cfRule type="cellIs" dxfId="9430" priority="13161" stopIfTrue="1" operator="equal">
      <formula>"Napkin Hs"</formula>
    </cfRule>
  </conditionalFormatting>
  <conditionalFormatting sqref="B65">
    <cfRule type="cellIs" dxfId="9429" priority="13160" stopIfTrue="1" operator="equal">
      <formula>"Towel"</formula>
    </cfRule>
  </conditionalFormatting>
  <conditionalFormatting sqref="B65">
    <cfRule type="cellIs" dxfId="9428" priority="13129" stopIfTrue="1" operator="equal">
      <formula>"Napkin Hs"</formula>
    </cfRule>
  </conditionalFormatting>
  <conditionalFormatting sqref="B65">
    <cfRule type="cellIs" dxfId="9427" priority="13128" stopIfTrue="1" operator="equal">
      <formula>"Napkin Hs"</formula>
    </cfRule>
  </conditionalFormatting>
  <conditionalFormatting sqref="B65">
    <cfRule type="cellIs" dxfId="9426" priority="13127" stopIfTrue="1" operator="equal">
      <formula>"Napkin Hs"</formula>
    </cfRule>
  </conditionalFormatting>
  <conditionalFormatting sqref="C70">
    <cfRule type="cellIs" dxfId="9425" priority="13123" stopIfTrue="1" operator="equal">
      <formula>"Towel"</formula>
    </cfRule>
    <cfRule type="cellIs" dxfId="9424" priority="13124" stopIfTrue="1" operator="equal">
      <formula>"Napkin Hs"</formula>
    </cfRule>
  </conditionalFormatting>
  <conditionalFormatting sqref="C70">
    <cfRule type="cellIs" dxfId="9423" priority="13125" stopIfTrue="1" operator="equal">
      <formula>"Towel"</formula>
    </cfRule>
    <cfRule type="cellIs" dxfId="9422" priority="13126" stopIfTrue="1" operator="equal">
      <formula>"Napkin Hs"</formula>
    </cfRule>
  </conditionalFormatting>
  <conditionalFormatting sqref="C70">
    <cfRule type="cellIs" dxfId="9421" priority="13121" stopIfTrue="1" operator="equal">
      <formula>"Towel"</formula>
    </cfRule>
    <cfRule type="cellIs" dxfId="9420" priority="13122" stopIfTrue="1" operator="equal">
      <formula>"Napkin Hs"</formula>
    </cfRule>
  </conditionalFormatting>
  <conditionalFormatting sqref="C70">
    <cfRule type="cellIs" dxfId="9419" priority="13115" stopIfTrue="1" operator="equal">
      <formula>"Towel"</formula>
    </cfRule>
    <cfRule type="cellIs" dxfId="9418" priority="13116" stopIfTrue="1" operator="equal">
      <formula>"Napkin Hs"</formula>
    </cfRule>
  </conditionalFormatting>
  <conditionalFormatting sqref="C70">
    <cfRule type="cellIs" dxfId="9417" priority="13119" stopIfTrue="1" operator="equal">
      <formula>"Towel"</formula>
    </cfRule>
    <cfRule type="cellIs" dxfId="9416" priority="13120" stopIfTrue="1" operator="equal">
      <formula>"Napkin Hs"</formula>
    </cfRule>
  </conditionalFormatting>
  <conditionalFormatting sqref="C70">
    <cfRule type="cellIs" dxfId="9415" priority="13117" stopIfTrue="1" operator="equal">
      <formula>"Towel"</formula>
    </cfRule>
    <cfRule type="cellIs" dxfId="9414" priority="13118" stopIfTrue="1" operator="equal">
      <formula>"Napkin Hs"</formula>
    </cfRule>
  </conditionalFormatting>
  <conditionalFormatting sqref="C70">
    <cfRule type="cellIs" dxfId="9413" priority="13109" stopIfTrue="1" operator="equal">
      <formula>"Towel"</formula>
    </cfRule>
    <cfRule type="cellIs" dxfId="9412" priority="13110" stopIfTrue="1" operator="equal">
      <formula>"Napkin Hs"</formula>
    </cfRule>
  </conditionalFormatting>
  <conditionalFormatting sqref="C70">
    <cfRule type="cellIs" dxfId="9411" priority="13111" stopIfTrue="1" operator="equal">
      <formula>"Towel"</formula>
    </cfRule>
    <cfRule type="cellIs" dxfId="9410" priority="13112" stopIfTrue="1" operator="equal">
      <formula>"Napkin Hs"</formula>
    </cfRule>
  </conditionalFormatting>
  <conditionalFormatting sqref="C70">
    <cfRule type="cellIs" dxfId="9409" priority="13113" stopIfTrue="1" operator="equal">
      <formula>"Towel"</formula>
    </cfRule>
    <cfRule type="cellIs" dxfId="9408" priority="13114" stopIfTrue="1" operator="equal">
      <formula>"Napkin Hs"</formula>
    </cfRule>
  </conditionalFormatting>
  <conditionalFormatting sqref="C70">
    <cfRule type="cellIs" dxfId="9407" priority="13107" stopIfTrue="1" operator="equal">
      <formula>"Towel"</formula>
    </cfRule>
    <cfRule type="cellIs" dxfId="9406" priority="13108" stopIfTrue="1" operator="equal">
      <formula>"Napkin Hs"</formula>
    </cfRule>
  </conditionalFormatting>
  <conditionalFormatting sqref="C70">
    <cfRule type="cellIs" dxfId="9405" priority="13105" stopIfTrue="1" operator="equal">
      <formula>"Towel"</formula>
    </cfRule>
    <cfRule type="cellIs" dxfId="9404" priority="13106" stopIfTrue="1" operator="equal">
      <formula>"Napkin Hs"</formula>
    </cfRule>
  </conditionalFormatting>
  <conditionalFormatting sqref="C70">
    <cfRule type="cellIs" dxfId="9403" priority="13081" stopIfTrue="1" operator="equal">
      <formula>"Towel"</formula>
    </cfRule>
  </conditionalFormatting>
  <conditionalFormatting sqref="C70">
    <cfRule type="cellIs" dxfId="9402" priority="13082" stopIfTrue="1" operator="equal">
      <formula>"Napkin Hs"</formula>
    </cfRule>
    <cfRule type="cellIs" dxfId="9401" priority="13087" stopIfTrue="1" operator="equal">
      <formula>"Towel"</formula>
    </cfRule>
    <cfRule type="cellIs" dxfId="9400" priority="13088" stopIfTrue="1" operator="equal">
      <formula>"Napkin Hs"</formula>
    </cfRule>
    <cfRule type="cellIs" dxfId="9399" priority="13097" stopIfTrue="1" operator="equal">
      <formula>"Towel"</formula>
    </cfRule>
    <cfRule type="cellIs" dxfId="9398" priority="13098" stopIfTrue="1" operator="equal">
      <formula>"Napkin Hs"</formula>
    </cfRule>
    <cfRule type="cellIs" dxfId="9397" priority="13103" stopIfTrue="1" operator="equal">
      <formula>"Towel"</formula>
    </cfRule>
    <cfRule type="cellIs" dxfId="9396" priority="13104" stopIfTrue="1" operator="equal">
      <formula>"Napkin Hs"</formula>
    </cfRule>
  </conditionalFormatting>
  <conditionalFormatting sqref="C70">
    <cfRule type="cellIs" dxfId="9395" priority="13083" stopIfTrue="1" operator="equal">
      <formula>"Towel"</formula>
    </cfRule>
    <cfRule type="cellIs" dxfId="9394" priority="13084" stopIfTrue="1" operator="equal">
      <formula>"Napkin Hs"</formula>
    </cfRule>
    <cfRule type="cellIs" dxfId="9393" priority="13085" stopIfTrue="1" operator="equal">
      <formula>"Towel"</formula>
    </cfRule>
    <cfRule type="cellIs" dxfId="9392" priority="13086" stopIfTrue="1" operator="equal">
      <formula>"Napkin Hs"</formula>
    </cfRule>
    <cfRule type="cellIs" dxfId="9391" priority="13089" stopIfTrue="1" operator="equal">
      <formula>"Towel"</formula>
    </cfRule>
    <cfRule type="cellIs" dxfId="9390" priority="13090" stopIfTrue="1" operator="equal">
      <formula>"Napkin Hs"</formula>
    </cfRule>
    <cfRule type="cellIs" dxfId="9389" priority="13091" stopIfTrue="1" operator="equal">
      <formula>"Towel"</formula>
    </cfRule>
    <cfRule type="cellIs" dxfId="9388" priority="13092" stopIfTrue="1" operator="equal">
      <formula>"Napkin Hs"</formula>
    </cfRule>
    <cfRule type="cellIs" dxfId="9387" priority="13093" stopIfTrue="1" operator="equal">
      <formula>"Towel"</formula>
    </cfRule>
    <cfRule type="cellIs" dxfId="9386" priority="13094" stopIfTrue="1" operator="equal">
      <formula>"Napkin Hs"</formula>
    </cfRule>
    <cfRule type="cellIs" dxfId="9385" priority="13095" stopIfTrue="1" operator="equal">
      <formula>"Towel"</formula>
    </cfRule>
    <cfRule type="cellIs" dxfId="9384" priority="13096" stopIfTrue="1" operator="equal">
      <formula>"Napkin Hs"</formula>
    </cfRule>
    <cfRule type="cellIs" dxfId="9383" priority="13099" stopIfTrue="1" operator="equal">
      <formula>"Towel"</formula>
    </cfRule>
    <cfRule type="cellIs" dxfId="9382" priority="13100" stopIfTrue="1" operator="equal">
      <formula>"Napkin Hs"</formula>
    </cfRule>
    <cfRule type="cellIs" dxfId="9381" priority="13102" stopIfTrue="1" operator="equal">
      <formula>"Napkin Hs"</formula>
    </cfRule>
  </conditionalFormatting>
  <conditionalFormatting sqref="C70">
    <cfRule type="cellIs" dxfId="9380" priority="13101" stopIfTrue="1" operator="equal">
      <formula>"Towel"</formula>
    </cfRule>
  </conditionalFormatting>
  <conditionalFormatting sqref="C70">
    <cfRule type="cellIs" dxfId="9379" priority="13079" stopIfTrue="1" operator="equal">
      <formula>"Towel"</formula>
    </cfRule>
    <cfRule type="cellIs" dxfId="9378" priority="13080" stopIfTrue="1" operator="equal">
      <formula>"Napkin Hs"</formula>
    </cfRule>
  </conditionalFormatting>
  <conditionalFormatting sqref="C70">
    <cfRule type="cellIs" dxfId="9377" priority="13078" stopIfTrue="1" operator="equal">
      <formula>"Napkin Hs"</formula>
    </cfRule>
  </conditionalFormatting>
  <conditionalFormatting sqref="C70">
    <cfRule type="cellIs" dxfId="9376" priority="13077" stopIfTrue="1" operator="equal">
      <formula>"Towel"</formula>
    </cfRule>
  </conditionalFormatting>
  <conditionalFormatting sqref="C70">
    <cfRule type="cellIs" dxfId="9375" priority="13075" stopIfTrue="1" operator="equal">
      <formula>"Towel"</formula>
    </cfRule>
  </conditionalFormatting>
  <conditionalFormatting sqref="C70">
    <cfRule type="cellIs" dxfId="9374" priority="13076" stopIfTrue="1" operator="equal">
      <formula>"Napkin Hs"</formula>
    </cfRule>
  </conditionalFormatting>
  <conditionalFormatting sqref="C70">
    <cfRule type="cellIs" dxfId="9373" priority="12979" stopIfTrue="1" operator="equal">
      <formula>"Towel"</formula>
    </cfRule>
  </conditionalFormatting>
  <conditionalFormatting sqref="C70">
    <cfRule type="cellIs" dxfId="9372" priority="12989" stopIfTrue="1" operator="equal">
      <formula>"Towel"</formula>
    </cfRule>
    <cfRule type="cellIs" dxfId="9371" priority="12990" stopIfTrue="1" operator="equal">
      <formula>"Napkin Hs"</formula>
    </cfRule>
    <cfRule type="cellIs" dxfId="9370" priority="12995" stopIfTrue="1" operator="equal">
      <formula>"Towel"</formula>
    </cfRule>
    <cfRule type="cellIs" dxfId="9369" priority="12996" stopIfTrue="1" operator="equal">
      <formula>"Napkin Hs"</formula>
    </cfRule>
    <cfRule type="cellIs" dxfId="9368" priority="13001" stopIfTrue="1" operator="equal">
      <formula>"Towel"</formula>
    </cfRule>
    <cfRule type="cellIs" dxfId="9367" priority="13002" stopIfTrue="1" operator="equal">
      <formula>"Napkin Hs"</formula>
    </cfRule>
    <cfRule type="cellIs" dxfId="9366" priority="13003" stopIfTrue="1" operator="equal">
      <formula>"Towel"</formula>
    </cfRule>
    <cfRule type="cellIs" dxfId="9365" priority="13004" stopIfTrue="1" operator="equal">
      <formula>"Napkin Hs"</formula>
    </cfRule>
    <cfRule type="cellIs" dxfId="9364" priority="13009" stopIfTrue="1" operator="equal">
      <formula>"Towel"</formula>
    </cfRule>
    <cfRule type="cellIs" dxfId="9363" priority="13010" stopIfTrue="1" operator="equal">
      <formula>"Napkin Hs"</formula>
    </cfRule>
    <cfRule type="cellIs" dxfId="9362" priority="13019" stopIfTrue="1" operator="equal">
      <formula>"Towel"</formula>
    </cfRule>
    <cfRule type="cellIs" dxfId="9361" priority="13020" stopIfTrue="1" operator="equal">
      <formula>"Napkin Hs"</formula>
    </cfRule>
    <cfRule type="cellIs" dxfId="9360" priority="13025" stopIfTrue="1" operator="equal">
      <formula>"Towel"</formula>
    </cfRule>
    <cfRule type="cellIs" dxfId="9359" priority="13026" stopIfTrue="1" operator="equal">
      <formula>"Napkin Hs"</formula>
    </cfRule>
    <cfRule type="cellIs" dxfId="9358" priority="13027" stopIfTrue="1" operator="equal">
      <formula>"Towel"</formula>
    </cfRule>
    <cfRule type="cellIs" dxfId="9357" priority="13028" stopIfTrue="1" operator="equal">
      <formula>"Napkin Hs"</formula>
    </cfRule>
    <cfRule type="cellIs" dxfId="9356" priority="13033" stopIfTrue="1" operator="equal">
      <formula>"Towel"</formula>
    </cfRule>
    <cfRule type="cellIs" dxfId="9355" priority="13034" stopIfTrue="1" operator="equal">
      <formula>"Napkin Hs"</formula>
    </cfRule>
    <cfRule type="cellIs" dxfId="9354" priority="13043" stopIfTrue="1" operator="equal">
      <formula>"Towel"</formula>
    </cfRule>
    <cfRule type="cellIs" dxfId="9353" priority="13044" stopIfTrue="1" operator="equal">
      <formula>"Napkin Hs"</formula>
    </cfRule>
    <cfRule type="cellIs" dxfId="9352" priority="13045" stopIfTrue="1" operator="equal">
      <formula>"Towel"</formula>
    </cfRule>
    <cfRule type="cellIs" dxfId="9351" priority="13046" stopIfTrue="1" operator="equal">
      <formula>"Napkin Hs"</formula>
    </cfRule>
    <cfRule type="cellIs" dxfId="9350" priority="13051" stopIfTrue="1" operator="equal">
      <formula>"Towel"</formula>
    </cfRule>
    <cfRule type="cellIs" dxfId="9349" priority="13052" stopIfTrue="1" operator="equal">
      <formula>"Napkin Hs"</formula>
    </cfRule>
    <cfRule type="cellIs" dxfId="9348" priority="13061" stopIfTrue="1" operator="equal">
      <formula>"Towel"</formula>
    </cfRule>
    <cfRule type="cellIs" dxfId="9347" priority="13062" stopIfTrue="1" operator="equal">
      <formula>"Napkin Hs"</formula>
    </cfRule>
    <cfRule type="cellIs" dxfId="9346" priority="13063" stopIfTrue="1" operator="equal">
      <formula>"Towel"</formula>
    </cfRule>
    <cfRule type="cellIs" dxfId="9345" priority="13064" stopIfTrue="1" operator="equal">
      <formula>"Napkin Hs"</formula>
    </cfRule>
    <cfRule type="cellIs" dxfId="9344" priority="13070" stopIfTrue="1" operator="equal">
      <formula>"Napkin Hs"</formula>
    </cfRule>
  </conditionalFormatting>
  <conditionalFormatting sqref="C70">
    <cfRule type="cellIs" dxfId="9343" priority="13069" stopIfTrue="1" operator="equal">
      <formula>"Towel"</formula>
    </cfRule>
  </conditionalFormatting>
  <conditionalFormatting sqref="C70">
    <cfRule type="cellIs" dxfId="9342" priority="12980" stopIfTrue="1" operator="equal">
      <formula>"Napkin Hs"</formula>
    </cfRule>
    <cfRule type="cellIs" dxfId="9341" priority="12981" stopIfTrue="1" operator="equal">
      <formula>"Towel"</formula>
    </cfRule>
    <cfRule type="cellIs" dxfId="9340" priority="12982" stopIfTrue="1" operator="equal">
      <formula>"Napkin Hs"</formula>
    </cfRule>
    <cfRule type="cellIs" dxfId="9339" priority="12983" stopIfTrue="1" operator="equal">
      <formula>"Towel"</formula>
    </cfRule>
    <cfRule type="cellIs" dxfId="9338" priority="12984" stopIfTrue="1" operator="equal">
      <formula>"Napkin Hs"</formula>
    </cfRule>
    <cfRule type="cellIs" dxfId="9337" priority="12985" stopIfTrue="1" operator="equal">
      <formula>"Towel"</formula>
    </cfRule>
    <cfRule type="cellIs" dxfId="9336" priority="12986" stopIfTrue="1" operator="equal">
      <formula>"Napkin Hs"</formula>
    </cfRule>
    <cfRule type="cellIs" dxfId="9335" priority="12987" stopIfTrue="1" operator="equal">
      <formula>"Towel"</formula>
    </cfRule>
    <cfRule type="cellIs" dxfId="9334" priority="12988" stopIfTrue="1" operator="equal">
      <formula>"Napkin Hs"</formula>
    </cfRule>
    <cfRule type="cellIs" dxfId="9333" priority="12991" stopIfTrue="1" operator="equal">
      <formula>"Towel"</formula>
    </cfRule>
    <cfRule type="cellIs" dxfId="9332" priority="12992" stopIfTrue="1" operator="equal">
      <formula>"Napkin Hs"</formula>
    </cfRule>
    <cfRule type="cellIs" dxfId="9331" priority="12993" stopIfTrue="1" operator="equal">
      <formula>"Towel"</formula>
    </cfRule>
    <cfRule type="cellIs" dxfId="9330" priority="12994" stopIfTrue="1" operator="equal">
      <formula>"Napkin Hs"</formula>
    </cfRule>
    <cfRule type="cellIs" dxfId="9329" priority="12997" stopIfTrue="1" operator="equal">
      <formula>"Towel"</formula>
    </cfRule>
    <cfRule type="cellIs" dxfId="9328" priority="12998" stopIfTrue="1" operator="equal">
      <formula>"Napkin Hs"</formula>
    </cfRule>
    <cfRule type="cellIs" dxfId="9327" priority="12999" stopIfTrue="1" operator="equal">
      <formula>"Towel"</formula>
    </cfRule>
    <cfRule type="cellIs" dxfId="9326" priority="13000" stopIfTrue="1" operator="equal">
      <formula>"Napkin Hs"</formula>
    </cfRule>
    <cfRule type="cellIs" dxfId="9325" priority="13005" stopIfTrue="1" operator="equal">
      <formula>"Towel"</formula>
    </cfRule>
    <cfRule type="cellIs" dxfId="9324" priority="13006" stopIfTrue="1" operator="equal">
      <formula>"Napkin Hs"</formula>
    </cfRule>
    <cfRule type="cellIs" dxfId="9323" priority="13007" stopIfTrue="1" operator="equal">
      <formula>"Towel"</formula>
    </cfRule>
    <cfRule type="cellIs" dxfId="9322" priority="13008" stopIfTrue="1" operator="equal">
      <formula>"Napkin Hs"</formula>
    </cfRule>
    <cfRule type="cellIs" dxfId="9321" priority="13011" stopIfTrue="1" operator="equal">
      <formula>"Towel"</formula>
    </cfRule>
    <cfRule type="cellIs" dxfId="9320" priority="13012" stopIfTrue="1" operator="equal">
      <formula>"Napkin Hs"</formula>
    </cfRule>
    <cfRule type="cellIs" dxfId="9319" priority="13013" stopIfTrue="1" operator="equal">
      <formula>"Towel"</formula>
    </cfRule>
    <cfRule type="cellIs" dxfId="9318" priority="13014" stopIfTrue="1" operator="equal">
      <formula>"Napkin Hs"</formula>
    </cfRule>
    <cfRule type="cellIs" dxfId="9317" priority="13015" stopIfTrue="1" operator="equal">
      <formula>"Towel"</formula>
    </cfRule>
    <cfRule type="cellIs" dxfId="9316" priority="13016" stopIfTrue="1" operator="equal">
      <formula>"Napkin Hs"</formula>
    </cfRule>
    <cfRule type="cellIs" dxfId="9315" priority="13017" stopIfTrue="1" operator="equal">
      <formula>"Towel"</formula>
    </cfRule>
    <cfRule type="cellIs" dxfId="9314" priority="13018" stopIfTrue="1" operator="equal">
      <formula>"Napkin Hs"</formula>
    </cfRule>
    <cfRule type="cellIs" dxfId="9313" priority="13021" stopIfTrue="1" operator="equal">
      <formula>"Towel"</formula>
    </cfRule>
    <cfRule type="cellIs" dxfId="9312" priority="13022" stopIfTrue="1" operator="equal">
      <formula>"Napkin Hs"</formula>
    </cfRule>
    <cfRule type="cellIs" dxfId="9311" priority="13023" stopIfTrue="1" operator="equal">
      <formula>"Towel"</formula>
    </cfRule>
    <cfRule type="cellIs" dxfId="9310" priority="13024" stopIfTrue="1" operator="equal">
      <formula>"Napkin Hs"</formula>
    </cfRule>
    <cfRule type="cellIs" dxfId="9309" priority="13029" stopIfTrue="1" operator="equal">
      <formula>"Towel"</formula>
    </cfRule>
    <cfRule type="cellIs" dxfId="9308" priority="13030" stopIfTrue="1" operator="equal">
      <formula>"Napkin Hs"</formula>
    </cfRule>
    <cfRule type="cellIs" dxfId="9307" priority="13031" stopIfTrue="1" operator="equal">
      <formula>"Towel"</formula>
    </cfRule>
    <cfRule type="cellIs" dxfId="9306" priority="13032" stopIfTrue="1" operator="equal">
      <formula>"Napkin Hs"</formula>
    </cfRule>
    <cfRule type="cellIs" dxfId="9305" priority="13035" stopIfTrue="1" operator="equal">
      <formula>"Towel"</formula>
    </cfRule>
    <cfRule type="cellIs" dxfId="9304" priority="13036" stopIfTrue="1" operator="equal">
      <formula>"Napkin Hs"</formula>
    </cfRule>
    <cfRule type="cellIs" dxfId="9303" priority="13037" stopIfTrue="1" operator="equal">
      <formula>"Towel"</formula>
    </cfRule>
    <cfRule type="cellIs" dxfId="9302" priority="13038" stopIfTrue="1" operator="equal">
      <formula>"Napkin Hs"</formula>
    </cfRule>
    <cfRule type="cellIs" dxfId="9301" priority="13039" stopIfTrue="1" operator="equal">
      <formula>"Towel"</formula>
    </cfRule>
    <cfRule type="cellIs" dxfId="9300" priority="13040" stopIfTrue="1" operator="equal">
      <formula>"Napkin Hs"</formula>
    </cfRule>
    <cfRule type="cellIs" dxfId="9299" priority="13041" stopIfTrue="1" operator="equal">
      <formula>"Towel"</formula>
    </cfRule>
    <cfRule type="cellIs" dxfId="9298" priority="13042" stopIfTrue="1" operator="equal">
      <formula>"Napkin Hs"</formula>
    </cfRule>
    <cfRule type="cellIs" dxfId="9297" priority="13047" stopIfTrue="1" operator="equal">
      <formula>"Towel"</formula>
    </cfRule>
    <cfRule type="cellIs" dxfId="9296" priority="13048" stopIfTrue="1" operator="equal">
      <formula>"Napkin Hs"</formula>
    </cfRule>
    <cfRule type="cellIs" dxfId="9295" priority="13049" stopIfTrue="1" operator="equal">
      <formula>"Towel"</formula>
    </cfRule>
    <cfRule type="cellIs" dxfId="9294" priority="13050" stopIfTrue="1" operator="equal">
      <formula>"Napkin Hs"</formula>
    </cfRule>
    <cfRule type="cellIs" dxfId="9293" priority="13053" stopIfTrue="1" operator="equal">
      <formula>"Towel"</formula>
    </cfRule>
    <cfRule type="cellIs" dxfId="9292" priority="13054" stopIfTrue="1" operator="equal">
      <formula>"Napkin Hs"</formula>
    </cfRule>
    <cfRule type="cellIs" dxfId="9291" priority="13055" stopIfTrue="1" operator="equal">
      <formula>"Towel"</formula>
    </cfRule>
    <cfRule type="cellIs" dxfId="9290" priority="13056" stopIfTrue="1" operator="equal">
      <formula>"Napkin Hs"</formula>
    </cfRule>
    <cfRule type="cellIs" dxfId="9289" priority="13057" stopIfTrue="1" operator="equal">
      <formula>"Towel"</formula>
    </cfRule>
    <cfRule type="cellIs" dxfId="9288" priority="13058" stopIfTrue="1" operator="equal">
      <formula>"Napkin Hs"</formula>
    </cfRule>
    <cfRule type="cellIs" dxfId="9287" priority="13059" stopIfTrue="1" operator="equal">
      <formula>"Towel"</formula>
    </cfRule>
    <cfRule type="cellIs" dxfId="9286" priority="13060" stopIfTrue="1" operator="equal">
      <formula>"Napkin Hs"</formula>
    </cfRule>
    <cfRule type="cellIs" dxfId="9285" priority="13065" stopIfTrue="1" operator="equal">
      <formula>"Towel"</formula>
    </cfRule>
    <cfRule type="cellIs" dxfId="9284" priority="13066" stopIfTrue="1" operator="equal">
      <formula>"Napkin Hs"</formula>
    </cfRule>
    <cfRule type="cellIs" dxfId="9283" priority="13067" stopIfTrue="1" operator="equal">
      <formula>"Towel"</formula>
    </cfRule>
    <cfRule type="cellIs" dxfId="9282" priority="13068" stopIfTrue="1" operator="equal">
      <formula>"Napkin Hs"</formula>
    </cfRule>
    <cfRule type="cellIs" dxfId="9281" priority="13071" stopIfTrue="1" operator="equal">
      <formula>"Towel"</formula>
    </cfRule>
    <cfRule type="cellIs" dxfId="9280" priority="13072" stopIfTrue="1" operator="equal">
      <formula>"Napkin Hs"</formula>
    </cfRule>
    <cfRule type="cellIs" dxfId="9279" priority="13073" stopIfTrue="1" operator="equal">
      <formula>"Towel"</formula>
    </cfRule>
    <cfRule type="cellIs" dxfId="9278" priority="13074" stopIfTrue="1" operator="equal">
      <formula>"Napkin Hs"</formula>
    </cfRule>
  </conditionalFormatting>
  <conditionalFormatting sqref="C70">
    <cfRule type="cellIs" dxfId="9277" priority="12978" stopIfTrue="1" operator="equal">
      <formula>"Napkin Hs"</formula>
    </cfRule>
  </conditionalFormatting>
  <conditionalFormatting sqref="C70">
    <cfRule type="cellIs" dxfId="9276" priority="12977" stopIfTrue="1" operator="equal">
      <formula>"Napkin Hs"</formula>
    </cfRule>
  </conditionalFormatting>
  <conditionalFormatting sqref="C70">
    <cfRule type="cellIs" dxfId="9275" priority="12976" stopIfTrue="1" operator="equal">
      <formula>"Napkin Hs"</formula>
    </cfRule>
  </conditionalFormatting>
  <conditionalFormatting sqref="C70">
    <cfRule type="cellIs" dxfId="9274" priority="12975" stopIfTrue="1" operator="equal">
      <formula>"Napkin Hs"</formula>
    </cfRule>
  </conditionalFormatting>
  <conditionalFormatting sqref="C70">
    <cfRule type="cellIs" dxfId="9273" priority="12974" stopIfTrue="1" operator="equal">
      <formula>"Napkin Hs"</formula>
    </cfRule>
  </conditionalFormatting>
  <conditionalFormatting sqref="C70">
    <cfRule type="cellIs" dxfId="9272" priority="12973" stopIfTrue="1" operator="equal">
      <formula>"Napkin Hs"</formula>
    </cfRule>
  </conditionalFormatting>
  <conditionalFormatting sqref="C70">
    <cfRule type="cellIs" dxfId="9271" priority="12969" stopIfTrue="1" operator="equal">
      <formula>"Towel"</formula>
    </cfRule>
    <cfRule type="cellIs" dxfId="9270" priority="12970" stopIfTrue="1" operator="equal">
      <formula>"Napkin Hs"</formula>
    </cfRule>
  </conditionalFormatting>
  <conditionalFormatting sqref="C70">
    <cfRule type="cellIs" dxfId="9269" priority="12971" stopIfTrue="1" operator="equal">
      <formula>"Towel"</formula>
    </cfRule>
    <cfRule type="cellIs" dxfId="9268" priority="12972" stopIfTrue="1" operator="equal">
      <formula>"Napkin Hs"</formula>
    </cfRule>
  </conditionalFormatting>
  <conditionalFormatting sqref="C70">
    <cfRule type="cellIs" dxfId="9267" priority="12965" stopIfTrue="1" operator="equal">
      <formula>"Towel"</formula>
    </cfRule>
    <cfRule type="cellIs" dxfId="9266" priority="12966" stopIfTrue="1" operator="equal">
      <formula>"Napkin Hs"</formula>
    </cfRule>
  </conditionalFormatting>
  <conditionalFormatting sqref="C70">
    <cfRule type="cellIs" dxfId="9265" priority="12967" stopIfTrue="1" operator="equal">
      <formula>"Towel"</formula>
    </cfRule>
    <cfRule type="cellIs" dxfId="9264" priority="12968" stopIfTrue="1" operator="equal">
      <formula>"Napkin Hs"</formula>
    </cfRule>
  </conditionalFormatting>
  <conditionalFormatting sqref="B70">
    <cfRule type="cellIs" dxfId="9263" priority="12963" stopIfTrue="1" operator="equal">
      <formula>"Towel"</formula>
    </cfRule>
    <cfRule type="cellIs" dxfId="9262" priority="12964" stopIfTrue="1" operator="equal">
      <formula>"Napkin Hs"</formula>
    </cfRule>
  </conditionalFormatting>
  <conditionalFormatting sqref="B70">
    <cfRule type="cellIs" dxfId="9261" priority="12961" stopIfTrue="1" operator="equal">
      <formula>"Towel"</formula>
    </cfRule>
    <cfRule type="cellIs" dxfId="9260" priority="12962" stopIfTrue="1" operator="equal">
      <formula>"Napkin Hs"</formula>
    </cfRule>
  </conditionalFormatting>
  <conditionalFormatting sqref="B70">
    <cfRule type="cellIs" dxfId="9259" priority="12959" stopIfTrue="1" operator="equal">
      <formula>"Towel"</formula>
    </cfRule>
    <cfRule type="cellIs" dxfId="9258" priority="12960" stopIfTrue="1" operator="equal">
      <formula>"Napkin Hs"</formula>
    </cfRule>
  </conditionalFormatting>
  <conditionalFormatting sqref="B70">
    <cfRule type="cellIs" dxfId="9257" priority="12951" stopIfTrue="1" operator="equal">
      <formula>"Towel"</formula>
    </cfRule>
  </conditionalFormatting>
  <conditionalFormatting sqref="B70">
    <cfRule type="cellIs" dxfId="9256" priority="12952" stopIfTrue="1" operator="equal">
      <formula>"Napkin Hs"</formula>
    </cfRule>
    <cfRule type="cellIs" dxfId="9255" priority="12953" stopIfTrue="1" operator="equal">
      <formula>"Towel"</formula>
    </cfRule>
    <cfRule type="cellIs" dxfId="9254" priority="12954" stopIfTrue="1" operator="equal">
      <formula>"Napkin Hs"</formula>
    </cfRule>
    <cfRule type="cellIs" dxfId="9253" priority="12955" stopIfTrue="1" operator="equal">
      <formula>"Towel"</formula>
    </cfRule>
    <cfRule type="cellIs" dxfId="9252" priority="12956" stopIfTrue="1" operator="equal">
      <formula>"Napkin Hs"</formula>
    </cfRule>
    <cfRule type="cellIs" dxfId="9251" priority="12957" stopIfTrue="1" operator="equal">
      <formula>"Towel"</formula>
    </cfRule>
    <cfRule type="cellIs" dxfId="9250" priority="12958" stopIfTrue="1" operator="equal">
      <formula>"Napkin Hs"</formula>
    </cfRule>
  </conditionalFormatting>
  <conditionalFormatting sqref="B70">
    <cfRule type="cellIs" dxfId="9249" priority="12949" stopIfTrue="1" operator="equal">
      <formula>"Towel"</formula>
    </cfRule>
    <cfRule type="cellIs" dxfId="9248" priority="12950" stopIfTrue="1" operator="equal">
      <formula>"Napkin Hs"</formula>
    </cfRule>
  </conditionalFormatting>
  <conditionalFormatting sqref="B70">
    <cfRule type="cellIs" dxfId="9247" priority="12918" stopIfTrue="1" operator="equal">
      <formula>"Napkin Hs"</formula>
    </cfRule>
  </conditionalFormatting>
  <conditionalFormatting sqref="B70">
    <cfRule type="cellIs" dxfId="9246" priority="12917" stopIfTrue="1" operator="equal">
      <formula>"Towel"</formula>
    </cfRule>
  </conditionalFormatting>
  <conditionalFormatting sqref="B70">
    <cfRule type="cellIs" dxfId="9245" priority="12919" stopIfTrue="1" operator="equal">
      <formula>"Towel"</formula>
    </cfRule>
    <cfRule type="cellIs" dxfId="9244" priority="12920" stopIfTrue="1" operator="equal">
      <formula>"Napkin Hs"</formula>
    </cfRule>
    <cfRule type="cellIs" dxfId="9243" priority="12921" stopIfTrue="1" operator="equal">
      <formula>"Towel"</formula>
    </cfRule>
    <cfRule type="cellIs" dxfId="9242" priority="12922" stopIfTrue="1" operator="equal">
      <formula>"Napkin Hs"</formula>
    </cfRule>
    <cfRule type="cellIs" dxfId="9241" priority="12923" stopIfTrue="1" operator="equal">
      <formula>"Towel"</formula>
    </cfRule>
    <cfRule type="cellIs" dxfId="9240" priority="12924" stopIfTrue="1" operator="equal">
      <formula>"Napkin Hs"</formula>
    </cfRule>
    <cfRule type="cellIs" dxfId="9239" priority="12925" stopIfTrue="1" operator="equal">
      <formula>"Towel"</formula>
    </cfRule>
    <cfRule type="cellIs" dxfId="9238" priority="12926" stopIfTrue="1" operator="equal">
      <formula>"Napkin Hs"</formula>
    </cfRule>
    <cfRule type="cellIs" dxfId="9237" priority="12927" stopIfTrue="1" operator="equal">
      <formula>"Towel"</formula>
    </cfRule>
    <cfRule type="cellIs" dxfId="9236" priority="12928" stopIfTrue="1" operator="equal">
      <formula>"Napkin Hs"</formula>
    </cfRule>
    <cfRule type="cellIs" dxfId="9235" priority="12929" stopIfTrue="1" operator="equal">
      <formula>"Towel"</formula>
    </cfRule>
    <cfRule type="cellIs" dxfId="9234" priority="12930" stopIfTrue="1" operator="equal">
      <formula>"Napkin Hs"</formula>
    </cfRule>
    <cfRule type="cellIs" dxfId="9233" priority="12931" stopIfTrue="1" operator="equal">
      <formula>"Towel"</formula>
    </cfRule>
    <cfRule type="cellIs" dxfId="9232" priority="12932" stopIfTrue="1" operator="equal">
      <formula>"Napkin Hs"</formula>
    </cfRule>
    <cfRule type="cellIs" dxfId="9231" priority="12933" stopIfTrue="1" operator="equal">
      <formula>"Towel"</formula>
    </cfRule>
    <cfRule type="cellIs" dxfId="9230" priority="12934" stopIfTrue="1" operator="equal">
      <formula>"Napkin Hs"</formula>
    </cfRule>
    <cfRule type="cellIs" dxfId="9229" priority="12935" stopIfTrue="1" operator="equal">
      <formula>"Towel"</formula>
    </cfRule>
    <cfRule type="cellIs" dxfId="9228" priority="12936" stopIfTrue="1" operator="equal">
      <formula>"Napkin Hs"</formula>
    </cfRule>
    <cfRule type="cellIs" dxfId="9227" priority="12937" stopIfTrue="1" operator="equal">
      <formula>"Towel"</formula>
    </cfRule>
    <cfRule type="cellIs" dxfId="9226" priority="12938" stopIfTrue="1" operator="equal">
      <formula>"Napkin Hs"</formula>
    </cfRule>
    <cfRule type="cellIs" dxfId="9225" priority="12939" stopIfTrue="1" operator="equal">
      <formula>"Towel"</formula>
    </cfRule>
    <cfRule type="cellIs" dxfId="9224" priority="12940" stopIfTrue="1" operator="equal">
      <formula>"Napkin Hs"</formula>
    </cfRule>
    <cfRule type="cellIs" dxfId="9223" priority="12941" stopIfTrue="1" operator="equal">
      <formula>"Towel"</formula>
    </cfRule>
    <cfRule type="cellIs" dxfId="9222" priority="12942" stopIfTrue="1" operator="equal">
      <formula>"Napkin Hs"</formula>
    </cfRule>
    <cfRule type="cellIs" dxfId="9221" priority="12943" stopIfTrue="1" operator="equal">
      <formula>"Towel"</formula>
    </cfRule>
    <cfRule type="cellIs" dxfId="9220" priority="12944" stopIfTrue="1" operator="equal">
      <formula>"Napkin Hs"</formula>
    </cfRule>
    <cfRule type="cellIs" dxfId="9219" priority="12945" stopIfTrue="1" operator="equal">
      <formula>"Towel"</formula>
    </cfRule>
    <cfRule type="cellIs" dxfId="9218" priority="12946" stopIfTrue="1" operator="equal">
      <formula>"Napkin Hs"</formula>
    </cfRule>
    <cfRule type="cellIs" dxfId="9217" priority="12948" stopIfTrue="1" operator="equal">
      <formula>"Napkin Hs"</formula>
    </cfRule>
  </conditionalFormatting>
  <conditionalFormatting sqref="B70">
    <cfRule type="cellIs" dxfId="9216" priority="12947" stopIfTrue="1" operator="equal">
      <formula>"Towel"</formula>
    </cfRule>
  </conditionalFormatting>
  <conditionalFormatting sqref="B70">
    <cfRule type="cellIs" dxfId="9215" priority="12916" stopIfTrue="1" operator="equal">
      <formula>"Napkin Hs"</formula>
    </cfRule>
  </conditionalFormatting>
  <conditionalFormatting sqref="B70">
    <cfRule type="cellIs" dxfId="9214" priority="12915" stopIfTrue="1" operator="equal">
      <formula>"Napkin Hs"</formula>
    </cfRule>
  </conditionalFormatting>
  <conditionalFormatting sqref="B70">
    <cfRule type="cellIs" dxfId="9213" priority="12914" stopIfTrue="1" operator="equal">
      <formula>"Napkin Hs"</formula>
    </cfRule>
  </conditionalFormatting>
  <conditionalFormatting sqref="B78:C78">
    <cfRule type="cellIs" dxfId="9212" priority="12912" stopIfTrue="1" operator="equal">
      <formula>"Towel"</formula>
    </cfRule>
    <cfRule type="cellIs" dxfId="9211" priority="12913" stopIfTrue="1" operator="equal">
      <formula>"Napkin Hs"</formula>
    </cfRule>
  </conditionalFormatting>
  <conditionalFormatting sqref="C78">
    <cfRule type="cellIs" dxfId="9210" priority="12910" stopIfTrue="1" operator="equal">
      <formula>"Towel"</formula>
    </cfRule>
    <cfRule type="cellIs" dxfId="9209" priority="12911" stopIfTrue="1" operator="equal">
      <formula>"Napkin Hs"</formula>
    </cfRule>
  </conditionalFormatting>
  <conditionalFormatting sqref="C78">
    <cfRule type="cellIs" dxfId="9208" priority="12908" stopIfTrue="1" operator="equal">
      <formula>"Towel"</formula>
    </cfRule>
    <cfRule type="cellIs" dxfId="9207" priority="12909" stopIfTrue="1" operator="equal">
      <formula>"Napkin Hs"</formula>
    </cfRule>
  </conditionalFormatting>
  <conditionalFormatting sqref="B83:C83">
    <cfRule type="cellIs" dxfId="9206" priority="12906" stopIfTrue="1" operator="equal">
      <formula>"Towel"</formula>
    </cfRule>
    <cfRule type="cellIs" dxfId="9205" priority="12907" stopIfTrue="1" operator="equal">
      <formula>"Napkin Hs"</formula>
    </cfRule>
  </conditionalFormatting>
  <conditionalFormatting sqref="B82:C82">
    <cfRule type="cellIs" dxfId="9204" priority="12902" stopIfTrue="1" operator="equal">
      <formula>"Towel"</formula>
    </cfRule>
    <cfRule type="cellIs" dxfId="9203" priority="12903" stopIfTrue="1" operator="equal">
      <formula>"Napkin Hs"</formula>
    </cfRule>
  </conditionalFormatting>
  <conditionalFormatting sqref="C83">
    <cfRule type="cellIs" dxfId="9202" priority="12905" stopIfTrue="1" operator="equal">
      <formula>"Napkin Hs"</formula>
    </cfRule>
  </conditionalFormatting>
  <conditionalFormatting sqref="C83">
    <cfRule type="cellIs" dxfId="9201" priority="12904" stopIfTrue="1" operator="equal">
      <formula>"Towel"</formula>
    </cfRule>
  </conditionalFormatting>
  <conditionalFormatting sqref="C82">
    <cfRule type="cellIs" dxfId="9200" priority="12898" stopIfTrue="1" operator="equal">
      <formula>"Towel"</formula>
    </cfRule>
    <cfRule type="cellIs" dxfId="9199" priority="12899" stopIfTrue="1" operator="equal">
      <formula>"Napkin Hs"</formula>
    </cfRule>
  </conditionalFormatting>
  <conditionalFormatting sqref="C82:C83">
    <cfRule type="cellIs" dxfId="9198" priority="12900" stopIfTrue="1" operator="equal">
      <formula>"Towel"</formula>
    </cfRule>
    <cfRule type="cellIs" dxfId="9197" priority="12901" stopIfTrue="1" operator="equal">
      <formula>"Napkin Hs"</formula>
    </cfRule>
  </conditionalFormatting>
  <conditionalFormatting sqref="C81">
    <cfRule type="cellIs" dxfId="9196" priority="12890" stopIfTrue="1" operator="equal">
      <formula>"Towel"</formula>
    </cfRule>
    <cfRule type="cellIs" dxfId="9195" priority="12891" stopIfTrue="1" operator="equal">
      <formula>"Napkin Hs"</formula>
    </cfRule>
  </conditionalFormatting>
  <conditionalFormatting sqref="C81">
    <cfRule type="cellIs" dxfId="9194" priority="12892" stopIfTrue="1" operator="equal">
      <formula>"Towel"</formula>
    </cfRule>
    <cfRule type="cellIs" dxfId="9193" priority="12893" stopIfTrue="1" operator="equal">
      <formula>"Napkin Hs"</formula>
    </cfRule>
  </conditionalFormatting>
  <conditionalFormatting sqref="C81">
    <cfRule type="cellIs" dxfId="9192" priority="12888" stopIfTrue="1" operator="equal">
      <formula>"Towel"</formula>
    </cfRule>
    <cfRule type="cellIs" dxfId="9191" priority="12889" stopIfTrue="1" operator="equal">
      <formula>"Napkin Hs"</formula>
    </cfRule>
  </conditionalFormatting>
  <conditionalFormatting sqref="C81">
    <cfRule type="cellIs" dxfId="9190" priority="12886" stopIfTrue="1" operator="equal">
      <formula>"Towel"</formula>
    </cfRule>
    <cfRule type="cellIs" dxfId="9189" priority="12887" stopIfTrue="1" operator="equal">
      <formula>"Napkin Hs"</formula>
    </cfRule>
  </conditionalFormatting>
  <conditionalFormatting sqref="C81">
    <cfRule type="cellIs" dxfId="9188" priority="12894" stopIfTrue="1" operator="equal">
      <formula>"Towel"</formula>
    </cfRule>
    <cfRule type="cellIs" dxfId="9187" priority="12895" stopIfTrue="1" operator="equal">
      <formula>"Napkin Hs"</formula>
    </cfRule>
  </conditionalFormatting>
  <conditionalFormatting sqref="C81">
    <cfRule type="cellIs" dxfId="9186" priority="12896" stopIfTrue="1" operator="equal">
      <formula>"Towel"</formula>
    </cfRule>
    <cfRule type="cellIs" dxfId="9185" priority="12897" stopIfTrue="1" operator="equal">
      <formula>"Napkin Hs"</formula>
    </cfRule>
  </conditionalFormatting>
  <conditionalFormatting sqref="C80">
    <cfRule type="cellIs" dxfId="9184" priority="12878" stopIfTrue="1" operator="equal">
      <formula>"Towel"</formula>
    </cfRule>
    <cfRule type="cellIs" dxfId="9183" priority="12879" stopIfTrue="1" operator="equal">
      <formula>"Napkin Hs"</formula>
    </cfRule>
  </conditionalFormatting>
  <conditionalFormatting sqref="B80:C80">
    <cfRule type="cellIs" dxfId="9182" priority="12880" stopIfTrue="1" operator="equal">
      <formula>"Towel"</formula>
    </cfRule>
    <cfRule type="cellIs" dxfId="9181" priority="12881" stopIfTrue="1" operator="equal">
      <formula>"Napkin Hs"</formula>
    </cfRule>
  </conditionalFormatting>
  <conditionalFormatting sqref="C80">
    <cfRule type="cellIs" dxfId="9180" priority="12876" stopIfTrue="1" operator="equal">
      <formula>"Towel"</formula>
    </cfRule>
    <cfRule type="cellIs" dxfId="9179" priority="12877" stopIfTrue="1" operator="equal">
      <formula>"Napkin Hs"</formula>
    </cfRule>
  </conditionalFormatting>
  <conditionalFormatting sqref="B80:C80">
    <cfRule type="cellIs" dxfId="9178" priority="12874" stopIfTrue="1" operator="equal">
      <formula>"Towel"</formula>
    </cfRule>
    <cfRule type="cellIs" dxfId="9177" priority="12875" stopIfTrue="1" operator="equal">
      <formula>"Napkin Hs"</formula>
    </cfRule>
  </conditionalFormatting>
  <conditionalFormatting sqref="C80">
    <cfRule type="cellIs" dxfId="9176" priority="12882" stopIfTrue="1" operator="equal">
      <formula>"Towel"</formula>
    </cfRule>
    <cfRule type="cellIs" dxfId="9175" priority="12883" stopIfTrue="1" operator="equal">
      <formula>"Napkin Hs"</formula>
    </cfRule>
  </conditionalFormatting>
  <conditionalFormatting sqref="C80">
    <cfRule type="cellIs" dxfId="9174" priority="12884" stopIfTrue="1" operator="equal">
      <formula>"Towel"</formula>
    </cfRule>
    <cfRule type="cellIs" dxfId="9173" priority="12885" stopIfTrue="1" operator="equal">
      <formula>"Napkin Hs"</formula>
    </cfRule>
  </conditionalFormatting>
  <conditionalFormatting sqref="B81">
    <cfRule type="cellIs" dxfId="9172" priority="12872" stopIfTrue="1" operator="equal">
      <formula>"Towel"</formula>
    </cfRule>
    <cfRule type="cellIs" dxfId="9171" priority="12873" stopIfTrue="1" operator="equal">
      <formula>"Napkin Hs"</formula>
    </cfRule>
  </conditionalFormatting>
  <conditionalFormatting sqref="C79">
    <cfRule type="cellIs" dxfId="9170" priority="12864" stopIfTrue="1" operator="equal">
      <formula>"Towel"</formula>
    </cfRule>
    <cfRule type="cellIs" dxfId="9169" priority="12865" stopIfTrue="1" operator="equal">
      <formula>"Napkin Hs"</formula>
    </cfRule>
  </conditionalFormatting>
  <conditionalFormatting sqref="B79:C79">
    <cfRule type="cellIs" dxfId="9168" priority="12866" stopIfTrue="1" operator="equal">
      <formula>"Towel"</formula>
    </cfRule>
    <cfRule type="cellIs" dxfId="9167" priority="12867" stopIfTrue="1" operator="equal">
      <formula>"Napkin Hs"</formula>
    </cfRule>
  </conditionalFormatting>
  <conditionalFormatting sqref="C79">
    <cfRule type="cellIs" dxfId="9166" priority="12862" stopIfTrue="1" operator="equal">
      <formula>"Towel"</formula>
    </cfRule>
    <cfRule type="cellIs" dxfId="9165" priority="12863" stopIfTrue="1" operator="equal">
      <formula>"Napkin Hs"</formula>
    </cfRule>
  </conditionalFormatting>
  <conditionalFormatting sqref="B79:C79">
    <cfRule type="cellIs" dxfId="9164" priority="12860" stopIfTrue="1" operator="equal">
      <formula>"Towel"</formula>
    </cfRule>
    <cfRule type="cellIs" dxfId="9163" priority="12861" stopIfTrue="1" operator="equal">
      <formula>"Napkin Hs"</formula>
    </cfRule>
  </conditionalFormatting>
  <conditionalFormatting sqref="C79">
    <cfRule type="cellIs" dxfId="9162" priority="12868" stopIfTrue="1" operator="equal">
      <formula>"Towel"</formula>
    </cfRule>
    <cfRule type="cellIs" dxfId="9161" priority="12869" stopIfTrue="1" operator="equal">
      <formula>"Napkin Hs"</formula>
    </cfRule>
  </conditionalFormatting>
  <conditionalFormatting sqref="C79">
    <cfRule type="cellIs" dxfId="9160" priority="12870" stopIfTrue="1" operator="equal">
      <formula>"Towel"</formula>
    </cfRule>
    <cfRule type="cellIs" dxfId="9159" priority="12871" stopIfTrue="1" operator="equal">
      <formula>"Napkin Hs"</formula>
    </cfRule>
  </conditionalFormatting>
  <conditionalFormatting sqref="C86">
    <cfRule type="cellIs" dxfId="9158" priority="12856" stopIfTrue="1" operator="equal">
      <formula>"Towel"</formula>
    </cfRule>
    <cfRule type="cellIs" dxfId="9157" priority="12857" stopIfTrue="1" operator="equal">
      <formula>"Napkin Hs"</formula>
    </cfRule>
  </conditionalFormatting>
  <conditionalFormatting sqref="C86">
    <cfRule type="cellIs" dxfId="9156" priority="12858" stopIfTrue="1" operator="equal">
      <formula>"Towel"</formula>
    </cfRule>
    <cfRule type="cellIs" dxfId="9155" priority="12859" stopIfTrue="1" operator="equal">
      <formula>"Napkin Hs"</formula>
    </cfRule>
  </conditionalFormatting>
  <conditionalFormatting sqref="B86:C86">
    <cfRule type="cellIs" dxfId="9154" priority="12854" stopIfTrue="1" operator="equal">
      <formula>"Towel"</formula>
    </cfRule>
    <cfRule type="cellIs" dxfId="9153" priority="12855" stopIfTrue="1" operator="equal">
      <formula>"Napkin Hs"</formula>
    </cfRule>
  </conditionalFormatting>
  <conditionalFormatting sqref="B86:C86">
    <cfRule type="cellIs" dxfId="9152" priority="12848" stopIfTrue="1" operator="equal">
      <formula>"Towel"</formula>
    </cfRule>
    <cfRule type="cellIs" dxfId="9151" priority="12849" stopIfTrue="1" operator="equal">
      <formula>"Napkin Hs"</formula>
    </cfRule>
  </conditionalFormatting>
  <conditionalFormatting sqref="C86">
    <cfRule type="cellIs" dxfId="9150" priority="12850" stopIfTrue="1" operator="equal">
      <formula>"Towel"</formula>
    </cfRule>
    <cfRule type="cellIs" dxfId="9149" priority="12851" stopIfTrue="1" operator="equal">
      <formula>"Napkin Hs"</formula>
    </cfRule>
  </conditionalFormatting>
  <conditionalFormatting sqref="C86">
    <cfRule type="cellIs" dxfId="9148" priority="12852" stopIfTrue="1" operator="equal">
      <formula>"Towel"</formula>
    </cfRule>
    <cfRule type="cellIs" dxfId="9147" priority="12853" stopIfTrue="1" operator="equal">
      <formula>"Napkin Hs"</formula>
    </cfRule>
  </conditionalFormatting>
  <conditionalFormatting sqref="C85">
    <cfRule type="cellIs" dxfId="9146" priority="12844" stopIfTrue="1" operator="equal">
      <formula>"Towel"</formula>
    </cfRule>
    <cfRule type="cellIs" dxfId="9145" priority="12845" stopIfTrue="1" operator="equal">
      <formula>"Napkin Hs"</formula>
    </cfRule>
  </conditionalFormatting>
  <conditionalFormatting sqref="C85">
    <cfRule type="cellIs" dxfId="9144" priority="12846" stopIfTrue="1" operator="equal">
      <formula>"Towel"</formula>
    </cfRule>
    <cfRule type="cellIs" dxfId="9143" priority="12847" stopIfTrue="1" operator="equal">
      <formula>"Napkin Hs"</formula>
    </cfRule>
  </conditionalFormatting>
  <conditionalFormatting sqref="C85">
    <cfRule type="cellIs" dxfId="9142" priority="12842" stopIfTrue="1" operator="equal">
      <formula>"Towel"</formula>
    </cfRule>
    <cfRule type="cellIs" dxfId="9141" priority="12843" stopIfTrue="1" operator="equal">
      <formula>"Napkin Hs"</formula>
    </cfRule>
  </conditionalFormatting>
  <conditionalFormatting sqref="C85">
    <cfRule type="cellIs" dxfId="9140" priority="12836" stopIfTrue="1" operator="equal">
      <formula>"Towel"</formula>
    </cfRule>
    <cfRule type="cellIs" dxfId="9139" priority="12837" stopIfTrue="1" operator="equal">
      <formula>"Napkin Hs"</formula>
    </cfRule>
  </conditionalFormatting>
  <conditionalFormatting sqref="C85">
    <cfRule type="cellIs" dxfId="9138" priority="12838" stopIfTrue="1" operator="equal">
      <formula>"Towel"</formula>
    </cfRule>
    <cfRule type="cellIs" dxfId="9137" priority="12839" stopIfTrue="1" operator="equal">
      <formula>"Napkin Hs"</formula>
    </cfRule>
  </conditionalFormatting>
  <conditionalFormatting sqref="C85">
    <cfRule type="cellIs" dxfId="9136" priority="12840" stopIfTrue="1" operator="equal">
      <formula>"Towel"</formula>
    </cfRule>
    <cfRule type="cellIs" dxfId="9135" priority="12841" stopIfTrue="1" operator="equal">
      <formula>"Napkin Hs"</formula>
    </cfRule>
  </conditionalFormatting>
  <conditionalFormatting sqref="B85">
    <cfRule type="cellIs" dxfId="9134" priority="12834" stopIfTrue="1" operator="equal">
      <formula>"Towel"</formula>
    </cfRule>
    <cfRule type="cellIs" dxfId="9133" priority="12835" stopIfTrue="1" operator="equal">
      <formula>"Napkin Hs"</formula>
    </cfRule>
  </conditionalFormatting>
  <conditionalFormatting sqref="B85">
    <cfRule type="cellIs" dxfId="9132" priority="12832" stopIfTrue="1" operator="equal">
      <formula>"Towel"</formula>
    </cfRule>
    <cfRule type="cellIs" dxfId="9131" priority="12833" stopIfTrue="1" operator="equal">
      <formula>"Napkin Hs"</formula>
    </cfRule>
  </conditionalFormatting>
  <conditionalFormatting sqref="C84">
    <cfRule type="cellIs" dxfId="9130" priority="12824" stopIfTrue="1" operator="equal">
      <formula>"Towel"</formula>
    </cfRule>
    <cfRule type="cellIs" dxfId="9129" priority="12825" stopIfTrue="1" operator="equal">
      <formula>"Napkin Hs"</formula>
    </cfRule>
  </conditionalFormatting>
  <conditionalFormatting sqref="B84:C84">
    <cfRule type="cellIs" dxfId="9128" priority="12826" stopIfTrue="1" operator="equal">
      <formula>"Towel"</formula>
    </cfRule>
    <cfRule type="cellIs" dxfId="9127" priority="12827" stopIfTrue="1" operator="equal">
      <formula>"Napkin Hs"</formula>
    </cfRule>
  </conditionalFormatting>
  <conditionalFormatting sqref="C84">
    <cfRule type="cellIs" dxfId="9126" priority="12822" stopIfTrue="1" operator="equal">
      <formula>"Towel"</formula>
    </cfRule>
    <cfRule type="cellIs" dxfId="9125" priority="12823" stopIfTrue="1" operator="equal">
      <formula>"Napkin Hs"</formula>
    </cfRule>
  </conditionalFormatting>
  <conditionalFormatting sqref="B84:C84">
    <cfRule type="cellIs" dxfId="9124" priority="12820" stopIfTrue="1" operator="equal">
      <formula>"Towel"</formula>
    </cfRule>
    <cfRule type="cellIs" dxfId="9123" priority="12821" stopIfTrue="1" operator="equal">
      <formula>"Napkin Hs"</formula>
    </cfRule>
  </conditionalFormatting>
  <conditionalFormatting sqref="C84">
    <cfRule type="cellIs" dxfId="9122" priority="12828" stopIfTrue="1" operator="equal">
      <formula>"Towel"</formula>
    </cfRule>
    <cfRule type="cellIs" dxfId="9121" priority="12829" stopIfTrue="1" operator="equal">
      <formula>"Napkin Hs"</formula>
    </cfRule>
  </conditionalFormatting>
  <conditionalFormatting sqref="C84">
    <cfRule type="cellIs" dxfId="9120" priority="12830" stopIfTrue="1" operator="equal">
      <formula>"Towel"</formula>
    </cfRule>
    <cfRule type="cellIs" dxfId="9119" priority="12831" stopIfTrue="1" operator="equal">
      <formula>"Napkin Hs"</formula>
    </cfRule>
  </conditionalFormatting>
  <conditionalFormatting sqref="B86:C86">
    <cfRule type="cellIs" dxfId="9118" priority="12818" stopIfTrue="1" operator="equal">
      <formula>"Towel"</formula>
    </cfRule>
    <cfRule type="cellIs" dxfId="9117" priority="12819" stopIfTrue="1" operator="equal">
      <formula>"Napkin Hs"</formula>
    </cfRule>
  </conditionalFormatting>
  <conditionalFormatting sqref="C86">
    <cfRule type="cellIs" dxfId="9116" priority="12816" stopIfTrue="1" operator="equal">
      <formula>"Towel"</formula>
    </cfRule>
    <cfRule type="cellIs" dxfId="9115" priority="12817" stopIfTrue="1" operator="equal">
      <formula>"Napkin Hs"</formula>
    </cfRule>
  </conditionalFormatting>
  <conditionalFormatting sqref="C86">
    <cfRule type="cellIs" dxfId="9114" priority="12814" stopIfTrue="1" operator="equal">
      <formula>"Towel"</formula>
    </cfRule>
    <cfRule type="cellIs" dxfId="9113" priority="12815" stopIfTrue="1" operator="equal">
      <formula>"Napkin Hs"</formula>
    </cfRule>
  </conditionalFormatting>
  <conditionalFormatting sqref="C80:C81">
    <cfRule type="cellIs" dxfId="9112" priority="12810" stopIfTrue="1" operator="equal">
      <formula>"Towel"</formula>
    </cfRule>
    <cfRule type="cellIs" dxfId="9111" priority="12811" stopIfTrue="1" operator="equal">
      <formula>"Napkin Hs"</formula>
    </cfRule>
  </conditionalFormatting>
  <conditionalFormatting sqref="C80:C81">
    <cfRule type="cellIs" dxfId="9110" priority="12812" stopIfTrue="1" operator="equal">
      <formula>"Towel"</formula>
    </cfRule>
    <cfRule type="cellIs" dxfId="9109" priority="12813" stopIfTrue="1" operator="equal">
      <formula>"Napkin Hs"</formula>
    </cfRule>
  </conditionalFormatting>
  <conditionalFormatting sqref="C80:C81">
    <cfRule type="cellIs" dxfId="9108" priority="12808" stopIfTrue="1" operator="equal">
      <formula>"Towel"</formula>
    </cfRule>
    <cfRule type="cellIs" dxfId="9107" priority="12809" stopIfTrue="1" operator="equal">
      <formula>"Napkin Hs"</formula>
    </cfRule>
  </conditionalFormatting>
  <conditionalFormatting sqref="B80:B81">
    <cfRule type="cellIs" dxfId="9106" priority="12806" stopIfTrue="1" operator="equal">
      <formula>"Towel"</formula>
    </cfRule>
    <cfRule type="cellIs" dxfId="9105" priority="12807" stopIfTrue="1" operator="equal">
      <formula>"Napkin Hs"</formula>
    </cfRule>
  </conditionalFormatting>
  <conditionalFormatting sqref="C80:C81">
    <cfRule type="cellIs" dxfId="9104" priority="12800" stopIfTrue="1" operator="equal">
      <formula>"Towel"</formula>
    </cfRule>
    <cfRule type="cellIs" dxfId="9103" priority="12801" stopIfTrue="1" operator="equal">
      <formula>"Napkin Hs"</formula>
    </cfRule>
  </conditionalFormatting>
  <conditionalFormatting sqref="C80:C81">
    <cfRule type="cellIs" dxfId="9102" priority="12804" stopIfTrue="1" operator="equal">
      <formula>"Towel"</formula>
    </cfRule>
    <cfRule type="cellIs" dxfId="9101" priority="12805" stopIfTrue="1" operator="equal">
      <formula>"Napkin Hs"</formula>
    </cfRule>
  </conditionalFormatting>
  <conditionalFormatting sqref="C80:C81">
    <cfRule type="cellIs" dxfId="9100" priority="12802" stopIfTrue="1" operator="equal">
      <formula>"Towel"</formula>
    </cfRule>
    <cfRule type="cellIs" dxfId="9099" priority="12803" stopIfTrue="1" operator="equal">
      <formula>"Napkin Hs"</formula>
    </cfRule>
  </conditionalFormatting>
  <conditionalFormatting sqref="C80:C81">
    <cfRule type="cellIs" dxfId="9098" priority="12794" stopIfTrue="1" operator="equal">
      <formula>"Towel"</formula>
    </cfRule>
    <cfRule type="cellIs" dxfId="9097" priority="12795" stopIfTrue="1" operator="equal">
      <formula>"Napkin Hs"</formula>
    </cfRule>
  </conditionalFormatting>
  <conditionalFormatting sqref="C80:C81">
    <cfRule type="cellIs" dxfId="9096" priority="12796" stopIfTrue="1" operator="equal">
      <formula>"Towel"</formula>
    </cfRule>
    <cfRule type="cellIs" dxfId="9095" priority="12797" stopIfTrue="1" operator="equal">
      <formula>"Napkin Hs"</formula>
    </cfRule>
  </conditionalFormatting>
  <conditionalFormatting sqref="C80:C81">
    <cfRule type="cellIs" dxfId="9094" priority="12798" stopIfTrue="1" operator="equal">
      <formula>"Towel"</formula>
    </cfRule>
    <cfRule type="cellIs" dxfId="9093" priority="12799" stopIfTrue="1" operator="equal">
      <formula>"Napkin Hs"</formula>
    </cfRule>
  </conditionalFormatting>
  <conditionalFormatting sqref="B80:C81">
    <cfRule type="cellIs" dxfId="9092" priority="12792" stopIfTrue="1" operator="equal">
      <formula>"Towel"</formula>
    </cfRule>
    <cfRule type="cellIs" dxfId="9091" priority="12793" stopIfTrue="1" operator="equal">
      <formula>"Napkin Hs"</formula>
    </cfRule>
  </conditionalFormatting>
  <conditionalFormatting sqref="B80:C81">
    <cfRule type="cellIs" dxfId="9090" priority="12790" stopIfTrue="1" operator="equal">
      <formula>"Towel"</formula>
    </cfRule>
    <cfRule type="cellIs" dxfId="9089" priority="12791" stopIfTrue="1" operator="equal">
      <formula>"Napkin Hs"</formula>
    </cfRule>
  </conditionalFormatting>
  <conditionalFormatting sqref="B80:C81">
    <cfRule type="cellIs" dxfId="9088" priority="12766" stopIfTrue="1" operator="equal">
      <formula>"Towel"</formula>
    </cfRule>
  </conditionalFormatting>
  <conditionalFormatting sqref="B80:C81">
    <cfRule type="cellIs" dxfId="9087" priority="12767" stopIfTrue="1" operator="equal">
      <formula>"Napkin Hs"</formula>
    </cfRule>
    <cfRule type="cellIs" dxfId="9086" priority="12772" stopIfTrue="1" operator="equal">
      <formula>"Towel"</formula>
    </cfRule>
    <cfRule type="cellIs" dxfId="9085" priority="12773" stopIfTrue="1" operator="equal">
      <formula>"Napkin Hs"</formula>
    </cfRule>
    <cfRule type="cellIs" dxfId="9084" priority="12782" stopIfTrue="1" operator="equal">
      <formula>"Towel"</formula>
    </cfRule>
    <cfRule type="cellIs" dxfId="9083" priority="12783" stopIfTrue="1" operator="equal">
      <formula>"Napkin Hs"</formula>
    </cfRule>
    <cfRule type="cellIs" dxfId="9082" priority="12788" stopIfTrue="1" operator="equal">
      <formula>"Towel"</formula>
    </cfRule>
    <cfRule type="cellIs" dxfId="9081" priority="12789" stopIfTrue="1" operator="equal">
      <formula>"Napkin Hs"</formula>
    </cfRule>
  </conditionalFormatting>
  <conditionalFormatting sqref="C80:C81">
    <cfRule type="cellIs" dxfId="9080" priority="12768" stopIfTrue="1" operator="equal">
      <formula>"Towel"</formula>
    </cfRule>
    <cfRule type="cellIs" dxfId="9079" priority="12769" stopIfTrue="1" operator="equal">
      <formula>"Napkin Hs"</formula>
    </cfRule>
    <cfRule type="cellIs" dxfId="9078" priority="12770" stopIfTrue="1" operator="equal">
      <formula>"Towel"</formula>
    </cfRule>
    <cfRule type="cellIs" dxfId="9077" priority="12771" stopIfTrue="1" operator="equal">
      <formula>"Napkin Hs"</formula>
    </cfRule>
    <cfRule type="cellIs" dxfId="9076" priority="12774" stopIfTrue="1" operator="equal">
      <formula>"Towel"</formula>
    </cfRule>
    <cfRule type="cellIs" dxfId="9075" priority="12775" stopIfTrue="1" operator="equal">
      <formula>"Napkin Hs"</formula>
    </cfRule>
    <cfRule type="cellIs" dxfId="9074" priority="12776" stopIfTrue="1" operator="equal">
      <formula>"Towel"</formula>
    </cfRule>
    <cfRule type="cellIs" dxfId="9073" priority="12777" stopIfTrue="1" operator="equal">
      <formula>"Napkin Hs"</formula>
    </cfRule>
    <cfRule type="cellIs" dxfId="9072" priority="12778" stopIfTrue="1" operator="equal">
      <formula>"Towel"</formula>
    </cfRule>
    <cfRule type="cellIs" dxfId="9071" priority="12779" stopIfTrue="1" operator="equal">
      <formula>"Napkin Hs"</formula>
    </cfRule>
    <cfRule type="cellIs" dxfId="9070" priority="12780" stopIfTrue="1" operator="equal">
      <formula>"Towel"</formula>
    </cfRule>
    <cfRule type="cellIs" dxfId="9069" priority="12781" stopIfTrue="1" operator="equal">
      <formula>"Napkin Hs"</formula>
    </cfRule>
    <cfRule type="cellIs" dxfId="9068" priority="12784" stopIfTrue="1" operator="equal">
      <formula>"Towel"</formula>
    </cfRule>
    <cfRule type="cellIs" dxfId="9067" priority="12785" stopIfTrue="1" operator="equal">
      <formula>"Napkin Hs"</formula>
    </cfRule>
    <cfRule type="cellIs" dxfId="9066" priority="12787" stopIfTrue="1" operator="equal">
      <formula>"Napkin Hs"</formula>
    </cfRule>
  </conditionalFormatting>
  <conditionalFormatting sqref="C80:C81">
    <cfRule type="cellIs" dxfId="9065" priority="12786" stopIfTrue="1" operator="equal">
      <formula>"Towel"</formula>
    </cfRule>
  </conditionalFormatting>
  <conditionalFormatting sqref="B80:C81">
    <cfRule type="cellIs" dxfId="9064" priority="12764" stopIfTrue="1" operator="equal">
      <formula>"Towel"</formula>
    </cfRule>
    <cfRule type="cellIs" dxfId="9063" priority="12765" stopIfTrue="1" operator="equal">
      <formula>"Napkin Hs"</formula>
    </cfRule>
  </conditionalFormatting>
  <conditionalFormatting sqref="C80:C81">
    <cfRule type="cellIs" dxfId="9062" priority="12763" stopIfTrue="1" operator="equal">
      <formula>"Napkin Hs"</formula>
    </cfRule>
  </conditionalFormatting>
  <conditionalFormatting sqref="C80:C81">
    <cfRule type="cellIs" dxfId="9061" priority="12762" stopIfTrue="1" operator="equal">
      <formula>"Towel"</formula>
    </cfRule>
  </conditionalFormatting>
  <conditionalFormatting sqref="C80:C81">
    <cfRule type="cellIs" dxfId="9060" priority="12760" stopIfTrue="1" operator="equal">
      <formula>"Towel"</formula>
    </cfRule>
  </conditionalFormatting>
  <conditionalFormatting sqref="C80:C81">
    <cfRule type="cellIs" dxfId="9059" priority="12761" stopIfTrue="1" operator="equal">
      <formula>"Napkin Hs"</formula>
    </cfRule>
  </conditionalFormatting>
  <conditionalFormatting sqref="B80:B81">
    <cfRule type="cellIs" dxfId="9058" priority="12664" stopIfTrue="1" operator="equal">
      <formula>"Napkin Hs"</formula>
    </cfRule>
  </conditionalFormatting>
  <conditionalFormatting sqref="B80:C81">
    <cfRule type="cellIs" dxfId="9057" priority="12663" stopIfTrue="1" operator="equal">
      <formula>"Towel"</formula>
    </cfRule>
  </conditionalFormatting>
  <conditionalFormatting sqref="B80:C81">
    <cfRule type="cellIs" dxfId="9056" priority="12674" stopIfTrue="1" operator="equal">
      <formula>"Towel"</formula>
    </cfRule>
    <cfRule type="cellIs" dxfId="9055" priority="12675" stopIfTrue="1" operator="equal">
      <formula>"Napkin Hs"</formula>
    </cfRule>
    <cfRule type="cellIs" dxfId="9054" priority="12680" stopIfTrue="1" operator="equal">
      <formula>"Towel"</formula>
    </cfRule>
    <cfRule type="cellIs" dxfId="9053" priority="12681" stopIfTrue="1" operator="equal">
      <formula>"Napkin Hs"</formula>
    </cfRule>
    <cfRule type="cellIs" dxfId="9052" priority="12686" stopIfTrue="1" operator="equal">
      <formula>"Towel"</formula>
    </cfRule>
    <cfRule type="cellIs" dxfId="9051" priority="12687" stopIfTrue="1" operator="equal">
      <formula>"Napkin Hs"</formula>
    </cfRule>
    <cfRule type="cellIs" dxfId="9050" priority="12688" stopIfTrue="1" operator="equal">
      <formula>"Towel"</formula>
    </cfRule>
    <cfRule type="cellIs" dxfId="9049" priority="12689" stopIfTrue="1" operator="equal">
      <formula>"Napkin Hs"</formula>
    </cfRule>
    <cfRule type="cellIs" dxfId="9048" priority="12694" stopIfTrue="1" operator="equal">
      <formula>"Towel"</formula>
    </cfRule>
    <cfRule type="cellIs" dxfId="9047" priority="12695" stopIfTrue="1" operator="equal">
      <formula>"Napkin Hs"</formula>
    </cfRule>
    <cfRule type="cellIs" dxfId="9046" priority="12704" stopIfTrue="1" operator="equal">
      <formula>"Towel"</formula>
    </cfRule>
    <cfRule type="cellIs" dxfId="9045" priority="12705" stopIfTrue="1" operator="equal">
      <formula>"Napkin Hs"</formula>
    </cfRule>
    <cfRule type="cellIs" dxfId="9044" priority="12710" stopIfTrue="1" operator="equal">
      <formula>"Towel"</formula>
    </cfRule>
    <cfRule type="cellIs" dxfId="9043" priority="12711" stopIfTrue="1" operator="equal">
      <formula>"Napkin Hs"</formula>
    </cfRule>
    <cfRule type="cellIs" dxfId="9042" priority="12712" stopIfTrue="1" operator="equal">
      <formula>"Towel"</formula>
    </cfRule>
    <cfRule type="cellIs" dxfId="9041" priority="12713" stopIfTrue="1" operator="equal">
      <formula>"Napkin Hs"</formula>
    </cfRule>
    <cfRule type="cellIs" dxfId="9040" priority="12718" stopIfTrue="1" operator="equal">
      <formula>"Towel"</formula>
    </cfRule>
    <cfRule type="cellIs" dxfId="9039" priority="12719" stopIfTrue="1" operator="equal">
      <formula>"Napkin Hs"</formula>
    </cfRule>
    <cfRule type="cellIs" dxfId="9038" priority="12728" stopIfTrue="1" operator="equal">
      <formula>"Towel"</formula>
    </cfRule>
    <cfRule type="cellIs" dxfId="9037" priority="12729" stopIfTrue="1" operator="equal">
      <formula>"Napkin Hs"</formula>
    </cfRule>
    <cfRule type="cellIs" dxfId="9036" priority="12730" stopIfTrue="1" operator="equal">
      <formula>"Towel"</formula>
    </cfRule>
    <cfRule type="cellIs" dxfId="9035" priority="12731" stopIfTrue="1" operator="equal">
      <formula>"Napkin Hs"</formula>
    </cfRule>
    <cfRule type="cellIs" dxfId="9034" priority="12736" stopIfTrue="1" operator="equal">
      <formula>"Towel"</formula>
    </cfRule>
    <cfRule type="cellIs" dxfId="9033" priority="12737" stopIfTrue="1" operator="equal">
      <formula>"Napkin Hs"</formula>
    </cfRule>
    <cfRule type="cellIs" dxfId="9032" priority="12746" stopIfTrue="1" operator="equal">
      <formula>"Towel"</formula>
    </cfRule>
    <cfRule type="cellIs" dxfId="9031" priority="12747" stopIfTrue="1" operator="equal">
      <formula>"Napkin Hs"</formula>
    </cfRule>
    <cfRule type="cellIs" dxfId="9030" priority="12748" stopIfTrue="1" operator="equal">
      <formula>"Towel"</formula>
    </cfRule>
    <cfRule type="cellIs" dxfId="9029" priority="12749" stopIfTrue="1" operator="equal">
      <formula>"Napkin Hs"</formula>
    </cfRule>
    <cfRule type="cellIs" dxfId="9028" priority="12755" stopIfTrue="1" operator="equal">
      <formula>"Napkin Hs"</formula>
    </cfRule>
  </conditionalFormatting>
  <conditionalFormatting sqref="B80:C81">
    <cfRule type="cellIs" dxfId="9027" priority="12754" stopIfTrue="1" operator="equal">
      <formula>"Towel"</formula>
    </cfRule>
  </conditionalFormatting>
  <conditionalFormatting sqref="C80:C81">
    <cfRule type="cellIs" dxfId="9026" priority="12665" stopIfTrue="1" operator="equal">
      <formula>"Napkin Hs"</formula>
    </cfRule>
    <cfRule type="cellIs" dxfId="9025" priority="12666" stopIfTrue="1" operator="equal">
      <formula>"Towel"</formula>
    </cfRule>
    <cfRule type="cellIs" dxfId="9024" priority="12667" stopIfTrue="1" operator="equal">
      <formula>"Napkin Hs"</formula>
    </cfRule>
    <cfRule type="cellIs" dxfId="9023" priority="12668" stopIfTrue="1" operator="equal">
      <formula>"Towel"</formula>
    </cfRule>
    <cfRule type="cellIs" dxfId="9022" priority="12669" stopIfTrue="1" operator="equal">
      <formula>"Napkin Hs"</formula>
    </cfRule>
    <cfRule type="cellIs" dxfId="9021" priority="12670" stopIfTrue="1" operator="equal">
      <formula>"Towel"</formula>
    </cfRule>
    <cfRule type="cellIs" dxfId="9020" priority="12671" stopIfTrue="1" operator="equal">
      <formula>"Napkin Hs"</formula>
    </cfRule>
    <cfRule type="cellIs" dxfId="9019" priority="12672" stopIfTrue="1" operator="equal">
      <formula>"Towel"</formula>
    </cfRule>
    <cfRule type="cellIs" dxfId="9018" priority="12673" stopIfTrue="1" operator="equal">
      <formula>"Napkin Hs"</formula>
    </cfRule>
    <cfRule type="cellIs" dxfId="9017" priority="12676" stopIfTrue="1" operator="equal">
      <formula>"Towel"</formula>
    </cfRule>
    <cfRule type="cellIs" dxfId="9016" priority="12677" stopIfTrue="1" operator="equal">
      <formula>"Napkin Hs"</formula>
    </cfRule>
    <cfRule type="cellIs" dxfId="9015" priority="12678" stopIfTrue="1" operator="equal">
      <formula>"Towel"</formula>
    </cfRule>
    <cfRule type="cellIs" dxfId="9014" priority="12679" stopIfTrue="1" operator="equal">
      <formula>"Napkin Hs"</formula>
    </cfRule>
    <cfRule type="cellIs" dxfId="9013" priority="12682" stopIfTrue="1" operator="equal">
      <formula>"Towel"</formula>
    </cfRule>
    <cfRule type="cellIs" dxfId="9012" priority="12683" stopIfTrue="1" operator="equal">
      <formula>"Napkin Hs"</formula>
    </cfRule>
    <cfRule type="cellIs" dxfId="9011" priority="12684" stopIfTrue="1" operator="equal">
      <formula>"Towel"</formula>
    </cfRule>
    <cfRule type="cellIs" dxfId="9010" priority="12685" stopIfTrue="1" operator="equal">
      <formula>"Napkin Hs"</formula>
    </cfRule>
    <cfRule type="cellIs" dxfId="9009" priority="12690" stopIfTrue="1" operator="equal">
      <formula>"Towel"</formula>
    </cfRule>
    <cfRule type="cellIs" dxfId="9008" priority="12691" stopIfTrue="1" operator="equal">
      <formula>"Napkin Hs"</formula>
    </cfRule>
    <cfRule type="cellIs" dxfId="9007" priority="12692" stopIfTrue="1" operator="equal">
      <formula>"Towel"</formula>
    </cfRule>
    <cfRule type="cellIs" dxfId="9006" priority="12693" stopIfTrue="1" operator="equal">
      <formula>"Napkin Hs"</formula>
    </cfRule>
    <cfRule type="cellIs" dxfId="9005" priority="12696" stopIfTrue="1" operator="equal">
      <formula>"Towel"</formula>
    </cfRule>
    <cfRule type="cellIs" dxfId="9004" priority="12697" stopIfTrue="1" operator="equal">
      <formula>"Napkin Hs"</formula>
    </cfRule>
    <cfRule type="cellIs" dxfId="9003" priority="12698" stopIfTrue="1" operator="equal">
      <formula>"Towel"</formula>
    </cfRule>
    <cfRule type="cellIs" dxfId="9002" priority="12699" stopIfTrue="1" operator="equal">
      <formula>"Napkin Hs"</formula>
    </cfRule>
    <cfRule type="cellIs" dxfId="9001" priority="12700" stopIfTrue="1" operator="equal">
      <formula>"Towel"</formula>
    </cfRule>
    <cfRule type="cellIs" dxfId="9000" priority="12701" stopIfTrue="1" operator="equal">
      <formula>"Napkin Hs"</formula>
    </cfRule>
    <cfRule type="cellIs" dxfId="8999" priority="12702" stopIfTrue="1" operator="equal">
      <formula>"Towel"</formula>
    </cfRule>
    <cfRule type="cellIs" dxfId="8998" priority="12703" stopIfTrue="1" operator="equal">
      <formula>"Napkin Hs"</formula>
    </cfRule>
    <cfRule type="cellIs" dxfId="8997" priority="12706" stopIfTrue="1" operator="equal">
      <formula>"Towel"</formula>
    </cfRule>
    <cfRule type="cellIs" dxfId="8996" priority="12707" stopIfTrue="1" operator="equal">
      <formula>"Napkin Hs"</formula>
    </cfRule>
    <cfRule type="cellIs" dxfId="8995" priority="12708" stopIfTrue="1" operator="equal">
      <formula>"Towel"</formula>
    </cfRule>
    <cfRule type="cellIs" dxfId="8994" priority="12709" stopIfTrue="1" operator="equal">
      <formula>"Napkin Hs"</formula>
    </cfRule>
    <cfRule type="cellIs" dxfId="8993" priority="12714" stopIfTrue="1" operator="equal">
      <formula>"Towel"</formula>
    </cfRule>
    <cfRule type="cellIs" dxfId="8992" priority="12715" stopIfTrue="1" operator="equal">
      <formula>"Napkin Hs"</formula>
    </cfRule>
    <cfRule type="cellIs" dxfId="8991" priority="12716" stopIfTrue="1" operator="equal">
      <formula>"Towel"</formula>
    </cfRule>
    <cfRule type="cellIs" dxfId="8990" priority="12717" stopIfTrue="1" operator="equal">
      <formula>"Napkin Hs"</formula>
    </cfRule>
    <cfRule type="cellIs" dxfId="8989" priority="12720" stopIfTrue="1" operator="equal">
      <formula>"Towel"</formula>
    </cfRule>
    <cfRule type="cellIs" dxfId="8988" priority="12721" stopIfTrue="1" operator="equal">
      <formula>"Napkin Hs"</formula>
    </cfRule>
    <cfRule type="cellIs" dxfId="8987" priority="12722" stopIfTrue="1" operator="equal">
      <formula>"Towel"</formula>
    </cfRule>
    <cfRule type="cellIs" dxfId="8986" priority="12723" stopIfTrue="1" operator="equal">
      <formula>"Napkin Hs"</formula>
    </cfRule>
    <cfRule type="cellIs" dxfId="8985" priority="12724" stopIfTrue="1" operator="equal">
      <formula>"Towel"</formula>
    </cfRule>
    <cfRule type="cellIs" dxfId="8984" priority="12725" stopIfTrue="1" operator="equal">
      <formula>"Napkin Hs"</formula>
    </cfRule>
    <cfRule type="cellIs" dxfId="8983" priority="12726" stopIfTrue="1" operator="equal">
      <formula>"Towel"</formula>
    </cfRule>
    <cfRule type="cellIs" dxfId="8982" priority="12727" stopIfTrue="1" operator="equal">
      <formula>"Napkin Hs"</formula>
    </cfRule>
    <cfRule type="cellIs" dxfId="8981" priority="12732" stopIfTrue="1" operator="equal">
      <formula>"Towel"</formula>
    </cfRule>
    <cfRule type="cellIs" dxfId="8980" priority="12733" stopIfTrue="1" operator="equal">
      <formula>"Napkin Hs"</formula>
    </cfRule>
    <cfRule type="cellIs" dxfId="8979" priority="12734" stopIfTrue="1" operator="equal">
      <formula>"Towel"</formula>
    </cfRule>
    <cfRule type="cellIs" dxfId="8978" priority="12735" stopIfTrue="1" operator="equal">
      <formula>"Napkin Hs"</formula>
    </cfRule>
    <cfRule type="cellIs" dxfId="8977" priority="12738" stopIfTrue="1" operator="equal">
      <formula>"Towel"</formula>
    </cfRule>
    <cfRule type="cellIs" dxfId="8976" priority="12739" stopIfTrue="1" operator="equal">
      <formula>"Napkin Hs"</formula>
    </cfRule>
    <cfRule type="cellIs" dxfId="8975" priority="12740" stopIfTrue="1" operator="equal">
      <formula>"Towel"</formula>
    </cfRule>
    <cfRule type="cellIs" dxfId="8974" priority="12741" stopIfTrue="1" operator="equal">
      <formula>"Napkin Hs"</formula>
    </cfRule>
    <cfRule type="cellIs" dxfId="8973" priority="12742" stopIfTrue="1" operator="equal">
      <formula>"Towel"</formula>
    </cfRule>
    <cfRule type="cellIs" dxfId="8972" priority="12743" stopIfTrue="1" operator="equal">
      <formula>"Napkin Hs"</formula>
    </cfRule>
    <cfRule type="cellIs" dxfId="8971" priority="12744" stopIfTrue="1" operator="equal">
      <formula>"Towel"</formula>
    </cfRule>
    <cfRule type="cellIs" dxfId="8970" priority="12745" stopIfTrue="1" operator="equal">
      <formula>"Napkin Hs"</formula>
    </cfRule>
    <cfRule type="cellIs" dxfId="8969" priority="12750" stopIfTrue="1" operator="equal">
      <formula>"Towel"</formula>
    </cfRule>
    <cfRule type="cellIs" dxfId="8968" priority="12751" stopIfTrue="1" operator="equal">
      <formula>"Napkin Hs"</formula>
    </cfRule>
    <cfRule type="cellIs" dxfId="8967" priority="12752" stopIfTrue="1" operator="equal">
      <formula>"Towel"</formula>
    </cfRule>
    <cfRule type="cellIs" dxfId="8966" priority="12753" stopIfTrue="1" operator="equal">
      <formula>"Napkin Hs"</formula>
    </cfRule>
    <cfRule type="cellIs" dxfId="8965" priority="12756" stopIfTrue="1" operator="equal">
      <formula>"Towel"</formula>
    </cfRule>
    <cfRule type="cellIs" dxfId="8964" priority="12757" stopIfTrue="1" operator="equal">
      <formula>"Napkin Hs"</formula>
    </cfRule>
    <cfRule type="cellIs" dxfId="8963" priority="12758" stopIfTrue="1" operator="equal">
      <formula>"Towel"</formula>
    </cfRule>
    <cfRule type="cellIs" dxfId="8962" priority="12759" stopIfTrue="1" operator="equal">
      <formula>"Napkin Hs"</formula>
    </cfRule>
  </conditionalFormatting>
  <conditionalFormatting sqref="C80:C81">
    <cfRule type="cellIs" dxfId="8961" priority="12662" stopIfTrue="1" operator="equal">
      <formula>"Napkin Hs"</formula>
    </cfRule>
  </conditionalFormatting>
  <conditionalFormatting sqref="C80:C81">
    <cfRule type="cellIs" dxfId="8960" priority="12661" stopIfTrue="1" operator="equal">
      <formula>"Napkin Hs"</formula>
    </cfRule>
  </conditionalFormatting>
  <conditionalFormatting sqref="B80:B81">
    <cfRule type="cellIs" dxfId="8959" priority="12660" stopIfTrue="1" operator="equal">
      <formula>"Napkin Hs"</formula>
    </cfRule>
  </conditionalFormatting>
  <conditionalFormatting sqref="C80:C81">
    <cfRule type="cellIs" dxfId="8958" priority="12659" stopIfTrue="1" operator="equal">
      <formula>"Napkin Hs"</formula>
    </cfRule>
  </conditionalFormatting>
  <conditionalFormatting sqref="C80:C81">
    <cfRule type="cellIs" dxfId="8957" priority="12658" stopIfTrue="1" operator="equal">
      <formula>"Napkin Hs"</formula>
    </cfRule>
  </conditionalFormatting>
  <conditionalFormatting sqref="C80:C81">
    <cfRule type="cellIs" dxfId="8956" priority="12657" stopIfTrue="1" operator="equal">
      <formula>"Napkin Hs"</formula>
    </cfRule>
  </conditionalFormatting>
  <conditionalFormatting sqref="C80:C81">
    <cfRule type="cellIs" dxfId="8955" priority="12656" stopIfTrue="1" operator="equal">
      <formula>"Napkin Hs"</formula>
    </cfRule>
  </conditionalFormatting>
  <conditionalFormatting sqref="B80:B81">
    <cfRule type="cellIs" dxfId="8954" priority="12655" stopIfTrue="1" operator="equal">
      <formula>"Napkin Hs"</formula>
    </cfRule>
  </conditionalFormatting>
  <conditionalFormatting sqref="B80:B81">
    <cfRule type="cellIs" dxfId="8953" priority="12654" stopIfTrue="1" operator="equal">
      <formula>"Napkin Hs"</formula>
    </cfRule>
  </conditionalFormatting>
  <conditionalFormatting sqref="C80:C81">
    <cfRule type="cellIs" dxfId="8952" priority="12650" stopIfTrue="1" operator="equal">
      <formula>"Towel"</formula>
    </cfRule>
    <cfRule type="cellIs" dxfId="8951" priority="12651" stopIfTrue="1" operator="equal">
      <formula>"Napkin Hs"</formula>
    </cfRule>
  </conditionalFormatting>
  <conditionalFormatting sqref="C80:C81">
    <cfRule type="cellIs" dxfId="8950" priority="12652" stopIfTrue="1" operator="equal">
      <formula>"Towel"</formula>
    </cfRule>
    <cfRule type="cellIs" dxfId="8949" priority="12653" stopIfTrue="1" operator="equal">
      <formula>"Napkin Hs"</formula>
    </cfRule>
  </conditionalFormatting>
  <conditionalFormatting sqref="C80:C81">
    <cfRule type="cellIs" dxfId="8948" priority="12646" stopIfTrue="1" operator="equal">
      <formula>"Towel"</formula>
    </cfRule>
    <cfRule type="cellIs" dxfId="8947" priority="12647" stopIfTrue="1" operator="equal">
      <formula>"Napkin Hs"</formula>
    </cfRule>
  </conditionalFormatting>
  <conditionalFormatting sqref="C80:C81">
    <cfRule type="cellIs" dxfId="8946" priority="12648" stopIfTrue="1" operator="equal">
      <formula>"Towel"</formula>
    </cfRule>
    <cfRule type="cellIs" dxfId="8945" priority="12649" stopIfTrue="1" operator="equal">
      <formula>"Napkin Hs"</formula>
    </cfRule>
  </conditionalFormatting>
  <conditionalFormatting sqref="C79">
    <cfRule type="cellIs" dxfId="8944" priority="12642" stopIfTrue="1" operator="equal">
      <formula>"Towel"</formula>
    </cfRule>
    <cfRule type="cellIs" dxfId="8943" priority="12643" stopIfTrue="1" operator="equal">
      <formula>"Napkin Hs"</formula>
    </cfRule>
  </conditionalFormatting>
  <conditionalFormatting sqref="C79">
    <cfRule type="cellIs" dxfId="8942" priority="12644" stopIfTrue="1" operator="equal">
      <formula>"Towel"</formula>
    </cfRule>
    <cfRule type="cellIs" dxfId="8941" priority="12645" stopIfTrue="1" operator="equal">
      <formula>"Napkin Hs"</formula>
    </cfRule>
  </conditionalFormatting>
  <conditionalFormatting sqref="C79">
    <cfRule type="cellIs" dxfId="8940" priority="12640" stopIfTrue="1" operator="equal">
      <formula>"Towel"</formula>
    </cfRule>
    <cfRule type="cellIs" dxfId="8939" priority="12641" stopIfTrue="1" operator="equal">
      <formula>"Napkin Hs"</formula>
    </cfRule>
  </conditionalFormatting>
  <conditionalFormatting sqref="C79">
    <cfRule type="cellIs" dxfId="8938" priority="12634" stopIfTrue="1" operator="equal">
      <formula>"Towel"</formula>
    </cfRule>
    <cfRule type="cellIs" dxfId="8937" priority="12635" stopIfTrue="1" operator="equal">
      <formula>"Napkin Hs"</formula>
    </cfRule>
  </conditionalFormatting>
  <conditionalFormatting sqref="C79">
    <cfRule type="cellIs" dxfId="8936" priority="12638" stopIfTrue="1" operator="equal">
      <formula>"Towel"</formula>
    </cfRule>
    <cfRule type="cellIs" dxfId="8935" priority="12639" stopIfTrue="1" operator="equal">
      <formula>"Napkin Hs"</formula>
    </cfRule>
  </conditionalFormatting>
  <conditionalFormatting sqref="C79">
    <cfRule type="cellIs" dxfId="8934" priority="12636" stopIfTrue="1" operator="equal">
      <formula>"Towel"</formula>
    </cfRule>
    <cfRule type="cellIs" dxfId="8933" priority="12637" stopIfTrue="1" operator="equal">
      <formula>"Napkin Hs"</formula>
    </cfRule>
  </conditionalFormatting>
  <conditionalFormatting sqref="C79">
    <cfRule type="cellIs" dxfId="8932" priority="12628" stopIfTrue="1" operator="equal">
      <formula>"Towel"</formula>
    </cfRule>
    <cfRule type="cellIs" dxfId="8931" priority="12629" stopIfTrue="1" operator="equal">
      <formula>"Napkin Hs"</formula>
    </cfRule>
  </conditionalFormatting>
  <conditionalFormatting sqref="C79">
    <cfRule type="cellIs" dxfId="8930" priority="12630" stopIfTrue="1" operator="equal">
      <formula>"Towel"</formula>
    </cfRule>
    <cfRule type="cellIs" dxfId="8929" priority="12631" stopIfTrue="1" operator="equal">
      <formula>"Napkin Hs"</formula>
    </cfRule>
  </conditionalFormatting>
  <conditionalFormatting sqref="C79">
    <cfRule type="cellIs" dxfId="8928" priority="12632" stopIfTrue="1" operator="equal">
      <formula>"Towel"</formula>
    </cfRule>
    <cfRule type="cellIs" dxfId="8927" priority="12633" stopIfTrue="1" operator="equal">
      <formula>"Napkin Hs"</formula>
    </cfRule>
  </conditionalFormatting>
  <conditionalFormatting sqref="C79">
    <cfRule type="cellIs" dxfId="8926" priority="12626" stopIfTrue="1" operator="equal">
      <formula>"Towel"</formula>
    </cfRule>
    <cfRule type="cellIs" dxfId="8925" priority="12627" stopIfTrue="1" operator="equal">
      <formula>"Napkin Hs"</formula>
    </cfRule>
  </conditionalFormatting>
  <conditionalFormatting sqref="C79">
    <cfRule type="cellIs" dxfId="8924" priority="12624" stopIfTrue="1" operator="equal">
      <formula>"Towel"</formula>
    </cfRule>
    <cfRule type="cellIs" dxfId="8923" priority="12625" stopIfTrue="1" operator="equal">
      <formula>"Napkin Hs"</formula>
    </cfRule>
  </conditionalFormatting>
  <conditionalFormatting sqref="C79">
    <cfRule type="cellIs" dxfId="8922" priority="12600" stopIfTrue="1" operator="equal">
      <formula>"Towel"</formula>
    </cfRule>
  </conditionalFormatting>
  <conditionalFormatting sqref="C79">
    <cfRule type="cellIs" dxfId="8921" priority="12601" stopIfTrue="1" operator="equal">
      <formula>"Napkin Hs"</formula>
    </cfRule>
    <cfRule type="cellIs" dxfId="8920" priority="12606" stopIfTrue="1" operator="equal">
      <formula>"Towel"</formula>
    </cfRule>
    <cfRule type="cellIs" dxfId="8919" priority="12607" stopIfTrue="1" operator="equal">
      <formula>"Napkin Hs"</formula>
    </cfRule>
    <cfRule type="cellIs" dxfId="8918" priority="12616" stopIfTrue="1" operator="equal">
      <formula>"Towel"</formula>
    </cfRule>
    <cfRule type="cellIs" dxfId="8917" priority="12617" stopIfTrue="1" operator="equal">
      <formula>"Napkin Hs"</formula>
    </cfRule>
    <cfRule type="cellIs" dxfId="8916" priority="12622" stopIfTrue="1" operator="equal">
      <formula>"Towel"</formula>
    </cfRule>
    <cfRule type="cellIs" dxfId="8915" priority="12623" stopIfTrue="1" operator="equal">
      <formula>"Napkin Hs"</formula>
    </cfRule>
  </conditionalFormatting>
  <conditionalFormatting sqref="C79">
    <cfRule type="cellIs" dxfId="8914" priority="12602" stopIfTrue="1" operator="equal">
      <formula>"Towel"</formula>
    </cfRule>
    <cfRule type="cellIs" dxfId="8913" priority="12603" stopIfTrue="1" operator="equal">
      <formula>"Napkin Hs"</formula>
    </cfRule>
    <cfRule type="cellIs" dxfId="8912" priority="12604" stopIfTrue="1" operator="equal">
      <formula>"Towel"</formula>
    </cfRule>
    <cfRule type="cellIs" dxfId="8911" priority="12605" stopIfTrue="1" operator="equal">
      <formula>"Napkin Hs"</formula>
    </cfRule>
    <cfRule type="cellIs" dxfId="8910" priority="12608" stopIfTrue="1" operator="equal">
      <formula>"Towel"</formula>
    </cfRule>
    <cfRule type="cellIs" dxfId="8909" priority="12609" stopIfTrue="1" operator="equal">
      <formula>"Napkin Hs"</formula>
    </cfRule>
    <cfRule type="cellIs" dxfId="8908" priority="12610" stopIfTrue="1" operator="equal">
      <formula>"Towel"</formula>
    </cfRule>
    <cfRule type="cellIs" dxfId="8907" priority="12611" stopIfTrue="1" operator="equal">
      <formula>"Napkin Hs"</formula>
    </cfRule>
    <cfRule type="cellIs" dxfId="8906" priority="12612" stopIfTrue="1" operator="equal">
      <formula>"Towel"</formula>
    </cfRule>
    <cfRule type="cellIs" dxfId="8905" priority="12613" stopIfTrue="1" operator="equal">
      <formula>"Napkin Hs"</formula>
    </cfRule>
    <cfRule type="cellIs" dxfId="8904" priority="12614" stopIfTrue="1" operator="equal">
      <formula>"Towel"</formula>
    </cfRule>
    <cfRule type="cellIs" dxfId="8903" priority="12615" stopIfTrue="1" operator="equal">
      <formula>"Napkin Hs"</formula>
    </cfRule>
    <cfRule type="cellIs" dxfId="8902" priority="12618" stopIfTrue="1" operator="equal">
      <formula>"Towel"</formula>
    </cfRule>
    <cfRule type="cellIs" dxfId="8901" priority="12619" stopIfTrue="1" operator="equal">
      <formula>"Napkin Hs"</formula>
    </cfRule>
    <cfRule type="cellIs" dxfId="8900" priority="12621" stopIfTrue="1" operator="equal">
      <formula>"Napkin Hs"</formula>
    </cfRule>
  </conditionalFormatting>
  <conditionalFormatting sqref="C79">
    <cfRule type="cellIs" dxfId="8899" priority="12620" stopIfTrue="1" operator="equal">
      <formula>"Towel"</formula>
    </cfRule>
  </conditionalFormatting>
  <conditionalFormatting sqref="C79">
    <cfRule type="cellIs" dxfId="8898" priority="12598" stopIfTrue="1" operator="equal">
      <formula>"Towel"</formula>
    </cfRule>
    <cfRule type="cellIs" dxfId="8897" priority="12599" stopIfTrue="1" operator="equal">
      <formula>"Napkin Hs"</formula>
    </cfRule>
  </conditionalFormatting>
  <conditionalFormatting sqref="C79">
    <cfRule type="cellIs" dxfId="8896" priority="12597" stopIfTrue="1" operator="equal">
      <formula>"Napkin Hs"</formula>
    </cfRule>
  </conditionalFormatting>
  <conditionalFormatting sqref="C79">
    <cfRule type="cellIs" dxfId="8895" priority="12596" stopIfTrue="1" operator="equal">
      <formula>"Towel"</formula>
    </cfRule>
  </conditionalFormatting>
  <conditionalFormatting sqref="C79">
    <cfRule type="cellIs" dxfId="8894" priority="12594" stopIfTrue="1" operator="equal">
      <formula>"Towel"</formula>
    </cfRule>
  </conditionalFormatting>
  <conditionalFormatting sqref="C79">
    <cfRule type="cellIs" dxfId="8893" priority="12595" stopIfTrue="1" operator="equal">
      <formula>"Napkin Hs"</formula>
    </cfRule>
  </conditionalFormatting>
  <conditionalFormatting sqref="C79">
    <cfRule type="cellIs" dxfId="8892" priority="12498" stopIfTrue="1" operator="equal">
      <formula>"Towel"</formula>
    </cfRule>
  </conditionalFormatting>
  <conditionalFormatting sqref="C79">
    <cfRule type="cellIs" dxfId="8891" priority="12508" stopIfTrue="1" operator="equal">
      <formula>"Towel"</formula>
    </cfRule>
    <cfRule type="cellIs" dxfId="8890" priority="12509" stopIfTrue="1" operator="equal">
      <formula>"Napkin Hs"</formula>
    </cfRule>
    <cfRule type="cellIs" dxfId="8889" priority="12514" stopIfTrue="1" operator="equal">
      <formula>"Towel"</formula>
    </cfRule>
    <cfRule type="cellIs" dxfId="8888" priority="12515" stopIfTrue="1" operator="equal">
      <formula>"Napkin Hs"</formula>
    </cfRule>
    <cfRule type="cellIs" dxfId="8887" priority="12520" stopIfTrue="1" operator="equal">
      <formula>"Towel"</formula>
    </cfRule>
    <cfRule type="cellIs" dxfId="8886" priority="12521" stopIfTrue="1" operator="equal">
      <formula>"Napkin Hs"</formula>
    </cfRule>
    <cfRule type="cellIs" dxfId="8885" priority="12522" stopIfTrue="1" operator="equal">
      <formula>"Towel"</formula>
    </cfRule>
    <cfRule type="cellIs" dxfId="8884" priority="12523" stopIfTrue="1" operator="equal">
      <formula>"Napkin Hs"</formula>
    </cfRule>
    <cfRule type="cellIs" dxfId="8883" priority="12528" stopIfTrue="1" operator="equal">
      <formula>"Towel"</formula>
    </cfRule>
    <cfRule type="cellIs" dxfId="8882" priority="12529" stopIfTrue="1" operator="equal">
      <formula>"Napkin Hs"</formula>
    </cfRule>
    <cfRule type="cellIs" dxfId="8881" priority="12538" stopIfTrue="1" operator="equal">
      <formula>"Towel"</formula>
    </cfRule>
    <cfRule type="cellIs" dxfId="8880" priority="12539" stopIfTrue="1" operator="equal">
      <formula>"Napkin Hs"</formula>
    </cfRule>
    <cfRule type="cellIs" dxfId="8879" priority="12544" stopIfTrue="1" operator="equal">
      <formula>"Towel"</formula>
    </cfRule>
    <cfRule type="cellIs" dxfId="8878" priority="12545" stopIfTrue="1" operator="equal">
      <formula>"Napkin Hs"</formula>
    </cfRule>
    <cfRule type="cellIs" dxfId="8877" priority="12546" stopIfTrue="1" operator="equal">
      <formula>"Towel"</formula>
    </cfRule>
    <cfRule type="cellIs" dxfId="8876" priority="12547" stopIfTrue="1" operator="equal">
      <formula>"Napkin Hs"</formula>
    </cfRule>
    <cfRule type="cellIs" dxfId="8875" priority="12552" stopIfTrue="1" operator="equal">
      <formula>"Towel"</formula>
    </cfRule>
    <cfRule type="cellIs" dxfId="8874" priority="12553" stopIfTrue="1" operator="equal">
      <formula>"Napkin Hs"</formula>
    </cfRule>
    <cfRule type="cellIs" dxfId="8873" priority="12562" stopIfTrue="1" operator="equal">
      <formula>"Towel"</formula>
    </cfRule>
    <cfRule type="cellIs" dxfId="8872" priority="12563" stopIfTrue="1" operator="equal">
      <formula>"Napkin Hs"</formula>
    </cfRule>
    <cfRule type="cellIs" dxfId="8871" priority="12564" stopIfTrue="1" operator="equal">
      <formula>"Towel"</formula>
    </cfRule>
    <cfRule type="cellIs" dxfId="8870" priority="12565" stopIfTrue="1" operator="equal">
      <formula>"Napkin Hs"</formula>
    </cfRule>
    <cfRule type="cellIs" dxfId="8869" priority="12570" stopIfTrue="1" operator="equal">
      <formula>"Towel"</formula>
    </cfRule>
    <cfRule type="cellIs" dxfId="8868" priority="12571" stopIfTrue="1" operator="equal">
      <formula>"Napkin Hs"</formula>
    </cfRule>
    <cfRule type="cellIs" dxfId="8867" priority="12580" stopIfTrue="1" operator="equal">
      <formula>"Towel"</formula>
    </cfRule>
    <cfRule type="cellIs" dxfId="8866" priority="12581" stopIfTrue="1" operator="equal">
      <formula>"Napkin Hs"</formula>
    </cfRule>
    <cfRule type="cellIs" dxfId="8865" priority="12582" stopIfTrue="1" operator="equal">
      <formula>"Towel"</formula>
    </cfRule>
    <cfRule type="cellIs" dxfId="8864" priority="12583" stopIfTrue="1" operator="equal">
      <formula>"Napkin Hs"</formula>
    </cfRule>
    <cfRule type="cellIs" dxfId="8863" priority="12589" stopIfTrue="1" operator="equal">
      <formula>"Napkin Hs"</formula>
    </cfRule>
  </conditionalFormatting>
  <conditionalFormatting sqref="C79">
    <cfRule type="cellIs" dxfId="8862" priority="12588" stopIfTrue="1" operator="equal">
      <formula>"Towel"</formula>
    </cfRule>
  </conditionalFormatting>
  <conditionalFormatting sqref="C79">
    <cfRule type="cellIs" dxfId="8861" priority="12499" stopIfTrue="1" operator="equal">
      <formula>"Napkin Hs"</formula>
    </cfRule>
    <cfRule type="cellIs" dxfId="8860" priority="12500" stopIfTrue="1" operator="equal">
      <formula>"Towel"</formula>
    </cfRule>
    <cfRule type="cellIs" dxfId="8859" priority="12501" stopIfTrue="1" operator="equal">
      <formula>"Napkin Hs"</formula>
    </cfRule>
    <cfRule type="cellIs" dxfId="8858" priority="12502" stopIfTrue="1" operator="equal">
      <formula>"Towel"</formula>
    </cfRule>
    <cfRule type="cellIs" dxfId="8857" priority="12503" stopIfTrue="1" operator="equal">
      <formula>"Napkin Hs"</formula>
    </cfRule>
    <cfRule type="cellIs" dxfId="8856" priority="12504" stopIfTrue="1" operator="equal">
      <formula>"Towel"</formula>
    </cfRule>
    <cfRule type="cellIs" dxfId="8855" priority="12505" stopIfTrue="1" operator="equal">
      <formula>"Napkin Hs"</formula>
    </cfRule>
    <cfRule type="cellIs" dxfId="8854" priority="12506" stopIfTrue="1" operator="equal">
      <formula>"Towel"</formula>
    </cfRule>
    <cfRule type="cellIs" dxfId="8853" priority="12507" stopIfTrue="1" operator="equal">
      <formula>"Napkin Hs"</formula>
    </cfRule>
    <cfRule type="cellIs" dxfId="8852" priority="12510" stopIfTrue="1" operator="equal">
      <formula>"Towel"</formula>
    </cfRule>
    <cfRule type="cellIs" dxfId="8851" priority="12511" stopIfTrue="1" operator="equal">
      <formula>"Napkin Hs"</formula>
    </cfRule>
    <cfRule type="cellIs" dxfId="8850" priority="12512" stopIfTrue="1" operator="equal">
      <formula>"Towel"</formula>
    </cfRule>
    <cfRule type="cellIs" dxfId="8849" priority="12513" stopIfTrue="1" operator="equal">
      <formula>"Napkin Hs"</formula>
    </cfRule>
    <cfRule type="cellIs" dxfId="8848" priority="12516" stopIfTrue="1" operator="equal">
      <formula>"Towel"</formula>
    </cfRule>
    <cfRule type="cellIs" dxfId="8847" priority="12517" stopIfTrue="1" operator="equal">
      <formula>"Napkin Hs"</formula>
    </cfRule>
    <cfRule type="cellIs" dxfId="8846" priority="12518" stopIfTrue="1" operator="equal">
      <formula>"Towel"</formula>
    </cfRule>
    <cfRule type="cellIs" dxfId="8845" priority="12519" stopIfTrue="1" operator="equal">
      <formula>"Napkin Hs"</formula>
    </cfRule>
    <cfRule type="cellIs" dxfId="8844" priority="12524" stopIfTrue="1" operator="equal">
      <formula>"Towel"</formula>
    </cfRule>
    <cfRule type="cellIs" dxfId="8843" priority="12525" stopIfTrue="1" operator="equal">
      <formula>"Napkin Hs"</formula>
    </cfRule>
    <cfRule type="cellIs" dxfId="8842" priority="12526" stopIfTrue="1" operator="equal">
      <formula>"Towel"</formula>
    </cfRule>
    <cfRule type="cellIs" dxfId="8841" priority="12527" stopIfTrue="1" operator="equal">
      <formula>"Napkin Hs"</formula>
    </cfRule>
    <cfRule type="cellIs" dxfId="8840" priority="12530" stopIfTrue="1" operator="equal">
      <formula>"Towel"</formula>
    </cfRule>
    <cfRule type="cellIs" dxfId="8839" priority="12531" stopIfTrue="1" operator="equal">
      <formula>"Napkin Hs"</formula>
    </cfRule>
    <cfRule type="cellIs" dxfId="8838" priority="12532" stopIfTrue="1" operator="equal">
      <formula>"Towel"</formula>
    </cfRule>
    <cfRule type="cellIs" dxfId="8837" priority="12533" stopIfTrue="1" operator="equal">
      <formula>"Napkin Hs"</formula>
    </cfRule>
    <cfRule type="cellIs" dxfId="8836" priority="12534" stopIfTrue="1" operator="equal">
      <formula>"Towel"</formula>
    </cfRule>
    <cfRule type="cellIs" dxfId="8835" priority="12535" stopIfTrue="1" operator="equal">
      <formula>"Napkin Hs"</formula>
    </cfRule>
    <cfRule type="cellIs" dxfId="8834" priority="12536" stopIfTrue="1" operator="equal">
      <formula>"Towel"</formula>
    </cfRule>
    <cfRule type="cellIs" dxfId="8833" priority="12537" stopIfTrue="1" operator="equal">
      <formula>"Napkin Hs"</formula>
    </cfRule>
    <cfRule type="cellIs" dxfId="8832" priority="12540" stopIfTrue="1" operator="equal">
      <formula>"Towel"</formula>
    </cfRule>
    <cfRule type="cellIs" dxfId="8831" priority="12541" stopIfTrue="1" operator="equal">
      <formula>"Napkin Hs"</formula>
    </cfRule>
    <cfRule type="cellIs" dxfId="8830" priority="12542" stopIfTrue="1" operator="equal">
      <formula>"Towel"</formula>
    </cfRule>
    <cfRule type="cellIs" dxfId="8829" priority="12543" stopIfTrue="1" operator="equal">
      <formula>"Napkin Hs"</formula>
    </cfRule>
    <cfRule type="cellIs" dxfId="8828" priority="12548" stopIfTrue="1" operator="equal">
      <formula>"Towel"</formula>
    </cfRule>
    <cfRule type="cellIs" dxfId="8827" priority="12549" stopIfTrue="1" operator="equal">
      <formula>"Napkin Hs"</formula>
    </cfRule>
    <cfRule type="cellIs" dxfId="8826" priority="12550" stopIfTrue="1" operator="equal">
      <formula>"Towel"</formula>
    </cfRule>
    <cfRule type="cellIs" dxfId="8825" priority="12551" stopIfTrue="1" operator="equal">
      <formula>"Napkin Hs"</formula>
    </cfRule>
    <cfRule type="cellIs" dxfId="8824" priority="12554" stopIfTrue="1" operator="equal">
      <formula>"Towel"</formula>
    </cfRule>
    <cfRule type="cellIs" dxfId="8823" priority="12555" stopIfTrue="1" operator="equal">
      <formula>"Napkin Hs"</formula>
    </cfRule>
    <cfRule type="cellIs" dxfId="8822" priority="12556" stopIfTrue="1" operator="equal">
      <formula>"Towel"</formula>
    </cfRule>
    <cfRule type="cellIs" dxfId="8821" priority="12557" stopIfTrue="1" operator="equal">
      <formula>"Napkin Hs"</formula>
    </cfRule>
    <cfRule type="cellIs" dxfId="8820" priority="12558" stopIfTrue="1" operator="equal">
      <formula>"Towel"</formula>
    </cfRule>
    <cfRule type="cellIs" dxfId="8819" priority="12559" stopIfTrue="1" operator="equal">
      <formula>"Napkin Hs"</formula>
    </cfRule>
    <cfRule type="cellIs" dxfId="8818" priority="12560" stopIfTrue="1" operator="equal">
      <formula>"Towel"</formula>
    </cfRule>
    <cfRule type="cellIs" dxfId="8817" priority="12561" stopIfTrue="1" operator="equal">
      <formula>"Napkin Hs"</formula>
    </cfRule>
    <cfRule type="cellIs" dxfId="8816" priority="12566" stopIfTrue="1" operator="equal">
      <formula>"Towel"</formula>
    </cfRule>
    <cfRule type="cellIs" dxfId="8815" priority="12567" stopIfTrue="1" operator="equal">
      <formula>"Napkin Hs"</formula>
    </cfRule>
    <cfRule type="cellIs" dxfId="8814" priority="12568" stopIfTrue="1" operator="equal">
      <formula>"Towel"</formula>
    </cfRule>
    <cfRule type="cellIs" dxfId="8813" priority="12569" stopIfTrue="1" operator="equal">
      <formula>"Napkin Hs"</formula>
    </cfRule>
    <cfRule type="cellIs" dxfId="8812" priority="12572" stopIfTrue="1" operator="equal">
      <formula>"Towel"</formula>
    </cfRule>
    <cfRule type="cellIs" dxfId="8811" priority="12573" stopIfTrue="1" operator="equal">
      <formula>"Napkin Hs"</formula>
    </cfRule>
    <cfRule type="cellIs" dxfId="8810" priority="12574" stopIfTrue="1" operator="equal">
      <formula>"Towel"</formula>
    </cfRule>
    <cfRule type="cellIs" dxfId="8809" priority="12575" stopIfTrue="1" operator="equal">
      <formula>"Napkin Hs"</formula>
    </cfRule>
    <cfRule type="cellIs" dxfId="8808" priority="12576" stopIfTrue="1" operator="equal">
      <formula>"Towel"</formula>
    </cfRule>
    <cfRule type="cellIs" dxfId="8807" priority="12577" stopIfTrue="1" operator="equal">
      <formula>"Napkin Hs"</formula>
    </cfRule>
    <cfRule type="cellIs" dxfId="8806" priority="12578" stopIfTrue="1" operator="equal">
      <formula>"Towel"</formula>
    </cfRule>
    <cfRule type="cellIs" dxfId="8805" priority="12579" stopIfTrue="1" operator="equal">
      <formula>"Napkin Hs"</formula>
    </cfRule>
    <cfRule type="cellIs" dxfId="8804" priority="12584" stopIfTrue="1" operator="equal">
      <formula>"Towel"</formula>
    </cfRule>
    <cfRule type="cellIs" dxfId="8803" priority="12585" stopIfTrue="1" operator="equal">
      <formula>"Napkin Hs"</formula>
    </cfRule>
    <cfRule type="cellIs" dxfId="8802" priority="12586" stopIfTrue="1" operator="equal">
      <formula>"Towel"</formula>
    </cfRule>
    <cfRule type="cellIs" dxfId="8801" priority="12587" stopIfTrue="1" operator="equal">
      <formula>"Napkin Hs"</formula>
    </cfRule>
    <cfRule type="cellIs" dxfId="8800" priority="12590" stopIfTrue="1" operator="equal">
      <formula>"Towel"</formula>
    </cfRule>
    <cfRule type="cellIs" dxfId="8799" priority="12591" stopIfTrue="1" operator="equal">
      <formula>"Napkin Hs"</formula>
    </cfRule>
    <cfRule type="cellIs" dxfId="8798" priority="12592" stopIfTrue="1" operator="equal">
      <formula>"Towel"</formula>
    </cfRule>
    <cfRule type="cellIs" dxfId="8797" priority="12593" stopIfTrue="1" operator="equal">
      <formula>"Napkin Hs"</formula>
    </cfRule>
  </conditionalFormatting>
  <conditionalFormatting sqref="C79">
    <cfRule type="cellIs" dxfId="8796" priority="12497" stopIfTrue="1" operator="equal">
      <formula>"Napkin Hs"</formula>
    </cfRule>
  </conditionalFormatting>
  <conditionalFormatting sqref="C79">
    <cfRule type="cellIs" dxfId="8795" priority="12496" stopIfTrue="1" operator="equal">
      <formula>"Napkin Hs"</formula>
    </cfRule>
  </conditionalFormatting>
  <conditionalFormatting sqref="C79">
    <cfRule type="cellIs" dxfId="8794" priority="12495" stopIfTrue="1" operator="equal">
      <formula>"Napkin Hs"</formula>
    </cfRule>
  </conditionalFormatting>
  <conditionalFormatting sqref="C79">
    <cfRule type="cellIs" dxfId="8793" priority="12494" stopIfTrue="1" operator="equal">
      <formula>"Napkin Hs"</formula>
    </cfRule>
  </conditionalFormatting>
  <conditionalFormatting sqref="C79">
    <cfRule type="cellIs" dxfId="8792" priority="12493" stopIfTrue="1" operator="equal">
      <formula>"Napkin Hs"</formula>
    </cfRule>
  </conditionalFormatting>
  <conditionalFormatting sqref="C79">
    <cfRule type="cellIs" dxfId="8791" priority="12492" stopIfTrue="1" operator="equal">
      <formula>"Napkin Hs"</formula>
    </cfRule>
  </conditionalFormatting>
  <conditionalFormatting sqref="C79">
    <cfRule type="cellIs" dxfId="8790" priority="12488" stopIfTrue="1" operator="equal">
      <formula>"Towel"</formula>
    </cfRule>
    <cfRule type="cellIs" dxfId="8789" priority="12489" stopIfTrue="1" operator="equal">
      <formula>"Napkin Hs"</formula>
    </cfRule>
  </conditionalFormatting>
  <conditionalFormatting sqref="C79">
    <cfRule type="cellIs" dxfId="8788" priority="12490" stopIfTrue="1" operator="equal">
      <formula>"Towel"</formula>
    </cfRule>
    <cfRule type="cellIs" dxfId="8787" priority="12491" stopIfTrue="1" operator="equal">
      <formula>"Napkin Hs"</formula>
    </cfRule>
  </conditionalFormatting>
  <conditionalFormatting sqref="C79">
    <cfRule type="cellIs" dxfId="8786" priority="12484" stopIfTrue="1" operator="equal">
      <formula>"Towel"</formula>
    </cfRule>
    <cfRule type="cellIs" dxfId="8785" priority="12485" stopIfTrue="1" operator="equal">
      <formula>"Napkin Hs"</formula>
    </cfRule>
  </conditionalFormatting>
  <conditionalFormatting sqref="C79">
    <cfRule type="cellIs" dxfId="8784" priority="12486" stopIfTrue="1" operator="equal">
      <formula>"Towel"</formula>
    </cfRule>
    <cfRule type="cellIs" dxfId="8783" priority="12487" stopIfTrue="1" operator="equal">
      <formula>"Napkin Hs"</formula>
    </cfRule>
  </conditionalFormatting>
  <conditionalFormatting sqref="B79">
    <cfRule type="cellIs" dxfId="8782" priority="12482" stopIfTrue="1" operator="equal">
      <formula>"Towel"</formula>
    </cfRule>
    <cfRule type="cellIs" dxfId="8781" priority="12483" stopIfTrue="1" operator="equal">
      <formula>"Napkin Hs"</formula>
    </cfRule>
  </conditionalFormatting>
  <conditionalFormatting sqref="B79">
    <cfRule type="cellIs" dxfId="8780" priority="12480" stopIfTrue="1" operator="equal">
      <formula>"Towel"</formula>
    </cfRule>
    <cfRule type="cellIs" dxfId="8779" priority="12481" stopIfTrue="1" operator="equal">
      <formula>"Napkin Hs"</formula>
    </cfRule>
  </conditionalFormatting>
  <conditionalFormatting sqref="B79">
    <cfRule type="cellIs" dxfId="8778" priority="12478" stopIfTrue="1" operator="equal">
      <formula>"Towel"</formula>
    </cfRule>
    <cfRule type="cellIs" dxfId="8777" priority="12479" stopIfTrue="1" operator="equal">
      <formula>"Napkin Hs"</formula>
    </cfRule>
  </conditionalFormatting>
  <conditionalFormatting sqref="B79">
    <cfRule type="cellIs" dxfId="8776" priority="12470" stopIfTrue="1" operator="equal">
      <formula>"Towel"</formula>
    </cfRule>
  </conditionalFormatting>
  <conditionalFormatting sqref="B79">
    <cfRule type="cellIs" dxfId="8775" priority="12471" stopIfTrue="1" operator="equal">
      <formula>"Napkin Hs"</formula>
    </cfRule>
    <cfRule type="cellIs" dxfId="8774" priority="12472" stopIfTrue="1" operator="equal">
      <formula>"Towel"</formula>
    </cfRule>
    <cfRule type="cellIs" dxfId="8773" priority="12473" stopIfTrue="1" operator="equal">
      <formula>"Napkin Hs"</formula>
    </cfRule>
    <cfRule type="cellIs" dxfId="8772" priority="12474" stopIfTrue="1" operator="equal">
      <formula>"Towel"</formula>
    </cfRule>
    <cfRule type="cellIs" dxfId="8771" priority="12475" stopIfTrue="1" operator="equal">
      <formula>"Napkin Hs"</formula>
    </cfRule>
    <cfRule type="cellIs" dxfId="8770" priority="12476" stopIfTrue="1" operator="equal">
      <formula>"Towel"</formula>
    </cfRule>
    <cfRule type="cellIs" dxfId="8769" priority="12477" stopIfTrue="1" operator="equal">
      <formula>"Napkin Hs"</formula>
    </cfRule>
  </conditionalFormatting>
  <conditionalFormatting sqref="B79">
    <cfRule type="cellIs" dxfId="8768" priority="12468" stopIfTrue="1" operator="equal">
      <formula>"Towel"</formula>
    </cfRule>
    <cfRule type="cellIs" dxfId="8767" priority="12469" stopIfTrue="1" operator="equal">
      <formula>"Napkin Hs"</formula>
    </cfRule>
  </conditionalFormatting>
  <conditionalFormatting sqref="B79">
    <cfRule type="cellIs" dxfId="8766" priority="12437" stopIfTrue="1" operator="equal">
      <formula>"Napkin Hs"</formula>
    </cfRule>
  </conditionalFormatting>
  <conditionalFormatting sqref="B79">
    <cfRule type="cellIs" dxfId="8765" priority="12436" stopIfTrue="1" operator="equal">
      <formula>"Towel"</formula>
    </cfRule>
  </conditionalFormatting>
  <conditionalFormatting sqref="B79">
    <cfRule type="cellIs" dxfId="8764" priority="12438" stopIfTrue="1" operator="equal">
      <formula>"Towel"</formula>
    </cfRule>
    <cfRule type="cellIs" dxfId="8763" priority="12439" stopIfTrue="1" operator="equal">
      <formula>"Napkin Hs"</formula>
    </cfRule>
    <cfRule type="cellIs" dxfId="8762" priority="12440" stopIfTrue="1" operator="equal">
      <formula>"Towel"</formula>
    </cfRule>
    <cfRule type="cellIs" dxfId="8761" priority="12441" stopIfTrue="1" operator="equal">
      <formula>"Napkin Hs"</formula>
    </cfRule>
    <cfRule type="cellIs" dxfId="8760" priority="12442" stopIfTrue="1" operator="equal">
      <formula>"Towel"</formula>
    </cfRule>
    <cfRule type="cellIs" dxfId="8759" priority="12443" stopIfTrue="1" operator="equal">
      <formula>"Napkin Hs"</formula>
    </cfRule>
    <cfRule type="cellIs" dxfId="8758" priority="12444" stopIfTrue="1" operator="equal">
      <formula>"Towel"</formula>
    </cfRule>
    <cfRule type="cellIs" dxfId="8757" priority="12445" stopIfTrue="1" operator="equal">
      <formula>"Napkin Hs"</formula>
    </cfRule>
    <cfRule type="cellIs" dxfId="8756" priority="12446" stopIfTrue="1" operator="equal">
      <formula>"Towel"</formula>
    </cfRule>
    <cfRule type="cellIs" dxfId="8755" priority="12447" stopIfTrue="1" operator="equal">
      <formula>"Napkin Hs"</formula>
    </cfRule>
    <cfRule type="cellIs" dxfId="8754" priority="12448" stopIfTrue="1" operator="equal">
      <formula>"Towel"</formula>
    </cfRule>
    <cfRule type="cellIs" dxfId="8753" priority="12449" stopIfTrue="1" operator="equal">
      <formula>"Napkin Hs"</formula>
    </cfRule>
    <cfRule type="cellIs" dxfId="8752" priority="12450" stopIfTrue="1" operator="equal">
      <formula>"Towel"</formula>
    </cfRule>
    <cfRule type="cellIs" dxfId="8751" priority="12451" stopIfTrue="1" operator="equal">
      <formula>"Napkin Hs"</formula>
    </cfRule>
    <cfRule type="cellIs" dxfId="8750" priority="12452" stopIfTrue="1" operator="equal">
      <formula>"Towel"</formula>
    </cfRule>
    <cfRule type="cellIs" dxfId="8749" priority="12453" stopIfTrue="1" operator="equal">
      <formula>"Napkin Hs"</formula>
    </cfRule>
    <cfRule type="cellIs" dxfId="8748" priority="12454" stopIfTrue="1" operator="equal">
      <formula>"Towel"</formula>
    </cfRule>
    <cfRule type="cellIs" dxfId="8747" priority="12455" stopIfTrue="1" operator="equal">
      <formula>"Napkin Hs"</formula>
    </cfRule>
    <cfRule type="cellIs" dxfId="8746" priority="12456" stopIfTrue="1" operator="equal">
      <formula>"Towel"</formula>
    </cfRule>
    <cfRule type="cellIs" dxfId="8745" priority="12457" stopIfTrue="1" operator="equal">
      <formula>"Napkin Hs"</formula>
    </cfRule>
    <cfRule type="cellIs" dxfId="8744" priority="12458" stopIfTrue="1" operator="equal">
      <formula>"Towel"</formula>
    </cfRule>
    <cfRule type="cellIs" dxfId="8743" priority="12459" stopIfTrue="1" operator="equal">
      <formula>"Napkin Hs"</formula>
    </cfRule>
    <cfRule type="cellIs" dxfId="8742" priority="12460" stopIfTrue="1" operator="equal">
      <formula>"Towel"</formula>
    </cfRule>
    <cfRule type="cellIs" dxfId="8741" priority="12461" stopIfTrue="1" operator="equal">
      <formula>"Napkin Hs"</formula>
    </cfRule>
    <cfRule type="cellIs" dxfId="8740" priority="12462" stopIfTrue="1" operator="equal">
      <formula>"Towel"</formula>
    </cfRule>
    <cfRule type="cellIs" dxfId="8739" priority="12463" stopIfTrue="1" operator="equal">
      <formula>"Napkin Hs"</formula>
    </cfRule>
    <cfRule type="cellIs" dxfId="8738" priority="12464" stopIfTrue="1" operator="equal">
      <formula>"Towel"</formula>
    </cfRule>
    <cfRule type="cellIs" dxfId="8737" priority="12465" stopIfTrue="1" operator="equal">
      <formula>"Napkin Hs"</formula>
    </cfRule>
    <cfRule type="cellIs" dxfId="8736" priority="12467" stopIfTrue="1" operator="equal">
      <formula>"Napkin Hs"</formula>
    </cfRule>
  </conditionalFormatting>
  <conditionalFormatting sqref="B79">
    <cfRule type="cellIs" dxfId="8735" priority="12466" stopIfTrue="1" operator="equal">
      <formula>"Towel"</formula>
    </cfRule>
  </conditionalFormatting>
  <conditionalFormatting sqref="B79">
    <cfRule type="cellIs" dxfId="8734" priority="12435" stopIfTrue="1" operator="equal">
      <formula>"Napkin Hs"</formula>
    </cfRule>
  </conditionalFormatting>
  <conditionalFormatting sqref="B79">
    <cfRule type="cellIs" dxfId="8733" priority="12434" stopIfTrue="1" operator="equal">
      <formula>"Napkin Hs"</formula>
    </cfRule>
  </conditionalFormatting>
  <conditionalFormatting sqref="B79">
    <cfRule type="cellIs" dxfId="8732" priority="12433" stopIfTrue="1" operator="equal">
      <formula>"Napkin Hs"</formula>
    </cfRule>
  </conditionalFormatting>
  <conditionalFormatting sqref="C78">
    <cfRule type="cellIs" dxfId="8731" priority="12429" stopIfTrue="1" operator="equal">
      <formula>"Towel"</formula>
    </cfRule>
    <cfRule type="cellIs" dxfId="8730" priority="12430" stopIfTrue="1" operator="equal">
      <formula>"Napkin Hs"</formula>
    </cfRule>
  </conditionalFormatting>
  <conditionalFormatting sqref="C78">
    <cfRule type="cellIs" dxfId="8729" priority="12431" stopIfTrue="1" operator="equal">
      <formula>"Towel"</formula>
    </cfRule>
    <cfRule type="cellIs" dxfId="8728" priority="12432" stopIfTrue="1" operator="equal">
      <formula>"Napkin Hs"</formula>
    </cfRule>
  </conditionalFormatting>
  <conditionalFormatting sqref="C78">
    <cfRule type="cellIs" dxfId="8727" priority="12427" stopIfTrue="1" operator="equal">
      <formula>"Towel"</formula>
    </cfRule>
    <cfRule type="cellIs" dxfId="8726" priority="12428" stopIfTrue="1" operator="equal">
      <formula>"Napkin Hs"</formula>
    </cfRule>
  </conditionalFormatting>
  <conditionalFormatting sqref="C78">
    <cfRule type="cellIs" dxfId="8725" priority="12421" stopIfTrue="1" operator="equal">
      <formula>"Towel"</formula>
    </cfRule>
    <cfRule type="cellIs" dxfId="8724" priority="12422" stopIfTrue="1" operator="equal">
      <formula>"Napkin Hs"</formula>
    </cfRule>
  </conditionalFormatting>
  <conditionalFormatting sqref="C78">
    <cfRule type="cellIs" dxfId="8723" priority="12425" stopIfTrue="1" operator="equal">
      <formula>"Towel"</formula>
    </cfRule>
    <cfRule type="cellIs" dxfId="8722" priority="12426" stopIfTrue="1" operator="equal">
      <formula>"Napkin Hs"</formula>
    </cfRule>
  </conditionalFormatting>
  <conditionalFormatting sqref="C78">
    <cfRule type="cellIs" dxfId="8721" priority="12423" stopIfTrue="1" operator="equal">
      <formula>"Towel"</formula>
    </cfRule>
    <cfRule type="cellIs" dxfId="8720" priority="12424" stopIfTrue="1" operator="equal">
      <formula>"Napkin Hs"</formula>
    </cfRule>
  </conditionalFormatting>
  <conditionalFormatting sqref="C78">
    <cfRule type="cellIs" dxfId="8719" priority="12415" stopIfTrue="1" operator="equal">
      <formula>"Towel"</formula>
    </cfRule>
    <cfRule type="cellIs" dxfId="8718" priority="12416" stopIfTrue="1" operator="equal">
      <formula>"Napkin Hs"</formula>
    </cfRule>
  </conditionalFormatting>
  <conditionalFormatting sqref="C78">
    <cfRule type="cellIs" dxfId="8717" priority="12417" stopIfTrue="1" operator="equal">
      <formula>"Towel"</formula>
    </cfRule>
    <cfRule type="cellIs" dxfId="8716" priority="12418" stopIfTrue="1" operator="equal">
      <formula>"Napkin Hs"</formula>
    </cfRule>
  </conditionalFormatting>
  <conditionalFormatting sqref="C78">
    <cfRule type="cellIs" dxfId="8715" priority="12419" stopIfTrue="1" operator="equal">
      <formula>"Towel"</formula>
    </cfRule>
    <cfRule type="cellIs" dxfId="8714" priority="12420" stopIfTrue="1" operator="equal">
      <formula>"Napkin Hs"</formula>
    </cfRule>
  </conditionalFormatting>
  <conditionalFormatting sqref="C78">
    <cfRule type="cellIs" dxfId="8713" priority="12413" stopIfTrue="1" operator="equal">
      <formula>"Towel"</formula>
    </cfRule>
    <cfRule type="cellIs" dxfId="8712" priority="12414" stopIfTrue="1" operator="equal">
      <formula>"Napkin Hs"</formula>
    </cfRule>
  </conditionalFormatting>
  <conditionalFormatting sqref="C78">
    <cfRule type="cellIs" dxfId="8711" priority="12411" stopIfTrue="1" operator="equal">
      <formula>"Towel"</formula>
    </cfRule>
    <cfRule type="cellIs" dxfId="8710" priority="12412" stopIfTrue="1" operator="equal">
      <formula>"Napkin Hs"</formula>
    </cfRule>
  </conditionalFormatting>
  <conditionalFormatting sqref="C78">
    <cfRule type="cellIs" dxfId="8709" priority="12387" stopIfTrue="1" operator="equal">
      <formula>"Towel"</formula>
    </cfRule>
  </conditionalFormatting>
  <conditionalFormatting sqref="C78">
    <cfRule type="cellIs" dxfId="8708" priority="12388" stopIfTrue="1" operator="equal">
      <formula>"Napkin Hs"</formula>
    </cfRule>
    <cfRule type="cellIs" dxfId="8707" priority="12393" stopIfTrue="1" operator="equal">
      <formula>"Towel"</formula>
    </cfRule>
    <cfRule type="cellIs" dxfId="8706" priority="12394" stopIfTrue="1" operator="equal">
      <formula>"Napkin Hs"</formula>
    </cfRule>
    <cfRule type="cellIs" dxfId="8705" priority="12403" stopIfTrue="1" operator="equal">
      <formula>"Towel"</formula>
    </cfRule>
    <cfRule type="cellIs" dxfId="8704" priority="12404" stopIfTrue="1" operator="equal">
      <formula>"Napkin Hs"</formula>
    </cfRule>
    <cfRule type="cellIs" dxfId="8703" priority="12409" stopIfTrue="1" operator="equal">
      <formula>"Towel"</formula>
    </cfRule>
    <cfRule type="cellIs" dxfId="8702" priority="12410" stopIfTrue="1" operator="equal">
      <formula>"Napkin Hs"</formula>
    </cfRule>
  </conditionalFormatting>
  <conditionalFormatting sqref="C78">
    <cfRule type="cellIs" dxfId="8701" priority="12389" stopIfTrue="1" operator="equal">
      <formula>"Towel"</formula>
    </cfRule>
    <cfRule type="cellIs" dxfId="8700" priority="12390" stopIfTrue="1" operator="equal">
      <formula>"Napkin Hs"</formula>
    </cfRule>
    <cfRule type="cellIs" dxfId="8699" priority="12391" stopIfTrue="1" operator="equal">
      <formula>"Towel"</formula>
    </cfRule>
    <cfRule type="cellIs" dxfId="8698" priority="12392" stopIfTrue="1" operator="equal">
      <formula>"Napkin Hs"</formula>
    </cfRule>
    <cfRule type="cellIs" dxfId="8697" priority="12395" stopIfTrue="1" operator="equal">
      <formula>"Towel"</formula>
    </cfRule>
    <cfRule type="cellIs" dxfId="8696" priority="12396" stopIfTrue="1" operator="equal">
      <formula>"Napkin Hs"</formula>
    </cfRule>
    <cfRule type="cellIs" dxfId="8695" priority="12397" stopIfTrue="1" operator="equal">
      <formula>"Towel"</formula>
    </cfRule>
    <cfRule type="cellIs" dxfId="8694" priority="12398" stopIfTrue="1" operator="equal">
      <formula>"Napkin Hs"</formula>
    </cfRule>
    <cfRule type="cellIs" dxfId="8693" priority="12399" stopIfTrue="1" operator="equal">
      <formula>"Towel"</formula>
    </cfRule>
    <cfRule type="cellIs" dxfId="8692" priority="12400" stopIfTrue="1" operator="equal">
      <formula>"Napkin Hs"</formula>
    </cfRule>
    <cfRule type="cellIs" dxfId="8691" priority="12401" stopIfTrue="1" operator="equal">
      <formula>"Towel"</formula>
    </cfRule>
    <cfRule type="cellIs" dxfId="8690" priority="12402" stopIfTrue="1" operator="equal">
      <formula>"Napkin Hs"</formula>
    </cfRule>
    <cfRule type="cellIs" dxfId="8689" priority="12405" stopIfTrue="1" operator="equal">
      <formula>"Towel"</formula>
    </cfRule>
    <cfRule type="cellIs" dxfId="8688" priority="12406" stopIfTrue="1" operator="equal">
      <formula>"Napkin Hs"</formula>
    </cfRule>
    <cfRule type="cellIs" dxfId="8687" priority="12408" stopIfTrue="1" operator="equal">
      <formula>"Napkin Hs"</formula>
    </cfRule>
  </conditionalFormatting>
  <conditionalFormatting sqref="C78">
    <cfRule type="cellIs" dxfId="8686" priority="12407" stopIfTrue="1" operator="equal">
      <formula>"Towel"</formula>
    </cfRule>
  </conditionalFormatting>
  <conditionalFormatting sqref="C78">
    <cfRule type="cellIs" dxfId="8685" priority="12385" stopIfTrue="1" operator="equal">
      <formula>"Towel"</formula>
    </cfRule>
    <cfRule type="cellIs" dxfId="8684" priority="12386" stopIfTrue="1" operator="equal">
      <formula>"Napkin Hs"</formula>
    </cfRule>
  </conditionalFormatting>
  <conditionalFormatting sqref="C78">
    <cfRule type="cellIs" dxfId="8683" priority="12384" stopIfTrue="1" operator="equal">
      <formula>"Napkin Hs"</formula>
    </cfRule>
  </conditionalFormatting>
  <conditionalFormatting sqref="C78">
    <cfRule type="cellIs" dxfId="8682" priority="12383" stopIfTrue="1" operator="equal">
      <formula>"Towel"</formula>
    </cfRule>
  </conditionalFormatting>
  <conditionalFormatting sqref="C78">
    <cfRule type="cellIs" dxfId="8681" priority="12381" stopIfTrue="1" operator="equal">
      <formula>"Towel"</formula>
    </cfRule>
  </conditionalFormatting>
  <conditionalFormatting sqref="C78">
    <cfRule type="cellIs" dxfId="8680" priority="12382" stopIfTrue="1" operator="equal">
      <formula>"Napkin Hs"</formula>
    </cfRule>
  </conditionalFormatting>
  <conditionalFormatting sqref="C78">
    <cfRule type="cellIs" dxfId="8679" priority="12285" stopIfTrue="1" operator="equal">
      <formula>"Towel"</formula>
    </cfRule>
  </conditionalFormatting>
  <conditionalFormatting sqref="C78">
    <cfRule type="cellIs" dxfId="8678" priority="12295" stopIfTrue="1" operator="equal">
      <formula>"Towel"</formula>
    </cfRule>
    <cfRule type="cellIs" dxfId="8677" priority="12296" stopIfTrue="1" operator="equal">
      <formula>"Napkin Hs"</formula>
    </cfRule>
    <cfRule type="cellIs" dxfId="8676" priority="12301" stopIfTrue="1" operator="equal">
      <formula>"Towel"</formula>
    </cfRule>
    <cfRule type="cellIs" dxfId="8675" priority="12302" stopIfTrue="1" operator="equal">
      <formula>"Napkin Hs"</formula>
    </cfRule>
    <cfRule type="cellIs" dxfId="8674" priority="12307" stopIfTrue="1" operator="equal">
      <formula>"Towel"</formula>
    </cfRule>
    <cfRule type="cellIs" dxfId="8673" priority="12308" stopIfTrue="1" operator="equal">
      <formula>"Napkin Hs"</formula>
    </cfRule>
    <cfRule type="cellIs" dxfId="8672" priority="12309" stopIfTrue="1" operator="equal">
      <formula>"Towel"</formula>
    </cfRule>
    <cfRule type="cellIs" dxfId="8671" priority="12310" stopIfTrue="1" operator="equal">
      <formula>"Napkin Hs"</formula>
    </cfRule>
    <cfRule type="cellIs" dxfId="8670" priority="12315" stopIfTrue="1" operator="equal">
      <formula>"Towel"</formula>
    </cfRule>
    <cfRule type="cellIs" dxfId="8669" priority="12316" stopIfTrue="1" operator="equal">
      <formula>"Napkin Hs"</formula>
    </cfRule>
    <cfRule type="cellIs" dxfId="8668" priority="12325" stopIfTrue="1" operator="equal">
      <formula>"Towel"</formula>
    </cfRule>
    <cfRule type="cellIs" dxfId="8667" priority="12326" stopIfTrue="1" operator="equal">
      <formula>"Napkin Hs"</formula>
    </cfRule>
    <cfRule type="cellIs" dxfId="8666" priority="12331" stopIfTrue="1" operator="equal">
      <formula>"Towel"</formula>
    </cfRule>
    <cfRule type="cellIs" dxfId="8665" priority="12332" stopIfTrue="1" operator="equal">
      <formula>"Napkin Hs"</formula>
    </cfRule>
    <cfRule type="cellIs" dxfId="8664" priority="12333" stopIfTrue="1" operator="equal">
      <formula>"Towel"</formula>
    </cfRule>
    <cfRule type="cellIs" dxfId="8663" priority="12334" stopIfTrue="1" operator="equal">
      <formula>"Napkin Hs"</formula>
    </cfRule>
    <cfRule type="cellIs" dxfId="8662" priority="12339" stopIfTrue="1" operator="equal">
      <formula>"Towel"</formula>
    </cfRule>
    <cfRule type="cellIs" dxfId="8661" priority="12340" stopIfTrue="1" operator="equal">
      <formula>"Napkin Hs"</formula>
    </cfRule>
    <cfRule type="cellIs" dxfId="8660" priority="12349" stopIfTrue="1" operator="equal">
      <formula>"Towel"</formula>
    </cfRule>
    <cfRule type="cellIs" dxfId="8659" priority="12350" stopIfTrue="1" operator="equal">
      <formula>"Napkin Hs"</formula>
    </cfRule>
    <cfRule type="cellIs" dxfId="8658" priority="12351" stopIfTrue="1" operator="equal">
      <formula>"Towel"</formula>
    </cfRule>
    <cfRule type="cellIs" dxfId="8657" priority="12352" stopIfTrue="1" operator="equal">
      <formula>"Napkin Hs"</formula>
    </cfRule>
    <cfRule type="cellIs" dxfId="8656" priority="12357" stopIfTrue="1" operator="equal">
      <formula>"Towel"</formula>
    </cfRule>
    <cfRule type="cellIs" dxfId="8655" priority="12358" stopIfTrue="1" operator="equal">
      <formula>"Napkin Hs"</formula>
    </cfRule>
    <cfRule type="cellIs" dxfId="8654" priority="12367" stopIfTrue="1" operator="equal">
      <formula>"Towel"</formula>
    </cfRule>
    <cfRule type="cellIs" dxfId="8653" priority="12368" stopIfTrue="1" operator="equal">
      <formula>"Napkin Hs"</formula>
    </cfRule>
    <cfRule type="cellIs" dxfId="8652" priority="12369" stopIfTrue="1" operator="equal">
      <formula>"Towel"</formula>
    </cfRule>
    <cfRule type="cellIs" dxfId="8651" priority="12370" stopIfTrue="1" operator="equal">
      <formula>"Napkin Hs"</formula>
    </cfRule>
    <cfRule type="cellIs" dxfId="8650" priority="12376" stopIfTrue="1" operator="equal">
      <formula>"Napkin Hs"</formula>
    </cfRule>
  </conditionalFormatting>
  <conditionalFormatting sqref="C78">
    <cfRule type="cellIs" dxfId="8649" priority="12375" stopIfTrue="1" operator="equal">
      <formula>"Towel"</formula>
    </cfRule>
  </conditionalFormatting>
  <conditionalFormatting sqref="C78">
    <cfRule type="cellIs" dxfId="8648" priority="12286" stopIfTrue="1" operator="equal">
      <formula>"Napkin Hs"</formula>
    </cfRule>
    <cfRule type="cellIs" dxfId="8647" priority="12287" stopIfTrue="1" operator="equal">
      <formula>"Towel"</formula>
    </cfRule>
    <cfRule type="cellIs" dxfId="8646" priority="12288" stopIfTrue="1" operator="equal">
      <formula>"Napkin Hs"</formula>
    </cfRule>
    <cfRule type="cellIs" dxfId="8645" priority="12289" stopIfTrue="1" operator="equal">
      <formula>"Towel"</formula>
    </cfRule>
    <cfRule type="cellIs" dxfId="8644" priority="12290" stopIfTrue="1" operator="equal">
      <formula>"Napkin Hs"</formula>
    </cfRule>
    <cfRule type="cellIs" dxfId="8643" priority="12291" stopIfTrue="1" operator="equal">
      <formula>"Towel"</formula>
    </cfRule>
    <cfRule type="cellIs" dxfId="8642" priority="12292" stopIfTrue="1" operator="equal">
      <formula>"Napkin Hs"</formula>
    </cfRule>
    <cfRule type="cellIs" dxfId="8641" priority="12293" stopIfTrue="1" operator="equal">
      <formula>"Towel"</formula>
    </cfRule>
    <cfRule type="cellIs" dxfId="8640" priority="12294" stopIfTrue="1" operator="equal">
      <formula>"Napkin Hs"</formula>
    </cfRule>
    <cfRule type="cellIs" dxfId="8639" priority="12297" stopIfTrue="1" operator="equal">
      <formula>"Towel"</formula>
    </cfRule>
    <cfRule type="cellIs" dxfId="8638" priority="12298" stopIfTrue="1" operator="equal">
      <formula>"Napkin Hs"</formula>
    </cfRule>
    <cfRule type="cellIs" dxfId="8637" priority="12299" stopIfTrue="1" operator="equal">
      <formula>"Towel"</formula>
    </cfRule>
    <cfRule type="cellIs" dxfId="8636" priority="12300" stopIfTrue="1" operator="equal">
      <formula>"Napkin Hs"</formula>
    </cfRule>
    <cfRule type="cellIs" dxfId="8635" priority="12303" stopIfTrue="1" operator="equal">
      <formula>"Towel"</formula>
    </cfRule>
    <cfRule type="cellIs" dxfId="8634" priority="12304" stopIfTrue="1" operator="equal">
      <formula>"Napkin Hs"</formula>
    </cfRule>
    <cfRule type="cellIs" dxfId="8633" priority="12305" stopIfTrue="1" operator="equal">
      <formula>"Towel"</formula>
    </cfRule>
    <cfRule type="cellIs" dxfId="8632" priority="12306" stopIfTrue="1" operator="equal">
      <formula>"Napkin Hs"</formula>
    </cfRule>
    <cfRule type="cellIs" dxfId="8631" priority="12311" stopIfTrue="1" operator="equal">
      <formula>"Towel"</formula>
    </cfRule>
    <cfRule type="cellIs" dxfId="8630" priority="12312" stopIfTrue="1" operator="equal">
      <formula>"Napkin Hs"</formula>
    </cfRule>
    <cfRule type="cellIs" dxfId="8629" priority="12313" stopIfTrue="1" operator="equal">
      <formula>"Towel"</formula>
    </cfRule>
    <cfRule type="cellIs" dxfId="8628" priority="12314" stopIfTrue="1" operator="equal">
      <formula>"Napkin Hs"</formula>
    </cfRule>
    <cfRule type="cellIs" dxfId="8627" priority="12317" stopIfTrue="1" operator="equal">
      <formula>"Towel"</formula>
    </cfRule>
    <cfRule type="cellIs" dxfId="8626" priority="12318" stopIfTrue="1" operator="equal">
      <formula>"Napkin Hs"</formula>
    </cfRule>
    <cfRule type="cellIs" dxfId="8625" priority="12319" stopIfTrue="1" operator="equal">
      <formula>"Towel"</formula>
    </cfRule>
    <cfRule type="cellIs" dxfId="8624" priority="12320" stopIfTrue="1" operator="equal">
      <formula>"Napkin Hs"</formula>
    </cfRule>
    <cfRule type="cellIs" dxfId="8623" priority="12321" stopIfTrue="1" operator="equal">
      <formula>"Towel"</formula>
    </cfRule>
    <cfRule type="cellIs" dxfId="8622" priority="12322" stopIfTrue="1" operator="equal">
      <formula>"Napkin Hs"</formula>
    </cfRule>
    <cfRule type="cellIs" dxfId="8621" priority="12323" stopIfTrue="1" operator="equal">
      <formula>"Towel"</formula>
    </cfRule>
    <cfRule type="cellIs" dxfId="8620" priority="12324" stopIfTrue="1" operator="equal">
      <formula>"Napkin Hs"</formula>
    </cfRule>
    <cfRule type="cellIs" dxfId="8619" priority="12327" stopIfTrue="1" operator="equal">
      <formula>"Towel"</formula>
    </cfRule>
    <cfRule type="cellIs" dxfId="8618" priority="12328" stopIfTrue="1" operator="equal">
      <formula>"Napkin Hs"</formula>
    </cfRule>
    <cfRule type="cellIs" dxfId="8617" priority="12329" stopIfTrue="1" operator="equal">
      <formula>"Towel"</formula>
    </cfRule>
    <cfRule type="cellIs" dxfId="8616" priority="12330" stopIfTrue="1" operator="equal">
      <formula>"Napkin Hs"</formula>
    </cfRule>
    <cfRule type="cellIs" dxfId="8615" priority="12335" stopIfTrue="1" operator="equal">
      <formula>"Towel"</formula>
    </cfRule>
    <cfRule type="cellIs" dxfId="8614" priority="12336" stopIfTrue="1" operator="equal">
      <formula>"Napkin Hs"</formula>
    </cfRule>
    <cfRule type="cellIs" dxfId="8613" priority="12337" stopIfTrue="1" operator="equal">
      <formula>"Towel"</formula>
    </cfRule>
    <cfRule type="cellIs" dxfId="8612" priority="12338" stopIfTrue="1" operator="equal">
      <formula>"Napkin Hs"</formula>
    </cfRule>
    <cfRule type="cellIs" dxfId="8611" priority="12341" stopIfTrue="1" operator="equal">
      <formula>"Towel"</formula>
    </cfRule>
    <cfRule type="cellIs" dxfId="8610" priority="12342" stopIfTrue="1" operator="equal">
      <formula>"Napkin Hs"</formula>
    </cfRule>
    <cfRule type="cellIs" dxfId="8609" priority="12343" stopIfTrue="1" operator="equal">
      <formula>"Towel"</formula>
    </cfRule>
    <cfRule type="cellIs" dxfId="8608" priority="12344" stopIfTrue="1" operator="equal">
      <formula>"Napkin Hs"</formula>
    </cfRule>
    <cfRule type="cellIs" dxfId="8607" priority="12345" stopIfTrue="1" operator="equal">
      <formula>"Towel"</formula>
    </cfRule>
    <cfRule type="cellIs" dxfId="8606" priority="12346" stopIfTrue="1" operator="equal">
      <formula>"Napkin Hs"</formula>
    </cfRule>
    <cfRule type="cellIs" dxfId="8605" priority="12347" stopIfTrue="1" operator="equal">
      <formula>"Towel"</formula>
    </cfRule>
    <cfRule type="cellIs" dxfId="8604" priority="12348" stopIfTrue="1" operator="equal">
      <formula>"Napkin Hs"</formula>
    </cfRule>
    <cfRule type="cellIs" dxfId="8603" priority="12353" stopIfTrue="1" operator="equal">
      <formula>"Towel"</formula>
    </cfRule>
    <cfRule type="cellIs" dxfId="8602" priority="12354" stopIfTrue="1" operator="equal">
      <formula>"Napkin Hs"</formula>
    </cfRule>
    <cfRule type="cellIs" dxfId="8601" priority="12355" stopIfTrue="1" operator="equal">
      <formula>"Towel"</formula>
    </cfRule>
    <cfRule type="cellIs" dxfId="8600" priority="12356" stopIfTrue="1" operator="equal">
      <formula>"Napkin Hs"</formula>
    </cfRule>
    <cfRule type="cellIs" dxfId="8599" priority="12359" stopIfTrue="1" operator="equal">
      <formula>"Towel"</formula>
    </cfRule>
    <cfRule type="cellIs" dxfId="8598" priority="12360" stopIfTrue="1" operator="equal">
      <formula>"Napkin Hs"</formula>
    </cfRule>
    <cfRule type="cellIs" dxfId="8597" priority="12361" stopIfTrue="1" operator="equal">
      <formula>"Towel"</formula>
    </cfRule>
    <cfRule type="cellIs" dxfId="8596" priority="12362" stopIfTrue="1" operator="equal">
      <formula>"Napkin Hs"</formula>
    </cfRule>
    <cfRule type="cellIs" dxfId="8595" priority="12363" stopIfTrue="1" operator="equal">
      <formula>"Towel"</formula>
    </cfRule>
    <cfRule type="cellIs" dxfId="8594" priority="12364" stopIfTrue="1" operator="equal">
      <formula>"Napkin Hs"</formula>
    </cfRule>
    <cfRule type="cellIs" dxfId="8593" priority="12365" stopIfTrue="1" operator="equal">
      <formula>"Towel"</formula>
    </cfRule>
    <cfRule type="cellIs" dxfId="8592" priority="12366" stopIfTrue="1" operator="equal">
      <formula>"Napkin Hs"</formula>
    </cfRule>
    <cfRule type="cellIs" dxfId="8591" priority="12371" stopIfTrue="1" operator="equal">
      <formula>"Towel"</formula>
    </cfRule>
    <cfRule type="cellIs" dxfId="8590" priority="12372" stopIfTrue="1" operator="equal">
      <formula>"Napkin Hs"</formula>
    </cfRule>
    <cfRule type="cellIs" dxfId="8589" priority="12373" stopIfTrue="1" operator="equal">
      <formula>"Towel"</formula>
    </cfRule>
    <cfRule type="cellIs" dxfId="8588" priority="12374" stopIfTrue="1" operator="equal">
      <formula>"Napkin Hs"</formula>
    </cfRule>
    <cfRule type="cellIs" dxfId="8587" priority="12377" stopIfTrue="1" operator="equal">
      <formula>"Towel"</formula>
    </cfRule>
    <cfRule type="cellIs" dxfId="8586" priority="12378" stopIfTrue="1" operator="equal">
      <formula>"Napkin Hs"</formula>
    </cfRule>
    <cfRule type="cellIs" dxfId="8585" priority="12379" stopIfTrue="1" operator="equal">
      <formula>"Towel"</formula>
    </cfRule>
    <cfRule type="cellIs" dxfId="8584" priority="12380" stopIfTrue="1" operator="equal">
      <formula>"Napkin Hs"</formula>
    </cfRule>
  </conditionalFormatting>
  <conditionalFormatting sqref="C78">
    <cfRule type="cellIs" dxfId="8583" priority="12284" stopIfTrue="1" operator="equal">
      <formula>"Napkin Hs"</formula>
    </cfRule>
  </conditionalFormatting>
  <conditionalFormatting sqref="C78">
    <cfRule type="cellIs" dxfId="8582" priority="12283" stopIfTrue="1" operator="equal">
      <formula>"Napkin Hs"</formula>
    </cfRule>
  </conditionalFormatting>
  <conditionalFormatting sqref="C78">
    <cfRule type="cellIs" dxfId="8581" priority="12282" stopIfTrue="1" operator="equal">
      <formula>"Napkin Hs"</formula>
    </cfRule>
  </conditionalFormatting>
  <conditionalFormatting sqref="C78">
    <cfRule type="cellIs" dxfId="8580" priority="12281" stopIfTrue="1" operator="equal">
      <formula>"Napkin Hs"</formula>
    </cfRule>
  </conditionalFormatting>
  <conditionalFormatting sqref="C78">
    <cfRule type="cellIs" dxfId="8579" priority="12280" stopIfTrue="1" operator="equal">
      <formula>"Napkin Hs"</formula>
    </cfRule>
  </conditionalFormatting>
  <conditionalFormatting sqref="C78">
    <cfRule type="cellIs" dxfId="8578" priority="12279" stopIfTrue="1" operator="equal">
      <formula>"Napkin Hs"</formula>
    </cfRule>
  </conditionalFormatting>
  <conditionalFormatting sqref="C78">
    <cfRule type="cellIs" dxfId="8577" priority="12275" stopIfTrue="1" operator="equal">
      <formula>"Towel"</formula>
    </cfRule>
    <cfRule type="cellIs" dxfId="8576" priority="12276" stopIfTrue="1" operator="equal">
      <formula>"Napkin Hs"</formula>
    </cfRule>
  </conditionalFormatting>
  <conditionalFormatting sqref="C78">
    <cfRule type="cellIs" dxfId="8575" priority="12277" stopIfTrue="1" operator="equal">
      <formula>"Towel"</formula>
    </cfRule>
    <cfRule type="cellIs" dxfId="8574" priority="12278" stopIfTrue="1" operator="equal">
      <formula>"Napkin Hs"</formula>
    </cfRule>
  </conditionalFormatting>
  <conditionalFormatting sqref="C78">
    <cfRule type="cellIs" dxfId="8573" priority="12271" stopIfTrue="1" operator="equal">
      <formula>"Towel"</formula>
    </cfRule>
    <cfRule type="cellIs" dxfId="8572" priority="12272" stopIfTrue="1" operator="equal">
      <formula>"Napkin Hs"</formula>
    </cfRule>
  </conditionalFormatting>
  <conditionalFormatting sqref="C78">
    <cfRule type="cellIs" dxfId="8571" priority="12273" stopIfTrue="1" operator="equal">
      <formula>"Towel"</formula>
    </cfRule>
    <cfRule type="cellIs" dxfId="8570" priority="12274" stopIfTrue="1" operator="equal">
      <formula>"Napkin Hs"</formula>
    </cfRule>
  </conditionalFormatting>
  <conditionalFormatting sqref="B78">
    <cfRule type="cellIs" dxfId="8569" priority="12269" stopIfTrue="1" operator="equal">
      <formula>"Towel"</formula>
    </cfRule>
    <cfRule type="cellIs" dxfId="8568" priority="12270" stopIfTrue="1" operator="equal">
      <formula>"Napkin Hs"</formula>
    </cfRule>
  </conditionalFormatting>
  <conditionalFormatting sqref="B78">
    <cfRule type="cellIs" dxfId="8567" priority="12267" stopIfTrue="1" operator="equal">
      <formula>"Towel"</formula>
    </cfRule>
    <cfRule type="cellIs" dxfId="8566" priority="12268" stopIfTrue="1" operator="equal">
      <formula>"Napkin Hs"</formula>
    </cfRule>
  </conditionalFormatting>
  <conditionalFormatting sqref="B78">
    <cfRule type="cellIs" dxfId="8565" priority="12265" stopIfTrue="1" operator="equal">
      <formula>"Towel"</formula>
    </cfRule>
    <cfRule type="cellIs" dxfId="8564" priority="12266" stopIfTrue="1" operator="equal">
      <formula>"Napkin Hs"</formula>
    </cfRule>
  </conditionalFormatting>
  <conditionalFormatting sqref="B78">
    <cfRule type="cellIs" dxfId="8563" priority="12257" stopIfTrue="1" operator="equal">
      <formula>"Towel"</formula>
    </cfRule>
  </conditionalFormatting>
  <conditionalFormatting sqref="B78">
    <cfRule type="cellIs" dxfId="8562" priority="12258" stopIfTrue="1" operator="equal">
      <formula>"Napkin Hs"</formula>
    </cfRule>
    <cfRule type="cellIs" dxfId="8561" priority="12259" stopIfTrue="1" operator="equal">
      <formula>"Towel"</formula>
    </cfRule>
    <cfRule type="cellIs" dxfId="8560" priority="12260" stopIfTrue="1" operator="equal">
      <formula>"Napkin Hs"</formula>
    </cfRule>
    <cfRule type="cellIs" dxfId="8559" priority="12261" stopIfTrue="1" operator="equal">
      <formula>"Towel"</formula>
    </cfRule>
    <cfRule type="cellIs" dxfId="8558" priority="12262" stopIfTrue="1" operator="equal">
      <formula>"Napkin Hs"</formula>
    </cfRule>
    <cfRule type="cellIs" dxfId="8557" priority="12263" stopIfTrue="1" operator="equal">
      <formula>"Towel"</formula>
    </cfRule>
    <cfRule type="cellIs" dxfId="8556" priority="12264" stopIfTrue="1" operator="equal">
      <formula>"Napkin Hs"</formula>
    </cfRule>
  </conditionalFormatting>
  <conditionalFormatting sqref="B78">
    <cfRule type="cellIs" dxfId="8555" priority="12255" stopIfTrue="1" operator="equal">
      <formula>"Towel"</formula>
    </cfRule>
    <cfRule type="cellIs" dxfId="8554" priority="12256" stopIfTrue="1" operator="equal">
      <formula>"Napkin Hs"</formula>
    </cfRule>
  </conditionalFormatting>
  <conditionalFormatting sqref="B78">
    <cfRule type="cellIs" dxfId="8553" priority="12224" stopIfTrue="1" operator="equal">
      <formula>"Napkin Hs"</formula>
    </cfRule>
  </conditionalFormatting>
  <conditionalFormatting sqref="B78">
    <cfRule type="cellIs" dxfId="8552" priority="12223" stopIfTrue="1" operator="equal">
      <formula>"Towel"</formula>
    </cfRule>
  </conditionalFormatting>
  <conditionalFormatting sqref="B78">
    <cfRule type="cellIs" dxfId="8551" priority="12225" stopIfTrue="1" operator="equal">
      <formula>"Towel"</formula>
    </cfRule>
    <cfRule type="cellIs" dxfId="8550" priority="12226" stopIfTrue="1" operator="equal">
      <formula>"Napkin Hs"</formula>
    </cfRule>
    <cfRule type="cellIs" dxfId="8549" priority="12227" stopIfTrue="1" operator="equal">
      <formula>"Towel"</formula>
    </cfRule>
    <cfRule type="cellIs" dxfId="8548" priority="12228" stopIfTrue="1" operator="equal">
      <formula>"Napkin Hs"</formula>
    </cfRule>
    <cfRule type="cellIs" dxfId="8547" priority="12229" stopIfTrue="1" operator="equal">
      <formula>"Towel"</formula>
    </cfRule>
    <cfRule type="cellIs" dxfId="8546" priority="12230" stopIfTrue="1" operator="equal">
      <formula>"Napkin Hs"</formula>
    </cfRule>
    <cfRule type="cellIs" dxfId="8545" priority="12231" stopIfTrue="1" operator="equal">
      <formula>"Towel"</formula>
    </cfRule>
    <cfRule type="cellIs" dxfId="8544" priority="12232" stopIfTrue="1" operator="equal">
      <formula>"Napkin Hs"</formula>
    </cfRule>
    <cfRule type="cellIs" dxfId="8543" priority="12233" stopIfTrue="1" operator="equal">
      <formula>"Towel"</formula>
    </cfRule>
    <cfRule type="cellIs" dxfId="8542" priority="12234" stopIfTrue="1" operator="equal">
      <formula>"Napkin Hs"</formula>
    </cfRule>
    <cfRule type="cellIs" dxfId="8541" priority="12235" stopIfTrue="1" operator="equal">
      <formula>"Towel"</formula>
    </cfRule>
    <cfRule type="cellIs" dxfId="8540" priority="12236" stopIfTrue="1" operator="equal">
      <formula>"Napkin Hs"</formula>
    </cfRule>
    <cfRule type="cellIs" dxfId="8539" priority="12237" stopIfTrue="1" operator="equal">
      <formula>"Towel"</formula>
    </cfRule>
    <cfRule type="cellIs" dxfId="8538" priority="12238" stopIfTrue="1" operator="equal">
      <formula>"Napkin Hs"</formula>
    </cfRule>
    <cfRule type="cellIs" dxfId="8537" priority="12239" stopIfTrue="1" operator="equal">
      <formula>"Towel"</formula>
    </cfRule>
    <cfRule type="cellIs" dxfId="8536" priority="12240" stopIfTrue="1" operator="equal">
      <formula>"Napkin Hs"</formula>
    </cfRule>
    <cfRule type="cellIs" dxfId="8535" priority="12241" stopIfTrue="1" operator="equal">
      <formula>"Towel"</formula>
    </cfRule>
    <cfRule type="cellIs" dxfId="8534" priority="12242" stopIfTrue="1" operator="equal">
      <formula>"Napkin Hs"</formula>
    </cfRule>
    <cfRule type="cellIs" dxfId="8533" priority="12243" stopIfTrue="1" operator="equal">
      <formula>"Towel"</formula>
    </cfRule>
    <cfRule type="cellIs" dxfId="8532" priority="12244" stopIfTrue="1" operator="equal">
      <formula>"Napkin Hs"</formula>
    </cfRule>
    <cfRule type="cellIs" dxfId="8531" priority="12245" stopIfTrue="1" operator="equal">
      <formula>"Towel"</formula>
    </cfRule>
    <cfRule type="cellIs" dxfId="8530" priority="12246" stopIfTrue="1" operator="equal">
      <formula>"Napkin Hs"</formula>
    </cfRule>
    <cfRule type="cellIs" dxfId="8529" priority="12247" stopIfTrue="1" operator="equal">
      <formula>"Towel"</formula>
    </cfRule>
    <cfRule type="cellIs" dxfId="8528" priority="12248" stopIfTrue="1" operator="equal">
      <formula>"Napkin Hs"</formula>
    </cfRule>
    <cfRule type="cellIs" dxfId="8527" priority="12249" stopIfTrue="1" operator="equal">
      <formula>"Towel"</formula>
    </cfRule>
    <cfRule type="cellIs" dxfId="8526" priority="12250" stopIfTrue="1" operator="equal">
      <formula>"Napkin Hs"</formula>
    </cfRule>
    <cfRule type="cellIs" dxfId="8525" priority="12251" stopIfTrue="1" operator="equal">
      <formula>"Towel"</formula>
    </cfRule>
    <cfRule type="cellIs" dxfId="8524" priority="12252" stopIfTrue="1" operator="equal">
      <formula>"Napkin Hs"</formula>
    </cfRule>
    <cfRule type="cellIs" dxfId="8523" priority="12254" stopIfTrue="1" operator="equal">
      <formula>"Napkin Hs"</formula>
    </cfRule>
  </conditionalFormatting>
  <conditionalFormatting sqref="B78">
    <cfRule type="cellIs" dxfId="8522" priority="12253" stopIfTrue="1" operator="equal">
      <formula>"Towel"</formula>
    </cfRule>
  </conditionalFormatting>
  <conditionalFormatting sqref="B78">
    <cfRule type="cellIs" dxfId="8521" priority="12222" stopIfTrue="1" operator="equal">
      <formula>"Napkin Hs"</formula>
    </cfRule>
  </conditionalFormatting>
  <conditionalFormatting sqref="B78">
    <cfRule type="cellIs" dxfId="8520" priority="12221" stopIfTrue="1" operator="equal">
      <formula>"Napkin Hs"</formula>
    </cfRule>
  </conditionalFormatting>
  <conditionalFormatting sqref="B78">
    <cfRule type="cellIs" dxfId="8519" priority="12220" stopIfTrue="1" operator="equal">
      <formula>"Napkin Hs"</formula>
    </cfRule>
  </conditionalFormatting>
  <conditionalFormatting sqref="C84:C85">
    <cfRule type="cellIs" dxfId="8518" priority="12216" stopIfTrue="1" operator="equal">
      <formula>"Towel"</formula>
    </cfRule>
    <cfRule type="cellIs" dxfId="8517" priority="12217" stopIfTrue="1" operator="equal">
      <formula>"Napkin Hs"</formula>
    </cfRule>
  </conditionalFormatting>
  <conditionalFormatting sqref="C84:C85">
    <cfRule type="cellIs" dxfId="8516" priority="12218" stopIfTrue="1" operator="equal">
      <formula>"Towel"</formula>
    </cfRule>
    <cfRule type="cellIs" dxfId="8515" priority="12219" stopIfTrue="1" operator="equal">
      <formula>"Napkin Hs"</formula>
    </cfRule>
  </conditionalFormatting>
  <conditionalFormatting sqref="C84:C85">
    <cfRule type="cellIs" dxfId="8514" priority="12214" stopIfTrue="1" operator="equal">
      <formula>"Towel"</formula>
    </cfRule>
    <cfRule type="cellIs" dxfId="8513" priority="12215" stopIfTrue="1" operator="equal">
      <formula>"Napkin Hs"</formula>
    </cfRule>
  </conditionalFormatting>
  <conditionalFormatting sqref="B84:B85">
    <cfRule type="cellIs" dxfId="8512" priority="12212" stopIfTrue="1" operator="equal">
      <formula>"Towel"</formula>
    </cfRule>
    <cfRule type="cellIs" dxfId="8511" priority="12213" stopIfTrue="1" operator="equal">
      <formula>"Napkin Hs"</formula>
    </cfRule>
  </conditionalFormatting>
  <conditionalFormatting sqref="C84:C85">
    <cfRule type="cellIs" dxfId="8510" priority="12206" stopIfTrue="1" operator="equal">
      <formula>"Towel"</formula>
    </cfRule>
    <cfRule type="cellIs" dxfId="8509" priority="12207" stopIfTrue="1" operator="equal">
      <formula>"Napkin Hs"</formula>
    </cfRule>
  </conditionalFormatting>
  <conditionalFormatting sqref="C84:C85">
    <cfRule type="cellIs" dxfId="8508" priority="12210" stopIfTrue="1" operator="equal">
      <formula>"Towel"</formula>
    </cfRule>
    <cfRule type="cellIs" dxfId="8507" priority="12211" stopIfTrue="1" operator="equal">
      <formula>"Napkin Hs"</formula>
    </cfRule>
  </conditionalFormatting>
  <conditionalFormatting sqref="C84:C85">
    <cfRule type="cellIs" dxfId="8506" priority="12208" stopIfTrue="1" operator="equal">
      <formula>"Towel"</formula>
    </cfRule>
    <cfRule type="cellIs" dxfId="8505" priority="12209" stopIfTrue="1" operator="equal">
      <formula>"Napkin Hs"</formula>
    </cfRule>
  </conditionalFormatting>
  <conditionalFormatting sqref="C84:C85">
    <cfRule type="cellIs" dxfId="8504" priority="12200" stopIfTrue="1" operator="equal">
      <formula>"Towel"</formula>
    </cfRule>
    <cfRule type="cellIs" dxfId="8503" priority="12201" stopIfTrue="1" operator="equal">
      <formula>"Napkin Hs"</formula>
    </cfRule>
  </conditionalFormatting>
  <conditionalFormatting sqref="C84:C85">
    <cfRule type="cellIs" dxfId="8502" priority="12202" stopIfTrue="1" operator="equal">
      <formula>"Towel"</formula>
    </cfRule>
    <cfRule type="cellIs" dxfId="8501" priority="12203" stopIfTrue="1" operator="equal">
      <formula>"Napkin Hs"</formula>
    </cfRule>
  </conditionalFormatting>
  <conditionalFormatting sqref="C84:C85">
    <cfRule type="cellIs" dxfId="8500" priority="12204" stopIfTrue="1" operator="equal">
      <formula>"Towel"</formula>
    </cfRule>
    <cfRule type="cellIs" dxfId="8499" priority="12205" stopIfTrue="1" operator="equal">
      <formula>"Napkin Hs"</formula>
    </cfRule>
  </conditionalFormatting>
  <conditionalFormatting sqref="B84:C85">
    <cfRule type="cellIs" dxfId="8498" priority="12198" stopIfTrue="1" operator="equal">
      <formula>"Towel"</formula>
    </cfRule>
    <cfRule type="cellIs" dxfId="8497" priority="12199" stopIfTrue="1" operator="equal">
      <formula>"Napkin Hs"</formula>
    </cfRule>
  </conditionalFormatting>
  <conditionalFormatting sqref="B84:C85">
    <cfRule type="cellIs" dxfId="8496" priority="12196" stopIfTrue="1" operator="equal">
      <formula>"Towel"</formula>
    </cfRule>
    <cfRule type="cellIs" dxfId="8495" priority="12197" stopIfTrue="1" operator="equal">
      <formula>"Napkin Hs"</formula>
    </cfRule>
  </conditionalFormatting>
  <conditionalFormatting sqref="B84:C85">
    <cfRule type="cellIs" dxfId="8494" priority="12172" stopIfTrue="1" operator="equal">
      <formula>"Towel"</formula>
    </cfRule>
  </conditionalFormatting>
  <conditionalFormatting sqref="B84:C85">
    <cfRule type="cellIs" dxfId="8493" priority="12173" stopIfTrue="1" operator="equal">
      <formula>"Napkin Hs"</formula>
    </cfRule>
    <cfRule type="cellIs" dxfId="8492" priority="12178" stopIfTrue="1" operator="equal">
      <formula>"Towel"</formula>
    </cfRule>
    <cfRule type="cellIs" dxfId="8491" priority="12179" stopIfTrue="1" operator="equal">
      <formula>"Napkin Hs"</formula>
    </cfRule>
    <cfRule type="cellIs" dxfId="8490" priority="12188" stopIfTrue="1" operator="equal">
      <formula>"Towel"</formula>
    </cfRule>
    <cfRule type="cellIs" dxfId="8489" priority="12189" stopIfTrue="1" operator="equal">
      <formula>"Napkin Hs"</formula>
    </cfRule>
    <cfRule type="cellIs" dxfId="8488" priority="12194" stopIfTrue="1" operator="equal">
      <formula>"Towel"</formula>
    </cfRule>
    <cfRule type="cellIs" dxfId="8487" priority="12195" stopIfTrue="1" operator="equal">
      <formula>"Napkin Hs"</formula>
    </cfRule>
  </conditionalFormatting>
  <conditionalFormatting sqref="C84:C85">
    <cfRule type="cellIs" dxfId="8486" priority="12174" stopIfTrue="1" operator="equal">
      <formula>"Towel"</formula>
    </cfRule>
    <cfRule type="cellIs" dxfId="8485" priority="12175" stopIfTrue="1" operator="equal">
      <formula>"Napkin Hs"</formula>
    </cfRule>
    <cfRule type="cellIs" dxfId="8484" priority="12176" stopIfTrue="1" operator="equal">
      <formula>"Towel"</formula>
    </cfRule>
    <cfRule type="cellIs" dxfId="8483" priority="12177" stopIfTrue="1" operator="equal">
      <formula>"Napkin Hs"</formula>
    </cfRule>
    <cfRule type="cellIs" dxfId="8482" priority="12180" stopIfTrue="1" operator="equal">
      <formula>"Towel"</formula>
    </cfRule>
    <cfRule type="cellIs" dxfId="8481" priority="12181" stopIfTrue="1" operator="equal">
      <formula>"Napkin Hs"</formula>
    </cfRule>
    <cfRule type="cellIs" dxfId="8480" priority="12182" stopIfTrue="1" operator="equal">
      <formula>"Towel"</formula>
    </cfRule>
    <cfRule type="cellIs" dxfId="8479" priority="12183" stopIfTrue="1" operator="equal">
      <formula>"Napkin Hs"</formula>
    </cfRule>
    <cfRule type="cellIs" dxfId="8478" priority="12184" stopIfTrue="1" operator="equal">
      <formula>"Towel"</formula>
    </cfRule>
    <cfRule type="cellIs" dxfId="8477" priority="12185" stopIfTrue="1" operator="equal">
      <formula>"Napkin Hs"</formula>
    </cfRule>
    <cfRule type="cellIs" dxfId="8476" priority="12186" stopIfTrue="1" operator="equal">
      <formula>"Towel"</formula>
    </cfRule>
    <cfRule type="cellIs" dxfId="8475" priority="12187" stopIfTrue="1" operator="equal">
      <formula>"Napkin Hs"</formula>
    </cfRule>
    <cfRule type="cellIs" dxfId="8474" priority="12190" stopIfTrue="1" operator="equal">
      <formula>"Towel"</formula>
    </cfRule>
    <cfRule type="cellIs" dxfId="8473" priority="12191" stopIfTrue="1" operator="equal">
      <formula>"Napkin Hs"</formula>
    </cfRule>
    <cfRule type="cellIs" dxfId="8472" priority="12193" stopIfTrue="1" operator="equal">
      <formula>"Napkin Hs"</formula>
    </cfRule>
  </conditionalFormatting>
  <conditionalFormatting sqref="C84:C85">
    <cfRule type="cellIs" dxfId="8471" priority="12192" stopIfTrue="1" operator="equal">
      <formula>"Towel"</formula>
    </cfRule>
  </conditionalFormatting>
  <conditionalFormatting sqref="B84:C85">
    <cfRule type="cellIs" dxfId="8470" priority="12170" stopIfTrue="1" operator="equal">
      <formula>"Towel"</formula>
    </cfRule>
    <cfRule type="cellIs" dxfId="8469" priority="12171" stopIfTrue="1" operator="equal">
      <formula>"Napkin Hs"</formula>
    </cfRule>
  </conditionalFormatting>
  <conditionalFormatting sqref="C84:C85">
    <cfRule type="cellIs" dxfId="8468" priority="12169" stopIfTrue="1" operator="equal">
      <formula>"Napkin Hs"</formula>
    </cfRule>
  </conditionalFormatting>
  <conditionalFormatting sqref="C84:C85">
    <cfRule type="cellIs" dxfId="8467" priority="12168" stopIfTrue="1" operator="equal">
      <formula>"Towel"</formula>
    </cfRule>
  </conditionalFormatting>
  <conditionalFormatting sqref="C84:C85">
    <cfRule type="cellIs" dxfId="8466" priority="12166" stopIfTrue="1" operator="equal">
      <formula>"Towel"</formula>
    </cfRule>
  </conditionalFormatting>
  <conditionalFormatting sqref="C84:C85">
    <cfRule type="cellIs" dxfId="8465" priority="12167" stopIfTrue="1" operator="equal">
      <formula>"Napkin Hs"</formula>
    </cfRule>
  </conditionalFormatting>
  <conditionalFormatting sqref="B84:B85">
    <cfRule type="cellIs" dxfId="8464" priority="12070" stopIfTrue="1" operator="equal">
      <formula>"Napkin Hs"</formula>
    </cfRule>
  </conditionalFormatting>
  <conditionalFormatting sqref="B84:C85">
    <cfRule type="cellIs" dxfId="8463" priority="12069" stopIfTrue="1" operator="equal">
      <formula>"Towel"</formula>
    </cfRule>
  </conditionalFormatting>
  <conditionalFormatting sqref="B84:C85">
    <cfRule type="cellIs" dxfId="8462" priority="12080" stopIfTrue="1" operator="equal">
      <formula>"Towel"</formula>
    </cfRule>
    <cfRule type="cellIs" dxfId="8461" priority="12081" stopIfTrue="1" operator="equal">
      <formula>"Napkin Hs"</formula>
    </cfRule>
    <cfRule type="cellIs" dxfId="8460" priority="12086" stopIfTrue="1" operator="equal">
      <formula>"Towel"</formula>
    </cfRule>
    <cfRule type="cellIs" dxfId="8459" priority="12087" stopIfTrue="1" operator="equal">
      <formula>"Napkin Hs"</formula>
    </cfRule>
    <cfRule type="cellIs" dxfId="8458" priority="12092" stopIfTrue="1" operator="equal">
      <formula>"Towel"</formula>
    </cfRule>
    <cfRule type="cellIs" dxfId="8457" priority="12093" stopIfTrue="1" operator="equal">
      <formula>"Napkin Hs"</formula>
    </cfRule>
    <cfRule type="cellIs" dxfId="8456" priority="12094" stopIfTrue="1" operator="equal">
      <formula>"Towel"</formula>
    </cfRule>
    <cfRule type="cellIs" dxfId="8455" priority="12095" stopIfTrue="1" operator="equal">
      <formula>"Napkin Hs"</formula>
    </cfRule>
    <cfRule type="cellIs" dxfId="8454" priority="12100" stopIfTrue="1" operator="equal">
      <formula>"Towel"</formula>
    </cfRule>
    <cfRule type="cellIs" dxfId="8453" priority="12101" stopIfTrue="1" operator="equal">
      <formula>"Napkin Hs"</formula>
    </cfRule>
    <cfRule type="cellIs" dxfId="8452" priority="12110" stopIfTrue="1" operator="equal">
      <formula>"Towel"</formula>
    </cfRule>
    <cfRule type="cellIs" dxfId="8451" priority="12111" stopIfTrue="1" operator="equal">
      <formula>"Napkin Hs"</formula>
    </cfRule>
    <cfRule type="cellIs" dxfId="8450" priority="12116" stopIfTrue="1" operator="equal">
      <formula>"Towel"</formula>
    </cfRule>
    <cfRule type="cellIs" dxfId="8449" priority="12117" stopIfTrue="1" operator="equal">
      <formula>"Napkin Hs"</formula>
    </cfRule>
    <cfRule type="cellIs" dxfId="8448" priority="12118" stopIfTrue="1" operator="equal">
      <formula>"Towel"</formula>
    </cfRule>
    <cfRule type="cellIs" dxfId="8447" priority="12119" stopIfTrue="1" operator="equal">
      <formula>"Napkin Hs"</formula>
    </cfRule>
    <cfRule type="cellIs" dxfId="8446" priority="12124" stopIfTrue="1" operator="equal">
      <formula>"Towel"</formula>
    </cfRule>
    <cfRule type="cellIs" dxfId="8445" priority="12125" stopIfTrue="1" operator="equal">
      <formula>"Napkin Hs"</formula>
    </cfRule>
    <cfRule type="cellIs" dxfId="8444" priority="12134" stopIfTrue="1" operator="equal">
      <formula>"Towel"</formula>
    </cfRule>
    <cfRule type="cellIs" dxfId="8443" priority="12135" stopIfTrue="1" operator="equal">
      <formula>"Napkin Hs"</formula>
    </cfRule>
    <cfRule type="cellIs" dxfId="8442" priority="12136" stopIfTrue="1" operator="equal">
      <formula>"Towel"</formula>
    </cfRule>
    <cfRule type="cellIs" dxfId="8441" priority="12137" stopIfTrue="1" operator="equal">
      <formula>"Napkin Hs"</formula>
    </cfRule>
    <cfRule type="cellIs" dxfId="8440" priority="12142" stopIfTrue="1" operator="equal">
      <formula>"Towel"</formula>
    </cfRule>
    <cfRule type="cellIs" dxfId="8439" priority="12143" stopIfTrue="1" operator="equal">
      <formula>"Napkin Hs"</formula>
    </cfRule>
    <cfRule type="cellIs" dxfId="8438" priority="12152" stopIfTrue="1" operator="equal">
      <formula>"Towel"</formula>
    </cfRule>
    <cfRule type="cellIs" dxfId="8437" priority="12153" stopIfTrue="1" operator="equal">
      <formula>"Napkin Hs"</formula>
    </cfRule>
    <cfRule type="cellIs" dxfId="8436" priority="12154" stopIfTrue="1" operator="equal">
      <formula>"Towel"</formula>
    </cfRule>
    <cfRule type="cellIs" dxfId="8435" priority="12155" stopIfTrue="1" operator="equal">
      <formula>"Napkin Hs"</formula>
    </cfRule>
    <cfRule type="cellIs" dxfId="8434" priority="12161" stopIfTrue="1" operator="equal">
      <formula>"Napkin Hs"</formula>
    </cfRule>
  </conditionalFormatting>
  <conditionalFormatting sqref="B84:C85">
    <cfRule type="cellIs" dxfId="8433" priority="12160" stopIfTrue="1" operator="equal">
      <formula>"Towel"</formula>
    </cfRule>
  </conditionalFormatting>
  <conditionalFormatting sqref="C84:C85">
    <cfRule type="cellIs" dxfId="8432" priority="12071" stopIfTrue="1" operator="equal">
      <formula>"Napkin Hs"</formula>
    </cfRule>
    <cfRule type="cellIs" dxfId="8431" priority="12072" stopIfTrue="1" operator="equal">
      <formula>"Towel"</formula>
    </cfRule>
    <cfRule type="cellIs" dxfId="8430" priority="12073" stopIfTrue="1" operator="equal">
      <formula>"Napkin Hs"</formula>
    </cfRule>
    <cfRule type="cellIs" dxfId="8429" priority="12074" stopIfTrue="1" operator="equal">
      <formula>"Towel"</formula>
    </cfRule>
    <cfRule type="cellIs" dxfId="8428" priority="12075" stopIfTrue="1" operator="equal">
      <formula>"Napkin Hs"</formula>
    </cfRule>
    <cfRule type="cellIs" dxfId="8427" priority="12076" stopIfTrue="1" operator="equal">
      <formula>"Towel"</formula>
    </cfRule>
    <cfRule type="cellIs" dxfId="8426" priority="12077" stopIfTrue="1" operator="equal">
      <formula>"Napkin Hs"</formula>
    </cfRule>
    <cfRule type="cellIs" dxfId="8425" priority="12078" stopIfTrue="1" operator="equal">
      <formula>"Towel"</formula>
    </cfRule>
    <cfRule type="cellIs" dxfId="8424" priority="12079" stopIfTrue="1" operator="equal">
      <formula>"Napkin Hs"</formula>
    </cfRule>
    <cfRule type="cellIs" dxfId="8423" priority="12082" stopIfTrue="1" operator="equal">
      <formula>"Towel"</formula>
    </cfRule>
    <cfRule type="cellIs" dxfId="8422" priority="12083" stopIfTrue="1" operator="equal">
      <formula>"Napkin Hs"</formula>
    </cfRule>
    <cfRule type="cellIs" dxfId="8421" priority="12084" stopIfTrue="1" operator="equal">
      <formula>"Towel"</formula>
    </cfRule>
    <cfRule type="cellIs" dxfId="8420" priority="12085" stopIfTrue="1" operator="equal">
      <formula>"Napkin Hs"</formula>
    </cfRule>
    <cfRule type="cellIs" dxfId="8419" priority="12088" stopIfTrue="1" operator="equal">
      <formula>"Towel"</formula>
    </cfRule>
    <cfRule type="cellIs" dxfId="8418" priority="12089" stopIfTrue="1" operator="equal">
      <formula>"Napkin Hs"</formula>
    </cfRule>
    <cfRule type="cellIs" dxfId="8417" priority="12090" stopIfTrue="1" operator="equal">
      <formula>"Towel"</formula>
    </cfRule>
    <cfRule type="cellIs" dxfId="8416" priority="12091" stopIfTrue="1" operator="equal">
      <formula>"Napkin Hs"</formula>
    </cfRule>
    <cfRule type="cellIs" dxfId="8415" priority="12096" stopIfTrue="1" operator="equal">
      <formula>"Towel"</formula>
    </cfRule>
    <cfRule type="cellIs" dxfId="8414" priority="12097" stopIfTrue="1" operator="equal">
      <formula>"Napkin Hs"</formula>
    </cfRule>
    <cfRule type="cellIs" dxfId="8413" priority="12098" stopIfTrue="1" operator="equal">
      <formula>"Towel"</formula>
    </cfRule>
    <cfRule type="cellIs" dxfId="8412" priority="12099" stopIfTrue="1" operator="equal">
      <formula>"Napkin Hs"</formula>
    </cfRule>
    <cfRule type="cellIs" dxfId="8411" priority="12102" stopIfTrue="1" operator="equal">
      <formula>"Towel"</formula>
    </cfRule>
    <cfRule type="cellIs" dxfId="8410" priority="12103" stopIfTrue="1" operator="equal">
      <formula>"Napkin Hs"</formula>
    </cfRule>
    <cfRule type="cellIs" dxfId="8409" priority="12104" stopIfTrue="1" operator="equal">
      <formula>"Towel"</formula>
    </cfRule>
    <cfRule type="cellIs" dxfId="8408" priority="12105" stopIfTrue="1" operator="equal">
      <formula>"Napkin Hs"</formula>
    </cfRule>
    <cfRule type="cellIs" dxfId="8407" priority="12106" stopIfTrue="1" operator="equal">
      <formula>"Towel"</formula>
    </cfRule>
    <cfRule type="cellIs" dxfId="8406" priority="12107" stopIfTrue="1" operator="equal">
      <formula>"Napkin Hs"</formula>
    </cfRule>
    <cfRule type="cellIs" dxfId="8405" priority="12108" stopIfTrue="1" operator="equal">
      <formula>"Towel"</formula>
    </cfRule>
    <cfRule type="cellIs" dxfId="8404" priority="12109" stopIfTrue="1" operator="equal">
      <formula>"Napkin Hs"</formula>
    </cfRule>
    <cfRule type="cellIs" dxfId="8403" priority="12112" stopIfTrue="1" operator="equal">
      <formula>"Towel"</formula>
    </cfRule>
    <cfRule type="cellIs" dxfId="8402" priority="12113" stopIfTrue="1" operator="equal">
      <formula>"Napkin Hs"</formula>
    </cfRule>
    <cfRule type="cellIs" dxfId="8401" priority="12114" stopIfTrue="1" operator="equal">
      <formula>"Towel"</formula>
    </cfRule>
    <cfRule type="cellIs" dxfId="8400" priority="12115" stopIfTrue="1" operator="equal">
      <formula>"Napkin Hs"</formula>
    </cfRule>
    <cfRule type="cellIs" dxfId="8399" priority="12120" stopIfTrue="1" operator="equal">
      <formula>"Towel"</formula>
    </cfRule>
    <cfRule type="cellIs" dxfId="8398" priority="12121" stopIfTrue="1" operator="equal">
      <formula>"Napkin Hs"</formula>
    </cfRule>
    <cfRule type="cellIs" dxfId="8397" priority="12122" stopIfTrue="1" operator="equal">
      <formula>"Towel"</formula>
    </cfRule>
    <cfRule type="cellIs" dxfId="8396" priority="12123" stopIfTrue="1" operator="equal">
      <formula>"Napkin Hs"</formula>
    </cfRule>
    <cfRule type="cellIs" dxfId="8395" priority="12126" stopIfTrue="1" operator="equal">
      <formula>"Towel"</formula>
    </cfRule>
    <cfRule type="cellIs" dxfId="8394" priority="12127" stopIfTrue="1" operator="equal">
      <formula>"Napkin Hs"</formula>
    </cfRule>
    <cfRule type="cellIs" dxfId="8393" priority="12128" stopIfTrue="1" operator="equal">
      <formula>"Towel"</formula>
    </cfRule>
    <cfRule type="cellIs" dxfId="8392" priority="12129" stopIfTrue="1" operator="equal">
      <formula>"Napkin Hs"</formula>
    </cfRule>
    <cfRule type="cellIs" dxfId="8391" priority="12130" stopIfTrue="1" operator="equal">
      <formula>"Towel"</formula>
    </cfRule>
    <cfRule type="cellIs" dxfId="8390" priority="12131" stopIfTrue="1" operator="equal">
      <formula>"Napkin Hs"</formula>
    </cfRule>
    <cfRule type="cellIs" dxfId="8389" priority="12132" stopIfTrue="1" operator="equal">
      <formula>"Towel"</formula>
    </cfRule>
    <cfRule type="cellIs" dxfId="8388" priority="12133" stopIfTrue="1" operator="equal">
      <formula>"Napkin Hs"</formula>
    </cfRule>
    <cfRule type="cellIs" dxfId="8387" priority="12138" stopIfTrue="1" operator="equal">
      <formula>"Towel"</formula>
    </cfRule>
    <cfRule type="cellIs" dxfId="8386" priority="12139" stopIfTrue="1" operator="equal">
      <formula>"Napkin Hs"</formula>
    </cfRule>
    <cfRule type="cellIs" dxfId="8385" priority="12140" stopIfTrue="1" operator="equal">
      <formula>"Towel"</formula>
    </cfRule>
    <cfRule type="cellIs" dxfId="8384" priority="12141" stopIfTrue="1" operator="equal">
      <formula>"Napkin Hs"</formula>
    </cfRule>
    <cfRule type="cellIs" dxfId="8383" priority="12144" stopIfTrue="1" operator="equal">
      <formula>"Towel"</formula>
    </cfRule>
    <cfRule type="cellIs" dxfId="8382" priority="12145" stopIfTrue="1" operator="equal">
      <formula>"Napkin Hs"</formula>
    </cfRule>
    <cfRule type="cellIs" dxfId="8381" priority="12146" stopIfTrue="1" operator="equal">
      <formula>"Towel"</formula>
    </cfRule>
    <cfRule type="cellIs" dxfId="8380" priority="12147" stopIfTrue="1" operator="equal">
      <formula>"Napkin Hs"</formula>
    </cfRule>
    <cfRule type="cellIs" dxfId="8379" priority="12148" stopIfTrue="1" operator="equal">
      <formula>"Towel"</formula>
    </cfRule>
    <cfRule type="cellIs" dxfId="8378" priority="12149" stopIfTrue="1" operator="equal">
      <formula>"Napkin Hs"</formula>
    </cfRule>
    <cfRule type="cellIs" dxfId="8377" priority="12150" stopIfTrue="1" operator="equal">
      <formula>"Towel"</formula>
    </cfRule>
    <cfRule type="cellIs" dxfId="8376" priority="12151" stopIfTrue="1" operator="equal">
      <formula>"Napkin Hs"</formula>
    </cfRule>
    <cfRule type="cellIs" dxfId="8375" priority="12156" stopIfTrue="1" operator="equal">
      <formula>"Towel"</formula>
    </cfRule>
    <cfRule type="cellIs" dxfId="8374" priority="12157" stopIfTrue="1" operator="equal">
      <formula>"Napkin Hs"</formula>
    </cfRule>
    <cfRule type="cellIs" dxfId="8373" priority="12158" stopIfTrue="1" operator="equal">
      <formula>"Towel"</formula>
    </cfRule>
    <cfRule type="cellIs" dxfId="8372" priority="12159" stopIfTrue="1" operator="equal">
      <formula>"Napkin Hs"</formula>
    </cfRule>
    <cfRule type="cellIs" dxfId="8371" priority="12162" stopIfTrue="1" operator="equal">
      <formula>"Towel"</formula>
    </cfRule>
    <cfRule type="cellIs" dxfId="8370" priority="12163" stopIfTrue="1" operator="equal">
      <formula>"Napkin Hs"</formula>
    </cfRule>
    <cfRule type="cellIs" dxfId="8369" priority="12164" stopIfTrue="1" operator="equal">
      <formula>"Towel"</formula>
    </cfRule>
    <cfRule type="cellIs" dxfId="8368" priority="12165" stopIfTrue="1" operator="equal">
      <formula>"Napkin Hs"</formula>
    </cfRule>
  </conditionalFormatting>
  <conditionalFormatting sqref="C84:C85">
    <cfRule type="cellIs" dxfId="8367" priority="12068" stopIfTrue="1" operator="equal">
      <formula>"Napkin Hs"</formula>
    </cfRule>
  </conditionalFormatting>
  <conditionalFormatting sqref="C84:C85">
    <cfRule type="cellIs" dxfId="8366" priority="12067" stopIfTrue="1" operator="equal">
      <formula>"Napkin Hs"</formula>
    </cfRule>
  </conditionalFormatting>
  <conditionalFormatting sqref="B84:B85">
    <cfRule type="cellIs" dxfId="8365" priority="12066" stopIfTrue="1" operator="equal">
      <formula>"Napkin Hs"</formula>
    </cfRule>
  </conditionalFormatting>
  <conditionalFormatting sqref="C84:C85">
    <cfRule type="cellIs" dxfId="8364" priority="12065" stopIfTrue="1" operator="equal">
      <formula>"Napkin Hs"</formula>
    </cfRule>
  </conditionalFormatting>
  <conditionalFormatting sqref="C84:C85">
    <cfRule type="cellIs" dxfId="8363" priority="12064" stopIfTrue="1" operator="equal">
      <formula>"Napkin Hs"</formula>
    </cfRule>
  </conditionalFormatting>
  <conditionalFormatting sqref="C84:C85">
    <cfRule type="cellIs" dxfId="8362" priority="12063" stopIfTrue="1" operator="equal">
      <formula>"Napkin Hs"</formula>
    </cfRule>
  </conditionalFormatting>
  <conditionalFormatting sqref="C84:C85">
    <cfRule type="cellIs" dxfId="8361" priority="12062" stopIfTrue="1" operator="equal">
      <formula>"Napkin Hs"</formula>
    </cfRule>
  </conditionalFormatting>
  <conditionalFormatting sqref="B84:B85">
    <cfRule type="cellIs" dxfId="8360" priority="12061" stopIfTrue="1" operator="equal">
      <formula>"Napkin Hs"</formula>
    </cfRule>
  </conditionalFormatting>
  <conditionalFormatting sqref="B84:B85">
    <cfRule type="cellIs" dxfId="8359" priority="12060" stopIfTrue="1" operator="equal">
      <formula>"Napkin Hs"</formula>
    </cfRule>
  </conditionalFormatting>
  <conditionalFormatting sqref="C84:C85">
    <cfRule type="cellIs" dxfId="8358" priority="12056" stopIfTrue="1" operator="equal">
      <formula>"Towel"</formula>
    </cfRule>
    <cfRule type="cellIs" dxfId="8357" priority="12057" stopIfTrue="1" operator="equal">
      <formula>"Napkin Hs"</formula>
    </cfRule>
  </conditionalFormatting>
  <conditionalFormatting sqref="C84:C85">
    <cfRule type="cellIs" dxfId="8356" priority="12058" stopIfTrue="1" operator="equal">
      <formula>"Towel"</formula>
    </cfRule>
    <cfRule type="cellIs" dxfId="8355" priority="12059" stopIfTrue="1" operator="equal">
      <formula>"Napkin Hs"</formula>
    </cfRule>
  </conditionalFormatting>
  <conditionalFormatting sqref="C84:C85">
    <cfRule type="cellIs" dxfId="8354" priority="12052" stopIfTrue="1" operator="equal">
      <formula>"Towel"</formula>
    </cfRule>
    <cfRule type="cellIs" dxfId="8353" priority="12053" stopIfTrue="1" operator="equal">
      <formula>"Napkin Hs"</formula>
    </cfRule>
  </conditionalFormatting>
  <conditionalFormatting sqref="C84:C85">
    <cfRule type="cellIs" dxfId="8352" priority="12054" stopIfTrue="1" operator="equal">
      <formula>"Towel"</formula>
    </cfRule>
    <cfRule type="cellIs" dxfId="8351" priority="12055" stopIfTrue="1" operator="equal">
      <formula>"Napkin Hs"</formula>
    </cfRule>
  </conditionalFormatting>
  <conditionalFormatting sqref="C83">
    <cfRule type="cellIs" dxfId="8350" priority="12048" stopIfTrue="1" operator="equal">
      <formula>"Towel"</formula>
    </cfRule>
    <cfRule type="cellIs" dxfId="8349" priority="12049" stopIfTrue="1" operator="equal">
      <formula>"Napkin Hs"</formula>
    </cfRule>
  </conditionalFormatting>
  <conditionalFormatting sqref="C83">
    <cfRule type="cellIs" dxfId="8348" priority="12050" stopIfTrue="1" operator="equal">
      <formula>"Towel"</formula>
    </cfRule>
    <cfRule type="cellIs" dxfId="8347" priority="12051" stopIfTrue="1" operator="equal">
      <formula>"Napkin Hs"</formula>
    </cfRule>
  </conditionalFormatting>
  <conditionalFormatting sqref="C83">
    <cfRule type="cellIs" dxfId="8346" priority="12046" stopIfTrue="1" operator="equal">
      <formula>"Towel"</formula>
    </cfRule>
    <cfRule type="cellIs" dxfId="8345" priority="12047" stopIfTrue="1" operator="equal">
      <formula>"Napkin Hs"</formula>
    </cfRule>
  </conditionalFormatting>
  <conditionalFormatting sqref="C83">
    <cfRule type="cellIs" dxfId="8344" priority="12040" stopIfTrue="1" operator="equal">
      <formula>"Towel"</formula>
    </cfRule>
    <cfRule type="cellIs" dxfId="8343" priority="12041" stopIfTrue="1" operator="equal">
      <formula>"Napkin Hs"</formula>
    </cfRule>
  </conditionalFormatting>
  <conditionalFormatting sqref="C83">
    <cfRule type="cellIs" dxfId="8342" priority="12044" stopIfTrue="1" operator="equal">
      <formula>"Towel"</formula>
    </cfRule>
    <cfRule type="cellIs" dxfId="8341" priority="12045" stopIfTrue="1" operator="equal">
      <formula>"Napkin Hs"</formula>
    </cfRule>
  </conditionalFormatting>
  <conditionalFormatting sqref="C83">
    <cfRule type="cellIs" dxfId="8340" priority="12042" stopIfTrue="1" operator="equal">
      <formula>"Towel"</formula>
    </cfRule>
    <cfRule type="cellIs" dxfId="8339" priority="12043" stopIfTrue="1" operator="equal">
      <formula>"Napkin Hs"</formula>
    </cfRule>
  </conditionalFormatting>
  <conditionalFormatting sqref="C83">
    <cfRule type="cellIs" dxfId="8338" priority="12034" stopIfTrue="1" operator="equal">
      <formula>"Towel"</formula>
    </cfRule>
    <cfRule type="cellIs" dxfId="8337" priority="12035" stopIfTrue="1" operator="equal">
      <formula>"Napkin Hs"</formula>
    </cfRule>
  </conditionalFormatting>
  <conditionalFormatting sqref="C83">
    <cfRule type="cellIs" dxfId="8336" priority="12036" stopIfTrue="1" operator="equal">
      <formula>"Towel"</formula>
    </cfRule>
    <cfRule type="cellIs" dxfId="8335" priority="12037" stopIfTrue="1" operator="equal">
      <formula>"Napkin Hs"</formula>
    </cfRule>
  </conditionalFormatting>
  <conditionalFormatting sqref="C83">
    <cfRule type="cellIs" dxfId="8334" priority="12038" stopIfTrue="1" operator="equal">
      <formula>"Towel"</formula>
    </cfRule>
    <cfRule type="cellIs" dxfId="8333" priority="12039" stopIfTrue="1" operator="equal">
      <formula>"Napkin Hs"</formula>
    </cfRule>
  </conditionalFormatting>
  <conditionalFormatting sqref="C83">
    <cfRule type="cellIs" dxfId="8332" priority="12032" stopIfTrue="1" operator="equal">
      <formula>"Towel"</formula>
    </cfRule>
    <cfRule type="cellIs" dxfId="8331" priority="12033" stopIfTrue="1" operator="equal">
      <formula>"Napkin Hs"</formula>
    </cfRule>
  </conditionalFormatting>
  <conditionalFormatting sqref="C83">
    <cfRule type="cellIs" dxfId="8330" priority="12030" stopIfTrue="1" operator="equal">
      <formula>"Towel"</formula>
    </cfRule>
    <cfRule type="cellIs" dxfId="8329" priority="12031" stopIfTrue="1" operator="equal">
      <formula>"Napkin Hs"</formula>
    </cfRule>
  </conditionalFormatting>
  <conditionalFormatting sqref="C83">
    <cfRule type="cellIs" dxfId="8328" priority="12006" stopIfTrue="1" operator="equal">
      <formula>"Towel"</formula>
    </cfRule>
  </conditionalFormatting>
  <conditionalFormatting sqref="C83">
    <cfRule type="cellIs" dxfId="8327" priority="12007" stopIfTrue="1" operator="equal">
      <formula>"Napkin Hs"</formula>
    </cfRule>
    <cfRule type="cellIs" dxfId="8326" priority="12012" stopIfTrue="1" operator="equal">
      <formula>"Towel"</formula>
    </cfRule>
    <cfRule type="cellIs" dxfId="8325" priority="12013" stopIfTrue="1" operator="equal">
      <formula>"Napkin Hs"</formula>
    </cfRule>
    <cfRule type="cellIs" dxfId="8324" priority="12022" stopIfTrue="1" operator="equal">
      <formula>"Towel"</formula>
    </cfRule>
    <cfRule type="cellIs" dxfId="8323" priority="12023" stopIfTrue="1" operator="equal">
      <formula>"Napkin Hs"</formula>
    </cfRule>
    <cfRule type="cellIs" dxfId="8322" priority="12028" stopIfTrue="1" operator="equal">
      <formula>"Towel"</formula>
    </cfRule>
    <cfRule type="cellIs" dxfId="8321" priority="12029" stopIfTrue="1" operator="equal">
      <formula>"Napkin Hs"</formula>
    </cfRule>
  </conditionalFormatting>
  <conditionalFormatting sqref="C83">
    <cfRule type="cellIs" dxfId="8320" priority="12008" stopIfTrue="1" operator="equal">
      <formula>"Towel"</formula>
    </cfRule>
    <cfRule type="cellIs" dxfId="8319" priority="12009" stopIfTrue="1" operator="equal">
      <formula>"Napkin Hs"</formula>
    </cfRule>
    <cfRule type="cellIs" dxfId="8318" priority="12010" stopIfTrue="1" operator="equal">
      <formula>"Towel"</formula>
    </cfRule>
    <cfRule type="cellIs" dxfId="8317" priority="12011" stopIfTrue="1" operator="equal">
      <formula>"Napkin Hs"</formula>
    </cfRule>
    <cfRule type="cellIs" dxfId="8316" priority="12014" stopIfTrue="1" operator="equal">
      <formula>"Towel"</formula>
    </cfRule>
    <cfRule type="cellIs" dxfId="8315" priority="12015" stopIfTrue="1" operator="equal">
      <formula>"Napkin Hs"</formula>
    </cfRule>
    <cfRule type="cellIs" dxfId="8314" priority="12016" stopIfTrue="1" operator="equal">
      <formula>"Towel"</formula>
    </cfRule>
    <cfRule type="cellIs" dxfId="8313" priority="12017" stopIfTrue="1" operator="equal">
      <formula>"Napkin Hs"</formula>
    </cfRule>
    <cfRule type="cellIs" dxfId="8312" priority="12018" stopIfTrue="1" operator="equal">
      <formula>"Towel"</formula>
    </cfRule>
    <cfRule type="cellIs" dxfId="8311" priority="12019" stopIfTrue="1" operator="equal">
      <formula>"Napkin Hs"</formula>
    </cfRule>
    <cfRule type="cellIs" dxfId="8310" priority="12020" stopIfTrue="1" operator="equal">
      <formula>"Towel"</formula>
    </cfRule>
    <cfRule type="cellIs" dxfId="8309" priority="12021" stopIfTrue="1" operator="equal">
      <formula>"Napkin Hs"</formula>
    </cfRule>
    <cfRule type="cellIs" dxfId="8308" priority="12024" stopIfTrue="1" operator="equal">
      <formula>"Towel"</formula>
    </cfRule>
    <cfRule type="cellIs" dxfId="8307" priority="12025" stopIfTrue="1" operator="equal">
      <formula>"Napkin Hs"</formula>
    </cfRule>
    <cfRule type="cellIs" dxfId="8306" priority="12027" stopIfTrue="1" operator="equal">
      <formula>"Napkin Hs"</formula>
    </cfRule>
  </conditionalFormatting>
  <conditionalFormatting sqref="C83">
    <cfRule type="cellIs" dxfId="8305" priority="12026" stopIfTrue="1" operator="equal">
      <formula>"Towel"</formula>
    </cfRule>
  </conditionalFormatting>
  <conditionalFormatting sqref="C83">
    <cfRule type="cellIs" dxfId="8304" priority="12004" stopIfTrue="1" operator="equal">
      <formula>"Towel"</formula>
    </cfRule>
    <cfRule type="cellIs" dxfId="8303" priority="12005" stopIfTrue="1" operator="equal">
      <formula>"Napkin Hs"</formula>
    </cfRule>
  </conditionalFormatting>
  <conditionalFormatting sqref="C83">
    <cfRule type="cellIs" dxfId="8302" priority="12003" stopIfTrue="1" operator="equal">
      <formula>"Napkin Hs"</formula>
    </cfRule>
  </conditionalFormatting>
  <conditionalFormatting sqref="C83">
    <cfRule type="cellIs" dxfId="8301" priority="12002" stopIfTrue="1" operator="equal">
      <formula>"Towel"</formula>
    </cfRule>
  </conditionalFormatting>
  <conditionalFormatting sqref="C83">
    <cfRule type="cellIs" dxfId="8300" priority="12000" stopIfTrue="1" operator="equal">
      <formula>"Towel"</formula>
    </cfRule>
  </conditionalFormatting>
  <conditionalFormatting sqref="C83">
    <cfRule type="cellIs" dxfId="8299" priority="12001" stopIfTrue="1" operator="equal">
      <formula>"Napkin Hs"</formula>
    </cfRule>
  </conditionalFormatting>
  <conditionalFormatting sqref="C83">
    <cfRule type="cellIs" dxfId="8298" priority="11904" stopIfTrue="1" operator="equal">
      <formula>"Towel"</formula>
    </cfRule>
  </conditionalFormatting>
  <conditionalFormatting sqref="C83">
    <cfRule type="cellIs" dxfId="8297" priority="11914" stopIfTrue="1" operator="equal">
      <formula>"Towel"</formula>
    </cfRule>
    <cfRule type="cellIs" dxfId="8296" priority="11915" stopIfTrue="1" operator="equal">
      <formula>"Napkin Hs"</formula>
    </cfRule>
    <cfRule type="cellIs" dxfId="8295" priority="11920" stopIfTrue="1" operator="equal">
      <formula>"Towel"</formula>
    </cfRule>
    <cfRule type="cellIs" dxfId="8294" priority="11921" stopIfTrue="1" operator="equal">
      <formula>"Napkin Hs"</formula>
    </cfRule>
    <cfRule type="cellIs" dxfId="8293" priority="11926" stopIfTrue="1" operator="equal">
      <formula>"Towel"</formula>
    </cfRule>
    <cfRule type="cellIs" dxfId="8292" priority="11927" stopIfTrue="1" operator="equal">
      <formula>"Napkin Hs"</formula>
    </cfRule>
    <cfRule type="cellIs" dxfId="8291" priority="11928" stopIfTrue="1" operator="equal">
      <formula>"Towel"</formula>
    </cfRule>
    <cfRule type="cellIs" dxfId="8290" priority="11929" stopIfTrue="1" operator="equal">
      <formula>"Napkin Hs"</formula>
    </cfRule>
    <cfRule type="cellIs" dxfId="8289" priority="11934" stopIfTrue="1" operator="equal">
      <formula>"Towel"</formula>
    </cfRule>
    <cfRule type="cellIs" dxfId="8288" priority="11935" stopIfTrue="1" operator="equal">
      <formula>"Napkin Hs"</formula>
    </cfRule>
    <cfRule type="cellIs" dxfId="8287" priority="11944" stopIfTrue="1" operator="equal">
      <formula>"Towel"</formula>
    </cfRule>
    <cfRule type="cellIs" dxfId="8286" priority="11945" stopIfTrue="1" operator="equal">
      <formula>"Napkin Hs"</formula>
    </cfRule>
    <cfRule type="cellIs" dxfId="8285" priority="11950" stopIfTrue="1" operator="equal">
      <formula>"Towel"</formula>
    </cfRule>
    <cfRule type="cellIs" dxfId="8284" priority="11951" stopIfTrue="1" operator="equal">
      <formula>"Napkin Hs"</formula>
    </cfRule>
    <cfRule type="cellIs" dxfId="8283" priority="11952" stopIfTrue="1" operator="equal">
      <formula>"Towel"</formula>
    </cfRule>
    <cfRule type="cellIs" dxfId="8282" priority="11953" stopIfTrue="1" operator="equal">
      <formula>"Napkin Hs"</formula>
    </cfRule>
    <cfRule type="cellIs" dxfId="8281" priority="11958" stopIfTrue="1" operator="equal">
      <formula>"Towel"</formula>
    </cfRule>
    <cfRule type="cellIs" dxfId="8280" priority="11959" stopIfTrue="1" operator="equal">
      <formula>"Napkin Hs"</formula>
    </cfRule>
    <cfRule type="cellIs" dxfId="8279" priority="11968" stopIfTrue="1" operator="equal">
      <formula>"Towel"</formula>
    </cfRule>
    <cfRule type="cellIs" dxfId="8278" priority="11969" stopIfTrue="1" operator="equal">
      <formula>"Napkin Hs"</formula>
    </cfRule>
    <cfRule type="cellIs" dxfId="8277" priority="11970" stopIfTrue="1" operator="equal">
      <formula>"Towel"</formula>
    </cfRule>
    <cfRule type="cellIs" dxfId="8276" priority="11971" stopIfTrue="1" operator="equal">
      <formula>"Napkin Hs"</formula>
    </cfRule>
    <cfRule type="cellIs" dxfId="8275" priority="11976" stopIfTrue="1" operator="equal">
      <formula>"Towel"</formula>
    </cfRule>
    <cfRule type="cellIs" dxfId="8274" priority="11977" stopIfTrue="1" operator="equal">
      <formula>"Napkin Hs"</formula>
    </cfRule>
    <cfRule type="cellIs" dxfId="8273" priority="11986" stopIfTrue="1" operator="equal">
      <formula>"Towel"</formula>
    </cfRule>
    <cfRule type="cellIs" dxfId="8272" priority="11987" stopIfTrue="1" operator="equal">
      <formula>"Napkin Hs"</formula>
    </cfRule>
    <cfRule type="cellIs" dxfId="8271" priority="11988" stopIfTrue="1" operator="equal">
      <formula>"Towel"</formula>
    </cfRule>
    <cfRule type="cellIs" dxfId="8270" priority="11989" stopIfTrue="1" operator="equal">
      <formula>"Napkin Hs"</formula>
    </cfRule>
    <cfRule type="cellIs" dxfId="8269" priority="11995" stopIfTrue="1" operator="equal">
      <formula>"Napkin Hs"</formula>
    </cfRule>
  </conditionalFormatting>
  <conditionalFormatting sqref="C83">
    <cfRule type="cellIs" dxfId="8268" priority="11994" stopIfTrue="1" operator="equal">
      <formula>"Towel"</formula>
    </cfRule>
  </conditionalFormatting>
  <conditionalFormatting sqref="C83">
    <cfRule type="cellIs" dxfId="8267" priority="11905" stopIfTrue="1" operator="equal">
      <formula>"Napkin Hs"</formula>
    </cfRule>
    <cfRule type="cellIs" dxfId="8266" priority="11906" stopIfTrue="1" operator="equal">
      <formula>"Towel"</formula>
    </cfRule>
    <cfRule type="cellIs" dxfId="8265" priority="11907" stopIfTrue="1" operator="equal">
      <formula>"Napkin Hs"</formula>
    </cfRule>
    <cfRule type="cellIs" dxfId="8264" priority="11908" stopIfTrue="1" operator="equal">
      <formula>"Towel"</formula>
    </cfRule>
    <cfRule type="cellIs" dxfId="8263" priority="11909" stopIfTrue="1" operator="equal">
      <formula>"Napkin Hs"</formula>
    </cfRule>
    <cfRule type="cellIs" dxfId="8262" priority="11910" stopIfTrue="1" operator="equal">
      <formula>"Towel"</formula>
    </cfRule>
    <cfRule type="cellIs" dxfId="8261" priority="11911" stopIfTrue="1" operator="equal">
      <formula>"Napkin Hs"</formula>
    </cfRule>
    <cfRule type="cellIs" dxfId="8260" priority="11912" stopIfTrue="1" operator="equal">
      <formula>"Towel"</formula>
    </cfRule>
    <cfRule type="cellIs" dxfId="8259" priority="11913" stopIfTrue="1" operator="equal">
      <formula>"Napkin Hs"</formula>
    </cfRule>
    <cfRule type="cellIs" dxfId="8258" priority="11916" stopIfTrue="1" operator="equal">
      <formula>"Towel"</formula>
    </cfRule>
    <cfRule type="cellIs" dxfId="8257" priority="11917" stopIfTrue="1" operator="equal">
      <formula>"Napkin Hs"</formula>
    </cfRule>
    <cfRule type="cellIs" dxfId="8256" priority="11918" stopIfTrue="1" operator="equal">
      <formula>"Towel"</formula>
    </cfRule>
    <cfRule type="cellIs" dxfId="8255" priority="11919" stopIfTrue="1" operator="equal">
      <formula>"Napkin Hs"</formula>
    </cfRule>
    <cfRule type="cellIs" dxfId="8254" priority="11922" stopIfTrue="1" operator="equal">
      <formula>"Towel"</formula>
    </cfRule>
    <cfRule type="cellIs" dxfId="8253" priority="11923" stopIfTrue="1" operator="equal">
      <formula>"Napkin Hs"</formula>
    </cfRule>
    <cfRule type="cellIs" dxfId="8252" priority="11924" stopIfTrue="1" operator="equal">
      <formula>"Towel"</formula>
    </cfRule>
    <cfRule type="cellIs" dxfId="8251" priority="11925" stopIfTrue="1" operator="equal">
      <formula>"Napkin Hs"</formula>
    </cfRule>
    <cfRule type="cellIs" dxfId="8250" priority="11930" stopIfTrue="1" operator="equal">
      <formula>"Towel"</formula>
    </cfRule>
    <cfRule type="cellIs" dxfId="8249" priority="11931" stopIfTrue="1" operator="equal">
      <formula>"Napkin Hs"</formula>
    </cfRule>
    <cfRule type="cellIs" dxfId="8248" priority="11932" stopIfTrue="1" operator="equal">
      <formula>"Towel"</formula>
    </cfRule>
    <cfRule type="cellIs" dxfId="8247" priority="11933" stopIfTrue="1" operator="equal">
      <formula>"Napkin Hs"</formula>
    </cfRule>
    <cfRule type="cellIs" dxfId="8246" priority="11936" stopIfTrue="1" operator="equal">
      <formula>"Towel"</formula>
    </cfRule>
    <cfRule type="cellIs" dxfId="8245" priority="11937" stopIfTrue="1" operator="equal">
      <formula>"Napkin Hs"</formula>
    </cfRule>
    <cfRule type="cellIs" dxfId="8244" priority="11938" stopIfTrue="1" operator="equal">
      <formula>"Towel"</formula>
    </cfRule>
    <cfRule type="cellIs" dxfId="8243" priority="11939" stopIfTrue="1" operator="equal">
      <formula>"Napkin Hs"</formula>
    </cfRule>
    <cfRule type="cellIs" dxfId="8242" priority="11940" stopIfTrue="1" operator="equal">
      <formula>"Towel"</formula>
    </cfRule>
    <cfRule type="cellIs" dxfId="8241" priority="11941" stopIfTrue="1" operator="equal">
      <formula>"Napkin Hs"</formula>
    </cfRule>
    <cfRule type="cellIs" dxfId="8240" priority="11942" stopIfTrue="1" operator="equal">
      <formula>"Towel"</formula>
    </cfRule>
    <cfRule type="cellIs" dxfId="8239" priority="11943" stopIfTrue="1" operator="equal">
      <formula>"Napkin Hs"</formula>
    </cfRule>
    <cfRule type="cellIs" dxfId="8238" priority="11946" stopIfTrue="1" operator="equal">
      <formula>"Towel"</formula>
    </cfRule>
    <cfRule type="cellIs" dxfId="8237" priority="11947" stopIfTrue="1" operator="equal">
      <formula>"Napkin Hs"</formula>
    </cfRule>
    <cfRule type="cellIs" dxfId="8236" priority="11948" stopIfTrue="1" operator="equal">
      <formula>"Towel"</formula>
    </cfRule>
    <cfRule type="cellIs" dxfId="8235" priority="11949" stopIfTrue="1" operator="equal">
      <formula>"Napkin Hs"</formula>
    </cfRule>
    <cfRule type="cellIs" dxfId="8234" priority="11954" stopIfTrue="1" operator="equal">
      <formula>"Towel"</formula>
    </cfRule>
    <cfRule type="cellIs" dxfId="8233" priority="11955" stopIfTrue="1" operator="equal">
      <formula>"Napkin Hs"</formula>
    </cfRule>
    <cfRule type="cellIs" dxfId="8232" priority="11956" stopIfTrue="1" operator="equal">
      <formula>"Towel"</formula>
    </cfRule>
    <cfRule type="cellIs" dxfId="8231" priority="11957" stopIfTrue="1" operator="equal">
      <formula>"Napkin Hs"</formula>
    </cfRule>
    <cfRule type="cellIs" dxfId="8230" priority="11960" stopIfTrue="1" operator="equal">
      <formula>"Towel"</formula>
    </cfRule>
    <cfRule type="cellIs" dxfId="8229" priority="11961" stopIfTrue="1" operator="equal">
      <formula>"Napkin Hs"</formula>
    </cfRule>
    <cfRule type="cellIs" dxfId="8228" priority="11962" stopIfTrue="1" operator="equal">
      <formula>"Towel"</formula>
    </cfRule>
    <cfRule type="cellIs" dxfId="8227" priority="11963" stopIfTrue="1" operator="equal">
      <formula>"Napkin Hs"</formula>
    </cfRule>
    <cfRule type="cellIs" dxfId="8226" priority="11964" stopIfTrue="1" operator="equal">
      <formula>"Towel"</formula>
    </cfRule>
    <cfRule type="cellIs" dxfId="8225" priority="11965" stopIfTrue="1" operator="equal">
      <formula>"Napkin Hs"</formula>
    </cfRule>
    <cfRule type="cellIs" dxfId="8224" priority="11966" stopIfTrue="1" operator="equal">
      <formula>"Towel"</formula>
    </cfRule>
    <cfRule type="cellIs" dxfId="8223" priority="11967" stopIfTrue="1" operator="equal">
      <formula>"Napkin Hs"</formula>
    </cfRule>
    <cfRule type="cellIs" dxfId="8222" priority="11972" stopIfTrue="1" operator="equal">
      <formula>"Towel"</formula>
    </cfRule>
    <cfRule type="cellIs" dxfId="8221" priority="11973" stopIfTrue="1" operator="equal">
      <formula>"Napkin Hs"</formula>
    </cfRule>
    <cfRule type="cellIs" dxfId="8220" priority="11974" stopIfTrue="1" operator="equal">
      <formula>"Towel"</formula>
    </cfRule>
    <cfRule type="cellIs" dxfId="8219" priority="11975" stopIfTrue="1" operator="equal">
      <formula>"Napkin Hs"</formula>
    </cfRule>
    <cfRule type="cellIs" dxfId="8218" priority="11978" stopIfTrue="1" operator="equal">
      <formula>"Towel"</formula>
    </cfRule>
    <cfRule type="cellIs" dxfId="8217" priority="11979" stopIfTrue="1" operator="equal">
      <formula>"Napkin Hs"</formula>
    </cfRule>
    <cfRule type="cellIs" dxfId="8216" priority="11980" stopIfTrue="1" operator="equal">
      <formula>"Towel"</formula>
    </cfRule>
    <cfRule type="cellIs" dxfId="8215" priority="11981" stopIfTrue="1" operator="equal">
      <formula>"Napkin Hs"</formula>
    </cfRule>
    <cfRule type="cellIs" dxfId="8214" priority="11982" stopIfTrue="1" operator="equal">
      <formula>"Towel"</formula>
    </cfRule>
    <cfRule type="cellIs" dxfId="8213" priority="11983" stopIfTrue="1" operator="equal">
      <formula>"Napkin Hs"</formula>
    </cfRule>
    <cfRule type="cellIs" dxfId="8212" priority="11984" stopIfTrue="1" operator="equal">
      <formula>"Towel"</formula>
    </cfRule>
    <cfRule type="cellIs" dxfId="8211" priority="11985" stopIfTrue="1" operator="equal">
      <formula>"Napkin Hs"</formula>
    </cfRule>
    <cfRule type="cellIs" dxfId="8210" priority="11990" stopIfTrue="1" operator="equal">
      <formula>"Towel"</formula>
    </cfRule>
    <cfRule type="cellIs" dxfId="8209" priority="11991" stopIfTrue="1" operator="equal">
      <formula>"Napkin Hs"</formula>
    </cfRule>
    <cfRule type="cellIs" dxfId="8208" priority="11992" stopIfTrue="1" operator="equal">
      <formula>"Towel"</formula>
    </cfRule>
    <cfRule type="cellIs" dxfId="8207" priority="11993" stopIfTrue="1" operator="equal">
      <formula>"Napkin Hs"</formula>
    </cfRule>
    <cfRule type="cellIs" dxfId="8206" priority="11996" stopIfTrue="1" operator="equal">
      <formula>"Towel"</formula>
    </cfRule>
    <cfRule type="cellIs" dxfId="8205" priority="11997" stopIfTrue="1" operator="equal">
      <formula>"Napkin Hs"</formula>
    </cfRule>
    <cfRule type="cellIs" dxfId="8204" priority="11998" stopIfTrue="1" operator="equal">
      <formula>"Towel"</formula>
    </cfRule>
    <cfRule type="cellIs" dxfId="8203" priority="11999" stopIfTrue="1" operator="equal">
      <formula>"Napkin Hs"</formula>
    </cfRule>
  </conditionalFormatting>
  <conditionalFormatting sqref="C83">
    <cfRule type="cellIs" dxfId="8202" priority="11903" stopIfTrue="1" operator="equal">
      <formula>"Napkin Hs"</formula>
    </cfRule>
  </conditionalFormatting>
  <conditionalFormatting sqref="C83">
    <cfRule type="cellIs" dxfId="8201" priority="11902" stopIfTrue="1" operator="equal">
      <formula>"Napkin Hs"</formula>
    </cfRule>
  </conditionalFormatting>
  <conditionalFormatting sqref="C83">
    <cfRule type="cellIs" dxfId="8200" priority="11901" stopIfTrue="1" operator="equal">
      <formula>"Napkin Hs"</formula>
    </cfRule>
  </conditionalFormatting>
  <conditionalFormatting sqref="C83">
    <cfRule type="cellIs" dxfId="8199" priority="11900" stopIfTrue="1" operator="equal">
      <formula>"Napkin Hs"</formula>
    </cfRule>
  </conditionalFormatting>
  <conditionalFormatting sqref="C83">
    <cfRule type="cellIs" dxfId="8198" priority="11899" stopIfTrue="1" operator="equal">
      <formula>"Napkin Hs"</formula>
    </cfRule>
  </conditionalFormatting>
  <conditionalFormatting sqref="C83">
    <cfRule type="cellIs" dxfId="8197" priority="11898" stopIfTrue="1" operator="equal">
      <formula>"Napkin Hs"</formula>
    </cfRule>
  </conditionalFormatting>
  <conditionalFormatting sqref="C83">
    <cfRule type="cellIs" dxfId="8196" priority="11894" stopIfTrue="1" operator="equal">
      <formula>"Towel"</formula>
    </cfRule>
    <cfRule type="cellIs" dxfId="8195" priority="11895" stopIfTrue="1" operator="equal">
      <formula>"Napkin Hs"</formula>
    </cfRule>
  </conditionalFormatting>
  <conditionalFormatting sqref="C83">
    <cfRule type="cellIs" dxfId="8194" priority="11896" stopIfTrue="1" operator="equal">
      <formula>"Towel"</formula>
    </cfRule>
    <cfRule type="cellIs" dxfId="8193" priority="11897" stopIfTrue="1" operator="equal">
      <formula>"Napkin Hs"</formula>
    </cfRule>
  </conditionalFormatting>
  <conditionalFormatting sqref="C83">
    <cfRule type="cellIs" dxfId="8192" priority="11890" stopIfTrue="1" operator="equal">
      <formula>"Towel"</formula>
    </cfRule>
    <cfRule type="cellIs" dxfId="8191" priority="11891" stopIfTrue="1" operator="equal">
      <formula>"Napkin Hs"</formula>
    </cfRule>
  </conditionalFormatting>
  <conditionalFormatting sqref="C83">
    <cfRule type="cellIs" dxfId="8190" priority="11892" stopIfTrue="1" operator="equal">
      <formula>"Towel"</formula>
    </cfRule>
    <cfRule type="cellIs" dxfId="8189" priority="11893" stopIfTrue="1" operator="equal">
      <formula>"Napkin Hs"</formula>
    </cfRule>
  </conditionalFormatting>
  <conditionalFormatting sqref="B83">
    <cfRule type="cellIs" dxfId="8188" priority="11888" stopIfTrue="1" operator="equal">
      <formula>"Towel"</formula>
    </cfRule>
    <cfRule type="cellIs" dxfId="8187" priority="11889" stopIfTrue="1" operator="equal">
      <formula>"Napkin Hs"</formula>
    </cfRule>
  </conditionalFormatting>
  <conditionalFormatting sqref="B83">
    <cfRule type="cellIs" dxfId="8186" priority="11886" stopIfTrue="1" operator="equal">
      <formula>"Towel"</formula>
    </cfRule>
    <cfRule type="cellIs" dxfId="8185" priority="11887" stopIfTrue="1" operator="equal">
      <formula>"Napkin Hs"</formula>
    </cfRule>
  </conditionalFormatting>
  <conditionalFormatting sqref="B83">
    <cfRule type="cellIs" dxfId="8184" priority="11884" stopIfTrue="1" operator="equal">
      <formula>"Towel"</formula>
    </cfRule>
    <cfRule type="cellIs" dxfId="8183" priority="11885" stopIfTrue="1" operator="equal">
      <formula>"Napkin Hs"</formula>
    </cfRule>
  </conditionalFormatting>
  <conditionalFormatting sqref="B83">
    <cfRule type="cellIs" dxfId="8182" priority="11876" stopIfTrue="1" operator="equal">
      <formula>"Towel"</formula>
    </cfRule>
  </conditionalFormatting>
  <conditionalFormatting sqref="B83">
    <cfRule type="cellIs" dxfId="8181" priority="11877" stopIfTrue="1" operator="equal">
      <formula>"Napkin Hs"</formula>
    </cfRule>
    <cfRule type="cellIs" dxfId="8180" priority="11878" stopIfTrue="1" operator="equal">
      <formula>"Towel"</formula>
    </cfRule>
    <cfRule type="cellIs" dxfId="8179" priority="11879" stopIfTrue="1" operator="equal">
      <formula>"Napkin Hs"</formula>
    </cfRule>
    <cfRule type="cellIs" dxfId="8178" priority="11880" stopIfTrue="1" operator="equal">
      <formula>"Towel"</formula>
    </cfRule>
    <cfRule type="cellIs" dxfId="8177" priority="11881" stopIfTrue="1" operator="equal">
      <formula>"Napkin Hs"</formula>
    </cfRule>
    <cfRule type="cellIs" dxfId="8176" priority="11882" stopIfTrue="1" operator="equal">
      <formula>"Towel"</formula>
    </cfRule>
    <cfRule type="cellIs" dxfId="8175" priority="11883" stopIfTrue="1" operator="equal">
      <formula>"Napkin Hs"</formula>
    </cfRule>
  </conditionalFormatting>
  <conditionalFormatting sqref="B83">
    <cfRule type="cellIs" dxfId="8174" priority="11874" stopIfTrue="1" operator="equal">
      <formula>"Towel"</formula>
    </cfRule>
    <cfRule type="cellIs" dxfId="8173" priority="11875" stopIfTrue="1" operator="equal">
      <formula>"Napkin Hs"</formula>
    </cfRule>
  </conditionalFormatting>
  <conditionalFormatting sqref="B83">
    <cfRule type="cellIs" dxfId="8172" priority="11843" stopIfTrue="1" operator="equal">
      <formula>"Napkin Hs"</formula>
    </cfRule>
  </conditionalFormatting>
  <conditionalFormatting sqref="B83">
    <cfRule type="cellIs" dxfId="8171" priority="11842" stopIfTrue="1" operator="equal">
      <formula>"Towel"</formula>
    </cfRule>
  </conditionalFormatting>
  <conditionalFormatting sqref="B83">
    <cfRule type="cellIs" dxfId="8170" priority="11844" stopIfTrue="1" operator="equal">
      <formula>"Towel"</formula>
    </cfRule>
    <cfRule type="cellIs" dxfId="8169" priority="11845" stopIfTrue="1" operator="equal">
      <formula>"Napkin Hs"</formula>
    </cfRule>
    <cfRule type="cellIs" dxfId="8168" priority="11846" stopIfTrue="1" operator="equal">
      <formula>"Towel"</formula>
    </cfRule>
    <cfRule type="cellIs" dxfId="8167" priority="11847" stopIfTrue="1" operator="equal">
      <formula>"Napkin Hs"</formula>
    </cfRule>
    <cfRule type="cellIs" dxfId="8166" priority="11848" stopIfTrue="1" operator="equal">
      <formula>"Towel"</formula>
    </cfRule>
    <cfRule type="cellIs" dxfId="8165" priority="11849" stopIfTrue="1" operator="equal">
      <formula>"Napkin Hs"</formula>
    </cfRule>
    <cfRule type="cellIs" dxfId="8164" priority="11850" stopIfTrue="1" operator="equal">
      <formula>"Towel"</formula>
    </cfRule>
    <cfRule type="cellIs" dxfId="8163" priority="11851" stopIfTrue="1" operator="equal">
      <formula>"Napkin Hs"</formula>
    </cfRule>
    <cfRule type="cellIs" dxfId="8162" priority="11852" stopIfTrue="1" operator="equal">
      <formula>"Towel"</formula>
    </cfRule>
    <cfRule type="cellIs" dxfId="8161" priority="11853" stopIfTrue="1" operator="equal">
      <formula>"Napkin Hs"</formula>
    </cfRule>
    <cfRule type="cellIs" dxfId="8160" priority="11854" stopIfTrue="1" operator="equal">
      <formula>"Towel"</formula>
    </cfRule>
    <cfRule type="cellIs" dxfId="8159" priority="11855" stopIfTrue="1" operator="equal">
      <formula>"Napkin Hs"</formula>
    </cfRule>
    <cfRule type="cellIs" dxfId="8158" priority="11856" stopIfTrue="1" operator="equal">
      <formula>"Towel"</formula>
    </cfRule>
    <cfRule type="cellIs" dxfId="8157" priority="11857" stopIfTrue="1" operator="equal">
      <formula>"Napkin Hs"</formula>
    </cfRule>
    <cfRule type="cellIs" dxfId="8156" priority="11858" stopIfTrue="1" operator="equal">
      <formula>"Towel"</formula>
    </cfRule>
    <cfRule type="cellIs" dxfId="8155" priority="11859" stopIfTrue="1" operator="equal">
      <formula>"Napkin Hs"</formula>
    </cfRule>
    <cfRule type="cellIs" dxfId="8154" priority="11860" stopIfTrue="1" operator="equal">
      <formula>"Towel"</formula>
    </cfRule>
    <cfRule type="cellIs" dxfId="8153" priority="11861" stopIfTrue="1" operator="equal">
      <formula>"Napkin Hs"</formula>
    </cfRule>
    <cfRule type="cellIs" dxfId="8152" priority="11862" stopIfTrue="1" operator="equal">
      <formula>"Towel"</formula>
    </cfRule>
    <cfRule type="cellIs" dxfId="8151" priority="11863" stopIfTrue="1" operator="equal">
      <formula>"Napkin Hs"</formula>
    </cfRule>
    <cfRule type="cellIs" dxfId="8150" priority="11864" stopIfTrue="1" operator="equal">
      <formula>"Towel"</formula>
    </cfRule>
    <cfRule type="cellIs" dxfId="8149" priority="11865" stopIfTrue="1" operator="equal">
      <formula>"Napkin Hs"</formula>
    </cfRule>
    <cfRule type="cellIs" dxfId="8148" priority="11866" stopIfTrue="1" operator="equal">
      <formula>"Towel"</formula>
    </cfRule>
    <cfRule type="cellIs" dxfId="8147" priority="11867" stopIfTrue="1" operator="equal">
      <formula>"Napkin Hs"</formula>
    </cfRule>
    <cfRule type="cellIs" dxfId="8146" priority="11868" stopIfTrue="1" operator="equal">
      <formula>"Towel"</formula>
    </cfRule>
    <cfRule type="cellIs" dxfId="8145" priority="11869" stopIfTrue="1" operator="equal">
      <formula>"Napkin Hs"</formula>
    </cfRule>
    <cfRule type="cellIs" dxfId="8144" priority="11870" stopIfTrue="1" operator="equal">
      <formula>"Towel"</formula>
    </cfRule>
    <cfRule type="cellIs" dxfId="8143" priority="11871" stopIfTrue="1" operator="equal">
      <formula>"Napkin Hs"</formula>
    </cfRule>
    <cfRule type="cellIs" dxfId="8142" priority="11873" stopIfTrue="1" operator="equal">
      <formula>"Napkin Hs"</formula>
    </cfRule>
  </conditionalFormatting>
  <conditionalFormatting sqref="B83">
    <cfRule type="cellIs" dxfId="8141" priority="11872" stopIfTrue="1" operator="equal">
      <formula>"Towel"</formula>
    </cfRule>
  </conditionalFormatting>
  <conditionalFormatting sqref="B83">
    <cfRule type="cellIs" dxfId="8140" priority="11841" stopIfTrue="1" operator="equal">
      <formula>"Napkin Hs"</formula>
    </cfRule>
  </conditionalFormatting>
  <conditionalFormatting sqref="B83">
    <cfRule type="cellIs" dxfId="8139" priority="11840" stopIfTrue="1" operator="equal">
      <formula>"Napkin Hs"</formula>
    </cfRule>
  </conditionalFormatting>
  <conditionalFormatting sqref="B83">
    <cfRule type="cellIs" dxfId="8138" priority="11839" stopIfTrue="1" operator="equal">
      <formula>"Napkin Hs"</formula>
    </cfRule>
  </conditionalFormatting>
  <conditionalFormatting sqref="C82">
    <cfRule type="cellIs" dxfId="8137" priority="11835" stopIfTrue="1" operator="equal">
      <formula>"Towel"</formula>
    </cfRule>
    <cfRule type="cellIs" dxfId="8136" priority="11836" stopIfTrue="1" operator="equal">
      <formula>"Napkin Hs"</formula>
    </cfRule>
  </conditionalFormatting>
  <conditionalFormatting sqref="C82">
    <cfRule type="cellIs" dxfId="8135" priority="11837" stopIfTrue="1" operator="equal">
      <formula>"Towel"</formula>
    </cfRule>
    <cfRule type="cellIs" dxfId="8134" priority="11838" stopIfTrue="1" operator="equal">
      <formula>"Napkin Hs"</formula>
    </cfRule>
  </conditionalFormatting>
  <conditionalFormatting sqref="C82">
    <cfRule type="cellIs" dxfId="8133" priority="11833" stopIfTrue="1" operator="equal">
      <formula>"Towel"</formula>
    </cfRule>
    <cfRule type="cellIs" dxfId="8132" priority="11834" stopIfTrue="1" operator="equal">
      <formula>"Napkin Hs"</formula>
    </cfRule>
  </conditionalFormatting>
  <conditionalFormatting sqref="C82">
    <cfRule type="cellIs" dxfId="8131" priority="11827" stopIfTrue="1" operator="equal">
      <formula>"Towel"</formula>
    </cfRule>
    <cfRule type="cellIs" dxfId="8130" priority="11828" stopIfTrue="1" operator="equal">
      <formula>"Napkin Hs"</formula>
    </cfRule>
  </conditionalFormatting>
  <conditionalFormatting sqref="C82">
    <cfRule type="cellIs" dxfId="8129" priority="11831" stopIfTrue="1" operator="equal">
      <formula>"Towel"</formula>
    </cfRule>
    <cfRule type="cellIs" dxfId="8128" priority="11832" stopIfTrue="1" operator="equal">
      <formula>"Napkin Hs"</formula>
    </cfRule>
  </conditionalFormatting>
  <conditionalFormatting sqref="C82">
    <cfRule type="cellIs" dxfId="8127" priority="11829" stopIfTrue="1" operator="equal">
      <formula>"Towel"</formula>
    </cfRule>
    <cfRule type="cellIs" dxfId="8126" priority="11830" stopIfTrue="1" operator="equal">
      <formula>"Napkin Hs"</formula>
    </cfRule>
  </conditionalFormatting>
  <conditionalFormatting sqref="C82">
    <cfRule type="cellIs" dxfId="8125" priority="11821" stopIfTrue="1" operator="equal">
      <formula>"Towel"</formula>
    </cfRule>
    <cfRule type="cellIs" dxfId="8124" priority="11822" stopIfTrue="1" operator="equal">
      <formula>"Napkin Hs"</formula>
    </cfRule>
  </conditionalFormatting>
  <conditionalFormatting sqref="C82">
    <cfRule type="cellIs" dxfId="8123" priority="11823" stopIfTrue="1" operator="equal">
      <formula>"Towel"</formula>
    </cfRule>
    <cfRule type="cellIs" dxfId="8122" priority="11824" stopIfTrue="1" operator="equal">
      <formula>"Napkin Hs"</formula>
    </cfRule>
  </conditionalFormatting>
  <conditionalFormatting sqref="C82">
    <cfRule type="cellIs" dxfId="8121" priority="11825" stopIfTrue="1" operator="equal">
      <formula>"Towel"</formula>
    </cfRule>
    <cfRule type="cellIs" dxfId="8120" priority="11826" stopIfTrue="1" operator="equal">
      <formula>"Napkin Hs"</formula>
    </cfRule>
  </conditionalFormatting>
  <conditionalFormatting sqref="C82">
    <cfRule type="cellIs" dxfId="8119" priority="11819" stopIfTrue="1" operator="equal">
      <formula>"Towel"</formula>
    </cfRule>
    <cfRule type="cellIs" dxfId="8118" priority="11820" stopIfTrue="1" operator="equal">
      <formula>"Napkin Hs"</formula>
    </cfRule>
  </conditionalFormatting>
  <conditionalFormatting sqref="C82">
    <cfRule type="cellIs" dxfId="8117" priority="11817" stopIfTrue="1" operator="equal">
      <formula>"Towel"</formula>
    </cfRule>
    <cfRule type="cellIs" dxfId="8116" priority="11818" stopIfTrue="1" operator="equal">
      <formula>"Napkin Hs"</formula>
    </cfRule>
  </conditionalFormatting>
  <conditionalFormatting sqref="C82">
    <cfRule type="cellIs" dxfId="8115" priority="11793" stopIfTrue="1" operator="equal">
      <formula>"Towel"</formula>
    </cfRule>
  </conditionalFormatting>
  <conditionalFormatting sqref="C82">
    <cfRule type="cellIs" dxfId="8114" priority="11794" stopIfTrue="1" operator="equal">
      <formula>"Napkin Hs"</formula>
    </cfRule>
    <cfRule type="cellIs" dxfId="8113" priority="11799" stopIfTrue="1" operator="equal">
      <formula>"Towel"</formula>
    </cfRule>
    <cfRule type="cellIs" dxfId="8112" priority="11800" stopIfTrue="1" operator="equal">
      <formula>"Napkin Hs"</formula>
    </cfRule>
    <cfRule type="cellIs" dxfId="8111" priority="11809" stopIfTrue="1" operator="equal">
      <formula>"Towel"</formula>
    </cfRule>
    <cfRule type="cellIs" dxfId="8110" priority="11810" stopIfTrue="1" operator="equal">
      <formula>"Napkin Hs"</formula>
    </cfRule>
    <cfRule type="cellIs" dxfId="8109" priority="11815" stopIfTrue="1" operator="equal">
      <formula>"Towel"</formula>
    </cfRule>
    <cfRule type="cellIs" dxfId="8108" priority="11816" stopIfTrue="1" operator="equal">
      <formula>"Napkin Hs"</formula>
    </cfRule>
  </conditionalFormatting>
  <conditionalFormatting sqref="C82">
    <cfRule type="cellIs" dxfId="8107" priority="11795" stopIfTrue="1" operator="equal">
      <formula>"Towel"</formula>
    </cfRule>
    <cfRule type="cellIs" dxfId="8106" priority="11796" stopIfTrue="1" operator="equal">
      <formula>"Napkin Hs"</formula>
    </cfRule>
    <cfRule type="cellIs" dxfId="8105" priority="11797" stopIfTrue="1" operator="equal">
      <formula>"Towel"</formula>
    </cfRule>
    <cfRule type="cellIs" dxfId="8104" priority="11798" stopIfTrue="1" operator="equal">
      <formula>"Napkin Hs"</formula>
    </cfRule>
    <cfRule type="cellIs" dxfId="8103" priority="11801" stopIfTrue="1" operator="equal">
      <formula>"Towel"</formula>
    </cfRule>
    <cfRule type="cellIs" dxfId="8102" priority="11802" stopIfTrue="1" operator="equal">
      <formula>"Napkin Hs"</formula>
    </cfRule>
    <cfRule type="cellIs" dxfId="8101" priority="11803" stopIfTrue="1" operator="equal">
      <formula>"Towel"</formula>
    </cfRule>
    <cfRule type="cellIs" dxfId="8100" priority="11804" stopIfTrue="1" operator="equal">
      <formula>"Napkin Hs"</formula>
    </cfRule>
    <cfRule type="cellIs" dxfId="8099" priority="11805" stopIfTrue="1" operator="equal">
      <formula>"Towel"</formula>
    </cfRule>
    <cfRule type="cellIs" dxfId="8098" priority="11806" stopIfTrue="1" operator="equal">
      <formula>"Napkin Hs"</formula>
    </cfRule>
    <cfRule type="cellIs" dxfId="8097" priority="11807" stopIfTrue="1" operator="equal">
      <formula>"Towel"</formula>
    </cfRule>
    <cfRule type="cellIs" dxfId="8096" priority="11808" stopIfTrue="1" operator="equal">
      <formula>"Napkin Hs"</formula>
    </cfRule>
    <cfRule type="cellIs" dxfId="8095" priority="11811" stopIfTrue="1" operator="equal">
      <formula>"Towel"</formula>
    </cfRule>
    <cfRule type="cellIs" dxfId="8094" priority="11812" stopIfTrue="1" operator="equal">
      <formula>"Napkin Hs"</formula>
    </cfRule>
    <cfRule type="cellIs" dxfId="8093" priority="11814" stopIfTrue="1" operator="equal">
      <formula>"Napkin Hs"</formula>
    </cfRule>
  </conditionalFormatting>
  <conditionalFormatting sqref="C82">
    <cfRule type="cellIs" dxfId="8092" priority="11813" stopIfTrue="1" operator="equal">
      <formula>"Towel"</formula>
    </cfRule>
  </conditionalFormatting>
  <conditionalFormatting sqref="C82">
    <cfRule type="cellIs" dxfId="8091" priority="11791" stopIfTrue="1" operator="equal">
      <formula>"Towel"</formula>
    </cfRule>
    <cfRule type="cellIs" dxfId="8090" priority="11792" stopIfTrue="1" operator="equal">
      <formula>"Napkin Hs"</formula>
    </cfRule>
  </conditionalFormatting>
  <conditionalFormatting sqref="C82">
    <cfRule type="cellIs" dxfId="8089" priority="11790" stopIfTrue="1" operator="equal">
      <formula>"Napkin Hs"</formula>
    </cfRule>
  </conditionalFormatting>
  <conditionalFormatting sqref="C82">
    <cfRule type="cellIs" dxfId="8088" priority="11789" stopIfTrue="1" operator="equal">
      <formula>"Towel"</formula>
    </cfRule>
  </conditionalFormatting>
  <conditionalFormatting sqref="C82">
    <cfRule type="cellIs" dxfId="8087" priority="11787" stopIfTrue="1" operator="equal">
      <formula>"Towel"</formula>
    </cfRule>
  </conditionalFormatting>
  <conditionalFormatting sqref="C82">
    <cfRule type="cellIs" dxfId="8086" priority="11788" stopIfTrue="1" operator="equal">
      <formula>"Napkin Hs"</formula>
    </cfRule>
  </conditionalFormatting>
  <conditionalFormatting sqref="C82">
    <cfRule type="cellIs" dxfId="8085" priority="11691" stopIfTrue="1" operator="equal">
      <formula>"Towel"</formula>
    </cfRule>
  </conditionalFormatting>
  <conditionalFormatting sqref="C82">
    <cfRule type="cellIs" dxfId="8084" priority="11701" stopIfTrue="1" operator="equal">
      <formula>"Towel"</formula>
    </cfRule>
    <cfRule type="cellIs" dxfId="8083" priority="11702" stopIfTrue="1" operator="equal">
      <formula>"Napkin Hs"</formula>
    </cfRule>
    <cfRule type="cellIs" dxfId="8082" priority="11707" stopIfTrue="1" operator="equal">
      <formula>"Towel"</formula>
    </cfRule>
    <cfRule type="cellIs" dxfId="8081" priority="11708" stopIfTrue="1" operator="equal">
      <formula>"Napkin Hs"</formula>
    </cfRule>
    <cfRule type="cellIs" dxfId="8080" priority="11713" stopIfTrue="1" operator="equal">
      <formula>"Towel"</formula>
    </cfRule>
    <cfRule type="cellIs" dxfId="8079" priority="11714" stopIfTrue="1" operator="equal">
      <formula>"Napkin Hs"</formula>
    </cfRule>
    <cfRule type="cellIs" dxfId="8078" priority="11715" stopIfTrue="1" operator="equal">
      <formula>"Towel"</formula>
    </cfRule>
    <cfRule type="cellIs" dxfId="8077" priority="11716" stopIfTrue="1" operator="equal">
      <formula>"Napkin Hs"</formula>
    </cfRule>
    <cfRule type="cellIs" dxfId="8076" priority="11721" stopIfTrue="1" operator="equal">
      <formula>"Towel"</formula>
    </cfRule>
    <cfRule type="cellIs" dxfId="8075" priority="11722" stopIfTrue="1" operator="equal">
      <formula>"Napkin Hs"</formula>
    </cfRule>
    <cfRule type="cellIs" dxfId="8074" priority="11731" stopIfTrue="1" operator="equal">
      <formula>"Towel"</formula>
    </cfRule>
    <cfRule type="cellIs" dxfId="8073" priority="11732" stopIfTrue="1" operator="equal">
      <formula>"Napkin Hs"</formula>
    </cfRule>
    <cfRule type="cellIs" dxfId="8072" priority="11737" stopIfTrue="1" operator="equal">
      <formula>"Towel"</formula>
    </cfRule>
    <cfRule type="cellIs" dxfId="8071" priority="11738" stopIfTrue="1" operator="equal">
      <formula>"Napkin Hs"</formula>
    </cfRule>
    <cfRule type="cellIs" dxfId="8070" priority="11739" stopIfTrue="1" operator="equal">
      <formula>"Towel"</formula>
    </cfRule>
    <cfRule type="cellIs" dxfId="8069" priority="11740" stopIfTrue="1" operator="equal">
      <formula>"Napkin Hs"</formula>
    </cfRule>
    <cfRule type="cellIs" dxfId="8068" priority="11745" stopIfTrue="1" operator="equal">
      <formula>"Towel"</formula>
    </cfRule>
    <cfRule type="cellIs" dxfId="8067" priority="11746" stopIfTrue="1" operator="equal">
      <formula>"Napkin Hs"</formula>
    </cfRule>
    <cfRule type="cellIs" dxfId="8066" priority="11755" stopIfTrue="1" operator="equal">
      <formula>"Towel"</formula>
    </cfRule>
    <cfRule type="cellIs" dxfId="8065" priority="11756" stopIfTrue="1" operator="equal">
      <formula>"Napkin Hs"</formula>
    </cfRule>
    <cfRule type="cellIs" dxfId="8064" priority="11757" stopIfTrue="1" operator="equal">
      <formula>"Towel"</formula>
    </cfRule>
    <cfRule type="cellIs" dxfId="8063" priority="11758" stopIfTrue="1" operator="equal">
      <formula>"Napkin Hs"</formula>
    </cfRule>
    <cfRule type="cellIs" dxfId="8062" priority="11763" stopIfTrue="1" operator="equal">
      <formula>"Towel"</formula>
    </cfRule>
    <cfRule type="cellIs" dxfId="8061" priority="11764" stopIfTrue="1" operator="equal">
      <formula>"Napkin Hs"</formula>
    </cfRule>
    <cfRule type="cellIs" dxfId="8060" priority="11773" stopIfTrue="1" operator="equal">
      <formula>"Towel"</formula>
    </cfRule>
    <cfRule type="cellIs" dxfId="8059" priority="11774" stopIfTrue="1" operator="equal">
      <formula>"Napkin Hs"</formula>
    </cfRule>
    <cfRule type="cellIs" dxfId="8058" priority="11775" stopIfTrue="1" operator="equal">
      <formula>"Towel"</formula>
    </cfRule>
    <cfRule type="cellIs" dxfId="8057" priority="11776" stopIfTrue="1" operator="equal">
      <formula>"Napkin Hs"</formula>
    </cfRule>
    <cfRule type="cellIs" dxfId="8056" priority="11782" stopIfTrue="1" operator="equal">
      <formula>"Napkin Hs"</formula>
    </cfRule>
  </conditionalFormatting>
  <conditionalFormatting sqref="C82">
    <cfRule type="cellIs" dxfId="8055" priority="11781" stopIfTrue="1" operator="equal">
      <formula>"Towel"</formula>
    </cfRule>
  </conditionalFormatting>
  <conditionalFormatting sqref="C82">
    <cfRule type="cellIs" dxfId="8054" priority="11692" stopIfTrue="1" operator="equal">
      <formula>"Napkin Hs"</formula>
    </cfRule>
    <cfRule type="cellIs" dxfId="8053" priority="11693" stopIfTrue="1" operator="equal">
      <formula>"Towel"</formula>
    </cfRule>
    <cfRule type="cellIs" dxfId="8052" priority="11694" stopIfTrue="1" operator="equal">
      <formula>"Napkin Hs"</formula>
    </cfRule>
    <cfRule type="cellIs" dxfId="8051" priority="11695" stopIfTrue="1" operator="equal">
      <formula>"Towel"</formula>
    </cfRule>
    <cfRule type="cellIs" dxfId="8050" priority="11696" stopIfTrue="1" operator="equal">
      <formula>"Napkin Hs"</formula>
    </cfRule>
    <cfRule type="cellIs" dxfId="8049" priority="11697" stopIfTrue="1" operator="equal">
      <formula>"Towel"</formula>
    </cfRule>
    <cfRule type="cellIs" dxfId="8048" priority="11698" stopIfTrue="1" operator="equal">
      <formula>"Napkin Hs"</formula>
    </cfRule>
    <cfRule type="cellIs" dxfId="8047" priority="11699" stopIfTrue="1" operator="equal">
      <formula>"Towel"</formula>
    </cfRule>
    <cfRule type="cellIs" dxfId="8046" priority="11700" stopIfTrue="1" operator="equal">
      <formula>"Napkin Hs"</formula>
    </cfRule>
    <cfRule type="cellIs" dxfId="8045" priority="11703" stopIfTrue="1" operator="equal">
      <formula>"Towel"</formula>
    </cfRule>
    <cfRule type="cellIs" dxfId="8044" priority="11704" stopIfTrue="1" operator="equal">
      <formula>"Napkin Hs"</formula>
    </cfRule>
    <cfRule type="cellIs" dxfId="8043" priority="11705" stopIfTrue="1" operator="equal">
      <formula>"Towel"</formula>
    </cfRule>
    <cfRule type="cellIs" dxfId="8042" priority="11706" stopIfTrue="1" operator="equal">
      <formula>"Napkin Hs"</formula>
    </cfRule>
    <cfRule type="cellIs" dxfId="8041" priority="11709" stopIfTrue="1" operator="equal">
      <formula>"Towel"</formula>
    </cfRule>
    <cfRule type="cellIs" dxfId="8040" priority="11710" stopIfTrue="1" operator="equal">
      <formula>"Napkin Hs"</formula>
    </cfRule>
    <cfRule type="cellIs" dxfId="8039" priority="11711" stopIfTrue="1" operator="equal">
      <formula>"Towel"</formula>
    </cfRule>
    <cfRule type="cellIs" dxfId="8038" priority="11712" stopIfTrue="1" operator="equal">
      <formula>"Napkin Hs"</formula>
    </cfRule>
    <cfRule type="cellIs" dxfId="8037" priority="11717" stopIfTrue="1" operator="equal">
      <formula>"Towel"</formula>
    </cfRule>
    <cfRule type="cellIs" dxfId="8036" priority="11718" stopIfTrue="1" operator="equal">
      <formula>"Napkin Hs"</formula>
    </cfRule>
    <cfRule type="cellIs" dxfId="8035" priority="11719" stopIfTrue="1" operator="equal">
      <formula>"Towel"</formula>
    </cfRule>
    <cfRule type="cellIs" dxfId="8034" priority="11720" stopIfTrue="1" operator="equal">
      <formula>"Napkin Hs"</formula>
    </cfRule>
    <cfRule type="cellIs" dxfId="8033" priority="11723" stopIfTrue="1" operator="equal">
      <formula>"Towel"</formula>
    </cfRule>
    <cfRule type="cellIs" dxfId="8032" priority="11724" stopIfTrue="1" operator="equal">
      <formula>"Napkin Hs"</formula>
    </cfRule>
    <cfRule type="cellIs" dxfId="8031" priority="11725" stopIfTrue="1" operator="equal">
      <formula>"Towel"</formula>
    </cfRule>
    <cfRule type="cellIs" dxfId="8030" priority="11726" stopIfTrue="1" operator="equal">
      <formula>"Napkin Hs"</formula>
    </cfRule>
    <cfRule type="cellIs" dxfId="8029" priority="11727" stopIfTrue="1" operator="equal">
      <formula>"Towel"</formula>
    </cfRule>
    <cfRule type="cellIs" dxfId="8028" priority="11728" stopIfTrue="1" operator="equal">
      <formula>"Napkin Hs"</formula>
    </cfRule>
    <cfRule type="cellIs" dxfId="8027" priority="11729" stopIfTrue="1" operator="equal">
      <formula>"Towel"</formula>
    </cfRule>
    <cfRule type="cellIs" dxfId="8026" priority="11730" stopIfTrue="1" operator="equal">
      <formula>"Napkin Hs"</formula>
    </cfRule>
    <cfRule type="cellIs" dxfId="8025" priority="11733" stopIfTrue="1" operator="equal">
      <formula>"Towel"</formula>
    </cfRule>
    <cfRule type="cellIs" dxfId="8024" priority="11734" stopIfTrue="1" operator="equal">
      <formula>"Napkin Hs"</formula>
    </cfRule>
    <cfRule type="cellIs" dxfId="8023" priority="11735" stopIfTrue="1" operator="equal">
      <formula>"Towel"</formula>
    </cfRule>
    <cfRule type="cellIs" dxfId="8022" priority="11736" stopIfTrue="1" operator="equal">
      <formula>"Napkin Hs"</formula>
    </cfRule>
    <cfRule type="cellIs" dxfId="8021" priority="11741" stopIfTrue="1" operator="equal">
      <formula>"Towel"</formula>
    </cfRule>
    <cfRule type="cellIs" dxfId="8020" priority="11742" stopIfTrue="1" operator="equal">
      <formula>"Napkin Hs"</formula>
    </cfRule>
    <cfRule type="cellIs" dxfId="8019" priority="11743" stopIfTrue="1" operator="equal">
      <formula>"Towel"</formula>
    </cfRule>
    <cfRule type="cellIs" dxfId="8018" priority="11744" stopIfTrue="1" operator="equal">
      <formula>"Napkin Hs"</formula>
    </cfRule>
    <cfRule type="cellIs" dxfId="8017" priority="11747" stopIfTrue="1" operator="equal">
      <formula>"Towel"</formula>
    </cfRule>
    <cfRule type="cellIs" dxfId="8016" priority="11748" stopIfTrue="1" operator="equal">
      <formula>"Napkin Hs"</formula>
    </cfRule>
    <cfRule type="cellIs" dxfId="8015" priority="11749" stopIfTrue="1" operator="equal">
      <formula>"Towel"</formula>
    </cfRule>
    <cfRule type="cellIs" dxfId="8014" priority="11750" stopIfTrue="1" operator="equal">
      <formula>"Napkin Hs"</formula>
    </cfRule>
    <cfRule type="cellIs" dxfId="8013" priority="11751" stopIfTrue="1" operator="equal">
      <formula>"Towel"</formula>
    </cfRule>
    <cfRule type="cellIs" dxfId="8012" priority="11752" stopIfTrue="1" operator="equal">
      <formula>"Napkin Hs"</formula>
    </cfRule>
    <cfRule type="cellIs" dxfId="8011" priority="11753" stopIfTrue="1" operator="equal">
      <formula>"Towel"</formula>
    </cfRule>
    <cfRule type="cellIs" dxfId="8010" priority="11754" stopIfTrue="1" operator="equal">
      <formula>"Napkin Hs"</formula>
    </cfRule>
    <cfRule type="cellIs" dxfId="8009" priority="11759" stopIfTrue="1" operator="equal">
      <formula>"Towel"</formula>
    </cfRule>
    <cfRule type="cellIs" dxfId="8008" priority="11760" stopIfTrue="1" operator="equal">
      <formula>"Napkin Hs"</formula>
    </cfRule>
    <cfRule type="cellIs" dxfId="8007" priority="11761" stopIfTrue="1" operator="equal">
      <formula>"Towel"</formula>
    </cfRule>
    <cfRule type="cellIs" dxfId="8006" priority="11762" stopIfTrue="1" operator="equal">
      <formula>"Napkin Hs"</formula>
    </cfRule>
    <cfRule type="cellIs" dxfId="8005" priority="11765" stopIfTrue="1" operator="equal">
      <formula>"Towel"</formula>
    </cfRule>
    <cfRule type="cellIs" dxfId="8004" priority="11766" stopIfTrue="1" operator="equal">
      <formula>"Napkin Hs"</formula>
    </cfRule>
    <cfRule type="cellIs" dxfId="8003" priority="11767" stopIfTrue="1" operator="equal">
      <formula>"Towel"</formula>
    </cfRule>
    <cfRule type="cellIs" dxfId="8002" priority="11768" stopIfTrue="1" operator="equal">
      <formula>"Napkin Hs"</formula>
    </cfRule>
    <cfRule type="cellIs" dxfId="8001" priority="11769" stopIfTrue="1" operator="equal">
      <formula>"Towel"</formula>
    </cfRule>
    <cfRule type="cellIs" dxfId="8000" priority="11770" stopIfTrue="1" operator="equal">
      <formula>"Napkin Hs"</formula>
    </cfRule>
    <cfRule type="cellIs" dxfId="7999" priority="11771" stopIfTrue="1" operator="equal">
      <formula>"Towel"</formula>
    </cfRule>
    <cfRule type="cellIs" dxfId="7998" priority="11772" stopIfTrue="1" operator="equal">
      <formula>"Napkin Hs"</formula>
    </cfRule>
    <cfRule type="cellIs" dxfId="7997" priority="11777" stopIfTrue="1" operator="equal">
      <formula>"Towel"</formula>
    </cfRule>
    <cfRule type="cellIs" dxfId="7996" priority="11778" stopIfTrue="1" operator="equal">
      <formula>"Napkin Hs"</formula>
    </cfRule>
    <cfRule type="cellIs" dxfId="7995" priority="11779" stopIfTrue="1" operator="equal">
      <formula>"Towel"</formula>
    </cfRule>
    <cfRule type="cellIs" dxfId="7994" priority="11780" stopIfTrue="1" operator="equal">
      <formula>"Napkin Hs"</formula>
    </cfRule>
    <cfRule type="cellIs" dxfId="7993" priority="11783" stopIfTrue="1" operator="equal">
      <formula>"Towel"</formula>
    </cfRule>
    <cfRule type="cellIs" dxfId="7992" priority="11784" stopIfTrue="1" operator="equal">
      <formula>"Napkin Hs"</formula>
    </cfRule>
    <cfRule type="cellIs" dxfId="7991" priority="11785" stopIfTrue="1" operator="equal">
      <formula>"Towel"</formula>
    </cfRule>
    <cfRule type="cellIs" dxfId="7990" priority="11786" stopIfTrue="1" operator="equal">
      <formula>"Napkin Hs"</formula>
    </cfRule>
  </conditionalFormatting>
  <conditionalFormatting sqref="C82">
    <cfRule type="cellIs" dxfId="7989" priority="11690" stopIfTrue="1" operator="equal">
      <formula>"Napkin Hs"</formula>
    </cfRule>
  </conditionalFormatting>
  <conditionalFormatting sqref="C82">
    <cfRule type="cellIs" dxfId="7988" priority="11689" stopIfTrue="1" operator="equal">
      <formula>"Napkin Hs"</formula>
    </cfRule>
  </conditionalFormatting>
  <conditionalFormatting sqref="C82">
    <cfRule type="cellIs" dxfId="7987" priority="11688" stopIfTrue="1" operator="equal">
      <formula>"Napkin Hs"</formula>
    </cfRule>
  </conditionalFormatting>
  <conditionalFormatting sqref="C82">
    <cfRule type="cellIs" dxfId="7986" priority="11687" stopIfTrue="1" operator="equal">
      <formula>"Napkin Hs"</formula>
    </cfRule>
  </conditionalFormatting>
  <conditionalFormatting sqref="C82">
    <cfRule type="cellIs" dxfId="7985" priority="11686" stopIfTrue="1" operator="equal">
      <formula>"Napkin Hs"</formula>
    </cfRule>
  </conditionalFormatting>
  <conditionalFormatting sqref="C82">
    <cfRule type="cellIs" dxfId="7984" priority="11685" stopIfTrue="1" operator="equal">
      <formula>"Napkin Hs"</formula>
    </cfRule>
  </conditionalFormatting>
  <conditionalFormatting sqref="C82">
    <cfRule type="cellIs" dxfId="7983" priority="11681" stopIfTrue="1" operator="equal">
      <formula>"Towel"</formula>
    </cfRule>
    <cfRule type="cellIs" dxfId="7982" priority="11682" stopIfTrue="1" operator="equal">
      <formula>"Napkin Hs"</formula>
    </cfRule>
  </conditionalFormatting>
  <conditionalFormatting sqref="C82">
    <cfRule type="cellIs" dxfId="7981" priority="11683" stopIfTrue="1" operator="equal">
      <formula>"Towel"</formula>
    </cfRule>
    <cfRule type="cellIs" dxfId="7980" priority="11684" stopIfTrue="1" operator="equal">
      <formula>"Napkin Hs"</formula>
    </cfRule>
  </conditionalFormatting>
  <conditionalFormatting sqref="C82">
    <cfRule type="cellIs" dxfId="7979" priority="11677" stopIfTrue="1" operator="equal">
      <formula>"Towel"</formula>
    </cfRule>
    <cfRule type="cellIs" dxfId="7978" priority="11678" stopIfTrue="1" operator="equal">
      <formula>"Napkin Hs"</formula>
    </cfRule>
  </conditionalFormatting>
  <conditionalFormatting sqref="C82">
    <cfRule type="cellIs" dxfId="7977" priority="11679" stopIfTrue="1" operator="equal">
      <formula>"Towel"</formula>
    </cfRule>
    <cfRule type="cellIs" dxfId="7976" priority="11680" stopIfTrue="1" operator="equal">
      <formula>"Napkin Hs"</formula>
    </cfRule>
  </conditionalFormatting>
  <conditionalFormatting sqref="B82">
    <cfRule type="cellIs" dxfId="7975" priority="11675" stopIfTrue="1" operator="equal">
      <formula>"Towel"</formula>
    </cfRule>
    <cfRule type="cellIs" dxfId="7974" priority="11676" stopIfTrue="1" operator="equal">
      <formula>"Napkin Hs"</formula>
    </cfRule>
  </conditionalFormatting>
  <conditionalFormatting sqref="B82">
    <cfRule type="cellIs" dxfId="7973" priority="11673" stopIfTrue="1" operator="equal">
      <formula>"Towel"</formula>
    </cfRule>
    <cfRule type="cellIs" dxfId="7972" priority="11674" stopIfTrue="1" operator="equal">
      <formula>"Napkin Hs"</formula>
    </cfRule>
  </conditionalFormatting>
  <conditionalFormatting sqref="B82">
    <cfRule type="cellIs" dxfId="7971" priority="11671" stopIfTrue="1" operator="equal">
      <formula>"Towel"</formula>
    </cfRule>
    <cfRule type="cellIs" dxfId="7970" priority="11672" stopIfTrue="1" operator="equal">
      <formula>"Napkin Hs"</formula>
    </cfRule>
  </conditionalFormatting>
  <conditionalFormatting sqref="B82">
    <cfRule type="cellIs" dxfId="7969" priority="11663" stopIfTrue="1" operator="equal">
      <formula>"Towel"</formula>
    </cfRule>
  </conditionalFormatting>
  <conditionalFormatting sqref="B82">
    <cfRule type="cellIs" dxfId="7968" priority="11664" stopIfTrue="1" operator="equal">
      <formula>"Napkin Hs"</formula>
    </cfRule>
    <cfRule type="cellIs" dxfId="7967" priority="11665" stopIfTrue="1" operator="equal">
      <formula>"Towel"</formula>
    </cfRule>
    <cfRule type="cellIs" dxfId="7966" priority="11666" stopIfTrue="1" operator="equal">
      <formula>"Napkin Hs"</formula>
    </cfRule>
    <cfRule type="cellIs" dxfId="7965" priority="11667" stopIfTrue="1" operator="equal">
      <formula>"Towel"</formula>
    </cfRule>
    <cfRule type="cellIs" dxfId="7964" priority="11668" stopIfTrue="1" operator="equal">
      <formula>"Napkin Hs"</formula>
    </cfRule>
    <cfRule type="cellIs" dxfId="7963" priority="11669" stopIfTrue="1" operator="equal">
      <formula>"Towel"</formula>
    </cfRule>
    <cfRule type="cellIs" dxfId="7962" priority="11670" stopIfTrue="1" operator="equal">
      <formula>"Napkin Hs"</formula>
    </cfRule>
  </conditionalFormatting>
  <conditionalFormatting sqref="B82">
    <cfRule type="cellIs" dxfId="7961" priority="11661" stopIfTrue="1" operator="equal">
      <formula>"Towel"</formula>
    </cfRule>
    <cfRule type="cellIs" dxfId="7960" priority="11662" stopIfTrue="1" operator="equal">
      <formula>"Napkin Hs"</formula>
    </cfRule>
  </conditionalFormatting>
  <conditionalFormatting sqref="B82">
    <cfRule type="cellIs" dxfId="7959" priority="11630" stopIfTrue="1" operator="equal">
      <formula>"Napkin Hs"</formula>
    </cfRule>
  </conditionalFormatting>
  <conditionalFormatting sqref="B82">
    <cfRule type="cellIs" dxfId="7958" priority="11629" stopIfTrue="1" operator="equal">
      <formula>"Towel"</formula>
    </cfRule>
  </conditionalFormatting>
  <conditionalFormatting sqref="B82">
    <cfRule type="cellIs" dxfId="7957" priority="11631" stopIfTrue="1" operator="equal">
      <formula>"Towel"</formula>
    </cfRule>
    <cfRule type="cellIs" dxfId="7956" priority="11632" stopIfTrue="1" operator="equal">
      <formula>"Napkin Hs"</formula>
    </cfRule>
    <cfRule type="cellIs" dxfId="7955" priority="11633" stopIfTrue="1" operator="equal">
      <formula>"Towel"</formula>
    </cfRule>
    <cfRule type="cellIs" dxfId="7954" priority="11634" stopIfTrue="1" operator="equal">
      <formula>"Napkin Hs"</formula>
    </cfRule>
    <cfRule type="cellIs" dxfId="7953" priority="11635" stopIfTrue="1" operator="equal">
      <formula>"Towel"</formula>
    </cfRule>
    <cfRule type="cellIs" dxfId="7952" priority="11636" stopIfTrue="1" operator="equal">
      <formula>"Napkin Hs"</formula>
    </cfRule>
    <cfRule type="cellIs" dxfId="7951" priority="11637" stopIfTrue="1" operator="equal">
      <formula>"Towel"</formula>
    </cfRule>
    <cfRule type="cellIs" dxfId="7950" priority="11638" stopIfTrue="1" operator="equal">
      <formula>"Napkin Hs"</formula>
    </cfRule>
    <cfRule type="cellIs" dxfId="7949" priority="11639" stopIfTrue="1" operator="equal">
      <formula>"Towel"</formula>
    </cfRule>
    <cfRule type="cellIs" dxfId="7948" priority="11640" stopIfTrue="1" operator="equal">
      <formula>"Napkin Hs"</formula>
    </cfRule>
    <cfRule type="cellIs" dxfId="7947" priority="11641" stopIfTrue="1" operator="equal">
      <formula>"Towel"</formula>
    </cfRule>
    <cfRule type="cellIs" dxfId="7946" priority="11642" stopIfTrue="1" operator="equal">
      <formula>"Napkin Hs"</formula>
    </cfRule>
    <cfRule type="cellIs" dxfId="7945" priority="11643" stopIfTrue="1" operator="equal">
      <formula>"Towel"</formula>
    </cfRule>
    <cfRule type="cellIs" dxfId="7944" priority="11644" stopIfTrue="1" operator="equal">
      <formula>"Napkin Hs"</formula>
    </cfRule>
    <cfRule type="cellIs" dxfId="7943" priority="11645" stopIfTrue="1" operator="equal">
      <formula>"Towel"</formula>
    </cfRule>
    <cfRule type="cellIs" dxfId="7942" priority="11646" stopIfTrue="1" operator="equal">
      <formula>"Napkin Hs"</formula>
    </cfRule>
    <cfRule type="cellIs" dxfId="7941" priority="11647" stopIfTrue="1" operator="equal">
      <formula>"Towel"</formula>
    </cfRule>
    <cfRule type="cellIs" dxfId="7940" priority="11648" stopIfTrue="1" operator="equal">
      <formula>"Napkin Hs"</formula>
    </cfRule>
    <cfRule type="cellIs" dxfId="7939" priority="11649" stopIfTrue="1" operator="equal">
      <formula>"Towel"</formula>
    </cfRule>
    <cfRule type="cellIs" dxfId="7938" priority="11650" stopIfTrue="1" operator="equal">
      <formula>"Napkin Hs"</formula>
    </cfRule>
    <cfRule type="cellIs" dxfId="7937" priority="11651" stopIfTrue="1" operator="equal">
      <formula>"Towel"</formula>
    </cfRule>
    <cfRule type="cellIs" dxfId="7936" priority="11652" stopIfTrue="1" operator="equal">
      <formula>"Napkin Hs"</formula>
    </cfRule>
    <cfRule type="cellIs" dxfId="7935" priority="11653" stopIfTrue="1" operator="equal">
      <formula>"Towel"</formula>
    </cfRule>
    <cfRule type="cellIs" dxfId="7934" priority="11654" stopIfTrue="1" operator="equal">
      <formula>"Napkin Hs"</formula>
    </cfRule>
    <cfRule type="cellIs" dxfId="7933" priority="11655" stopIfTrue="1" operator="equal">
      <formula>"Towel"</formula>
    </cfRule>
    <cfRule type="cellIs" dxfId="7932" priority="11656" stopIfTrue="1" operator="equal">
      <formula>"Napkin Hs"</formula>
    </cfRule>
    <cfRule type="cellIs" dxfId="7931" priority="11657" stopIfTrue="1" operator="equal">
      <formula>"Towel"</formula>
    </cfRule>
    <cfRule type="cellIs" dxfId="7930" priority="11658" stopIfTrue="1" operator="equal">
      <formula>"Napkin Hs"</formula>
    </cfRule>
    <cfRule type="cellIs" dxfId="7929" priority="11660" stopIfTrue="1" operator="equal">
      <formula>"Napkin Hs"</formula>
    </cfRule>
  </conditionalFormatting>
  <conditionalFormatting sqref="B82">
    <cfRule type="cellIs" dxfId="7928" priority="11659" stopIfTrue="1" operator="equal">
      <formula>"Towel"</formula>
    </cfRule>
  </conditionalFormatting>
  <conditionalFormatting sqref="B82">
    <cfRule type="cellIs" dxfId="7927" priority="11628" stopIfTrue="1" operator="equal">
      <formula>"Napkin Hs"</formula>
    </cfRule>
  </conditionalFormatting>
  <conditionalFormatting sqref="B82">
    <cfRule type="cellIs" dxfId="7926" priority="11627" stopIfTrue="1" operator="equal">
      <formula>"Napkin Hs"</formula>
    </cfRule>
  </conditionalFormatting>
  <conditionalFormatting sqref="B82">
    <cfRule type="cellIs" dxfId="7925" priority="11626" stopIfTrue="1" operator="equal">
      <formula>"Napkin Hs"</formula>
    </cfRule>
  </conditionalFormatting>
  <conditionalFormatting sqref="B91:C91">
    <cfRule type="cellIs" dxfId="7924" priority="11612" stopIfTrue="1" operator="equal">
      <formula>"Towel"</formula>
    </cfRule>
    <cfRule type="cellIs" dxfId="7923" priority="11613" stopIfTrue="1" operator="equal">
      <formula>"Napkin Hs"</formula>
    </cfRule>
  </conditionalFormatting>
  <conditionalFormatting sqref="C91">
    <cfRule type="cellIs" dxfId="7922" priority="11610" stopIfTrue="1" operator="equal">
      <formula>"Towel"</formula>
    </cfRule>
    <cfRule type="cellIs" dxfId="7921" priority="11611" stopIfTrue="1" operator="equal">
      <formula>"Napkin Hs"</formula>
    </cfRule>
  </conditionalFormatting>
  <conditionalFormatting sqref="C91">
    <cfRule type="cellIs" dxfId="7920" priority="11608" stopIfTrue="1" operator="equal">
      <formula>"Towel"</formula>
    </cfRule>
    <cfRule type="cellIs" dxfId="7919" priority="11609" stopIfTrue="1" operator="equal">
      <formula>"Napkin Hs"</formula>
    </cfRule>
  </conditionalFormatting>
  <conditionalFormatting sqref="C91">
    <cfRule type="cellIs" dxfId="7918" priority="11600" stopIfTrue="1" operator="equal">
      <formula>"Towel"</formula>
    </cfRule>
    <cfRule type="cellIs" dxfId="7917" priority="11601" stopIfTrue="1" operator="equal">
      <formula>"Napkin Hs"</formula>
    </cfRule>
  </conditionalFormatting>
  <conditionalFormatting sqref="B91:C91">
    <cfRule type="cellIs" dxfId="7916" priority="11602" stopIfTrue="1" operator="equal">
      <formula>"Towel"</formula>
    </cfRule>
    <cfRule type="cellIs" dxfId="7915" priority="11603" stopIfTrue="1" operator="equal">
      <formula>"Napkin Hs"</formula>
    </cfRule>
  </conditionalFormatting>
  <conditionalFormatting sqref="C91">
    <cfRule type="cellIs" dxfId="7914" priority="11598" stopIfTrue="1" operator="equal">
      <formula>"Towel"</formula>
    </cfRule>
    <cfRule type="cellIs" dxfId="7913" priority="11599" stopIfTrue="1" operator="equal">
      <formula>"Napkin Hs"</formula>
    </cfRule>
  </conditionalFormatting>
  <conditionalFormatting sqref="B91:C91">
    <cfRule type="cellIs" dxfId="7912" priority="11596" stopIfTrue="1" operator="equal">
      <formula>"Towel"</formula>
    </cfRule>
    <cfRule type="cellIs" dxfId="7911" priority="11597" stopIfTrue="1" operator="equal">
      <formula>"Napkin Hs"</formula>
    </cfRule>
  </conditionalFormatting>
  <conditionalFormatting sqref="C91">
    <cfRule type="cellIs" dxfId="7910" priority="11604" stopIfTrue="1" operator="equal">
      <formula>"Towel"</formula>
    </cfRule>
    <cfRule type="cellIs" dxfId="7909" priority="11605" stopIfTrue="1" operator="equal">
      <formula>"Napkin Hs"</formula>
    </cfRule>
  </conditionalFormatting>
  <conditionalFormatting sqref="C91">
    <cfRule type="cellIs" dxfId="7908" priority="11606" stopIfTrue="1" operator="equal">
      <formula>"Towel"</formula>
    </cfRule>
    <cfRule type="cellIs" dxfId="7907" priority="11607" stopIfTrue="1" operator="equal">
      <formula>"Napkin Hs"</formula>
    </cfRule>
  </conditionalFormatting>
  <conditionalFormatting sqref="B87:C87">
    <cfRule type="cellIs" dxfId="7906" priority="11594" stopIfTrue="1" operator="equal">
      <formula>"Towel"</formula>
    </cfRule>
    <cfRule type="cellIs" dxfId="7905" priority="11595" stopIfTrue="1" operator="equal">
      <formula>"Napkin Hs"</formula>
    </cfRule>
  </conditionalFormatting>
  <conditionalFormatting sqref="C87">
    <cfRule type="cellIs" dxfId="7904" priority="11590" stopIfTrue="1" operator="equal">
      <formula>"Towel"</formula>
    </cfRule>
    <cfRule type="cellIs" dxfId="7903" priority="11591" stopIfTrue="1" operator="equal">
      <formula>"Napkin Hs"</formula>
    </cfRule>
  </conditionalFormatting>
  <conditionalFormatting sqref="C87">
    <cfRule type="cellIs" dxfId="7902" priority="11592" stopIfTrue="1" operator="equal">
      <formula>"Towel"</formula>
    </cfRule>
    <cfRule type="cellIs" dxfId="7901" priority="11593" stopIfTrue="1" operator="equal">
      <formula>"Napkin Hs"</formula>
    </cfRule>
  </conditionalFormatting>
  <conditionalFormatting sqref="C90">
    <cfRule type="cellIs" dxfId="7900" priority="11586" stopIfTrue="1" operator="equal">
      <formula>"Towel"</formula>
    </cfRule>
    <cfRule type="cellIs" dxfId="7899" priority="11587" stopIfTrue="1" operator="equal">
      <formula>"Napkin Hs"</formula>
    </cfRule>
  </conditionalFormatting>
  <conditionalFormatting sqref="C90">
    <cfRule type="cellIs" dxfId="7898" priority="11588" stopIfTrue="1" operator="equal">
      <formula>"Towel"</formula>
    </cfRule>
    <cfRule type="cellIs" dxfId="7897" priority="11589" stopIfTrue="1" operator="equal">
      <formula>"Napkin Hs"</formula>
    </cfRule>
  </conditionalFormatting>
  <conditionalFormatting sqref="C90">
    <cfRule type="cellIs" dxfId="7896" priority="11584" stopIfTrue="1" operator="equal">
      <formula>"Towel"</formula>
    </cfRule>
    <cfRule type="cellIs" dxfId="7895" priority="11585" stopIfTrue="1" operator="equal">
      <formula>"Napkin Hs"</formula>
    </cfRule>
  </conditionalFormatting>
  <conditionalFormatting sqref="C90">
    <cfRule type="cellIs" dxfId="7894" priority="11578" stopIfTrue="1" operator="equal">
      <formula>"Towel"</formula>
    </cfRule>
    <cfRule type="cellIs" dxfId="7893" priority="11579" stopIfTrue="1" operator="equal">
      <formula>"Napkin Hs"</formula>
    </cfRule>
  </conditionalFormatting>
  <conditionalFormatting sqref="C90">
    <cfRule type="cellIs" dxfId="7892" priority="11580" stopIfTrue="1" operator="equal">
      <formula>"Towel"</formula>
    </cfRule>
    <cfRule type="cellIs" dxfId="7891" priority="11581" stopIfTrue="1" operator="equal">
      <formula>"Napkin Hs"</formula>
    </cfRule>
  </conditionalFormatting>
  <conditionalFormatting sqref="C90">
    <cfRule type="cellIs" dxfId="7890" priority="11582" stopIfTrue="1" operator="equal">
      <formula>"Towel"</formula>
    </cfRule>
    <cfRule type="cellIs" dxfId="7889" priority="11583" stopIfTrue="1" operator="equal">
      <formula>"Napkin Hs"</formula>
    </cfRule>
  </conditionalFormatting>
  <conditionalFormatting sqref="B90">
    <cfRule type="cellIs" dxfId="7888" priority="11576" stopIfTrue="1" operator="equal">
      <formula>"Towel"</formula>
    </cfRule>
    <cfRule type="cellIs" dxfId="7887" priority="11577" stopIfTrue="1" operator="equal">
      <formula>"Napkin Hs"</formula>
    </cfRule>
  </conditionalFormatting>
  <conditionalFormatting sqref="B90">
    <cfRule type="cellIs" dxfId="7886" priority="11574" stopIfTrue="1" operator="equal">
      <formula>"Towel"</formula>
    </cfRule>
    <cfRule type="cellIs" dxfId="7885" priority="11575" stopIfTrue="1" operator="equal">
      <formula>"Napkin Hs"</formula>
    </cfRule>
  </conditionalFormatting>
  <conditionalFormatting sqref="C89">
    <cfRule type="cellIs" dxfId="7884" priority="11566" stopIfTrue="1" operator="equal">
      <formula>"Towel"</formula>
    </cfRule>
    <cfRule type="cellIs" dxfId="7883" priority="11567" stopIfTrue="1" operator="equal">
      <formula>"Napkin Hs"</formula>
    </cfRule>
  </conditionalFormatting>
  <conditionalFormatting sqref="B89:C89">
    <cfRule type="cellIs" dxfId="7882" priority="11568" stopIfTrue="1" operator="equal">
      <formula>"Towel"</formula>
    </cfRule>
    <cfRule type="cellIs" dxfId="7881" priority="11569" stopIfTrue="1" operator="equal">
      <formula>"Napkin Hs"</formula>
    </cfRule>
  </conditionalFormatting>
  <conditionalFormatting sqref="C89">
    <cfRule type="cellIs" dxfId="7880" priority="11564" stopIfTrue="1" operator="equal">
      <formula>"Towel"</formula>
    </cfRule>
    <cfRule type="cellIs" dxfId="7879" priority="11565" stopIfTrue="1" operator="equal">
      <formula>"Napkin Hs"</formula>
    </cfRule>
  </conditionalFormatting>
  <conditionalFormatting sqref="B89:C89">
    <cfRule type="cellIs" dxfId="7878" priority="11562" stopIfTrue="1" operator="equal">
      <formula>"Towel"</formula>
    </cfRule>
    <cfRule type="cellIs" dxfId="7877" priority="11563" stopIfTrue="1" operator="equal">
      <formula>"Napkin Hs"</formula>
    </cfRule>
  </conditionalFormatting>
  <conditionalFormatting sqref="C89">
    <cfRule type="cellIs" dxfId="7876" priority="11570" stopIfTrue="1" operator="equal">
      <formula>"Towel"</formula>
    </cfRule>
    <cfRule type="cellIs" dxfId="7875" priority="11571" stopIfTrue="1" operator="equal">
      <formula>"Napkin Hs"</formula>
    </cfRule>
  </conditionalFormatting>
  <conditionalFormatting sqref="C89">
    <cfRule type="cellIs" dxfId="7874" priority="11572" stopIfTrue="1" operator="equal">
      <formula>"Towel"</formula>
    </cfRule>
    <cfRule type="cellIs" dxfId="7873" priority="11573" stopIfTrue="1" operator="equal">
      <formula>"Napkin Hs"</formula>
    </cfRule>
  </conditionalFormatting>
  <conditionalFormatting sqref="C89:C90">
    <cfRule type="cellIs" dxfId="7872" priority="11558" stopIfTrue="1" operator="equal">
      <formula>"Towel"</formula>
    </cfRule>
    <cfRule type="cellIs" dxfId="7871" priority="11559" stopIfTrue="1" operator="equal">
      <formula>"Napkin Hs"</formula>
    </cfRule>
  </conditionalFormatting>
  <conditionalFormatting sqref="C89:C90">
    <cfRule type="cellIs" dxfId="7870" priority="11560" stopIfTrue="1" operator="equal">
      <formula>"Towel"</formula>
    </cfRule>
    <cfRule type="cellIs" dxfId="7869" priority="11561" stopIfTrue="1" operator="equal">
      <formula>"Napkin Hs"</formula>
    </cfRule>
  </conditionalFormatting>
  <conditionalFormatting sqref="C89:C90">
    <cfRule type="cellIs" dxfId="7868" priority="11556" stopIfTrue="1" operator="equal">
      <formula>"Towel"</formula>
    </cfRule>
    <cfRule type="cellIs" dxfId="7867" priority="11557" stopIfTrue="1" operator="equal">
      <formula>"Napkin Hs"</formula>
    </cfRule>
  </conditionalFormatting>
  <conditionalFormatting sqref="B89:B90">
    <cfRule type="cellIs" dxfId="7866" priority="11554" stopIfTrue="1" operator="equal">
      <formula>"Towel"</formula>
    </cfRule>
    <cfRule type="cellIs" dxfId="7865" priority="11555" stopIfTrue="1" operator="equal">
      <formula>"Napkin Hs"</formula>
    </cfRule>
  </conditionalFormatting>
  <conditionalFormatting sqref="C89:C90">
    <cfRule type="cellIs" dxfId="7864" priority="11548" stopIfTrue="1" operator="equal">
      <formula>"Towel"</formula>
    </cfRule>
    <cfRule type="cellIs" dxfId="7863" priority="11549" stopIfTrue="1" operator="equal">
      <formula>"Napkin Hs"</formula>
    </cfRule>
  </conditionalFormatting>
  <conditionalFormatting sqref="C89:C90">
    <cfRule type="cellIs" dxfId="7862" priority="11552" stopIfTrue="1" operator="equal">
      <formula>"Towel"</formula>
    </cfRule>
    <cfRule type="cellIs" dxfId="7861" priority="11553" stopIfTrue="1" operator="equal">
      <formula>"Napkin Hs"</formula>
    </cfRule>
  </conditionalFormatting>
  <conditionalFormatting sqref="C89:C90">
    <cfRule type="cellIs" dxfId="7860" priority="11550" stopIfTrue="1" operator="equal">
      <formula>"Towel"</formula>
    </cfRule>
    <cfRule type="cellIs" dxfId="7859" priority="11551" stopIfTrue="1" operator="equal">
      <formula>"Napkin Hs"</formula>
    </cfRule>
  </conditionalFormatting>
  <conditionalFormatting sqref="C89:C90">
    <cfRule type="cellIs" dxfId="7858" priority="11542" stopIfTrue="1" operator="equal">
      <formula>"Towel"</formula>
    </cfRule>
    <cfRule type="cellIs" dxfId="7857" priority="11543" stopIfTrue="1" operator="equal">
      <formula>"Napkin Hs"</formula>
    </cfRule>
  </conditionalFormatting>
  <conditionalFormatting sqref="C89:C90">
    <cfRule type="cellIs" dxfId="7856" priority="11544" stopIfTrue="1" operator="equal">
      <formula>"Towel"</formula>
    </cfRule>
    <cfRule type="cellIs" dxfId="7855" priority="11545" stopIfTrue="1" operator="equal">
      <formula>"Napkin Hs"</formula>
    </cfRule>
  </conditionalFormatting>
  <conditionalFormatting sqref="C89:C90">
    <cfRule type="cellIs" dxfId="7854" priority="11546" stopIfTrue="1" operator="equal">
      <formula>"Towel"</formula>
    </cfRule>
    <cfRule type="cellIs" dxfId="7853" priority="11547" stopIfTrue="1" operator="equal">
      <formula>"Napkin Hs"</formula>
    </cfRule>
  </conditionalFormatting>
  <conditionalFormatting sqref="B89:C90">
    <cfRule type="cellIs" dxfId="7852" priority="11540" stopIfTrue="1" operator="equal">
      <formula>"Towel"</formula>
    </cfRule>
    <cfRule type="cellIs" dxfId="7851" priority="11541" stopIfTrue="1" operator="equal">
      <formula>"Napkin Hs"</formula>
    </cfRule>
  </conditionalFormatting>
  <conditionalFormatting sqref="B89:C90">
    <cfRule type="cellIs" dxfId="7850" priority="11538" stopIfTrue="1" operator="equal">
      <formula>"Towel"</formula>
    </cfRule>
    <cfRule type="cellIs" dxfId="7849" priority="11539" stopIfTrue="1" operator="equal">
      <formula>"Napkin Hs"</formula>
    </cfRule>
  </conditionalFormatting>
  <conditionalFormatting sqref="B89:C90">
    <cfRule type="cellIs" dxfId="7848" priority="11514" stopIfTrue="1" operator="equal">
      <formula>"Towel"</formula>
    </cfRule>
  </conditionalFormatting>
  <conditionalFormatting sqref="B89:C90">
    <cfRule type="cellIs" dxfId="7847" priority="11515" stopIfTrue="1" operator="equal">
      <formula>"Napkin Hs"</formula>
    </cfRule>
    <cfRule type="cellIs" dxfId="7846" priority="11520" stopIfTrue="1" operator="equal">
      <formula>"Towel"</formula>
    </cfRule>
    <cfRule type="cellIs" dxfId="7845" priority="11521" stopIfTrue="1" operator="equal">
      <formula>"Napkin Hs"</formula>
    </cfRule>
    <cfRule type="cellIs" dxfId="7844" priority="11530" stopIfTrue="1" operator="equal">
      <formula>"Towel"</formula>
    </cfRule>
    <cfRule type="cellIs" dxfId="7843" priority="11531" stopIfTrue="1" operator="equal">
      <formula>"Napkin Hs"</formula>
    </cfRule>
    <cfRule type="cellIs" dxfId="7842" priority="11536" stopIfTrue="1" operator="equal">
      <formula>"Towel"</formula>
    </cfRule>
    <cfRule type="cellIs" dxfId="7841" priority="11537" stopIfTrue="1" operator="equal">
      <formula>"Napkin Hs"</formula>
    </cfRule>
  </conditionalFormatting>
  <conditionalFormatting sqref="C89:C90">
    <cfRule type="cellIs" dxfId="7840" priority="11516" stopIfTrue="1" operator="equal">
      <formula>"Towel"</formula>
    </cfRule>
    <cfRule type="cellIs" dxfId="7839" priority="11517" stopIfTrue="1" operator="equal">
      <formula>"Napkin Hs"</formula>
    </cfRule>
    <cfRule type="cellIs" dxfId="7838" priority="11518" stopIfTrue="1" operator="equal">
      <formula>"Towel"</formula>
    </cfRule>
    <cfRule type="cellIs" dxfId="7837" priority="11519" stopIfTrue="1" operator="equal">
      <formula>"Napkin Hs"</formula>
    </cfRule>
    <cfRule type="cellIs" dxfId="7836" priority="11522" stopIfTrue="1" operator="equal">
      <formula>"Towel"</formula>
    </cfRule>
    <cfRule type="cellIs" dxfId="7835" priority="11523" stopIfTrue="1" operator="equal">
      <formula>"Napkin Hs"</formula>
    </cfRule>
    <cfRule type="cellIs" dxfId="7834" priority="11524" stopIfTrue="1" operator="equal">
      <formula>"Towel"</formula>
    </cfRule>
    <cfRule type="cellIs" dxfId="7833" priority="11525" stopIfTrue="1" operator="equal">
      <formula>"Napkin Hs"</formula>
    </cfRule>
    <cfRule type="cellIs" dxfId="7832" priority="11526" stopIfTrue="1" operator="equal">
      <formula>"Towel"</formula>
    </cfRule>
    <cfRule type="cellIs" dxfId="7831" priority="11527" stopIfTrue="1" operator="equal">
      <formula>"Napkin Hs"</formula>
    </cfRule>
    <cfRule type="cellIs" dxfId="7830" priority="11528" stopIfTrue="1" operator="equal">
      <formula>"Towel"</formula>
    </cfRule>
    <cfRule type="cellIs" dxfId="7829" priority="11529" stopIfTrue="1" operator="equal">
      <formula>"Napkin Hs"</formula>
    </cfRule>
    <cfRule type="cellIs" dxfId="7828" priority="11532" stopIfTrue="1" operator="equal">
      <formula>"Towel"</formula>
    </cfRule>
    <cfRule type="cellIs" dxfId="7827" priority="11533" stopIfTrue="1" operator="equal">
      <formula>"Napkin Hs"</formula>
    </cfRule>
    <cfRule type="cellIs" dxfId="7826" priority="11535" stopIfTrue="1" operator="equal">
      <formula>"Napkin Hs"</formula>
    </cfRule>
  </conditionalFormatting>
  <conditionalFormatting sqref="C89:C90">
    <cfRule type="cellIs" dxfId="7825" priority="11534" stopIfTrue="1" operator="equal">
      <formula>"Towel"</formula>
    </cfRule>
  </conditionalFormatting>
  <conditionalFormatting sqref="B89:C90">
    <cfRule type="cellIs" dxfId="7824" priority="11512" stopIfTrue="1" operator="equal">
      <formula>"Towel"</formula>
    </cfRule>
    <cfRule type="cellIs" dxfId="7823" priority="11513" stopIfTrue="1" operator="equal">
      <formula>"Napkin Hs"</formula>
    </cfRule>
  </conditionalFormatting>
  <conditionalFormatting sqref="C89:C90">
    <cfRule type="cellIs" dxfId="7822" priority="11511" stopIfTrue="1" operator="equal">
      <formula>"Napkin Hs"</formula>
    </cfRule>
  </conditionalFormatting>
  <conditionalFormatting sqref="C89:C90">
    <cfRule type="cellIs" dxfId="7821" priority="11510" stopIfTrue="1" operator="equal">
      <formula>"Towel"</formula>
    </cfRule>
  </conditionalFormatting>
  <conditionalFormatting sqref="C89:C90">
    <cfRule type="cellIs" dxfId="7820" priority="11508" stopIfTrue="1" operator="equal">
      <formula>"Towel"</formula>
    </cfRule>
  </conditionalFormatting>
  <conditionalFormatting sqref="C89:C90">
    <cfRule type="cellIs" dxfId="7819" priority="11509" stopIfTrue="1" operator="equal">
      <formula>"Napkin Hs"</formula>
    </cfRule>
  </conditionalFormatting>
  <conditionalFormatting sqref="B89:B90">
    <cfRule type="cellIs" dxfId="7818" priority="11412" stopIfTrue="1" operator="equal">
      <formula>"Napkin Hs"</formula>
    </cfRule>
  </conditionalFormatting>
  <conditionalFormatting sqref="B89:C90">
    <cfRule type="cellIs" dxfId="7817" priority="11411" stopIfTrue="1" operator="equal">
      <formula>"Towel"</formula>
    </cfRule>
  </conditionalFormatting>
  <conditionalFormatting sqref="B89:C90">
    <cfRule type="cellIs" dxfId="7816" priority="11422" stopIfTrue="1" operator="equal">
      <formula>"Towel"</formula>
    </cfRule>
    <cfRule type="cellIs" dxfId="7815" priority="11423" stopIfTrue="1" operator="equal">
      <formula>"Napkin Hs"</formula>
    </cfRule>
    <cfRule type="cellIs" dxfId="7814" priority="11428" stopIfTrue="1" operator="equal">
      <formula>"Towel"</formula>
    </cfRule>
    <cfRule type="cellIs" dxfId="7813" priority="11429" stopIfTrue="1" operator="equal">
      <formula>"Napkin Hs"</formula>
    </cfRule>
    <cfRule type="cellIs" dxfId="7812" priority="11434" stopIfTrue="1" operator="equal">
      <formula>"Towel"</formula>
    </cfRule>
    <cfRule type="cellIs" dxfId="7811" priority="11435" stopIfTrue="1" operator="equal">
      <formula>"Napkin Hs"</formula>
    </cfRule>
    <cfRule type="cellIs" dxfId="7810" priority="11436" stopIfTrue="1" operator="equal">
      <formula>"Towel"</formula>
    </cfRule>
    <cfRule type="cellIs" dxfId="7809" priority="11437" stopIfTrue="1" operator="equal">
      <formula>"Napkin Hs"</formula>
    </cfRule>
    <cfRule type="cellIs" dxfId="7808" priority="11442" stopIfTrue="1" operator="equal">
      <formula>"Towel"</formula>
    </cfRule>
    <cfRule type="cellIs" dxfId="7807" priority="11443" stopIfTrue="1" operator="equal">
      <formula>"Napkin Hs"</formula>
    </cfRule>
    <cfRule type="cellIs" dxfId="7806" priority="11452" stopIfTrue="1" operator="equal">
      <formula>"Towel"</formula>
    </cfRule>
    <cfRule type="cellIs" dxfId="7805" priority="11453" stopIfTrue="1" operator="equal">
      <formula>"Napkin Hs"</formula>
    </cfRule>
    <cfRule type="cellIs" dxfId="7804" priority="11458" stopIfTrue="1" operator="equal">
      <formula>"Towel"</formula>
    </cfRule>
    <cfRule type="cellIs" dxfId="7803" priority="11459" stopIfTrue="1" operator="equal">
      <formula>"Napkin Hs"</formula>
    </cfRule>
    <cfRule type="cellIs" dxfId="7802" priority="11460" stopIfTrue="1" operator="equal">
      <formula>"Towel"</formula>
    </cfRule>
    <cfRule type="cellIs" dxfId="7801" priority="11461" stopIfTrue="1" operator="equal">
      <formula>"Napkin Hs"</formula>
    </cfRule>
    <cfRule type="cellIs" dxfId="7800" priority="11466" stopIfTrue="1" operator="equal">
      <formula>"Towel"</formula>
    </cfRule>
    <cfRule type="cellIs" dxfId="7799" priority="11467" stopIfTrue="1" operator="equal">
      <formula>"Napkin Hs"</formula>
    </cfRule>
    <cfRule type="cellIs" dxfId="7798" priority="11476" stopIfTrue="1" operator="equal">
      <formula>"Towel"</formula>
    </cfRule>
    <cfRule type="cellIs" dxfId="7797" priority="11477" stopIfTrue="1" operator="equal">
      <formula>"Napkin Hs"</formula>
    </cfRule>
    <cfRule type="cellIs" dxfId="7796" priority="11478" stopIfTrue="1" operator="equal">
      <formula>"Towel"</formula>
    </cfRule>
    <cfRule type="cellIs" dxfId="7795" priority="11479" stopIfTrue="1" operator="equal">
      <formula>"Napkin Hs"</formula>
    </cfRule>
    <cfRule type="cellIs" dxfId="7794" priority="11484" stopIfTrue="1" operator="equal">
      <formula>"Towel"</formula>
    </cfRule>
    <cfRule type="cellIs" dxfId="7793" priority="11485" stopIfTrue="1" operator="equal">
      <formula>"Napkin Hs"</formula>
    </cfRule>
    <cfRule type="cellIs" dxfId="7792" priority="11494" stopIfTrue="1" operator="equal">
      <formula>"Towel"</formula>
    </cfRule>
    <cfRule type="cellIs" dxfId="7791" priority="11495" stopIfTrue="1" operator="equal">
      <formula>"Napkin Hs"</formula>
    </cfRule>
    <cfRule type="cellIs" dxfId="7790" priority="11496" stopIfTrue="1" operator="equal">
      <formula>"Towel"</formula>
    </cfRule>
    <cfRule type="cellIs" dxfId="7789" priority="11497" stopIfTrue="1" operator="equal">
      <formula>"Napkin Hs"</formula>
    </cfRule>
    <cfRule type="cellIs" dxfId="7788" priority="11503" stopIfTrue="1" operator="equal">
      <formula>"Napkin Hs"</formula>
    </cfRule>
  </conditionalFormatting>
  <conditionalFormatting sqref="B89:C90">
    <cfRule type="cellIs" dxfId="7787" priority="11502" stopIfTrue="1" operator="equal">
      <formula>"Towel"</formula>
    </cfRule>
  </conditionalFormatting>
  <conditionalFormatting sqref="C89:C90">
    <cfRule type="cellIs" dxfId="7786" priority="11413" stopIfTrue="1" operator="equal">
      <formula>"Napkin Hs"</formula>
    </cfRule>
    <cfRule type="cellIs" dxfId="7785" priority="11414" stopIfTrue="1" operator="equal">
      <formula>"Towel"</formula>
    </cfRule>
    <cfRule type="cellIs" dxfId="7784" priority="11415" stopIfTrue="1" operator="equal">
      <formula>"Napkin Hs"</formula>
    </cfRule>
    <cfRule type="cellIs" dxfId="7783" priority="11416" stopIfTrue="1" operator="equal">
      <formula>"Towel"</formula>
    </cfRule>
    <cfRule type="cellIs" dxfId="7782" priority="11417" stopIfTrue="1" operator="equal">
      <formula>"Napkin Hs"</formula>
    </cfRule>
    <cfRule type="cellIs" dxfId="7781" priority="11418" stopIfTrue="1" operator="equal">
      <formula>"Towel"</formula>
    </cfRule>
    <cfRule type="cellIs" dxfId="7780" priority="11419" stopIfTrue="1" operator="equal">
      <formula>"Napkin Hs"</formula>
    </cfRule>
    <cfRule type="cellIs" dxfId="7779" priority="11420" stopIfTrue="1" operator="equal">
      <formula>"Towel"</formula>
    </cfRule>
    <cfRule type="cellIs" dxfId="7778" priority="11421" stopIfTrue="1" operator="equal">
      <formula>"Napkin Hs"</formula>
    </cfRule>
    <cfRule type="cellIs" dxfId="7777" priority="11424" stopIfTrue="1" operator="equal">
      <formula>"Towel"</formula>
    </cfRule>
    <cfRule type="cellIs" dxfId="7776" priority="11425" stopIfTrue="1" operator="equal">
      <formula>"Napkin Hs"</formula>
    </cfRule>
    <cfRule type="cellIs" dxfId="7775" priority="11426" stopIfTrue="1" operator="equal">
      <formula>"Towel"</formula>
    </cfRule>
    <cfRule type="cellIs" dxfId="7774" priority="11427" stopIfTrue="1" operator="equal">
      <formula>"Napkin Hs"</formula>
    </cfRule>
    <cfRule type="cellIs" dxfId="7773" priority="11430" stopIfTrue="1" operator="equal">
      <formula>"Towel"</formula>
    </cfRule>
    <cfRule type="cellIs" dxfId="7772" priority="11431" stopIfTrue="1" operator="equal">
      <formula>"Napkin Hs"</formula>
    </cfRule>
    <cfRule type="cellIs" dxfId="7771" priority="11432" stopIfTrue="1" operator="equal">
      <formula>"Towel"</formula>
    </cfRule>
    <cfRule type="cellIs" dxfId="7770" priority="11433" stopIfTrue="1" operator="equal">
      <formula>"Napkin Hs"</formula>
    </cfRule>
    <cfRule type="cellIs" dxfId="7769" priority="11438" stopIfTrue="1" operator="equal">
      <formula>"Towel"</formula>
    </cfRule>
    <cfRule type="cellIs" dxfId="7768" priority="11439" stopIfTrue="1" operator="equal">
      <formula>"Napkin Hs"</formula>
    </cfRule>
    <cfRule type="cellIs" dxfId="7767" priority="11440" stopIfTrue="1" operator="equal">
      <formula>"Towel"</formula>
    </cfRule>
    <cfRule type="cellIs" dxfId="7766" priority="11441" stopIfTrue="1" operator="equal">
      <formula>"Napkin Hs"</formula>
    </cfRule>
    <cfRule type="cellIs" dxfId="7765" priority="11444" stopIfTrue="1" operator="equal">
      <formula>"Towel"</formula>
    </cfRule>
    <cfRule type="cellIs" dxfId="7764" priority="11445" stopIfTrue="1" operator="equal">
      <formula>"Napkin Hs"</formula>
    </cfRule>
    <cfRule type="cellIs" dxfId="7763" priority="11446" stopIfTrue="1" operator="equal">
      <formula>"Towel"</formula>
    </cfRule>
    <cfRule type="cellIs" dxfId="7762" priority="11447" stopIfTrue="1" operator="equal">
      <formula>"Napkin Hs"</formula>
    </cfRule>
    <cfRule type="cellIs" dxfId="7761" priority="11448" stopIfTrue="1" operator="equal">
      <formula>"Towel"</formula>
    </cfRule>
    <cfRule type="cellIs" dxfId="7760" priority="11449" stopIfTrue="1" operator="equal">
      <formula>"Napkin Hs"</formula>
    </cfRule>
    <cfRule type="cellIs" dxfId="7759" priority="11450" stopIfTrue="1" operator="equal">
      <formula>"Towel"</formula>
    </cfRule>
    <cfRule type="cellIs" dxfId="7758" priority="11451" stopIfTrue="1" operator="equal">
      <formula>"Napkin Hs"</formula>
    </cfRule>
    <cfRule type="cellIs" dxfId="7757" priority="11454" stopIfTrue="1" operator="equal">
      <formula>"Towel"</formula>
    </cfRule>
    <cfRule type="cellIs" dxfId="7756" priority="11455" stopIfTrue="1" operator="equal">
      <formula>"Napkin Hs"</formula>
    </cfRule>
    <cfRule type="cellIs" dxfId="7755" priority="11456" stopIfTrue="1" operator="equal">
      <formula>"Towel"</formula>
    </cfRule>
    <cfRule type="cellIs" dxfId="7754" priority="11457" stopIfTrue="1" operator="equal">
      <formula>"Napkin Hs"</formula>
    </cfRule>
    <cfRule type="cellIs" dxfId="7753" priority="11462" stopIfTrue="1" operator="equal">
      <formula>"Towel"</formula>
    </cfRule>
    <cfRule type="cellIs" dxfId="7752" priority="11463" stopIfTrue="1" operator="equal">
      <formula>"Napkin Hs"</formula>
    </cfRule>
    <cfRule type="cellIs" dxfId="7751" priority="11464" stopIfTrue="1" operator="equal">
      <formula>"Towel"</formula>
    </cfRule>
    <cfRule type="cellIs" dxfId="7750" priority="11465" stopIfTrue="1" operator="equal">
      <formula>"Napkin Hs"</formula>
    </cfRule>
    <cfRule type="cellIs" dxfId="7749" priority="11468" stopIfTrue="1" operator="equal">
      <formula>"Towel"</formula>
    </cfRule>
    <cfRule type="cellIs" dxfId="7748" priority="11469" stopIfTrue="1" operator="equal">
      <formula>"Napkin Hs"</formula>
    </cfRule>
    <cfRule type="cellIs" dxfId="7747" priority="11470" stopIfTrue="1" operator="equal">
      <formula>"Towel"</formula>
    </cfRule>
    <cfRule type="cellIs" dxfId="7746" priority="11471" stopIfTrue="1" operator="equal">
      <formula>"Napkin Hs"</formula>
    </cfRule>
    <cfRule type="cellIs" dxfId="7745" priority="11472" stopIfTrue="1" operator="equal">
      <formula>"Towel"</formula>
    </cfRule>
    <cfRule type="cellIs" dxfId="7744" priority="11473" stopIfTrue="1" operator="equal">
      <formula>"Napkin Hs"</formula>
    </cfRule>
    <cfRule type="cellIs" dxfId="7743" priority="11474" stopIfTrue="1" operator="equal">
      <formula>"Towel"</formula>
    </cfRule>
    <cfRule type="cellIs" dxfId="7742" priority="11475" stopIfTrue="1" operator="equal">
      <formula>"Napkin Hs"</formula>
    </cfRule>
    <cfRule type="cellIs" dxfId="7741" priority="11480" stopIfTrue="1" operator="equal">
      <formula>"Towel"</formula>
    </cfRule>
    <cfRule type="cellIs" dxfId="7740" priority="11481" stopIfTrue="1" operator="equal">
      <formula>"Napkin Hs"</formula>
    </cfRule>
    <cfRule type="cellIs" dxfId="7739" priority="11482" stopIfTrue="1" operator="equal">
      <formula>"Towel"</formula>
    </cfRule>
    <cfRule type="cellIs" dxfId="7738" priority="11483" stopIfTrue="1" operator="equal">
      <formula>"Napkin Hs"</formula>
    </cfRule>
    <cfRule type="cellIs" dxfId="7737" priority="11486" stopIfTrue="1" operator="equal">
      <formula>"Towel"</formula>
    </cfRule>
    <cfRule type="cellIs" dxfId="7736" priority="11487" stopIfTrue="1" operator="equal">
      <formula>"Napkin Hs"</formula>
    </cfRule>
    <cfRule type="cellIs" dxfId="7735" priority="11488" stopIfTrue="1" operator="equal">
      <formula>"Towel"</formula>
    </cfRule>
    <cfRule type="cellIs" dxfId="7734" priority="11489" stopIfTrue="1" operator="equal">
      <formula>"Napkin Hs"</formula>
    </cfRule>
    <cfRule type="cellIs" dxfId="7733" priority="11490" stopIfTrue="1" operator="equal">
      <formula>"Towel"</formula>
    </cfRule>
    <cfRule type="cellIs" dxfId="7732" priority="11491" stopIfTrue="1" operator="equal">
      <formula>"Napkin Hs"</formula>
    </cfRule>
    <cfRule type="cellIs" dxfId="7731" priority="11492" stopIfTrue="1" operator="equal">
      <formula>"Towel"</formula>
    </cfRule>
    <cfRule type="cellIs" dxfId="7730" priority="11493" stopIfTrue="1" operator="equal">
      <formula>"Napkin Hs"</formula>
    </cfRule>
    <cfRule type="cellIs" dxfId="7729" priority="11498" stopIfTrue="1" operator="equal">
      <formula>"Towel"</formula>
    </cfRule>
    <cfRule type="cellIs" dxfId="7728" priority="11499" stopIfTrue="1" operator="equal">
      <formula>"Napkin Hs"</formula>
    </cfRule>
    <cfRule type="cellIs" dxfId="7727" priority="11500" stopIfTrue="1" operator="equal">
      <formula>"Towel"</formula>
    </cfRule>
    <cfRule type="cellIs" dxfId="7726" priority="11501" stopIfTrue="1" operator="equal">
      <formula>"Napkin Hs"</formula>
    </cfRule>
    <cfRule type="cellIs" dxfId="7725" priority="11504" stopIfTrue="1" operator="equal">
      <formula>"Towel"</formula>
    </cfRule>
    <cfRule type="cellIs" dxfId="7724" priority="11505" stopIfTrue="1" operator="equal">
      <formula>"Napkin Hs"</formula>
    </cfRule>
    <cfRule type="cellIs" dxfId="7723" priority="11506" stopIfTrue="1" operator="equal">
      <formula>"Towel"</formula>
    </cfRule>
    <cfRule type="cellIs" dxfId="7722" priority="11507" stopIfTrue="1" operator="equal">
      <formula>"Napkin Hs"</formula>
    </cfRule>
  </conditionalFormatting>
  <conditionalFormatting sqref="C89:C90">
    <cfRule type="cellIs" dxfId="7721" priority="11410" stopIfTrue="1" operator="equal">
      <formula>"Napkin Hs"</formula>
    </cfRule>
  </conditionalFormatting>
  <conditionalFormatting sqref="C89:C90">
    <cfRule type="cellIs" dxfId="7720" priority="11409" stopIfTrue="1" operator="equal">
      <formula>"Napkin Hs"</formula>
    </cfRule>
  </conditionalFormatting>
  <conditionalFormatting sqref="B89:B90">
    <cfRule type="cellIs" dxfId="7719" priority="11408" stopIfTrue="1" operator="equal">
      <formula>"Napkin Hs"</formula>
    </cfRule>
  </conditionalFormatting>
  <conditionalFormatting sqref="C89:C90">
    <cfRule type="cellIs" dxfId="7718" priority="11407" stopIfTrue="1" operator="equal">
      <formula>"Napkin Hs"</formula>
    </cfRule>
  </conditionalFormatting>
  <conditionalFormatting sqref="C89:C90">
    <cfRule type="cellIs" dxfId="7717" priority="11406" stopIfTrue="1" operator="equal">
      <formula>"Napkin Hs"</formula>
    </cfRule>
  </conditionalFormatting>
  <conditionalFormatting sqref="C89:C90">
    <cfRule type="cellIs" dxfId="7716" priority="11405" stopIfTrue="1" operator="equal">
      <formula>"Napkin Hs"</formula>
    </cfRule>
  </conditionalFormatting>
  <conditionalFormatting sqref="C89:C90">
    <cfRule type="cellIs" dxfId="7715" priority="11404" stopIfTrue="1" operator="equal">
      <formula>"Napkin Hs"</formula>
    </cfRule>
  </conditionalFormatting>
  <conditionalFormatting sqref="B89:B90">
    <cfRule type="cellIs" dxfId="7714" priority="11403" stopIfTrue="1" operator="equal">
      <formula>"Napkin Hs"</formula>
    </cfRule>
  </conditionalFormatting>
  <conditionalFormatting sqref="B89:B90">
    <cfRule type="cellIs" dxfId="7713" priority="11402" stopIfTrue="1" operator="equal">
      <formula>"Napkin Hs"</formula>
    </cfRule>
  </conditionalFormatting>
  <conditionalFormatting sqref="C89:C90">
    <cfRule type="cellIs" dxfId="7712" priority="11398" stopIfTrue="1" operator="equal">
      <formula>"Towel"</formula>
    </cfRule>
    <cfRule type="cellIs" dxfId="7711" priority="11399" stopIfTrue="1" operator="equal">
      <formula>"Napkin Hs"</formula>
    </cfRule>
  </conditionalFormatting>
  <conditionalFormatting sqref="C89:C90">
    <cfRule type="cellIs" dxfId="7710" priority="11400" stopIfTrue="1" operator="equal">
      <formula>"Towel"</formula>
    </cfRule>
    <cfRule type="cellIs" dxfId="7709" priority="11401" stopIfTrue="1" operator="equal">
      <formula>"Napkin Hs"</formula>
    </cfRule>
  </conditionalFormatting>
  <conditionalFormatting sqref="C89:C90">
    <cfRule type="cellIs" dxfId="7708" priority="11394" stopIfTrue="1" operator="equal">
      <formula>"Towel"</formula>
    </cfRule>
    <cfRule type="cellIs" dxfId="7707" priority="11395" stopIfTrue="1" operator="equal">
      <formula>"Napkin Hs"</formula>
    </cfRule>
  </conditionalFormatting>
  <conditionalFormatting sqref="C89:C90">
    <cfRule type="cellIs" dxfId="7706" priority="11396" stopIfTrue="1" operator="equal">
      <formula>"Towel"</formula>
    </cfRule>
    <cfRule type="cellIs" dxfId="7705" priority="11397" stopIfTrue="1" operator="equal">
      <formula>"Napkin Hs"</formula>
    </cfRule>
  </conditionalFormatting>
  <conditionalFormatting sqref="C87">
    <cfRule type="cellIs" dxfId="7704" priority="11390" stopIfTrue="1" operator="equal">
      <formula>"Towel"</formula>
    </cfRule>
    <cfRule type="cellIs" dxfId="7703" priority="11391" stopIfTrue="1" operator="equal">
      <formula>"Napkin Hs"</formula>
    </cfRule>
  </conditionalFormatting>
  <conditionalFormatting sqref="C87">
    <cfRule type="cellIs" dxfId="7702" priority="11392" stopIfTrue="1" operator="equal">
      <formula>"Towel"</formula>
    </cfRule>
    <cfRule type="cellIs" dxfId="7701" priority="11393" stopIfTrue="1" operator="equal">
      <formula>"Napkin Hs"</formula>
    </cfRule>
  </conditionalFormatting>
  <conditionalFormatting sqref="C87">
    <cfRule type="cellIs" dxfId="7700" priority="11388" stopIfTrue="1" operator="equal">
      <formula>"Towel"</formula>
    </cfRule>
    <cfRule type="cellIs" dxfId="7699" priority="11389" stopIfTrue="1" operator="equal">
      <formula>"Napkin Hs"</formula>
    </cfRule>
  </conditionalFormatting>
  <conditionalFormatting sqref="C87">
    <cfRule type="cellIs" dxfId="7698" priority="11382" stopIfTrue="1" operator="equal">
      <formula>"Towel"</formula>
    </cfRule>
    <cfRule type="cellIs" dxfId="7697" priority="11383" stopIfTrue="1" operator="equal">
      <formula>"Napkin Hs"</formula>
    </cfRule>
  </conditionalFormatting>
  <conditionalFormatting sqref="C87">
    <cfRule type="cellIs" dxfId="7696" priority="11386" stopIfTrue="1" operator="equal">
      <formula>"Towel"</formula>
    </cfRule>
    <cfRule type="cellIs" dxfId="7695" priority="11387" stopIfTrue="1" operator="equal">
      <formula>"Napkin Hs"</formula>
    </cfRule>
  </conditionalFormatting>
  <conditionalFormatting sqref="C87">
    <cfRule type="cellIs" dxfId="7694" priority="11384" stopIfTrue="1" operator="equal">
      <formula>"Towel"</formula>
    </cfRule>
    <cfRule type="cellIs" dxfId="7693" priority="11385" stopIfTrue="1" operator="equal">
      <formula>"Napkin Hs"</formula>
    </cfRule>
  </conditionalFormatting>
  <conditionalFormatting sqref="C87">
    <cfRule type="cellIs" dxfId="7692" priority="11376" stopIfTrue="1" operator="equal">
      <formula>"Towel"</formula>
    </cfRule>
    <cfRule type="cellIs" dxfId="7691" priority="11377" stopIfTrue="1" operator="equal">
      <formula>"Napkin Hs"</formula>
    </cfRule>
  </conditionalFormatting>
  <conditionalFormatting sqref="C87">
    <cfRule type="cellIs" dxfId="7690" priority="11378" stopIfTrue="1" operator="equal">
      <formula>"Towel"</formula>
    </cfRule>
    <cfRule type="cellIs" dxfId="7689" priority="11379" stopIfTrue="1" operator="equal">
      <formula>"Napkin Hs"</formula>
    </cfRule>
  </conditionalFormatting>
  <conditionalFormatting sqref="C87">
    <cfRule type="cellIs" dxfId="7688" priority="11380" stopIfTrue="1" operator="equal">
      <formula>"Towel"</formula>
    </cfRule>
    <cfRule type="cellIs" dxfId="7687" priority="11381" stopIfTrue="1" operator="equal">
      <formula>"Napkin Hs"</formula>
    </cfRule>
  </conditionalFormatting>
  <conditionalFormatting sqref="C87">
    <cfRule type="cellIs" dxfId="7686" priority="11374" stopIfTrue="1" operator="equal">
      <formula>"Towel"</formula>
    </cfRule>
    <cfRule type="cellIs" dxfId="7685" priority="11375" stopIfTrue="1" operator="equal">
      <formula>"Napkin Hs"</formula>
    </cfRule>
  </conditionalFormatting>
  <conditionalFormatting sqref="C87">
    <cfRule type="cellIs" dxfId="7684" priority="11372" stopIfTrue="1" operator="equal">
      <formula>"Towel"</formula>
    </cfRule>
    <cfRule type="cellIs" dxfId="7683" priority="11373" stopIfTrue="1" operator="equal">
      <formula>"Napkin Hs"</formula>
    </cfRule>
  </conditionalFormatting>
  <conditionalFormatting sqref="C87">
    <cfRule type="cellIs" dxfId="7682" priority="11348" stopIfTrue="1" operator="equal">
      <formula>"Towel"</formula>
    </cfRule>
  </conditionalFormatting>
  <conditionalFormatting sqref="C87">
    <cfRule type="cellIs" dxfId="7681" priority="11349" stopIfTrue="1" operator="equal">
      <formula>"Napkin Hs"</formula>
    </cfRule>
    <cfRule type="cellIs" dxfId="7680" priority="11354" stopIfTrue="1" operator="equal">
      <formula>"Towel"</formula>
    </cfRule>
    <cfRule type="cellIs" dxfId="7679" priority="11355" stopIfTrue="1" operator="equal">
      <formula>"Napkin Hs"</formula>
    </cfRule>
    <cfRule type="cellIs" dxfId="7678" priority="11364" stopIfTrue="1" operator="equal">
      <formula>"Towel"</formula>
    </cfRule>
    <cfRule type="cellIs" dxfId="7677" priority="11365" stopIfTrue="1" operator="equal">
      <formula>"Napkin Hs"</formula>
    </cfRule>
    <cfRule type="cellIs" dxfId="7676" priority="11370" stopIfTrue="1" operator="equal">
      <formula>"Towel"</formula>
    </cfRule>
    <cfRule type="cellIs" dxfId="7675" priority="11371" stopIfTrue="1" operator="equal">
      <formula>"Napkin Hs"</formula>
    </cfRule>
  </conditionalFormatting>
  <conditionalFormatting sqref="C87">
    <cfRule type="cellIs" dxfId="7674" priority="11350" stopIfTrue="1" operator="equal">
      <formula>"Towel"</formula>
    </cfRule>
    <cfRule type="cellIs" dxfId="7673" priority="11351" stopIfTrue="1" operator="equal">
      <formula>"Napkin Hs"</formula>
    </cfRule>
    <cfRule type="cellIs" dxfId="7672" priority="11352" stopIfTrue="1" operator="equal">
      <formula>"Towel"</formula>
    </cfRule>
    <cfRule type="cellIs" dxfId="7671" priority="11353" stopIfTrue="1" operator="equal">
      <formula>"Napkin Hs"</formula>
    </cfRule>
    <cfRule type="cellIs" dxfId="7670" priority="11356" stopIfTrue="1" operator="equal">
      <formula>"Towel"</formula>
    </cfRule>
    <cfRule type="cellIs" dxfId="7669" priority="11357" stopIfTrue="1" operator="equal">
      <formula>"Napkin Hs"</formula>
    </cfRule>
    <cfRule type="cellIs" dxfId="7668" priority="11358" stopIfTrue="1" operator="equal">
      <formula>"Towel"</formula>
    </cfRule>
    <cfRule type="cellIs" dxfId="7667" priority="11359" stopIfTrue="1" operator="equal">
      <formula>"Napkin Hs"</formula>
    </cfRule>
    <cfRule type="cellIs" dxfId="7666" priority="11360" stopIfTrue="1" operator="equal">
      <formula>"Towel"</formula>
    </cfRule>
    <cfRule type="cellIs" dxfId="7665" priority="11361" stopIfTrue="1" operator="equal">
      <formula>"Napkin Hs"</formula>
    </cfRule>
    <cfRule type="cellIs" dxfId="7664" priority="11362" stopIfTrue="1" operator="equal">
      <formula>"Towel"</formula>
    </cfRule>
    <cfRule type="cellIs" dxfId="7663" priority="11363" stopIfTrue="1" operator="equal">
      <formula>"Napkin Hs"</formula>
    </cfRule>
    <cfRule type="cellIs" dxfId="7662" priority="11366" stopIfTrue="1" operator="equal">
      <formula>"Towel"</formula>
    </cfRule>
    <cfRule type="cellIs" dxfId="7661" priority="11367" stopIfTrue="1" operator="equal">
      <formula>"Napkin Hs"</formula>
    </cfRule>
    <cfRule type="cellIs" dxfId="7660" priority="11369" stopIfTrue="1" operator="equal">
      <formula>"Napkin Hs"</formula>
    </cfRule>
  </conditionalFormatting>
  <conditionalFormatting sqref="C87">
    <cfRule type="cellIs" dxfId="7659" priority="11368" stopIfTrue="1" operator="equal">
      <formula>"Towel"</formula>
    </cfRule>
  </conditionalFormatting>
  <conditionalFormatting sqref="C87">
    <cfRule type="cellIs" dxfId="7658" priority="11346" stopIfTrue="1" operator="equal">
      <formula>"Towel"</formula>
    </cfRule>
    <cfRule type="cellIs" dxfId="7657" priority="11347" stopIfTrue="1" operator="equal">
      <formula>"Napkin Hs"</formula>
    </cfRule>
  </conditionalFormatting>
  <conditionalFormatting sqref="C87">
    <cfRule type="cellIs" dxfId="7656" priority="11345" stopIfTrue="1" operator="equal">
      <formula>"Napkin Hs"</formula>
    </cfRule>
  </conditionalFormatting>
  <conditionalFormatting sqref="C87">
    <cfRule type="cellIs" dxfId="7655" priority="11344" stopIfTrue="1" operator="equal">
      <formula>"Towel"</formula>
    </cfRule>
  </conditionalFormatting>
  <conditionalFormatting sqref="C87">
    <cfRule type="cellIs" dxfId="7654" priority="11342" stopIfTrue="1" operator="equal">
      <formula>"Towel"</formula>
    </cfRule>
  </conditionalFormatting>
  <conditionalFormatting sqref="C87">
    <cfRule type="cellIs" dxfId="7653" priority="11343" stopIfTrue="1" operator="equal">
      <formula>"Napkin Hs"</formula>
    </cfRule>
  </conditionalFormatting>
  <conditionalFormatting sqref="C87">
    <cfRule type="cellIs" dxfId="7652" priority="11246" stopIfTrue="1" operator="equal">
      <formula>"Towel"</formula>
    </cfRule>
  </conditionalFormatting>
  <conditionalFormatting sqref="C87">
    <cfRule type="cellIs" dxfId="7651" priority="11256" stopIfTrue="1" operator="equal">
      <formula>"Towel"</formula>
    </cfRule>
    <cfRule type="cellIs" dxfId="7650" priority="11257" stopIfTrue="1" operator="equal">
      <formula>"Napkin Hs"</formula>
    </cfRule>
    <cfRule type="cellIs" dxfId="7649" priority="11262" stopIfTrue="1" operator="equal">
      <formula>"Towel"</formula>
    </cfRule>
    <cfRule type="cellIs" dxfId="7648" priority="11263" stopIfTrue="1" operator="equal">
      <formula>"Napkin Hs"</formula>
    </cfRule>
    <cfRule type="cellIs" dxfId="7647" priority="11268" stopIfTrue="1" operator="equal">
      <formula>"Towel"</formula>
    </cfRule>
    <cfRule type="cellIs" dxfId="7646" priority="11269" stopIfTrue="1" operator="equal">
      <formula>"Napkin Hs"</formula>
    </cfRule>
    <cfRule type="cellIs" dxfId="7645" priority="11270" stopIfTrue="1" operator="equal">
      <formula>"Towel"</formula>
    </cfRule>
    <cfRule type="cellIs" dxfId="7644" priority="11271" stopIfTrue="1" operator="equal">
      <formula>"Napkin Hs"</formula>
    </cfRule>
    <cfRule type="cellIs" dxfId="7643" priority="11276" stopIfTrue="1" operator="equal">
      <formula>"Towel"</formula>
    </cfRule>
    <cfRule type="cellIs" dxfId="7642" priority="11277" stopIfTrue="1" operator="equal">
      <formula>"Napkin Hs"</formula>
    </cfRule>
    <cfRule type="cellIs" dxfId="7641" priority="11286" stopIfTrue="1" operator="equal">
      <formula>"Towel"</formula>
    </cfRule>
    <cfRule type="cellIs" dxfId="7640" priority="11287" stopIfTrue="1" operator="equal">
      <formula>"Napkin Hs"</formula>
    </cfRule>
    <cfRule type="cellIs" dxfId="7639" priority="11292" stopIfTrue="1" operator="equal">
      <formula>"Towel"</formula>
    </cfRule>
    <cfRule type="cellIs" dxfId="7638" priority="11293" stopIfTrue="1" operator="equal">
      <formula>"Napkin Hs"</formula>
    </cfRule>
    <cfRule type="cellIs" dxfId="7637" priority="11294" stopIfTrue="1" operator="equal">
      <formula>"Towel"</formula>
    </cfRule>
    <cfRule type="cellIs" dxfId="7636" priority="11295" stopIfTrue="1" operator="equal">
      <formula>"Napkin Hs"</formula>
    </cfRule>
    <cfRule type="cellIs" dxfId="7635" priority="11300" stopIfTrue="1" operator="equal">
      <formula>"Towel"</formula>
    </cfRule>
    <cfRule type="cellIs" dxfId="7634" priority="11301" stopIfTrue="1" operator="equal">
      <formula>"Napkin Hs"</formula>
    </cfRule>
    <cfRule type="cellIs" dxfId="7633" priority="11310" stopIfTrue="1" operator="equal">
      <formula>"Towel"</formula>
    </cfRule>
    <cfRule type="cellIs" dxfId="7632" priority="11311" stopIfTrue="1" operator="equal">
      <formula>"Napkin Hs"</formula>
    </cfRule>
    <cfRule type="cellIs" dxfId="7631" priority="11312" stopIfTrue="1" operator="equal">
      <formula>"Towel"</formula>
    </cfRule>
    <cfRule type="cellIs" dxfId="7630" priority="11313" stopIfTrue="1" operator="equal">
      <formula>"Napkin Hs"</formula>
    </cfRule>
    <cfRule type="cellIs" dxfId="7629" priority="11318" stopIfTrue="1" operator="equal">
      <formula>"Towel"</formula>
    </cfRule>
    <cfRule type="cellIs" dxfId="7628" priority="11319" stopIfTrue="1" operator="equal">
      <formula>"Napkin Hs"</formula>
    </cfRule>
    <cfRule type="cellIs" dxfId="7627" priority="11328" stopIfTrue="1" operator="equal">
      <formula>"Towel"</formula>
    </cfRule>
    <cfRule type="cellIs" dxfId="7626" priority="11329" stopIfTrue="1" operator="equal">
      <formula>"Napkin Hs"</formula>
    </cfRule>
    <cfRule type="cellIs" dxfId="7625" priority="11330" stopIfTrue="1" operator="equal">
      <formula>"Towel"</formula>
    </cfRule>
    <cfRule type="cellIs" dxfId="7624" priority="11331" stopIfTrue="1" operator="equal">
      <formula>"Napkin Hs"</formula>
    </cfRule>
    <cfRule type="cellIs" dxfId="7623" priority="11337" stopIfTrue="1" operator="equal">
      <formula>"Napkin Hs"</formula>
    </cfRule>
  </conditionalFormatting>
  <conditionalFormatting sqref="C87">
    <cfRule type="cellIs" dxfId="7622" priority="11336" stopIfTrue="1" operator="equal">
      <formula>"Towel"</formula>
    </cfRule>
  </conditionalFormatting>
  <conditionalFormatting sqref="C87">
    <cfRule type="cellIs" dxfId="7621" priority="11247" stopIfTrue="1" operator="equal">
      <formula>"Napkin Hs"</formula>
    </cfRule>
    <cfRule type="cellIs" dxfId="7620" priority="11248" stopIfTrue="1" operator="equal">
      <formula>"Towel"</formula>
    </cfRule>
    <cfRule type="cellIs" dxfId="7619" priority="11249" stopIfTrue="1" operator="equal">
      <formula>"Napkin Hs"</formula>
    </cfRule>
    <cfRule type="cellIs" dxfId="7618" priority="11250" stopIfTrue="1" operator="equal">
      <formula>"Towel"</formula>
    </cfRule>
    <cfRule type="cellIs" dxfId="7617" priority="11251" stopIfTrue="1" operator="equal">
      <formula>"Napkin Hs"</formula>
    </cfRule>
    <cfRule type="cellIs" dxfId="7616" priority="11252" stopIfTrue="1" operator="equal">
      <formula>"Towel"</formula>
    </cfRule>
    <cfRule type="cellIs" dxfId="7615" priority="11253" stopIfTrue="1" operator="equal">
      <formula>"Napkin Hs"</formula>
    </cfRule>
    <cfRule type="cellIs" dxfId="7614" priority="11254" stopIfTrue="1" operator="equal">
      <formula>"Towel"</formula>
    </cfRule>
    <cfRule type="cellIs" dxfId="7613" priority="11255" stopIfTrue="1" operator="equal">
      <formula>"Napkin Hs"</formula>
    </cfRule>
    <cfRule type="cellIs" dxfId="7612" priority="11258" stopIfTrue="1" operator="equal">
      <formula>"Towel"</formula>
    </cfRule>
    <cfRule type="cellIs" dxfId="7611" priority="11259" stopIfTrue="1" operator="equal">
      <formula>"Napkin Hs"</formula>
    </cfRule>
    <cfRule type="cellIs" dxfId="7610" priority="11260" stopIfTrue="1" operator="equal">
      <formula>"Towel"</formula>
    </cfRule>
    <cfRule type="cellIs" dxfId="7609" priority="11261" stopIfTrue="1" operator="equal">
      <formula>"Napkin Hs"</formula>
    </cfRule>
    <cfRule type="cellIs" dxfId="7608" priority="11264" stopIfTrue="1" operator="equal">
      <formula>"Towel"</formula>
    </cfRule>
    <cfRule type="cellIs" dxfId="7607" priority="11265" stopIfTrue="1" operator="equal">
      <formula>"Napkin Hs"</formula>
    </cfRule>
    <cfRule type="cellIs" dxfId="7606" priority="11266" stopIfTrue="1" operator="equal">
      <formula>"Towel"</formula>
    </cfRule>
    <cfRule type="cellIs" dxfId="7605" priority="11267" stopIfTrue="1" operator="equal">
      <formula>"Napkin Hs"</formula>
    </cfRule>
    <cfRule type="cellIs" dxfId="7604" priority="11272" stopIfTrue="1" operator="equal">
      <formula>"Towel"</formula>
    </cfRule>
    <cfRule type="cellIs" dxfId="7603" priority="11273" stopIfTrue="1" operator="equal">
      <formula>"Napkin Hs"</formula>
    </cfRule>
    <cfRule type="cellIs" dxfId="7602" priority="11274" stopIfTrue="1" operator="equal">
      <formula>"Towel"</formula>
    </cfRule>
    <cfRule type="cellIs" dxfId="7601" priority="11275" stopIfTrue="1" operator="equal">
      <formula>"Napkin Hs"</formula>
    </cfRule>
    <cfRule type="cellIs" dxfId="7600" priority="11278" stopIfTrue="1" operator="equal">
      <formula>"Towel"</formula>
    </cfRule>
    <cfRule type="cellIs" dxfId="7599" priority="11279" stopIfTrue="1" operator="equal">
      <formula>"Napkin Hs"</formula>
    </cfRule>
    <cfRule type="cellIs" dxfId="7598" priority="11280" stopIfTrue="1" operator="equal">
      <formula>"Towel"</formula>
    </cfRule>
    <cfRule type="cellIs" dxfId="7597" priority="11281" stopIfTrue="1" operator="equal">
      <formula>"Napkin Hs"</formula>
    </cfRule>
    <cfRule type="cellIs" dxfId="7596" priority="11282" stopIfTrue="1" operator="equal">
      <formula>"Towel"</formula>
    </cfRule>
    <cfRule type="cellIs" dxfId="7595" priority="11283" stopIfTrue="1" operator="equal">
      <formula>"Napkin Hs"</formula>
    </cfRule>
    <cfRule type="cellIs" dxfId="7594" priority="11284" stopIfTrue="1" operator="equal">
      <formula>"Towel"</formula>
    </cfRule>
    <cfRule type="cellIs" dxfId="7593" priority="11285" stopIfTrue="1" operator="equal">
      <formula>"Napkin Hs"</formula>
    </cfRule>
    <cfRule type="cellIs" dxfId="7592" priority="11288" stopIfTrue="1" operator="equal">
      <formula>"Towel"</formula>
    </cfRule>
    <cfRule type="cellIs" dxfId="7591" priority="11289" stopIfTrue="1" operator="equal">
      <formula>"Napkin Hs"</formula>
    </cfRule>
    <cfRule type="cellIs" dxfId="7590" priority="11290" stopIfTrue="1" operator="equal">
      <formula>"Towel"</formula>
    </cfRule>
    <cfRule type="cellIs" dxfId="7589" priority="11291" stopIfTrue="1" operator="equal">
      <formula>"Napkin Hs"</formula>
    </cfRule>
    <cfRule type="cellIs" dxfId="7588" priority="11296" stopIfTrue="1" operator="equal">
      <formula>"Towel"</formula>
    </cfRule>
    <cfRule type="cellIs" dxfId="7587" priority="11297" stopIfTrue="1" operator="equal">
      <formula>"Napkin Hs"</formula>
    </cfRule>
    <cfRule type="cellIs" dxfId="7586" priority="11298" stopIfTrue="1" operator="equal">
      <formula>"Towel"</formula>
    </cfRule>
    <cfRule type="cellIs" dxfId="7585" priority="11299" stopIfTrue="1" operator="equal">
      <formula>"Napkin Hs"</formula>
    </cfRule>
    <cfRule type="cellIs" dxfId="7584" priority="11302" stopIfTrue="1" operator="equal">
      <formula>"Towel"</formula>
    </cfRule>
    <cfRule type="cellIs" dxfId="7583" priority="11303" stopIfTrue="1" operator="equal">
      <formula>"Napkin Hs"</formula>
    </cfRule>
    <cfRule type="cellIs" dxfId="7582" priority="11304" stopIfTrue="1" operator="equal">
      <formula>"Towel"</formula>
    </cfRule>
    <cfRule type="cellIs" dxfId="7581" priority="11305" stopIfTrue="1" operator="equal">
      <formula>"Napkin Hs"</formula>
    </cfRule>
    <cfRule type="cellIs" dxfId="7580" priority="11306" stopIfTrue="1" operator="equal">
      <formula>"Towel"</formula>
    </cfRule>
    <cfRule type="cellIs" dxfId="7579" priority="11307" stopIfTrue="1" operator="equal">
      <formula>"Napkin Hs"</formula>
    </cfRule>
    <cfRule type="cellIs" dxfId="7578" priority="11308" stopIfTrue="1" operator="equal">
      <formula>"Towel"</formula>
    </cfRule>
    <cfRule type="cellIs" dxfId="7577" priority="11309" stopIfTrue="1" operator="equal">
      <formula>"Napkin Hs"</formula>
    </cfRule>
    <cfRule type="cellIs" dxfId="7576" priority="11314" stopIfTrue="1" operator="equal">
      <formula>"Towel"</formula>
    </cfRule>
    <cfRule type="cellIs" dxfId="7575" priority="11315" stopIfTrue="1" operator="equal">
      <formula>"Napkin Hs"</formula>
    </cfRule>
    <cfRule type="cellIs" dxfId="7574" priority="11316" stopIfTrue="1" operator="equal">
      <formula>"Towel"</formula>
    </cfRule>
    <cfRule type="cellIs" dxfId="7573" priority="11317" stopIfTrue="1" operator="equal">
      <formula>"Napkin Hs"</formula>
    </cfRule>
    <cfRule type="cellIs" dxfId="7572" priority="11320" stopIfTrue="1" operator="equal">
      <formula>"Towel"</formula>
    </cfRule>
    <cfRule type="cellIs" dxfId="7571" priority="11321" stopIfTrue="1" operator="equal">
      <formula>"Napkin Hs"</formula>
    </cfRule>
    <cfRule type="cellIs" dxfId="7570" priority="11322" stopIfTrue="1" operator="equal">
      <formula>"Towel"</formula>
    </cfRule>
    <cfRule type="cellIs" dxfId="7569" priority="11323" stopIfTrue="1" operator="equal">
      <formula>"Napkin Hs"</formula>
    </cfRule>
    <cfRule type="cellIs" dxfId="7568" priority="11324" stopIfTrue="1" operator="equal">
      <formula>"Towel"</formula>
    </cfRule>
    <cfRule type="cellIs" dxfId="7567" priority="11325" stopIfTrue="1" operator="equal">
      <formula>"Napkin Hs"</formula>
    </cfRule>
    <cfRule type="cellIs" dxfId="7566" priority="11326" stopIfTrue="1" operator="equal">
      <formula>"Towel"</formula>
    </cfRule>
    <cfRule type="cellIs" dxfId="7565" priority="11327" stopIfTrue="1" operator="equal">
      <formula>"Napkin Hs"</formula>
    </cfRule>
    <cfRule type="cellIs" dxfId="7564" priority="11332" stopIfTrue="1" operator="equal">
      <formula>"Towel"</formula>
    </cfRule>
    <cfRule type="cellIs" dxfId="7563" priority="11333" stopIfTrue="1" operator="equal">
      <formula>"Napkin Hs"</formula>
    </cfRule>
    <cfRule type="cellIs" dxfId="7562" priority="11334" stopIfTrue="1" operator="equal">
      <formula>"Towel"</formula>
    </cfRule>
    <cfRule type="cellIs" dxfId="7561" priority="11335" stopIfTrue="1" operator="equal">
      <formula>"Napkin Hs"</formula>
    </cfRule>
    <cfRule type="cellIs" dxfId="7560" priority="11338" stopIfTrue="1" operator="equal">
      <formula>"Towel"</formula>
    </cfRule>
    <cfRule type="cellIs" dxfId="7559" priority="11339" stopIfTrue="1" operator="equal">
      <formula>"Napkin Hs"</formula>
    </cfRule>
    <cfRule type="cellIs" dxfId="7558" priority="11340" stopIfTrue="1" operator="equal">
      <formula>"Towel"</formula>
    </cfRule>
    <cfRule type="cellIs" dxfId="7557" priority="11341" stopIfTrue="1" operator="equal">
      <formula>"Napkin Hs"</formula>
    </cfRule>
  </conditionalFormatting>
  <conditionalFormatting sqref="C87">
    <cfRule type="cellIs" dxfId="7556" priority="11245" stopIfTrue="1" operator="equal">
      <formula>"Napkin Hs"</formula>
    </cfRule>
  </conditionalFormatting>
  <conditionalFormatting sqref="C87">
    <cfRule type="cellIs" dxfId="7555" priority="11244" stopIfTrue="1" operator="equal">
      <formula>"Napkin Hs"</formula>
    </cfRule>
  </conditionalFormatting>
  <conditionalFormatting sqref="C87">
    <cfRule type="cellIs" dxfId="7554" priority="11243" stopIfTrue="1" operator="equal">
      <formula>"Napkin Hs"</formula>
    </cfRule>
  </conditionalFormatting>
  <conditionalFormatting sqref="C87">
    <cfRule type="cellIs" dxfId="7553" priority="11242" stopIfTrue="1" operator="equal">
      <formula>"Napkin Hs"</formula>
    </cfRule>
  </conditionalFormatting>
  <conditionalFormatting sqref="C87">
    <cfRule type="cellIs" dxfId="7552" priority="11241" stopIfTrue="1" operator="equal">
      <formula>"Napkin Hs"</formula>
    </cfRule>
  </conditionalFormatting>
  <conditionalFormatting sqref="C87">
    <cfRule type="cellIs" dxfId="7551" priority="11240" stopIfTrue="1" operator="equal">
      <formula>"Napkin Hs"</formula>
    </cfRule>
  </conditionalFormatting>
  <conditionalFormatting sqref="C87">
    <cfRule type="cellIs" dxfId="7550" priority="11236" stopIfTrue="1" operator="equal">
      <formula>"Towel"</formula>
    </cfRule>
    <cfRule type="cellIs" dxfId="7549" priority="11237" stopIfTrue="1" operator="equal">
      <formula>"Napkin Hs"</formula>
    </cfRule>
  </conditionalFormatting>
  <conditionalFormatting sqref="C87">
    <cfRule type="cellIs" dxfId="7548" priority="11238" stopIfTrue="1" operator="equal">
      <formula>"Towel"</formula>
    </cfRule>
    <cfRule type="cellIs" dxfId="7547" priority="11239" stopIfTrue="1" operator="equal">
      <formula>"Napkin Hs"</formula>
    </cfRule>
  </conditionalFormatting>
  <conditionalFormatting sqref="C87">
    <cfRule type="cellIs" dxfId="7546" priority="11232" stopIfTrue="1" operator="equal">
      <formula>"Towel"</formula>
    </cfRule>
    <cfRule type="cellIs" dxfId="7545" priority="11233" stopIfTrue="1" operator="equal">
      <formula>"Napkin Hs"</formula>
    </cfRule>
  </conditionalFormatting>
  <conditionalFormatting sqref="C87">
    <cfRule type="cellIs" dxfId="7544" priority="11234" stopIfTrue="1" operator="equal">
      <formula>"Towel"</formula>
    </cfRule>
    <cfRule type="cellIs" dxfId="7543" priority="11235" stopIfTrue="1" operator="equal">
      <formula>"Napkin Hs"</formula>
    </cfRule>
  </conditionalFormatting>
  <conditionalFormatting sqref="B87">
    <cfRule type="cellIs" dxfId="7542" priority="11230" stopIfTrue="1" operator="equal">
      <formula>"Towel"</formula>
    </cfRule>
    <cfRule type="cellIs" dxfId="7541" priority="11231" stopIfTrue="1" operator="equal">
      <formula>"Napkin Hs"</formula>
    </cfRule>
  </conditionalFormatting>
  <conditionalFormatting sqref="B87">
    <cfRule type="cellIs" dxfId="7540" priority="11228" stopIfTrue="1" operator="equal">
      <formula>"Towel"</formula>
    </cfRule>
    <cfRule type="cellIs" dxfId="7539" priority="11229" stopIfTrue="1" operator="equal">
      <formula>"Napkin Hs"</formula>
    </cfRule>
  </conditionalFormatting>
  <conditionalFormatting sqref="B87">
    <cfRule type="cellIs" dxfId="7538" priority="11226" stopIfTrue="1" operator="equal">
      <formula>"Towel"</formula>
    </cfRule>
    <cfRule type="cellIs" dxfId="7537" priority="11227" stopIfTrue="1" operator="equal">
      <formula>"Napkin Hs"</formula>
    </cfRule>
  </conditionalFormatting>
  <conditionalFormatting sqref="B87">
    <cfRule type="cellIs" dxfId="7536" priority="11218" stopIfTrue="1" operator="equal">
      <formula>"Towel"</formula>
    </cfRule>
  </conditionalFormatting>
  <conditionalFormatting sqref="B87">
    <cfRule type="cellIs" dxfId="7535" priority="11219" stopIfTrue="1" operator="equal">
      <formula>"Napkin Hs"</formula>
    </cfRule>
    <cfRule type="cellIs" dxfId="7534" priority="11220" stopIfTrue="1" operator="equal">
      <formula>"Towel"</formula>
    </cfRule>
    <cfRule type="cellIs" dxfId="7533" priority="11221" stopIfTrue="1" operator="equal">
      <formula>"Napkin Hs"</formula>
    </cfRule>
    <cfRule type="cellIs" dxfId="7532" priority="11222" stopIfTrue="1" operator="equal">
      <formula>"Towel"</formula>
    </cfRule>
    <cfRule type="cellIs" dxfId="7531" priority="11223" stopIfTrue="1" operator="equal">
      <formula>"Napkin Hs"</formula>
    </cfRule>
    <cfRule type="cellIs" dxfId="7530" priority="11224" stopIfTrue="1" operator="equal">
      <formula>"Towel"</formula>
    </cfRule>
    <cfRule type="cellIs" dxfId="7529" priority="11225" stopIfTrue="1" operator="equal">
      <formula>"Napkin Hs"</formula>
    </cfRule>
  </conditionalFormatting>
  <conditionalFormatting sqref="B87">
    <cfRule type="cellIs" dxfId="7528" priority="11216" stopIfTrue="1" operator="equal">
      <formula>"Towel"</formula>
    </cfRule>
    <cfRule type="cellIs" dxfId="7527" priority="11217" stopIfTrue="1" operator="equal">
      <formula>"Napkin Hs"</formula>
    </cfRule>
  </conditionalFormatting>
  <conditionalFormatting sqref="B87">
    <cfRule type="cellIs" dxfId="7526" priority="11185" stopIfTrue="1" operator="equal">
      <formula>"Napkin Hs"</formula>
    </cfRule>
  </conditionalFormatting>
  <conditionalFormatting sqref="B87">
    <cfRule type="cellIs" dxfId="7525" priority="11184" stopIfTrue="1" operator="equal">
      <formula>"Towel"</formula>
    </cfRule>
  </conditionalFormatting>
  <conditionalFormatting sqref="B87">
    <cfRule type="cellIs" dxfId="7524" priority="11186" stopIfTrue="1" operator="equal">
      <formula>"Towel"</formula>
    </cfRule>
    <cfRule type="cellIs" dxfId="7523" priority="11187" stopIfTrue="1" operator="equal">
      <formula>"Napkin Hs"</formula>
    </cfRule>
    <cfRule type="cellIs" dxfId="7522" priority="11188" stopIfTrue="1" operator="equal">
      <formula>"Towel"</formula>
    </cfRule>
    <cfRule type="cellIs" dxfId="7521" priority="11189" stopIfTrue="1" operator="equal">
      <formula>"Napkin Hs"</formula>
    </cfRule>
    <cfRule type="cellIs" dxfId="7520" priority="11190" stopIfTrue="1" operator="equal">
      <formula>"Towel"</formula>
    </cfRule>
    <cfRule type="cellIs" dxfId="7519" priority="11191" stopIfTrue="1" operator="equal">
      <formula>"Napkin Hs"</formula>
    </cfRule>
    <cfRule type="cellIs" dxfId="7518" priority="11192" stopIfTrue="1" operator="equal">
      <formula>"Towel"</formula>
    </cfRule>
    <cfRule type="cellIs" dxfId="7517" priority="11193" stopIfTrue="1" operator="equal">
      <formula>"Napkin Hs"</formula>
    </cfRule>
    <cfRule type="cellIs" dxfId="7516" priority="11194" stopIfTrue="1" operator="equal">
      <formula>"Towel"</formula>
    </cfRule>
    <cfRule type="cellIs" dxfId="7515" priority="11195" stopIfTrue="1" operator="equal">
      <formula>"Napkin Hs"</formula>
    </cfRule>
    <cfRule type="cellIs" dxfId="7514" priority="11196" stopIfTrue="1" operator="equal">
      <formula>"Towel"</formula>
    </cfRule>
    <cfRule type="cellIs" dxfId="7513" priority="11197" stopIfTrue="1" operator="equal">
      <formula>"Napkin Hs"</formula>
    </cfRule>
    <cfRule type="cellIs" dxfId="7512" priority="11198" stopIfTrue="1" operator="equal">
      <formula>"Towel"</formula>
    </cfRule>
    <cfRule type="cellIs" dxfId="7511" priority="11199" stopIfTrue="1" operator="equal">
      <formula>"Napkin Hs"</formula>
    </cfRule>
    <cfRule type="cellIs" dxfId="7510" priority="11200" stopIfTrue="1" operator="equal">
      <formula>"Towel"</formula>
    </cfRule>
    <cfRule type="cellIs" dxfId="7509" priority="11201" stopIfTrue="1" operator="equal">
      <formula>"Napkin Hs"</formula>
    </cfRule>
    <cfRule type="cellIs" dxfId="7508" priority="11202" stopIfTrue="1" operator="equal">
      <formula>"Towel"</formula>
    </cfRule>
    <cfRule type="cellIs" dxfId="7507" priority="11203" stopIfTrue="1" operator="equal">
      <formula>"Napkin Hs"</formula>
    </cfRule>
    <cfRule type="cellIs" dxfId="7506" priority="11204" stopIfTrue="1" operator="equal">
      <formula>"Towel"</formula>
    </cfRule>
    <cfRule type="cellIs" dxfId="7505" priority="11205" stopIfTrue="1" operator="equal">
      <formula>"Napkin Hs"</formula>
    </cfRule>
    <cfRule type="cellIs" dxfId="7504" priority="11206" stopIfTrue="1" operator="equal">
      <formula>"Towel"</formula>
    </cfRule>
    <cfRule type="cellIs" dxfId="7503" priority="11207" stopIfTrue="1" operator="equal">
      <formula>"Napkin Hs"</formula>
    </cfRule>
    <cfRule type="cellIs" dxfId="7502" priority="11208" stopIfTrue="1" operator="equal">
      <formula>"Towel"</formula>
    </cfRule>
    <cfRule type="cellIs" dxfId="7501" priority="11209" stopIfTrue="1" operator="equal">
      <formula>"Napkin Hs"</formula>
    </cfRule>
    <cfRule type="cellIs" dxfId="7500" priority="11210" stopIfTrue="1" operator="equal">
      <formula>"Towel"</formula>
    </cfRule>
    <cfRule type="cellIs" dxfId="7499" priority="11211" stopIfTrue="1" operator="equal">
      <formula>"Napkin Hs"</formula>
    </cfRule>
    <cfRule type="cellIs" dxfId="7498" priority="11212" stopIfTrue="1" operator="equal">
      <formula>"Towel"</formula>
    </cfRule>
    <cfRule type="cellIs" dxfId="7497" priority="11213" stopIfTrue="1" operator="equal">
      <formula>"Napkin Hs"</formula>
    </cfRule>
    <cfRule type="cellIs" dxfId="7496" priority="11215" stopIfTrue="1" operator="equal">
      <formula>"Napkin Hs"</formula>
    </cfRule>
  </conditionalFormatting>
  <conditionalFormatting sqref="B87">
    <cfRule type="cellIs" dxfId="7495" priority="11214" stopIfTrue="1" operator="equal">
      <formula>"Towel"</formula>
    </cfRule>
  </conditionalFormatting>
  <conditionalFormatting sqref="B87">
    <cfRule type="cellIs" dxfId="7494" priority="11183" stopIfTrue="1" operator="equal">
      <formula>"Napkin Hs"</formula>
    </cfRule>
  </conditionalFormatting>
  <conditionalFormatting sqref="B87">
    <cfRule type="cellIs" dxfId="7493" priority="11182" stopIfTrue="1" operator="equal">
      <formula>"Napkin Hs"</formula>
    </cfRule>
  </conditionalFormatting>
  <conditionalFormatting sqref="B87">
    <cfRule type="cellIs" dxfId="7492" priority="11181" stopIfTrue="1" operator="equal">
      <formula>"Napkin Hs"</formula>
    </cfRule>
  </conditionalFormatting>
  <conditionalFormatting sqref="C88">
    <cfRule type="cellIs" dxfId="7491" priority="11180" stopIfTrue="1" operator="equal">
      <formula>"Napkin Hs"</formula>
    </cfRule>
  </conditionalFormatting>
  <conditionalFormatting sqref="C88">
    <cfRule type="cellIs" dxfId="7490" priority="11179" stopIfTrue="1" operator="equal">
      <formula>"Napkin Hs"</formula>
    </cfRule>
  </conditionalFormatting>
  <conditionalFormatting sqref="B88">
    <cfRule type="cellIs" dxfId="7489" priority="11178" stopIfTrue="1" operator="equal">
      <formula>"Napkin Hs"</formula>
    </cfRule>
  </conditionalFormatting>
  <conditionalFormatting sqref="C88">
    <cfRule type="cellIs" dxfId="7488" priority="11177" stopIfTrue="1" operator="equal">
      <formula>"Napkin Hs"</formula>
    </cfRule>
  </conditionalFormatting>
  <conditionalFormatting sqref="C88">
    <cfRule type="cellIs" dxfId="7487" priority="11176" stopIfTrue="1" operator="equal">
      <formula>"Napkin Hs"</formula>
    </cfRule>
  </conditionalFormatting>
  <conditionalFormatting sqref="C88">
    <cfRule type="cellIs" dxfId="7486" priority="11175" stopIfTrue="1" operator="equal">
      <formula>"Napkin Hs"</formula>
    </cfRule>
  </conditionalFormatting>
  <conditionalFormatting sqref="C88">
    <cfRule type="cellIs" dxfId="7485" priority="11174" stopIfTrue="1" operator="equal">
      <formula>"Napkin Hs"</formula>
    </cfRule>
  </conditionalFormatting>
  <conditionalFormatting sqref="B88">
    <cfRule type="cellIs" dxfId="7484" priority="11173" stopIfTrue="1" operator="equal">
      <formula>"Napkin Hs"</formula>
    </cfRule>
  </conditionalFormatting>
  <conditionalFormatting sqref="B88">
    <cfRule type="cellIs" dxfId="7483" priority="11172" stopIfTrue="1" operator="equal">
      <formula>"Napkin Hs"</formula>
    </cfRule>
  </conditionalFormatting>
  <conditionalFormatting sqref="C96">
    <cfRule type="cellIs" dxfId="7482" priority="11164" stopIfTrue="1" operator="equal">
      <formula>"Towel"</formula>
    </cfRule>
    <cfRule type="cellIs" dxfId="7481" priority="11165" stopIfTrue="1" operator="equal">
      <formula>"Napkin Hs"</formula>
    </cfRule>
  </conditionalFormatting>
  <conditionalFormatting sqref="C96">
    <cfRule type="cellIs" dxfId="7480" priority="11162" stopIfTrue="1" operator="equal">
      <formula>"Towel"</formula>
    </cfRule>
    <cfRule type="cellIs" dxfId="7479" priority="11163" stopIfTrue="1" operator="equal">
      <formula>"Napkin Hs"</formula>
    </cfRule>
  </conditionalFormatting>
  <conditionalFormatting sqref="B96:C96">
    <cfRule type="cellIs" dxfId="7478" priority="11160" stopIfTrue="1" operator="equal">
      <formula>"Towel"</formula>
    </cfRule>
    <cfRule type="cellIs" dxfId="7477" priority="11161" stopIfTrue="1" operator="equal">
      <formula>"Napkin Hs"</formula>
    </cfRule>
  </conditionalFormatting>
  <conditionalFormatting sqref="B96:C96">
    <cfRule type="cellIs" dxfId="7476" priority="11170" stopIfTrue="1" operator="equal">
      <formula>"Towel"</formula>
    </cfRule>
    <cfRule type="cellIs" dxfId="7475" priority="11171" stopIfTrue="1" operator="equal">
      <formula>"Napkin Hs"</formula>
    </cfRule>
  </conditionalFormatting>
  <conditionalFormatting sqref="C96">
    <cfRule type="cellIs" dxfId="7474" priority="11168" stopIfTrue="1" operator="equal">
      <formula>"Towel"</formula>
    </cfRule>
    <cfRule type="cellIs" dxfId="7473" priority="11169" stopIfTrue="1" operator="equal">
      <formula>"Napkin Hs"</formula>
    </cfRule>
  </conditionalFormatting>
  <conditionalFormatting sqref="C96">
    <cfRule type="cellIs" dxfId="7472" priority="11166" stopIfTrue="1" operator="equal">
      <formula>"Towel"</formula>
    </cfRule>
    <cfRule type="cellIs" dxfId="7471" priority="11167" stopIfTrue="1" operator="equal">
      <formula>"Napkin Hs"</formula>
    </cfRule>
  </conditionalFormatting>
  <conditionalFormatting sqref="C96">
    <cfRule type="cellIs" dxfId="7470" priority="11158" stopIfTrue="1" operator="equal">
      <formula>"Towel"</formula>
    </cfRule>
    <cfRule type="cellIs" dxfId="7469" priority="11159" stopIfTrue="1" operator="equal">
      <formula>"Napkin Hs"</formula>
    </cfRule>
  </conditionalFormatting>
  <conditionalFormatting sqref="C96">
    <cfRule type="cellIs" dxfId="7468" priority="11156" stopIfTrue="1" operator="equal">
      <formula>"Towel"</formula>
    </cfRule>
    <cfRule type="cellIs" dxfId="7467" priority="11157" stopIfTrue="1" operator="equal">
      <formula>"Napkin Hs"</formula>
    </cfRule>
  </conditionalFormatting>
  <conditionalFormatting sqref="B96:C96">
    <cfRule type="cellIs" dxfId="7466" priority="11154" stopIfTrue="1" operator="equal">
      <formula>"Towel"</formula>
    </cfRule>
    <cfRule type="cellIs" dxfId="7465" priority="11155" stopIfTrue="1" operator="equal">
      <formula>"Napkin Hs"</formula>
    </cfRule>
  </conditionalFormatting>
  <conditionalFormatting sqref="C95">
    <cfRule type="cellIs" dxfId="7464" priority="11150" stopIfTrue="1" operator="equal">
      <formula>"Towel"</formula>
    </cfRule>
    <cfRule type="cellIs" dxfId="7463" priority="11151" stopIfTrue="1" operator="equal">
      <formula>"Napkin Hs"</formula>
    </cfRule>
  </conditionalFormatting>
  <conditionalFormatting sqref="C95">
    <cfRule type="cellIs" dxfId="7462" priority="11152" stopIfTrue="1" operator="equal">
      <formula>"Towel"</formula>
    </cfRule>
    <cfRule type="cellIs" dxfId="7461" priority="11153" stopIfTrue="1" operator="equal">
      <formula>"Napkin Hs"</formula>
    </cfRule>
  </conditionalFormatting>
  <conditionalFormatting sqref="C95">
    <cfRule type="cellIs" dxfId="7460" priority="11148" stopIfTrue="1" operator="equal">
      <formula>"Towel"</formula>
    </cfRule>
    <cfRule type="cellIs" dxfId="7459" priority="11149" stopIfTrue="1" operator="equal">
      <formula>"Napkin Hs"</formula>
    </cfRule>
  </conditionalFormatting>
  <conditionalFormatting sqref="C95">
    <cfRule type="cellIs" dxfId="7458" priority="11142" stopIfTrue="1" operator="equal">
      <formula>"Towel"</formula>
    </cfRule>
    <cfRule type="cellIs" dxfId="7457" priority="11143" stopIfTrue="1" operator="equal">
      <formula>"Napkin Hs"</formula>
    </cfRule>
  </conditionalFormatting>
  <conditionalFormatting sqref="C95">
    <cfRule type="cellIs" dxfId="7456" priority="11144" stopIfTrue="1" operator="equal">
      <formula>"Towel"</formula>
    </cfRule>
    <cfRule type="cellIs" dxfId="7455" priority="11145" stopIfTrue="1" operator="equal">
      <formula>"Napkin Hs"</formula>
    </cfRule>
  </conditionalFormatting>
  <conditionalFormatting sqref="C95">
    <cfRule type="cellIs" dxfId="7454" priority="11146" stopIfTrue="1" operator="equal">
      <formula>"Towel"</formula>
    </cfRule>
    <cfRule type="cellIs" dxfId="7453" priority="11147" stopIfTrue="1" operator="equal">
      <formula>"Napkin Hs"</formula>
    </cfRule>
  </conditionalFormatting>
  <conditionalFormatting sqref="B95">
    <cfRule type="cellIs" dxfId="7452" priority="11140" stopIfTrue="1" operator="equal">
      <formula>"Towel"</formula>
    </cfRule>
    <cfRule type="cellIs" dxfId="7451" priority="11141" stopIfTrue="1" operator="equal">
      <formula>"Napkin Hs"</formula>
    </cfRule>
  </conditionalFormatting>
  <conditionalFormatting sqref="B95">
    <cfRule type="cellIs" dxfId="7450" priority="11138" stopIfTrue="1" operator="equal">
      <formula>"Towel"</formula>
    </cfRule>
    <cfRule type="cellIs" dxfId="7449" priority="11139" stopIfTrue="1" operator="equal">
      <formula>"Napkin Hs"</formula>
    </cfRule>
  </conditionalFormatting>
  <conditionalFormatting sqref="C94">
    <cfRule type="cellIs" dxfId="7448" priority="11130" stopIfTrue="1" operator="equal">
      <formula>"Towel"</formula>
    </cfRule>
    <cfRule type="cellIs" dxfId="7447" priority="11131" stopIfTrue="1" operator="equal">
      <formula>"Napkin Hs"</formula>
    </cfRule>
  </conditionalFormatting>
  <conditionalFormatting sqref="B94:C94">
    <cfRule type="cellIs" dxfId="7446" priority="11132" stopIfTrue="1" operator="equal">
      <formula>"Towel"</formula>
    </cfRule>
    <cfRule type="cellIs" dxfId="7445" priority="11133" stopIfTrue="1" operator="equal">
      <formula>"Napkin Hs"</formula>
    </cfRule>
  </conditionalFormatting>
  <conditionalFormatting sqref="C94">
    <cfRule type="cellIs" dxfId="7444" priority="11128" stopIfTrue="1" operator="equal">
      <formula>"Towel"</formula>
    </cfRule>
    <cfRule type="cellIs" dxfId="7443" priority="11129" stopIfTrue="1" operator="equal">
      <formula>"Napkin Hs"</formula>
    </cfRule>
  </conditionalFormatting>
  <conditionalFormatting sqref="B94:C94">
    <cfRule type="cellIs" dxfId="7442" priority="11126" stopIfTrue="1" operator="equal">
      <formula>"Towel"</formula>
    </cfRule>
    <cfRule type="cellIs" dxfId="7441" priority="11127" stopIfTrue="1" operator="equal">
      <formula>"Napkin Hs"</formula>
    </cfRule>
  </conditionalFormatting>
  <conditionalFormatting sqref="C94">
    <cfRule type="cellIs" dxfId="7440" priority="11134" stopIfTrue="1" operator="equal">
      <formula>"Towel"</formula>
    </cfRule>
    <cfRule type="cellIs" dxfId="7439" priority="11135" stopIfTrue="1" operator="equal">
      <formula>"Napkin Hs"</formula>
    </cfRule>
  </conditionalFormatting>
  <conditionalFormatting sqref="C94">
    <cfRule type="cellIs" dxfId="7438" priority="11136" stopIfTrue="1" operator="equal">
      <formula>"Towel"</formula>
    </cfRule>
    <cfRule type="cellIs" dxfId="7437" priority="11137" stopIfTrue="1" operator="equal">
      <formula>"Napkin Hs"</formula>
    </cfRule>
  </conditionalFormatting>
  <conditionalFormatting sqref="C94:C95">
    <cfRule type="cellIs" dxfId="7436" priority="11122" stopIfTrue="1" operator="equal">
      <formula>"Towel"</formula>
    </cfRule>
    <cfRule type="cellIs" dxfId="7435" priority="11123" stopIfTrue="1" operator="equal">
      <formula>"Napkin Hs"</formula>
    </cfRule>
  </conditionalFormatting>
  <conditionalFormatting sqref="C94:C95">
    <cfRule type="cellIs" dxfId="7434" priority="11124" stopIfTrue="1" operator="equal">
      <formula>"Towel"</formula>
    </cfRule>
    <cfRule type="cellIs" dxfId="7433" priority="11125" stopIfTrue="1" operator="equal">
      <formula>"Napkin Hs"</formula>
    </cfRule>
  </conditionalFormatting>
  <conditionalFormatting sqref="C94:C95">
    <cfRule type="cellIs" dxfId="7432" priority="11120" stopIfTrue="1" operator="equal">
      <formula>"Towel"</formula>
    </cfRule>
    <cfRule type="cellIs" dxfId="7431" priority="11121" stopIfTrue="1" operator="equal">
      <formula>"Napkin Hs"</formula>
    </cfRule>
  </conditionalFormatting>
  <conditionalFormatting sqref="B94:B95">
    <cfRule type="cellIs" dxfId="7430" priority="11118" stopIfTrue="1" operator="equal">
      <formula>"Towel"</formula>
    </cfRule>
    <cfRule type="cellIs" dxfId="7429" priority="11119" stopIfTrue="1" operator="equal">
      <formula>"Napkin Hs"</formula>
    </cfRule>
  </conditionalFormatting>
  <conditionalFormatting sqref="C94:C95">
    <cfRule type="cellIs" dxfId="7428" priority="11112" stopIfTrue="1" operator="equal">
      <formula>"Towel"</formula>
    </cfRule>
    <cfRule type="cellIs" dxfId="7427" priority="11113" stopIfTrue="1" operator="equal">
      <formula>"Napkin Hs"</formula>
    </cfRule>
  </conditionalFormatting>
  <conditionalFormatting sqref="C94:C95">
    <cfRule type="cellIs" dxfId="7426" priority="11116" stopIfTrue="1" operator="equal">
      <formula>"Towel"</formula>
    </cfRule>
    <cfRule type="cellIs" dxfId="7425" priority="11117" stopIfTrue="1" operator="equal">
      <formula>"Napkin Hs"</formula>
    </cfRule>
  </conditionalFormatting>
  <conditionalFormatting sqref="C94:C95">
    <cfRule type="cellIs" dxfId="7424" priority="11114" stopIfTrue="1" operator="equal">
      <formula>"Towel"</formula>
    </cfRule>
    <cfRule type="cellIs" dxfId="7423" priority="11115" stopIfTrue="1" operator="equal">
      <formula>"Napkin Hs"</formula>
    </cfRule>
  </conditionalFormatting>
  <conditionalFormatting sqref="C94:C95">
    <cfRule type="cellIs" dxfId="7422" priority="11106" stopIfTrue="1" operator="equal">
      <formula>"Towel"</formula>
    </cfRule>
    <cfRule type="cellIs" dxfId="7421" priority="11107" stopIfTrue="1" operator="equal">
      <formula>"Napkin Hs"</formula>
    </cfRule>
  </conditionalFormatting>
  <conditionalFormatting sqref="C94:C95">
    <cfRule type="cellIs" dxfId="7420" priority="11108" stopIfTrue="1" operator="equal">
      <formula>"Towel"</formula>
    </cfRule>
    <cfRule type="cellIs" dxfId="7419" priority="11109" stopIfTrue="1" operator="equal">
      <formula>"Napkin Hs"</formula>
    </cfRule>
  </conditionalFormatting>
  <conditionalFormatting sqref="C94:C95">
    <cfRule type="cellIs" dxfId="7418" priority="11110" stopIfTrue="1" operator="equal">
      <formula>"Towel"</formula>
    </cfRule>
    <cfRule type="cellIs" dxfId="7417" priority="11111" stopIfTrue="1" operator="equal">
      <formula>"Napkin Hs"</formula>
    </cfRule>
  </conditionalFormatting>
  <conditionalFormatting sqref="B94:C95">
    <cfRule type="cellIs" dxfId="7416" priority="11104" stopIfTrue="1" operator="equal">
      <formula>"Towel"</formula>
    </cfRule>
    <cfRule type="cellIs" dxfId="7415" priority="11105" stopIfTrue="1" operator="equal">
      <formula>"Napkin Hs"</formula>
    </cfRule>
  </conditionalFormatting>
  <conditionalFormatting sqref="B94:C95">
    <cfRule type="cellIs" dxfId="7414" priority="11102" stopIfTrue="1" operator="equal">
      <formula>"Towel"</formula>
    </cfRule>
    <cfRule type="cellIs" dxfId="7413" priority="11103" stopIfTrue="1" operator="equal">
      <formula>"Napkin Hs"</formula>
    </cfRule>
  </conditionalFormatting>
  <conditionalFormatting sqref="B94:C95">
    <cfRule type="cellIs" dxfId="7412" priority="11078" stopIfTrue="1" operator="equal">
      <formula>"Towel"</formula>
    </cfRule>
  </conditionalFormatting>
  <conditionalFormatting sqref="B94:C95">
    <cfRule type="cellIs" dxfId="7411" priority="11079" stopIfTrue="1" operator="equal">
      <formula>"Napkin Hs"</formula>
    </cfRule>
    <cfRule type="cellIs" dxfId="7410" priority="11084" stopIfTrue="1" operator="equal">
      <formula>"Towel"</formula>
    </cfRule>
    <cfRule type="cellIs" dxfId="7409" priority="11085" stopIfTrue="1" operator="equal">
      <formula>"Napkin Hs"</formula>
    </cfRule>
    <cfRule type="cellIs" dxfId="7408" priority="11094" stopIfTrue="1" operator="equal">
      <formula>"Towel"</formula>
    </cfRule>
    <cfRule type="cellIs" dxfId="7407" priority="11095" stopIfTrue="1" operator="equal">
      <formula>"Napkin Hs"</formula>
    </cfRule>
    <cfRule type="cellIs" dxfId="7406" priority="11100" stopIfTrue="1" operator="equal">
      <formula>"Towel"</formula>
    </cfRule>
    <cfRule type="cellIs" dxfId="7405" priority="11101" stopIfTrue="1" operator="equal">
      <formula>"Napkin Hs"</formula>
    </cfRule>
  </conditionalFormatting>
  <conditionalFormatting sqref="C94:C95">
    <cfRule type="cellIs" dxfId="7404" priority="11080" stopIfTrue="1" operator="equal">
      <formula>"Towel"</formula>
    </cfRule>
    <cfRule type="cellIs" dxfId="7403" priority="11081" stopIfTrue="1" operator="equal">
      <formula>"Napkin Hs"</formula>
    </cfRule>
    <cfRule type="cellIs" dxfId="7402" priority="11082" stopIfTrue="1" operator="equal">
      <formula>"Towel"</formula>
    </cfRule>
    <cfRule type="cellIs" dxfId="7401" priority="11083" stopIfTrue="1" operator="equal">
      <formula>"Napkin Hs"</formula>
    </cfRule>
    <cfRule type="cellIs" dxfId="7400" priority="11086" stopIfTrue="1" operator="equal">
      <formula>"Towel"</formula>
    </cfRule>
    <cfRule type="cellIs" dxfId="7399" priority="11087" stopIfTrue="1" operator="equal">
      <formula>"Napkin Hs"</formula>
    </cfRule>
    <cfRule type="cellIs" dxfId="7398" priority="11088" stopIfTrue="1" operator="equal">
      <formula>"Towel"</formula>
    </cfRule>
    <cfRule type="cellIs" dxfId="7397" priority="11089" stopIfTrue="1" operator="equal">
      <formula>"Napkin Hs"</formula>
    </cfRule>
    <cfRule type="cellIs" dxfId="7396" priority="11090" stopIfTrue="1" operator="equal">
      <formula>"Towel"</formula>
    </cfRule>
    <cfRule type="cellIs" dxfId="7395" priority="11091" stopIfTrue="1" operator="equal">
      <formula>"Napkin Hs"</formula>
    </cfRule>
    <cfRule type="cellIs" dxfId="7394" priority="11092" stopIfTrue="1" operator="equal">
      <formula>"Towel"</formula>
    </cfRule>
    <cfRule type="cellIs" dxfId="7393" priority="11093" stopIfTrue="1" operator="equal">
      <formula>"Napkin Hs"</formula>
    </cfRule>
    <cfRule type="cellIs" dxfId="7392" priority="11096" stopIfTrue="1" operator="equal">
      <formula>"Towel"</formula>
    </cfRule>
    <cfRule type="cellIs" dxfId="7391" priority="11097" stopIfTrue="1" operator="equal">
      <formula>"Napkin Hs"</formula>
    </cfRule>
    <cfRule type="cellIs" dxfId="7390" priority="11099" stopIfTrue="1" operator="equal">
      <formula>"Napkin Hs"</formula>
    </cfRule>
  </conditionalFormatting>
  <conditionalFormatting sqref="C94:C95">
    <cfRule type="cellIs" dxfId="7389" priority="11098" stopIfTrue="1" operator="equal">
      <formula>"Towel"</formula>
    </cfRule>
  </conditionalFormatting>
  <conditionalFormatting sqref="B94:C95">
    <cfRule type="cellIs" dxfId="7388" priority="11076" stopIfTrue="1" operator="equal">
      <formula>"Towel"</formula>
    </cfRule>
    <cfRule type="cellIs" dxfId="7387" priority="11077" stopIfTrue="1" operator="equal">
      <formula>"Napkin Hs"</formula>
    </cfRule>
  </conditionalFormatting>
  <conditionalFormatting sqref="C94:C95">
    <cfRule type="cellIs" dxfId="7386" priority="11075" stopIfTrue="1" operator="equal">
      <formula>"Napkin Hs"</formula>
    </cfRule>
  </conditionalFormatting>
  <conditionalFormatting sqref="C94:C95">
    <cfRule type="cellIs" dxfId="7385" priority="11074" stopIfTrue="1" operator="equal">
      <formula>"Towel"</formula>
    </cfRule>
  </conditionalFormatting>
  <conditionalFormatting sqref="C94:C95">
    <cfRule type="cellIs" dxfId="7384" priority="11072" stopIfTrue="1" operator="equal">
      <formula>"Towel"</formula>
    </cfRule>
  </conditionalFormatting>
  <conditionalFormatting sqref="C94:C95">
    <cfRule type="cellIs" dxfId="7383" priority="11073" stopIfTrue="1" operator="equal">
      <formula>"Napkin Hs"</formula>
    </cfRule>
  </conditionalFormatting>
  <conditionalFormatting sqref="B94:B95">
    <cfRule type="cellIs" dxfId="7382" priority="10976" stopIfTrue="1" operator="equal">
      <formula>"Napkin Hs"</formula>
    </cfRule>
  </conditionalFormatting>
  <conditionalFormatting sqref="B94:C95">
    <cfRule type="cellIs" dxfId="7381" priority="10975" stopIfTrue="1" operator="equal">
      <formula>"Towel"</formula>
    </cfRule>
  </conditionalFormatting>
  <conditionalFormatting sqref="B94:C95">
    <cfRule type="cellIs" dxfId="7380" priority="10986" stopIfTrue="1" operator="equal">
      <formula>"Towel"</formula>
    </cfRule>
    <cfRule type="cellIs" dxfId="7379" priority="10987" stopIfTrue="1" operator="equal">
      <formula>"Napkin Hs"</formula>
    </cfRule>
    <cfRule type="cellIs" dxfId="7378" priority="10992" stopIfTrue="1" operator="equal">
      <formula>"Towel"</formula>
    </cfRule>
    <cfRule type="cellIs" dxfId="7377" priority="10993" stopIfTrue="1" operator="equal">
      <formula>"Napkin Hs"</formula>
    </cfRule>
    <cfRule type="cellIs" dxfId="7376" priority="10998" stopIfTrue="1" operator="equal">
      <formula>"Towel"</formula>
    </cfRule>
    <cfRule type="cellIs" dxfId="7375" priority="10999" stopIfTrue="1" operator="equal">
      <formula>"Napkin Hs"</formula>
    </cfRule>
    <cfRule type="cellIs" dxfId="7374" priority="11000" stopIfTrue="1" operator="equal">
      <formula>"Towel"</formula>
    </cfRule>
    <cfRule type="cellIs" dxfId="7373" priority="11001" stopIfTrue="1" operator="equal">
      <formula>"Napkin Hs"</formula>
    </cfRule>
    <cfRule type="cellIs" dxfId="7372" priority="11006" stopIfTrue="1" operator="equal">
      <formula>"Towel"</formula>
    </cfRule>
    <cfRule type="cellIs" dxfId="7371" priority="11007" stopIfTrue="1" operator="equal">
      <formula>"Napkin Hs"</formula>
    </cfRule>
    <cfRule type="cellIs" dxfId="7370" priority="11016" stopIfTrue="1" operator="equal">
      <formula>"Towel"</formula>
    </cfRule>
    <cfRule type="cellIs" dxfId="7369" priority="11017" stopIfTrue="1" operator="equal">
      <formula>"Napkin Hs"</formula>
    </cfRule>
    <cfRule type="cellIs" dxfId="7368" priority="11022" stopIfTrue="1" operator="equal">
      <formula>"Towel"</formula>
    </cfRule>
    <cfRule type="cellIs" dxfId="7367" priority="11023" stopIfTrue="1" operator="equal">
      <formula>"Napkin Hs"</formula>
    </cfRule>
    <cfRule type="cellIs" dxfId="7366" priority="11024" stopIfTrue="1" operator="equal">
      <formula>"Towel"</formula>
    </cfRule>
    <cfRule type="cellIs" dxfId="7365" priority="11025" stopIfTrue="1" operator="equal">
      <formula>"Napkin Hs"</formula>
    </cfRule>
    <cfRule type="cellIs" dxfId="7364" priority="11030" stopIfTrue="1" operator="equal">
      <formula>"Towel"</formula>
    </cfRule>
    <cfRule type="cellIs" dxfId="7363" priority="11031" stopIfTrue="1" operator="equal">
      <formula>"Napkin Hs"</formula>
    </cfRule>
    <cfRule type="cellIs" dxfId="7362" priority="11040" stopIfTrue="1" operator="equal">
      <formula>"Towel"</formula>
    </cfRule>
    <cfRule type="cellIs" dxfId="7361" priority="11041" stopIfTrue="1" operator="equal">
      <formula>"Napkin Hs"</formula>
    </cfRule>
    <cfRule type="cellIs" dxfId="7360" priority="11042" stopIfTrue="1" operator="equal">
      <formula>"Towel"</formula>
    </cfRule>
    <cfRule type="cellIs" dxfId="7359" priority="11043" stopIfTrue="1" operator="equal">
      <formula>"Napkin Hs"</formula>
    </cfRule>
    <cfRule type="cellIs" dxfId="7358" priority="11048" stopIfTrue="1" operator="equal">
      <formula>"Towel"</formula>
    </cfRule>
    <cfRule type="cellIs" dxfId="7357" priority="11049" stopIfTrue="1" operator="equal">
      <formula>"Napkin Hs"</formula>
    </cfRule>
    <cfRule type="cellIs" dxfId="7356" priority="11058" stopIfTrue="1" operator="equal">
      <formula>"Towel"</formula>
    </cfRule>
    <cfRule type="cellIs" dxfId="7355" priority="11059" stopIfTrue="1" operator="equal">
      <formula>"Napkin Hs"</formula>
    </cfRule>
    <cfRule type="cellIs" dxfId="7354" priority="11060" stopIfTrue="1" operator="equal">
      <formula>"Towel"</formula>
    </cfRule>
    <cfRule type="cellIs" dxfId="7353" priority="11061" stopIfTrue="1" operator="equal">
      <formula>"Napkin Hs"</formula>
    </cfRule>
    <cfRule type="cellIs" dxfId="7352" priority="11067" stopIfTrue="1" operator="equal">
      <formula>"Napkin Hs"</formula>
    </cfRule>
  </conditionalFormatting>
  <conditionalFormatting sqref="B94:C95">
    <cfRule type="cellIs" dxfId="7351" priority="11066" stopIfTrue="1" operator="equal">
      <formula>"Towel"</formula>
    </cfRule>
  </conditionalFormatting>
  <conditionalFormatting sqref="C94:C95">
    <cfRule type="cellIs" dxfId="7350" priority="10977" stopIfTrue="1" operator="equal">
      <formula>"Napkin Hs"</formula>
    </cfRule>
    <cfRule type="cellIs" dxfId="7349" priority="10978" stopIfTrue="1" operator="equal">
      <formula>"Towel"</formula>
    </cfRule>
    <cfRule type="cellIs" dxfId="7348" priority="10979" stopIfTrue="1" operator="equal">
      <formula>"Napkin Hs"</formula>
    </cfRule>
    <cfRule type="cellIs" dxfId="7347" priority="10980" stopIfTrue="1" operator="equal">
      <formula>"Towel"</formula>
    </cfRule>
    <cfRule type="cellIs" dxfId="7346" priority="10981" stopIfTrue="1" operator="equal">
      <formula>"Napkin Hs"</formula>
    </cfRule>
    <cfRule type="cellIs" dxfId="7345" priority="10982" stopIfTrue="1" operator="equal">
      <formula>"Towel"</formula>
    </cfRule>
    <cfRule type="cellIs" dxfId="7344" priority="10983" stopIfTrue="1" operator="equal">
      <formula>"Napkin Hs"</formula>
    </cfRule>
    <cfRule type="cellIs" dxfId="7343" priority="10984" stopIfTrue="1" operator="equal">
      <formula>"Towel"</formula>
    </cfRule>
    <cfRule type="cellIs" dxfId="7342" priority="10985" stopIfTrue="1" operator="equal">
      <formula>"Napkin Hs"</formula>
    </cfRule>
    <cfRule type="cellIs" dxfId="7341" priority="10988" stopIfTrue="1" operator="equal">
      <formula>"Towel"</formula>
    </cfRule>
    <cfRule type="cellIs" dxfId="7340" priority="10989" stopIfTrue="1" operator="equal">
      <formula>"Napkin Hs"</formula>
    </cfRule>
    <cfRule type="cellIs" dxfId="7339" priority="10990" stopIfTrue="1" operator="equal">
      <formula>"Towel"</formula>
    </cfRule>
    <cfRule type="cellIs" dxfId="7338" priority="10991" stopIfTrue="1" operator="equal">
      <formula>"Napkin Hs"</formula>
    </cfRule>
    <cfRule type="cellIs" dxfId="7337" priority="10994" stopIfTrue="1" operator="equal">
      <formula>"Towel"</formula>
    </cfRule>
    <cfRule type="cellIs" dxfId="7336" priority="10995" stopIfTrue="1" operator="equal">
      <formula>"Napkin Hs"</formula>
    </cfRule>
    <cfRule type="cellIs" dxfId="7335" priority="10996" stopIfTrue="1" operator="equal">
      <formula>"Towel"</formula>
    </cfRule>
    <cfRule type="cellIs" dxfId="7334" priority="10997" stopIfTrue="1" operator="equal">
      <formula>"Napkin Hs"</formula>
    </cfRule>
    <cfRule type="cellIs" dxfId="7333" priority="11002" stopIfTrue="1" operator="equal">
      <formula>"Towel"</formula>
    </cfRule>
    <cfRule type="cellIs" dxfId="7332" priority="11003" stopIfTrue="1" operator="equal">
      <formula>"Napkin Hs"</formula>
    </cfRule>
    <cfRule type="cellIs" dxfId="7331" priority="11004" stopIfTrue="1" operator="equal">
      <formula>"Towel"</formula>
    </cfRule>
    <cfRule type="cellIs" dxfId="7330" priority="11005" stopIfTrue="1" operator="equal">
      <formula>"Napkin Hs"</formula>
    </cfRule>
    <cfRule type="cellIs" dxfId="7329" priority="11008" stopIfTrue="1" operator="equal">
      <formula>"Towel"</formula>
    </cfRule>
    <cfRule type="cellIs" dxfId="7328" priority="11009" stopIfTrue="1" operator="equal">
      <formula>"Napkin Hs"</formula>
    </cfRule>
    <cfRule type="cellIs" dxfId="7327" priority="11010" stopIfTrue="1" operator="equal">
      <formula>"Towel"</formula>
    </cfRule>
    <cfRule type="cellIs" dxfId="7326" priority="11011" stopIfTrue="1" operator="equal">
      <formula>"Napkin Hs"</formula>
    </cfRule>
    <cfRule type="cellIs" dxfId="7325" priority="11012" stopIfTrue="1" operator="equal">
      <formula>"Towel"</formula>
    </cfRule>
    <cfRule type="cellIs" dxfId="7324" priority="11013" stopIfTrue="1" operator="equal">
      <formula>"Napkin Hs"</formula>
    </cfRule>
    <cfRule type="cellIs" dxfId="7323" priority="11014" stopIfTrue="1" operator="equal">
      <formula>"Towel"</formula>
    </cfRule>
    <cfRule type="cellIs" dxfId="7322" priority="11015" stopIfTrue="1" operator="equal">
      <formula>"Napkin Hs"</formula>
    </cfRule>
    <cfRule type="cellIs" dxfId="7321" priority="11018" stopIfTrue="1" operator="equal">
      <formula>"Towel"</formula>
    </cfRule>
    <cfRule type="cellIs" dxfId="7320" priority="11019" stopIfTrue="1" operator="equal">
      <formula>"Napkin Hs"</formula>
    </cfRule>
    <cfRule type="cellIs" dxfId="7319" priority="11020" stopIfTrue="1" operator="equal">
      <formula>"Towel"</formula>
    </cfRule>
    <cfRule type="cellIs" dxfId="7318" priority="11021" stopIfTrue="1" operator="equal">
      <formula>"Napkin Hs"</formula>
    </cfRule>
    <cfRule type="cellIs" dxfId="7317" priority="11026" stopIfTrue="1" operator="equal">
      <formula>"Towel"</formula>
    </cfRule>
    <cfRule type="cellIs" dxfId="7316" priority="11027" stopIfTrue="1" operator="equal">
      <formula>"Napkin Hs"</formula>
    </cfRule>
    <cfRule type="cellIs" dxfId="7315" priority="11028" stopIfTrue="1" operator="equal">
      <formula>"Towel"</formula>
    </cfRule>
    <cfRule type="cellIs" dxfId="7314" priority="11029" stopIfTrue="1" operator="equal">
      <formula>"Napkin Hs"</formula>
    </cfRule>
    <cfRule type="cellIs" dxfId="7313" priority="11032" stopIfTrue="1" operator="equal">
      <formula>"Towel"</formula>
    </cfRule>
    <cfRule type="cellIs" dxfId="7312" priority="11033" stopIfTrue="1" operator="equal">
      <formula>"Napkin Hs"</formula>
    </cfRule>
    <cfRule type="cellIs" dxfId="7311" priority="11034" stopIfTrue="1" operator="equal">
      <formula>"Towel"</formula>
    </cfRule>
    <cfRule type="cellIs" dxfId="7310" priority="11035" stopIfTrue="1" operator="equal">
      <formula>"Napkin Hs"</formula>
    </cfRule>
    <cfRule type="cellIs" dxfId="7309" priority="11036" stopIfTrue="1" operator="equal">
      <formula>"Towel"</formula>
    </cfRule>
    <cfRule type="cellIs" dxfId="7308" priority="11037" stopIfTrue="1" operator="equal">
      <formula>"Napkin Hs"</formula>
    </cfRule>
    <cfRule type="cellIs" dxfId="7307" priority="11038" stopIfTrue="1" operator="equal">
      <formula>"Towel"</formula>
    </cfRule>
    <cfRule type="cellIs" dxfId="7306" priority="11039" stopIfTrue="1" operator="equal">
      <formula>"Napkin Hs"</formula>
    </cfRule>
    <cfRule type="cellIs" dxfId="7305" priority="11044" stopIfTrue="1" operator="equal">
      <formula>"Towel"</formula>
    </cfRule>
    <cfRule type="cellIs" dxfId="7304" priority="11045" stopIfTrue="1" operator="equal">
      <formula>"Napkin Hs"</formula>
    </cfRule>
    <cfRule type="cellIs" dxfId="7303" priority="11046" stopIfTrue="1" operator="equal">
      <formula>"Towel"</formula>
    </cfRule>
    <cfRule type="cellIs" dxfId="7302" priority="11047" stopIfTrue="1" operator="equal">
      <formula>"Napkin Hs"</formula>
    </cfRule>
    <cfRule type="cellIs" dxfId="7301" priority="11050" stopIfTrue="1" operator="equal">
      <formula>"Towel"</formula>
    </cfRule>
    <cfRule type="cellIs" dxfId="7300" priority="11051" stopIfTrue="1" operator="equal">
      <formula>"Napkin Hs"</formula>
    </cfRule>
    <cfRule type="cellIs" dxfId="7299" priority="11052" stopIfTrue="1" operator="equal">
      <formula>"Towel"</formula>
    </cfRule>
    <cfRule type="cellIs" dxfId="7298" priority="11053" stopIfTrue="1" operator="equal">
      <formula>"Napkin Hs"</formula>
    </cfRule>
    <cfRule type="cellIs" dxfId="7297" priority="11054" stopIfTrue="1" operator="equal">
      <formula>"Towel"</formula>
    </cfRule>
    <cfRule type="cellIs" dxfId="7296" priority="11055" stopIfTrue="1" operator="equal">
      <formula>"Napkin Hs"</formula>
    </cfRule>
    <cfRule type="cellIs" dxfId="7295" priority="11056" stopIfTrue="1" operator="equal">
      <formula>"Towel"</formula>
    </cfRule>
    <cfRule type="cellIs" dxfId="7294" priority="11057" stopIfTrue="1" operator="equal">
      <formula>"Napkin Hs"</formula>
    </cfRule>
    <cfRule type="cellIs" dxfId="7293" priority="11062" stopIfTrue="1" operator="equal">
      <formula>"Towel"</formula>
    </cfRule>
    <cfRule type="cellIs" dxfId="7292" priority="11063" stopIfTrue="1" operator="equal">
      <formula>"Napkin Hs"</formula>
    </cfRule>
    <cfRule type="cellIs" dxfId="7291" priority="11064" stopIfTrue="1" operator="equal">
      <formula>"Towel"</formula>
    </cfRule>
    <cfRule type="cellIs" dxfId="7290" priority="11065" stopIfTrue="1" operator="equal">
      <formula>"Napkin Hs"</formula>
    </cfRule>
    <cfRule type="cellIs" dxfId="7289" priority="11068" stopIfTrue="1" operator="equal">
      <formula>"Towel"</formula>
    </cfRule>
    <cfRule type="cellIs" dxfId="7288" priority="11069" stopIfTrue="1" operator="equal">
      <formula>"Napkin Hs"</formula>
    </cfRule>
    <cfRule type="cellIs" dxfId="7287" priority="11070" stopIfTrue="1" operator="equal">
      <formula>"Towel"</formula>
    </cfRule>
    <cfRule type="cellIs" dxfId="7286" priority="11071" stopIfTrue="1" operator="equal">
      <formula>"Napkin Hs"</formula>
    </cfRule>
  </conditionalFormatting>
  <conditionalFormatting sqref="C94:C95">
    <cfRule type="cellIs" dxfId="7285" priority="10974" stopIfTrue="1" operator="equal">
      <formula>"Napkin Hs"</formula>
    </cfRule>
  </conditionalFormatting>
  <conditionalFormatting sqref="C94:C95">
    <cfRule type="cellIs" dxfId="7284" priority="10973" stopIfTrue="1" operator="equal">
      <formula>"Napkin Hs"</formula>
    </cfRule>
  </conditionalFormatting>
  <conditionalFormatting sqref="B94:B95">
    <cfRule type="cellIs" dxfId="7283" priority="10972" stopIfTrue="1" operator="equal">
      <formula>"Napkin Hs"</formula>
    </cfRule>
  </conditionalFormatting>
  <conditionalFormatting sqref="C94:C95">
    <cfRule type="cellIs" dxfId="7282" priority="10971" stopIfTrue="1" operator="equal">
      <formula>"Napkin Hs"</formula>
    </cfRule>
  </conditionalFormatting>
  <conditionalFormatting sqref="C94:C95">
    <cfRule type="cellIs" dxfId="7281" priority="10970" stopIfTrue="1" operator="equal">
      <formula>"Napkin Hs"</formula>
    </cfRule>
  </conditionalFormatting>
  <conditionalFormatting sqref="C94:C95">
    <cfRule type="cellIs" dxfId="7280" priority="10969" stopIfTrue="1" operator="equal">
      <formula>"Napkin Hs"</formula>
    </cfRule>
  </conditionalFormatting>
  <conditionalFormatting sqref="C94:C95">
    <cfRule type="cellIs" dxfId="7279" priority="10968" stopIfTrue="1" operator="equal">
      <formula>"Napkin Hs"</formula>
    </cfRule>
  </conditionalFormatting>
  <conditionalFormatting sqref="B94:B95">
    <cfRule type="cellIs" dxfId="7278" priority="10967" stopIfTrue="1" operator="equal">
      <formula>"Napkin Hs"</formula>
    </cfRule>
  </conditionalFormatting>
  <conditionalFormatting sqref="B94:B95">
    <cfRule type="cellIs" dxfId="7277" priority="10966" stopIfTrue="1" operator="equal">
      <formula>"Napkin Hs"</formula>
    </cfRule>
  </conditionalFormatting>
  <conditionalFormatting sqref="C94:C95">
    <cfRule type="cellIs" dxfId="7276" priority="10962" stopIfTrue="1" operator="equal">
      <formula>"Towel"</formula>
    </cfRule>
    <cfRule type="cellIs" dxfId="7275" priority="10963" stopIfTrue="1" operator="equal">
      <formula>"Napkin Hs"</formula>
    </cfRule>
  </conditionalFormatting>
  <conditionalFormatting sqref="C94:C95">
    <cfRule type="cellIs" dxfId="7274" priority="10964" stopIfTrue="1" operator="equal">
      <formula>"Towel"</formula>
    </cfRule>
    <cfRule type="cellIs" dxfId="7273" priority="10965" stopIfTrue="1" operator="equal">
      <formula>"Napkin Hs"</formula>
    </cfRule>
  </conditionalFormatting>
  <conditionalFormatting sqref="C94:C95">
    <cfRule type="cellIs" dxfId="7272" priority="10958" stopIfTrue="1" operator="equal">
      <formula>"Towel"</formula>
    </cfRule>
    <cfRule type="cellIs" dxfId="7271" priority="10959" stopIfTrue="1" operator="equal">
      <formula>"Napkin Hs"</formula>
    </cfRule>
  </conditionalFormatting>
  <conditionalFormatting sqref="C94:C95">
    <cfRule type="cellIs" dxfId="7270" priority="10960" stopIfTrue="1" operator="equal">
      <formula>"Towel"</formula>
    </cfRule>
    <cfRule type="cellIs" dxfId="7269" priority="10961" stopIfTrue="1" operator="equal">
      <formula>"Napkin Hs"</formula>
    </cfRule>
  </conditionalFormatting>
  <conditionalFormatting sqref="C92">
    <cfRule type="cellIs" dxfId="7268" priority="10957" stopIfTrue="1" operator="equal">
      <formula>"Napkin Hs"</formula>
    </cfRule>
  </conditionalFormatting>
  <conditionalFormatting sqref="C92">
    <cfRule type="cellIs" dxfId="7267" priority="10956" stopIfTrue="1" operator="equal">
      <formula>"Napkin Hs"</formula>
    </cfRule>
  </conditionalFormatting>
  <conditionalFormatting sqref="B92:B93">
    <cfRule type="cellIs" dxfId="7266" priority="10955" stopIfTrue="1" operator="equal">
      <formula>"Napkin Hs"</formula>
    </cfRule>
  </conditionalFormatting>
  <conditionalFormatting sqref="C92">
    <cfRule type="cellIs" dxfId="7265" priority="10954" stopIfTrue="1" operator="equal">
      <formula>"Napkin Hs"</formula>
    </cfRule>
  </conditionalFormatting>
  <conditionalFormatting sqref="C92">
    <cfRule type="cellIs" dxfId="7264" priority="10953" stopIfTrue="1" operator="equal">
      <formula>"Napkin Hs"</formula>
    </cfRule>
  </conditionalFormatting>
  <conditionalFormatting sqref="C92">
    <cfRule type="cellIs" dxfId="7263" priority="10952" stopIfTrue="1" operator="equal">
      <formula>"Napkin Hs"</formula>
    </cfRule>
  </conditionalFormatting>
  <conditionalFormatting sqref="C92">
    <cfRule type="cellIs" dxfId="7262" priority="10951" stopIfTrue="1" operator="equal">
      <formula>"Napkin Hs"</formula>
    </cfRule>
  </conditionalFormatting>
  <conditionalFormatting sqref="B92:B93">
    <cfRule type="cellIs" dxfId="7261" priority="10950" stopIfTrue="1" operator="equal">
      <formula>"Napkin Hs"</formula>
    </cfRule>
  </conditionalFormatting>
  <conditionalFormatting sqref="B92:B93">
    <cfRule type="cellIs" dxfId="7260" priority="10949" stopIfTrue="1" operator="equal">
      <formula>"Napkin Hs"</formula>
    </cfRule>
  </conditionalFormatting>
  <conditionalFormatting sqref="C93">
    <cfRule type="cellIs" dxfId="7259" priority="10947" stopIfTrue="1" operator="equal">
      <formula>"Towel"</formula>
    </cfRule>
    <cfRule type="cellIs" dxfId="7258" priority="10948" stopIfTrue="1" operator="equal">
      <formula>"Napkin Hs"</formula>
    </cfRule>
  </conditionalFormatting>
  <conditionalFormatting sqref="C93">
    <cfRule type="cellIs" dxfId="7257" priority="10943" stopIfTrue="1" operator="equal">
      <formula>"Towel"</formula>
    </cfRule>
    <cfRule type="cellIs" dxfId="7256" priority="10944" stopIfTrue="1" operator="equal">
      <formula>"Napkin Hs"</formula>
    </cfRule>
  </conditionalFormatting>
  <conditionalFormatting sqref="C93">
    <cfRule type="cellIs" dxfId="7255" priority="10945" stopIfTrue="1" operator="equal">
      <formula>"Towel"</formula>
    </cfRule>
    <cfRule type="cellIs" dxfId="7254" priority="10946" stopIfTrue="1" operator="equal">
      <formula>"Napkin Hs"</formula>
    </cfRule>
  </conditionalFormatting>
  <conditionalFormatting sqref="C93">
    <cfRule type="cellIs" dxfId="7253" priority="10939" stopIfTrue="1" operator="equal">
      <formula>"Towel"</formula>
    </cfRule>
    <cfRule type="cellIs" dxfId="7252" priority="10940" stopIfTrue="1" operator="equal">
      <formula>"Napkin Hs"</formula>
    </cfRule>
  </conditionalFormatting>
  <conditionalFormatting sqref="C93">
    <cfRule type="cellIs" dxfId="7251" priority="10941" stopIfTrue="1" operator="equal">
      <formula>"Towel"</formula>
    </cfRule>
    <cfRule type="cellIs" dxfId="7250" priority="10942" stopIfTrue="1" operator="equal">
      <formula>"Napkin Hs"</formula>
    </cfRule>
  </conditionalFormatting>
  <conditionalFormatting sqref="C93">
    <cfRule type="cellIs" dxfId="7249" priority="10937" stopIfTrue="1" operator="equal">
      <formula>"Towel"</formula>
    </cfRule>
    <cfRule type="cellIs" dxfId="7248" priority="10938" stopIfTrue="1" operator="equal">
      <formula>"Napkin Hs"</formula>
    </cfRule>
  </conditionalFormatting>
  <conditionalFormatting sqref="C93">
    <cfRule type="cellIs" dxfId="7247" priority="10931" stopIfTrue="1" operator="equal">
      <formula>"Towel"</formula>
    </cfRule>
    <cfRule type="cellIs" dxfId="7246" priority="10932" stopIfTrue="1" operator="equal">
      <formula>"Napkin Hs"</formula>
    </cfRule>
  </conditionalFormatting>
  <conditionalFormatting sqref="C93">
    <cfRule type="cellIs" dxfId="7245" priority="10935" stopIfTrue="1" operator="equal">
      <formula>"Towel"</formula>
    </cfRule>
    <cfRule type="cellIs" dxfId="7244" priority="10936" stopIfTrue="1" operator="equal">
      <formula>"Napkin Hs"</formula>
    </cfRule>
  </conditionalFormatting>
  <conditionalFormatting sqref="C93">
    <cfRule type="cellIs" dxfId="7243" priority="10933" stopIfTrue="1" operator="equal">
      <formula>"Towel"</formula>
    </cfRule>
    <cfRule type="cellIs" dxfId="7242" priority="10934" stopIfTrue="1" operator="equal">
      <formula>"Napkin Hs"</formula>
    </cfRule>
  </conditionalFormatting>
  <conditionalFormatting sqref="C93">
    <cfRule type="cellIs" dxfId="7241" priority="10925" stopIfTrue="1" operator="equal">
      <formula>"Towel"</formula>
    </cfRule>
    <cfRule type="cellIs" dxfId="7240" priority="10926" stopIfTrue="1" operator="equal">
      <formula>"Napkin Hs"</formula>
    </cfRule>
  </conditionalFormatting>
  <conditionalFormatting sqref="C93">
    <cfRule type="cellIs" dxfId="7239" priority="10927" stopIfTrue="1" operator="equal">
      <formula>"Towel"</formula>
    </cfRule>
    <cfRule type="cellIs" dxfId="7238" priority="10928" stopIfTrue="1" operator="equal">
      <formula>"Napkin Hs"</formula>
    </cfRule>
  </conditionalFormatting>
  <conditionalFormatting sqref="C93">
    <cfRule type="cellIs" dxfId="7237" priority="10929" stopIfTrue="1" operator="equal">
      <formula>"Towel"</formula>
    </cfRule>
    <cfRule type="cellIs" dxfId="7236" priority="10930" stopIfTrue="1" operator="equal">
      <formula>"Napkin Hs"</formula>
    </cfRule>
  </conditionalFormatting>
  <conditionalFormatting sqref="C93">
    <cfRule type="cellIs" dxfId="7235" priority="10923" stopIfTrue="1" operator="equal">
      <formula>"Towel"</formula>
    </cfRule>
    <cfRule type="cellIs" dxfId="7234" priority="10924" stopIfTrue="1" operator="equal">
      <formula>"Napkin Hs"</formula>
    </cfRule>
  </conditionalFormatting>
  <conditionalFormatting sqref="C93">
    <cfRule type="cellIs" dxfId="7233" priority="10921" stopIfTrue="1" operator="equal">
      <formula>"Towel"</formula>
    </cfRule>
    <cfRule type="cellIs" dxfId="7232" priority="10922" stopIfTrue="1" operator="equal">
      <formula>"Napkin Hs"</formula>
    </cfRule>
  </conditionalFormatting>
  <conditionalFormatting sqref="C93">
    <cfRule type="cellIs" dxfId="7231" priority="10897" stopIfTrue="1" operator="equal">
      <formula>"Towel"</formula>
    </cfRule>
  </conditionalFormatting>
  <conditionalFormatting sqref="C93">
    <cfRule type="cellIs" dxfId="7230" priority="10898" stopIfTrue="1" operator="equal">
      <formula>"Napkin Hs"</formula>
    </cfRule>
    <cfRule type="cellIs" dxfId="7229" priority="10903" stopIfTrue="1" operator="equal">
      <formula>"Towel"</formula>
    </cfRule>
    <cfRule type="cellIs" dxfId="7228" priority="10904" stopIfTrue="1" operator="equal">
      <formula>"Napkin Hs"</formula>
    </cfRule>
    <cfRule type="cellIs" dxfId="7227" priority="10913" stopIfTrue="1" operator="equal">
      <formula>"Towel"</formula>
    </cfRule>
    <cfRule type="cellIs" dxfId="7226" priority="10914" stopIfTrue="1" operator="equal">
      <formula>"Napkin Hs"</formula>
    </cfRule>
    <cfRule type="cellIs" dxfId="7225" priority="10919" stopIfTrue="1" operator="equal">
      <formula>"Towel"</formula>
    </cfRule>
    <cfRule type="cellIs" dxfId="7224" priority="10920" stopIfTrue="1" operator="equal">
      <formula>"Napkin Hs"</formula>
    </cfRule>
  </conditionalFormatting>
  <conditionalFormatting sqref="C93">
    <cfRule type="cellIs" dxfId="7223" priority="10899" stopIfTrue="1" operator="equal">
      <formula>"Towel"</formula>
    </cfRule>
    <cfRule type="cellIs" dxfId="7222" priority="10900" stopIfTrue="1" operator="equal">
      <formula>"Napkin Hs"</formula>
    </cfRule>
    <cfRule type="cellIs" dxfId="7221" priority="10901" stopIfTrue="1" operator="equal">
      <formula>"Towel"</formula>
    </cfRule>
    <cfRule type="cellIs" dxfId="7220" priority="10902" stopIfTrue="1" operator="equal">
      <formula>"Napkin Hs"</formula>
    </cfRule>
    <cfRule type="cellIs" dxfId="7219" priority="10905" stopIfTrue="1" operator="equal">
      <formula>"Towel"</formula>
    </cfRule>
    <cfRule type="cellIs" dxfId="7218" priority="10906" stopIfTrue="1" operator="equal">
      <formula>"Napkin Hs"</formula>
    </cfRule>
    <cfRule type="cellIs" dxfId="7217" priority="10907" stopIfTrue="1" operator="equal">
      <formula>"Towel"</formula>
    </cfRule>
    <cfRule type="cellIs" dxfId="7216" priority="10908" stopIfTrue="1" operator="equal">
      <formula>"Napkin Hs"</formula>
    </cfRule>
    <cfRule type="cellIs" dxfId="7215" priority="10909" stopIfTrue="1" operator="equal">
      <formula>"Towel"</formula>
    </cfRule>
    <cfRule type="cellIs" dxfId="7214" priority="10910" stopIfTrue="1" operator="equal">
      <formula>"Napkin Hs"</formula>
    </cfRule>
    <cfRule type="cellIs" dxfId="7213" priority="10911" stopIfTrue="1" operator="equal">
      <formula>"Towel"</formula>
    </cfRule>
    <cfRule type="cellIs" dxfId="7212" priority="10912" stopIfTrue="1" operator="equal">
      <formula>"Napkin Hs"</formula>
    </cfRule>
    <cfRule type="cellIs" dxfId="7211" priority="10915" stopIfTrue="1" operator="equal">
      <formula>"Towel"</formula>
    </cfRule>
    <cfRule type="cellIs" dxfId="7210" priority="10916" stopIfTrue="1" operator="equal">
      <formula>"Napkin Hs"</formula>
    </cfRule>
    <cfRule type="cellIs" dxfId="7209" priority="10918" stopIfTrue="1" operator="equal">
      <formula>"Napkin Hs"</formula>
    </cfRule>
  </conditionalFormatting>
  <conditionalFormatting sqref="C93">
    <cfRule type="cellIs" dxfId="7208" priority="10917" stopIfTrue="1" operator="equal">
      <formula>"Towel"</formula>
    </cfRule>
  </conditionalFormatting>
  <conditionalFormatting sqref="C93">
    <cfRule type="cellIs" dxfId="7207" priority="10895" stopIfTrue="1" operator="equal">
      <formula>"Towel"</formula>
    </cfRule>
    <cfRule type="cellIs" dxfId="7206" priority="10896" stopIfTrue="1" operator="equal">
      <formula>"Napkin Hs"</formula>
    </cfRule>
  </conditionalFormatting>
  <conditionalFormatting sqref="C93">
    <cfRule type="cellIs" dxfId="7205" priority="10894" stopIfTrue="1" operator="equal">
      <formula>"Napkin Hs"</formula>
    </cfRule>
  </conditionalFormatting>
  <conditionalFormatting sqref="C93">
    <cfRule type="cellIs" dxfId="7204" priority="10893" stopIfTrue="1" operator="equal">
      <formula>"Towel"</formula>
    </cfRule>
  </conditionalFormatting>
  <conditionalFormatting sqref="C93">
    <cfRule type="cellIs" dxfId="7203" priority="10891" stopIfTrue="1" operator="equal">
      <formula>"Towel"</formula>
    </cfRule>
  </conditionalFormatting>
  <conditionalFormatting sqref="C93">
    <cfRule type="cellIs" dxfId="7202" priority="10892" stopIfTrue="1" operator="equal">
      <formula>"Napkin Hs"</formula>
    </cfRule>
  </conditionalFormatting>
  <conditionalFormatting sqref="C93">
    <cfRule type="cellIs" dxfId="7201" priority="10795" stopIfTrue="1" operator="equal">
      <formula>"Towel"</formula>
    </cfRule>
  </conditionalFormatting>
  <conditionalFormatting sqref="C93">
    <cfRule type="cellIs" dxfId="7200" priority="10805" stopIfTrue="1" operator="equal">
      <formula>"Towel"</formula>
    </cfRule>
    <cfRule type="cellIs" dxfId="7199" priority="10806" stopIfTrue="1" operator="equal">
      <formula>"Napkin Hs"</formula>
    </cfRule>
    <cfRule type="cellIs" dxfId="7198" priority="10811" stopIfTrue="1" operator="equal">
      <formula>"Towel"</formula>
    </cfRule>
    <cfRule type="cellIs" dxfId="7197" priority="10812" stopIfTrue="1" operator="equal">
      <formula>"Napkin Hs"</formula>
    </cfRule>
    <cfRule type="cellIs" dxfId="7196" priority="10817" stopIfTrue="1" operator="equal">
      <formula>"Towel"</formula>
    </cfRule>
    <cfRule type="cellIs" dxfId="7195" priority="10818" stopIfTrue="1" operator="equal">
      <formula>"Napkin Hs"</formula>
    </cfRule>
    <cfRule type="cellIs" dxfId="7194" priority="10819" stopIfTrue="1" operator="equal">
      <formula>"Towel"</formula>
    </cfRule>
    <cfRule type="cellIs" dxfId="7193" priority="10820" stopIfTrue="1" operator="equal">
      <formula>"Napkin Hs"</formula>
    </cfRule>
    <cfRule type="cellIs" dxfId="7192" priority="10825" stopIfTrue="1" operator="equal">
      <formula>"Towel"</formula>
    </cfRule>
    <cfRule type="cellIs" dxfId="7191" priority="10826" stopIfTrue="1" operator="equal">
      <formula>"Napkin Hs"</formula>
    </cfRule>
    <cfRule type="cellIs" dxfId="7190" priority="10835" stopIfTrue="1" operator="equal">
      <formula>"Towel"</formula>
    </cfRule>
    <cfRule type="cellIs" dxfId="7189" priority="10836" stopIfTrue="1" operator="equal">
      <formula>"Napkin Hs"</formula>
    </cfRule>
    <cfRule type="cellIs" dxfId="7188" priority="10841" stopIfTrue="1" operator="equal">
      <formula>"Towel"</formula>
    </cfRule>
    <cfRule type="cellIs" dxfId="7187" priority="10842" stopIfTrue="1" operator="equal">
      <formula>"Napkin Hs"</formula>
    </cfRule>
    <cfRule type="cellIs" dxfId="7186" priority="10843" stopIfTrue="1" operator="equal">
      <formula>"Towel"</formula>
    </cfRule>
    <cfRule type="cellIs" dxfId="7185" priority="10844" stopIfTrue="1" operator="equal">
      <formula>"Napkin Hs"</formula>
    </cfRule>
    <cfRule type="cellIs" dxfId="7184" priority="10849" stopIfTrue="1" operator="equal">
      <formula>"Towel"</formula>
    </cfRule>
    <cfRule type="cellIs" dxfId="7183" priority="10850" stopIfTrue="1" operator="equal">
      <formula>"Napkin Hs"</formula>
    </cfRule>
    <cfRule type="cellIs" dxfId="7182" priority="10859" stopIfTrue="1" operator="equal">
      <formula>"Towel"</formula>
    </cfRule>
    <cfRule type="cellIs" dxfId="7181" priority="10860" stopIfTrue="1" operator="equal">
      <formula>"Napkin Hs"</formula>
    </cfRule>
    <cfRule type="cellIs" dxfId="7180" priority="10861" stopIfTrue="1" operator="equal">
      <formula>"Towel"</formula>
    </cfRule>
    <cfRule type="cellIs" dxfId="7179" priority="10862" stopIfTrue="1" operator="equal">
      <formula>"Napkin Hs"</formula>
    </cfRule>
    <cfRule type="cellIs" dxfId="7178" priority="10867" stopIfTrue="1" operator="equal">
      <formula>"Towel"</formula>
    </cfRule>
    <cfRule type="cellIs" dxfId="7177" priority="10868" stopIfTrue="1" operator="equal">
      <formula>"Napkin Hs"</formula>
    </cfRule>
    <cfRule type="cellIs" dxfId="7176" priority="10877" stopIfTrue="1" operator="equal">
      <formula>"Towel"</formula>
    </cfRule>
    <cfRule type="cellIs" dxfId="7175" priority="10878" stopIfTrue="1" operator="equal">
      <formula>"Napkin Hs"</formula>
    </cfRule>
    <cfRule type="cellIs" dxfId="7174" priority="10879" stopIfTrue="1" operator="equal">
      <formula>"Towel"</formula>
    </cfRule>
    <cfRule type="cellIs" dxfId="7173" priority="10880" stopIfTrue="1" operator="equal">
      <formula>"Napkin Hs"</formula>
    </cfRule>
    <cfRule type="cellIs" dxfId="7172" priority="10886" stopIfTrue="1" operator="equal">
      <formula>"Napkin Hs"</formula>
    </cfRule>
  </conditionalFormatting>
  <conditionalFormatting sqref="C93">
    <cfRule type="cellIs" dxfId="7171" priority="10885" stopIfTrue="1" operator="equal">
      <formula>"Towel"</formula>
    </cfRule>
  </conditionalFormatting>
  <conditionalFormatting sqref="C93">
    <cfRule type="cellIs" dxfId="7170" priority="10796" stopIfTrue="1" operator="equal">
      <formula>"Napkin Hs"</formula>
    </cfRule>
    <cfRule type="cellIs" dxfId="7169" priority="10797" stopIfTrue="1" operator="equal">
      <formula>"Towel"</formula>
    </cfRule>
    <cfRule type="cellIs" dxfId="7168" priority="10798" stopIfTrue="1" operator="equal">
      <formula>"Napkin Hs"</formula>
    </cfRule>
    <cfRule type="cellIs" dxfId="7167" priority="10799" stopIfTrue="1" operator="equal">
      <formula>"Towel"</formula>
    </cfRule>
    <cfRule type="cellIs" dxfId="7166" priority="10800" stopIfTrue="1" operator="equal">
      <formula>"Napkin Hs"</formula>
    </cfRule>
    <cfRule type="cellIs" dxfId="7165" priority="10801" stopIfTrue="1" operator="equal">
      <formula>"Towel"</formula>
    </cfRule>
    <cfRule type="cellIs" dxfId="7164" priority="10802" stopIfTrue="1" operator="equal">
      <formula>"Napkin Hs"</formula>
    </cfRule>
    <cfRule type="cellIs" dxfId="7163" priority="10803" stopIfTrue="1" operator="equal">
      <formula>"Towel"</formula>
    </cfRule>
    <cfRule type="cellIs" dxfId="7162" priority="10804" stopIfTrue="1" operator="equal">
      <formula>"Napkin Hs"</formula>
    </cfRule>
    <cfRule type="cellIs" dxfId="7161" priority="10807" stopIfTrue="1" operator="equal">
      <formula>"Towel"</formula>
    </cfRule>
    <cfRule type="cellIs" dxfId="7160" priority="10808" stopIfTrue="1" operator="equal">
      <formula>"Napkin Hs"</formula>
    </cfRule>
    <cfRule type="cellIs" dxfId="7159" priority="10809" stopIfTrue="1" operator="equal">
      <formula>"Towel"</formula>
    </cfRule>
    <cfRule type="cellIs" dxfId="7158" priority="10810" stopIfTrue="1" operator="equal">
      <formula>"Napkin Hs"</formula>
    </cfRule>
    <cfRule type="cellIs" dxfId="7157" priority="10813" stopIfTrue="1" operator="equal">
      <formula>"Towel"</formula>
    </cfRule>
    <cfRule type="cellIs" dxfId="7156" priority="10814" stopIfTrue="1" operator="equal">
      <formula>"Napkin Hs"</formula>
    </cfRule>
    <cfRule type="cellIs" dxfId="7155" priority="10815" stopIfTrue="1" operator="equal">
      <formula>"Towel"</formula>
    </cfRule>
    <cfRule type="cellIs" dxfId="7154" priority="10816" stopIfTrue="1" operator="equal">
      <formula>"Napkin Hs"</formula>
    </cfRule>
    <cfRule type="cellIs" dxfId="7153" priority="10821" stopIfTrue="1" operator="equal">
      <formula>"Towel"</formula>
    </cfRule>
    <cfRule type="cellIs" dxfId="7152" priority="10822" stopIfTrue="1" operator="equal">
      <formula>"Napkin Hs"</formula>
    </cfRule>
    <cfRule type="cellIs" dxfId="7151" priority="10823" stopIfTrue="1" operator="equal">
      <formula>"Towel"</formula>
    </cfRule>
    <cfRule type="cellIs" dxfId="7150" priority="10824" stopIfTrue="1" operator="equal">
      <formula>"Napkin Hs"</formula>
    </cfRule>
    <cfRule type="cellIs" dxfId="7149" priority="10827" stopIfTrue="1" operator="equal">
      <formula>"Towel"</formula>
    </cfRule>
    <cfRule type="cellIs" dxfId="7148" priority="10828" stopIfTrue="1" operator="equal">
      <formula>"Napkin Hs"</formula>
    </cfRule>
    <cfRule type="cellIs" dxfId="7147" priority="10829" stopIfTrue="1" operator="equal">
      <formula>"Towel"</formula>
    </cfRule>
    <cfRule type="cellIs" dxfId="7146" priority="10830" stopIfTrue="1" operator="equal">
      <formula>"Napkin Hs"</formula>
    </cfRule>
    <cfRule type="cellIs" dxfId="7145" priority="10831" stopIfTrue="1" operator="equal">
      <formula>"Towel"</formula>
    </cfRule>
    <cfRule type="cellIs" dxfId="7144" priority="10832" stopIfTrue="1" operator="equal">
      <formula>"Napkin Hs"</formula>
    </cfRule>
    <cfRule type="cellIs" dxfId="7143" priority="10833" stopIfTrue="1" operator="equal">
      <formula>"Towel"</formula>
    </cfRule>
    <cfRule type="cellIs" dxfId="7142" priority="10834" stopIfTrue="1" operator="equal">
      <formula>"Napkin Hs"</formula>
    </cfRule>
    <cfRule type="cellIs" dxfId="7141" priority="10837" stopIfTrue="1" operator="equal">
      <formula>"Towel"</formula>
    </cfRule>
    <cfRule type="cellIs" dxfId="7140" priority="10838" stopIfTrue="1" operator="equal">
      <formula>"Napkin Hs"</formula>
    </cfRule>
    <cfRule type="cellIs" dxfId="7139" priority="10839" stopIfTrue="1" operator="equal">
      <formula>"Towel"</formula>
    </cfRule>
    <cfRule type="cellIs" dxfId="7138" priority="10840" stopIfTrue="1" operator="equal">
      <formula>"Napkin Hs"</formula>
    </cfRule>
    <cfRule type="cellIs" dxfId="7137" priority="10845" stopIfTrue="1" operator="equal">
      <formula>"Towel"</formula>
    </cfRule>
    <cfRule type="cellIs" dxfId="7136" priority="10846" stopIfTrue="1" operator="equal">
      <formula>"Napkin Hs"</formula>
    </cfRule>
    <cfRule type="cellIs" dxfId="7135" priority="10847" stopIfTrue="1" operator="equal">
      <formula>"Towel"</formula>
    </cfRule>
    <cfRule type="cellIs" dxfId="7134" priority="10848" stopIfTrue="1" operator="equal">
      <formula>"Napkin Hs"</formula>
    </cfRule>
    <cfRule type="cellIs" dxfId="7133" priority="10851" stopIfTrue="1" operator="equal">
      <formula>"Towel"</formula>
    </cfRule>
    <cfRule type="cellIs" dxfId="7132" priority="10852" stopIfTrue="1" operator="equal">
      <formula>"Napkin Hs"</formula>
    </cfRule>
    <cfRule type="cellIs" dxfId="7131" priority="10853" stopIfTrue="1" operator="equal">
      <formula>"Towel"</formula>
    </cfRule>
    <cfRule type="cellIs" dxfId="7130" priority="10854" stopIfTrue="1" operator="equal">
      <formula>"Napkin Hs"</formula>
    </cfRule>
    <cfRule type="cellIs" dxfId="7129" priority="10855" stopIfTrue="1" operator="equal">
      <formula>"Towel"</formula>
    </cfRule>
    <cfRule type="cellIs" dxfId="7128" priority="10856" stopIfTrue="1" operator="equal">
      <formula>"Napkin Hs"</formula>
    </cfRule>
    <cfRule type="cellIs" dxfId="7127" priority="10857" stopIfTrue="1" operator="equal">
      <formula>"Towel"</formula>
    </cfRule>
    <cfRule type="cellIs" dxfId="7126" priority="10858" stopIfTrue="1" operator="equal">
      <formula>"Napkin Hs"</formula>
    </cfRule>
    <cfRule type="cellIs" dxfId="7125" priority="10863" stopIfTrue="1" operator="equal">
      <formula>"Towel"</formula>
    </cfRule>
    <cfRule type="cellIs" dxfId="7124" priority="10864" stopIfTrue="1" operator="equal">
      <formula>"Napkin Hs"</formula>
    </cfRule>
    <cfRule type="cellIs" dxfId="7123" priority="10865" stopIfTrue="1" operator="equal">
      <formula>"Towel"</formula>
    </cfRule>
    <cfRule type="cellIs" dxfId="7122" priority="10866" stopIfTrue="1" operator="equal">
      <formula>"Napkin Hs"</formula>
    </cfRule>
    <cfRule type="cellIs" dxfId="7121" priority="10869" stopIfTrue="1" operator="equal">
      <formula>"Towel"</formula>
    </cfRule>
    <cfRule type="cellIs" dxfId="7120" priority="10870" stopIfTrue="1" operator="equal">
      <formula>"Napkin Hs"</formula>
    </cfRule>
    <cfRule type="cellIs" dxfId="7119" priority="10871" stopIfTrue="1" operator="equal">
      <formula>"Towel"</formula>
    </cfRule>
    <cfRule type="cellIs" dxfId="7118" priority="10872" stopIfTrue="1" operator="equal">
      <formula>"Napkin Hs"</formula>
    </cfRule>
    <cfRule type="cellIs" dxfId="7117" priority="10873" stopIfTrue="1" operator="equal">
      <formula>"Towel"</formula>
    </cfRule>
    <cfRule type="cellIs" dxfId="7116" priority="10874" stopIfTrue="1" operator="equal">
      <formula>"Napkin Hs"</formula>
    </cfRule>
    <cfRule type="cellIs" dxfId="7115" priority="10875" stopIfTrue="1" operator="equal">
      <formula>"Towel"</formula>
    </cfRule>
    <cfRule type="cellIs" dxfId="7114" priority="10876" stopIfTrue="1" operator="equal">
      <formula>"Napkin Hs"</formula>
    </cfRule>
    <cfRule type="cellIs" dxfId="7113" priority="10881" stopIfTrue="1" operator="equal">
      <formula>"Towel"</formula>
    </cfRule>
    <cfRule type="cellIs" dxfId="7112" priority="10882" stopIfTrue="1" operator="equal">
      <formula>"Napkin Hs"</formula>
    </cfRule>
    <cfRule type="cellIs" dxfId="7111" priority="10883" stopIfTrue="1" operator="equal">
      <formula>"Towel"</formula>
    </cfRule>
    <cfRule type="cellIs" dxfId="7110" priority="10884" stopIfTrue="1" operator="equal">
      <formula>"Napkin Hs"</formula>
    </cfRule>
    <cfRule type="cellIs" dxfId="7109" priority="10887" stopIfTrue="1" operator="equal">
      <formula>"Towel"</formula>
    </cfRule>
    <cfRule type="cellIs" dxfId="7108" priority="10888" stopIfTrue="1" operator="equal">
      <formula>"Napkin Hs"</formula>
    </cfRule>
    <cfRule type="cellIs" dxfId="7107" priority="10889" stopIfTrue="1" operator="equal">
      <formula>"Towel"</formula>
    </cfRule>
    <cfRule type="cellIs" dxfId="7106" priority="10890" stopIfTrue="1" operator="equal">
      <formula>"Napkin Hs"</formula>
    </cfRule>
  </conditionalFormatting>
  <conditionalFormatting sqref="C93">
    <cfRule type="cellIs" dxfId="7105" priority="10794" stopIfTrue="1" operator="equal">
      <formula>"Napkin Hs"</formula>
    </cfRule>
  </conditionalFormatting>
  <conditionalFormatting sqref="C93">
    <cfRule type="cellIs" dxfId="7104" priority="10793" stopIfTrue="1" operator="equal">
      <formula>"Napkin Hs"</formula>
    </cfRule>
  </conditionalFormatting>
  <conditionalFormatting sqref="C93">
    <cfRule type="cellIs" dxfId="7103" priority="10792" stopIfTrue="1" operator="equal">
      <formula>"Napkin Hs"</formula>
    </cfRule>
  </conditionalFormatting>
  <conditionalFormatting sqref="C93">
    <cfRule type="cellIs" dxfId="7102" priority="10791" stopIfTrue="1" operator="equal">
      <formula>"Napkin Hs"</formula>
    </cfRule>
  </conditionalFormatting>
  <conditionalFormatting sqref="C93">
    <cfRule type="cellIs" dxfId="7101" priority="10790" stopIfTrue="1" operator="equal">
      <formula>"Napkin Hs"</formula>
    </cfRule>
  </conditionalFormatting>
  <conditionalFormatting sqref="C93">
    <cfRule type="cellIs" dxfId="7100" priority="10789" stopIfTrue="1" operator="equal">
      <formula>"Napkin Hs"</formula>
    </cfRule>
  </conditionalFormatting>
  <conditionalFormatting sqref="C93">
    <cfRule type="cellIs" dxfId="7099" priority="10785" stopIfTrue="1" operator="equal">
      <formula>"Towel"</formula>
    </cfRule>
    <cfRule type="cellIs" dxfId="7098" priority="10786" stopIfTrue="1" operator="equal">
      <formula>"Napkin Hs"</formula>
    </cfRule>
  </conditionalFormatting>
  <conditionalFormatting sqref="C93">
    <cfRule type="cellIs" dxfId="7097" priority="10787" stopIfTrue="1" operator="equal">
      <formula>"Towel"</formula>
    </cfRule>
    <cfRule type="cellIs" dxfId="7096" priority="10788" stopIfTrue="1" operator="equal">
      <formula>"Napkin Hs"</formula>
    </cfRule>
  </conditionalFormatting>
  <conditionalFormatting sqref="C93">
    <cfRule type="cellIs" dxfId="7095" priority="10781" stopIfTrue="1" operator="equal">
      <formula>"Towel"</formula>
    </cfRule>
    <cfRule type="cellIs" dxfId="7094" priority="10782" stopIfTrue="1" operator="equal">
      <formula>"Napkin Hs"</formula>
    </cfRule>
  </conditionalFormatting>
  <conditionalFormatting sqref="C93">
    <cfRule type="cellIs" dxfId="7093" priority="10783" stopIfTrue="1" operator="equal">
      <formula>"Towel"</formula>
    </cfRule>
    <cfRule type="cellIs" dxfId="7092" priority="10784" stopIfTrue="1" operator="equal">
      <formula>"Napkin Hs"</formula>
    </cfRule>
  </conditionalFormatting>
  <conditionalFormatting sqref="C100">
    <cfRule type="cellIs" dxfId="7091" priority="10763" stopIfTrue="1" operator="equal">
      <formula>"Towel"</formula>
    </cfRule>
    <cfRule type="cellIs" dxfId="7090" priority="10764" stopIfTrue="1" operator="equal">
      <formula>"Napkin Hs"</formula>
    </cfRule>
  </conditionalFormatting>
  <conditionalFormatting sqref="C100">
    <cfRule type="cellIs" dxfId="7089" priority="10765" stopIfTrue="1" operator="equal">
      <formula>"Towel"</formula>
    </cfRule>
    <cfRule type="cellIs" dxfId="7088" priority="10766" stopIfTrue="1" operator="equal">
      <formula>"Napkin Hs"</formula>
    </cfRule>
  </conditionalFormatting>
  <conditionalFormatting sqref="C100">
    <cfRule type="cellIs" dxfId="7087" priority="10761" stopIfTrue="1" operator="equal">
      <formula>"Towel"</formula>
    </cfRule>
    <cfRule type="cellIs" dxfId="7086" priority="10762" stopIfTrue="1" operator="equal">
      <formula>"Napkin Hs"</formula>
    </cfRule>
  </conditionalFormatting>
  <conditionalFormatting sqref="C100">
    <cfRule type="cellIs" dxfId="7085" priority="10755" stopIfTrue="1" operator="equal">
      <formula>"Towel"</formula>
    </cfRule>
    <cfRule type="cellIs" dxfId="7084" priority="10756" stopIfTrue="1" operator="equal">
      <formula>"Napkin Hs"</formula>
    </cfRule>
  </conditionalFormatting>
  <conditionalFormatting sqref="C100">
    <cfRule type="cellIs" dxfId="7083" priority="10757" stopIfTrue="1" operator="equal">
      <formula>"Towel"</formula>
    </cfRule>
    <cfRule type="cellIs" dxfId="7082" priority="10758" stopIfTrue="1" operator="equal">
      <formula>"Napkin Hs"</formula>
    </cfRule>
  </conditionalFormatting>
  <conditionalFormatting sqref="C100">
    <cfRule type="cellIs" dxfId="7081" priority="10759" stopIfTrue="1" operator="equal">
      <formula>"Towel"</formula>
    </cfRule>
    <cfRule type="cellIs" dxfId="7080" priority="10760" stopIfTrue="1" operator="equal">
      <formula>"Napkin Hs"</formula>
    </cfRule>
  </conditionalFormatting>
  <conditionalFormatting sqref="B100">
    <cfRule type="cellIs" dxfId="7079" priority="10753" stopIfTrue="1" operator="equal">
      <formula>"Towel"</formula>
    </cfRule>
    <cfRule type="cellIs" dxfId="7078" priority="10754" stopIfTrue="1" operator="equal">
      <formula>"Napkin Hs"</formula>
    </cfRule>
  </conditionalFormatting>
  <conditionalFormatting sqref="B100">
    <cfRule type="cellIs" dxfId="7077" priority="10751" stopIfTrue="1" operator="equal">
      <formula>"Towel"</formula>
    </cfRule>
    <cfRule type="cellIs" dxfId="7076" priority="10752" stopIfTrue="1" operator="equal">
      <formula>"Napkin Hs"</formula>
    </cfRule>
  </conditionalFormatting>
  <conditionalFormatting sqref="C99">
    <cfRule type="cellIs" dxfId="7075" priority="10743" stopIfTrue="1" operator="equal">
      <formula>"Towel"</formula>
    </cfRule>
    <cfRule type="cellIs" dxfId="7074" priority="10744" stopIfTrue="1" operator="equal">
      <formula>"Napkin Hs"</formula>
    </cfRule>
  </conditionalFormatting>
  <conditionalFormatting sqref="B99:C99">
    <cfRule type="cellIs" dxfId="7073" priority="10745" stopIfTrue="1" operator="equal">
      <formula>"Towel"</formula>
    </cfRule>
    <cfRule type="cellIs" dxfId="7072" priority="10746" stopIfTrue="1" operator="equal">
      <formula>"Napkin Hs"</formula>
    </cfRule>
  </conditionalFormatting>
  <conditionalFormatting sqref="C99">
    <cfRule type="cellIs" dxfId="7071" priority="10741" stopIfTrue="1" operator="equal">
      <formula>"Towel"</formula>
    </cfRule>
    <cfRule type="cellIs" dxfId="7070" priority="10742" stopIfTrue="1" operator="equal">
      <formula>"Napkin Hs"</formula>
    </cfRule>
  </conditionalFormatting>
  <conditionalFormatting sqref="B99:C99">
    <cfRule type="cellIs" dxfId="7069" priority="10739" stopIfTrue="1" operator="equal">
      <formula>"Towel"</formula>
    </cfRule>
    <cfRule type="cellIs" dxfId="7068" priority="10740" stopIfTrue="1" operator="equal">
      <formula>"Napkin Hs"</formula>
    </cfRule>
  </conditionalFormatting>
  <conditionalFormatting sqref="C99">
    <cfRule type="cellIs" dxfId="7067" priority="10747" stopIfTrue="1" operator="equal">
      <formula>"Towel"</formula>
    </cfRule>
    <cfRule type="cellIs" dxfId="7066" priority="10748" stopIfTrue="1" operator="equal">
      <formula>"Napkin Hs"</formula>
    </cfRule>
  </conditionalFormatting>
  <conditionalFormatting sqref="C99">
    <cfRule type="cellIs" dxfId="7065" priority="10749" stopIfTrue="1" operator="equal">
      <formula>"Towel"</formula>
    </cfRule>
    <cfRule type="cellIs" dxfId="7064" priority="10750" stopIfTrue="1" operator="equal">
      <formula>"Napkin Hs"</formula>
    </cfRule>
  </conditionalFormatting>
  <conditionalFormatting sqref="C99:C100">
    <cfRule type="cellIs" dxfId="7063" priority="10735" stopIfTrue="1" operator="equal">
      <formula>"Towel"</formula>
    </cfRule>
    <cfRule type="cellIs" dxfId="7062" priority="10736" stopIfTrue="1" operator="equal">
      <formula>"Napkin Hs"</formula>
    </cfRule>
  </conditionalFormatting>
  <conditionalFormatting sqref="C99:C100">
    <cfRule type="cellIs" dxfId="7061" priority="10737" stopIfTrue="1" operator="equal">
      <formula>"Towel"</formula>
    </cfRule>
    <cfRule type="cellIs" dxfId="7060" priority="10738" stopIfTrue="1" operator="equal">
      <formula>"Napkin Hs"</formula>
    </cfRule>
  </conditionalFormatting>
  <conditionalFormatting sqref="C99:C100">
    <cfRule type="cellIs" dxfId="7059" priority="10733" stopIfTrue="1" operator="equal">
      <formula>"Towel"</formula>
    </cfRule>
    <cfRule type="cellIs" dxfId="7058" priority="10734" stopIfTrue="1" operator="equal">
      <formula>"Napkin Hs"</formula>
    </cfRule>
  </conditionalFormatting>
  <conditionalFormatting sqref="B99:B100">
    <cfRule type="cellIs" dxfId="7057" priority="10731" stopIfTrue="1" operator="equal">
      <formula>"Towel"</formula>
    </cfRule>
    <cfRule type="cellIs" dxfId="7056" priority="10732" stopIfTrue="1" operator="equal">
      <formula>"Napkin Hs"</formula>
    </cfRule>
  </conditionalFormatting>
  <conditionalFormatting sqref="C99:C100">
    <cfRule type="cellIs" dxfId="7055" priority="10725" stopIfTrue="1" operator="equal">
      <formula>"Towel"</formula>
    </cfRule>
    <cfRule type="cellIs" dxfId="7054" priority="10726" stopIfTrue="1" operator="equal">
      <formula>"Napkin Hs"</formula>
    </cfRule>
  </conditionalFormatting>
  <conditionalFormatting sqref="C99:C100">
    <cfRule type="cellIs" dxfId="7053" priority="10729" stopIfTrue="1" operator="equal">
      <formula>"Towel"</formula>
    </cfRule>
    <cfRule type="cellIs" dxfId="7052" priority="10730" stopIfTrue="1" operator="equal">
      <formula>"Napkin Hs"</formula>
    </cfRule>
  </conditionalFormatting>
  <conditionalFormatting sqref="C99:C100">
    <cfRule type="cellIs" dxfId="7051" priority="10727" stopIfTrue="1" operator="equal">
      <formula>"Towel"</formula>
    </cfRule>
    <cfRule type="cellIs" dxfId="7050" priority="10728" stopIfTrue="1" operator="equal">
      <formula>"Napkin Hs"</formula>
    </cfRule>
  </conditionalFormatting>
  <conditionalFormatting sqref="C99:C100">
    <cfRule type="cellIs" dxfId="7049" priority="10719" stopIfTrue="1" operator="equal">
      <formula>"Towel"</formula>
    </cfRule>
    <cfRule type="cellIs" dxfId="7048" priority="10720" stopIfTrue="1" operator="equal">
      <formula>"Napkin Hs"</formula>
    </cfRule>
  </conditionalFormatting>
  <conditionalFormatting sqref="C99:C100">
    <cfRule type="cellIs" dxfId="7047" priority="10721" stopIfTrue="1" operator="equal">
      <formula>"Towel"</formula>
    </cfRule>
    <cfRule type="cellIs" dxfId="7046" priority="10722" stopIfTrue="1" operator="equal">
      <formula>"Napkin Hs"</formula>
    </cfRule>
  </conditionalFormatting>
  <conditionalFormatting sqref="C99:C100">
    <cfRule type="cellIs" dxfId="7045" priority="10723" stopIfTrue="1" operator="equal">
      <formula>"Towel"</formula>
    </cfRule>
    <cfRule type="cellIs" dxfId="7044" priority="10724" stopIfTrue="1" operator="equal">
      <formula>"Napkin Hs"</formula>
    </cfRule>
  </conditionalFormatting>
  <conditionalFormatting sqref="B99:C100">
    <cfRule type="cellIs" dxfId="7043" priority="10717" stopIfTrue="1" operator="equal">
      <formula>"Towel"</formula>
    </cfRule>
    <cfRule type="cellIs" dxfId="7042" priority="10718" stopIfTrue="1" operator="equal">
      <formula>"Napkin Hs"</formula>
    </cfRule>
  </conditionalFormatting>
  <conditionalFormatting sqref="B99:C100">
    <cfRule type="cellIs" dxfId="7041" priority="10715" stopIfTrue="1" operator="equal">
      <formula>"Towel"</formula>
    </cfRule>
    <cfRule type="cellIs" dxfId="7040" priority="10716" stopIfTrue="1" operator="equal">
      <formula>"Napkin Hs"</formula>
    </cfRule>
  </conditionalFormatting>
  <conditionalFormatting sqref="B99:C100">
    <cfRule type="cellIs" dxfId="7039" priority="10691" stopIfTrue="1" operator="equal">
      <formula>"Towel"</formula>
    </cfRule>
  </conditionalFormatting>
  <conditionalFormatting sqref="B99:C100">
    <cfRule type="cellIs" dxfId="7038" priority="10692" stopIfTrue="1" operator="equal">
      <formula>"Napkin Hs"</formula>
    </cfRule>
    <cfRule type="cellIs" dxfId="7037" priority="10697" stopIfTrue="1" operator="equal">
      <formula>"Towel"</formula>
    </cfRule>
    <cfRule type="cellIs" dxfId="7036" priority="10698" stopIfTrue="1" operator="equal">
      <formula>"Napkin Hs"</formula>
    </cfRule>
    <cfRule type="cellIs" dxfId="7035" priority="10707" stopIfTrue="1" operator="equal">
      <formula>"Towel"</formula>
    </cfRule>
    <cfRule type="cellIs" dxfId="7034" priority="10708" stopIfTrue="1" operator="equal">
      <formula>"Napkin Hs"</formula>
    </cfRule>
    <cfRule type="cellIs" dxfId="7033" priority="10713" stopIfTrue="1" operator="equal">
      <formula>"Towel"</formula>
    </cfRule>
    <cfRule type="cellIs" dxfId="7032" priority="10714" stopIfTrue="1" operator="equal">
      <formula>"Napkin Hs"</formula>
    </cfRule>
  </conditionalFormatting>
  <conditionalFormatting sqref="C99:C100">
    <cfRule type="cellIs" dxfId="7031" priority="10693" stopIfTrue="1" operator="equal">
      <formula>"Towel"</formula>
    </cfRule>
    <cfRule type="cellIs" dxfId="7030" priority="10694" stopIfTrue="1" operator="equal">
      <formula>"Napkin Hs"</formula>
    </cfRule>
    <cfRule type="cellIs" dxfId="7029" priority="10695" stopIfTrue="1" operator="equal">
      <formula>"Towel"</formula>
    </cfRule>
    <cfRule type="cellIs" dxfId="7028" priority="10696" stopIfTrue="1" operator="equal">
      <formula>"Napkin Hs"</formula>
    </cfRule>
    <cfRule type="cellIs" dxfId="7027" priority="10699" stopIfTrue="1" operator="equal">
      <formula>"Towel"</formula>
    </cfRule>
    <cfRule type="cellIs" dxfId="7026" priority="10700" stopIfTrue="1" operator="equal">
      <formula>"Napkin Hs"</formula>
    </cfRule>
    <cfRule type="cellIs" dxfId="7025" priority="10701" stopIfTrue="1" operator="equal">
      <formula>"Towel"</formula>
    </cfRule>
    <cfRule type="cellIs" dxfId="7024" priority="10702" stopIfTrue="1" operator="equal">
      <formula>"Napkin Hs"</formula>
    </cfRule>
    <cfRule type="cellIs" dxfId="7023" priority="10703" stopIfTrue="1" operator="equal">
      <formula>"Towel"</formula>
    </cfRule>
    <cfRule type="cellIs" dxfId="7022" priority="10704" stopIfTrue="1" operator="equal">
      <formula>"Napkin Hs"</formula>
    </cfRule>
    <cfRule type="cellIs" dxfId="7021" priority="10705" stopIfTrue="1" operator="equal">
      <formula>"Towel"</formula>
    </cfRule>
    <cfRule type="cellIs" dxfId="7020" priority="10706" stopIfTrue="1" operator="equal">
      <formula>"Napkin Hs"</formula>
    </cfRule>
    <cfRule type="cellIs" dxfId="7019" priority="10709" stopIfTrue="1" operator="equal">
      <formula>"Towel"</formula>
    </cfRule>
    <cfRule type="cellIs" dxfId="7018" priority="10710" stopIfTrue="1" operator="equal">
      <formula>"Napkin Hs"</formula>
    </cfRule>
    <cfRule type="cellIs" dxfId="7017" priority="10712" stopIfTrue="1" operator="equal">
      <formula>"Napkin Hs"</formula>
    </cfRule>
  </conditionalFormatting>
  <conditionalFormatting sqref="C99:C100">
    <cfRule type="cellIs" dxfId="7016" priority="10711" stopIfTrue="1" operator="equal">
      <formula>"Towel"</formula>
    </cfRule>
  </conditionalFormatting>
  <conditionalFormatting sqref="B99:C100">
    <cfRule type="cellIs" dxfId="7015" priority="10689" stopIfTrue="1" operator="equal">
      <formula>"Towel"</formula>
    </cfRule>
    <cfRule type="cellIs" dxfId="7014" priority="10690" stopIfTrue="1" operator="equal">
      <formula>"Napkin Hs"</formula>
    </cfRule>
  </conditionalFormatting>
  <conditionalFormatting sqref="C99:C100">
    <cfRule type="cellIs" dxfId="7013" priority="10688" stopIfTrue="1" operator="equal">
      <formula>"Napkin Hs"</formula>
    </cfRule>
  </conditionalFormatting>
  <conditionalFormatting sqref="C99:C100">
    <cfRule type="cellIs" dxfId="7012" priority="10687" stopIfTrue="1" operator="equal">
      <formula>"Towel"</formula>
    </cfRule>
  </conditionalFormatting>
  <conditionalFormatting sqref="C99:C100">
    <cfRule type="cellIs" dxfId="7011" priority="10685" stopIfTrue="1" operator="equal">
      <formula>"Towel"</formula>
    </cfRule>
  </conditionalFormatting>
  <conditionalFormatting sqref="C99:C100">
    <cfRule type="cellIs" dxfId="7010" priority="10686" stopIfTrue="1" operator="equal">
      <formula>"Napkin Hs"</formula>
    </cfRule>
  </conditionalFormatting>
  <conditionalFormatting sqref="B99:B100">
    <cfRule type="cellIs" dxfId="7009" priority="10589" stopIfTrue="1" operator="equal">
      <formula>"Napkin Hs"</formula>
    </cfRule>
  </conditionalFormatting>
  <conditionalFormatting sqref="B99:C100">
    <cfRule type="cellIs" dxfId="7008" priority="10588" stopIfTrue="1" operator="equal">
      <formula>"Towel"</formula>
    </cfRule>
  </conditionalFormatting>
  <conditionalFormatting sqref="B99:C100">
    <cfRule type="cellIs" dxfId="7007" priority="10599" stopIfTrue="1" operator="equal">
      <formula>"Towel"</formula>
    </cfRule>
    <cfRule type="cellIs" dxfId="7006" priority="10600" stopIfTrue="1" operator="equal">
      <formula>"Napkin Hs"</formula>
    </cfRule>
    <cfRule type="cellIs" dxfId="7005" priority="10605" stopIfTrue="1" operator="equal">
      <formula>"Towel"</formula>
    </cfRule>
    <cfRule type="cellIs" dxfId="7004" priority="10606" stopIfTrue="1" operator="equal">
      <formula>"Napkin Hs"</formula>
    </cfRule>
    <cfRule type="cellIs" dxfId="7003" priority="10611" stopIfTrue="1" operator="equal">
      <formula>"Towel"</formula>
    </cfRule>
    <cfRule type="cellIs" dxfId="7002" priority="10612" stopIfTrue="1" operator="equal">
      <formula>"Napkin Hs"</formula>
    </cfRule>
    <cfRule type="cellIs" dxfId="7001" priority="10613" stopIfTrue="1" operator="equal">
      <formula>"Towel"</formula>
    </cfRule>
    <cfRule type="cellIs" dxfId="7000" priority="10614" stopIfTrue="1" operator="equal">
      <formula>"Napkin Hs"</formula>
    </cfRule>
    <cfRule type="cellIs" dxfId="6999" priority="10619" stopIfTrue="1" operator="equal">
      <formula>"Towel"</formula>
    </cfRule>
    <cfRule type="cellIs" dxfId="6998" priority="10620" stopIfTrue="1" operator="equal">
      <formula>"Napkin Hs"</formula>
    </cfRule>
    <cfRule type="cellIs" dxfId="6997" priority="10629" stopIfTrue="1" operator="equal">
      <formula>"Towel"</formula>
    </cfRule>
    <cfRule type="cellIs" dxfId="6996" priority="10630" stopIfTrue="1" operator="equal">
      <formula>"Napkin Hs"</formula>
    </cfRule>
    <cfRule type="cellIs" dxfId="6995" priority="10635" stopIfTrue="1" operator="equal">
      <formula>"Towel"</formula>
    </cfRule>
    <cfRule type="cellIs" dxfId="6994" priority="10636" stopIfTrue="1" operator="equal">
      <formula>"Napkin Hs"</formula>
    </cfRule>
    <cfRule type="cellIs" dxfId="6993" priority="10637" stopIfTrue="1" operator="equal">
      <formula>"Towel"</formula>
    </cfRule>
    <cfRule type="cellIs" dxfId="6992" priority="10638" stopIfTrue="1" operator="equal">
      <formula>"Napkin Hs"</formula>
    </cfRule>
    <cfRule type="cellIs" dxfId="6991" priority="10643" stopIfTrue="1" operator="equal">
      <formula>"Towel"</formula>
    </cfRule>
    <cfRule type="cellIs" dxfId="6990" priority="10644" stopIfTrue="1" operator="equal">
      <formula>"Napkin Hs"</formula>
    </cfRule>
    <cfRule type="cellIs" dxfId="6989" priority="10653" stopIfTrue="1" operator="equal">
      <formula>"Towel"</formula>
    </cfRule>
    <cfRule type="cellIs" dxfId="6988" priority="10654" stopIfTrue="1" operator="equal">
      <formula>"Napkin Hs"</formula>
    </cfRule>
    <cfRule type="cellIs" dxfId="6987" priority="10655" stopIfTrue="1" operator="equal">
      <formula>"Towel"</formula>
    </cfRule>
    <cfRule type="cellIs" dxfId="6986" priority="10656" stopIfTrue="1" operator="equal">
      <formula>"Napkin Hs"</formula>
    </cfRule>
    <cfRule type="cellIs" dxfId="6985" priority="10661" stopIfTrue="1" operator="equal">
      <formula>"Towel"</formula>
    </cfRule>
    <cfRule type="cellIs" dxfId="6984" priority="10662" stopIfTrue="1" operator="equal">
      <formula>"Napkin Hs"</formula>
    </cfRule>
    <cfRule type="cellIs" dxfId="6983" priority="10671" stopIfTrue="1" operator="equal">
      <formula>"Towel"</formula>
    </cfRule>
    <cfRule type="cellIs" dxfId="6982" priority="10672" stopIfTrue="1" operator="equal">
      <formula>"Napkin Hs"</formula>
    </cfRule>
    <cfRule type="cellIs" dxfId="6981" priority="10673" stopIfTrue="1" operator="equal">
      <formula>"Towel"</formula>
    </cfRule>
    <cfRule type="cellIs" dxfId="6980" priority="10674" stopIfTrue="1" operator="equal">
      <formula>"Napkin Hs"</formula>
    </cfRule>
    <cfRule type="cellIs" dxfId="6979" priority="10680" stopIfTrue="1" operator="equal">
      <formula>"Napkin Hs"</formula>
    </cfRule>
  </conditionalFormatting>
  <conditionalFormatting sqref="B99:C100">
    <cfRule type="cellIs" dxfId="6978" priority="10679" stopIfTrue="1" operator="equal">
      <formula>"Towel"</formula>
    </cfRule>
  </conditionalFormatting>
  <conditionalFormatting sqref="C99:C100">
    <cfRule type="cellIs" dxfId="6977" priority="10590" stopIfTrue="1" operator="equal">
      <formula>"Napkin Hs"</formula>
    </cfRule>
    <cfRule type="cellIs" dxfId="6976" priority="10591" stopIfTrue="1" operator="equal">
      <formula>"Towel"</formula>
    </cfRule>
    <cfRule type="cellIs" dxfId="6975" priority="10592" stopIfTrue="1" operator="equal">
      <formula>"Napkin Hs"</formula>
    </cfRule>
    <cfRule type="cellIs" dxfId="6974" priority="10593" stopIfTrue="1" operator="equal">
      <formula>"Towel"</formula>
    </cfRule>
    <cfRule type="cellIs" dxfId="6973" priority="10594" stopIfTrue="1" operator="equal">
      <formula>"Napkin Hs"</formula>
    </cfRule>
    <cfRule type="cellIs" dxfId="6972" priority="10595" stopIfTrue="1" operator="equal">
      <formula>"Towel"</formula>
    </cfRule>
    <cfRule type="cellIs" dxfId="6971" priority="10596" stopIfTrue="1" operator="equal">
      <formula>"Napkin Hs"</formula>
    </cfRule>
    <cfRule type="cellIs" dxfId="6970" priority="10597" stopIfTrue="1" operator="equal">
      <formula>"Towel"</formula>
    </cfRule>
    <cfRule type="cellIs" dxfId="6969" priority="10598" stopIfTrue="1" operator="equal">
      <formula>"Napkin Hs"</formula>
    </cfRule>
    <cfRule type="cellIs" dxfId="6968" priority="10601" stopIfTrue="1" operator="equal">
      <formula>"Towel"</formula>
    </cfRule>
    <cfRule type="cellIs" dxfId="6967" priority="10602" stopIfTrue="1" operator="equal">
      <formula>"Napkin Hs"</formula>
    </cfRule>
    <cfRule type="cellIs" dxfId="6966" priority="10603" stopIfTrue="1" operator="equal">
      <formula>"Towel"</formula>
    </cfRule>
    <cfRule type="cellIs" dxfId="6965" priority="10604" stopIfTrue="1" operator="equal">
      <formula>"Napkin Hs"</formula>
    </cfRule>
    <cfRule type="cellIs" dxfId="6964" priority="10607" stopIfTrue="1" operator="equal">
      <formula>"Towel"</formula>
    </cfRule>
    <cfRule type="cellIs" dxfId="6963" priority="10608" stopIfTrue="1" operator="equal">
      <formula>"Napkin Hs"</formula>
    </cfRule>
    <cfRule type="cellIs" dxfId="6962" priority="10609" stopIfTrue="1" operator="equal">
      <formula>"Towel"</formula>
    </cfRule>
    <cfRule type="cellIs" dxfId="6961" priority="10610" stopIfTrue="1" operator="equal">
      <formula>"Napkin Hs"</formula>
    </cfRule>
    <cfRule type="cellIs" dxfId="6960" priority="10615" stopIfTrue="1" operator="equal">
      <formula>"Towel"</formula>
    </cfRule>
    <cfRule type="cellIs" dxfId="6959" priority="10616" stopIfTrue="1" operator="equal">
      <formula>"Napkin Hs"</formula>
    </cfRule>
    <cfRule type="cellIs" dxfId="6958" priority="10617" stopIfTrue="1" operator="equal">
      <formula>"Towel"</formula>
    </cfRule>
    <cfRule type="cellIs" dxfId="6957" priority="10618" stopIfTrue="1" operator="equal">
      <formula>"Napkin Hs"</formula>
    </cfRule>
    <cfRule type="cellIs" dxfId="6956" priority="10621" stopIfTrue="1" operator="equal">
      <formula>"Towel"</formula>
    </cfRule>
    <cfRule type="cellIs" dxfId="6955" priority="10622" stopIfTrue="1" operator="equal">
      <formula>"Napkin Hs"</formula>
    </cfRule>
    <cfRule type="cellIs" dxfId="6954" priority="10623" stopIfTrue="1" operator="equal">
      <formula>"Towel"</formula>
    </cfRule>
    <cfRule type="cellIs" dxfId="6953" priority="10624" stopIfTrue="1" operator="equal">
      <formula>"Napkin Hs"</formula>
    </cfRule>
    <cfRule type="cellIs" dxfId="6952" priority="10625" stopIfTrue="1" operator="equal">
      <formula>"Towel"</formula>
    </cfRule>
    <cfRule type="cellIs" dxfId="6951" priority="10626" stopIfTrue="1" operator="equal">
      <formula>"Napkin Hs"</formula>
    </cfRule>
    <cfRule type="cellIs" dxfId="6950" priority="10627" stopIfTrue="1" operator="equal">
      <formula>"Towel"</formula>
    </cfRule>
    <cfRule type="cellIs" dxfId="6949" priority="10628" stopIfTrue="1" operator="equal">
      <formula>"Napkin Hs"</formula>
    </cfRule>
    <cfRule type="cellIs" dxfId="6948" priority="10631" stopIfTrue="1" operator="equal">
      <formula>"Towel"</formula>
    </cfRule>
    <cfRule type="cellIs" dxfId="6947" priority="10632" stopIfTrue="1" operator="equal">
      <formula>"Napkin Hs"</formula>
    </cfRule>
    <cfRule type="cellIs" dxfId="6946" priority="10633" stopIfTrue="1" operator="equal">
      <formula>"Towel"</formula>
    </cfRule>
    <cfRule type="cellIs" dxfId="6945" priority="10634" stopIfTrue="1" operator="equal">
      <formula>"Napkin Hs"</formula>
    </cfRule>
    <cfRule type="cellIs" dxfId="6944" priority="10639" stopIfTrue="1" operator="equal">
      <formula>"Towel"</formula>
    </cfRule>
    <cfRule type="cellIs" dxfId="6943" priority="10640" stopIfTrue="1" operator="equal">
      <formula>"Napkin Hs"</formula>
    </cfRule>
    <cfRule type="cellIs" dxfId="6942" priority="10641" stopIfTrue="1" operator="equal">
      <formula>"Towel"</formula>
    </cfRule>
    <cfRule type="cellIs" dxfId="6941" priority="10642" stopIfTrue="1" operator="equal">
      <formula>"Napkin Hs"</formula>
    </cfRule>
    <cfRule type="cellIs" dxfId="6940" priority="10645" stopIfTrue="1" operator="equal">
      <formula>"Towel"</formula>
    </cfRule>
    <cfRule type="cellIs" dxfId="6939" priority="10646" stopIfTrue="1" operator="equal">
      <formula>"Napkin Hs"</formula>
    </cfRule>
    <cfRule type="cellIs" dxfId="6938" priority="10647" stopIfTrue="1" operator="equal">
      <formula>"Towel"</formula>
    </cfRule>
    <cfRule type="cellIs" dxfId="6937" priority="10648" stopIfTrue="1" operator="equal">
      <formula>"Napkin Hs"</formula>
    </cfRule>
    <cfRule type="cellIs" dxfId="6936" priority="10649" stopIfTrue="1" operator="equal">
      <formula>"Towel"</formula>
    </cfRule>
    <cfRule type="cellIs" dxfId="6935" priority="10650" stopIfTrue="1" operator="equal">
      <formula>"Napkin Hs"</formula>
    </cfRule>
    <cfRule type="cellIs" dxfId="6934" priority="10651" stopIfTrue="1" operator="equal">
      <formula>"Towel"</formula>
    </cfRule>
    <cfRule type="cellIs" dxfId="6933" priority="10652" stopIfTrue="1" operator="equal">
      <formula>"Napkin Hs"</formula>
    </cfRule>
    <cfRule type="cellIs" dxfId="6932" priority="10657" stopIfTrue="1" operator="equal">
      <formula>"Towel"</formula>
    </cfRule>
    <cfRule type="cellIs" dxfId="6931" priority="10658" stopIfTrue="1" operator="equal">
      <formula>"Napkin Hs"</formula>
    </cfRule>
    <cfRule type="cellIs" dxfId="6930" priority="10659" stopIfTrue="1" operator="equal">
      <formula>"Towel"</formula>
    </cfRule>
    <cfRule type="cellIs" dxfId="6929" priority="10660" stopIfTrue="1" operator="equal">
      <formula>"Napkin Hs"</formula>
    </cfRule>
    <cfRule type="cellIs" dxfId="6928" priority="10663" stopIfTrue="1" operator="equal">
      <formula>"Towel"</formula>
    </cfRule>
    <cfRule type="cellIs" dxfId="6927" priority="10664" stopIfTrue="1" operator="equal">
      <formula>"Napkin Hs"</formula>
    </cfRule>
    <cfRule type="cellIs" dxfId="6926" priority="10665" stopIfTrue="1" operator="equal">
      <formula>"Towel"</formula>
    </cfRule>
    <cfRule type="cellIs" dxfId="6925" priority="10666" stopIfTrue="1" operator="equal">
      <formula>"Napkin Hs"</formula>
    </cfRule>
    <cfRule type="cellIs" dxfId="6924" priority="10667" stopIfTrue="1" operator="equal">
      <formula>"Towel"</formula>
    </cfRule>
    <cfRule type="cellIs" dxfId="6923" priority="10668" stopIfTrue="1" operator="equal">
      <formula>"Napkin Hs"</formula>
    </cfRule>
    <cfRule type="cellIs" dxfId="6922" priority="10669" stopIfTrue="1" operator="equal">
      <formula>"Towel"</formula>
    </cfRule>
    <cfRule type="cellIs" dxfId="6921" priority="10670" stopIfTrue="1" operator="equal">
      <formula>"Napkin Hs"</formula>
    </cfRule>
    <cfRule type="cellIs" dxfId="6920" priority="10675" stopIfTrue="1" operator="equal">
      <formula>"Towel"</formula>
    </cfRule>
    <cfRule type="cellIs" dxfId="6919" priority="10676" stopIfTrue="1" operator="equal">
      <formula>"Napkin Hs"</formula>
    </cfRule>
    <cfRule type="cellIs" dxfId="6918" priority="10677" stopIfTrue="1" operator="equal">
      <formula>"Towel"</formula>
    </cfRule>
    <cfRule type="cellIs" dxfId="6917" priority="10678" stopIfTrue="1" operator="equal">
      <formula>"Napkin Hs"</formula>
    </cfRule>
    <cfRule type="cellIs" dxfId="6916" priority="10681" stopIfTrue="1" operator="equal">
      <formula>"Towel"</formula>
    </cfRule>
    <cfRule type="cellIs" dxfId="6915" priority="10682" stopIfTrue="1" operator="equal">
      <formula>"Napkin Hs"</formula>
    </cfRule>
    <cfRule type="cellIs" dxfId="6914" priority="10683" stopIfTrue="1" operator="equal">
      <formula>"Towel"</formula>
    </cfRule>
    <cfRule type="cellIs" dxfId="6913" priority="10684" stopIfTrue="1" operator="equal">
      <formula>"Napkin Hs"</formula>
    </cfRule>
  </conditionalFormatting>
  <conditionalFormatting sqref="C99:C100">
    <cfRule type="cellIs" dxfId="6912" priority="10587" stopIfTrue="1" operator="equal">
      <formula>"Napkin Hs"</formula>
    </cfRule>
  </conditionalFormatting>
  <conditionalFormatting sqref="C99:C100">
    <cfRule type="cellIs" dxfId="6911" priority="10586" stopIfTrue="1" operator="equal">
      <formula>"Napkin Hs"</formula>
    </cfRule>
  </conditionalFormatting>
  <conditionalFormatting sqref="B99:B100">
    <cfRule type="cellIs" dxfId="6910" priority="10585" stopIfTrue="1" operator="equal">
      <formula>"Napkin Hs"</formula>
    </cfRule>
  </conditionalFormatting>
  <conditionalFormatting sqref="C99:C100">
    <cfRule type="cellIs" dxfId="6909" priority="10584" stopIfTrue="1" operator="equal">
      <formula>"Napkin Hs"</formula>
    </cfRule>
  </conditionalFormatting>
  <conditionalFormatting sqref="C99:C100">
    <cfRule type="cellIs" dxfId="6908" priority="10583" stopIfTrue="1" operator="equal">
      <formula>"Napkin Hs"</formula>
    </cfRule>
  </conditionalFormatting>
  <conditionalFormatting sqref="C99:C100">
    <cfRule type="cellIs" dxfId="6907" priority="10582" stopIfTrue="1" operator="equal">
      <formula>"Napkin Hs"</formula>
    </cfRule>
  </conditionalFormatting>
  <conditionalFormatting sqref="C99:C100">
    <cfRule type="cellIs" dxfId="6906" priority="10581" stopIfTrue="1" operator="equal">
      <formula>"Napkin Hs"</formula>
    </cfRule>
  </conditionalFormatting>
  <conditionalFormatting sqref="B99:B100">
    <cfRule type="cellIs" dxfId="6905" priority="10580" stopIfTrue="1" operator="equal">
      <formula>"Napkin Hs"</formula>
    </cfRule>
  </conditionalFormatting>
  <conditionalFormatting sqref="B99:B100">
    <cfRule type="cellIs" dxfId="6904" priority="10579" stopIfTrue="1" operator="equal">
      <formula>"Napkin Hs"</formula>
    </cfRule>
  </conditionalFormatting>
  <conditionalFormatting sqref="C99:C100">
    <cfRule type="cellIs" dxfId="6903" priority="10575" stopIfTrue="1" operator="equal">
      <formula>"Towel"</formula>
    </cfRule>
    <cfRule type="cellIs" dxfId="6902" priority="10576" stopIfTrue="1" operator="equal">
      <formula>"Napkin Hs"</formula>
    </cfRule>
  </conditionalFormatting>
  <conditionalFormatting sqref="C99:C100">
    <cfRule type="cellIs" dxfId="6901" priority="10577" stopIfTrue="1" operator="equal">
      <formula>"Towel"</formula>
    </cfRule>
    <cfRule type="cellIs" dxfId="6900" priority="10578" stopIfTrue="1" operator="equal">
      <formula>"Napkin Hs"</formula>
    </cfRule>
  </conditionalFormatting>
  <conditionalFormatting sqref="C99:C100">
    <cfRule type="cellIs" dxfId="6899" priority="10571" stopIfTrue="1" operator="equal">
      <formula>"Towel"</formula>
    </cfRule>
    <cfRule type="cellIs" dxfId="6898" priority="10572" stopIfTrue="1" operator="equal">
      <formula>"Napkin Hs"</formula>
    </cfRule>
  </conditionalFormatting>
  <conditionalFormatting sqref="C99:C100">
    <cfRule type="cellIs" dxfId="6897" priority="10573" stopIfTrue="1" operator="equal">
      <formula>"Towel"</formula>
    </cfRule>
    <cfRule type="cellIs" dxfId="6896" priority="10574" stopIfTrue="1" operator="equal">
      <formula>"Napkin Hs"</formula>
    </cfRule>
  </conditionalFormatting>
  <conditionalFormatting sqref="B98">
    <cfRule type="cellIs" dxfId="6895" priority="10570" stopIfTrue="1" operator="equal">
      <formula>"Napkin Hs"</formula>
    </cfRule>
  </conditionalFormatting>
  <conditionalFormatting sqref="B98">
    <cfRule type="cellIs" dxfId="6894" priority="10569" stopIfTrue="1" operator="equal">
      <formula>"Napkin Hs"</formula>
    </cfRule>
  </conditionalFormatting>
  <conditionalFormatting sqref="B98">
    <cfRule type="cellIs" dxfId="6893" priority="10568" stopIfTrue="1" operator="equal">
      <formula>"Napkin Hs"</formula>
    </cfRule>
  </conditionalFormatting>
  <conditionalFormatting sqref="C98">
    <cfRule type="cellIs" dxfId="6892" priority="10566" stopIfTrue="1" operator="equal">
      <formula>"Towel"</formula>
    </cfRule>
    <cfRule type="cellIs" dxfId="6891" priority="10567" stopIfTrue="1" operator="equal">
      <formula>"Napkin Hs"</formula>
    </cfRule>
  </conditionalFormatting>
  <conditionalFormatting sqref="C98">
    <cfRule type="cellIs" dxfId="6890" priority="10562" stopIfTrue="1" operator="equal">
      <formula>"Towel"</formula>
    </cfRule>
    <cfRule type="cellIs" dxfId="6889" priority="10563" stopIfTrue="1" operator="equal">
      <formula>"Napkin Hs"</formula>
    </cfRule>
  </conditionalFormatting>
  <conditionalFormatting sqref="C98">
    <cfRule type="cellIs" dxfId="6888" priority="10564" stopIfTrue="1" operator="equal">
      <formula>"Towel"</formula>
    </cfRule>
    <cfRule type="cellIs" dxfId="6887" priority="10565" stopIfTrue="1" operator="equal">
      <formula>"Napkin Hs"</formula>
    </cfRule>
  </conditionalFormatting>
  <conditionalFormatting sqref="C98">
    <cfRule type="cellIs" dxfId="6886" priority="10558" stopIfTrue="1" operator="equal">
      <formula>"Towel"</formula>
    </cfRule>
    <cfRule type="cellIs" dxfId="6885" priority="10559" stopIfTrue="1" operator="equal">
      <formula>"Napkin Hs"</formula>
    </cfRule>
  </conditionalFormatting>
  <conditionalFormatting sqref="C98">
    <cfRule type="cellIs" dxfId="6884" priority="10560" stopIfTrue="1" operator="equal">
      <formula>"Towel"</formula>
    </cfRule>
    <cfRule type="cellIs" dxfId="6883" priority="10561" stopIfTrue="1" operator="equal">
      <formula>"Napkin Hs"</formula>
    </cfRule>
  </conditionalFormatting>
  <conditionalFormatting sqref="C98">
    <cfRule type="cellIs" dxfId="6882" priority="10556" stopIfTrue="1" operator="equal">
      <formula>"Towel"</formula>
    </cfRule>
    <cfRule type="cellIs" dxfId="6881" priority="10557" stopIfTrue="1" operator="equal">
      <formula>"Napkin Hs"</formula>
    </cfRule>
  </conditionalFormatting>
  <conditionalFormatting sqref="C98">
    <cfRule type="cellIs" dxfId="6880" priority="10550" stopIfTrue="1" operator="equal">
      <formula>"Towel"</formula>
    </cfRule>
    <cfRule type="cellIs" dxfId="6879" priority="10551" stopIfTrue="1" operator="equal">
      <formula>"Napkin Hs"</formula>
    </cfRule>
  </conditionalFormatting>
  <conditionalFormatting sqref="C98">
    <cfRule type="cellIs" dxfId="6878" priority="10554" stopIfTrue="1" operator="equal">
      <formula>"Towel"</formula>
    </cfRule>
    <cfRule type="cellIs" dxfId="6877" priority="10555" stopIfTrue="1" operator="equal">
      <formula>"Napkin Hs"</formula>
    </cfRule>
  </conditionalFormatting>
  <conditionalFormatting sqref="C98">
    <cfRule type="cellIs" dxfId="6876" priority="10552" stopIfTrue="1" operator="equal">
      <formula>"Towel"</formula>
    </cfRule>
    <cfRule type="cellIs" dxfId="6875" priority="10553" stopIfTrue="1" operator="equal">
      <formula>"Napkin Hs"</formula>
    </cfRule>
  </conditionalFormatting>
  <conditionalFormatting sqref="C98">
    <cfRule type="cellIs" dxfId="6874" priority="10544" stopIfTrue="1" operator="equal">
      <formula>"Towel"</formula>
    </cfRule>
    <cfRule type="cellIs" dxfId="6873" priority="10545" stopIfTrue="1" operator="equal">
      <formula>"Napkin Hs"</formula>
    </cfRule>
  </conditionalFormatting>
  <conditionalFormatting sqref="C98">
    <cfRule type="cellIs" dxfId="6872" priority="10546" stopIfTrue="1" operator="equal">
      <formula>"Towel"</formula>
    </cfRule>
    <cfRule type="cellIs" dxfId="6871" priority="10547" stopIfTrue="1" operator="equal">
      <formula>"Napkin Hs"</formula>
    </cfRule>
  </conditionalFormatting>
  <conditionalFormatting sqref="C98">
    <cfRule type="cellIs" dxfId="6870" priority="10548" stopIfTrue="1" operator="equal">
      <formula>"Towel"</formula>
    </cfRule>
    <cfRule type="cellIs" dxfId="6869" priority="10549" stopIfTrue="1" operator="equal">
      <formula>"Napkin Hs"</formula>
    </cfRule>
  </conditionalFormatting>
  <conditionalFormatting sqref="C98">
    <cfRule type="cellIs" dxfId="6868" priority="10542" stopIfTrue="1" operator="equal">
      <formula>"Towel"</formula>
    </cfRule>
    <cfRule type="cellIs" dxfId="6867" priority="10543" stopIfTrue="1" operator="equal">
      <formula>"Napkin Hs"</formula>
    </cfRule>
  </conditionalFormatting>
  <conditionalFormatting sqref="C98">
    <cfRule type="cellIs" dxfId="6866" priority="10540" stopIfTrue="1" operator="equal">
      <formula>"Towel"</formula>
    </cfRule>
    <cfRule type="cellIs" dxfId="6865" priority="10541" stopIfTrue="1" operator="equal">
      <formula>"Napkin Hs"</formula>
    </cfRule>
  </conditionalFormatting>
  <conditionalFormatting sqref="C98">
    <cfRule type="cellIs" dxfId="6864" priority="10516" stopIfTrue="1" operator="equal">
      <formula>"Towel"</formula>
    </cfRule>
  </conditionalFormatting>
  <conditionalFormatting sqref="C98">
    <cfRule type="cellIs" dxfId="6863" priority="10517" stopIfTrue="1" operator="equal">
      <formula>"Napkin Hs"</formula>
    </cfRule>
    <cfRule type="cellIs" dxfId="6862" priority="10522" stopIfTrue="1" operator="equal">
      <formula>"Towel"</formula>
    </cfRule>
    <cfRule type="cellIs" dxfId="6861" priority="10523" stopIfTrue="1" operator="equal">
      <formula>"Napkin Hs"</formula>
    </cfRule>
    <cfRule type="cellIs" dxfId="6860" priority="10532" stopIfTrue="1" operator="equal">
      <formula>"Towel"</formula>
    </cfRule>
    <cfRule type="cellIs" dxfId="6859" priority="10533" stopIfTrue="1" operator="equal">
      <formula>"Napkin Hs"</formula>
    </cfRule>
    <cfRule type="cellIs" dxfId="6858" priority="10538" stopIfTrue="1" operator="equal">
      <formula>"Towel"</formula>
    </cfRule>
    <cfRule type="cellIs" dxfId="6857" priority="10539" stopIfTrue="1" operator="equal">
      <formula>"Napkin Hs"</formula>
    </cfRule>
  </conditionalFormatting>
  <conditionalFormatting sqref="C98">
    <cfRule type="cellIs" dxfId="6856" priority="10518" stopIfTrue="1" operator="equal">
      <formula>"Towel"</formula>
    </cfRule>
    <cfRule type="cellIs" dxfId="6855" priority="10519" stopIfTrue="1" operator="equal">
      <formula>"Napkin Hs"</formula>
    </cfRule>
    <cfRule type="cellIs" dxfId="6854" priority="10520" stopIfTrue="1" operator="equal">
      <formula>"Towel"</formula>
    </cfRule>
    <cfRule type="cellIs" dxfId="6853" priority="10521" stopIfTrue="1" operator="equal">
      <formula>"Napkin Hs"</formula>
    </cfRule>
    <cfRule type="cellIs" dxfId="6852" priority="10524" stopIfTrue="1" operator="equal">
      <formula>"Towel"</formula>
    </cfRule>
    <cfRule type="cellIs" dxfId="6851" priority="10525" stopIfTrue="1" operator="equal">
      <formula>"Napkin Hs"</formula>
    </cfRule>
    <cfRule type="cellIs" dxfId="6850" priority="10526" stopIfTrue="1" operator="equal">
      <formula>"Towel"</formula>
    </cfRule>
    <cfRule type="cellIs" dxfId="6849" priority="10527" stopIfTrue="1" operator="equal">
      <formula>"Napkin Hs"</formula>
    </cfRule>
    <cfRule type="cellIs" dxfId="6848" priority="10528" stopIfTrue="1" operator="equal">
      <formula>"Towel"</formula>
    </cfRule>
    <cfRule type="cellIs" dxfId="6847" priority="10529" stopIfTrue="1" operator="equal">
      <formula>"Napkin Hs"</formula>
    </cfRule>
    <cfRule type="cellIs" dxfId="6846" priority="10530" stopIfTrue="1" operator="equal">
      <formula>"Towel"</formula>
    </cfRule>
    <cfRule type="cellIs" dxfId="6845" priority="10531" stopIfTrue="1" operator="equal">
      <formula>"Napkin Hs"</formula>
    </cfRule>
    <cfRule type="cellIs" dxfId="6844" priority="10534" stopIfTrue="1" operator="equal">
      <formula>"Towel"</formula>
    </cfRule>
    <cfRule type="cellIs" dxfId="6843" priority="10535" stopIfTrue="1" operator="equal">
      <formula>"Napkin Hs"</formula>
    </cfRule>
    <cfRule type="cellIs" dxfId="6842" priority="10537" stopIfTrue="1" operator="equal">
      <formula>"Napkin Hs"</formula>
    </cfRule>
  </conditionalFormatting>
  <conditionalFormatting sqref="C98">
    <cfRule type="cellIs" dxfId="6841" priority="10536" stopIfTrue="1" operator="equal">
      <formula>"Towel"</formula>
    </cfRule>
  </conditionalFormatting>
  <conditionalFormatting sqref="C98">
    <cfRule type="cellIs" dxfId="6840" priority="10514" stopIfTrue="1" operator="equal">
      <formula>"Towel"</formula>
    </cfRule>
    <cfRule type="cellIs" dxfId="6839" priority="10515" stopIfTrue="1" operator="equal">
      <formula>"Napkin Hs"</formula>
    </cfRule>
  </conditionalFormatting>
  <conditionalFormatting sqref="C98">
    <cfRule type="cellIs" dxfId="6838" priority="10513" stopIfTrue="1" operator="equal">
      <formula>"Napkin Hs"</formula>
    </cfRule>
  </conditionalFormatting>
  <conditionalFormatting sqref="C98">
    <cfRule type="cellIs" dxfId="6837" priority="10512" stopIfTrue="1" operator="equal">
      <formula>"Towel"</formula>
    </cfRule>
  </conditionalFormatting>
  <conditionalFormatting sqref="C98">
    <cfRule type="cellIs" dxfId="6836" priority="10510" stopIfTrue="1" operator="equal">
      <formula>"Towel"</formula>
    </cfRule>
  </conditionalFormatting>
  <conditionalFormatting sqref="C98">
    <cfRule type="cellIs" dxfId="6835" priority="10511" stopIfTrue="1" operator="equal">
      <formula>"Napkin Hs"</formula>
    </cfRule>
  </conditionalFormatting>
  <conditionalFormatting sqref="C98">
    <cfRule type="cellIs" dxfId="6834" priority="10414" stopIfTrue="1" operator="equal">
      <formula>"Towel"</formula>
    </cfRule>
  </conditionalFormatting>
  <conditionalFormatting sqref="C98">
    <cfRule type="cellIs" dxfId="6833" priority="10424" stopIfTrue="1" operator="equal">
      <formula>"Towel"</formula>
    </cfRule>
    <cfRule type="cellIs" dxfId="6832" priority="10425" stopIfTrue="1" operator="equal">
      <formula>"Napkin Hs"</formula>
    </cfRule>
    <cfRule type="cellIs" dxfId="6831" priority="10430" stopIfTrue="1" operator="equal">
      <formula>"Towel"</formula>
    </cfRule>
    <cfRule type="cellIs" dxfId="6830" priority="10431" stopIfTrue="1" operator="equal">
      <formula>"Napkin Hs"</formula>
    </cfRule>
    <cfRule type="cellIs" dxfId="6829" priority="10436" stopIfTrue="1" operator="equal">
      <formula>"Towel"</formula>
    </cfRule>
    <cfRule type="cellIs" dxfId="6828" priority="10437" stopIfTrue="1" operator="equal">
      <formula>"Napkin Hs"</formula>
    </cfRule>
    <cfRule type="cellIs" dxfId="6827" priority="10438" stopIfTrue="1" operator="equal">
      <formula>"Towel"</formula>
    </cfRule>
    <cfRule type="cellIs" dxfId="6826" priority="10439" stopIfTrue="1" operator="equal">
      <formula>"Napkin Hs"</formula>
    </cfRule>
    <cfRule type="cellIs" dxfId="6825" priority="10444" stopIfTrue="1" operator="equal">
      <formula>"Towel"</formula>
    </cfRule>
    <cfRule type="cellIs" dxfId="6824" priority="10445" stopIfTrue="1" operator="equal">
      <formula>"Napkin Hs"</formula>
    </cfRule>
    <cfRule type="cellIs" dxfId="6823" priority="10454" stopIfTrue="1" operator="equal">
      <formula>"Towel"</formula>
    </cfRule>
    <cfRule type="cellIs" dxfId="6822" priority="10455" stopIfTrue="1" operator="equal">
      <formula>"Napkin Hs"</formula>
    </cfRule>
    <cfRule type="cellIs" dxfId="6821" priority="10460" stopIfTrue="1" operator="equal">
      <formula>"Towel"</formula>
    </cfRule>
    <cfRule type="cellIs" dxfId="6820" priority="10461" stopIfTrue="1" operator="equal">
      <formula>"Napkin Hs"</formula>
    </cfRule>
    <cfRule type="cellIs" dxfId="6819" priority="10462" stopIfTrue="1" operator="equal">
      <formula>"Towel"</formula>
    </cfRule>
    <cfRule type="cellIs" dxfId="6818" priority="10463" stopIfTrue="1" operator="equal">
      <formula>"Napkin Hs"</formula>
    </cfRule>
    <cfRule type="cellIs" dxfId="6817" priority="10468" stopIfTrue="1" operator="equal">
      <formula>"Towel"</formula>
    </cfRule>
    <cfRule type="cellIs" dxfId="6816" priority="10469" stopIfTrue="1" operator="equal">
      <formula>"Napkin Hs"</formula>
    </cfRule>
    <cfRule type="cellIs" dxfId="6815" priority="10478" stopIfTrue="1" operator="equal">
      <formula>"Towel"</formula>
    </cfRule>
    <cfRule type="cellIs" dxfId="6814" priority="10479" stopIfTrue="1" operator="equal">
      <formula>"Napkin Hs"</formula>
    </cfRule>
    <cfRule type="cellIs" dxfId="6813" priority="10480" stopIfTrue="1" operator="equal">
      <formula>"Towel"</formula>
    </cfRule>
    <cfRule type="cellIs" dxfId="6812" priority="10481" stopIfTrue="1" operator="equal">
      <formula>"Napkin Hs"</formula>
    </cfRule>
    <cfRule type="cellIs" dxfId="6811" priority="10486" stopIfTrue="1" operator="equal">
      <formula>"Towel"</formula>
    </cfRule>
    <cfRule type="cellIs" dxfId="6810" priority="10487" stopIfTrue="1" operator="equal">
      <formula>"Napkin Hs"</formula>
    </cfRule>
    <cfRule type="cellIs" dxfId="6809" priority="10496" stopIfTrue="1" operator="equal">
      <formula>"Towel"</formula>
    </cfRule>
    <cfRule type="cellIs" dxfId="6808" priority="10497" stopIfTrue="1" operator="equal">
      <formula>"Napkin Hs"</formula>
    </cfRule>
    <cfRule type="cellIs" dxfId="6807" priority="10498" stopIfTrue="1" operator="equal">
      <formula>"Towel"</formula>
    </cfRule>
    <cfRule type="cellIs" dxfId="6806" priority="10499" stopIfTrue="1" operator="equal">
      <formula>"Napkin Hs"</formula>
    </cfRule>
    <cfRule type="cellIs" dxfId="6805" priority="10505" stopIfTrue="1" operator="equal">
      <formula>"Napkin Hs"</formula>
    </cfRule>
  </conditionalFormatting>
  <conditionalFormatting sqref="C98">
    <cfRule type="cellIs" dxfId="6804" priority="10504" stopIfTrue="1" operator="equal">
      <formula>"Towel"</formula>
    </cfRule>
  </conditionalFormatting>
  <conditionalFormatting sqref="C98">
    <cfRule type="cellIs" dxfId="6803" priority="10415" stopIfTrue="1" operator="equal">
      <formula>"Napkin Hs"</formula>
    </cfRule>
    <cfRule type="cellIs" dxfId="6802" priority="10416" stopIfTrue="1" operator="equal">
      <formula>"Towel"</formula>
    </cfRule>
    <cfRule type="cellIs" dxfId="6801" priority="10417" stopIfTrue="1" operator="equal">
      <formula>"Napkin Hs"</formula>
    </cfRule>
    <cfRule type="cellIs" dxfId="6800" priority="10418" stopIfTrue="1" operator="equal">
      <formula>"Towel"</formula>
    </cfRule>
    <cfRule type="cellIs" dxfId="6799" priority="10419" stopIfTrue="1" operator="equal">
      <formula>"Napkin Hs"</formula>
    </cfRule>
    <cfRule type="cellIs" dxfId="6798" priority="10420" stopIfTrue="1" operator="equal">
      <formula>"Towel"</formula>
    </cfRule>
    <cfRule type="cellIs" dxfId="6797" priority="10421" stopIfTrue="1" operator="equal">
      <formula>"Napkin Hs"</formula>
    </cfRule>
    <cfRule type="cellIs" dxfId="6796" priority="10422" stopIfTrue="1" operator="equal">
      <formula>"Towel"</formula>
    </cfRule>
    <cfRule type="cellIs" dxfId="6795" priority="10423" stopIfTrue="1" operator="equal">
      <formula>"Napkin Hs"</formula>
    </cfRule>
    <cfRule type="cellIs" dxfId="6794" priority="10426" stopIfTrue="1" operator="equal">
      <formula>"Towel"</formula>
    </cfRule>
    <cfRule type="cellIs" dxfId="6793" priority="10427" stopIfTrue="1" operator="equal">
      <formula>"Napkin Hs"</formula>
    </cfRule>
    <cfRule type="cellIs" dxfId="6792" priority="10428" stopIfTrue="1" operator="equal">
      <formula>"Towel"</formula>
    </cfRule>
    <cfRule type="cellIs" dxfId="6791" priority="10429" stopIfTrue="1" operator="equal">
      <formula>"Napkin Hs"</formula>
    </cfRule>
    <cfRule type="cellIs" dxfId="6790" priority="10432" stopIfTrue="1" operator="equal">
      <formula>"Towel"</formula>
    </cfRule>
    <cfRule type="cellIs" dxfId="6789" priority="10433" stopIfTrue="1" operator="equal">
      <formula>"Napkin Hs"</formula>
    </cfRule>
    <cfRule type="cellIs" dxfId="6788" priority="10434" stopIfTrue="1" operator="equal">
      <formula>"Towel"</formula>
    </cfRule>
    <cfRule type="cellIs" dxfId="6787" priority="10435" stopIfTrue="1" operator="equal">
      <formula>"Napkin Hs"</formula>
    </cfRule>
    <cfRule type="cellIs" dxfId="6786" priority="10440" stopIfTrue="1" operator="equal">
      <formula>"Towel"</formula>
    </cfRule>
    <cfRule type="cellIs" dxfId="6785" priority="10441" stopIfTrue="1" operator="equal">
      <formula>"Napkin Hs"</formula>
    </cfRule>
    <cfRule type="cellIs" dxfId="6784" priority="10442" stopIfTrue="1" operator="equal">
      <formula>"Towel"</formula>
    </cfRule>
    <cfRule type="cellIs" dxfId="6783" priority="10443" stopIfTrue="1" operator="equal">
      <formula>"Napkin Hs"</formula>
    </cfRule>
    <cfRule type="cellIs" dxfId="6782" priority="10446" stopIfTrue="1" operator="equal">
      <formula>"Towel"</formula>
    </cfRule>
    <cfRule type="cellIs" dxfId="6781" priority="10447" stopIfTrue="1" operator="equal">
      <formula>"Napkin Hs"</formula>
    </cfRule>
    <cfRule type="cellIs" dxfId="6780" priority="10448" stopIfTrue="1" operator="equal">
      <formula>"Towel"</formula>
    </cfRule>
    <cfRule type="cellIs" dxfId="6779" priority="10449" stopIfTrue="1" operator="equal">
      <formula>"Napkin Hs"</formula>
    </cfRule>
    <cfRule type="cellIs" dxfId="6778" priority="10450" stopIfTrue="1" operator="equal">
      <formula>"Towel"</formula>
    </cfRule>
    <cfRule type="cellIs" dxfId="6777" priority="10451" stopIfTrue="1" operator="equal">
      <formula>"Napkin Hs"</formula>
    </cfRule>
    <cfRule type="cellIs" dxfId="6776" priority="10452" stopIfTrue="1" operator="equal">
      <formula>"Towel"</formula>
    </cfRule>
    <cfRule type="cellIs" dxfId="6775" priority="10453" stopIfTrue="1" operator="equal">
      <formula>"Napkin Hs"</formula>
    </cfRule>
    <cfRule type="cellIs" dxfId="6774" priority="10456" stopIfTrue="1" operator="equal">
      <formula>"Towel"</formula>
    </cfRule>
    <cfRule type="cellIs" dxfId="6773" priority="10457" stopIfTrue="1" operator="equal">
      <formula>"Napkin Hs"</formula>
    </cfRule>
    <cfRule type="cellIs" dxfId="6772" priority="10458" stopIfTrue="1" operator="equal">
      <formula>"Towel"</formula>
    </cfRule>
    <cfRule type="cellIs" dxfId="6771" priority="10459" stopIfTrue="1" operator="equal">
      <formula>"Napkin Hs"</formula>
    </cfRule>
    <cfRule type="cellIs" dxfId="6770" priority="10464" stopIfTrue="1" operator="equal">
      <formula>"Towel"</formula>
    </cfRule>
    <cfRule type="cellIs" dxfId="6769" priority="10465" stopIfTrue="1" operator="equal">
      <formula>"Napkin Hs"</formula>
    </cfRule>
    <cfRule type="cellIs" dxfId="6768" priority="10466" stopIfTrue="1" operator="equal">
      <formula>"Towel"</formula>
    </cfRule>
    <cfRule type="cellIs" dxfId="6767" priority="10467" stopIfTrue="1" operator="equal">
      <formula>"Napkin Hs"</formula>
    </cfRule>
    <cfRule type="cellIs" dxfId="6766" priority="10470" stopIfTrue="1" operator="equal">
      <formula>"Towel"</formula>
    </cfRule>
    <cfRule type="cellIs" dxfId="6765" priority="10471" stopIfTrue="1" operator="equal">
      <formula>"Napkin Hs"</formula>
    </cfRule>
    <cfRule type="cellIs" dxfId="6764" priority="10472" stopIfTrue="1" operator="equal">
      <formula>"Towel"</formula>
    </cfRule>
    <cfRule type="cellIs" dxfId="6763" priority="10473" stopIfTrue="1" operator="equal">
      <formula>"Napkin Hs"</formula>
    </cfRule>
    <cfRule type="cellIs" dxfId="6762" priority="10474" stopIfTrue="1" operator="equal">
      <formula>"Towel"</formula>
    </cfRule>
    <cfRule type="cellIs" dxfId="6761" priority="10475" stopIfTrue="1" operator="equal">
      <formula>"Napkin Hs"</formula>
    </cfRule>
    <cfRule type="cellIs" dxfId="6760" priority="10476" stopIfTrue="1" operator="equal">
      <formula>"Towel"</formula>
    </cfRule>
    <cfRule type="cellIs" dxfId="6759" priority="10477" stopIfTrue="1" operator="equal">
      <formula>"Napkin Hs"</formula>
    </cfRule>
    <cfRule type="cellIs" dxfId="6758" priority="10482" stopIfTrue="1" operator="equal">
      <formula>"Towel"</formula>
    </cfRule>
    <cfRule type="cellIs" dxfId="6757" priority="10483" stopIfTrue="1" operator="equal">
      <formula>"Napkin Hs"</formula>
    </cfRule>
    <cfRule type="cellIs" dxfId="6756" priority="10484" stopIfTrue="1" operator="equal">
      <formula>"Towel"</formula>
    </cfRule>
    <cfRule type="cellIs" dxfId="6755" priority="10485" stopIfTrue="1" operator="equal">
      <formula>"Napkin Hs"</formula>
    </cfRule>
    <cfRule type="cellIs" dxfId="6754" priority="10488" stopIfTrue="1" operator="equal">
      <formula>"Towel"</formula>
    </cfRule>
    <cfRule type="cellIs" dxfId="6753" priority="10489" stopIfTrue="1" operator="equal">
      <formula>"Napkin Hs"</formula>
    </cfRule>
    <cfRule type="cellIs" dxfId="6752" priority="10490" stopIfTrue="1" operator="equal">
      <formula>"Towel"</formula>
    </cfRule>
    <cfRule type="cellIs" dxfId="6751" priority="10491" stopIfTrue="1" operator="equal">
      <formula>"Napkin Hs"</formula>
    </cfRule>
    <cfRule type="cellIs" dxfId="6750" priority="10492" stopIfTrue="1" operator="equal">
      <formula>"Towel"</formula>
    </cfRule>
    <cfRule type="cellIs" dxfId="6749" priority="10493" stopIfTrue="1" operator="equal">
      <formula>"Napkin Hs"</formula>
    </cfRule>
    <cfRule type="cellIs" dxfId="6748" priority="10494" stopIfTrue="1" operator="equal">
      <formula>"Towel"</formula>
    </cfRule>
    <cfRule type="cellIs" dxfId="6747" priority="10495" stopIfTrue="1" operator="equal">
      <formula>"Napkin Hs"</formula>
    </cfRule>
    <cfRule type="cellIs" dxfId="6746" priority="10500" stopIfTrue="1" operator="equal">
      <formula>"Towel"</formula>
    </cfRule>
    <cfRule type="cellIs" dxfId="6745" priority="10501" stopIfTrue="1" operator="equal">
      <formula>"Napkin Hs"</formula>
    </cfRule>
    <cfRule type="cellIs" dxfId="6744" priority="10502" stopIfTrue="1" operator="equal">
      <formula>"Towel"</formula>
    </cfRule>
    <cfRule type="cellIs" dxfId="6743" priority="10503" stopIfTrue="1" operator="equal">
      <formula>"Napkin Hs"</formula>
    </cfRule>
    <cfRule type="cellIs" dxfId="6742" priority="10506" stopIfTrue="1" operator="equal">
      <formula>"Towel"</formula>
    </cfRule>
    <cfRule type="cellIs" dxfId="6741" priority="10507" stopIfTrue="1" operator="equal">
      <formula>"Napkin Hs"</formula>
    </cfRule>
    <cfRule type="cellIs" dxfId="6740" priority="10508" stopIfTrue="1" operator="equal">
      <formula>"Towel"</formula>
    </cfRule>
    <cfRule type="cellIs" dxfId="6739" priority="10509" stopIfTrue="1" operator="equal">
      <formula>"Napkin Hs"</formula>
    </cfRule>
  </conditionalFormatting>
  <conditionalFormatting sqref="C98">
    <cfRule type="cellIs" dxfId="6738" priority="10413" stopIfTrue="1" operator="equal">
      <formula>"Napkin Hs"</formula>
    </cfRule>
  </conditionalFormatting>
  <conditionalFormatting sqref="C98">
    <cfRule type="cellIs" dxfId="6737" priority="10412" stopIfTrue="1" operator="equal">
      <formula>"Napkin Hs"</formula>
    </cfRule>
  </conditionalFormatting>
  <conditionalFormatting sqref="C98">
    <cfRule type="cellIs" dxfId="6736" priority="10411" stopIfTrue="1" operator="equal">
      <formula>"Napkin Hs"</formula>
    </cfRule>
  </conditionalFormatting>
  <conditionalFormatting sqref="C98">
    <cfRule type="cellIs" dxfId="6735" priority="10410" stopIfTrue="1" operator="equal">
      <formula>"Napkin Hs"</formula>
    </cfRule>
  </conditionalFormatting>
  <conditionalFormatting sqref="C98">
    <cfRule type="cellIs" dxfId="6734" priority="10409" stopIfTrue="1" operator="equal">
      <formula>"Napkin Hs"</formula>
    </cfRule>
  </conditionalFormatting>
  <conditionalFormatting sqref="C98">
    <cfRule type="cellIs" dxfId="6733" priority="10408" stopIfTrue="1" operator="equal">
      <formula>"Napkin Hs"</formula>
    </cfRule>
  </conditionalFormatting>
  <conditionalFormatting sqref="C98">
    <cfRule type="cellIs" dxfId="6732" priority="10404" stopIfTrue="1" operator="equal">
      <formula>"Towel"</formula>
    </cfRule>
    <cfRule type="cellIs" dxfId="6731" priority="10405" stopIfTrue="1" operator="equal">
      <formula>"Napkin Hs"</formula>
    </cfRule>
  </conditionalFormatting>
  <conditionalFormatting sqref="C98">
    <cfRule type="cellIs" dxfId="6730" priority="10406" stopIfTrue="1" operator="equal">
      <formula>"Towel"</formula>
    </cfRule>
    <cfRule type="cellIs" dxfId="6729" priority="10407" stopIfTrue="1" operator="equal">
      <formula>"Napkin Hs"</formula>
    </cfRule>
  </conditionalFormatting>
  <conditionalFormatting sqref="C98">
    <cfRule type="cellIs" dxfId="6728" priority="10400" stopIfTrue="1" operator="equal">
      <formula>"Towel"</formula>
    </cfRule>
    <cfRule type="cellIs" dxfId="6727" priority="10401" stopIfTrue="1" operator="equal">
      <formula>"Napkin Hs"</formula>
    </cfRule>
  </conditionalFormatting>
  <conditionalFormatting sqref="C98">
    <cfRule type="cellIs" dxfId="6726" priority="10402" stopIfTrue="1" operator="equal">
      <formula>"Towel"</formula>
    </cfRule>
    <cfRule type="cellIs" dxfId="6725" priority="10403" stopIfTrue="1" operator="equal">
      <formula>"Napkin Hs"</formula>
    </cfRule>
  </conditionalFormatting>
  <conditionalFormatting sqref="B97">
    <cfRule type="cellIs" dxfId="6724" priority="10228" stopIfTrue="1" operator="equal">
      <formula>"Napkin Hs"</formula>
    </cfRule>
  </conditionalFormatting>
  <conditionalFormatting sqref="B97">
    <cfRule type="cellIs" dxfId="6723" priority="10227" stopIfTrue="1" operator="equal">
      <formula>"Napkin Hs"</formula>
    </cfRule>
  </conditionalFormatting>
  <conditionalFormatting sqref="B97">
    <cfRule type="cellIs" dxfId="6722" priority="10226" stopIfTrue="1" operator="equal">
      <formula>"Napkin Hs"</formula>
    </cfRule>
  </conditionalFormatting>
  <conditionalFormatting sqref="C97">
    <cfRule type="cellIs" dxfId="6721" priority="10224" stopIfTrue="1" operator="equal">
      <formula>"Towel"</formula>
    </cfRule>
    <cfRule type="cellIs" dxfId="6720" priority="10225" stopIfTrue="1" operator="equal">
      <formula>"Napkin Hs"</formula>
    </cfRule>
  </conditionalFormatting>
  <conditionalFormatting sqref="C97">
    <cfRule type="cellIs" dxfId="6719" priority="10220" stopIfTrue="1" operator="equal">
      <formula>"Towel"</formula>
    </cfRule>
    <cfRule type="cellIs" dxfId="6718" priority="10221" stopIfTrue="1" operator="equal">
      <formula>"Napkin Hs"</formula>
    </cfRule>
  </conditionalFormatting>
  <conditionalFormatting sqref="C97">
    <cfRule type="cellIs" dxfId="6717" priority="10222" stopIfTrue="1" operator="equal">
      <formula>"Towel"</formula>
    </cfRule>
    <cfRule type="cellIs" dxfId="6716" priority="10223" stopIfTrue="1" operator="equal">
      <formula>"Napkin Hs"</formula>
    </cfRule>
  </conditionalFormatting>
  <conditionalFormatting sqref="C97">
    <cfRule type="cellIs" dxfId="6715" priority="10216" stopIfTrue="1" operator="equal">
      <formula>"Towel"</formula>
    </cfRule>
    <cfRule type="cellIs" dxfId="6714" priority="10217" stopIfTrue="1" operator="equal">
      <formula>"Napkin Hs"</formula>
    </cfRule>
  </conditionalFormatting>
  <conditionalFormatting sqref="C97">
    <cfRule type="cellIs" dxfId="6713" priority="10218" stopIfTrue="1" operator="equal">
      <formula>"Towel"</formula>
    </cfRule>
    <cfRule type="cellIs" dxfId="6712" priority="10219" stopIfTrue="1" operator="equal">
      <formula>"Napkin Hs"</formula>
    </cfRule>
  </conditionalFormatting>
  <conditionalFormatting sqref="C97">
    <cfRule type="cellIs" dxfId="6711" priority="10214" stopIfTrue="1" operator="equal">
      <formula>"Towel"</formula>
    </cfRule>
    <cfRule type="cellIs" dxfId="6710" priority="10215" stopIfTrue="1" operator="equal">
      <formula>"Napkin Hs"</formula>
    </cfRule>
  </conditionalFormatting>
  <conditionalFormatting sqref="C97">
    <cfRule type="cellIs" dxfId="6709" priority="10208" stopIfTrue="1" operator="equal">
      <formula>"Towel"</formula>
    </cfRule>
    <cfRule type="cellIs" dxfId="6708" priority="10209" stopIfTrue="1" operator="equal">
      <formula>"Napkin Hs"</formula>
    </cfRule>
  </conditionalFormatting>
  <conditionalFormatting sqref="C97">
    <cfRule type="cellIs" dxfId="6707" priority="10212" stopIfTrue="1" operator="equal">
      <formula>"Towel"</formula>
    </cfRule>
    <cfRule type="cellIs" dxfId="6706" priority="10213" stopIfTrue="1" operator="equal">
      <formula>"Napkin Hs"</formula>
    </cfRule>
  </conditionalFormatting>
  <conditionalFormatting sqref="C97">
    <cfRule type="cellIs" dxfId="6705" priority="10210" stopIfTrue="1" operator="equal">
      <formula>"Towel"</formula>
    </cfRule>
    <cfRule type="cellIs" dxfId="6704" priority="10211" stopIfTrue="1" operator="equal">
      <formula>"Napkin Hs"</formula>
    </cfRule>
  </conditionalFormatting>
  <conditionalFormatting sqref="C97">
    <cfRule type="cellIs" dxfId="6703" priority="10202" stopIfTrue="1" operator="equal">
      <formula>"Towel"</formula>
    </cfRule>
    <cfRule type="cellIs" dxfId="6702" priority="10203" stopIfTrue="1" operator="equal">
      <formula>"Napkin Hs"</formula>
    </cfRule>
  </conditionalFormatting>
  <conditionalFormatting sqref="C97">
    <cfRule type="cellIs" dxfId="6701" priority="10204" stopIfTrue="1" operator="equal">
      <formula>"Towel"</formula>
    </cfRule>
    <cfRule type="cellIs" dxfId="6700" priority="10205" stopIfTrue="1" operator="equal">
      <formula>"Napkin Hs"</formula>
    </cfRule>
  </conditionalFormatting>
  <conditionalFormatting sqref="C97">
    <cfRule type="cellIs" dxfId="6699" priority="10206" stopIfTrue="1" operator="equal">
      <formula>"Towel"</formula>
    </cfRule>
    <cfRule type="cellIs" dxfId="6698" priority="10207" stopIfTrue="1" operator="equal">
      <formula>"Napkin Hs"</formula>
    </cfRule>
  </conditionalFormatting>
  <conditionalFormatting sqref="C97">
    <cfRule type="cellIs" dxfId="6697" priority="10200" stopIfTrue="1" operator="equal">
      <formula>"Towel"</formula>
    </cfRule>
    <cfRule type="cellIs" dxfId="6696" priority="10201" stopIfTrue="1" operator="equal">
      <formula>"Napkin Hs"</formula>
    </cfRule>
  </conditionalFormatting>
  <conditionalFormatting sqref="C97">
    <cfRule type="cellIs" dxfId="6695" priority="10198" stopIfTrue="1" operator="equal">
      <formula>"Towel"</formula>
    </cfRule>
    <cfRule type="cellIs" dxfId="6694" priority="10199" stopIfTrue="1" operator="equal">
      <formula>"Napkin Hs"</formula>
    </cfRule>
  </conditionalFormatting>
  <conditionalFormatting sqref="C97">
    <cfRule type="cellIs" dxfId="6693" priority="10174" stopIfTrue="1" operator="equal">
      <formula>"Towel"</formula>
    </cfRule>
  </conditionalFormatting>
  <conditionalFormatting sqref="C97">
    <cfRule type="cellIs" dxfId="6692" priority="10175" stopIfTrue="1" operator="equal">
      <formula>"Napkin Hs"</formula>
    </cfRule>
    <cfRule type="cellIs" dxfId="6691" priority="10180" stopIfTrue="1" operator="equal">
      <formula>"Towel"</formula>
    </cfRule>
    <cfRule type="cellIs" dxfId="6690" priority="10181" stopIfTrue="1" operator="equal">
      <formula>"Napkin Hs"</formula>
    </cfRule>
    <cfRule type="cellIs" dxfId="6689" priority="10190" stopIfTrue="1" operator="equal">
      <formula>"Towel"</formula>
    </cfRule>
    <cfRule type="cellIs" dxfId="6688" priority="10191" stopIfTrue="1" operator="equal">
      <formula>"Napkin Hs"</formula>
    </cfRule>
    <cfRule type="cellIs" dxfId="6687" priority="10196" stopIfTrue="1" operator="equal">
      <formula>"Towel"</formula>
    </cfRule>
    <cfRule type="cellIs" dxfId="6686" priority="10197" stopIfTrue="1" operator="equal">
      <formula>"Napkin Hs"</formula>
    </cfRule>
  </conditionalFormatting>
  <conditionalFormatting sqref="C97">
    <cfRule type="cellIs" dxfId="6685" priority="10176" stopIfTrue="1" operator="equal">
      <formula>"Towel"</formula>
    </cfRule>
    <cfRule type="cellIs" dxfId="6684" priority="10177" stopIfTrue="1" operator="equal">
      <formula>"Napkin Hs"</formula>
    </cfRule>
    <cfRule type="cellIs" dxfId="6683" priority="10178" stopIfTrue="1" operator="equal">
      <formula>"Towel"</formula>
    </cfRule>
    <cfRule type="cellIs" dxfId="6682" priority="10179" stopIfTrue="1" operator="equal">
      <formula>"Napkin Hs"</formula>
    </cfRule>
    <cfRule type="cellIs" dxfId="6681" priority="10182" stopIfTrue="1" operator="equal">
      <formula>"Towel"</formula>
    </cfRule>
    <cfRule type="cellIs" dxfId="6680" priority="10183" stopIfTrue="1" operator="equal">
      <formula>"Napkin Hs"</formula>
    </cfRule>
    <cfRule type="cellIs" dxfId="6679" priority="10184" stopIfTrue="1" operator="equal">
      <formula>"Towel"</formula>
    </cfRule>
    <cfRule type="cellIs" dxfId="6678" priority="10185" stopIfTrue="1" operator="equal">
      <formula>"Napkin Hs"</formula>
    </cfRule>
    <cfRule type="cellIs" dxfId="6677" priority="10186" stopIfTrue="1" operator="equal">
      <formula>"Towel"</formula>
    </cfRule>
    <cfRule type="cellIs" dxfId="6676" priority="10187" stopIfTrue="1" operator="equal">
      <formula>"Napkin Hs"</formula>
    </cfRule>
    <cfRule type="cellIs" dxfId="6675" priority="10188" stopIfTrue="1" operator="equal">
      <formula>"Towel"</formula>
    </cfRule>
    <cfRule type="cellIs" dxfId="6674" priority="10189" stopIfTrue="1" operator="equal">
      <formula>"Napkin Hs"</formula>
    </cfRule>
    <cfRule type="cellIs" dxfId="6673" priority="10192" stopIfTrue="1" operator="equal">
      <formula>"Towel"</formula>
    </cfRule>
    <cfRule type="cellIs" dxfId="6672" priority="10193" stopIfTrue="1" operator="equal">
      <formula>"Napkin Hs"</formula>
    </cfRule>
    <cfRule type="cellIs" dxfId="6671" priority="10195" stopIfTrue="1" operator="equal">
      <formula>"Napkin Hs"</formula>
    </cfRule>
  </conditionalFormatting>
  <conditionalFormatting sqref="C97">
    <cfRule type="cellIs" dxfId="6670" priority="10194" stopIfTrue="1" operator="equal">
      <formula>"Towel"</formula>
    </cfRule>
  </conditionalFormatting>
  <conditionalFormatting sqref="C97">
    <cfRule type="cellIs" dxfId="6669" priority="10172" stopIfTrue="1" operator="equal">
      <formula>"Towel"</formula>
    </cfRule>
    <cfRule type="cellIs" dxfId="6668" priority="10173" stopIfTrue="1" operator="equal">
      <formula>"Napkin Hs"</formula>
    </cfRule>
  </conditionalFormatting>
  <conditionalFormatting sqref="C97">
    <cfRule type="cellIs" dxfId="6667" priority="10171" stopIfTrue="1" operator="equal">
      <formula>"Napkin Hs"</formula>
    </cfRule>
  </conditionalFormatting>
  <conditionalFormatting sqref="C97">
    <cfRule type="cellIs" dxfId="6666" priority="10170" stopIfTrue="1" operator="equal">
      <formula>"Towel"</formula>
    </cfRule>
  </conditionalFormatting>
  <conditionalFormatting sqref="C97">
    <cfRule type="cellIs" dxfId="6665" priority="10168" stopIfTrue="1" operator="equal">
      <formula>"Towel"</formula>
    </cfRule>
  </conditionalFormatting>
  <conditionalFormatting sqref="C97">
    <cfRule type="cellIs" dxfId="6664" priority="10169" stopIfTrue="1" operator="equal">
      <formula>"Napkin Hs"</formula>
    </cfRule>
  </conditionalFormatting>
  <conditionalFormatting sqref="C97">
    <cfRule type="cellIs" dxfId="6663" priority="10072" stopIfTrue="1" operator="equal">
      <formula>"Towel"</formula>
    </cfRule>
  </conditionalFormatting>
  <conditionalFormatting sqref="C97">
    <cfRule type="cellIs" dxfId="6662" priority="10082" stopIfTrue="1" operator="equal">
      <formula>"Towel"</formula>
    </cfRule>
    <cfRule type="cellIs" dxfId="6661" priority="10083" stopIfTrue="1" operator="equal">
      <formula>"Napkin Hs"</formula>
    </cfRule>
    <cfRule type="cellIs" dxfId="6660" priority="10088" stopIfTrue="1" operator="equal">
      <formula>"Towel"</formula>
    </cfRule>
    <cfRule type="cellIs" dxfId="6659" priority="10089" stopIfTrue="1" operator="equal">
      <formula>"Napkin Hs"</formula>
    </cfRule>
    <cfRule type="cellIs" dxfId="6658" priority="10094" stopIfTrue="1" operator="equal">
      <formula>"Towel"</formula>
    </cfRule>
    <cfRule type="cellIs" dxfId="6657" priority="10095" stopIfTrue="1" operator="equal">
      <formula>"Napkin Hs"</formula>
    </cfRule>
    <cfRule type="cellIs" dxfId="6656" priority="10096" stopIfTrue="1" operator="equal">
      <formula>"Towel"</formula>
    </cfRule>
    <cfRule type="cellIs" dxfId="6655" priority="10097" stopIfTrue="1" operator="equal">
      <formula>"Napkin Hs"</formula>
    </cfRule>
    <cfRule type="cellIs" dxfId="6654" priority="10102" stopIfTrue="1" operator="equal">
      <formula>"Towel"</formula>
    </cfRule>
    <cfRule type="cellIs" dxfId="6653" priority="10103" stopIfTrue="1" operator="equal">
      <formula>"Napkin Hs"</formula>
    </cfRule>
    <cfRule type="cellIs" dxfId="6652" priority="10112" stopIfTrue="1" operator="equal">
      <formula>"Towel"</formula>
    </cfRule>
    <cfRule type="cellIs" dxfId="6651" priority="10113" stopIfTrue="1" operator="equal">
      <formula>"Napkin Hs"</formula>
    </cfRule>
    <cfRule type="cellIs" dxfId="6650" priority="10118" stopIfTrue="1" operator="equal">
      <formula>"Towel"</formula>
    </cfRule>
    <cfRule type="cellIs" dxfId="6649" priority="10119" stopIfTrue="1" operator="equal">
      <formula>"Napkin Hs"</formula>
    </cfRule>
    <cfRule type="cellIs" dxfId="6648" priority="10120" stopIfTrue="1" operator="equal">
      <formula>"Towel"</formula>
    </cfRule>
    <cfRule type="cellIs" dxfId="6647" priority="10121" stopIfTrue="1" operator="equal">
      <formula>"Napkin Hs"</formula>
    </cfRule>
    <cfRule type="cellIs" dxfId="6646" priority="10126" stopIfTrue="1" operator="equal">
      <formula>"Towel"</formula>
    </cfRule>
    <cfRule type="cellIs" dxfId="6645" priority="10127" stopIfTrue="1" operator="equal">
      <formula>"Napkin Hs"</formula>
    </cfRule>
    <cfRule type="cellIs" dxfId="6644" priority="10136" stopIfTrue="1" operator="equal">
      <formula>"Towel"</formula>
    </cfRule>
    <cfRule type="cellIs" dxfId="6643" priority="10137" stopIfTrue="1" operator="equal">
      <formula>"Napkin Hs"</formula>
    </cfRule>
    <cfRule type="cellIs" dxfId="6642" priority="10138" stopIfTrue="1" operator="equal">
      <formula>"Towel"</formula>
    </cfRule>
    <cfRule type="cellIs" dxfId="6641" priority="10139" stopIfTrue="1" operator="equal">
      <formula>"Napkin Hs"</formula>
    </cfRule>
    <cfRule type="cellIs" dxfId="6640" priority="10144" stopIfTrue="1" operator="equal">
      <formula>"Towel"</formula>
    </cfRule>
    <cfRule type="cellIs" dxfId="6639" priority="10145" stopIfTrue="1" operator="equal">
      <formula>"Napkin Hs"</formula>
    </cfRule>
    <cfRule type="cellIs" dxfId="6638" priority="10154" stopIfTrue="1" operator="equal">
      <formula>"Towel"</formula>
    </cfRule>
    <cfRule type="cellIs" dxfId="6637" priority="10155" stopIfTrue="1" operator="equal">
      <formula>"Napkin Hs"</formula>
    </cfRule>
    <cfRule type="cellIs" dxfId="6636" priority="10156" stopIfTrue="1" operator="equal">
      <formula>"Towel"</formula>
    </cfRule>
    <cfRule type="cellIs" dxfId="6635" priority="10157" stopIfTrue="1" operator="equal">
      <formula>"Napkin Hs"</formula>
    </cfRule>
    <cfRule type="cellIs" dxfId="6634" priority="10163" stopIfTrue="1" operator="equal">
      <formula>"Napkin Hs"</formula>
    </cfRule>
  </conditionalFormatting>
  <conditionalFormatting sqref="C97">
    <cfRule type="cellIs" dxfId="6633" priority="10162" stopIfTrue="1" operator="equal">
      <formula>"Towel"</formula>
    </cfRule>
  </conditionalFormatting>
  <conditionalFormatting sqref="C97">
    <cfRule type="cellIs" dxfId="6632" priority="10073" stopIfTrue="1" operator="equal">
      <formula>"Napkin Hs"</formula>
    </cfRule>
    <cfRule type="cellIs" dxfId="6631" priority="10074" stopIfTrue="1" operator="equal">
      <formula>"Towel"</formula>
    </cfRule>
    <cfRule type="cellIs" dxfId="6630" priority="10075" stopIfTrue="1" operator="equal">
      <formula>"Napkin Hs"</formula>
    </cfRule>
    <cfRule type="cellIs" dxfId="6629" priority="10076" stopIfTrue="1" operator="equal">
      <formula>"Towel"</formula>
    </cfRule>
    <cfRule type="cellIs" dxfId="6628" priority="10077" stopIfTrue="1" operator="equal">
      <formula>"Napkin Hs"</formula>
    </cfRule>
    <cfRule type="cellIs" dxfId="6627" priority="10078" stopIfTrue="1" operator="equal">
      <formula>"Towel"</formula>
    </cfRule>
    <cfRule type="cellIs" dxfId="6626" priority="10079" stopIfTrue="1" operator="equal">
      <formula>"Napkin Hs"</formula>
    </cfRule>
    <cfRule type="cellIs" dxfId="6625" priority="10080" stopIfTrue="1" operator="equal">
      <formula>"Towel"</formula>
    </cfRule>
    <cfRule type="cellIs" dxfId="6624" priority="10081" stopIfTrue="1" operator="equal">
      <formula>"Napkin Hs"</formula>
    </cfRule>
    <cfRule type="cellIs" dxfId="6623" priority="10084" stopIfTrue="1" operator="equal">
      <formula>"Towel"</formula>
    </cfRule>
    <cfRule type="cellIs" dxfId="6622" priority="10085" stopIfTrue="1" operator="equal">
      <formula>"Napkin Hs"</formula>
    </cfRule>
    <cfRule type="cellIs" dxfId="6621" priority="10086" stopIfTrue="1" operator="equal">
      <formula>"Towel"</formula>
    </cfRule>
    <cfRule type="cellIs" dxfId="6620" priority="10087" stopIfTrue="1" operator="equal">
      <formula>"Napkin Hs"</formula>
    </cfRule>
    <cfRule type="cellIs" dxfId="6619" priority="10090" stopIfTrue="1" operator="equal">
      <formula>"Towel"</formula>
    </cfRule>
    <cfRule type="cellIs" dxfId="6618" priority="10091" stopIfTrue="1" operator="equal">
      <formula>"Napkin Hs"</formula>
    </cfRule>
    <cfRule type="cellIs" dxfId="6617" priority="10092" stopIfTrue="1" operator="equal">
      <formula>"Towel"</formula>
    </cfRule>
    <cfRule type="cellIs" dxfId="6616" priority="10093" stopIfTrue="1" operator="equal">
      <formula>"Napkin Hs"</formula>
    </cfRule>
    <cfRule type="cellIs" dxfId="6615" priority="10098" stopIfTrue="1" operator="equal">
      <formula>"Towel"</formula>
    </cfRule>
    <cfRule type="cellIs" dxfId="6614" priority="10099" stopIfTrue="1" operator="equal">
      <formula>"Napkin Hs"</formula>
    </cfRule>
    <cfRule type="cellIs" dxfId="6613" priority="10100" stopIfTrue="1" operator="equal">
      <formula>"Towel"</formula>
    </cfRule>
    <cfRule type="cellIs" dxfId="6612" priority="10101" stopIfTrue="1" operator="equal">
      <formula>"Napkin Hs"</formula>
    </cfRule>
    <cfRule type="cellIs" dxfId="6611" priority="10104" stopIfTrue="1" operator="equal">
      <formula>"Towel"</formula>
    </cfRule>
    <cfRule type="cellIs" dxfId="6610" priority="10105" stopIfTrue="1" operator="equal">
      <formula>"Napkin Hs"</formula>
    </cfRule>
    <cfRule type="cellIs" dxfId="6609" priority="10106" stopIfTrue="1" operator="equal">
      <formula>"Towel"</formula>
    </cfRule>
    <cfRule type="cellIs" dxfId="6608" priority="10107" stopIfTrue="1" operator="equal">
      <formula>"Napkin Hs"</formula>
    </cfRule>
    <cfRule type="cellIs" dxfId="6607" priority="10108" stopIfTrue="1" operator="equal">
      <formula>"Towel"</formula>
    </cfRule>
    <cfRule type="cellIs" dxfId="6606" priority="10109" stopIfTrue="1" operator="equal">
      <formula>"Napkin Hs"</formula>
    </cfRule>
    <cfRule type="cellIs" dxfId="6605" priority="10110" stopIfTrue="1" operator="equal">
      <formula>"Towel"</formula>
    </cfRule>
    <cfRule type="cellIs" dxfId="6604" priority="10111" stopIfTrue="1" operator="equal">
      <formula>"Napkin Hs"</formula>
    </cfRule>
    <cfRule type="cellIs" dxfId="6603" priority="10114" stopIfTrue="1" operator="equal">
      <formula>"Towel"</formula>
    </cfRule>
    <cfRule type="cellIs" dxfId="6602" priority="10115" stopIfTrue="1" operator="equal">
      <formula>"Napkin Hs"</formula>
    </cfRule>
    <cfRule type="cellIs" dxfId="6601" priority="10116" stopIfTrue="1" operator="equal">
      <formula>"Towel"</formula>
    </cfRule>
    <cfRule type="cellIs" dxfId="6600" priority="10117" stopIfTrue="1" operator="equal">
      <formula>"Napkin Hs"</formula>
    </cfRule>
    <cfRule type="cellIs" dxfId="6599" priority="10122" stopIfTrue="1" operator="equal">
      <formula>"Towel"</formula>
    </cfRule>
    <cfRule type="cellIs" dxfId="6598" priority="10123" stopIfTrue="1" operator="equal">
      <formula>"Napkin Hs"</formula>
    </cfRule>
    <cfRule type="cellIs" dxfId="6597" priority="10124" stopIfTrue="1" operator="equal">
      <formula>"Towel"</formula>
    </cfRule>
    <cfRule type="cellIs" dxfId="6596" priority="10125" stopIfTrue="1" operator="equal">
      <formula>"Napkin Hs"</formula>
    </cfRule>
    <cfRule type="cellIs" dxfId="6595" priority="10128" stopIfTrue="1" operator="equal">
      <formula>"Towel"</formula>
    </cfRule>
    <cfRule type="cellIs" dxfId="6594" priority="10129" stopIfTrue="1" operator="equal">
      <formula>"Napkin Hs"</formula>
    </cfRule>
    <cfRule type="cellIs" dxfId="6593" priority="10130" stopIfTrue="1" operator="equal">
      <formula>"Towel"</formula>
    </cfRule>
    <cfRule type="cellIs" dxfId="6592" priority="10131" stopIfTrue="1" operator="equal">
      <formula>"Napkin Hs"</formula>
    </cfRule>
    <cfRule type="cellIs" dxfId="6591" priority="10132" stopIfTrue="1" operator="equal">
      <formula>"Towel"</formula>
    </cfRule>
    <cfRule type="cellIs" dxfId="6590" priority="10133" stopIfTrue="1" operator="equal">
      <formula>"Napkin Hs"</formula>
    </cfRule>
    <cfRule type="cellIs" dxfId="6589" priority="10134" stopIfTrue="1" operator="equal">
      <formula>"Towel"</formula>
    </cfRule>
    <cfRule type="cellIs" dxfId="6588" priority="10135" stopIfTrue="1" operator="equal">
      <formula>"Napkin Hs"</formula>
    </cfRule>
    <cfRule type="cellIs" dxfId="6587" priority="10140" stopIfTrue="1" operator="equal">
      <formula>"Towel"</formula>
    </cfRule>
    <cfRule type="cellIs" dxfId="6586" priority="10141" stopIfTrue="1" operator="equal">
      <formula>"Napkin Hs"</formula>
    </cfRule>
    <cfRule type="cellIs" dxfId="6585" priority="10142" stopIfTrue="1" operator="equal">
      <formula>"Towel"</formula>
    </cfRule>
    <cfRule type="cellIs" dxfId="6584" priority="10143" stopIfTrue="1" operator="equal">
      <formula>"Napkin Hs"</formula>
    </cfRule>
    <cfRule type="cellIs" dxfId="6583" priority="10146" stopIfTrue="1" operator="equal">
      <formula>"Towel"</formula>
    </cfRule>
    <cfRule type="cellIs" dxfId="6582" priority="10147" stopIfTrue="1" operator="equal">
      <formula>"Napkin Hs"</formula>
    </cfRule>
    <cfRule type="cellIs" dxfId="6581" priority="10148" stopIfTrue="1" operator="equal">
      <formula>"Towel"</formula>
    </cfRule>
    <cfRule type="cellIs" dxfId="6580" priority="10149" stopIfTrue="1" operator="equal">
      <formula>"Napkin Hs"</formula>
    </cfRule>
    <cfRule type="cellIs" dxfId="6579" priority="10150" stopIfTrue="1" operator="equal">
      <formula>"Towel"</formula>
    </cfRule>
    <cfRule type="cellIs" dxfId="6578" priority="10151" stopIfTrue="1" operator="equal">
      <formula>"Napkin Hs"</formula>
    </cfRule>
    <cfRule type="cellIs" dxfId="6577" priority="10152" stopIfTrue="1" operator="equal">
      <formula>"Towel"</formula>
    </cfRule>
    <cfRule type="cellIs" dxfId="6576" priority="10153" stopIfTrue="1" operator="equal">
      <formula>"Napkin Hs"</formula>
    </cfRule>
    <cfRule type="cellIs" dxfId="6575" priority="10158" stopIfTrue="1" operator="equal">
      <formula>"Towel"</formula>
    </cfRule>
    <cfRule type="cellIs" dxfId="6574" priority="10159" stopIfTrue="1" operator="equal">
      <formula>"Napkin Hs"</formula>
    </cfRule>
    <cfRule type="cellIs" dxfId="6573" priority="10160" stopIfTrue="1" operator="equal">
      <formula>"Towel"</formula>
    </cfRule>
    <cfRule type="cellIs" dxfId="6572" priority="10161" stopIfTrue="1" operator="equal">
      <formula>"Napkin Hs"</formula>
    </cfRule>
    <cfRule type="cellIs" dxfId="6571" priority="10164" stopIfTrue="1" operator="equal">
      <formula>"Towel"</formula>
    </cfRule>
    <cfRule type="cellIs" dxfId="6570" priority="10165" stopIfTrue="1" operator="equal">
      <formula>"Napkin Hs"</formula>
    </cfRule>
    <cfRule type="cellIs" dxfId="6569" priority="10166" stopIfTrue="1" operator="equal">
      <formula>"Towel"</formula>
    </cfRule>
    <cfRule type="cellIs" dxfId="6568" priority="10167" stopIfTrue="1" operator="equal">
      <formula>"Napkin Hs"</formula>
    </cfRule>
  </conditionalFormatting>
  <conditionalFormatting sqref="C97">
    <cfRule type="cellIs" dxfId="6567" priority="10071" stopIfTrue="1" operator="equal">
      <formula>"Napkin Hs"</formula>
    </cfRule>
  </conditionalFormatting>
  <conditionalFormatting sqref="C97">
    <cfRule type="cellIs" dxfId="6566" priority="10070" stopIfTrue="1" operator="equal">
      <formula>"Napkin Hs"</formula>
    </cfRule>
  </conditionalFormatting>
  <conditionalFormatting sqref="C97">
    <cfRule type="cellIs" dxfId="6565" priority="10069" stopIfTrue="1" operator="equal">
      <formula>"Napkin Hs"</formula>
    </cfRule>
  </conditionalFormatting>
  <conditionalFormatting sqref="C97">
    <cfRule type="cellIs" dxfId="6564" priority="10068" stopIfTrue="1" operator="equal">
      <formula>"Napkin Hs"</formula>
    </cfRule>
  </conditionalFormatting>
  <conditionalFormatting sqref="C97">
    <cfRule type="cellIs" dxfId="6563" priority="10067" stopIfTrue="1" operator="equal">
      <formula>"Napkin Hs"</formula>
    </cfRule>
  </conditionalFormatting>
  <conditionalFormatting sqref="C97">
    <cfRule type="cellIs" dxfId="6562" priority="10066" stopIfTrue="1" operator="equal">
      <formula>"Napkin Hs"</formula>
    </cfRule>
  </conditionalFormatting>
  <conditionalFormatting sqref="C97">
    <cfRule type="cellIs" dxfId="6561" priority="10062" stopIfTrue="1" operator="equal">
      <formula>"Towel"</formula>
    </cfRule>
    <cfRule type="cellIs" dxfId="6560" priority="10063" stopIfTrue="1" operator="equal">
      <formula>"Napkin Hs"</formula>
    </cfRule>
  </conditionalFormatting>
  <conditionalFormatting sqref="C97">
    <cfRule type="cellIs" dxfId="6559" priority="10064" stopIfTrue="1" operator="equal">
      <formula>"Towel"</formula>
    </cfRule>
    <cfRule type="cellIs" dxfId="6558" priority="10065" stopIfTrue="1" operator="equal">
      <formula>"Napkin Hs"</formula>
    </cfRule>
  </conditionalFormatting>
  <conditionalFormatting sqref="C97">
    <cfRule type="cellIs" dxfId="6557" priority="10058" stopIfTrue="1" operator="equal">
      <formula>"Towel"</formula>
    </cfRule>
    <cfRule type="cellIs" dxfId="6556" priority="10059" stopIfTrue="1" operator="equal">
      <formula>"Napkin Hs"</formula>
    </cfRule>
  </conditionalFormatting>
  <conditionalFormatting sqref="C97">
    <cfRule type="cellIs" dxfId="6555" priority="10060" stopIfTrue="1" operator="equal">
      <formula>"Towel"</formula>
    </cfRule>
    <cfRule type="cellIs" dxfId="6554" priority="10061" stopIfTrue="1" operator="equal">
      <formula>"Napkin Hs"</formula>
    </cfRule>
  </conditionalFormatting>
  <conditionalFormatting sqref="C104">
    <cfRule type="cellIs" dxfId="6553" priority="10050" stopIfTrue="1" operator="equal">
      <formula>"Towel"</formula>
    </cfRule>
    <cfRule type="cellIs" dxfId="6552" priority="10051" stopIfTrue="1" operator="equal">
      <formula>"Napkin Hs"</formula>
    </cfRule>
  </conditionalFormatting>
  <conditionalFormatting sqref="C104">
    <cfRule type="cellIs" dxfId="6551" priority="10048" stopIfTrue="1" operator="equal">
      <formula>"Towel"</formula>
    </cfRule>
    <cfRule type="cellIs" dxfId="6550" priority="10049" stopIfTrue="1" operator="equal">
      <formula>"Napkin Hs"</formula>
    </cfRule>
  </conditionalFormatting>
  <conditionalFormatting sqref="B104:C104">
    <cfRule type="cellIs" dxfId="6549" priority="10046" stopIfTrue="1" operator="equal">
      <formula>"Towel"</formula>
    </cfRule>
    <cfRule type="cellIs" dxfId="6548" priority="10047" stopIfTrue="1" operator="equal">
      <formula>"Napkin Hs"</formula>
    </cfRule>
  </conditionalFormatting>
  <conditionalFormatting sqref="B104:C104">
    <cfRule type="cellIs" dxfId="6547" priority="10056" stopIfTrue="1" operator="equal">
      <formula>"Towel"</formula>
    </cfRule>
    <cfRule type="cellIs" dxfId="6546" priority="10057" stopIfTrue="1" operator="equal">
      <formula>"Napkin Hs"</formula>
    </cfRule>
  </conditionalFormatting>
  <conditionalFormatting sqref="C104">
    <cfRule type="cellIs" dxfId="6545" priority="10054" stopIfTrue="1" operator="equal">
      <formula>"Towel"</formula>
    </cfRule>
    <cfRule type="cellIs" dxfId="6544" priority="10055" stopIfTrue="1" operator="equal">
      <formula>"Napkin Hs"</formula>
    </cfRule>
  </conditionalFormatting>
  <conditionalFormatting sqref="C104">
    <cfRule type="cellIs" dxfId="6543" priority="10052" stopIfTrue="1" operator="equal">
      <formula>"Towel"</formula>
    </cfRule>
    <cfRule type="cellIs" dxfId="6542" priority="10053" stopIfTrue="1" operator="equal">
      <formula>"Napkin Hs"</formula>
    </cfRule>
  </conditionalFormatting>
  <conditionalFormatting sqref="C104">
    <cfRule type="cellIs" dxfId="6541" priority="10044" stopIfTrue="1" operator="equal">
      <formula>"Towel"</formula>
    </cfRule>
    <cfRule type="cellIs" dxfId="6540" priority="10045" stopIfTrue="1" operator="equal">
      <formula>"Napkin Hs"</formula>
    </cfRule>
  </conditionalFormatting>
  <conditionalFormatting sqref="C104">
    <cfRule type="cellIs" dxfId="6539" priority="10042" stopIfTrue="1" operator="equal">
      <formula>"Towel"</formula>
    </cfRule>
    <cfRule type="cellIs" dxfId="6538" priority="10043" stopIfTrue="1" operator="equal">
      <formula>"Napkin Hs"</formula>
    </cfRule>
  </conditionalFormatting>
  <conditionalFormatting sqref="B104:C104">
    <cfRule type="cellIs" dxfId="6537" priority="10040" stopIfTrue="1" operator="equal">
      <formula>"Towel"</formula>
    </cfRule>
    <cfRule type="cellIs" dxfId="6536" priority="10041" stopIfTrue="1" operator="equal">
      <formula>"Napkin Hs"</formula>
    </cfRule>
  </conditionalFormatting>
  <conditionalFormatting sqref="B104:C104">
    <cfRule type="cellIs" dxfId="6535" priority="10036" stopIfTrue="1" operator="equal">
      <formula>"Towel"</formula>
    </cfRule>
    <cfRule type="cellIs" dxfId="6534" priority="10037" stopIfTrue="1" operator="equal">
      <formula>"Napkin Hs"</formula>
    </cfRule>
  </conditionalFormatting>
  <conditionalFormatting sqref="C104">
    <cfRule type="cellIs" dxfId="6533" priority="10038" stopIfTrue="1" operator="equal">
      <formula>"Towel"</formula>
    </cfRule>
    <cfRule type="cellIs" dxfId="6532" priority="10039" stopIfTrue="1" operator="equal">
      <formula>"Napkin Hs"</formula>
    </cfRule>
  </conditionalFormatting>
  <conditionalFormatting sqref="C104">
    <cfRule type="cellIs" dxfId="6531" priority="10034" stopIfTrue="1" operator="equal">
      <formula>"Towel"</formula>
    </cfRule>
    <cfRule type="cellIs" dxfId="6530" priority="10035" stopIfTrue="1" operator="equal">
      <formula>"Napkin Hs"</formula>
    </cfRule>
  </conditionalFormatting>
  <conditionalFormatting sqref="C103">
    <cfRule type="cellIs" dxfId="6529" priority="10026" stopIfTrue="1" operator="equal">
      <formula>"Towel"</formula>
    </cfRule>
    <cfRule type="cellIs" dxfId="6528" priority="10027" stopIfTrue="1" operator="equal">
      <formula>"Napkin Hs"</formula>
    </cfRule>
  </conditionalFormatting>
  <conditionalFormatting sqref="B103:C103">
    <cfRule type="cellIs" dxfId="6527" priority="10028" stopIfTrue="1" operator="equal">
      <formula>"Towel"</formula>
    </cfRule>
    <cfRule type="cellIs" dxfId="6526" priority="10029" stopIfTrue="1" operator="equal">
      <formula>"Napkin Hs"</formula>
    </cfRule>
  </conditionalFormatting>
  <conditionalFormatting sqref="C103">
    <cfRule type="cellIs" dxfId="6525" priority="10024" stopIfTrue="1" operator="equal">
      <formula>"Towel"</formula>
    </cfRule>
    <cfRule type="cellIs" dxfId="6524" priority="10025" stopIfTrue="1" operator="equal">
      <formula>"Napkin Hs"</formula>
    </cfRule>
  </conditionalFormatting>
  <conditionalFormatting sqref="B103:C103">
    <cfRule type="cellIs" dxfId="6523" priority="10022" stopIfTrue="1" operator="equal">
      <formula>"Towel"</formula>
    </cfRule>
    <cfRule type="cellIs" dxfId="6522" priority="10023" stopIfTrue="1" operator="equal">
      <formula>"Napkin Hs"</formula>
    </cfRule>
  </conditionalFormatting>
  <conditionalFormatting sqref="C103">
    <cfRule type="cellIs" dxfId="6521" priority="10030" stopIfTrue="1" operator="equal">
      <formula>"Towel"</formula>
    </cfRule>
    <cfRule type="cellIs" dxfId="6520" priority="10031" stopIfTrue="1" operator="equal">
      <formula>"Napkin Hs"</formula>
    </cfRule>
  </conditionalFormatting>
  <conditionalFormatting sqref="C103">
    <cfRule type="cellIs" dxfId="6519" priority="10032" stopIfTrue="1" operator="equal">
      <formula>"Towel"</formula>
    </cfRule>
    <cfRule type="cellIs" dxfId="6518" priority="10033" stopIfTrue="1" operator="equal">
      <formula>"Napkin Hs"</formula>
    </cfRule>
  </conditionalFormatting>
  <conditionalFormatting sqref="C103">
    <cfRule type="cellIs" dxfId="6517" priority="10018" stopIfTrue="1" operator="equal">
      <formula>"Towel"</formula>
    </cfRule>
    <cfRule type="cellIs" dxfId="6516" priority="10019" stopIfTrue="1" operator="equal">
      <formula>"Napkin Hs"</formula>
    </cfRule>
  </conditionalFormatting>
  <conditionalFormatting sqref="C103">
    <cfRule type="cellIs" dxfId="6515" priority="10020" stopIfTrue="1" operator="equal">
      <formula>"Towel"</formula>
    </cfRule>
    <cfRule type="cellIs" dxfId="6514" priority="10021" stopIfTrue="1" operator="equal">
      <formula>"Napkin Hs"</formula>
    </cfRule>
  </conditionalFormatting>
  <conditionalFormatting sqref="C103">
    <cfRule type="cellIs" dxfId="6513" priority="10016" stopIfTrue="1" operator="equal">
      <formula>"Towel"</formula>
    </cfRule>
    <cfRule type="cellIs" dxfId="6512" priority="10017" stopIfTrue="1" operator="equal">
      <formula>"Napkin Hs"</formula>
    </cfRule>
  </conditionalFormatting>
  <conditionalFormatting sqref="B103">
    <cfRule type="cellIs" dxfId="6511" priority="10014" stopIfTrue="1" operator="equal">
      <formula>"Towel"</formula>
    </cfRule>
    <cfRule type="cellIs" dxfId="6510" priority="10015" stopIfTrue="1" operator="equal">
      <formula>"Napkin Hs"</formula>
    </cfRule>
  </conditionalFormatting>
  <conditionalFormatting sqref="C103">
    <cfRule type="cellIs" dxfId="6509" priority="10008" stopIfTrue="1" operator="equal">
      <formula>"Towel"</formula>
    </cfRule>
    <cfRule type="cellIs" dxfId="6508" priority="10009" stopIfTrue="1" operator="equal">
      <formula>"Napkin Hs"</formula>
    </cfRule>
  </conditionalFormatting>
  <conditionalFormatting sqref="C103">
    <cfRule type="cellIs" dxfId="6507" priority="10012" stopIfTrue="1" operator="equal">
      <formula>"Towel"</formula>
    </cfRule>
    <cfRule type="cellIs" dxfId="6506" priority="10013" stopIfTrue="1" operator="equal">
      <formula>"Napkin Hs"</formula>
    </cfRule>
  </conditionalFormatting>
  <conditionalFormatting sqref="C103">
    <cfRule type="cellIs" dxfId="6505" priority="10010" stopIfTrue="1" operator="equal">
      <formula>"Towel"</formula>
    </cfRule>
    <cfRule type="cellIs" dxfId="6504" priority="10011" stopIfTrue="1" operator="equal">
      <formula>"Napkin Hs"</formula>
    </cfRule>
  </conditionalFormatting>
  <conditionalFormatting sqref="C103">
    <cfRule type="cellIs" dxfId="6503" priority="10002" stopIfTrue="1" operator="equal">
      <formula>"Towel"</formula>
    </cfRule>
    <cfRule type="cellIs" dxfId="6502" priority="10003" stopIfTrue="1" operator="equal">
      <formula>"Napkin Hs"</formula>
    </cfRule>
  </conditionalFormatting>
  <conditionalFormatting sqref="C103">
    <cfRule type="cellIs" dxfId="6501" priority="10004" stopIfTrue="1" operator="equal">
      <formula>"Towel"</formula>
    </cfRule>
    <cfRule type="cellIs" dxfId="6500" priority="10005" stopIfTrue="1" operator="equal">
      <formula>"Napkin Hs"</formula>
    </cfRule>
  </conditionalFormatting>
  <conditionalFormatting sqref="C103">
    <cfRule type="cellIs" dxfId="6499" priority="10006" stopIfTrue="1" operator="equal">
      <formula>"Towel"</formula>
    </cfRule>
    <cfRule type="cellIs" dxfId="6498" priority="10007" stopIfTrue="1" operator="equal">
      <formula>"Napkin Hs"</formula>
    </cfRule>
  </conditionalFormatting>
  <conditionalFormatting sqref="B103:C103">
    <cfRule type="cellIs" dxfId="6497" priority="10000" stopIfTrue="1" operator="equal">
      <formula>"Towel"</formula>
    </cfRule>
    <cfRule type="cellIs" dxfId="6496" priority="10001" stopIfTrue="1" operator="equal">
      <formula>"Napkin Hs"</formula>
    </cfRule>
  </conditionalFormatting>
  <conditionalFormatting sqref="B103:C103">
    <cfRule type="cellIs" dxfId="6495" priority="9998" stopIfTrue="1" operator="equal">
      <formula>"Towel"</formula>
    </cfRule>
    <cfRule type="cellIs" dxfId="6494" priority="9999" stopIfTrue="1" operator="equal">
      <formula>"Napkin Hs"</formula>
    </cfRule>
  </conditionalFormatting>
  <conditionalFormatting sqref="B103:C103">
    <cfRule type="cellIs" dxfId="6493" priority="9974" stopIfTrue="1" operator="equal">
      <formula>"Towel"</formula>
    </cfRule>
  </conditionalFormatting>
  <conditionalFormatting sqref="B103:C103">
    <cfRule type="cellIs" dxfId="6492" priority="9975" stopIfTrue="1" operator="equal">
      <formula>"Napkin Hs"</formula>
    </cfRule>
    <cfRule type="cellIs" dxfId="6491" priority="9980" stopIfTrue="1" operator="equal">
      <formula>"Towel"</formula>
    </cfRule>
    <cfRule type="cellIs" dxfId="6490" priority="9981" stopIfTrue="1" operator="equal">
      <formula>"Napkin Hs"</formula>
    </cfRule>
    <cfRule type="cellIs" dxfId="6489" priority="9990" stopIfTrue="1" operator="equal">
      <formula>"Towel"</formula>
    </cfRule>
    <cfRule type="cellIs" dxfId="6488" priority="9991" stopIfTrue="1" operator="equal">
      <formula>"Napkin Hs"</formula>
    </cfRule>
    <cfRule type="cellIs" dxfId="6487" priority="9996" stopIfTrue="1" operator="equal">
      <formula>"Towel"</formula>
    </cfRule>
    <cfRule type="cellIs" dxfId="6486" priority="9997" stopIfTrue="1" operator="equal">
      <formula>"Napkin Hs"</formula>
    </cfRule>
  </conditionalFormatting>
  <conditionalFormatting sqref="C103">
    <cfRule type="cellIs" dxfId="6485" priority="9976" stopIfTrue="1" operator="equal">
      <formula>"Towel"</formula>
    </cfRule>
    <cfRule type="cellIs" dxfId="6484" priority="9977" stopIfTrue="1" operator="equal">
      <formula>"Napkin Hs"</formula>
    </cfRule>
    <cfRule type="cellIs" dxfId="6483" priority="9978" stopIfTrue="1" operator="equal">
      <formula>"Towel"</formula>
    </cfRule>
    <cfRule type="cellIs" dxfId="6482" priority="9979" stopIfTrue="1" operator="equal">
      <formula>"Napkin Hs"</formula>
    </cfRule>
    <cfRule type="cellIs" dxfId="6481" priority="9982" stopIfTrue="1" operator="equal">
      <formula>"Towel"</formula>
    </cfRule>
    <cfRule type="cellIs" dxfId="6480" priority="9983" stopIfTrue="1" operator="equal">
      <formula>"Napkin Hs"</formula>
    </cfRule>
    <cfRule type="cellIs" dxfId="6479" priority="9984" stopIfTrue="1" operator="equal">
      <formula>"Towel"</formula>
    </cfRule>
    <cfRule type="cellIs" dxfId="6478" priority="9985" stopIfTrue="1" operator="equal">
      <formula>"Napkin Hs"</formula>
    </cfRule>
    <cfRule type="cellIs" dxfId="6477" priority="9986" stopIfTrue="1" operator="equal">
      <formula>"Towel"</formula>
    </cfRule>
    <cfRule type="cellIs" dxfId="6476" priority="9987" stopIfTrue="1" operator="equal">
      <formula>"Napkin Hs"</formula>
    </cfRule>
    <cfRule type="cellIs" dxfId="6475" priority="9988" stopIfTrue="1" operator="equal">
      <formula>"Towel"</formula>
    </cfRule>
    <cfRule type="cellIs" dxfId="6474" priority="9989" stopIfTrue="1" operator="equal">
      <formula>"Napkin Hs"</formula>
    </cfRule>
    <cfRule type="cellIs" dxfId="6473" priority="9992" stopIfTrue="1" operator="equal">
      <formula>"Towel"</formula>
    </cfRule>
    <cfRule type="cellIs" dxfId="6472" priority="9993" stopIfTrue="1" operator="equal">
      <formula>"Napkin Hs"</formula>
    </cfRule>
    <cfRule type="cellIs" dxfId="6471" priority="9995" stopIfTrue="1" operator="equal">
      <formula>"Napkin Hs"</formula>
    </cfRule>
  </conditionalFormatting>
  <conditionalFormatting sqref="C103">
    <cfRule type="cellIs" dxfId="6470" priority="9994" stopIfTrue="1" operator="equal">
      <formula>"Towel"</formula>
    </cfRule>
  </conditionalFormatting>
  <conditionalFormatting sqref="B103:C103">
    <cfRule type="cellIs" dxfId="6469" priority="9972" stopIfTrue="1" operator="equal">
      <formula>"Towel"</formula>
    </cfRule>
    <cfRule type="cellIs" dxfId="6468" priority="9973" stopIfTrue="1" operator="equal">
      <formula>"Napkin Hs"</formula>
    </cfRule>
  </conditionalFormatting>
  <conditionalFormatting sqref="C103">
    <cfRule type="cellIs" dxfId="6467" priority="9971" stopIfTrue="1" operator="equal">
      <formula>"Napkin Hs"</formula>
    </cfRule>
  </conditionalFormatting>
  <conditionalFormatting sqref="C103">
    <cfRule type="cellIs" dxfId="6466" priority="9970" stopIfTrue="1" operator="equal">
      <formula>"Towel"</formula>
    </cfRule>
  </conditionalFormatting>
  <conditionalFormatting sqref="C103">
    <cfRule type="cellIs" dxfId="6465" priority="9968" stopIfTrue="1" operator="equal">
      <formula>"Towel"</formula>
    </cfRule>
  </conditionalFormatting>
  <conditionalFormatting sqref="C103">
    <cfRule type="cellIs" dxfId="6464" priority="9969" stopIfTrue="1" operator="equal">
      <formula>"Napkin Hs"</formula>
    </cfRule>
  </conditionalFormatting>
  <conditionalFormatting sqref="B103">
    <cfRule type="cellIs" dxfId="6463" priority="9872" stopIfTrue="1" operator="equal">
      <formula>"Napkin Hs"</formula>
    </cfRule>
  </conditionalFormatting>
  <conditionalFormatting sqref="B103:C103">
    <cfRule type="cellIs" dxfId="6462" priority="9871" stopIfTrue="1" operator="equal">
      <formula>"Towel"</formula>
    </cfRule>
  </conditionalFormatting>
  <conditionalFormatting sqref="B103:C103">
    <cfRule type="cellIs" dxfId="6461" priority="9882" stopIfTrue="1" operator="equal">
      <formula>"Towel"</formula>
    </cfRule>
    <cfRule type="cellIs" dxfId="6460" priority="9883" stopIfTrue="1" operator="equal">
      <formula>"Napkin Hs"</formula>
    </cfRule>
    <cfRule type="cellIs" dxfId="6459" priority="9888" stopIfTrue="1" operator="equal">
      <formula>"Towel"</formula>
    </cfRule>
    <cfRule type="cellIs" dxfId="6458" priority="9889" stopIfTrue="1" operator="equal">
      <formula>"Napkin Hs"</formula>
    </cfRule>
    <cfRule type="cellIs" dxfId="6457" priority="9894" stopIfTrue="1" operator="equal">
      <formula>"Towel"</formula>
    </cfRule>
    <cfRule type="cellIs" dxfId="6456" priority="9895" stopIfTrue="1" operator="equal">
      <formula>"Napkin Hs"</formula>
    </cfRule>
    <cfRule type="cellIs" dxfId="6455" priority="9896" stopIfTrue="1" operator="equal">
      <formula>"Towel"</formula>
    </cfRule>
    <cfRule type="cellIs" dxfId="6454" priority="9897" stopIfTrue="1" operator="equal">
      <formula>"Napkin Hs"</formula>
    </cfRule>
    <cfRule type="cellIs" dxfId="6453" priority="9902" stopIfTrue="1" operator="equal">
      <formula>"Towel"</formula>
    </cfRule>
    <cfRule type="cellIs" dxfId="6452" priority="9903" stopIfTrue="1" operator="equal">
      <formula>"Napkin Hs"</formula>
    </cfRule>
    <cfRule type="cellIs" dxfId="6451" priority="9912" stopIfTrue="1" operator="equal">
      <formula>"Towel"</formula>
    </cfRule>
    <cfRule type="cellIs" dxfId="6450" priority="9913" stopIfTrue="1" operator="equal">
      <formula>"Napkin Hs"</formula>
    </cfRule>
    <cfRule type="cellIs" dxfId="6449" priority="9918" stopIfTrue="1" operator="equal">
      <formula>"Towel"</formula>
    </cfRule>
    <cfRule type="cellIs" dxfId="6448" priority="9919" stopIfTrue="1" operator="equal">
      <formula>"Napkin Hs"</formula>
    </cfRule>
    <cfRule type="cellIs" dxfId="6447" priority="9920" stopIfTrue="1" operator="equal">
      <formula>"Towel"</formula>
    </cfRule>
    <cfRule type="cellIs" dxfId="6446" priority="9921" stopIfTrue="1" operator="equal">
      <formula>"Napkin Hs"</formula>
    </cfRule>
    <cfRule type="cellIs" dxfId="6445" priority="9926" stopIfTrue="1" operator="equal">
      <formula>"Towel"</formula>
    </cfRule>
    <cfRule type="cellIs" dxfId="6444" priority="9927" stopIfTrue="1" operator="equal">
      <formula>"Napkin Hs"</formula>
    </cfRule>
    <cfRule type="cellIs" dxfId="6443" priority="9936" stopIfTrue="1" operator="equal">
      <formula>"Towel"</formula>
    </cfRule>
    <cfRule type="cellIs" dxfId="6442" priority="9937" stopIfTrue="1" operator="equal">
      <formula>"Napkin Hs"</formula>
    </cfRule>
    <cfRule type="cellIs" dxfId="6441" priority="9938" stopIfTrue="1" operator="equal">
      <formula>"Towel"</formula>
    </cfRule>
    <cfRule type="cellIs" dxfId="6440" priority="9939" stopIfTrue="1" operator="equal">
      <formula>"Napkin Hs"</formula>
    </cfRule>
    <cfRule type="cellIs" dxfId="6439" priority="9944" stopIfTrue="1" operator="equal">
      <formula>"Towel"</formula>
    </cfRule>
    <cfRule type="cellIs" dxfId="6438" priority="9945" stopIfTrue="1" operator="equal">
      <formula>"Napkin Hs"</formula>
    </cfRule>
    <cfRule type="cellIs" dxfId="6437" priority="9954" stopIfTrue="1" operator="equal">
      <formula>"Towel"</formula>
    </cfRule>
    <cfRule type="cellIs" dxfId="6436" priority="9955" stopIfTrue="1" operator="equal">
      <formula>"Napkin Hs"</formula>
    </cfRule>
    <cfRule type="cellIs" dxfId="6435" priority="9956" stopIfTrue="1" operator="equal">
      <formula>"Towel"</formula>
    </cfRule>
    <cfRule type="cellIs" dxfId="6434" priority="9957" stopIfTrue="1" operator="equal">
      <formula>"Napkin Hs"</formula>
    </cfRule>
    <cfRule type="cellIs" dxfId="6433" priority="9963" stopIfTrue="1" operator="equal">
      <formula>"Napkin Hs"</formula>
    </cfRule>
  </conditionalFormatting>
  <conditionalFormatting sqref="B103:C103">
    <cfRule type="cellIs" dxfId="6432" priority="9962" stopIfTrue="1" operator="equal">
      <formula>"Towel"</formula>
    </cfRule>
  </conditionalFormatting>
  <conditionalFormatting sqref="C103">
    <cfRule type="cellIs" dxfId="6431" priority="9873" stopIfTrue="1" operator="equal">
      <formula>"Napkin Hs"</formula>
    </cfRule>
    <cfRule type="cellIs" dxfId="6430" priority="9874" stopIfTrue="1" operator="equal">
      <formula>"Towel"</formula>
    </cfRule>
    <cfRule type="cellIs" dxfId="6429" priority="9875" stopIfTrue="1" operator="equal">
      <formula>"Napkin Hs"</formula>
    </cfRule>
    <cfRule type="cellIs" dxfId="6428" priority="9876" stopIfTrue="1" operator="equal">
      <formula>"Towel"</formula>
    </cfRule>
    <cfRule type="cellIs" dxfId="6427" priority="9877" stopIfTrue="1" operator="equal">
      <formula>"Napkin Hs"</formula>
    </cfRule>
    <cfRule type="cellIs" dxfId="6426" priority="9878" stopIfTrue="1" operator="equal">
      <formula>"Towel"</formula>
    </cfRule>
    <cfRule type="cellIs" dxfId="6425" priority="9879" stopIfTrue="1" operator="equal">
      <formula>"Napkin Hs"</formula>
    </cfRule>
    <cfRule type="cellIs" dxfId="6424" priority="9880" stopIfTrue="1" operator="equal">
      <formula>"Towel"</formula>
    </cfRule>
    <cfRule type="cellIs" dxfId="6423" priority="9881" stopIfTrue="1" operator="equal">
      <formula>"Napkin Hs"</formula>
    </cfRule>
    <cfRule type="cellIs" dxfId="6422" priority="9884" stopIfTrue="1" operator="equal">
      <formula>"Towel"</formula>
    </cfRule>
    <cfRule type="cellIs" dxfId="6421" priority="9885" stopIfTrue="1" operator="equal">
      <formula>"Napkin Hs"</formula>
    </cfRule>
    <cfRule type="cellIs" dxfId="6420" priority="9886" stopIfTrue="1" operator="equal">
      <formula>"Towel"</formula>
    </cfRule>
    <cfRule type="cellIs" dxfId="6419" priority="9887" stopIfTrue="1" operator="equal">
      <formula>"Napkin Hs"</formula>
    </cfRule>
    <cfRule type="cellIs" dxfId="6418" priority="9890" stopIfTrue="1" operator="equal">
      <formula>"Towel"</formula>
    </cfRule>
    <cfRule type="cellIs" dxfId="6417" priority="9891" stopIfTrue="1" operator="equal">
      <formula>"Napkin Hs"</formula>
    </cfRule>
    <cfRule type="cellIs" dxfId="6416" priority="9892" stopIfTrue="1" operator="equal">
      <formula>"Towel"</formula>
    </cfRule>
    <cfRule type="cellIs" dxfId="6415" priority="9893" stopIfTrue="1" operator="equal">
      <formula>"Napkin Hs"</formula>
    </cfRule>
    <cfRule type="cellIs" dxfId="6414" priority="9898" stopIfTrue="1" operator="equal">
      <formula>"Towel"</formula>
    </cfRule>
    <cfRule type="cellIs" dxfId="6413" priority="9899" stopIfTrue="1" operator="equal">
      <formula>"Napkin Hs"</formula>
    </cfRule>
    <cfRule type="cellIs" dxfId="6412" priority="9900" stopIfTrue="1" operator="equal">
      <formula>"Towel"</formula>
    </cfRule>
    <cfRule type="cellIs" dxfId="6411" priority="9901" stopIfTrue="1" operator="equal">
      <formula>"Napkin Hs"</formula>
    </cfRule>
    <cfRule type="cellIs" dxfId="6410" priority="9904" stopIfTrue="1" operator="equal">
      <formula>"Towel"</formula>
    </cfRule>
    <cfRule type="cellIs" dxfId="6409" priority="9905" stopIfTrue="1" operator="equal">
      <formula>"Napkin Hs"</formula>
    </cfRule>
    <cfRule type="cellIs" dxfId="6408" priority="9906" stopIfTrue="1" operator="equal">
      <formula>"Towel"</formula>
    </cfRule>
    <cfRule type="cellIs" dxfId="6407" priority="9907" stopIfTrue="1" operator="equal">
      <formula>"Napkin Hs"</formula>
    </cfRule>
    <cfRule type="cellIs" dxfId="6406" priority="9908" stopIfTrue="1" operator="equal">
      <formula>"Towel"</formula>
    </cfRule>
    <cfRule type="cellIs" dxfId="6405" priority="9909" stopIfTrue="1" operator="equal">
      <formula>"Napkin Hs"</formula>
    </cfRule>
    <cfRule type="cellIs" dxfId="6404" priority="9910" stopIfTrue="1" operator="equal">
      <formula>"Towel"</formula>
    </cfRule>
    <cfRule type="cellIs" dxfId="6403" priority="9911" stopIfTrue="1" operator="equal">
      <formula>"Napkin Hs"</formula>
    </cfRule>
    <cfRule type="cellIs" dxfId="6402" priority="9914" stopIfTrue="1" operator="equal">
      <formula>"Towel"</formula>
    </cfRule>
    <cfRule type="cellIs" dxfId="6401" priority="9915" stopIfTrue="1" operator="equal">
      <formula>"Napkin Hs"</formula>
    </cfRule>
    <cfRule type="cellIs" dxfId="6400" priority="9916" stopIfTrue="1" operator="equal">
      <formula>"Towel"</formula>
    </cfRule>
    <cfRule type="cellIs" dxfId="6399" priority="9917" stopIfTrue="1" operator="equal">
      <formula>"Napkin Hs"</formula>
    </cfRule>
    <cfRule type="cellIs" dxfId="6398" priority="9922" stopIfTrue="1" operator="equal">
      <formula>"Towel"</formula>
    </cfRule>
    <cfRule type="cellIs" dxfId="6397" priority="9923" stopIfTrue="1" operator="equal">
      <formula>"Napkin Hs"</formula>
    </cfRule>
    <cfRule type="cellIs" dxfId="6396" priority="9924" stopIfTrue="1" operator="equal">
      <formula>"Towel"</formula>
    </cfRule>
    <cfRule type="cellIs" dxfId="6395" priority="9925" stopIfTrue="1" operator="equal">
      <formula>"Napkin Hs"</formula>
    </cfRule>
    <cfRule type="cellIs" dxfId="6394" priority="9928" stopIfTrue="1" operator="equal">
      <formula>"Towel"</formula>
    </cfRule>
    <cfRule type="cellIs" dxfId="6393" priority="9929" stopIfTrue="1" operator="equal">
      <formula>"Napkin Hs"</formula>
    </cfRule>
    <cfRule type="cellIs" dxfId="6392" priority="9930" stopIfTrue="1" operator="equal">
      <formula>"Towel"</formula>
    </cfRule>
    <cfRule type="cellIs" dxfId="6391" priority="9931" stopIfTrue="1" operator="equal">
      <formula>"Napkin Hs"</formula>
    </cfRule>
    <cfRule type="cellIs" dxfId="6390" priority="9932" stopIfTrue="1" operator="equal">
      <formula>"Towel"</formula>
    </cfRule>
    <cfRule type="cellIs" dxfId="6389" priority="9933" stopIfTrue="1" operator="equal">
      <formula>"Napkin Hs"</formula>
    </cfRule>
    <cfRule type="cellIs" dxfId="6388" priority="9934" stopIfTrue="1" operator="equal">
      <formula>"Towel"</formula>
    </cfRule>
    <cfRule type="cellIs" dxfId="6387" priority="9935" stopIfTrue="1" operator="equal">
      <formula>"Napkin Hs"</formula>
    </cfRule>
    <cfRule type="cellIs" dxfId="6386" priority="9940" stopIfTrue="1" operator="equal">
      <formula>"Towel"</formula>
    </cfRule>
    <cfRule type="cellIs" dxfId="6385" priority="9941" stopIfTrue="1" operator="equal">
      <formula>"Napkin Hs"</formula>
    </cfRule>
    <cfRule type="cellIs" dxfId="6384" priority="9942" stopIfTrue="1" operator="equal">
      <formula>"Towel"</formula>
    </cfRule>
    <cfRule type="cellIs" dxfId="6383" priority="9943" stopIfTrue="1" operator="equal">
      <formula>"Napkin Hs"</formula>
    </cfRule>
    <cfRule type="cellIs" dxfId="6382" priority="9946" stopIfTrue="1" operator="equal">
      <formula>"Towel"</formula>
    </cfRule>
    <cfRule type="cellIs" dxfId="6381" priority="9947" stopIfTrue="1" operator="equal">
      <formula>"Napkin Hs"</formula>
    </cfRule>
    <cfRule type="cellIs" dxfId="6380" priority="9948" stopIfTrue="1" operator="equal">
      <formula>"Towel"</formula>
    </cfRule>
    <cfRule type="cellIs" dxfId="6379" priority="9949" stopIfTrue="1" operator="equal">
      <formula>"Napkin Hs"</formula>
    </cfRule>
    <cfRule type="cellIs" dxfId="6378" priority="9950" stopIfTrue="1" operator="equal">
      <formula>"Towel"</formula>
    </cfRule>
    <cfRule type="cellIs" dxfId="6377" priority="9951" stopIfTrue="1" operator="equal">
      <formula>"Napkin Hs"</formula>
    </cfRule>
    <cfRule type="cellIs" dxfId="6376" priority="9952" stopIfTrue="1" operator="equal">
      <formula>"Towel"</formula>
    </cfRule>
    <cfRule type="cellIs" dxfId="6375" priority="9953" stopIfTrue="1" operator="equal">
      <formula>"Napkin Hs"</formula>
    </cfRule>
    <cfRule type="cellIs" dxfId="6374" priority="9958" stopIfTrue="1" operator="equal">
      <formula>"Towel"</formula>
    </cfRule>
    <cfRule type="cellIs" dxfId="6373" priority="9959" stopIfTrue="1" operator="equal">
      <formula>"Napkin Hs"</formula>
    </cfRule>
    <cfRule type="cellIs" dxfId="6372" priority="9960" stopIfTrue="1" operator="equal">
      <formula>"Towel"</formula>
    </cfRule>
    <cfRule type="cellIs" dxfId="6371" priority="9961" stopIfTrue="1" operator="equal">
      <formula>"Napkin Hs"</formula>
    </cfRule>
    <cfRule type="cellIs" dxfId="6370" priority="9964" stopIfTrue="1" operator="equal">
      <formula>"Towel"</formula>
    </cfRule>
    <cfRule type="cellIs" dxfId="6369" priority="9965" stopIfTrue="1" operator="equal">
      <formula>"Napkin Hs"</formula>
    </cfRule>
    <cfRule type="cellIs" dxfId="6368" priority="9966" stopIfTrue="1" operator="equal">
      <formula>"Towel"</formula>
    </cfRule>
    <cfRule type="cellIs" dxfId="6367" priority="9967" stopIfTrue="1" operator="equal">
      <formula>"Napkin Hs"</formula>
    </cfRule>
  </conditionalFormatting>
  <conditionalFormatting sqref="C103">
    <cfRule type="cellIs" dxfId="6366" priority="9870" stopIfTrue="1" operator="equal">
      <formula>"Napkin Hs"</formula>
    </cfRule>
  </conditionalFormatting>
  <conditionalFormatting sqref="C103">
    <cfRule type="cellIs" dxfId="6365" priority="9869" stopIfTrue="1" operator="equal">
      <formula>"Napkin Hs"</formula>
    </cfRule>
  </conditionalFormatting>
  <conditionalFormatting sqref="B103">
    <cfRule type="cellIs" dxfId="6364" priority="9868" stopIfTrue="1" operator="equal">
      <formula>"Napkin Hs"</formula>
    </cfRule>
  </conditionalFormatting>
  <conditionalFormatting sqref="C103">
    <cfRule type="cellIs" dxfId="6363" priority="9867" stopIfTrue="1" operator="equal">
      <formula>"Napkin Hs"</formula>
    </cfRule>
  </conditionalFormatting>
  <conditionalFormatting sqref="C103">
    <cfRule type="cellIs" dxfId="6362" priority="9866" stopIfTrue="1" operator="equal">
      <formula>"Napkin Hs"</formula>
    </cfRule>
  </conditionalFormatting>
  <conditionalFormatting sqref="C103">
    <cfRule type="cellIs" dxfId="6361" priority="9865" stopIfTrue="1" operator="equal">
      <formula>"Napkin Hs"</formula>
    </cfRule>
  </conditionalFormatting>
  <conditionalFormatting sqref="C103">
    <cfRule type="cellIs" dxfId="6360" priority="9864" stopIfTrue="1" operator="equal">
      <formula>"Napkin Hs"</formula>
    </cfRule>
  </conditionalFormatting>
  <conditionalFormatting sqref="B103">
    <cfRule type="cellIs" dxfId="6359" priority="9863" stopIfTrue="1" operator="equal">
      <formula>"Napkin Hs"</formula>
    </cfRule>
  </conditionalFormatting>
  <conditionalFormatting sqref="B103">
    <cfRule type="cellIs" dxfId="6358" priority="9862" stopIfTrue="1" operator="equal">
      <formula>"Napkin Hs"</formula>
    </cfRule>
  </conditionalFormatting>
  <conditionalFormatting sqref="C103">
    <cfRule type="cellIs" dxfId="6357" priority="9858" stopIfTrue="1" operator="equal">
      <formula>"Towel"</formula>
    </cfRule>
    <cfRule type="cellIs" dxfId="6356" priority="9859" stopIfTrue="1" operator="equal">
      <formula>"Napkin Hs"</formula>
    </cfRule>
  </conditionalFormatting>
  <conditionalFormatting sqref="C103">
    <cfRule type="cellIs" dxfId="6355" priority="9860" stopIfTrue="1" operator="equal">
      <formula>"Towel"</formula>
    </cfRule>
    <cfRule type="cellIs" dxfId="6354" priority="9861" stopIfTrue="1" operator="equal">
      <formula>"Napkin Hs"</formula>
    </cfRule>
  </conditionalFormatting>
  <conditionalFormatting sqref="C103">
    <cfRule type="cellIs" dxfId="6353" priority="9854" stopIfTrue="1" operator="equal">
      <formula>"Towel"</formula>
    </cfRule>
    <cfRule type="cellIs" dxfId="6352" priority="9855" stopIfTrue="1" operator="equal">
      <formula>"Napkin Hs"</formula>
    </cfRule>
  </conditionalFormatting>
  <conditionalFormatting sqref="C103">
    <cfRule type="cellIs" dxfId="6351" priority="9856" stopIfTrue="1" operator="equal">
      <formula>"Towel"</formula>
    </cfRule>
    <cfRule type="cellIs" dxfId="6350" priority="9857" stopIfTrue="1" operator="equal">
      <formula>"Napkin Hs"</formula>
    </cfRule>
  </conditionalFormatting>
  <conditionalFormatting sqref="B102">
    <cfRule type="cellIs" dxfId="6349" priority="9853" stopIfTrue="1" operator="equal">
      <formula>"Napkin Hs"</formula>
    </cfRule>
  </conditionalFormatting>
  <conditionalFormatting sqref="B102">
    <cfRule type="cellIs" dxfId="6348" priority="9852" stopIfTrue="1" operator="equal">
      <formula>"Napkin Hs"</formula>
    </cfRule>
  </conditionalFormatting>
  <conditionalFormatting sqref="B102">
    <cfRule type="cellIs" dxfId="6347" priority="9851" stopIfTrue="1" operator="equal">
      <formula>"Napkin Hs"</formula>
    </cfRule>
  </conditionalFormatting>
  <conditionalFormatting sqref="C102">
    <cfRule type="cellIs" dxfId="6346" priority="9849" stopIfTrue="1" operator="equal">
      <formula>"Towel"</formula>
    </cfRule>
    <cfRule type="cellIs" dxfId="6345" priority="9850" stopIfTrue="1" operator="equal">
      <formula>"Napkin Hs"</formula>
    </cfRule>
  </conditionalFormatting>
  <conditionalFormatting sqref="C102">
    <cfRule type="cellIs" dxfId="6344" priority="9845" stopIfTrue="1" operator="equal">
      <formula>"Towel"</formula>
    </cfRule>
    <cfRule type="cellIs" dxfId="6343" priority="9846" stopIfTrue="1" operator="equal">
      <formula>"Napkin Hs"</formula>
    </cfRule>
  </conditionalFormatting>
  <conditionalFormatting sqref="C102">
    <cfRule type="cellIs" dxfId="6342" priority="9847" stopIfTrue="1" operator="equal">
      <formula>"Towel"</formula>
    </cfRule>
    <cfRule type="cellIs" dxfId="6341" priority="9848" stopIfTrue="1" operator="equal">
      <formula>"Napkin Hs"</formula>
    </cfRule>
  </conditionalFormatting>
  <conditionalFormatting sqref="C102">
    <cfRule type="cellIs" dxfId="6340" priority="9841" stopIfTrue="1" operator="equal">
      <formula>"Towel"</formula>
    </cfRule>
    <cfRule type="cellIs" dxfId="6339" priority="9842" stopIfTrue="1" operator="equal">
      <formula>"Napkin Hs"</formula>
    </cfRule>
  </conditionalFormatting>
  <conditionalFormatting sqref="C102">
    <cfRule type="cellIs" dxfId="6338" priority="9843" stopIfTrue="1" operator="equal">
      <formula>"Towel"</formula>
    </cfRule>
    <cfRule type="cellIs" dxfId="6337" priority="9844" stopIfTrue="1" operator="equal">
      <formula>"Napkin Hs"</formula>
    </cfRule>
  </conditionalFormatting>
  <conditionalFormatting sqref="C102">
    <cfRule type="cellIs" dxfId="6336" priority="9839" stopIfTrue="1" operator="equal">
      <formula>"Towel"</formula>
    </cfRule>
    <cfRule type="cellIs" dxfId="6335" priority="9840" stopIfTrue="1" operator="equal">
      <formula>"Napkin Hs"</formula>
    </cfRule>
  </conditionalFormatting>
  <conditionalFormatting sqref="C102">
    <cfRule type="cellIs" dxfId="6334" priority="9833" stopIfTrue="1" operator="equal">
      <formula>"Towel"</formula>
    </cfRule>
    <cfRule type="cellIs" dxfId="6333" priority="9834" stopIfTrue="1" operator="equal">
      <formula>"Napkin Hs"</formula>
    </cfRule>
  </conditionalFormatting>
  <conditionalFormatting sqref="C102">
    <cfRule type="cellIs" dxfId="6332" priority="9837" stopIfTrue="1" operator="equal">
      <formula>"Towel"</formula>
    </cfRule>
    <cfRule type="cellIs" dxfId="6331" priority="9838" stopIfTrue="1" operator="equal">
      <formula>"Napkin Hs"</formula>
    </cfRule>
  </conditionalFormatting>
  <conditionalFormatting sqref="C102">
    <cfRule type="cellIs" dxfId="6330" priority="9835" stopIfTrue="1" operator="equal">
      <formula>"Towel"</formula>
    </cfRule>
    <cfRule type="cellIs" dxfId="6329" priority="9836" stopIfTrue="1" operator="equal">
      <formula>"Napkin Hs"</formula>
    </cfRule>
  </conditionalFormatting>
  <conditionalFormatting sqref="C102">
    <cfRule type="cellIs" dxfId="6328" priority="9827" stopIfTrue="1" operator="equal">
      <formula>"Towel"</formula>
    </cfRule>
    <cfRule type="cellIs" dxfId="6327" priority="9828" stopIfTrue="1" operator="equal">
      <formula>"Napkin Hs"</formula>
    </cfRule>
  </conditionalFormatting>
  <conditionalFormatting sqref="C102">
    <cfRule type="cellIs" dxfId="6326" priority="9829" stopIfTrue="1" operator="equal">
      <formula>"Towel"</formula>
    </cfRule>
    <cfRule type="cellIs" dxfId="6325" priority="9830" stopIfTrue="1" operator="equal">
      <formula>"Napkin Hs"</formula>
    </cfRule>
  </conditionalFormatting>
  <conditionalFormatting sqref="C102">
    <cfRule type="cellIs" dxfId="6324" priority="9831" stopIfTrue="1" operator="equal">
      <formula>"Towel"</formula>
    </cfRule>
    <cfRule type="cellIs" dxfId="6323" priority="9832" stopIfTrue="1" operator="equal">
      <formula>"Napkin Hs"</formula>
    </cfRule>
  </conditionalFormatting>
  <conditionalFormatting sqref="C102">
    <cfRule type="cellIs" dxfId="6322" priority="9825" stopIfTrue="1" operator="equal">
      <formula>"Towel"</formula>
    </cfRule>
    <cfRule type="cellIs" dxfId="6321" priority="9826" stopIfTrue="1" operator="equal">
      <formula>"Napkin Hs"</formula>
    </cfRule>
  </conditionalFormatting>
  <conditionalFormatting sqref="C102">
    <cfRule type="cellIs" dxfId="6320" priority="9823" stopIfTrue="1" operator="equal">
      <formula>"Towel"</formula>
    </cfRule>
    <cfRule type="cellIs" dxfId="6319" priority="9824" stopIfTrue="1" operator="equal">
      <formula>"Napkin Hs"</formula>
    </cfRule>
  </conditionalFormatting>
  <conditionalFormatting sqref="C102">
    <cfRule type="cellIs" dxfId="6318" priority="9799" stopIfTrue="1" operator="equal">
      <formula>"Towel"</formula>
    </cfRule>
  </conditionalFormatting>
  <conditionalFormatting sqref="C102">
    <cfRule type="cellIs" dxfId="6317" priority="9800" stopIfTrue="1" operator="equal">
      <formula>"Napkin Hs"</formula>
    </cfRule>
    <cfRule type="cellIs" dxfId="6316" priority="9805" stopIfTrue="1" operator="equal">
      <formula>"Towel"</formula>
    </cfRule>
    <cfRule type="cellIs" dxfId="6315" priority="9806" stopIfTrue="1" operator="equal">
      <formula>"Napkin Hs"</formula>
    </cfRule>
    <cfRule type="cellIs" dxfId="6314" priority="9815" stopIfTrue="1" operator="equal">
      <formula>"Towel"</formula>
    </cfRule>
    <cfRule type="cellIs" dxfId="6313" priority="9816" stopIfTrue="1" operator="equal">
      <formula>"Napkin Hs"</formula>
    </cfRule>
    <cfRule type="cellIs" dxfId="6312" priority="9821" stopIfTrue="1" operator="equal">
      <formula>"Towel"</formula>
    </cfRule>
    <cfRule type="cellIs" dxfId="6311" priority="9822" stopIfTrue="1" operator="equal">
      <formula>"Napkin Hs"</formula>
    </cfRule>
  </conditionalFormatting>
  <conditionalFormatting sqref="C102">
    <cfRule type="cellIs" dxfId="6310" priority="9801" stopIfTrue="1" operator="equal">
      <formula>"Towel"</formula>
    </cfRule>
    <cfRule type="cellIs" dxfId="6309" priority="9802" stopIfTrue="1" operator="equal">
      <formula>"Napkin Hs"</formula>
    </cfRule>
    <cfRule type="cellIs" dxfId="6308" priority="9803" stopIfTrue="1" operator="equal">
      <formula>"Towel"</formula>
    </cfRule>
    <cfRule type="cellIs" dxfId="6307" priority="9804" stopIfTrue="1" operator="equal">
      <formula>"Napkin Hs"</formula>
    </cfRule>
    <cfRule type="cellIs" dxfId="6306" priority="9807" stopIfTrue="1" operator="equal">
      <formula>"Towel"</formula>
    </cfRule>
    <cfRule type="cellIs" dxfId="6305" priority="9808" stopIfTrue="1" operator="equal">
      <formula>"Napkin Hs"</formula>
    </cfRule>
    <cfRule type="cellIs" dxfId="6304" priority="9809" stopIfTrue="1" operator="equal">
      <formula>"Towel"</formula>
    </cfRule>
    <cfRule type="cellIs" dxfId="6303" priority="9810" stopIfTrue="1" operator="equal">
      <formula>"Napkin Hs"</formula>
    </cfRule>
    <cfRule type="cellIs" dxfId="6302" priority="9811" stopIfTrue="1" operator="equal">
      <formula>"Towel"</formula>
    </cfRule>
    <cfRule type="cellIs" dxfId="6301" priority="9812" stopIfTrue="1" operator="equal">
      <formula>"Napkin Hs"</formula>
    </cfRule>
    <cfRule type="cellIs" dxfId="6300" priority="9813" stopIfTrue="1" operator="equal">
      <formula>"Towel"</formula>
    </cfRule>
    <cfRule type="cellIs" dxfId="6299" priority="9814" stopIfTrue="1" operator="equal">
      <formula>"Napkin Hs"</formula>
    </cfRule>
    <cfRule type="cellIs" dxfId="6298" priority="9817" stopIfTrue="1" operator="equal">
      <formula>"Towel"</formula>
    </cfRule>
    <cfRule type="cellIs" dxfId="6297" priority="9818" stopIfTrue="1" operator="equal">
      <formula>"Napkin Hs"</formula>
    </cfRule>
    <cfRule type="cellIs" dxfId="6296" priority="9820" stopIfTrue="1" operator="equal">
      <formula>"Napkin Hs"</formula>
    </cfRule>
  </conditionalFormatting>
  <conditionalFormatting sqref="C102">
    <cfRule type="cellIs" dxfId="6295" priority="9819" stopIfTrue="1" operator="equal">
      <formula>"Towel"</formula>
    </cfRule>
  </conditionalFormatting>
  <conditionalFormatting sqref="C102">
    <cfRule type="cellIs" dxfId="6294" priority="9797" stopIfTrue="1" operator="equal">
      <formula>"Towel"</formula>
    </cfRule>
    <cfRule type="cellIs" dxfId="6293" priority="9798" stopIfTrue="1" operator="equal">
      <formula>"Napkin Hs"</formula>
    </cfRule>
  </conditionalFormatting>
  <conditionalFormatting sqref="C102">
    <cfRule type="cellIs" dxfId="6292" priority="9796" stopIfTrue="1" operator="equal">
      <formula>"Napkin Hs"</formula>
    </cfRule>
  </conditionalFormatting>
  <conditionalFormatting sqref="C102">
    <cfRule type="cellIs" dxfId="6291" priority="9795" stopIfTrue="1" operator="equal">
      <formula>"Towel"</formula>
    </cfRule>
  </conditionalFormatting>
  <conditionalFormatting sqref="C102">
    <cfRule type="cellIs" dxfId="6290" priority="9793" stopIfTrue="1" operator="equal">
      <formula>"Towel"</formula>
    </cfRule>
  </conditionalFormatting>
  <conditionalFormatting sqref="C102">
    <cfRule type="cellIs" dxfId="6289" priority="9794" stopIfTrue="1" operator="equal">
      <formula>"Napkin Hs"</formula>
    </cfRule>
  </conditionalFormatting>
  <conditionalFormatting sqref="C102">
    <cfRule type="cellIs" dxfId="6288" priority="9697" stopIfTrue="1" operator="equal">
      <formula>"Towel"</formula>
    </cfRule>
  </conditionalFormatting>
  <conditionalFormatting sqref="C102">
    <cfRule type="cellIs" dxfId="6287" priority="9707" stopIfTrue="1" operator="equal">
      <formula>"Towel"</formula>
    </cfRule>
    <cfRule type="cellIs" dxfId="6286" priority="9708" stopIfTrue="1" operator="equal">
      <formula>"Napkin Hs"</formula>
    </cfRule>
    <cfRule type="cellIs" dxfId="6285" priority="9713" stopIfTrue="1" operator="equal">
      <formula>"Towel"</formula>
    </cfRule>
    <cfRule type="cellIs" dxfId="6284" priority="9714" stopIfTrue="1" operator="equal">
      <formula>"Napkin Hs"</formula>
    </cfRule>
    <cfRule type="cellIs" dxfId="6283" priority="9719" stopIfTrue="1" operator="equal">
      <formula>"Towel"</formula>
    </cfRule>
    <cfRule type="cellIs" dxfId="6282" priority="9720" stopIfTrue="1" operator="equal">
      <formula>"Napkin Hs"</formula>
    </cfRule>
    <cfRule type="cellIs" dxfId="6281" priority="9721" stopIfTrue="1" operator="equal">
      <formula>"Towel"</formula>
    </cfRule>
    <cfRule type="cellIs" dxfId="6280" priority="9722" stopIfTrue="1" operator="equal">
      <formula>"Napkin Hs"</formula>
    </cfRule>
    <cfRule type="cellIs" dxfId="6279" priority="9727" stopIfTrue="1" operator="equal">
      <formula>"Towel"</formula>
    </cfRule>
    <cfRule type="cellIs" dxfId="6278" priority="9728" stopIfTrue="1" operator="equal">
      <formula>"Napkin Hs"</formula>
    </cfRule>
    <cfRule type="cellIs" dxfId="6277" priority="9737" stopIfTrue="1" operator="equal">
      <formula>"Towel"</formula>
    </cfRule>
    <cfRule type="cellIs" dxfId="6276" priority="9738" stopIfTrue="1" operator="equal">
      <formula>"Napkin Hs"</formula>
    </cfRule>
    <cfRule type="cellIs" dxfId="6275" priority="9743" stopIfTrue="1" operator="equal">
      <formula>"Towel"</formula>
    </cfRule>
    <cfRule type="cellIs" dxfId="6274" priority="9744" stopIfTrue="1" operator="equal">
      <formula>"Napkin Hs"</formula>
    </cfRule>
    <cfRule type="cellIs" dxfId="6273" priority="9745" stopIfTrue="1" operator="equal">
      <formula>"Towel"</formula>
    </cfRule>
    <cfRule type="cellIs" dxfId="6272" priority="9746" stopIfTrue="1" operator="equal">
      <formula>"Napkin Hs"</formula>
    </cfRule>
    <cfRule type="cellIs" dxfId="6271" priority="9751" stopIfTrue="1" operator="equal">
      <formula>"Towel"</formula>
    </cfRule>
    <cfRule type="cellIs" dxfId="6270" priority="9752" stopIfTrue="1" operator="equal">
      <formula>"Napkin Hs"</formula>
    </cfRule>
    <cfRule type="cellIs" dxfId="6269" priority="9761" stopIfTrue="1" operator="equal">
      <formula>"Towel"</formula>
    </cfRule>
    <cfRule type="cellIs" dxfId="6268" priority="9762" stopIfTrue="1" operator="equal">
      <formula>"Napkin Hs"</formula>
    </cfRule>
    <cfRule type="cellIs" dxfId="6267" priority="9763" stopIfTrue="1" operator="equal">
      <formula>"Towel"</formula>
    </cfRule>
    <cfRule type="cellIs" dxfId="6266" priority="9764" stopIfTrue="1" operator="equal">
      <formula>"Napkin Hs"</formula>
    </cfRule>
    <cfRule type="cellIs" dxfId="6265" priority="9769" stopIfTrue="1" operator="equal">
      <formula>"Towel"</formula>
    </cfRule>
    <cfRule type="cellIs" dxfId="6264" priority="9770" stopIfTrue="1" operator="equal">
      <formula>"Napkin Hs"</formula>
    </cfRule>
    <cfRule type="cellIs" dxfId="6263" priority="9779" stopIfTrue="1" operator="equal">
      <formula>"Towel"</formula>
    </cfRule>
    <cfRule type="cellIs" dxfId="6262" priority="9780" stopIfTrue="1" operator="equal">
      <formula>"Napkin Hs"</formula>
    </cfRule>
    <cfRule type="cellIs" dxfId="6261" priority="9781" stopIfTrue="1" operator="equal">
      <formula>"Towel"</formula>
    </cfRule>
    <cfRule type="cellIs" dxfId="6260" priority="9782" stopIfTrue="1" operator="equal">
      <formula>"Napkin Hs"</formula>
    </cfRule>
    <cfRule type="cellIs" dxfId="6259" priority="9788" stopIfTrue="1" operator="equal">
      <formula>"Napkin Hs"</formula>
    </cfRule>
  </conditionalFormatting>
  <conditionalFormatting sqref="C102">
    <cfRule type="cellIs" dxfId="6258" priority="9787" stopIfTrue="1" operator="equal">
      <formula>"Towel"</formula>
    </cfRule>
  </conditionalFormatting>
  <conditionalFormatting sqref="C102">
    <cfRule type="cellIs" dxfId="6257" priority="9698" stopIfTrue="1" operator="equal">
      <formula>"Napkin Hs"</formula>
    </cfRule>
    <cfRule type="cellIs" dxfId="6256" priority="9699" stopIfTrue="1" operator="equal">
      <formula>"Towel"</formula>
    </cfRule>
    <cfRule type="cellIs" dxfId="6255" priority="9700" stopIfTrue="1" operator="equal">
      <formula>"Napkin Hs"</formula>
    </cfRule>
    <cfRule type="cellIs" dxfId="6254" priority="9701" stopIfTrue="1" operator="equal">
      <formula>"Towel"</formula>
    </cfRule>
    <cfRule type="cellIs" dxfId="6253" priority="9702" stopIfTrue="1" operator="equal">
      <formula>"Napkin Hs"</formula>
    </cfRule>
    <cfRule type="cellIs" dxfId="6252" priority="9703" stopIfTrue="1" operator="equal">
      <formula>"Towel"</formula>
    </cfRule>
    <cfRule type="cellIs" dxfId="6251" priority="9704" stopIfTrue="1" operator="equal">
      <formula>"Napkin Hs"</formula>
    </cfRule>
    <cfRule type="cellIs" dxfId="6250" priority="9705" stopIfTrue="1" operator="equal">
      <formula>"Towel"</formula>
    </cfRule>
    <cfRule type="cellIs" dxfId="6249" priority="9706" stopIfTrue="1" operator="equal">
      <formula>"Napkin Hs"</formula>
    </cfRule>
    <cfRule type="cellIs" dxfId="6248" priority="9709" stopIfTrue="1" operator="equal">
      <formula>"Towel"</formula>
    </cfRule>
    <cfRule type="cellIs" dxfId="6247" priority="9710" stopIfTrue="1" operator="equal">
      <formula>"Napkin Hs"</formula>
    </cfRule>
    <cfRule type="cellIs" dxfId="6246" priority="9711" stopIfTrue="1" operator="equal">
      <formula>"Towel"</formula>
    </cfRule>
    <cfRule type="cellIs" dxfId="6245" priority="9712" stopIfTrue="1" operator="equal">
      <formula>"Napkin Hs"</formula>
    </cfRule>
    <cfRule type="cellIs" dxfId="6244" priority="9715" stopIfTrue="1" operator="equal">
      <formula>"Towel"</formula>
    </cfRule>
    <cfRule type="cellIs" dxfId="6243" priority="9716" stopIfTrue="1" operator="equal">
      <formula>"Napkin Hs"</formula>
    </cfRule>
    <cfRule type="cellIs" dxfId="6242" priority="9717" stopIfTrue="1" operator="equal">
      <formula>"Towel"</formula>
    </cfRule>
    <cfRule type="cellIs" dxfId="6241" priority="9718" stopIfTrue="1" operator="equal">
      <formula>"Napkin Hs"</formula>
    </cfRule>
    <cfRule type="cellIs" dxfId="6240" priority="9723" stopIfTrue="1" operator="equal">
      <formula>"Towel"</formula>
    </cfRule>
    <cfRule type="cellIs" dxfId="6239" priority="9724" stopIfTrue="1" operator="equal">
      <formula>"Napkin Hs"</formula>
    </cfRule>
    <cfRule type="cellIs" dxfId="6238" priority="9725" stopIfTrue="1" operator="equal">
      <formula>"Towel"</formula>
    </cfRule>
    <cfRule type="cellIs" dxfId="6237" priority="9726" stopIfTrue="1" operator="equal">
      <formula>"Napkin Hs"</formula>
    </cfRule>
    <cfRule type="cellIs" dxfId="6236" priority="9729" stopIfTrue="1" operator="equal">
      <formula>"Towel"</formula>
    </cfRule>
    <cfRule type="cellIs" dxfId="6235" priority="9730" stopIfTrue="1" operator="equal">
      <formula>"Napkin Hs"</formula>
    </cfRule>
    <cfRule type="cellIs" dxfId="6234" priority="9731" stopIfTrue="1" operator="equal">
      <formula>"Towel"</formula>
    </cfRule>
    <cfRule type="cellIs" dxfId="6233" priority="9732" stopIfTrue="1" operator="equal">
      <formula>"Napkin Hs"</formula>
    </cfRule>
    <cfRule type="cellIs" dxfId="6232" priority="9733" stopIfTrue="1" operator="equal">
      <formula>"Towel"</formula>
    </cfRule>
    <cfRule type="cellIs" dxfId="6231" priority="9734" stopIfTrue="1" operator="equal">
      <formula>"Napkin Hs"</formula>
    </cfRule>
    <cfRule type="cellIs" dxfId="6230" priority="9735" stopIfTrue="1" operator="equal">
      <formula>"Towel"</formula>
    </cfRule>
    <cfRule type="cellIs" dxfId="6229" priority="9736" stopIfTrue="1" operator="equal">
      <formula>"Napkin Hs"</formula>
    </cfRule>
    <cfRule type="cellIs" dxfId="6228" priority="9739" stopIfTrue="1" operator="equal">
      <formula>"Towel"</formula>
    </cfRule>
    <cfRule type="cellIs" dxfId="6227" priority="9740" stopIfTrue="1" operator="equal">
      <formula>"Napkin Hs"</formula>
    </cfRule>
    <cfRule type="cellIs" dxfId="6226" priority="9741" stopIfTrue="1" operator="equal">
      <formula>"Towel"</formula>
    </cfRule>
    <cfRule type="cellIs" dxfId="6225" priority="9742" stopIfTrue="1" operator="equal">
      <formula>"Napkin Hs"</formula>
    </cfRule>
    <cfRule type="cellIs" dxfId="6224" priority="9747" stopIfTrue="1" operator="equal">
      <formula>"Towel"</formula>
    </cfRule>
    <cfRule type="cellIs" dxfId="6223" priority="9748" stopIfTrue="1" operator="equal">
      <formula>"Napkin Hs"</formula>
    </cfRule>
    <cfRule type="cellIs" dxfId="6222" priority="9749" stopIfTrue="1" operator="equal">
      <formula>"Towel"</formula>
    </cfRule>
    <cfRule type="cellIs" dxfId="6221" priority="9750" stopIfTrue="1" operator="equal">
      <formula>"Napkin Hs"</formula>
    </cfRule>
    <cfRule type="cellIs" dxfId="6220" priority="9753" stopIfTrue="1" operator="equal">
      <formula>"Towel"</formula>
    </cfRule>
    <cfRule type="cellIs" dxfId="6219" priority="9754" stopIfTrue="1" operator="equal">
      <formula>"Napkin Hs"</formula>
    </cfRule>
    <cfRule type="cellIs" dxfId="6218" priority="9755" stopIfTrue="1" operator="equal">
      <formula>"Towel"</formula>
    </cfRule>
    <cfRule type="cellIs" dxfId="6217" priority="9756" stopIfTrue="1" operator="equal">
      <formula>"Napkin Hs"</formula>
    </cfRule>
    <cfRule type="cellIs" dxfId="6216" priority="9757" stopIfTrue="1" operator="equal">
      <formula>"Towel"</formula>
    </cfRule>
    <cfRule type="cellIs" dxfId="6215" priority="9758" stopIfTrue="1" operator="equal">
      <formula>"Napkin Hs"</formula>
    </cfRule>
    <cfRule type="cellIs" dxfId="6214" priority="9759" stopIfTrue="1" operator="equal">
      <formula>"Towel"</formula>
    </cfRule>
    <cfRule type="cellIs" dxfId="6213" priority="9760" stopIfTrue="1" operator="equal">
      <formula>"Napkin Hs"</formula>
    </cfRule>
    <cfRule type="cellIs" dxfId="6212" priority="9765" stopIfTrue="1" operator="equal">
      <formula>"Towel"</formula>
    </cfRule>
    <cfRule type="cellIs" dxfId="6211" priority="9766" stopIfTrue="1" operator="equal">
      <formula>"Napkin Hs"</formula>
    </cfRule>
    <cfRule type="cellIs" dxfId="6210" priority="9767" stopIfTrue="1" operator="equal">
      <formula>"Towel"</formula>
    </cfRule>
    <cfRule type="cellIs" dxfId="6209" priority="9768" stopIfTrue="1" operator="equal">
      <formula>"Napkin Hs"</formula>
    </cfRule>
    <cfRule type="cellIs" dxfId="6208" priority="9771" stopIfTrue="1" operator="equal">
      <formula>"Towel"</formula>
    </cfRule>
    <cfRule type="cellIs" dxfId="6207" priority="9772" stopIfTrue="1" operator="equal">
      <formula>"Napkin Hs"</formula>
    </cfRule>
    <cfRule type="cellIs" dxfId="6206" priority="9773" stopIfTrue="1" operator="equal">
      <formula>"Towel"</formula>
    </cfRule>
    <cfRule type="cellIs" dxfId="6205" priority="9774" stopIfTrue="1" operator="equal">
      <formula>"Napkin Hs"</formula>
    </cfRule>
    <cfRule type="cellIs" dxfId="6204" priority="9775" stopIfTrue="1" operator="equal">
      <formula>"Towel"</formula>
    </cfRule>
    <cfRule type="cellIs" dxfId="6203" priority="9776" stopIfTrue="1" operator="equal">
      <formula>"Napkin Hs"</formula>
    </cfRule>
    <cfRule type="cellIs" dxfId="6202" priority="9777" stopIfTrue="1" operator="equal">
      <formula>"Towel"</formula>
    </cfRule>
    <cfRule type="cellIs" dxfId="6201" priority="9778" stopIfTrue="1" operator="equal">
      <formula>"Napkin Hs"</formula>
    </cfRule>
    <cfRule type="cellIs" dxfId="6200" priority="9783" stopIfTrue="1" operator="equal">
      <formula>"Towel"</formula>
    </cfRule>
    <cfRule type="cellIs" dxfId="6199" priority="9784" stopIfTrue="1" operator="equal">
      <formula>"Napkin Hs"</formula>
    </cfRule>
    <cfRule type="cellIs" dxfId="6198" priority="9785" stopIfTrue="1" operator="equal">
      <formula>"Towel"</formula>
    </cfRule>
    <cfRule type="cellIs" dxfId="6197" priority="9786" stopIfTrue="1" operator="equal">
      <formula>"Napkin Hs"</formula>
    </cfRule>
    <cfRule type="cellIs" dxfId="6196" priority="9789" stopIfTrue="1" operator="equal">
      <formula>"Towel"</formula>
    </cfRule>
    <cfRule type="cellIs" dxfId="6195" priority="9790" stopIfTrue="1" operator="equal">
      <formula>"Napkin Hs"</formula>
    </cfRule>
    <cfRule type="cellIs" dxfId="6194" priority="9791" stopIfTrue="1" operator="equal">
      <formula>"Towel"</formula>
    </cfRule>
    <cfRule type="cellIs" dxfId="6193" priority="9792" stopIfTrue="1" operator="equal">
      <formula>"Napkin Hs"</formula>
    </cfRule>
  </conditionalFormatting>
  <conditionalFormatting sqref="C102">
    <cfRule type="cellIs" dxfId="6192" priority="9696" stopIfTrue="1" operator="equal">
      <formula>"Napkin Hs"</formula>
    </cfRule>
  </conditionalFormatting>
  <conditionalFormatting sqref="C102">
    <cfRule type="cellIs" dxfId="6191" priority="9695" stopIfTrue="1" operator="equal">
      <formula>"Napkin Hs"</formula>
    </cfRule>
  </conditionalFormatting>
  <conditionalFormatting sqref="C102">
    <cfRule type="cellIs" dxfId="6190" priority="9694" stopIfTrue="1" operator="equal">
      <formula>"Napkin Hs"</formula>
    </cfRule>
  </conditionalFormatting>
  <conditionalFormatting sqref="C102">
    <cfRule type="cellIs" dxfId="6189" priority="9693" stopIfTrue="1" operator="equal">
      <formula>"Napkin Hs"</formula>
    </cfRule>
  </conditionalFormatting>
  <conditionalFormatting sqref="C102">
    <cfRule type="cellIs" dxfId="6188" priority="9692" stopIfTrue="1" operator="equal">
      <formula>"Napkin Hs"</formula>
    </cfRule>
  </conditionalFormatting>
  <conditionalFormatting sqref="C102">
    <cfRule type="cellIs" dxfId="6187" priority="9691" stopIfTrue="1" operator="equal">
      <formula>"Napkin Hs"</formula>
    </cfRule>
  </conditionalFormatting>
  <conditionalFormatting sqref="C102">
    <cfRule type="cellIs" dxfId="6186" priority="9687" stopIfTrue="1" operator="equal">
      <formula>"Towel"</formula>
    </cfRule>
    <cfRule type="cellIs" dxfId="6185" priority="9688" stopIfTrue="1" operator="equal">
      <formula>"Napkin Hs"</formula>
    </cfRule>
  </conditionalFormatting>
  <conditionalFormatting sqref="C102">
    <cfRule type="cellIs" dxfId="6184" priority="9689" stopIfTrue="1" operator="equal">
      <formula>"Towel"</formula>
    </cfRule>
    <cfRule type="cellIs" dxfId="6183" priority="9690" stopIfTrue="1" operator="equal">
      <formula>"Napkin Hs"</formula>
    </cfRule>
  </conditionalFormatting>
  <conditionalFormatting sqref="C102">
    <cfRule type="cellIs" dxfId="6182" priority="9683" stopIfTrue="1" operator="equal">
      <formula>"Towel"</formula>
    </cfRule>
    <cfRule type="cellIs" dxfId="6181" priority="9684" stopIfTrue="1" operator="equal">
      <formula>"Napkin Hs"</formula>
    </cfRule>
  </conditionalFormatting>
  <conditionalFormatting sqref="C102">
    <cfRule type="cellIs" dxfId="6180" priority="9685" stopIfTrue="1" operator="equal">
      <formula>"Towel"</formula>
    </cfRule>
    <cfRule type="cellIs" dxfId="6179" priority="9686" stopIfTrue="1" operator="equal">
      <formula>"Napkin Hs"</formula>
    </cfRule>
  </conditionalFormatting>
  <conditionalFormatting sqref="B101">
    <cfRule type="cellIs" dxfId="6178" priority="9682" stopIfTrue="1" operator="equal">
      <formula>"Napkin Hs"</formula>
    </cfRule>
  </conditionalFormatting>
  <conditionalFormatting sqref="B101">
    <cfRule type="cellIs" dxfId="6177" priority="9681" stopIfTrue="1" operator="equal">
      <formula>"Napkin Hs"</formula>
    </cfRule>
  </conditionalFormatting>
  <conditionalFormatting sqref="B101">
    <cfRule type="cellIs" dxfId="6176" priority="9680" stopIfTrue="1" operator="equal">
      <formula>"Napkin Hs"</formula>
    </cfRule>
  </conditionalFormatting>
  <conditionalFormatting sqref="C101">
    <cfRule type="cellIs" dxfId="6175" priority="9678" stopIfTrue="1" operator="equal">
      <formula>"Towel"</formula>
    </cfRule>
    <cfRule type="cellIs" dxfId="6174" priority="9679" stopIfTrue="1" operator="equal">
      <formula>"Napkin Hs"</formula>
    </cfRule>
  </conditionalFormatting>
  <conditionalFormatting sqref="C101">
    <cfRule type="cellIs" dxfId="6173" priority="9674" stopIfTrue="1" operator="equal">
      <formula>"Towel"</formula>
    </cfRule>
    <cfRule type="cellIs" dxfId="6172" priority="9675" stopIfTrue="1" operator="equal">
      <formula>"Napkin Hs"</formula>
    </cfRule>
  </conditionalFormatting>
  <conditionalFormatting sqref="C101">
    <cfRule type="cellIs" dxfId="6171" priority="9676" stopIfTrue="1" operator="equal">
      <formula>"Towel"</formula>
    </cfRule>
    <cfRule type="cellIs" dxfId="6170" priority="9677" stopIfTrue="1" operator="equal">
      <formula>"Napkin Hs"</formula>
    </cfRule>
  </conditionalFormatting>
  <conditionalFormatting sqref="C101">
    <cfRule type="cellIs" dxfId="6169" priority="9670" stopIfTrue="1" operator="equal">
      <formula>"Towel"</formula>
    </cfRule>
    <cfRule type="cellIs" dxfId="6168" priority="9671" stopIfTrue="1" operator="equal">
      <formula>"Napkin Hs"</formula>
    </cfRule>
  </conditionalFormatting>
  <conditionalFormatting sqref="C101">
    <cfRule type="cellIs" dxfId="6167" priority="9672" stopIfTrue="1" operator="equal">
      <formula>"Towel"</formula>
    </cfRule>
    <cfRule type="cellIs" dxfId="6166" priority="9673" stopIfTrue="1" operator="equal">
      <formula>"Napkin Hs"</formula>
    </cfRule>
  </conditionalFormatting>
  <conditionalFormatting sqref="C101">
    <cfRule type="cellIs" dxfId="6165" priority="9668" stopIfTrue="1" operator="equal">
      <formula>"Towel"</formula>
    </cfRule>
    <cfRule type="cellIs" dxfId="6164" priority="9669" stopIfTrue="1" operator="equal">
      <formula>"Napkin Hs"</formula>
    </cfRule>
  </conditionalFormatting>
  <conditionalFormatting sqref="C101">
    <cfRule type="cellIs" dxfId="6163" priority="9662" stopIfTrue="1" operator="equal">
      <formula>"Towel"</formula>
    </cfRule>
    <cfRule type="cellIs" dxfId="6162" priority="9663" stopIfTrue="1" operator="equal">
      <formula>"Napkin Hs"</formula>
    </cfRule>
  </conditionalFormatting>
  <conditionalFormatting sqref="C101">
    <cfRule type="cellIs" dxfId="6161" priority="9666" stopIfTrue="1" operator="equal">
      <formula>"Towel"</formula>
    </cfRule>
    <cfRule type="cellIs" dxfId="6160" priority="9667" stopIfTrue="1" operator="equal">
      <formula>"Napkin Hs"</formula>
    </cfRule>
  </conditionalFormatting>
  <conditionalFormatting sqref="C101">
    <cfRule type="cellIs" dxfId="6159" priority="9664" stopIfTrue="1" operator="equal">
      <formula>"Towel"</formula>
    </cfRule>
    <cfRule type="cellIs" dxfId="6158" priority="9665" stopIfTrue="1" operator="equal">
      <formula>"Napkin Hs"</formula>
    </cfRule>
  </conditionalFormatting>
  <conditionalFormatting sqref="C101">
    <cfRule type="cellIs" dxfId="6157" priority="9656" stopIfTrue="1" operator="equal">
      <formula>"Towel"</formula>
    </cfRule>
    <cfRule type="cellIs" dxfId="6156" priority="9657" stopIfTrue="1" operator="equal">
      <formula>"Napkin Hs"</formula>
    </cfRule>
  </conditionalFormatting>
  <conditionalFormatting sqref="C101">
    <cfRule type="cellIs" dxfId="6155" priority="9658" stopIfTrue="1" operator="equal">
      <formula>"Towel"</formula>
    </cfRule>
    <cfRule type="cellIs" dxfId="6154" priority="9659" stopIfTrue="1" operator="equal">
      <formula>"Napkin Hs"</formula>
    </cfRule>
  </conditionalFormatting>
  <conditionalFormatting sqref="C101">
    <cfRule type="cellIs" dxfId="6153" priority="9660" stopIfTrue="1" operator="equal">
      <formula>"Towel"</formula>
    </cfRule>
    <cfRule type="cellIs" dxfId="6152" priority="9661" stopIfTrue="1" operator="equal">
      <formula>"Napkin Hs"</formula>
    </cfRule>
  </conditionalFormatting>
  <conditionalFormatting sqref="C101">
    <cfRule type="cellIs" dxfId="6151" priority="9654" stopIfTrue="1" operator="equal">
      <formula>"Towel"</formula>
    </cfRule>
    <cfRule type="cellIs" dxfId="6150" priority="9655" stopIfTrue="1" operator="equal">
      <formula>"Napkin Hs"</formula>
    </cfRule>
  </conditionalFormatting>
  <conditionalFormatting sqref="C101">
    <cfRule type="cellIs" dxfId="6149" priority="9652" stopIfTrue="1" operator="equal">
      <formula>"Towel"</formula>
    </cfRule>
    <cfRule type="cellIs" dxfId="6148" priority="9653" stopIfTrue="1" operator="equal">
      <formula>"Napkin Hs"</formula>
    </cfRule>
  </conditionalFormatting>
  <conditionalFormatting sqref="C101">
    <cfRule type="cellIs" dxfId="6147" priority="9628" stopIfTrue="1" operator="equal">
      <formula>"Towel"</formula>
    </cfRule>
  </conditionalFormatting>
  <conditionalFormatting sqref="C101">
    <cfRule type="cellIs" dxfId="6146" priority="9629" stopIfTrue="1" operator="equal">
      <formula>"Napkin Hs"</formula>
    </cfRule>
    <cfRule type="cellIs" dxfId="6145" priority="9634" stopIfTrue="1" operator="equal">
      <formula>"Towel"</formula>
    </cfRule>
    <cfRule type="cellIs" dxfId="6144" priority="9635" stopIfTrue="1" operator="equal">
      <formula>"Napkin Hs"</formula>
    </cfRule>
    <cfRule type="cellIs" dxfId="6143" priority="9644" stopIfTrue="1" operator="equal">
      <formula>"Towel"</formula>
    </cfRule>
    <cfRule type="cellIs" dxfId="6142" priority="9645" stopIfTrue="1" operator="equal">
      <formula>"Napkin Hs"</formula>
    </cfRule>
    <cfRule type="cellIs" dxfId="6141" priority="9650" stopIfTrue="1" operator="equal">
      <formula>"Towel"</formula>
    </cfRule>
    <cfRule type="cellIs" dxfId="6140" priority="9651" stopIfTrue="1" operator="equal">
      <formula>"Napkin Hs"</formula>
    </cfRule>
  </conditionalFormatting>
  <conditionalFormatting sqref="C101">
    <cfRule type="cellIs" dxfId="6139" priority="9630" stopIfTrue="1" operator="equal">
      <formula>"Towel"</formula>
    </cfRule>
    <cfRule type="cellIs" dxfId="6138" priority="9631" stopIfTrue="1" operator="equal">
      <formula>"Napkin Hs"</formula>
    </cfRule>
    <cfRule type="cellIs" dxfId="6137" priority="9632" stopIfTrue="1" operator="equal">
      <formula>"Towel"</formula>
    </cfRule>
    <cfRule type="cellIs" dxfId="6136" priority="9633" stopIfTrue="1" operator="equal">
      <formula>"Napkin Hs"</formula>
    </cfRule>
    <cfRule type="cellIs" dxfId="6135" priority="9636" stopIfTrue="1" operator="equal">
      <formula>"Towel"</formula>
    </cfRule>
    <cfRule type="cellIs" dxfId="6134" priority="9637" stopIfTrue="1" operator="equal">
      <formula>"Napkin Hs"</formula>
    </cfRule>
    <cfRule type="cellIs" dxfId="6133" priority="9638" stopIfTrue="1" operator="equal">
      <formula>"Towel"</formula>
    </cfRule>
    <cfRule type="cellIs" dxfId="6132" priority="9639" stopIfTrue="1" operator="equal">
      <formula>"Napkin Hs"</formula>
    </cfRule>
    <cfRule type="cellIs" dxfId="6131" priority="9640" stopIfTrue="1" operator="equal">
      <formula>"Towel"</formula>
    </cfRule>
    <cfRule type="cellIs" dxfId="6130" priority="9641" stopIfTrue="1" operator="equal">
      <formula>"Napkin Hs"</formula>
    </cfRule>
    <cfRule type="cellIs" dxfId="6129" priority="9642" stopIfTrue="1" operator="equal">
      <formula>"Towel"</formula>
    </cfRule>
    <cfRule type="cellIs" dxfId="6128" priority="9643" stopIfTrue="1" operator="equal">
      <formula>"Napkin Hs"</formula>
    </cfRule>
    <cfRule type="cellIs" dxfId="6127" priority="9646" stopIfTrue="1" operator="equal">
      <formula>"Towel"</formula>
    </cfRule>
    <cfRule type="cellIs" dxfId="6126" priority="9647" stopIfTrue="1" operator="equal">
      <formula>"Napkin Hs"</formula>
    </cfRule>
    <cfRule type="cellIs" dxfId="6125" priority="9649" stopIfTrue="1" operator="equal">
      <formula>"Napkin Hs"</formula>
    </cfRule>
  </conditionalFormatting>
  <conditionalFormatting sqref="C101">
    <cfRule type="cellIs" dxfId="6124" priority="9648" stopIfTrue="1" operator="equal">
      <formula>"Towel"</formula>
    </cfRule>
  </conditionalFormatting>
  <conditionalFormatting sqref="C101">
    <cfRule type="cellIs" dxfId="6123" priority="9626" stopIfTrue="1" operator="equal">
      <formula>"Towel"</formula>
    </cfRule>
    <cfRule type="cellIs" dxfId="6122" priority="9627" stopIfTrue="1" operator="equal">
      <formula>"Napkin Hs"</formula>
    </cfRule>
  </conditionalFormatting>
  <conditionalFormatting sqref="C101">
    <cfRule type="cellIs" dxfId="6121" priority="9625" stopIfTrue="1" operator="equal">
      <formula>"Napkin Hs"</formula>
    </cfRule>
  </conditionalFormatting>
  <conditionalFormatting sqref="C101">
    <cfRule type="cellIs" dxfId="6120" priority="9624" stopIfTrue="1" operator="equal">
      <formula>"Towel"</formula>
    </cfRule>
  </conditionalFormatting>
  <conditionalFormatting sqref="C101">
    <cfRule type="cellIs" dxfId="6119" priority="9622" stopIfTrue="1" operator="equal">
      <formula>"Towel"</formula>
    </cfRule>
  </conditionalFormatting>
  <conditionalFormatting sqref="C101">
    <cfRule type="cellIs" dxfId="6118" priority="9623" stopIfTrue="1" operator="equal">
      <formula>"Napkin Hs"</formula>
    </cfRule>
  </conditionalFormatting>
  <conditionalFormatting sqref="C101">
    <cfRule type="cellIs" dxfId="6117" priority="9526" stopIfTrue="1" operator="equal">
      <formula>"Towel"</formula>
    </cfRule>
  </conditionalFormatting>
  <conditionalFormatting sqref="C101">
    <cfRule type="cellIs" dxfId="6116" priority="9536" stopIfTrue="1" operator="equal">
      <formula>"Towel"</formula>
    </cfRule>
    <cfRule type="cellIs" dxfId="6115" priority="9537" stopIfTrue="1" operator="equal">
      <formula>"Napkin Hs"</formula>
    </cfRule>
    <cfRule type="cellIs" dxfId="6114" priority="9542" stopIfTrue="1" operator="equal">
      <formula>"Towel"</formula>
    </cfRule>
    <cfRule type="cellIs" dxfId="6113" priority="9543" stopIfTrue="1" operator="equal">
      <formula>"Napkin Hs"</formula>
    </cfRule>
    <cfRule type="cellIs" dxfId="6112" priority="9548" stopIfTrue="1" operator="equal">
      <formula>"Towel"</formula>
    </cfRule>
    <cfRule type="cellIs" dxfId="6111" priority="9549" stopIfTrue="1" operator="equal">
      <formula>"Napkin Hs"</formula>
    </cfRule>
    <cfRule type="cellIs" dxfId="6110" priority="9550" stopIfTrue="1" operator="equal">
      <formula>"Towel"</formula>
    </cfRule>
    <cfRule type="cellIs" dxfId="6109" priority="9551" stopIfTrue="1" operator="equal">
      <formula>"Napkin Hs"</formula>
    </cfRule>
    <cfRule type="cellIs" dxfId="6108" priority="9556" stopIfTrue="1" operator="equal">
      <formula>"Towel"</formula>
    </cfRule>
    <cfRule type="cellIs" dxfId="6107" priority="9557" stopIfTrue="1" operator="equal">
      <formula>"Napkin Hs"</formula>
    </cfRule>
    <cfRule type="cellIs" dxfId="6106" priority="9566" stopIfTrue="1" operator="equal">
      <formula>"Towel"</formula>
    </cfRule>
    <cfRule type="cellIs" dxfId="6105" priority="9567" stopIfTrue="1" operator="equal">
      <formula>"Napkin Hs"</formula>
    </cfRule>
    <cfRule type="cellIs" dxfId="6104" priority="9572" stopIfTrue="1" operator="equal">
      <formula>"Towel"</formula>
    </cfRule>
    <cfRule type="cellIs" dxfId="6103" priority="9573" stopIfTrue="1" operator="equal">
      <formula>"Napkin Hs"</formula>
    </cfRule>
    <cfRule type="cellIs" dxfId="6102" priority="9574" stopIfTrue="1" operator="equal">
      <formula>"Towel"</formula>
    </cfRule>
    <cfRule type="cellIs" dxfId="6101" priority="9575" stopIfTrue="1" operator="equal">
      <formula>"Napkin Hs"</formula>
    </cfRule>
    <cfRule type="cellIs" dxfId="6100" priority="9580" stopIfTrue="1" operator="equal">
      <formula>"Towel"</formula>
    </cfRule>
    <cfRule type="cellIs" dxfId="6099" priority="9581" stopIfTrue="1" operator="equal">
      <formula>"Napkin Hs"</formula>
    </cfRule>
    <cfRule type="cellIs" dxfId="6098" priority="9590" stopIfTrue="1" operator="equal">
      <formula>"Towel"</formula>
    </cfRule>
    <cfRule type="cellIs" dxfId="6097" priority="9591" stopIfTrue="1" operator="equal">
      <formula>"Napkin Hs"</formula>
    </cfRule>
    <cfRule type="cellIs" dxfId="6096" priority="9592" stopIfTrue="1" operator="equal">
      <formula>"Towel"</formula>
    </cfRule>
    <cfRule type="cellIs" dxfId="6095" priority="9593" stopIfTrue="1" operator="equal">
      <formula>"Napkin Hs"</formula>
    </cfRule>
    <cfRule type="cellIs" dxfId="6094" priority="9598" stopIfTrue="1" operator="equal">
      <formula>"Towel"</formula>
    </cfRule>
    <cfRule type="cellIs" dxfId="6093" priority="9599" stopIfTrue="1" operator="equal">
      <formula>"Napkin Hs"</formula>
    </cfRule>
    <cfRule type="cellIs" dxfId="6092" priority="9608" stopIfTrue="1" operator="equal">
      <formula>"Towel"</formula>
    </cfRule>
    <cfRule type="cellIs" dxfId="6091" priority="9609" stopIfTrue="1" operator="equal">
      <formula>"Napkin Hs"</formula>
    </cfRule>
    <cfRule type="cellIs" dxfId="6090" priority="9610" stopIfTrue="1" operator="equal">
      <formula>"Towel"</formula>
    </cfRule>
    <cfRule type="cellIs" dxfId="6089" priority="9611" stopIfTrue="1" operator="equal">
      <formula>"Napkin Hs"</formula>
    </cfRule>
    <cfRule type="cellIs" dxfId="6088" priority="9617" stopIfTrue="1" operator="equal">
      <formula>"Napkin Hs"</formula>
    </cfRule>
  </conditionalFormatting>
  <conditionalFormatting sqref="C101">
    <cfRule type="cellIs" dxfId="6087" priority="9616" stopIfTrue="1" operator="equal">
      <formula>"Towel"</formula>
    </cfRule>
  </conditionalFormatting>
  <conditionalFormatting sqref="C101">
    <cfRule type="cellIs" dxfId="6086" priority="9527" stopIfTrue="1" operator="equal">
      <formula>"Napkin Hs"</formula>
    </cfRule>
    <cfRule type="cellIs" dxfId="6085" priority="9528" stopIfTrue="1" operator="equal">
      <formula>"Towel"</formula>
    </cfRule>
    <cfRule type="cellIs" dxfId="6084" priority="9529" stopIfTrue="1" operator="equal">
      <formula>"Napkin Hs"</formula>
    </cfRule>
    <cfRule type="cellIs" dxfId="6083" priority="9530" stopIfTrue="1" operator="equal">
      <formula>"Towel"</formula>
    </cfRule>
    <cfRule type="cellIs" dxfId="6082" priority="9531" stopIfTrue="1" operator="equal">
      <formula>"Napkin Hs"</formula>
    </cfRule>
    <cfRule type="cellIs" dxfId="6081" priority="9532" stopIfTrue="1" operator="equal">
      <formula>"Towel"</formula>
    </cfRule>
    <cfRule type="cellIs" dxfId="6080" priority="9533" stopIfTrue="1" operator="equal">
      <formula>"Napkin Hs"</formula>
    </cfRule>
    <cfRule type="cellIs" dxfId="6079" priority="9534" stopIfTrue="1" operator="equal">
      <formula>"Towel"</formula>
    </cfRule>
    <cfRule type="cellIs" dxfId="6078" priority="9535" stopIfTrue="1" operator="equal">
      <formula>"Napkin Hs"</formula>
    </cfRule>
    <cfRule type="cellIs" dxfId="6077" priority="9538" stopIfTrue="1" operator="equal">
      <formula>"Towel"</formula>
    </cfRule>
    <cfRule type="cellIs" dxfId="6076" priority="9539" stopIfTrue="1" operator="equal">
      <formula>"Napkin Hs"</formula>
    </cfRule>
    <cfRule type="cellIs" dxfId="6075" priority="9540" stopIfTrue="1" operator="equal">
      <formula>"Towel"</formula>
    </cfRule>
    <cfRule type="cellIs" dxfId="6074" priority="9541" stopIfTrue="1" operator="equal">
      <formula>"Napkin Hs"</formula>
    </cfRule>
    <cfRule type="cellIs" dxfId="6073" priority="9544" stopIfTrue="1" operator="equal">
      <formula>"Towel"</formula>
    </cfRule>
    <cfRule type="cellIs" dxfId="6072" priority="9545" stopIfTrue="1" operator="equal">
      <formula>"Napkin Hs"</formula>
    </cfRule>
    <cfRule type="cellIs" dxfId="6071" priority="9546" stopIfTrue="1" operator="equal">
      <formula>"Towel"</formula>
    </cfRule>
    <cfRule type="cellIs" dxfId="6070" priority="9547" stopIfTrue="1" operator="equal">
      <formula>"Napkin Hs"</formula>
    </cfRule>
    <cfRule type="cellIs" dxfId="6069" priority="9552" stopIfTrue="1" operator="equal">
      <formula>"Towel"</formula>
    </cfRule>
    <cfRule type="cellIs" dxfId="6068" priority="9553" stopIfTrue="1" operator="equal">
      <formula>"Napkin Hs"</formula>
    </cfRule>
    <cfRule type="cellIs" dxfId="6067" priority="9554" stopIfTrue="1" operator="equal">
      <formula>"Towel"</formula>
    </cfRule>
    <cfRule type="cellIs" dxfId="6066" priority="9555" stopIfTrue="1" operator="equal">
      <formula>"Napkin Hs"</formula>
    </cfRule>
    <cfRule type="cellIs" dxfId="6065" priority="9558" stopIfTrue="1" operator="equal">
      <formula>"Towel"</formula>
    </cfRule>
    <cfRule type="cellIs" dxfId="6064" priority="9559" stopIfTrue="1" operator="equal">
      <formula>"Napkin Hs"</formula>
    </cfRule>
    <cfRule type="cellIs" dxfId="6063" priority="9560" stopIfTrue="1" operator="equal">
      <formula>"Towel"</formula>
    </cfRule>
    <cfRule type="cellIs" dxfId="6062" priority="9561" stopIfTrue="1" operator="equal">
      <formula>"Napkin Hs"</formula>
    </cfRule>
    <cfRule type="cellIs" dxfId="6061" priority="9562" stopIfTrue="1" operator="equal">
      <formula>"Towel"</formula>
    </cfRule>
    <cfRule type="cellIs" dxfId="6060" priority="9563" stopIfTrue="1" operator="equal">
      <formula>"Napkin Hs"</formula>
    </cfRule>
    <cfRule type="cellIs" dxfId="6059" priority="9564" stopIfTrue="1" operator="equal">
      <formula>"Towel"</formula>
    </cfRule>
    <cfRule type="cellIs" dxfId="6058" priority="9565" stopIfTrue="1" operator="equal">
      <formula>"Napkin Hs"</formula>
    </cfRule>
    <cfRule type="cellIs" dxfId="6057" priority="9568" stopIfTrue="1" operator="equal">
      <formula>"Towel"</formula>
    </cfRule>
    <cfRule type="cellIs" dxfId="6056" priority="9569" stopIfTrue="1" operator="equal">
      <formula>"Napkin Hs"</formula>
    </cfRule>
    <cfRule type="cellIs" dxfId="6055" priority="9570" stopIfTrue="1" operator="equal">
      <formula>"Towel"</formula>
    </cfRule>
    <cfRule type="cellIs" dxfId="6054" priority="9571" stopIfTrue="1" operator="equal">
      <formula>"Napkin Hs"</formula>
    </cfRule>
    <cfRule type="cellIs" dxfId="6053" priority="9576" stopIfTrue="1" operator="equal">
      <formula>"Towel"</formula>
    </cfRule>
    <cfRule type="cellIs" dxfId="6052" priority="9577" stopIfTrue="1" operator="equal">
      <formula>"Napkin Hs"</formula>
    </cfRule>
    <cfRule type="cellIs" dxfId="6051" priority="9578" stopIfTrue="1" operator="equal">
      <formula>"Towel"</formula>
    </cfRule>
    <cfRule type="cellIs" dxfId="6050" priority="9579" stopIfTrue="1" operator="equal">
      <formula>"Napkin Hs"</formula>
    </cfRule>
    <cfRule type="cellIs" dxfId="6049" priority="9582" stopIfTrue="1" operator="equal">
      <formula>"Towel"</formula>
    </cfRule>
    <cfRule type="cellIs" dxfId="6048" priority="9583" stopIfTrue="1" operator="equal">
      <formula>"Napkin Hs"</formula>
    </cfRule>
    <cfRule type="cellIs" dxfId="6047" priority="9584" stopIfTrue="1" operator="equal">
      <formula>"Towel"</formula>
    </cfRule>
    <cfRule type="cellIs" dxfId="6046" priority="9585" stopIfTrue="1" operator="equal">
      <formula>"Napkin Hs"</formula>
    </cfRule>
    <cfRule type="cellIs" dxfId="6045" priority="9586" stopIfTrue="1" operator="equal">
      <formula>"Towel"</formula>
    </cfRule>
    <cfRule type="cellIs" dxfId="6044" priority="9587" stopIfTrue="1" operator="equal">
      <formula>"Napkin Hs"</formula>
    </cfRule>
    <cfRule type="cellIs" dxfId="6043" priority="9588" stopIfTrue="1" operator="equal">
      <formula>"Towel"</formula>
    </cfRule>
    <cfRule type="cellIs" dxfId="6042" priority="9589" stopIfTrue="1" operator="equal">
      <formula>"Napkin Hs"</formula>
    </cfRule>
    <cfRule type="cellIs" dxfId="6041" priority="9594" stopIfTrue="1" operator="equal">
      <formula>"Towel"</formula>
    </cfRule>
    <cfRule type="cellIs" dxfId="6040" priority="9595" stopIfTrue="1" operator="equal">
      <formula>"Napkin Hs"</formula>
    </cfRule>
    <cfRule type="cellIs" dxfId="6039" priority="9596" stopIfTrue="1" operator="equal">
      <formula>"Towel"</formula>
    </cfRule>
    <cfRule type="cellIs" dxfId="6038" priority="9597" stopIfTrue="1" operator="equal">
      <formula>"Napkin Hs"</formula>
    </cfRule>
    <cfRule type="cellIs" dxfId="6037" priority="9600" stopIfTrue="1" operator="equal">
      <formula>"Towel"</formula>
    </cfRule>
    <cfRule type="cellIs" dxfId="6036" priority="9601" stopIfTrue="1" operator="equal">
      <formula>"Napkin Hs"</formula>
    </cfRule>
    <cfRule type="cellIs" dxfId="6035" priority="9602" stopIfTrue="1" operator="equal">
      <formula>"Towel"</formula>
    </cfRule>
    <cfRule type="cellIs" dxfId="6034" priority="9603" stopIfTrue="1" operator="equal">
      <formula>"Napkin Hs"</formula>
    </cfRule>
    <cfRule type="cellIs" dxfId="6033" priority="9604" stopIfTrue="1" operator="equal">
      <formula>"Towel"</formula>
    </cfRule>
    <cfRule type="cellIs" dxfId="6032" priority="9605" stopIfTrue="1" operator="equal">
      <formula>"Napkin Hs"</formula>
    </cfRule>
    <cfRule type="cellIs" dxfId="6031" priority="9606" stopIfTrue="1" operator="equal">
      <formula>"Towel"</formula>
    </cfRule>
    <cfRule type="cellIs" dxfId="6030" priority="9607" stopIfTrue="1" operator="equal">
      <formula>"Napkin Hs"</formula>
    </cfRule>
    <cfRule type="cellIs" dxfId="6029" priority="9612" stopIfTrue="1" operator="equal">
      <formula>"Towel"</formula>
    </cfRule>
    <cfRule type="cellIs" dxfId="6028" priority="9613" stopIfTrue="1" operator="equal">
      <formula>"Napkin Hs"</formula>
    </cfRule>
    <cfRule type="cellIs" dxfId="6027" priority="9614" stopIfTrue="1" operator="equal">
      <formula>"Towel"</formula>
    </cfRule>
    <cfRule type="cellIs" dxfId="6026" priority="9615" stopIfTrue="1" operator="equal">
      <formula>"Napkin Hs"</formula>
    </cfRule>
    <cfRule type="cellIs" dxfId="6025" priority="9618" stopIfTrue="1" operator="equal">
      <formula>"Towel"</formula>
    </cfRule>
    <cfRule type="cellIs" dxfId="6024" priority="9619" stopIfTrue="1" operator="equal">
      <formula>"Napkin Hs"</formula>
    </cfRule>
    <cfRule type="cellIs" dxfId="6023" priority="9620" stopIfTrue="1" operator="equal">
      <formula>"Towel"</formula>
    </cfRule>
    <cfRule type="cellIs" dxfId="6022" priority="9621" stopIfTrue="1" operator="equal">
      <formula>"Napkin Hs"</formula>
    </cfRule>
  </conditionalFormatting>
  <conditionalFormatting sqref="C101">
    <cfRule type="cellIs" dxfId="6021" priority="9525" stopIfTrue="1" operator="equal">
      <formula>"Napkin Hs"</formula>
    </cfRule>
  </conditionalFormatting>
  <conditionalFormatting sqref="C101">
    <cfRule type="cellIs" dxfId="6020" priority="9524" stopIfTrue="1" operator="equal">
      <formula>"Napkin Hs"</formula>
    </cfRule>
  </conditionalFormatting>
  <conditionalFormatting sqref="C101">
    <cfRule type="cellIs" dxfId="6019" priority="9523" stopIfTrue="1" operator="equal">
      <formula>"Napkin Hs"</formula>
    </cfRule>
  </conditionalFormatting>
  <conditionalFormatting sqref="C101">
    <cfRule type="cellIs" dxfId="6018" priority="9522" stopIfTrue="1" operator="equal">
      <formula>"Napkin Hs"</formula>
    </cfRule>
  </conditionalFormatting>
  <conditionalFormatting sqref="C101">
    <cfRule type="cellIs" dxfId="6017" priority="9521" stopIfTrue="1" operator="equal">
      <formula>"Napkin Hs"</formula>
    </cfRule>
  </conditionalFormatting>
  <conditionalFormatting sqref="C101">
    <cfRule type="cellIs" dxfId="6016" priority="9520" stopIfTrue="1" operator="equal">
      <formula>"Napkin Hs"</formula>
    </cfRule>
  </conditionalFormatting>
  <conditionalFormatting sqref="C101">
    <cfRule type="cellIs" dxfId="6015" priority="9516" stopIfTrue="1" operator="equal">
      <formula>"Towel"</formula>
    </cfRule>
    <cfRule type="cellIs" dxfId="6014" priority="9517" stopIfTrue="1" operator="equal">
      <formula>"Napkin Hs"</formula>
    </cfRule>
  </conditionalFormatting>
  <conditionalFormatting sqref="C101">
    <cfRule type="cellIs" dxfId="6013" priority="9518" stopIfTrue="1" operator="equal">
      <formula>"Towel"</formula>
    </cfRule>
    <cfRule type="cellIs" dxfId="6012" priority="9519" stopIfTrue="1" operator="equal">
      <formula>"Napkin Hs"</formula>
    </cfRule>
  </conditionalFormatting>
  <conditionalFormatting sqref="C101">
    <cfRule type="cellIs" dxfId="6011" priority="9512" stopIfTrue="1" operator="equal">
      <formula>"Towel"</formula>
    </cfRule>
    <cfRule type="cellIs" dxfId="6010" priority="9513" stopIfTrue="1" operator="equal">
      <formula>"Napkin Hs"</formula>
    </cfRule>
  </conditionalFormatting>
  <conditionalFormatting sqref="C101">
    <cfRule type="cellIs" dxfId="6009" priority="9514" stopIfTrue="1" operator="equal">
      <formula>"Towel"</formula>
    </cfRule>
    <cfRule type="cellIs" dxfId="6008" priority="9515" stopIfTrue="1" operator="equal">
      <formula>"Napkin Hs"</formula>
    </cfRule>
  </conditionalFormatting>
  <conditionalFormatting sqref="B109:C109">
    <cfRule type="cellIs" dxfId="6007" priority="9438" stopIfTrue="1" operator="equal">
      <formula>"Towel"</formula>
    </cfRule>
    <cfRule type="cellIs" dxfId="6006" priority="9439" stopIfTrue="1" operator="equal">
      <formula>"Napkin Hs"</formula>
    </cfRule>
  </conditionalFormatting>
  <conditionalFormatting sqref="C109">
    <cfRule type="cellIs" dxfId="6005" priority="9434" stopIfTrue="1" operator="equal">
      <formula>"Towel"</formula>
    </cfRule>
    <cfRule type="cellIs" dxfId="6004" priority="9435" stopIfTrue="1" operator="equal">
      <formula>"Napkin Hs"</formula>
    </cfRule>
  </conditionalFormatting>
  <conditionalFormatting sqref="C109">
    <cfRule type="cellIs" dxfId="6003" priority="9436" stopIfTrue="1" operator="equal">
      <formula>"Towel"</formula>
    </cfRule>
    <cfRule type="cellIs" dxfId="6002" priority="9437" stopIfTrue="1" operator="equal">
      <formula>"Napkin Hs"</formula>
    </cfRule>
  </conditionalFormatting>
  <conditionalFormatting sqref="B109:C109">
    <cfRule type="cellIs" dxfId="6001" priority="9432" stopIfTrue="1" operator="equal">
      <formula>"Towel"</formula>
    </cfRule>
    <cfRule type="cellIs" dxfId="6000" priority="9433" stopIfTrue="1" operator="equal">
      <formula>"Napkin Hs"</formula>
    </cfRule>
  </conditionalFormatting>
  <conditionalFormatting sqref="C109">
    <cfRule type="cellIs" dxfId="5999" priority="9430" stopIfTrue="1" operator="equal">
      <formula>"Towel"</formula>
    </cfRule>
    <cfRule type="cellIs" dxfId="5998" priority="9431" stopIfTrue="1" operator="equal">
      <formula>"Napkin Hs"</formula>
    </cfRule>
  </conditionalFormatting>
  <conditionalFormatting sqref="C109">
    <cfRule type="cellIs" dxfId="5997" priority="9428" stopIfTrue="1" operator="equal">
      <formula>"Towel"</formula>
    </cfRule>
    <cfRule type="cellIs" dxfId="5996" priority="9429" stopIfTrue="1" operator="equal">
      <formula>"Napkin Hs"</formula>
    </cfRule>
  </conditionalFormatting>
  <conditionalFormatting sqref="C109">
    <cfRule type="cellIs" dxfId="5995" priority="9420" stopIfTrue="1" operator="equal">
      <formula>"Towel"</formula>
    </cfRule>
    <cfRule type="cellIs" dxfId="5994" priority="9421" stopIfTrue="1" operator="equal">
      <formula>"Napkin Hs"</formula>
    </cfRule>
  </conditionalFormatting>
  <conditionalFormatting sqref="B109:C109">
    <cfRule type="cellIs" dxfId="5993" priority="9422" stopIfTrue="1" operator="equal">
      <formula>"Towel"</formula>
    </cfRule>
    <cfRule type="cellIs" dxfId="5992" priority="9423" stopIfTrue="1" operator="equal">
      <formula>"Napkin Hs"</formula>
    </cfRule>
  </conditionalFormatting>
  <conditionalFormatting sqref="C109">
    <cfRule type="cellIs" dxfId="5991" priority="9418" stopIfTrue="1" operator="equal">
      <formula>"Towel"</formula>
    </cfRule>
    <cfRule type="cellIs" dxfId="5990" priority="9419" stopIfTrue="1" operator="equal">
      <formula>"Napkin Hs"</formula>
    </cfRule>
  </conditionalFormatting>
  <conditionalFormatting sqref="B109:C109">
    <cfRule type="cellIs" dxfId="5989" priority="9416" stopIfTrue="1" operator="equal">
      <formula>"Towel"</formula>
    </cfRule>
    <cfRule type="cellIs" dxfId="5988" priority="9417" stopIfTrue="1" operator="equal">
      <formula>"Napkin Hs"</formula>
    </cfRule>
  </conditionalFormatting>
  <conditionalFormatting sqref="C109">
    <cfRule type="cellIs" dxfId="5987" priority="9424" stopIfTrue="1" operator="equal">
      <formula>"Towel"</formula>
    </cfRule>
    <cfRule type="cellIs" dxfId="5986" priority="9425" stopIfTrue="1" operator="equal">
      <formula>"Napkin Hs"</formula>
    </cfRule>
  </conditionalFormatting>
  <conditionalFormatting sqref="C109">
    <cfRule type="cellIs" dxfId="5985" priority="9426" stopIfTrue="1" operator="equal">
      <formula>"Towel"</formula>
    </cfRule>
    <cfRule type="cellIs" dxfId="5984" priority="9427" stopIfTrue="1" operator="equal">
      <formula>"Napkin Hs"</formula>
    </cfRule>
  </conditionalFormatting>
  <conditionalFormatting sqref="C108">
    <cfRule type="cellIs" dxfId="5983" priority="9408" stopIfTrue="1" operator="equal">
      <formula>"Towel"</formula>
    </cfRule>
    <cfRule type="cellIs" dxfId="5982" priority="9409" stopIfTrue="1" operator="equal">
      <formula>"Napkin Hs"</formula>
    </cfRule>
  </conditionalFormatting>
  <conditionalFormatting sqref="C108">
    <cfRule type="cellIs" dxfId="5981" priority="9406" stopIfTrue="1" operator="equal">
      <formula>"Towel"</formula>
    </cfRule>
    <cfRule type="cellIs" dxfId="5980" priority="9407" stopIfTrue="1" operator="equal">
      <formula>"Napkin Hs"</formula>
    </cfRule>
  </conditionalFormatting>
  <conditionalFormatting sqref="B108:C108">
    <cfRule type="cellIs" dxfId="5979" priority="9404" stopIfTrue="1" operator="equal">
      <formula>"Towel"</formula>
    </cfRule>
    <cfRule type="cellIs" dxfId="5978" priority="9405" stopIfTrue="1" operator="equal">
      <formula>"Napkin Hs"</formula>
    </cfRule>
  </conditionalFormatting>
  <conditionalFormatting sqref="B108:C108">
    <cfRule type="cellIs" dxfId="5977" priority="9414" stopIfTrue="1" operator="equal">
      <formula>"Towel"</formula>
    </cfRule>
    <cfRule type="cellIs" dxfId="5976" priority="9415" stopIfTrue="1" operator="equal">
      <formula>"Napkin Hs"</formula>
    </cfRule>
  </conditionalFormatting>
  <conditionalFormatting sqref="C108">
    <cfRule type="cellIs" dxfId="5975" priority="9412" stopIfTrue="1" operator="equal">
      <formula>"Towel"</formula>
    </cfRule>
    <cfRule type="cellIs" dxfId="5974" priority="9413" stopIfTrue="1" operator="equal">
      <formula>"Napkin Hs"</formula>
    </cfRule>
  </conditionalFormatting>
  <conditionalFormatting sqref="C108">
    <cfRule type="cellIs" dxfId="5973" priority="9410" stopIfTrue="1" operator="equal">
      <formula>"Towel"</formula>
    </cfRule>
    <cfRule type="cellIs" dxfId="5972" priority="9411" stopIfTrue="1" operator="equal">
      <formula>"Napkin Hs"</formula>
    </cfRule>
  </conditionalFormatting>
  <conditionalFormatting sqref="C108">
    <cfRule type="cellIs" dxfId="5971" priority="9402" stopIfTrue="1" operator="equal">
      <formula>"Towel"</formula>
    </cfRule>
    <cfRule type="cellIs" dxfId="5970" priority="9403" stopIfTrue="1" operator="equal">
      <formula>"Napkin Hs"</formula>
    </cfRule>
  </conditionalFormatting>
  <conditionalFormatting sqref="C108">
    <cfRule type="cellIs" dxfId="5969" priority="9400" stopIfTrue="1" operator="equal">
      <formula>"Towel"</formula>
    </cfRule>
    <cfRule type="cellIs" dxfId="5968" priority="9401" stopIfTrue="1" operator="equal">
      <formula>"Napkin Hs"</formula>
    </cfRule>
  </conditionalFormatting>
  <conditionalFormatting sqref="B108:C108">
    <cfRule type="cellIs" dxfId="5967" priority="9398" stopIfTrue="1" operator="equal">
      <formula>"Towel"</formula>
    </cfRule>
    <cfRule type="cellIs" dxfId="5966" priority="9399" stopIfTrue="1" operator="equal">
      <formula>"Napkin Hs"</formula>
    </cfRule>
  </conditionalFormatting>
  <conditionalFormatting sqref="B108:C108">
    <cfRule type="cellIs" dxfId="5965" priority="9394" stopIfTrue="1" operator="equal">
      <formula>"Towel"</formula>
    </cfRule>
    <cfRule type="cellIs" dxfId="5964" priority="9395" stopIfTrue="1" operator="equal">
      <formula>"Napkin Hs"</formula>
    </cfRule>
  </conditionalFormatting>
  <conditionalFormatting sqref="C108">
    <cfRule type="cellIs" dxfId="5963" priority="9396" stopIfTrue="1" operator="equal">
      <formula>"Towel"</formula>
    </cfRule>
    <cfRule type="cellIs" dxfId="5962" priority="9397" stopIfTrue="1" operator="equal">
      <formula>"Napkin Hs"</formula>
    </cfRule>
  </conditionalFormatting>
  <conditionalFormatting sqref="C108">
    <cfRule type="cellIs" dxfId="5961" priority="9392" stopIfTrue="1" operator="equal">
      <formula>"Towel"</formula>
    </cfRule>
    <cfRule type="cellIs" dxfId="5960" priority="9393" stopIfTrue="1" operator="equal">
      <formula>"Napkin Hs"</formula>
    </cfRule>
  </conditionalFormatting>
  <conditionalFormatting sqref="C107">
    <cfRule type="cellIs" dxfId="5959" priority="9384" stopIfTrue="1" operator="equal">
      <formula>"Towel"</formula>
    </cfRule>
    <cfRule type="cellIs" dxfId="5958" priority="9385" stopIfTrue="1" operator="equal">
      <formula>"Napkin Hs"</formula>
    </cfRule>
  </conditionalFormatting>
  <conditionalFormatting sqref="B107:C107">
    <cfRule type="cellIs" dxfId="5957" priority="9386" stopIfTrue="1" operator="equal">
      <formula>"Towel"</formula>
    </cfRule>
    <cfRule type="cellIs" dxfId="5956" priority="9387" stopIfTrue="1" operator="equal">
      <formula>"Napkin Hs"</formula>
    </cfRule>
  </conditionalFormatting>
  <conditionalFormatting sqref="C107">
    <cfRule type="cellIs" dxfId="5955" priority="9382" stopIfTrue="1" operator="equal">
      <formula>"Towel"</formula>
    </cfRule>
    <cfRule type="cellIs" dxfId="5954" priority="9383" stopIfTrue="1" operator="equal">
      <formula>"Napkin Hs"</formula>
    </cfRule>
  </conditionalFormatting>
  <conditionalFormatting sqref="B107:C107">
    <cfRule type="cellIs" dxfId="5953" priority="9380" stopIfTrue="1" operator="equal">
      <formula>"Towel"</formula>
    </cfRule>
    <cfRule type="cellIs" dxfId="5952" priority="9381" stopIfTrue="1" operator="equal">
      <formula>"Napkin Hs"</formula>
    </cfRule>
  </conditionalFormatting>
  <conditionalFormatting sqref="C107">
    <cfRule type="cellIs" dxfId="5951" priority="9388" stopIfTrue="1" operator="equal">
      <formula>"Towel"</formula>
    </cfRule>
    <cfRule type="cellIs" dxfId="5950" priority="9389" stopIfTrue="1" operator="equal">
      <formula>"Napkin Hs"</formula>
    </cfRule>
  </conditionalFormatting>
  <conditionalFormatting sqref="C107">
    <cfRule type="cellIs" dxfId="5949" priority="9390" stopIfTrue="1" operator="equal">
      <formula>"Towel"</formula>
    </cfRule>
    <cfRule type="cellIs" dxfId="5948" priority="9391" stopIfTrue="1" operator="equal">
      <formula>"Napkin Hs"</formula>
    </cfRule>
  </conditionalFormatting>
  <conditionalFormatting sqref="C107">
    <cfRule type="cellIs" dxfId="5947" priority="9376" stopIfTrue="1" operator="equal">
      <formula>"Towel"</formula>
    </cfRule>
    <cfRule type="cellIs" dxfId="5946" priority="9377" stopIfTrue="1" operator="equal">
      <formula>"Napkin Hs"</formula>
    </cfRule>
  </conditionalFormatting>
  <conditionalFormatting sqref="C107">
    <cfRule type="cellIs" dxfId="5945" priority="9378" stopIfTrue="1" operator="equal">
      <formula>"Towel"</formula>
    </cfRule>
    <cfRule type="cellIs" dxfId="5944" priority="9379" stopIfTrue="1" operator="equal">
      <formula>"Napkin Hs"</formula>
    </cfRule>
  </conditionalFormatting>
  <conditionalFormatting sqref="C107">
    <cfRule type="cellIs" dxfId="5943" priority="9374" stopIfTrue="1" operator="equal">
      <formula>"Towel"</formula>
    </cfRule>
    <cfRule type="cellIs" dxfId="5942" priority="9375" stopIfTrue="1" operator="equal">
      <formula>"Napkin Hs"</formula>
    </cfRule>
  </conditionalFormatting>
  <conditionalFormatting sqref="B107">
    <cfRule type="cellIs" dxfId="5941" priority="9372" stopIfTrue="1" operator="equal">
      <formula>"Towel"</formula>
    </cfRule>
    <cfRule type="cellIs" dxfId="5940" priority="9373" stopIfTrue="1" operator="equal">
      <formula>"Napkin Hs"</formula>
    </cfRule>
  </conditionalFormatting>
  <conditionalFormatting sqref="C107">
    <cfRule type="cellIs" dxfId="5939" priority="9366" stopIfTrue="1" operator="equal">
      <formula>"Towel"</formula>
    </cfRule>
    <cfRule type="cellIs" dxfId="5938" priority="9367" stopIfTrue="1" operator="equal">
      <formula>"Napkin Hs"</formula>
    </cfRule>
  </conditionalFormatting>
  <conditionalFormatting sqref="C107">
    <cfRule type="cellIs" dxfId="5937" priority="9370" stopIfTrue="1" operator="equal">
      <formula>"Towel"</formula>
    </cfRule>
    <cfRule type="cellIs" dxfId="5936" priority="9371" stopIfTrue="1" operator="equal">
      <formula>"Napkin Hs"</formula>
    </cfRule>
  </conditionalFormatting>
  <conditionalFormatting sqref="C107">
    <cfRule type="cellIs" dxfId="5935" priority="9368" stopIfTrue="1" operator="equal">
      <formula>"Towel"</formula>
    </cfRule>
    <cfRule type="cellIs" dxfId="5934" priority="9369" stopIfTrue="1" operator="equal">
      <formula>"Napkin Hs"</formula>
    </cfRule>
  </conditionalFormatting>
  <conditionalFormatting sqref="C107">
    <cfRule type="cellIs" dxfId="5933" priority="9360" stopIfTrue="1" operator="equal">
      <formula>"Towel"</formula>
    </cfRule>
    <cfRule type="cellIs" dxfId="5932" priority="9361" stopIfTrue="1" operator="equal">
      <formula>"Napkin Hs"</formula>
    </cfRule>
  </conditionalFormatting>
  <conditionalFormatting sqref="C107">
    <cfRule type="cellIs" dxfId="5931" priority="9362" stopIfTrue="1" operator="equal">
      <formula>"Towel"</formula>
    </cfRule>
    <cfRule type="cellIs" dxfId="5930" priority="9363" stopIfTrue="1" operator="equal">
      <formula>"Napkin Hs"</formula>
    </cfRule>
  </conditionalFormatting>
  <conditionalFormatting sqref="C107">
    <cfRule type="cellIs" dxfId="5929" priority="9364" stopIfTrue="1" operator="equal">
      <formula>"Towel"</formula>
    </cfRule>
    <cfRule type="cellIs" dxfId="5928" priority="9365" stopIfTrue="1" operator="equal">
      <formula>"Napkin Hs"</formula>
    </cfRule>
  </conditionalFormatting>
  <conditionalFormatting sqref="B107:C107">
    <cfRule type="cellIs" dxfId="5927" priority="9358" stopIfTrue="1" operator="equal">
      <formula>"Towel"</formula>
    </cfRule>
    <cfRule type="cellIs" dxfId="5926" priority="9359" stopIfTrue="1" operator="equal">
      <formula>"Napkin Hs"</formula>
    </cfRule>
  </conditionalFormatting>
  <conditionalFormatting sqref="B107:C107">
    <cfRule type="cellIs" dxfId="5925" priority="9356" stopIfTrue="1" operator="equal">
      <formula>"Towel"</formula>
    </cfRule>
    <cfRule type="cellIs" dxfId="5924" priority="9357" stopIfTrue="1" operator="equal">
      <formula>"Napkin Hs"</formula>
    </cfRule>
  </conditionalFormatting>
  <conditionalFormatting sqref="B107:C107">
    <cfRule type="cellIs" dxfId="5923" priority="9332" stopIfTrue="1" operator="equal">
      <formula>"Towel"</formula>
    </cfRule>
  </conditionalFormatting>
  <conditionalFormatting sqref="B107:C107">
    <cfRule type="cellIs" dxfId="5922" priority="9333" stopIfTrue="1" operator="equal">
      <formula>"Napkin Hs"</formula>
    </cfRule>
    <cfRule type="cellIs" dxfId="5921" priority="9338" stopIfTrue="1" operator="equal">
      <formula>"Towel"</formula>
    </cfRule>
    <cfRule type="cellIs" dxfId="5920" priority="9339" stopIfTrue="1" operator="equal">
      <formula>"Napkin Hs"</formula>
    </cfRule>
    <cfRule type="cellIs" dxfId="5919" priority="9348" stopIfTrue="1" operator="equal">
      <formula>"Towel"</formula>
    </cfRule>
    <cfRule type="cellIs" dxfId="5918" priority="9349" stopIfTrue="1" operator="equal">
      <formula>"Napkin Hs"</formula>
    </cfRule>
    <cfRule type="cellIs" dxfId="5917" priority="9354" stopIfTrue="1" operator="equal">
      <formula>"Towel"</formula>
    </cfRule>
    <cfRule type="cellIs" dxfId="5916" priority="9355" stopIfTrue="1" operator="equal">
      <formula>"Napkin Hs"</formula>
    </cfRule>
  </conditionalFormatting>
  <conditionalFormatting sqref="C107">
    <cfRule type="cellIs" dxfId="5915" priority="9334" stopIfTrue="1" operator="equal">
      <formula>"Towel"</formula>
    </cfRule>
    <cfRule type="cellIs" dxfId="5914" priority="9335" stopIfTrue="1" operator="equal">
      <formula>"Napkin Hs"</formula>
    </cfRule>
    <cfRule type="cellIs" dxfId="5913" priority="9336" stopIfTrue="1" operator="equal">
      <formula>"Towel"</formula>
    </cfRule>
    <cfRule type="cellIs" dxfId="5912" priority="9337" stopIfTrue="1" operator="equal">
      <formula>"Napkin Hs"</formula>
    </cfRule>
    <cfRule type="cellIs" dxfId="5911" priority="9340" stopIfTrue="1" operator="equal">
      <formula>"Towel"</formula>
    </cfRule>
    <cfRule type="cellIs" dxfId="5910" priority="9341" stopIfTrue="1" operator="equal">
      <formula>"Napkin Hs"</formula>
    </cfRule>
    <cfRule type="cellIs" dxfId="5909" priority="9342" stopIfTrue="1" operator="equal">
      <formula>"Towel"</formula>
    </cfRule>
    <cfRule type="cellIs" dxfId="5908" priority="9343" stopIfTrue="1" operator="equal">
      <formula>"Napkin Hs"</formula>
    </cfRule>
    <cfRule type="cellIs" dxfId="5907" priority="9344" stopIfTrue="1" operator="equal">
      <formula>"Towel"</formula>
    </cfRule>
    <cfRule type="cellIs" dxfId="5906" priority="9345" stopIfTrue="1" operator="equal">
      <formula>"Napkin Hs"</formula>
    </cfRule>
    <cfRule type="cellIs" dxfId="5905" priority="9346" stopIfTrue="1" operator="equal">
      <formula>"Towel"</formula>
    </cfRule>
    <cfRule type="cellIs" dxfId="5904" priority="9347" stopIfTrue="1" operator="equal">
      <formula>"Napkin Hs"</formula>
    </cfRule>
    <cfRule type="cellIs" dxfId="5903" priority="9350" stopIfTrue="1" operator="equal">
      <formula>"Towel"</formula>
    </cfRule>
    <cfRule type="cellIs" dxfId="5902" priority="9351" stopIfTrue="1" operator="equal">
      <formula>"Napkin Hs"</formula>
    </cfRule>
    <cfRule type="cellIs" dxfId="5901" priority="9353" stopIfTrue="1" operator="equal">
      <formula>"Napkin Hs"</formula>
    </cfRule>
  </conditionalFormatting>
  <conditionalFormatting sqref="C107">
    <cfRule type="cellIs" dxfId="5900" priority="9352" stopIfTrue="1" operator="equal">
      <formula>"Towel"</formula>
    </cfRule>
  </conditionalFormatting>
  <conditionalFormatting sqref="B107:C107">
    <cfRule type="cellIs" dxfId="5899" priority="9330" stopIfTrue="1" operator="equal">
      <formula>"Towel"</formula>
    </cfRule>
    <cfRule type="cellIs" dxfId="5898" priority="9331" stopIfTrue="1" operator="equal">
      <formula>"Napkin Hs"</formula>
    </cfRule>
  </conditionalFormatting>
  <conditionalFormatting sqref="C107">
    <cfRule type="cellIs" dxfId="5897" priority="9329" stopIfTrue="1" operator="equal">
      <formula>"Napkin Hs"</formula>
    </cfRule>
  </conditionalFormatting>
  <conditionalFormatting sqref="C107">
    <cfRule type="cellIs" dxfId="5896" priority="9328" stopIfTrue="1" operator="equal">
      <formula>"Towel"</formula>
    </cfRule>
  </conditionalFormatting>
  <conditionalFormatting sqref="C107">
    <cfRule type="cellIs" dxfId="5895" priority="9326" stopIfTrue="1" operator="equal">
      <formula>"Towel"</formula>
    </cfRule>
  </conditionalFormatting>
  <conditionalFormatting sqref="C107">
    <cfRule type="cellIs" dxfId="5894" priority="9327" stopIfTrue="1" operator="equal">
      <formula>"Napkin Hs"</formula>
    </cfRule>
  </conditionalFormatting>
  <conditionalFormatting sqref="B107">
    <cfRule type="cellIs" dxfId="5893" priority="9230" stopIfTrue="1" operator="equal">
      <formula>"Napkin Hs"</formula>
    </cfRule>
  </conditionalFormatting>
  <conditionalFormatting sqref="B107:C107">
    <cfRule type="cellIs" dxfId="5892" priority="9229" stopIfTrue="1" operator="equal">
      <formula>"Towel"</formula>
    </cfRule>
  </conditionalFormatting>
  <conditionalFormatting sqref="B107:C107">
    <cfRule type="cellIs" dxfId="5891" priority="9240" stopIfTrue="1" operator="equal">
      <formula>"Towel"</formula>
    </cfRule>
    <cfRule type="cellIs" dxfId="5890" priority="9241" stopIfTrue="1" operator="equal">
      <formula>"Napkin Hs"</formula>
    </cfRule>
    <cfRule type="cellIs" dxfId="5889" priority="9246" stopIfTrue="1" operator="equal">
      <formula>"Towel"</formula>
    </cfRule>
    <cfRule type="cellIs" dxfId="5888" priority="9247" stopIfTrue="1" operator="equal">
      <formula>"Napkin Hs"</formula>
    </cfRule>
    <cfRule type="cellIs" dxfId="5887" priority="9252" stopIfTrue="1" operator="equal">
      <formula>"Towel"</formula>
    </cfRule>
    <cfRule type="cellIs" dxfId="5886" priority="9253" stopIfTrue="1" operator="equal">
      <formula>"Napkin Hs"</formula>
    </cfRule>
    <cfRule type="cellIs" dxfId="5885" priority="9254" stopIfTrue="1" operator="equal">
      <formula>"Towel"</formula>
    </cfRule>
    <cfRule type="cellIs" dxfId="5884" priority="9255" stopIfTrue="1" operator="equal">
      <formula>"Napkin Hs"</formula>
    </cfRule>
    <cfRule type="cellIs" dxfId="5883" priority="9260" stopIfTrue="1" operator="equal">
      <formula>"Towel"</formula>
    </cfRule>
    <cfRule type="cellIs" dxfId="5882" priority="9261" stopIfTrue="1" operator="equal">
      <formula>"Napkin Hs"</formula>
    </cfRule>
    <cfRule type="cellIs" dxfId="5881" priority="9270" stopIfTrue="1" operator="equal">
      <formula>"Towel"</formula>
    </cfRule>
    <cfRule type="cellIs" dxfId="5880" priority="9271" stopIfTrue="1" operator="equal">
      <formula>"Napkin Hs"</formula>
    </cfRule>
    <cfRule type="cellIs" dxfId="5879" priority="9276" stopIfTrue="1" operator="equal">
      <formula>"Towel"</formula>
    </cfRule>
    <cfRule type="cellIs" dxfId="5878" priority="9277" stopIfTrue="1" operator="equal">
      <formula>"Napkin Hs"</formula>
    </cfRule>
    <cfRule type="cellIs" dxfId="5877" priority="9278" stopIfTrue="1" operator="equal">
      <formula>"Towel"</formula>
    </cfRule>
    <cfRule type="cellIs" dxfId="5876" priority="9279" stopIfTrue="1" operator="equal">
      <formula>"Napkin Hs"</formula>
    </cfRule>
    <cfRule type="cellIs" dxfId="5875" priority="9284" stopIfTrue="1" operator="equal">
      <formula>"Towel"</formula>
    </cfRule>
    <cfRule type="cellIs" dxfId="5874" priority="9285" stopIfTrue="1" operator="equal">
      <formula>"Napkin Hs"</formula>
    </cfRule>
    <cfRule type="cellIs" dxfId="5873" priority="9294" stopIfTrue="1" operator="equal">
      <formula>"Towel"</formula>
    </cfRule>
    <cfRule type="cellIs" dxfId="5872" priority="9295" stopIfTrue="1" operator="equal">
      <formula>"Napkin Hs"</formula>
    </cfRule>
    <cfRule type="cellIs" dxfId="5871" priority="9296" stopIfTrue="1" operator="equal">
      <formula>"Towel"</formula>
    </cfRule>
    <cfRule type="cellIs" dxfId="5870" priority="9297" stopIfTrue="1" operator="equal">
      <formula>"Napkin Hs"</formula>
    </cfRule>
    <cfRule type="cellIs" dxfId="5869" priority="9302" stopIfTrue="1" operator="equal">
      <formula>"Towel"</formula>
    </cfRule>
    <cfRule type="cellIs" dxfId="5868" priority="9303" stopIfTrue="1" operator="equal">
      <formula>"Napkin Hs"</formula>
    </cfRule>
    <cfRule type="cellIs" dxfId="5867" priority="9312" stopIfTrue="1" operator="equal">
      <formula>"Towel"</formula>
    </cfRule>
    <cfRule type="cellIs" dxfId="5866" priority="9313" stopIfTrue="1" operator="equal">
      <formula>"Napkin Hs"</formula>
    </cfRule>
    <cfRule type="cellIs" dxfId="5865" priority="9314" stopIfTrue="1" operator="equal">
      <formula>"Towel"</formula>
    </cfRule>
    <cfRule type="cellIs" dxfId="5864" priority="9315" stopIfTrue="1" operator="equal">
      <formula>"Napkin Hs"</formula>
    </cfRule>
    <cfRule type="cellIs" dxfId="5863" priority="9321" stopIfTrue="1" operator="equal">
      <formula>"Napkin Hs"</formula>
    </cfRule>
  </conditionalFormatting>
  <conditionalFormatting sqref="B107:C107">
    <cfRule type="cellIs" dxfId="5862" priority="9320" stopIfTrue="1" operator="equal">
      <formula>"Towel"</formula>
    </cfRule>
  </conditionalFormatting>
  <conditionalFormatting sqref="C107">
    <cfRule type="cellIs" dxfId="5861" priority="9231" stopIfTrue="1" operator="equal">
      <formula>"Napkin Hs"</formula>
    </cfRule>
    <cfRule type="cellIs" dxfId="5860" priority="9232" stopIfTrue="1" operator="equal">
      <formula>"Towel"</formula>
    </cfRule>
    <cfRule type="cellIs" dxfId="5859" priority="9233" stopIfTrue="1" operator="equal">
      <formula>"Napkin Hs"</formula>
    </cfRule>
    <cfRule type="cellIs" dxfId="5858" priority="9234" stopIfTrue="1" operator="equal">
      <formula>"Towel"</formula>
    </cfRule>
    <cfRule type="cellIs" dxfId="5857" priority="9235" stopIfTrue="1" operator="equal">
      <formula>"Napkin Hs"</formula>
    </cfRule>
    <cfRule type="cellIs" dxfId="5856" priority="9236" stopIfTrue="1" operator="equal">
      <formula>"Towel"</formula>
    </cfRule>
    <cfRule type="cellIs" dxfId="5855" priority="9237" stopIfTrue="1" operator="equal">
      <formula>"Napkin Hs"</formula>
    </cfRule>
    <cfRule type="cellIs" dxfId="5854" priority="9238" stopIfTrue="1" operator="equal">
      <formula>"Towel"</formula>
    </cfRule>
    <cfRule type="cellIs" dxfId="5853" priority="9239" stopIfTrue="1" operator="equal">
      <formula>"Napkin Hs"</formula>
    </cfRule>
    <cfRule type="cellIs" dxfId="5852" priority="9242" stopIfTrue="1" operator="equal">
      <formula>"Towel"</formula>
    </cfRule>
    <cfRule type="cellIs" dxfId="5851" priority="9243" stopIfTrue="1" operator="equal">
      <formula>"Napkin Hs"</formula>
    </cfRule>
    <cfRule type="cellIs" dxfId="5850" priority="9244" stopIfTrue="1" operator="equal">
      <formula>"Towel"</formula>
    </cfRule>
    <cfRule type="cellIs" dxfId="5849" priority="9245" stopIfTrue="1" operator="equal">
      <formula>"Napkin Hs"</formula>
    </cfRule>
    <cfRule type="cellIs" dxfId="5848" priority="9248" stopIfTrue="1" operator="equal">
      <formula>"Towel"</formula>
    </cfRule>
    <cfRule type="cellIs" dxfId="5847" priority="9249" stopIfTrue="1" operator="equal">
      <formula>"Napkin Hs"</formula>
    </cfRule>
    <cfRule type="cellIs" dxfId="5846" priority="9250" stopIfTrue="1" operator="equal">
      <formula>"Towel"</formula>
    </cfRule>
    <cfRule type="cellIs" dxfId="5845" priority="9251" stopIfTrue="1" operator="equal">
      <formula>"Napkin Hs"</formula>
    </cfRule>
    <cfRule type="cellIs" dxfId="5844" priority="9256" stopIfTrue="1" operator="equal">
      <formula>"Towel"</formula>
    </cfRule>
    <cfRule type="cellIs" dxfId="5843" priority="9257" stopIfTrue="1" operator="equal">
      <formula>"Napkin Hs"</formula>
    </cfRule>
    <cfRule type="cellIs" dxfId="5842" priority="9258" stopIfTrue="1" operator="equal">
      <formula>"Towel"</formula>
    </cfRule>
    <cfRule type="cellIs" dxfId="5841" priority="9259" stopIfTrue="1" operator="equal">
      <formula>"Napkin Hs"</formula>
    </cfRule>
    <cfRule type="cellIs" dxfId="5840" priority="9262" stopIfTrue="1" operator="equal">
      <formula>"Towel"</formula>
    </cfRule>
    <cfRule type="cellIs" dxfId="5839" priority="9263" stopIfTrue="1" operator="equal">
      <formula>"Napkin Hs"</formula>
    </cfRule>
    <cfRule type="cellIs" dxfId="5838" priority="9264" stopIfTrue="1" operator="equal">
      <formula>"Towel"</formula>
    </cfRule>
    <cfRule type="cellIs" dxfId="5837" priority="9265" stopIfTrue="1" operator="equal">
      <formula>"Napkin Hs"</formula>
    </cfRule>
    <cfRule type="cellIs" dxfId="5836" priority="9266" stopIfTrue="1" operator="equal">
      <formula>"Towel"</formula>
    </cfRule>
    <cfRule type="cellIs" dxfId="5835" priority="9267" stopIfTrue="1" operator="equal">
      <formula>"Napkin Hs"</formula>
    </cfRule>
    <cfRule type="cellIs" dxfId="5834" priority="9268" stopIfTrue="1" operator="equal">
      <formula>"Towel"</formula>
    </cfRule>
    <cfRule type="cellIs" dxfId="5833" priority="9269" stopIfTrue="1" operator="equal">
      <formula>"Napkin Hs"</formula>
    </cfRule>
    <cfRule type="cellIs" dxfId="5832" priority="9272" stopIfTrue="1" operator="equal">
      <formula>"Towel"</formula>
    </cfRule>
    <cfRule type="cellIs" dxfId="5831" priority="9273" stopIfTrue="1" operator="equal">
      <formula>"Napkin Hs"</formula>
    </cfRule>
    <cfRule type="cellIs" dxfId="5830" priority="9274" stopIfTrue="1" operator="equal">
      <formula>"Towel"</formula>
    </cfRule>
    <cfRule type="cellIs" dxfId="5829" priority="9275" stopIfTrue="1" operator="equal">
      <formula>"Napkin Hs"</formula>
    </cfRule>
    <cfRule type="cellIs" dxfId="5828" priority="9280" stopIfTrue="1" operator="equal">
      <formula>"Towel"</formula>
    </cfRule>
    <cfRule type="cellIs" dxfId="5827" priority="9281" stopIfTrue="1" operator="equal">
      <formula>"Napkin Hs"</formula>
    </cfRule>
    <cfRule type="cellIs" dxfId="5826" priority="9282" stopIfTrue="1" operator="equal">
      <formula>"Towel"</formula>
    </cfRule>
    <cfRule type="cellIs" dxfId="5825" priority="9283" stopIfTrue="1" operator="equal">
      <formula>"Napkin Hs"</formula>
    </cfRule>
    <cfRule type="cellIs" dxfId="5824" priority="9286" stopIfTrue="1" operator="equal">
      <formula>"Towel"</formula>
    </cfRule>
    <cfRule type="cellIs" dxfId="5823" priority="9287" stopIfTrue="1" operator="equal">
      <formula>"Napkin Hs"</formula>
    </cfRule>
    <cfRule type="cellIs" dxfId="5822" priority="9288" stopIfTrue="1" operator="equal">
      <formula>"Towel"</formula>
    </cfRule>
    <cfRule type="cellIs" dxfId="5821" priority="9289" stopIfTrue="1" operator="equal">
      <formula>"Napkin Hs"</formula>
    </cfRule>
    <cfRule type="cellIs" dxfId="5820" priority="9290" stopIfTrue="1" operator="equal">
      <formula>"Towel"</formula>
    </cfRule>
    <cfRule type="cellIs" dxfId="5819" priority="9291" stopIfTrue="1" operator="equal">
      <formula>"Napkin Hs"</formula>
    </cfRule>
    <cfRule type="cellIs" dxfId="5818" priority="9292" stopIfTrue="1" operator="equal">
      <formula>"Towel"</formula>
    </cfRule>
    <cfRule type="cellIs" dxfId="5817" priority="9293" stopIfTrue="1" operator="equal">
      <formula>"Napkin Hs"</formula>
    </cfRule>
    <cfRule type="cellIs" dxfId="5816" priority="9298" stopIfTrue="1" operator="equal">
      <formula>"Towel"</formula>
    </cfRule>
    <cfRule type="cellIs" dxfId="5815" priority="9299" stopIfTrue="1" operator="equal">
      <formula>"Napkin Hs"</formula>
    </cfRule>
    <cfRule type="cellIs" dxfId="5814" priority="9300" stopIfTrue="1" operator="equal">
      <formula>"Towel"</formula>
    </cfRule>
    <cfRule type="cellIs" dxfId="5813" priority="9301" stopIfTrue="1" operator="equal">
      <formula>"Napkin Hs"</formula>
    </cfRule>
    <cfRule type="cellIs" dxfId="5812" priority="9304" stopIfTrue="1" operator="equal">
      <formula>"Towel"</formula>
    </cfRule>
    <cfRule type="cellIs" dxfId="5811" priority="9305" stopIfTrue="1" operator="equal">
      <formula>"Napkin Hs"</formula>
    </cfRule>
    <cfRule type="cellIs" dxfId="5810" priority="9306" stopIfTrue="1" operator="equal">
      <formula>"Towel"</formula>
    </cfRule>
    <cfRule type="cellIs" dxfId="5809" priority="9307" stopIfTrue="1" operator="equal">
      <formula>"Napkin Hs"</formula>
    </cfRule>
    <cfRule type="cellIs" dxfId="5808" priority="9308" stopIfTrue="1" operator="equal">
      <formula>"Towel"</formula>
    </cfRule>
    <cfRule type="cellIs" dxfId="5807" priority="9309" stopIfTrue="1" operator="equal">
      <formula>"Napkin Hs"</formula>
    </cfRule>
    <cfRule type="cellIs" dxfId="5806" priority="9310" stopIfTrue="1" operator="equal">
      <formula>"Towel"</formula>
    </cfRule>
    <cfRule type="cellIs" dxfId="5805" priority="9311" stopIfTrue="1" operator="equal">
      <formula>"Napkin Hs"</formula>
    </cfRule>
    <cfRule type="cellIs" dxfId="5804" priority="9316" stopIfTrue="1" operator="equal">
      <formula>"Towel"</formula>
    </cfRule>
    <cfRule type="cellIs" dxfId="5803" priority="9317" stopIfTrue="1" operator="equal">
      <formula>"Napkin Hs"</formula>
    </cfRule>
    <cfRule type="cellIs" dxfId="5802" priority="9318" stopIfTrue="1" operator="equal">
      <formula>"Towel"</formula>
    </cfRule>
    <cfRule type="cellIs" dxfId="5801" priority="9319" stopIfTrue="1" operator="equal">
      <formula>"Napkin Hs"</formula>
    </cfRule>
    <cfRule type="cellIs" dxfId="5800" priority="9322" stopIfTrue="1" operator="equal">
      <formula>"Towel"</formula>
    </cfRule>
    <cfRule type="cellIs" dxfId="5799" priority="9323" stopIfTrue="1" operator="equal">
      <formula>"Napkin Hs"</formula>
    </cfRule>
    <cfRule type="cellIs" dxfId="5798" priority="9324" stopIfTrue="1" operator="equal">
      <formula>"Towel"</formula>
    </cfRule>
    <cfRule type="cellIs" dxfId="5797" priority="9325" stopIfTrue="1" operator="equal">
      <formula>"Napkin Hs"</formula>
    </cfRule>
  </conditionalFormatting>
  <conditionalFormatting sqref="C107">
    <cfRule type="cellIs" dxfId="5796" priority="9228" stopIfTrue="1" operator="equal">
      <formula>"Napkin Hs"</formula>
    </cfRule>
  </conditionalFormatting>
  <conditionalFormatting sqref="C107">
    <cfRule type="cellIs" dxfId="5795" priority="9227" stopIfTrue="1" operator="equal">
      <formula>"Napkin Hs"</formula>
    </cfRule>
  </conditionalFormatting>
  <conditionalFormatting sqref="B107">
    <cfRule type="cellIs" dxfId="5794" priority="9226" stopIfTrue="1" operator="equal">
      <formula>"Napkin Hs"</formula>
    </cfRule>
  </conditionalFormatting>
  <conditionalFormatting sqref="C107">
    <cfRule type="cellIs" dxfId="5793" priority="9225" stopIfTrue="1" operator="equal">
      <formula>"Napkin Hs"</formula>
    </cfRule>
  </conditionalFormatting>
  <conditionalFormatting sqref="C107">
    <cfRule type="cellIs" dxfId="5792" priority="9224" stopIfTrue="1" operator="equal">
      <formula>"Napkin Hs"</formula>
    </cfRule>
  </conditionalFormatting>
  <conditionalFormatting sqref="C107">
    <cfRule type="cellIs" dxfId="5791" priority="9223" stopIfTrue="1" operator="equal">
      <formula>"Napkin Hs"</formula>
    </cfRule>
  </conditionalFormatting>
  <conditionalFormatting sqref="C107">
    <cfRule type="cellIs" dxfId="5790" priority="9222" stopIfTrue="1" operator="equal">
      <formula>"Napkin Hs"</formula>
    </cfRule>
  </conditionalFormatting>
  <conditionalFormatting sqref="B107">
    <cfRule type="cellIs" dxfId="5789" priority="9221" stopIfTrue="1" operator="equal">
      <formula>"Napkin Hs"</formula>
    </cfRule>
  </conditionalFormatting>
  <conditionalFormatting sqref="B107">
    <cfRule type="cellIs" dxfId="5788" priority="9220" stopIfTrue="1" operator="equal">
      <formula>"Napkin Hs"</formula>
    </cfRule>
  </conditionalFormatting>
  <conditionalFormatting sqref="C107">
    <cfRule type="cellIs" dxfId="5787" priority="9216" stopIfTrue="1" operator="equal">
      <formula>"Towel"</formula>
    </cfRule>
    <cfRule type="cellIs" dxfId="5786" priority="9217" stopIfTrue="1" operator="equal">
      <formula>"Napkin Hs"</formula>
    </cfRule>
  </conditionalFormatting>
  <conditionalFormatting sqref="C107">
    <cfRule type="cellIs" dxfId="5785" priority="9218" stopIfTrue="1" operator="equal">
      <formula>"Towel"</formula>
    </cfRule>
    <cfRule type="cellIs" dxfId="5784" priority="9219" stopIfTrue="1" operator="equal">
      <formula>"Napkin Hs"</formula>
    </cfRule>
  </conditionalFormatting>
  <conditionalFormatting sqref="C107">
    <cfRule type="cellIs" dxfId="5783" priority="9212" stopIfTrue="1" operator="equal">
      <formula>"Towel"</formula>
    </cfRule>
    <cfRule type="cellIs" dxfId="5782" priority="9213" stopIfTrue="1" operator="equal">
      <formula>"Napkin Hs"</formula>
    </cfRule>
  </conditionalFormatting>
  <conditionalFormatting sqref="C107">
    <cfRule type="cellIs" dxfId="5781" priority="9214" stopIfTrue="1" operator="equal">
      <formula>"Towel"</formula>
    </cfRule>
    <cfRule type="cellIs" dxfId="5780" priority="9215" stopIfTrue="1" operator="equal">
      <formula>"Napkin Hs"</formula>
    </cfRule>
  </conditionalFormatting>
  <conditionalFormatting sqref="B105:B106">
    <cfRule type="cellIs" dxfId="5779" priority="9211" stopIfTrue="1" operator="equal">
      <formula>"Napkin Hs"</formula>
    </cfRule>
  </conditionalFormatting>
  <conditionalFormatting sqref="B105:B106">
    <cfRule type="cellIs" dxfId="5778" priority="9210" stopIfTrue="1" operator="equal">
      <formula>"Napkin Hs"</formula>
    </cfRule>
  </conditionalFormatting>
  <conditionalFormatting sqref="B105:B106">
    <cfRule type="cellIs" dxfId="5777" priority="9209" stopIfTrue="1" operator="equal">
      <formula>"Napkin Hs"</formula>
    </cfRule>
  </conditionalFormatting>
  <conditionalFormatting sqref="C105:C106">
    <cfRule type="cellIs" dxfId="5776" priority="9207" stopIfTrue="1" operator="equal">
      <formula>"Towel"</formula>
    </cfRule>
    <cfRule type="cellIs" dxfId="5775" priority="9208" stopIfTrue="1" operator="equal">
      <formula>"Napkin Hs"</formula>
    </cfRule>
  </conditionalFormatting>
  <conditionalFormatting sqref="C105:C106">
    <cfRule type="cellIs" dxfId="5774" priority="9203" stopIfTrue="1" operator="equal">
      <formula>"Towel"</formula>
    </cfRule>
    <cfRule type="cellIs" dxfId="5773" priority="9204" stopIfTrue="1" operator="equal">
      <formula>"Napkin Hs"</formula>
    </cfRule>
  </conditionalFormatting>
  <conditionalFormatting sqref="C105:C106">
    <cfRule type="cellIs" dxfId="5772" priority="9205" stopIfTrue="1" operator="equal">
      <formula>"Towel"</formula>
    </cfRule>
    <cfRule type="cellIs" dxfId="5771" priority="9206" stopIfTrue="1" operator="equal">
      <formula>"Napkin Hs"</formula>
    </cfRule>
  </conditionalFormatting>
  <conditionalFormatting sqref="C105:C106">
    <cfRule type="cellIs" dxfId="5770" priority="9199" stopIfTrue="1" operator="equal">
      <formula>"Towel"</formula>
    </cfRule>
    <cfRule type="cellIs" dxfId="5769" priority="9200" stopIfTrue="1" operator="equal">
      <formula>"Napkin Hs"</formula>
    </cfRule>
  </conditionalFormatting>
  <conditionalFormatting sqref="C105:C106">
    <cfRule type="cellIs" dxfId="5768" priority="9201" stopIfTrue="1" operator="equal">
      <formula>"Towel"</formula>
    </cfRule>
    <cfRule type="cellIs" dxfId="5767" priority="9202" stopIfTrue="1" operator="equal">
      <formula>"Napkin Hs"</formula>
    </cfRule>
  </conditionalFormatting>
  <conditionalFormatting sqref="C105:C106">
    <cfRule type="cellIs" dxfId="5766" priority="9197" stopIfTrue="1" operator="equal">
      <formula>"Towel"</formula>
    </cfRule>
    <cfRule type="cellIs" dxfId="5765" priority="9198" stopIfTrue="1" operator="equal">
      <formula>"Napkin Hs"</formula>
    </cfRule>
  </conditionalFormatting>
  <conditionalFormatting sqref="C105:C106">
    <cfRule type="cellIs" dxfId="5764" priority="9191" stopIfTrue="1" operator="equal">
      <formula>"Towel"</formula>
    </cfRule>
    <cfRule type="cellIs" dxfId="5763" priority="9192" stopIfTrue="1" operator="equal">
      <formula>"Napkin Hs"</formula>
    </cfRule>
  </conditionalFormatting>
  <conditionalFormatting sqref="C105:C106">
    <cfRule type="cellIs" dxfId="5762" priority="9195" stopIfTrue="1" operator="equal">
      <formula>"Towel"</formula>
    </cfRule>
    <cfRule type="cellIs" dxfId="5761" priority="9196" stopIfTrue="1" operator="equal">
      <formula>"Napkin Hs"</formula>
    </cfRule>
  </conditionalFormatting>
  <conditionalFormatting sqref="C105:C106">
    <cfRule type="cellIs" dxfId="5760" priority="9193" stopIfTrue="1" operator="equal">
      <formula>"Towel"</formula>
    </cfRule>
    <cfRule type="cellIs" dxfId="5759" priority="9194" stopIfTrue="1" operator="equal">
      <formula>"Napkin Hs"</formula>
    </cfRule>
  </conditionalFormatting>
  <conditionalFormatting sqref="C105:C106">
    <cfRule type="cellIs" dxfId="5758" priority="9185" stopIfTrue="1" operator="equal">
      <formula>"Towel"</formula>
    </cfRule>
    <cfRule type="cellIs" dxfId="5757" priority="9186" stopIfTrue="1" operator="equal">
      <formula>"Napkin Hs"</formula>
    </cfRule>
  </conditionalFormatting>
  <conditionalFormatting sqref="C105:C106">
    <cfRule type="cellIs" dxfId="5756" priority="9187" stopIfTrue="1" operator="equal">
      <formula>"Towel"</formula>
    </cfRule>
    <cfRule type="cellIs" dxfId="5755" priority="9188" stopIfTrue="1" operator="equal">
      <formula>"Napkin Hs"</formula>
    </cfRule>
  </conditionalFormatting>
  <conditionalFormatting sqref="C105:C106">
    <cfRule type="cellIs" dxfId="5754" priority="9189" stopIfTrue="1" operator="equal">
      <formula>"Towel"</formula>
    </cfRule>
    <cfRule type="cellIs" dxfId="5753" priority="9190" stopIfTrue="1" operator="equal">
      <formula>"Napkin Hs"</formula>
    </cfRule>
  </conditionalFormatting>
  <conditionalFormatting sqref="C105:C106">
    <cfRule type="cellIs" dxfId="5752" priority="9183" stopIfTrue="1" operator="equal">
      <formula>"Towel"</formula>
    </cfRule>
    <cfRule type="cellIs" dxfId="5751" priority="9184" stopIfTrue="1" operator="equal">
      <formula>"Napkin Hs"</formula>
    </cfRule>
  </conditionalFormatting>
  <conditionalFormatting sqref="C105:C106">
    <cfRule type="cellIs" dxfId="5750" priority="9181" stopIfTrue="1" operator="equal">
      <formula>"Towel"</formula>
    </cfRule>
    <cfRule type="cellIs" dxfId="5749" priority="9182" stopIfTrue="1" operator="equal">
      <formula>"Napkin Hs"</formula>
    </cfRule>
  </conditionalFormatting>
  <conditionalFormatting sqref="C105:C106">
    <cfRule type="cellIs" dxfId="5748" priority="9157" stopIfTrue="1" operator="equal">
      <formula>"Towel"</formula>
    </cfRule>
  </conditionalFormatting>
  <conditionalFormatting sqref="C105:C106">
    <cfRule type="cellIs" dxfId="5747" priority="9158" stopIfTrue="1" operator="equal">
      <formula>"Napkin Hs"</formula>
    </cfRule>
    <cfRule type="cellIs" dxfId="5746" priority="9163" stopIfTrue="1" operator="equal">
      <formula>"Towel"</formula>
    </cfRule>
    <cfRule type="cellIs" dxfId="5745" priority="9164" stopIfTrue="1" operator="equal">
      <formula>"Napkin Hs"</formula>
    </cfRule>
    <cfRule type="cellIs" dxfId="5744" priority="9173" stopIfTrue="1" operator="equal">
      <formula>"Towel"</formula>
    </cfRule>
    <cfRule type="cellIs" dxfId="5743" priority="9174" stopIfTrue="1" operator="equal">
      <formula>"Napkin Hs"</formula>
    </cfRule>
    <cfRule type="cellIs" dxfId="5742" priority="9179" stopIfTrue="1" operator="equal">
      <formula>"Towel"</formula>
    </cfRule>
    <cfRule type="cellIs" dxfId="5741" priority="9180" stopIfTrue="1" operator="equal">
      <formula>"Napkin Hs"</formula>
    </cfRule>
  </conditionalFormatting>
  <conditionalFormatting sqref="C105:C106">
    <cfRule type="cellIs" dxfId="5740" priority="9159" stopIfTrue="1" operator="equal">
      <formula>"Towel"</formula>
    </cfRule>
    <cfRule type="cellIs" dxfId="5739" priority="9160" stopIfTrue="1" operator="equal">
      <formula>"Napkin Hs"</formula>
    </cfRule>
    <cfRule type="cellIs" dxfId="5738" priority="9161" stopIfTrue="1" operator="equal">
      <formula>"Towel"</formula>
    </cfRule>
    <cfRule type="cellIs" dxfId="5737" priority="9162" stopIfTrue="1" operator="equal">
      <formula>"Napkin Hs"</formula>
    </cfRule>
    <cfRule type="cellIs" dxfId="5736" priority="9165" stopIfTrue="1" operator="equal">
      <formula>"Towel"</formula>
    </cfRule>
    <cfRule type="cellIs" dxfId="5735" priority="9166" stopIfTrue="1" operator="equal">
      <formula>"Napkin Hs"</formula>
    </cfRule>
    <cfRule type="cellIs" dxfId="5734" priority="9167" stopIfTrue="1" operator="equal">
      <formula>"Towel"</formula>
    </cfRule>
    <cfRule type="cellIs" dxfId="5733" priority="9168" stopIfTrue="1" operator="equal">
      <formula>"Napkin Hs"</formula>
    </cfRule>
    <cfRule type="cellIs" dxfId="5732" priority="9169" stopIfTrue="1" operator="equal">
      <formula>"Towel"</formula>
    </cfRule>
    <cfRule type="cellIs" dxfId="5731" priority="9170" stopIfTrue="1" operator="equal">
      <formula>"Napkin Hs"</formula>
    </cfRule>
    <cfRule type="cellIs" dxfId="5730" priority="9171" stopIfTrue="1" operator="equal">
      <formula>"Towel"</formula>
    </cfRule>
    <cfRule type="cellIs" dxfId="5729" priority="9172" stopIfTrue="1" operator="equal">
      <formula>"Napkin Hs"</formula>
    </cfRule>
    <cfRule type="cellIs" dxfId="5728" priority="9175" stopIfTrue="1" operator="equal">
      <formula>"Towel"</formula>
    </cfRule>
    <cfRule type="cellIs" dxfId="5727" priority="9176" stopIfTrue="1" operator="equal">
      <formula>"Napkin Hs"</formula>
    </cfRule>
    <cfRule type="cellIs" dxfId="5726" priority="9178" stopIfTrue="1" operator="equal">
      <formula>"Napkin Hs"</formula>
    </cfRule>
  </conditionalFormatting>
  <conditionalFormatting sqref="C105:C106">
    <cfRule type="cellIs" dxfId="5725" priority="9177" stopIfTrue="1" operator="equal">
      <formula>"Towel"</formula>
    </cfRule>
  </conditionalFormatting>
  <conditionalFormatting sqref="C105:C106">
    <cfRule type="cellIs" dxfId="5724" priority="9155" stopIfTrue="1" operator="equal">
      <formula>"Towel"</formula>
    </cfRule>
    <cfRule type="cellIs" dxfId="5723" priority="9156" stopIfTrue="1" operator="equal">
      <formula>"Napkin Hs"</formula>
    </cfRule>
  </conditionalFormatting>
  <conditionalFormatting sqref="C105:C106">
    <cfRule type="cellIs" dxfId="5722" priority="9154" stopIfTrue="1" operator="equal">
      <formula>"Napkin Hs"</formula>
    </cfRule>
  </conditionalFormatting>
  <conditionalFormatting sqref="C105:C106">
    <cfRule type="cellIs" dxfId="5721" priority="9153" stopIfTrue="1" operator="equal">
      <formula>"Towel"</formula>
    </cfRule>
  </conditionalFormatting>
  <conditionalFormatting sqref="C105:C106">
    <cfRule type="cellIs" dxfId="5720" priority="9151" stopIfTrue="1" operator="equal">
      <formula>"Towel"</formula>
    </cfRule>
  </conditionalFormatting>
  <conditionalFormatting sqref="C105:C106">
    <cfRule type="cellIs" dxfId="5719" priority="9152" stopIfTrue="1" operator="equal">
      <formula>"Napkin Hs"</formula>
    </cfRule>
  </conditionalFormatting>
  <conditionalFormatting sqref="C105:C106">
    <cfRule type="cellIs" dxfId="5718" priority="9055" stopIfTrue="1" operator="equal">
      <formula>"Towel"</formula>
    </cfRule>
  </conditionalFormatting>
  <conditionalFormatting sqref="C105:C106">
    <cfRule type="cellIs" dxfId="5717" priority="9065" stopIfTrue="1" operator="equal">
      <formula>"Towel"</formula>
    </cfRule>
    <cfRule type="cellIs" dxfId="5716" priority="9066" stopIfTrue="1" operator="equal">
      <formula>"Napkin Hs"</formula>
    </cfRule>
    <cfRule type="cellIs" dxfId="5715" priority="9071" stopIfTrue="1" operator="equal">
      <formula>"Towel"</formula>
    </cfRule>
    <cfRule type="cellIs" dxfId="5714" priority="9072" stopIfTrue="1" operator="equal">
      <formula>"Napkin Hs"</formula>
    </cfRule>
    <cfRule type="cellIs" dxfId="5713" priority="9077" stopIfTrue="1" operator="equal">
      <formula>"Towel"</formula>
    </cfRule>
    <cfRule type="cellIs" dxfId="5712" priority="9078" stopIfTrue="1" operator="equal">
      <formula>"Napkin Hs"</formula>
    </cfRule>
    <cfRule type="cellIs" dxfId="5711" priority="9079" stopIfTrue="1" operator="equal">
      <formula>"Towel"</formula>
    </cfRule>
    <cfRule type="cellIs" dxfId="5710" priority="9080" stopIfTrue="1" operator="equal">
      <formula>"Napkin Hs"</formula>
    </cfRule>
    <cfRule type="cellIs" dxfId="5709" priority="9085" stopIfTrue="1" operator="equal">
      <formula>"Towel"</formula>
    </cfRule>
    <cfRule type="cellIs" dxfId="5708" priority="9086" stopIfTrue="1" operator="equal">
      <formula>"Napkin Hs"</formula>
    </cfRule>
    <cfRule type="cellIs" dxfId="5707" priority="9095" stopIfTrue="1" operator="equal">
      <formula>"Towel"</formula>
    </cfRule>
    <cfRule type="cellIs" dxfId="5706" priority="9096" stopIfTrue="1" operator="equal">
      <formula>"Napkin Hs"</formula>
    </cfRule>
    <cfRule type="cellIs" dxfId="5705" priority="9101" stopIfTrue="1" operator="equal">
      <formula>"Towel"</formula>
    </cfRule>
    <cfRule type="cellIs" dxfId="5704" priority="9102" stopIfTrue="1" operator="equal">
      <formula>"Napkin Hs"</formula>
    </cfRule>
    <cfRule type="cellIs" dxfId="5703" priority="9103" stopIfTrue="1" operator="equal">
      <formula>"Towel"</formula>
    </cfRule>
    <cfRule type="cellIs" dxfId="5702" priority="9104" stopIfTrue="1" operator="equal">
      <formula>"Napkin Hs"</formula>
    </cfRule>
    <cfRule type="cellIs" dxfId="5701" priority="9109" stopIfTrue="1" operator="equal">
      <formula>"Towel"</formula>
    </cfRule>
    <cfRule type="cellIs" dxfId="5700" priority="9110" stopIfTrue="1" operator="equal">
      <formula>"Napkin Hs"</formula>
    </cfRule>
    <cfRule type="cellIs" dxfId="5699" priority="9119" stopIfTrue="1" operator="equal">
      <formula>"Towel"</formula>
    </cfRule>
    <cfRule type="cellIs" dxfId="5698" priority="9120" stopIfTrue="1" operator="equal">
      <formula>"Napkin Hs"</formula>
    </cfRule>
    <cfRule type="cellIs" dxfId="5697" priority="9121" stopIfTrue="1" operator="equal">
      <formula>"Towel"</formula>
    </cfRule>
    <cfRule type="cellIs" dxfId="5696" priority="9122" stopIfTrue="1" operator="equal">
      <formula>"Napkin Hs"</formula>
    </cfRule>
    <cfRule type="cellIs" dxfId="5695" priority="9127" stopIfTrue="1" operator="equal">
      <formula>"Towel"</formula>
    </cfRule>
    <cfRule type="cellIs" dxfId="5694" priority="9128" stopIfTrue="1" operator="equal">
      <formula>"Napkin Hs"</formula>
    </cfRule>
    <cfRule type="cellIs" dxfId="5693" priority="9137" stopIfTrue="1" operator="equal">
      <formula>"Towel"</formula>
    </cfRule>
    <cfRule type="cellIs" dxfId="5692" priority="9138" stopIfTrue="1" operator="equal">
      <formula>"Napkin Hs"</formula>
    </cfRule>
    <cfRule type="cellIs" dxfId="5691" priority="9139" stopIfTrue="1" operator="equal">
      <formula>"Towel"</formula>
    </cfRule>
    <cfRule type="cellIs" dxfId="5690" priority="9140" stopIfTrue="1" operator="equal">
      <formula>"Napkin Hs"</formula>
    </cfRule>
    <cfRule type="cellIs" dxfId="5689" priority="9146" stopIfTrue="1" operator="equal">
      <formula>"Napkin Hs"</formula>
    </cfRule>
  </conditionalFormatting>
  <conditionalFormatting sqref="C105:C106">
    <cfRule type="cellIs" dxfId="5688" priority="9145" stopIfTrue="1" operator="equal">
      <formula>"Towel"</formula>
    </cfRule>
  </conditionalFormatting>
  <conditionalFormatting sqref="C105:C106">
    <cfRule type="cellIs" dxfId="5687" priority="9056" stopIfTrue="1" operator="equal">
      <formula>"Napkin Hs"</formula>
    </cfRule>
    <cfRule type="cellIs" dxfId="5686" priority="9057" stopIfTrue="1" operator="equal">
      <formula>"Towel"</formula>
    </cfRule>
    <cfRule type="cellIs" dxfId="5685" priority="9058" stopIfTrue="1" operator="equal">
      <formula>"Napkin Hs"</formula>
    </cfRule>
    <cfRule type="cellIs" dxfId="5684" priority="9059" stopIfTrue="1" operator="equal">
      <formula>"Towel"</formula>
    </cfRule>
    <cfRule type="cellIs" dxfId="5683" priority="9060" stopIfTrue="1" operator="equal">
      <formula>"Napkin Hs"</formula>
    </cfRule>
    <cfRule type="cellIs" dxfId="5682" priority="9061" stopIfTrue="1" operator="equal">
      <formula>"Towel"</formula>
    </cfRule>
    <cfRule type="cellIs" dxfId="5681" priority="9062" stopIfTrue="1" operator="equal">
      <formula>"Napkin Hs"</formula>
    </cfRule>
    <cfRule type="cellIs" dxfId="5680" priority="9063" stopIfTrue="1" operator="equal">
      <formula>"Towel"</formula>
    </cfRule>
    <cfRule type="cellIs" dxfId="5679" priority="9064" stopIfTrue="1" operator="equal">
      <formula>"Napkin Hs"</formula>
    </cfRule>
    <cfRule type="cellIs" dxfId="5678" priority="9067" stopIfTrue="1" operator="equal">
      <formula>"Towel"</formula>
    </cfRule>
    <cfRule type="cellIs" dxfId="5677" priority="9068" stopIfTrue="1" operator="equal">
      <formula>"Napkin Hs"</formula>
    </cfRule>
    <cfRule type="cellIs" dxfId="5676" priority="9069" stopIfTrue="1" operator="equal">
      <formula>"Towel"</formula>
    </cfRule>
    <cfRule type="cellIs" dxfId="5675" priority="9070" stopIfTrue="1" operator="equal">
      <formula>"Napkin Hs"</formula>
    </cfRule>
    <cfRule type="cellIs" dxfId="5674" priority="9073" stopIfTrue="1" operator="equal">
      <formula>"Towel"</formula>
    </cfRule>
    <cfRule type="cellIs" dxfId="5673" priority="9074" stopIfTrue="1" operator="equal">
      <formula>"Napkin Hs"</formula>
    </cfRule>
    <cfRule type="cellIs" dxfId="5672" priority="9075" stopIfTrue="1" operator="equal">
      <formula>"Towel"</formula>
    </cfRule>
    <cfRule type="cellIs" dxfId="5671" priority="9076" stopIfTrue="1" operator="equal">
      <formula>"Napkin Hs"</formula>
    </cfRule>
    <cfRule type="cellIs" dxfId="5670" priority="9081" stopIfTrue="1" operator="equal">
      <formula>"Towel"</formula>
    </cfRule>
    <cfRule type="cellIs" dxfId="5669" priority="9082" stopIfTrue="1" operator="equal">
      <formula>"Napkin Hs"</formula>
    </cfRule>
    <cfRule type="cellIs" dxfId="5668" priority="9083" stopIfTrue="1" operator="equal">
      <formula>"Towel"</formula>
    </cfRule>
    <cfRule type="cellIs" dxfId="5667" priority="9084" stopIfTrue="1" operator="equal">
      <formula>"Napkin Hs"</formula>
    </cfRule>
    <cfRule type="cellIs" dxfId="5666" priority="9087" stopIfTrue="1" operator="equal">
      <formula>"Towel"</formula>
    </cfRule>
    <cfRule type="cellIs" dxfId="5665" priority="9088" stopIfTrue="1" operator="equal">
      <formula>"Napkin Hs"</formula>
    </cfRule>
    <cfRule type="cellIs" dxfId="5664" priority="9089" stopIfTrue="1" operator="equal">
      <formula>"Towel"</formula>
    </cfRule>
    <cfRule type="cellIs" dxfId="5663" priority="9090" stopIfTrue="1" operator="equal">
      <formula>"Napkin Hs"</formula>
    </cfRule>
    <cfRule type="cellIs" dxfId="5662" priority="9091" stopIfTrue="1" operator="equal">
      <formula>"Towel"</formula>
    </cfRule>
    <cfRule type="cellIs" dxfId="5661" priority="9092" stopIfTrue="1" operator="equal">
      <formula>"Napkin Hs"</formula>
    </cfRule>
    <cfRule type="cellIs" dxfId="5660" priority="9093" stopIfTrue="1" operator="equal">
      <formula>"Towel"</formula>
    </cfRule>
    <cfRule type="cellIs" dxfId="5659" priority="9094" stopIfTrue="1" operator="equal">
      <formula>"Napkin Hs"</formula>
    </cfRule>
    <cfRule type="cellIs" dxfId="5658" priority="9097" stopIfTrue="1" operator="equal">
      <formula>"Towel"</formula>
    </cfRule>
    <cfRule type="cellIs" dxfId="5657" priority="9098" stopIfTrue="1" operator="equal">
      <formula>"Napkin Hs"</formula>
    </cfRule>
    <cfRule type="cellIs" dxfId="5656" priority="9099" stopIfTrue="1" operator="equal">
      <formula>"Towel"</formula>
    </cfRule>
    <cfRule type="cellIs" dxfId="5655" priority="9100" stopIfTrue="1" operator="equal">
      <formula>"Napkin Hs"</formula>
    </cfRule>
    <cfRule type="cellIs" dxfId="5654" priority="9105" stopIfTrue="1" operator="equal">
      <formula>"Towel"</formula>
    </cfRule>
    <cfRule type="cellIs" dxfId="5653" priority="9106" stopIfTrue="1" operator="equal">
      <formula>"Napkin Hs"</formula>
    </cfRule>
    <cfRule type="cellIs" dxfId="5652" priority="9107" stopIfTrue="1" operator="equal">
      <formula>"Towel"</formula>
    </cfRule>
    <cfRule type="cellIs" dxfId="5651" priority="9108" stopIfTrue="1" operator="equal">
      <formula>"Napkin Hs"</formula>
    </cfRule>
    <cfRule type="cellIs" dxfId="5650" priority="9111" stopIfTrue="1" operator="equal">
      <formula>"Towel"</formula>
    </cfRule>
    <cfRule type="cellIs" dxfId="5649" priority="9112" stopIfTrue="1" operator="equal">
      <formula>"Napkin Hs"</formula>
    </cfRule>
    <cfRule type="cellIs" dxfId="5648" priority="9113" stopIfTrue="1" operator="equal">
      <formula>"Towel"</formula>
    </cfRule>
    <cfRule type="cellIs" dxfId="5647" priority="9114" stopIfTrue="1" operator="equal">
      <formula>"Napkin Hs"</formula>
    </cfRule>
    <cfRule type="cellIs" dxfId="5646" priority="9115" stopIfTrue="1" operator="equal">
      <formula>"Towel"</formula>
    </cfRule>
    <cfRule type="cellIs" dxfId="5645" priority="9116" stopIfTrue="1" operator="equal">
      <formula>"Napkin Hs"</formula>
    </cfRule>
    <cfRule type="cellIs" dxfId="5644" priority="9117" stopIfTrue="1" operator="equal">
      <formula>"Towel"</formula>
    </cfRule>
    <cfRule type="cellIs" dxfId="5643" priority="9118" stopIfTrue="1" operator="equal">
      <formula>"Napkin Hs"</formula>
    </cfRule>
    <cfRule type="cellIs" dxfId="5642" priority="9123" stopIfTrue="1" operator="equal">
      <formula>"Towel"</formula>
    </cfRule>
    <cfRule type="cellIs" dxfId="5641" priority="9124" stopIfTrue="1" operator="equal">
      <formula>"Napkin Hs"</formula>
    </cfRule>
    <cfRule type="cellIs" dxfId="5640" priority="9125" stopIfTrue="1" operator="equal">
      <formula>"Towel"</formula>
    </cfRule>
    <cfRule type="cellIs" dxfId="5639" priority="9126" stopIfTrue="1" operator="equal">
      <formula>"Napkin Hs"</formula>
    </cfRule>
    <cfRule type="cellIs" dxfId="5638" priority="9129" stopIfTrue="1" operator="equal">
      <formula>"Towel"</formula>
    </cfRule>
    <cfRule type="cellIs" dxfId="5637" priority="9130" stopIfTrue="1" operator="equal">
      <formula>"Napkin Hs"</formula>
    </cfRule>
    <cfRule type="cellIs" dxfId="5636" priority="9131" stopIfTrue="1" operator="equal">
      <formula>"Towel"</formula>
    </cfRule>
    <cfRule type="cellIs" dxfId="5635" priority="9132" stopIfTrue="1" operator="equal">
      <formula>"Napkin Hs"</formula>
    </cfRule>
    <cfRule type="cellIs" dxfId="5634" priority="9133" stopIfTrue="1" operator="equal">
      <formula>"Towel"</formula>
    </cfRule>
    <cfRule type="cellIs" dxfId="5633" priority="9134" stopIfTrue="1" operator="equal">
      <formula>"Napkin Hs"</formula>
    </cfRule>
    <cfRule type="cellIs" dxfId="5632" priority="9135" stopIfTrue="1" operator="equal">
      <formula>"Towel"</formula>
    </cfRule>
    <cfRule type="cellIs" dxfId="5631" priority="9136" stopIfTrue="1" operator="equal">
      <formula>"Napkin Hs"</formula>
    </cfRule>
    <cfRule type="cellIs" dxfId="5630" priority="9141" stopIfTrue="1" operator="equal">
      <formula>"Towel"</formula>
    </cfRule>
    <cfRule type="cellIs" dxfId="5629" priority="9142" stopIfTrue="1" operator="equal">
      <formula>"Napkin Hs"</formula>
    </cfRule>
    <cfRule type="cellIs" dxfId="5628" priority="9143" stopIfTrue="1" operator="equal">
      <formula>"Towel"</formula>
    </cfRule>
    <cfRule type="cellIs" dxfId="5627" priority="9144" stopIfTrue="1" operator="equal">
      <formula>"Napkin Hs"</formula>
    </cfRule>
    <cfRule type="cellIs" dxfId="5626" priority="9147" stopIfTrue="1" operator="equal">
      <formula>"Towel"</formula>
    </cfRule>
    <cfRule type="cellIs" dxfId="5625" priority="9148" stopIfTrue="1" operator="equal">
      <formula>"Napkin Hs"</formula>
    </cfRule>
    <cfRule type="cellIs" dxfId="5624" priority="9149" stopIfTrue="1" operator="equal">
      <formula>"Towel"</formula>
    </cfRule>
    <cfRule type="cellIs" dxfId="5623" priority="9150" stopIfTrue="1" operator="equal">
      <formula>"Napkin Hs"</formula>
    </cfRule>
  </conditionalFormatting>
  <conditionalFormatting sqref="C105:C106">
    <cfRule type="cellIs" dxfId="5622" priority="9054" stopIfTrue="1" operator="equal">
      <formula>"Napkin Hs"</formula>
    </cfRule>
  </conditionalFormatting>
  <conditionalFormatting sqref="C105:C106">
    <cfRule type="cellIs" dxfId="5621" priority="9053" stopIfTrue="1" operator="equal">
      <formula>"Napkin Hs"</formula>
    </cfRule>
  </conditionalFormatting>
  <conditionalFormatting sqref="C105:C106">
    <cfRule type="cellIs" dxfId="5620" priority="9052" stopIfTrue="1" operator="equal">
      <formula>"Napkin Hs"</formula>
    </cfRule>
  </conditionalFormatting>
  <conditionalFormatting sqref="C105:C106">
    <cfRule type="cellIs" dxfId="5619" priority="9051" stopIfTrue="1" operator="equal">
      <formula>"Napkin Hs"</formula>
    </cfRule>
  </conditionalFormatting>
  <conditionalFormatting sqref="C105:C106">
    <cfRule type="cellIs" dxfId="5618" priority="9050" stopIfTrue="1" operator="equal">
      <formula>"Napkin Hs"</formula>
    </cfRule>
  </conditionalFormatting>
  <conditionalFormatting sqref="C105:C106">
    <cfRule type="cellIs" dxfId="5617" priority="9049" stopIfTrue="1" operator="equal">
      <formula>"Napkin Hs"</formula>
    </cfRule>
  </conditionalFormatting>
  <conditionalFormatting sqref="C105:C106">
    <cfRule type="cellIs" dxfId="5616" priority="9045" stopIfTrue="1" operator="equal">
      <formula>"Towel"</formula>
    </cfRule>
    <cfRule type="cellIs" dxfId="5615" priority="9046" stopIfTrue="1" operator="equal">
      <formula>"Napkin Hs"</formula>
    </cfRule>
  </conditionalFormatting>
  <conditionalFormatting sqref="C105:C106">
    <cfRule type="cellIs" dxfId="5614" priority="9047" stopIfTrue="1" operator="equal">
      <formula>"Towel"</formula>
    </cfRule>
    <cfRule type="cellIs" dxfId="5613" priority="9048" stopIfTrue="1" operator="equal">
      <formula>"Napkin Hs"</formula>
    </cfRule>
  </conditionalFormatting>
  <conditionalFormatting sqref="C105:C106">
    <cfRule type="cellIs" dxfId="5612" priority="9041" stopIfTrue="1" operator="equal">
      <formula>"Towel"</formula>
    </cfRule>
    <cfRule type="cellIs" dxfId="5611" priority="9042" stopIfTrue="1" operator="equal">
      <formula>"Napkin Hs"</formula>
    </cfRule>
  </conditionalFormatting>
  <conditionalFormatting sqref="C105:C106">
    <cfRule type="cellIs" dxfId="5610" priority="9043" stopIfTrue="1" operator="equal">
      <formula>"Towel"</formula>
    </cfRule>
    <cfRule type="cellIs" dxfId="5609" priority="9044" stopIfTrue="1" operator="equal">
      <formula>"Napkin Hs"</formula>
    </cfRule>
  </conditionalFormatting>
  <conditionalFormatting sqref="C113">
    <cfRule type="cellIs" dxfId="5608" priority="8899" stopIfTrue="1" operator="equal">
      <formula>"Towel"</formula>
    </cfRule>
    <cfRule type="cellIs" dxfId="5607" priority="8900" stopIfTrue="1" operator="equal">
      <formula>"Napkin Hs"</formula>
    </cfRule>
  </conditionalFormatting>
  <conditionalFormatting sqref="C113">
    <cfRule type="cellIs" dxfId="5606" priority="8897" stopIfTrue="1" operator="equal">
      <formula>"Towel"</formula>
    </cfRule>
    <cfRule type="cellIs" dxfId="5605" priority="8898" stopIfTrue="1" operator="equal">
      <formula>"Napkin Hs"</formula>
    </cfRule>
  </conditionalFormatting>
  <conditionalFormatting sqref="B113:C113">
    <cfRule type="cellIs" dxfId="5604" priority="8895" stopIfTrue="1" operator="equal">
      <formula>"Towel"</formula>
    </cfRule>
    <cfRule type="cellIs" dxfId="5603" priority="8896" stopIfTrue="1" operator="equal">
      <formula>"Napkin Hs"</formula>
    </cfRule>
  </conditionalFormatting>
  <conditionalFormatting sqref="B113:C113">
    <cfRule type="cellIs" dxfId="5602" priority="8905" stopIfTrue="1" operator="equal">
      <formula>"Towel"</formula>
    </cfRule>
    <cfRule type="cellIs" dxfId="5601" priority="8906" stopIfTrue="1" operator="equal">
      <formula>"Napkin Hs"</formula>
    </cfRule>
  </conditionalFormatting>
  <conditionalFormatting sqref="C113">
    <cfRule type="cellIs" dxfId="5600" priority="8903" stopIfTrue="1" operator="equal">
      <formula>"Towel"</formula>
    </cfRule>
    <cfRule type="cellIs" dxfId="5599" priority="8904" stopIfTrue="1" operator="equal">
      <formula>"Napkin Hs"</formula>
    </cfRule>
  </conditionalFormatting>
  <conditionalFormatting sqref="C113">
    <cfRule type="cellIs" dxfId="5598" priority="8901" stopIfTrue="1" operator="equal">
      <formula>"Towel"</formula>
    </cfRule>
    <cfRule type="cellIs" dxfId="5597" priority="8902" stopIfTrue="1" operator="equal">
      <formula>"Napkin Hs"</formula>
    </cfRule>
  </conditionalFormatting>
  <conditionalFormatting sqref="C113">
    <cfRule type="cellIs" dxfId="5596" priority="8893" stopIfTrue="1" operator="equal">
      <formula>"Towel"</formula>
    </cfRule>
    <cfRule type="cellIs" dxfId="5595" priority="8894" stopIfTrue="1" operator="equal">
      <formula>"Napkin Hs"</formula>
    </cfRule>
  </conditionalFormatting>
  <conditionalFormatting sqref="C113">
    <cfRule type="cellIs" dxfId="5594" priority="8891" stopIfTrue="1" operator="equal">
      <formula>"Towel"</formula>
    </cfRule>
    <cfRule type="cellIs" dxfId="5593" priority="8892" stopIfTrue="1" operator="equal">
      <formula>"Napkin Hs"</formula>
    </cfRule>
  </conditionalFormatting>
  <conditionalFormatting sqref="B113:C113">
    <cfRule type="cellIs" dxfId="5592" priority="8889" stopIfTrue="1" operator="equal">
      <formula>"Towel"</formula>
    </cfRule>
    <cfRule type="cellIs" dxfId="5591" priority="8890" stopIfTrue="1" operator="equal">
      <formula>"Napkin Hs"</formula>
    </cfRule>
  </conditionalFormatting>
  <conditionalFormatting sqref="B113:C113">
    <cfRule type="cellIs" dxfId="5590" priority="8885" stopIfTrue="1" operator="equal">
      <formula>"Towel"</formula>
    </cfRule>
    <cfRule type="cellIs" dxfId="5589" priority="8886" stopIfTrue="1" operator="equal">
      <formula>"Napkin Hs"</formula>
    </cfRule>
  </conditionalFormatting>
  <conditionalFormatting sqref="C113">
    <cfRule type="cellIs" dxfId="5588" priority="8887" stopIfTrue="1" operator="equal">
      <formula>"Towel"</formula>
    </cfRule>
    <cfRule type="cellIs" dxfId="5587" priority="8888" stopIfTrue="1" operator="equal">
      <formula>"Napkin Hs"</formula>
    </cfRule>
  </conditionalFormatting>
  <conditionalFormatting sqref="C113">
    <cfRule type="cellIs" dxfId="5586" priority="8883" stopIfTrue="1" operator="equal">
      <formula>"Towel"</formula>
    </cfRule>
    <cfRule type="cellIs" dxfId="5585" priority="8884" stopIfTrue="1" operator="equal">
      <formula>"Napkin Hs"</formula>
    </cfRule>
  </conditionalFormatting>
  <conditionalFormatting sqref="C112">
    <cfRule type="cellIs" dxfId="5584" priority="8875" stopIfTrue="1" operator="equal">
      <formula>"Towel"</formula>
    </cfRule>
    <cfRule type="cellIs" dxfId="5583" priority="8876" stopIfTrue="1" operator="equal">
      <formula>"Napkin Hs"</formula>
    </cfRule>
  </conditionalFormatting>
  <conditionalFormatting sqref="B112:C112">
    <cfRule type="cellIs" dxfId="5582" priority="8877" stopIfTrue="1" operator="equal">
      <formula>"Towel"</formula>
    </cfRule>
    <cfRule type="cellIs" dxfId="5581" priority="8878" stopIfTrue="1" operator="equal">
      <formula>"Napkin Hs"</formula>
    </cfRule>
  </conditionalFormatting>
  <conditionalFormatting sqref="C112">
    <cfRule type="cellIs" dxfId="5580" priority="8873" stopIfTrue="1" operator="equal">
      <formula>"Towel"</formula>
    </cfRule>
    <cfRule type="cellIs" dxfId="5579" priority="8874" stopIfTrue="1" operator="equal">
      <formula>"Napkin Hs"</formula>
    </cfRule>
  </conditionalFormatting>
  <conditionalFormatting sqref="B112:C112">
    <cfRule type="cellIs" dxfId="5578" priority="8871" stopIfTrue="1" operator="equal">
      <formula>"Towel"</formula>
    </cfRule>
    <cfRule type="cellIs" dxfId="5577" priority="8872" stopIfTrue="1" operator="equal">
      <formula>"Napkin Hs"</formula>
    </cfRule>
  </conditionalFormatting>
  <conditionalFormatting sqref="C112">
    <cfRule type="cellIs" dxfId="5576" priority="8879" stopIfTrue="1" operator="equal">
      <formula>"Towel"</formula>
    </cfRule>
    <cfRule type="cellIs" dxfId="5575" priority="8880" stopIfTrue="1" operator="equal">
      <formula>"Napkin Hs"</formula>
    </cfRule>
  </conditionalFormatting>
  <conditionalFormatting sqref="C112">
    <cfRule type="cellIs" dxfId="5574" priority="8881" stopIfTrue="1" operator="equal">
      <formula>"Towel"</formula>
    </cfRule>
    <cfRule type="cellIs" dxfId="5573" priority="8882" stopIfTrue="1" operator="equal">
      <formula>"Napkin Hs"</formula>
    </cfRule>
  </conditionalFormatting>
  <conditionalFormatting sqref="C112">
    <cfRule type="cellIs" dxfId="5572" priority="8867" stopIfTrue="1" operator="equal">
      <formula>"Towel"</formula>
    </cfRule>
    <cfRule type="cellIs" dxfId="5571" priority="8868" stopIfTrue="1" operator="equal">
      <formula>"Napkin Hs"</formula>
    </cfRule>
  </conditionalFormatting>
  <conditionalFormatting sqref="C112">
    <cfRule type="cellIs" dxfId="5570" priority="8869" stopIfTrue="1" operator="equal">
      <formula>"Towel"</formula>
    </cfRule>
    <cfRule type="cellIs" dxfId="5569" priority="8870" stopIfTrue="1" operator="equal">
      <formula>"Napkin Hs"</formula>
    </cfRule>
  </conditionalFormatting>
  <conditionalFormatting sqref="C112">
    <cfRule type="cellIs" dxfId="5568" priority="8865" stopIfTrue="1" operator="equal">
      <formula>"Towel"</formula>
    </cfRule>
    <cfRule type="cellIs" dxfId="5567" priority="8866" stopIfTrue="1" operator="equal">
      <formula>"Napkin Hs"</formula>
    </cfRule>
  </conditionalFormatting>
  <conditionalFormatting sqref="B112">
    <cfRule type="cellIs" dxfId="5566" priority="8863" stopIfTrue="1" operator="equal">
      <formula>"Towel"</formula>
    </cfRule>
    <cfRule type="cellIs" dxfId="5565" priority="8864" stopIfTrue="1" operator="equal">
      <formula>"Napkin Hs"</formula>
    </cfRule>
  </conditionalFormatting>
  <conditionalFormatting sqref="C112">
    <cfRule type="cellIs" dxfId="5564" priority="8857" stopIfTrue="1" operator="equal">
      <formula>"Towel"</formula>
    </cfRule>
    <cfRule type="cellIs" dxfId="5563" priority="8858" stopIfTrue="1" operator="equal">
      <formula>"Napkin Hs"</formula>
    </cfRule>
  </conditionalFormatting>
  <conditionalFormatting sqref="C112">
    <cfRule type="cellIs" dxfId="5562" priority="8861" stopIfTrue="1" operator="equal">
      <formula>"Towel"</formula>
    </cfRule>
    <cfRule type="cellIs" dxfId="5561" priority="8862" stopIfTrue="1" operator="equal">
      <formula>"Napkin Hs"</formula>
    </cfRule>
  </conditionalFormatting>
  <conditionalFormatting sqref="C112">
    <cfRule type="cellIs" dxfId="5560" priority="8859" stopIfTrue="1" operator="equal">
      <formula>"Towel"</formula>
    </cfRule>
    <cfRule type="cellIs" dxfId="5559" priority="8860" stopIfTrue="1" operator="equal">
      <formula>"Napkin Hs"</formula>
    </cfRule>
  </conditionalFormatting>
  <conditionalFormatting sqref="C112">
    <cfRule type="cellIs" dxfId="5558" priority="8851" stopIfTrue="1" operator="equal">
      <formula>"Towel"</formula>
    </cfRule>
    <cfRule type="cellIs" dxfId="5557" priority="8852" stopIfTrue="1" operator="equal">
      <formula>"Napkin Hs"</formula>
    </cfRule>
  </conditionalFormatting>
  <conditionalFormatting sqref="C112">
    <cfRule type="cellIs" dxfId="5556" priority="8853" stopIfTrue="1" operator="equal">
      <formula>"Towel"</formula>
    </cfRule>
    <cfRule type="cellIs" dxfId="5555" priority="8854" stopIfTrue="1" operator="equal">
      <formula>"Napkin Hs"</formula>
    </cfRule>
  </conditionalFormatting>
  <conditionalFormatting sqref="C112">
    <cfRule type="cellIs" dxfId="5554" priority="8855" stopIfTrue="1" operator="equal">
      <formula>"Towel"</formula>
    </cfRule>
    <cfRule type="cellIs" dxfId="5553" priority="8856" stopIfTrue="1" operator="equal">
      <formula>"Napkin Hs"</formula>
    </cfRule>
  </conditionalFormatting>
  <conditionalFormatting sqref="B112:C112">
    <cfRule type="cellIs" dxfId="5552" priority="8849" stopIfTrue="1" operator="equal">
      <formula>"Towel"</formula>
    </cfRule>
    <cfRule type="cellIs" dxfId="5551" priority="8850" stopIfTrue="1" operator="equal">
      <formula>"Napkin Hs"</formula>
    </cfRule>
  </conditionalFormatting>
  <conditionalFormatting sqref="B112:C112">
    <cfRule type="cellIs" dxfId="5550" priority="8847" stopIfTrue="1" operator="equal">
      <formula>"Towel"</formula>
    </cfRule>
    <cfRule type="cellIs" dxfId="5549" priority="8848" stopIfTrue="1" operator="equal">
      <formula>"Napkin Hs"</formula>
    </cfRule>
  </conditionalFormatting>
  <conditionalFormatting sqref="B112:C112">
    <cfRule type="cellIs" dxfId="5548" priority="8823" stopIfTrue="1" operator="equal">
      <formula>"Towel"</formula>
    </cfRule>
  </conditionalFormatting>
  <conditionalFormatting sqref="B112:C112">
    <cfRule type="cellIs" dxfId="5547" priority="8824" stopIfTrue="1" operator="equal">
      <formula>"Napkin Hs"</formula>
    </cfRule>
    <cfRule type="cellIs" dxfId="5546" priority="8829" stopIfTrue="1" operator="equal">
      <formula>"Towel"</formula>
    </cfRule>
    <cfRule type="cellIs" dxfId="5545" priority="8830" stopIfTrue="1" operator="equal">
      <formula>"Napkin Hs"</formula>
    </cfRule>
    <cfRule type="cellIs" dxfId="5544" priority="8839" stopIfTrue="1" operator="equal">
      <formula>"Towel"</formula>
    </cfRule>
    <cfRule type="cellIs" dxfId="5543" priority="8840" stopIfTrue="1" operator="equal">
      <formula>"Napkin Hs"</formula>
    </cfRule>
    <cfRule type="cellIs" dxfId="5542" priority="8845" stopIfTrue="1" operator="equal">
      <formula>"Towel"</formula>
    </cfRule>
    <cfRule type="cellIs" dxfId="5541" priority="8846" stopIfTrue="1" operator="equal">
      <formula>"Napkin Hs"</formula>
    </cfRule>
  </conditionalFormatting>
  <conditionalFormatting sqref="C112">
    <cfRule type="cellIs" dxfId="5540" priority="8825" stopIfTrue="1" operator="equal">
      <formula>"Towel"</formula>
    </cfRule>
    <cfRule type="cellIs" dxfId="5539" priority="8826" stopIfTrue="1" operator="equal">
      <formula>"Napkin Hs"</formula>
    </cfRule>
    <cfRule type="cellIs" dxfId="5538" priority="8827" stopIfTrue="1" operator="equal">
      <formula>"Towel"</formula>
    </cfRule>
    <cfRule type="cellIs" dxfId="5537" priority="8828" stopIfTrue="1" operator="equal">
      <formula>"Napkin Hs"</formula>
    </cfRule>
    <cfRule type="cellIs" dxfId="5536" priority="8831" stopIfTrue="1" operator="equal">
      <formula>"Towel"</formula>
    </cfRule>
    <cfRule type="cellIs" dxfId="5535" priority="8832" stopIfTrue="1" operator="equal">
      <formula>"Napkin Hs"</formula>
    </cfRule>
    <cfRule type="cellIs" dxfId="5534" priority="8833" stopIfTrue="1" operator="equal">
      <formula>"Towel"</formula>
    </cfRule>
    <cfRule type="cellIs" dxfId="5533" priority="8834" stopIfTrue="1" operator="equal">
      <formula>"Napkin Hs"</formula>
    </cfRule>
    <cfRule type="cellIs" dxfId="5532" priority="8835" stopIfTrue="1" operator="equal">
      <formula>"Towel"</formula>
    </cfRule>
    <cfRule type="cellIs" dxfId="5531" priority="8836" stopIfTrue="1" operator="equal">
      <formula>"Napkin Hs"</formula>
    </cfRule>
    <cfRule type="cellIs" dxfId="5530" priority="8837" stopIfTrue="1" operator="equal">
      <formula>"Towel"</formula>
    </cfRule>
    <cfRule type="cellIs" dxfId="5529" priority="8838" stopIfTrue="1" operator="equal">
      <formula>"Napkin Hs"</formula>
    </cfRule>
    <cfRule type="cellIs" dxfId="5528" priority="8841" stopIfTrue="1" operator="equal">
      <formula>"Towel"</formula>
    </cfRule>
    <cfRule type="cellIs" dxfId="5527" priority="8842" stopIfTrue="1" operator="equal">
      <formula>"Napkin Hs"</formula>
    </cfRule>
    <cfRule type="cellIs" dxfId="5526" priority="8844" stopIfTrue="1" operator="equal">
      <formula>"Napkin Hs"</formula>
    </cfRule>
  </conditionalFormatting>
  <conditionalFormatting sqref="C112">
    <cfRule type="cellIs" dxfId="5525" priority="8843" stopIfTrue="1" operator="equal">
      <formula>"Towel"</formula>
    </cfRule>
  </conditionalFormatting>
  <conditionalFormatting sqref="B112:C112">
    <cfRule type="cellIs" dxfId="5524" priority="8821" stopIfTrue="1" operator="equal">
      <formula>"Towel"</formula>
    </cfRule>
    <cfRule type="cellIs" dxfId="5523" priority="8822" stopIfTrue="1" operator="equal">
      <formula>"Napkin Hs"</formula>
    </cfRule>
  </conditionalFormatting>
  <conditionalFormatting sqref="C112">
    <cfRule type="cellIs" dxfId="5522" priority="8820" stopIfTrue="1" operator="equal">
      <formula>"Napkin Hs"</formula>
    </cfRule>
  </conditionalFormatting>
  <conditionalFormatting sqref="C112">
    <cfRule type="cellIs" dxfId="5521" priority="8819" stopIfTrue="1" operator="equal">
      <formula>"Towel"</formula>
    </cfRule>
  </conditionalFormatting>
  <conditionalFormatting sqref="C112">
    <cfRule type="cellIs" dxfId="5520" priority="8817" stopIfTrue="1" operator="equal">
      <formula>"Towel"</formula>
    </cfRule>
  </conditionalFormatting>
  <conditionalFormatting sqref="C112">
    <cfRule type="cellIs" dxfId="5519" priority="8818" stopIfTrue="1" operator="equal">
      <formula>"Napkin Hs"</formula>
    </cfRule>
  </conditionalFormatting>
  <conditionalFormatting sqref="B112">
    <cfRule type="cellIs" dxfId="5518" priority="8721" stopIfTrue="1" operator="equal">
      <formula>"Napkin Hs"</formula>
    </cfRule>
  </conditionalFormatting>
  <conditionalFormatting sqref="B112:C112">
    <cfRule type="cellIs" dxfId="5517" priority="8720" stopIfTrue="1" operator="equal">
      <formula>"Towel"</formula>
    </cfRule>
  </conditionalFormatting>
  <conditionalFormatting sqref="B112:C112">
    <cfRule type="cellIs" dxfId="5516" priority="8731" stopIfTrue="1" operator="equal">
      <formula>"Towel"</formula>
    </cfRule>
    <cfRule type="cellIs" dxfId="5515" priority="8732" stopIfTrue="1" operator="equal">
      <formula>"Napkin Hs"</formula>
    </cfRule>
    <cfRule type="cellIs" dxfId="5514" priority="8737" stopIfTrue="1" operator="equal">
      <formula>"Towel"</formula>
    </cfRule>
    <cfRule type="cellIs" dxfId="5513" priority="8738" stopIfTrue="1" operator="equal">
      <formula>"Napkin Hs"</formula>
    </cfRule>
    <cfRule type="cellIs" dxfId="5512" priority="8743" stopIfTrue="1" operator="equal">
      <formula>"Towel"</formula>
    </cfRule>
    <cfRule type="cellIs" dxfId="5511" priority="8744" stopIfTrue="1" operator="equal">
      <formula>"Napkin Hs"</formula>
    </cfRule>
    <cfRule type="cellIs" dxfId="5510" priority="8745" stopIfTrue="1" operator="equal">
      <formula>"Towel"</formula>
    </cfRule>
    <cfRule type="cellIs" dxfId="5509" priority="8746" stopIfTrue="1" operator="equal">
      <formula>"Napkin Hs"</formula>
    </cfRule>
    <cfRule type="cellIs" dxfId="5508" priority="8751" stopIfTrue="1" operator="equal">
      <formula>"Towel"</formula>
    </cfRule>
    <cfRule type="cellIs" dxfId="5507" priority="8752" stopIfTrue="1" operator="equal">
      <formula>"Napkin Hs"</formula>
    </cfRule>
    <cfRule type="cellIs" dxfId="5506" priority="8761" stopIfTrue="1" operator="equal">
      <formula>"Towel"</formula>
    </cfRule>
    <cfRule type="cellIs" dxfId="5505" priority="8762" stopIfTrue="1" operator="equal">
      <formula>"Napkin Hs"</formula>
    </cfRule>
    <cfRule type="cellIs" dxfId="5504" priority="8767" stopIfTrue="1" operator="equal">
      <formula>"Towel"</formula>
    </cfRule>
    <cfRule type="cellIs" dxfId="5503" priority="8768" stopIfTrue="1" operator="equal">
      <formula>"Napkin Hs"</formula>
    </cfRule>
    <cfRule type="cellIs" dxfId="5502" priority="8769" stopIfTrue="1" operator="equal">
      <formula>"Towel"</formula>
    </cfRule>
    <cfRule type="cellIs" dxfId="5501" priority="8770" stopIfTrue="1" operator="equal">
      <formula>"Napkin Hs"</formula>
    </cfRule>
    <cfRule type="cellIs" dxfId="5500" priority="8775" stopIfTrue="1" operator="equal">
      <formula>"Towel"</formula>
    </cfRule>
    <cfRule type="cellIs" dxfId="5499" priority="8776" stopIfTrue="1" operator="equal">
      <formula>"Napkin Hs"</formula>
    </cfRule>
    <cfRule type="cellIs" dxfId="5498" priority="8785" stopIfTrue="1" operator="equal">
      <formula>"Towel"</formula>
    </cfRule>
    <cfRule type="cellIs" dxfId="5497" priority="8786" stopIfTrue="1" operator="equal">
      <formula>"Napkin Hs"</formula>
    </cfRule>
    <cfRule type="cellIs" dxfId="5496" priority="8787" stopIfTrue="1" operator="equal">
      <formula>"Towel"</formula>
    </cfRule>
    <cfRule type="cellIs" dxfId="5495" priority="8788" stopIfTrue="1" operator="equal">
      <formula>"Napkin Hs"</formula>
    </cfRule>
    <cfRule type="cellIs" dxfId="5494" priority="8793" stopIfTrue="1" operator="equal">
      <formula>"Towel"</formula>
    </cfRule>
    <cfRule type="cellIs" dxfId="5493" priority="8794" stopIfTrue="1" operator="equal">
      <formula>"Napkin Hs"</formula>
    </cfRule>
    <cfRule type="cellIs" dxfId="5492" priority="8803" stopIfTrue="1" operator="equal">
      <formula>"Towel"</formula>
    </cfRule>
    <cfRule type="cellIs" dxfId="5491" priority="8804" stopIfTrue="1" operator="equal">
      <formula>"Napkin Hs"</formula>
    </cfRule>
    <cfRule type="cellIs" dxfId="5490" priority="8805" stopIfTrue="1" operator="equal">
      <formula>"Towel"</formula>
    </cfRule>
    <cfRule type="cellIs" dxfId="5489" priority="8806" stopIfTrue="1" operator="equal">
      <formula>"Napkin Hs"</formula>
    </cfRule>
    <cfRule type="cellIs" dxfId="5488" priority="8812" stopIfTrue="1" operator="equal">
      <formula>"Napkin Hs"</formula>
    </cfRule>
  </conditionalFormatting>
  <conditionalFormatting sqref="B112:C112">
    <cfRule type="cellIs" dxfId="5487" priority="8811" stopIfTrue="1" operator="equal">
      <formula>"Towel"</formula>
    </cfRule>
  </conditionalFormatting>
  <conditionalFormatting sqref="C112">
    <cfRule type="cellIs" dxfId="5486" priority="8722" stopIfTrue="1" operator="equal">
      <formula>"Napkin Hs"</formula>
    </cfRule>
    <cfRule type="cellIs" dxfId="5485" priority="8723" stopIfTrue="1" operator="equal">
      <formula>"Towel"</formula>
    </cfRule>
    <cfRule type="cellIs" dxfId="5484" priority="8724" stopIfTrue="1" operator="equal">
      <formula>"Napkin Hs"</formula>
    </cfRule>
    <cfRule type="cellIs" dxfId="5483" priority="8725" stopIfTrue="1" operator="equal">
      <formula>"Towel"</formula>
    </cfRule>
    <cfRule type="cellIs" dxfId="5482" priority="8726" stopIfTrue="1" operator="equal">
      <formula>"Napkin Hs"</formula>
    </cfRule>
    <cfRule type="cellIs" dxfId="5481" priority="8727" stopIfTrue="1" operator="equal">
      <formula>"Towel"</formula>
    </cfRule>
    <cfRule type="cellIs" dxfId="5480" priority="8728" stopIfTrue="1" operator="equal">
      <formula>"Napkin Hs"</formula>
    </cfRule>
    <cfRule type="cellIs" dxfId="5479" priority="8729" stopIfTrue="1" operator="equal">
      <formula>"Towel"</formula>
    </cfRule>
    <cfRule type="cellIs" dxfId="5478" priority="8730" stopIfTrue="1" operator="equal">
      <formula>"Napkin Hs"</formula>
    </cfRule>
    <cfRule type="cellIs" dxfId="5477" priority="8733" stopIfTrue="1" operator="equal">
      <formula>"Towel"</formula>
    </cfRule>
    <cfRule type="cellIs" dxfId="5476" priority="8734" stopIfTrue="1" operator="equal">
      <formula>"Napkin Hs"</formula>
    </cfRule>
    <cfRule type="cellIs" dxfId="5475" priority="8735" stopIfTrue="1" operator="equal">
      <formula>"Towel"</formula>
    </cfRule>
    <cfRule type="cellIs" dxfId="5474" priority="8736" stopIfTrue="1" operator="equal">
      <formula>"Napkin Hs"</formula>
    </cfRule>
    <cfRule type="cellIs" dxfId="5473" priority="8739" stopIfTrue="1" operator="equal">
      <formula>"Towel"</formula>
    </cfRule>
    <cfRule type="cellIs" dxfId="5472" priority="8740" stopIfTrue="1" operator="equal">
      <formula>"Napkin Hs"</formula>
    </cfRule>
    <cfRule type="cellIs" dxfId="5471" priority="8741" stopIfTrue="1" operator="equal">
      <formula>"Towel"</formula>
    </cfRule>
    <cfRule type="cellIs" dxfId="5470" priority="8742" stopIfTrue="1" operator="equal">
      <formula>"Napkin Hs"</formula>
    </cfRule>
    <cfRule type="cellIs" dxfId="5469" priority="8747" stopIfTrue="1" operator="equal">
      <formula>"Towel"</formula>
    </cfRule>
    <cfRule type="cellIs" dxfId="5468" priority="8748" stopIfTrue="1" operator="equal">
      <formula>"Napkin Hs"</formula>
    </cfRule>
    <cfRule type="cellIs" dxfId="5467" priority="8749" stopIfTrue="1" operator="equal">
      <formula>"Towel"</formula>
    </cfRule>
    <cfRule type="cellIs" dxfId="5466" priority="8750" stopIfTrue="1" operator="equal">
      <formula>"Napkin Hs"</formula>
    </cfRule>
    <cfRule type="cellIs" dxfId="5465" priority="8753" stopIfTrue="1" operator="equal">
      <formula>"Towel"</formula>
    </cfRule>
    <cfRule type="cellIs" dxfId="5464" priority="8754" stopIfTrue="1" operator="equal">
      <formula>"Napkin Hs"</formula>
    </cfRule>
    <cfRule type="cellIs" dxfId="5463" priority="8755" stopIfTrue="1" operator="equal">
      <formula>"Towel"</formula>
    </cfRule>
    <cfRule type="cellIs" dxfId="5462" priority="8756" stopIfTrue="1" operator="equal">
      <formula>"Napkin Hs"</formula>
    </cfRule>
    <cfRule type="cellIs" dxfId="5461" priority="8757" stopIfTrue="1" operator="equal">
      <formula>"Towel"</formula>
    </cfRule>
    <cfRule type="cellIs" dxfId="5460" priority="8758" stopIfTrue="1" operator="equal">
      <formula>"Napkin Hs"</formula>
    </cfRule>
    <cfRule type="cellIs" dxfId="5459" priority="8759" stopIfTrue="1" operator="equal">
      <formula>"Towel"</formula>
    </cfRule>
    <cfRule type="cellIs" dxfId="5458" priority="8760" stopIfTrue="1" operator="equal">
      <formula>"Napkin Hs"</formula>
    </cfRule>
    <cfRule type="cellIs" dxfId="5457" priority="8763" stopIfTrue="1" operator="equal">
      <formula>"Towel"</formula>
    </cfRule>
    <cfRule type="cellIs" dxfId="5456" priority="8764" stopIfTrue="1" operator="equal">
      <formula>"Napkin Hs"</formula>
    </cfRule>
    <cfRule type="cellIs" dxfId="5455" priority="8765" stopIfTrue="1" operator="equal">
      <formula>"Towel"</formula>
    </cfRule>
    <cfRule type="cellIs" dxfId="5454" priority="8766" stopIfTrue="1" operator="equal">
      <formula>"Napkin Hs"</formula>
    </cfRule>
    <cfRule type="cellIs" dxfId="5453" priority="8771" stopIfTrue="1" operator="equal">
      <formula>"Towel"</formula>
    </cfRule>
    <cfRule type="cellIs" dxfId="5452" priority="8772" stopIfTrue="1" operator="equal">
      <formula>"Napkin Hs"</formula>
    </cfRule>
    <cfRule type="cellIs" dxfId="5451" priority="8773" stopIfTrue="1" operator="equal">
      <formula>"Towel"</formula>
    </cfRule>
    <cfRule type="cellIs" dxfId="5450" priority="8774" stopIfTrue="1" operator="equal">
      <formula>"Napkin Hs"</formula>
    </cfRule>
    <cfRule type="cellIs" dxfId="5449" priority="8777" stopIfTrue="1" operator="equal">
      <formula>"Towel"</formula>
    </cfRule>
    <cfRule type="cellIs" dxfId="5448" priority="8778" stopIfTrue="1" operator="equal">
      <formula>"Napkin Hs"</formula>
    </cfRule>
    <cfRule type="cellIs" dxfId="5447" priority="8779" stopIfTrue="1" operator="equal">
      <formula>"Towel"</formula>
    </cfRule>
    <cfRule type="cellIs" dxfId="5446" priority="8780" stopIfTrue="1" operator="equal">
      <formula>"Napkin Hs"</formula>
    </cfRule>
    <cfRule type="cellIs" dxfId="5445" priority="8781" stopIfTrue="1" operator="equal">
      <formula>"Towel"</formula>
    </cfRule>
    <cfRule type="cellIs" dxfId="5444" priority="8782" stopIfTrue="1" operator="equal">
      <formula>"Napkin Hs"</formula>
    </cfRule>
    <cfRule type="cellIs" dxfId="5443" priority="8783" stopIfTrue="1" operator="equal">
      <formula>"Towel"</formula>
    </cfRule>
    <cfRule type="cellIs" dxfId="5442" priority="8784" stopIfTrue="1" operator="equal">
      <formula>"Napkin Hs"</formula>
    </cfRule>
    <cfRule type="cellIs" dxfId="5441" priority="8789" stopIfTrue="1" operator="equal">
      <formula>"Towel"</formula>
    </cfRule>
    <cfRule type="cellIs" dxfId="5440" priority="8790" stopIfTrue="1" operator="equal">
      <formula>"Napkin Hs"</formula>
    </cfRule>
    <cfRule type="cellIs" dxfId="5439" priority="8791" stopIfTrue="1" operator="equal">
      <formula>"Towel"</formula>
    </cfRule>
    <cfRule type="cellIs" dxfId="5438" priority="8792" stopIfTrue="1" operator="equal">
      <formula>"Napkin Hs"</formula>
    </cfRule>
    <cfRule type="cellIs" dxfId="5437" priority="8795" stopIfTrue="1" operator="equal">
      <formula>"Towel"</formula>
    </cfRule>
    <cfRule type="cellIs" dxfId="5436" priority="8796" stopIfTrue="1" operator="equal">
      <formula>"Napkin Hs"</formula>
    </cfRule>
    <cfRule type="cellIs" dxfId="5435" priority="8797" stopIfTrue="1" operator="equal">
      <formula>"Towel"</formula>
    </cfRule>
    <cfRule type="cellIs" dxfId="5434" priority="8798" stopIfTrue="1" operator="equal">
      <formula>"Napkin Hs"</formula>
    </cfRule>
    <cfRule type="cellIs" dxfId="5433" priority="8799" stopIfTrue="1" operator="equal">
      <formula>"Towel"</formula>
    </cfRule>
    <cfRule type="cellIs" dxfId="5432" priority="8800" stopIfTrue="1" operator="equal">
      <formula>"Napkin Hs"</formula>
    </cfRule>
    <cfRule type="cellIs" dxfId="5431" priority="8801" stopIfTrue="1" operator="equal">
      <formula>"Towel"</formula>
    </cfRule>
    <cfRule type="cellIs" dxfId="5430" priority="8802" stopIfTrue="1" operator="equal">
      <formula>"Napkin Hs"</formula>
    </cfRule>
    <cfRule type="cellIs" dxfId="5429" priority="8807" stopIfTrue="1" operator="equal">
      <formula>"Towel"</formula>
    </cfRule>
    <cfRule type="cellIs" dxfId="5428" priority="8808" stopIfTrue="1" operator="equal">
      <formula>"Napkin Hs"</formula>
    </cfRule>
    <cfRule type="cellIs" dxfId="5427" priority="8809" stopIfTrue="1" operator="equal">
      <formula>"Towel"</formula>
    </cfRule>
    <cfRule type="cellIs" dxfId="5426" priority="8810" stopIfTrue="1" operator="equal">
      <formula>"Napkin Hs"</formula>
    </cfRule>
    <cfRule type="cellIs" dxfId="5425" priority="8813" stopIfTrue="1" operator="equal">
      <formula>"Towel"</formula>
    </cfRule>
    <cfRule type="cellIs" dxfId="5424" priority="8814" stopIfTrue="1" operator="equal">
      <formula>"Napkin Hs"</formula>
    </cfRule>
    <cfRule type="cellIs" dxfId="5423" priority="8815" stopIfTrue="1" operator="equal">
      <formula>"Towel"</formula>
    </cfRule>
    <cfRule type="cellIs" dxfId="5422" priority="8816" stopIfTrue="1" operator="equal">
      <formula>"Napkin Hs"</formula>
    </cfRule>
  </conditionalFormatting>
  <conditionalFormatting sqref="C112">
    <cfRule type="cellIs" dxfId="5421" priority="8719" stopIfTrue="1" operator="equal">
      <formula>"Napkin Hs"</formula>
    </cfRule>
  </conditionalFormatting>
  <conditionalFormatting sqref="C112">
    <cfRule type="cellIs" dxfId="5420" priority="8718" stopIfTrue="1" operator="equal">
      <formula>"Napkin Hs"</formula>
    </cfRule>
  </conditionalFormatting>
  <conditionalFormatting sqref="B112">
    <cfRule type="cellIs" dxfId="5419" priority="8717" stopIfTrue="1" operator="equal">
      <formula>"Napkin Hs"</formula>
    </cfRule>
  </conditionalFormatting>
  <conditionalFormatting sqref="C112">
    <cfRule type="cellIs" dxfId="5418" priority="8716" stopIfTrue="1" operator="equal">
      <formula>"Napkin Hs"</formula>
    </cfRule>
  </conditionalFormatting>
  <conditionalFormatting sqref="C112">
    <cfRule type="cellIs" dxfId="5417" priority="8715" stopIfTrue="1" operator="equal">
      <formula>"Napkin Hs"</formula>
    </cfRule>
  </conditionalFormatting>
  <conditionalFormatting sqref="C112">
    <cfRule type="cellIs" dxfId="5416" priority="8714" stopIfTrue="1" operator="equal">
      <formula>"Napkin Hs"</formula>
    </cfRule>
  </conditionalFormatting>
  <conditionalFormatting sqref="C112">
    <cfRule type="cellIs" dxfId="5415" priority="8713" stopIfTrue="1" operator="equal">
      <formula>"Napkin Hs"</formula>
    </cfRule>
  </conditionalFormatting>
  <conditionalFormatting sqref="B112">
    <cfRule type="cellIs" dxfId="5414" priority="8712" stopIfTrue="1" operator="equal">
      <formula>"Napkin Hs"</formula>
    </cfRule>
  </conditionalFormatting>
  <conditionalFormatting sqref="B112">
    <cfRule type="cellIs" dxfId="5413" priority="8711" stopIfTrue="1" operator="equal">
      <formula>"Napkin Hs"</formula>
    </cfRule>
  </conditionalFormatting>
  <conditionalFormatting sqref="C112">
    <cfRule type="cellIs" dxfId="5412" priority="8707" stopIfTrue="1" operator="equal">
      <formula>"Towel"</formula>
    </cfRule>
    <cfRule type="cellIs" dxfId="5411" priority="8708" stopIfTrue="1" operator="equal">
      <formula>"Napkin Hs"</formula>
    </cfRule>
  </conditionalFormatting>
  <conditionalFormatting sqref="C112">
    <cfRule type="cellIs" dxfId="5410" priority="8709" stopIfTrue="1" operator="equal">
      <formula>"Towel"</formula>
    </cfRule>
    <cfRule type="cellIs" dxfId="5409" priority="8710" stopIfTrue="1" operator="equal">
      <formula>"Napkin Hs"</formula>
    </cfRule>
  </conditionalFormatting>
  <conditionalFormatting sqref="C112">
    <cfRule type="cellIs" dxfId="5408" priority="8703" stopIfTrue="1" operator="equal">
      <formula>"Towel"</formula>
    </cfRule>
    <cfRule type="cellIs" dxfId="5407" priority="8704" stopIfTrue="1" operator="equal">
      <formula>"Napkin Hs"</formula>
    </cfRule>
  </conditionalFormatting>
  <conditionalFormatting sqref="C112">
    <cfRule type="cellIs" dxfId="5406" priority="8705" stopIfTrue="1" operator="equal">
      <formula>"Towel"</formula>
    </cfRule>
    <cfRule type="cellIs" dxfId="5405" priority="8706" stopIfTrue="1" operator="equal">
      <formula>"Napkin Hs"</formula>
    </cfRule>
  </conditionalFormatting>
  <conditionalFormatting sqref="B111">
    <cfRule type="cellIs" dxfId="5404" priority="8702" stopIfTrue="1" operator="equal">
      <formula>"Napkin Hs"</formula>
    </cfRule>
  </conditionalFormatting>
  <conditionalFormatting sqref="B111">
    <cfRule type="cellIs" dxfId="5403" priority="8701" stopIfTrue="1" operator="equal">
      <formula>"Napkin Hs"</formula>
    </cfRule>
  </conditionalFormatting>
  <conditionalFormatting sqref="B111">
    <cfRule type="cellIs" dxfId="5402" priority="8700" stopIfTrue="1" operator="equal">
      <formula>"Napkin Hs"</formula>
    </cfRule>
  </conditionalFormatting>
  <conditionalFormatting sqref="C111">
    <cfRule type="cellIs" dxfId="5401" priority="8698" stopIfTrue="1" operator="equal">
      <formula>"Towel"</formula>
    </cfRule>
    <cfRule type="cellIs" dxfId="5400" priority="8699" stopIfTrue="1" operator="equal">
      <formula>"Napkin Hs"</formula>
    </cfRule>
  </conditionalFormatting>
  <conditionalFormatting sqref="C111">
    <cfRule type="cellIs" dxfId="5399" priority="8694" stopIfTrue="1" operator="equal">
      <formula>"Towel"</formula>
    </cfRule>
    <cfRule type="cellIs" dxfId="5398" priority="8695" stopIfTrue="1" operator="equal">
      <formula>"Napkin Hs"</formula>
    </cfRule>
  </conditionalFormatting>
  <conditionalFormatting sqref="C111">
    <cfRule type="cellIs" dxfId="5397" priority="8696" stopIfTrue="1" operator="equal">
      <formula>"Towel"</formula>
    </cfRule>
    <cfRule type="cellIs" dxfId="5396" priority="8697" stopIfTrue="1" operator="equal">
      <formula>"Napkin Hs"</formula>
    </cfRule>
  </conditionalFormatting>
  <conditionalFormatting sqref="C111">
    <cfRule type="cellIs" dxfId="5395" priority="8690" stopIfTrue="1" operator="equal">
      <formula>"Towel"</formula>
    </cfRule>
    <cfRule type="cellIs" dxfId="5394" priority="8691" stopIfTrue="1" operator="equal">
      <formula>"Napkin Hs"</formula>
    </cfRule>
  </conditionalFormatting>
  <conditionalFormatting sqref="C111">
    <cfRule type="cellIs" dxfId="5393" priority="8692" stopIfTrue="1" operator="equal">
      <formula>"Towel"</formula>
    </cfRule>
    <cfRule type="cellIs" dxfId="5392" priority="8693" stopIfTrue="1" operator="equal">
      <formula>"Napkin Hs"</formula>
    </cfRule>
  </conditionalFormatting>
  <conditionalFormatting sqref="C111">
    <cfRule type="cellIs" dxfId="5391" priority="8688" stopIfTrue="1" operator="equal">
      <formula>"Towel"</formula>
    </cfRule>
    <cfRule type="cellIs" dxfId="5390" priority="8689" stopIfTrue="1" operator="equal">
      <formula>"Napkin Hs"</formula>
    </cfRule>
  </conditionalFormatting>
  <conditionalFormatting sqref="C111">
    <cfRule type="cellIs" dxfId="5389" priority="8682" stopIfTrue="1" operator="equal">
      <formula>"Towel"</formula>
    </cfRule>
    <cfRule type="cellIs" dxfId="5388" priority="8683" stopIfTrue="1" operator="equal">
      <formula>"Napkin Hs"</formula>
    </cfRule>
  </conditionalFormatting>
  <conditionalFormatting sqref="C111">
    <cfRule type="cellIs" dxfId="5387" priority="8686" stopIfTrue="1" operator="equal">
      <formula>"Towel"</formula>
    </cfRule>
    <cfRule type="cellIs" dxfId="5386" priority="8687" stopIfTrue="1" operator="equal">
      <formula>"Napkin Hs"</formula>
    </cfRule>
  </conditionalFormatting>
  <conditionalFormatting sqref="C111">
    <cfRule type="cellIs" dxfId="5385" priority="8684" stopIfTrue="1" operator="equal">
      <formula>"Towel"</formula>
    </cfRule>
    <cfRule type="cellIs" dxfId="5384" priority="8685" stopIfTrue="1" operator="equal">
      <formula>"Napkin Hs"</formula>
    </cfRule>
  </conditionalFormatting>
  <conditionalFormatting sqref="C111">
    <cfRule type="cellIs" dxfId="5383" priority="8676" stopIfTrue="1" operator="equal">
      <formula>"Towel"</formula>
    </cfRule>
    <cfRule type="cellIs" dxfId="5382" priority="8677" stopIfTrue="1" operator="equal">
      <formula>"Napkin Hs"</formula>
    </cfRule>
  </conditionalFormatting>
  <conditionalFormatting sqref="C111">
    <cfRule type="cellIs" dxfId="5381" priority="8678" stopIfTrue="1" operator="equal">
      <formula>"Towel"</formula>
    </cfRule>
    <cfRule type="cellIs" dxfId="5380" priority="8679" stopIfTrue="1" operator="equal">
      <formula>"Napkin Hs"</formula>
    </cfRule>
  </conditionalFormatting>
  <conditionalFormatting sqref="C111">
    <cfRule type="cellIs" dxfId="5379" priority="8680" stopIfTrue="1" operator="equal">
      <formula>"Towel"</formula>
    </cfRule>
    <cfRule type="cellIs" dxfId="5378" priority="8681" stopIfTrue="1" operator="equal">
      <formula>"Napkin Hs"</formula>
    </cfRule>
  </conditionalFormatting>
  <conditionalFormatting sqref="C111">
    <cfRule type="cellIs" dxfId="5377" priority="8674" stopIfTrue="1" operator="equal">
      <formula>"Towel"</formula>
    </cfRule>
    <cfRule type="cellIs" dxfId="5376" priority="8675" stopIfTrue="1" operator="equal">
      <formula>"Napkin Hs"</formula>
    </cfRule>
  </conditionalFormatting>
  <conditionalFormatting sqref="C111">
    <cfRule type="cellIs" dxfId="5375" priority="8672" stopIfTrue="1" operator="equal">
      <formula>"Towel"</formula>
    </cfRule>
    <cfRule type="cellIs" dxfId="5374" priority="8673" stopIfTrue="1" operator="equal">
      <formula>"Napkin Hs"</formula>
    </cfRule>
  </conditionalFormatting>
  <conditionalFormatting sqref="C111">
    <cfRule type="cellIs" dxfId="5373" priority="8648" stopIfTrue="1" operator="equal">
      <formula>"Towel"</formula>
    </cfRule>
  </conditionalFormatting>
  <conditionalFormatting sqref="C111">
    <cfRule type="cellIs" dxfId="5372" priority="8649" stopIfTrue="1" operator="equal">
      <formula>"Napkin Hs"</formula>
    </cfRule>
    <cfRule type="cellIs" dxfId="5371" priority="8654" stopIfTrue="1" operator="equal">
      <formula>"Towel"</formula>
    </cfRule>
    <cfRule type="cellIs" dxfId="5370" priority="8655" stopIfTrue="1" operator="equal">
      <formula>"Napkin Hs"</formula>
    </cfRule>
    <cfRule type="cellIs" dxfId="5369" priority="8664" stopIfTrue="1" operator="equal">
      <formula>"Towel"</formula>
    </cfRule>
    <cfRule type="cellIs" dxfId="5368" priority="8665" stopIfTrue="1" operator="equal">
      <formula>"Napkin Hs"</formula>
    </cfRule>
    <cfRule type="cellIs" dxfId="5367" priority="8670" stopIfTrue="1" operator="equal">
      <formula>"Towel"</formula>
    </cfRule>
    <cfRule type="cellIs" dxfId="5366" priority="8671" stopIfTrue="1" operator="equal">
      <formula>"Napkin Hs"</formula>
    </cfRule>
  </conditionalFormatting>
  <conditionalFormatting sqref="C111">
    <cfRule type="cellIs" dxfId="5365" priority="8650" stopIfTrue="1" operator="equal">
      <formula>"Towel"</formula>
    </cfRule>
    <cfRule type="cellIs" dxfId="5364" priority="8651" stopIfTrue="1" operator="equal">
      <formula>"Napkin Hs"</formula>
    </cfRule>
    <cfRule type="cellIs" dxfId="5363" priority="8652" stopIfTrue="1" operator="equal">
      <formula>"Towel"</formula>
    </cfRule>
    <cfRule type="cellIs" dxfId="5362" priority="8653" stopIfTrue="1" operator="equal">
      <formula>"Napkin Hs"</formula>
    </cfRule>
    <cfRule type="cellIs" dxfId="5361" priority="8656" stopIfTrue="1" operator="equal">
      <formula>"Towel"</formula>
    </cfRule>
    <cfRule type="cellIs" dxfId="5360" priority="8657" stopIfTrue="1" operator="equal">
      <formula>"Napkin Hs"</formula>
    </cfRule>
    <cfRule type="cellIs" dxfId="5359" priority="8658" stopIfTrue="1" operator="equal">
      <formula>"Towel"</formula>
    </cfRule>
    <cfRule type="cellIs" dxfId="5358" priority="8659" stopIfTrue="1" operator="equal">
      <formula>"Napkin Hs"</formula>
    </cfRule>
    <cfRule type="cellIs" dxfId="5357" priority="8660" stopIfTrue="1" operator="equal">
      <formula>"Towel"</formula>
    </cfRule>
    <cfRule type="cellIs" dxfId="5356" priority="8661" stopIfTrue="1" operator="equal">
      <formula>"Napkin Hs"</formula>
    </cfRule>
    <cfRule type="cellIs" dxfId="5355" priority="8662" stopIfTrue="1" operator="equal">
      <formula>"Towel"</formula>
    </cfRule>
    <cfRule type="cellIs" dxfId="5354" priority="8663" stopIfTrue="1" operator="equal">
      <formula>"Napkin Hs"</formula>
    </cfRule>
    <cfRule type="cellIs" dxfId="5353" priority="8666" stopIfTrue="1" operator="equal">
      <formula>"Towel"</formula>
    </cfRule>
    <cfRule type="cellIs" dxfId="5352" priority="8667" stopIfTrue="1" operator="equal">
      <formula>"Napkin Hs"</formula>
    </cfRule>
    <cfRule type="cellIs" dxfId="5351" priority="8669" stopIfTrue="1" operator="equal">
      <formula>"Napkin Hs"</formula>
    </cfRule>
  </conditionalFormatting>
  <conditionalFormatting sqref="C111">
    <cfRule type="cellIs" dxfId="5350" priority="8668" stopIfTrue="1" operator="equal">
      <formula>"Towel"</formula>
    </cfRule>
  </conditionalFormatting>
  <conditionalFormatting sqref="C111">
    <cfRule type="cellIs" dxfId="5349" priority="8646" stopIfTrue="1" operator="equal">
      <formula>"Towel"</formula>
    </cfRule>
    <cfRule type="cellIs" dxfId="5348" priority="8647" stopIfTrue="1" operator="equal">
      <formula>"Napkin Hs"</formula>
    </cfRule>
  </conditionalFormatting>
  <conditionalFormatting sqref="C111">
    <cfRule type="cellIs" dxfId="5347" priority="8645" stopIfTrue="1" operator="equal">
      <formula>"Napkin Hs"</formula>
    </cfRule>
  </conditionalFormatting>
  <conditionalFormatting sqref="C111">
    <cfRule type="cellIs" dxfId="5346" priority="8644" stopIfTrue="1" operator="equal">
      <formula>"Towel"</formula>
    </cfRule>
  </conditionalFormatting>
  <conditionalFormatting sqref="C111">
    <cfRule type="cellIs" dxfId="5345" priority="8642" stopIfTrue="1" operator="equal">
      <formula>"Towel"</formula>
    </cfRule>
  </conditionalFormatting>
  <conditionalFormatting sqref="C111">
    <cfRule type="cellIs" dxfId="5344" priority="8643" stopIfTrue="1" operator="equal">
      <formula>"Napkin Hs"</formula>
    </cfRule>
  </conditionalFormatting>
  <conditionalFormatting sqref="C111">
    <cfRule type="cellIs" dxfId="5343" priority="8546" stopIfTrue="1" operator="equal">
      <formula>"Towel"</formula>
    </cfRule>
  </conditionalFormatting>
  <conditionalFormatting sqref="C111">
    <cfRule type="cellIs" dxfId="5342" priority="8556" stopIfTrue="1" operator="equal">
      <formula>"Towel"</formula>
    </cfRule>
    <cfRule type="cellIs" dxfId="5341" priority="8557" stopIfTrue="1" operator="equal">
      <formula>"Napkin Hs"</formula>
    </cfRule>
    <cfRule type="cellIs" dxfId="5340" priority="8562" stopIfTrue="1" operator="equal">
      <formula>"Towel"</formula>
    </cfRule>
    <cfRule type="cellIs" dxfId="5339" priority="8563" stopIfTrue="1" operator="equal">
      <formula>"Napkin Hs"</formula>
    </cfRule>
    <cfRule type="cellIs" dxfId="5338" priority="8568" stopIfTrue="1" operator="equal">
      <formula>"Towel"</formula>
    </cfRule>
    <cfRule type="cellIs" dxfId="5337" priority="8569" stopIfTrue="1" operator="equal">
      <formula>"Napkin Hs"</formula>
    </cfRule>
    <cfRule type="cellIs" dxfId="5336" priority="8570" stopIfTrue="1" operator="equal">
      <formula>"Towel"</formula>
    </cfRule>
    <cfRule type="cellIs" dxfId="5335" priority="8571" stopIfTrue="1" operator="equal">
      <formula>"Napkin Hs"</formula>
    </cfRule>
    <cfRule type="cellIs" dxfId="5334" priority="8576" stopIfTrue="1" operator="equal">
      <formula>"Towel"</formula>
    </cfRule>
    <cfRule type="cellIs" dxfId="5333" priority="8577" stopIfTrue="1" operator="equal">
      <formula>"Napkin Hs"</formula>
    </cfRule>
    <cfRule type="cellIs" dxfId="5332" priority="8586" stopIfTrue="1" operator="equal">
      <formula>"Towel"</formula>
    </cfRule>
    <cfRule type="cellIs" dxfId="5331" priority="8587" stopIfTrue="1" operator="equal">
      <formula>"Napkin Hs"</formula>
    </cfRule>
    <cfRule type="cellIs" dxfId="5330" priority="8592" stopIfTrue="1" operator="equal">
      <formula>"Towel"</formula>
    </cfRule>
    <cfRule type="cellIs" dxfId="5329" priority="8593" stopIfTrue="1" operator="equal">
      <formula>"Napkin Hs"</formula>
    </cfRule>
    <cfRule type="cellIs" dxfId="5328" priority="8594" stopIfTrue="1" operator="equal">
      <formula>"Towel"</formula>
    </cfRule>
    <cfRule type="cellIs" dxfId="5327" priority="8595" stopIfTrue="1" operator="equal">
      <formula>"Napkin Hs"</formula>
    </cfRule>
    <cfRule type="cellIs" dxfId="5326" priority="8600" stopIfTrue="1" operator="equal">
      <formula>"Towel"</formula>
    </cfRule>
    <cfRule type="cellIs" dxfId="5325" priority="8601" stopIfTrue="1" operator="equal">
      <formula>"Napkin Hs"</formula>
    </cfRule>
    <cfRule type="cellIs" dxfId="5324" priority="8610" stopIfTrue="1" operator="equal">
      <formula>"Towel"</formula>
    </cfRule>
    <cfRule type="cellIs" dxfId="5323" priority="8611" stopIfTrue="1" operator="equal">
      <formula>"Napkin Hs"</formula>
    </cfRule>
    <cfRule type="cellIs" dxfId="5322" priority="8612" stopIfTrue="1" operator="equal">
      <formula>"Towel"</formula>
    </cfRule>
    <cfRule type="cellIs" dxfId="5321" priority="8613" stopIfTrue="1" operator="equal">
      <formula>"Napkin Hs"</formula>
    </cfRule>
    <cfRule type="cellIs" dxfId="5320" priority="8618" stopIfTrue="1" operator="equal">
      <formula>"Towel"</formula>
    </cfRule>
    <cfRule type="cellIs" dxfId="5319" priority="8619" stopIfTrue="1" operator="equal">
      <formula>"Napkin Hs"</formula>
    </cfRule>
    <cfRule type="cellIs" dxfId="5318" priority="8628" stopIfTrue="1" operator="equal">
      <formula>"Towel"</formula>
    </cfRule>
    <cfRule type="cellIs" dxfId="5317" priority="8629" stopIfTrue="1" operator="equal">
      <formula>"Napkin Hs"</formula>
    </cfRule>
    <cfRule type="cellIs" dxfId="5316" priority="8630" stopIfTrue="1" operator="equal">
      <formula>"Towel"</formula>
    </cfRule>
    <cfRule type="cellIs" dxfId="5315" priority="8631" stopIfTrue="1" operator="equal">
      <formula>"Napkin Hs"</formula>
    </cfRule>
    <cfRule type="cellIs" dxfId="5314" priority="8637" stopIfTrue="1" operator="equal">
      <formula>"Napkin Hs"</formula>
    </cfRule>
  </conditionalFormatting>
  <conditionalFormatting sqref="C111">
    <cfRule type="cellIs" dxfId="5313" priority="8636" stopIfTrue="1" operator="equal">
      <formula>"Towel"</formula>
    </cfRule>
  </conditionalFormatting>
  <conditionalFormatting sqref="C111">
    <cfRule type="cellIs" dxfId="5312" priority="8547" stopIfTrue="1" operator="equal">
      <formula>"Napkin Hs"</formula>
    </cfRule>
    <cfRule type="cellIs" dxfId="5311" priority="8548" stopIfTrue="1" operator="equal">
      <formula>"Towel"</formula>
    </cfRule>
    <cfRule type="cellIs" dxfId="5310" priority="8549" stopIfTrue="1" operator="equal">
      <formula>"Napkin Hs"</formula>
    </cfRule>
    <cfRule type="cellIs" dxfId="5309" priority="8550" stopIfTrue="1" operator="equal">
      <formula>"Towel"</formula>
    </cfRule>
    <cfRule type="cellIs" dxfId="5308" priority="8551" stopIfTrue="1" operator="equal">
      <formula>"Napkin Hs"</formula>
    </cfRule>
    <cfRule type="cellIs" dxfId="5307" priority="8552" stopIfTrue="1" operator="equal">
      <formula>"Towel"</formula>
    </cfRule>
    <cfRule type="cellIs" dxfId="5306" priority="8553" stopIfTrue="1" operator="equal">
      <formula>"Napkin Hs"</formula>
    </cfRule>
    <cfRule type="cellIs" dxfId="5305" priority="8554" stopIfTrue="1" operator="equal">
      <formula>"Towel"</formula>
    </cfRule>
    <cfRule type="cellIs" dxfId="5304" priority="8555" stopIfTrue="1" operator="equal">
      <formula>"Napkin Hs"</formula>
    </cfRule>
    <cfRule type="cellIs" dxfId="5303" priority="8558" stopIfTrue="1" operator="equal">
      <formula>"Towel"</formula>
    </cfRule>
    <cfRule type="cellIs" dxfId="5302" priority="8559" stopIfTrue="1" operator="equal">
      <formula>"Napkin Hs"</formula>
    </cfRule>
    <cfRule type="cellIs" dxfId="5301" priority="8560" stopIfTrue="1" operator="equal">
      <formula>"Towel"</formula>
    </cfRule>
    <cfRule type="cellIs" dxfId="5300" priority="8561" stopIfTrue="1" operator="equal">
      <formula>"Napkin Hs"</formula>
    </cfRule>
    <cfRule type="cellIs" dxfId="5299" priority="8564" stopIfTrue="1" operator="equal">
      <formula>"Towel"</formula>
    </cfRule>
    <cfRule type="cellIs" dxfId="5298" priority="8565" stopIfTrue="1" operator="equal">
      <formula>"Napkin Hs"</formula>
    </cfRule>
    <cfRule type="cellIs" dxfId="5297" priority="8566" stopIfTrue="1" operator="equal">
      <formula>"Towel"</formula>
    </cfRule>
    <cfRule type="cellIs" dxfId="5296" priority="8567" stopIfTrue="1" operator="equal">
      <formula>"Napkin Hs"</formula>
    </cfRule>
    <cfRule type="cellIs" dxfId="5295" priority="8572" stopIfTrue="1" operator="equal">
      <formula>"Towel"</formula>
    </cfRule>
    <cfRule type="cellIs" dxfId="5294" priority="8573" stopIfTrue="1" operator="equal">
      <formula>"Napkin Hs"</formula>
    </cfRule>
    <cfRule type="cellIs" dxfId="5293" priority="8574" stopIfTrue="1" operator="equal">
      <formula>"Towel"</formula>
    </cfRule>
    <cfRule type="cellIs" dxfId="5292" priority="8575" stopIfTrue="1" operator="equal">
      <formula>"Napkin Hs"</formula>
    </cfRule>
    <cfRule type="cellIs" dxfId="5291" priority="8578" stopIfTrue="1" operator="equal">
      <formula>"Towel"</formula>
    </cfRule>
    <cfRule type="cellIs" dxfId="5290" priority="8579" stopIfTrue="1" operator="equal">
      <formula>"Napkin Hs"</formula>
    </cfRule>
    <cfRule type="cellIs" dxfId="5289" priority="8580" stopIfTrue="1" operator="equal">
      <formula>"Towel"</formula>
    </cfRule>
    <cfRule type="cellIs" dxfId="5288" priority="8581" stopIfTrue="1" operator="equal">
      <formula>"Napkin Hs"</formula>
    </cfRule>
    <cfRule type="cellIs" dxfId="5287" priority="8582" stopIfTrue="1" operator="equal">
      <formula>"Towel"</formula>
    </cfRule>
    <cfRule type="cellIs" dxfId="5286" priority="8583" stopIfTrue="1" operator="equal">
      <formula>"Napkin Hs"</formula>
    </cfRule>
    <cfRule type="cellIs" dxfId="5285" priority="8584" stopIfTrue="1" operator="equal">
      <formula>"Towel"</formula>
    </cfRule>
    <cfRule type="cellIs" dxfId="5284" priority="8585" stopIfTrue="1" operator="equal">
      <formula>"Napkin Hs"</formula>
    </cfRule>
    <cfRule type="cellIs" dxfId="5283" priority="8588" stopIfTrue="1" operator="equal">
      <formula>"Towel"</formula>
    </cfRule>
    <cfRule type="cellIs" dxfId="5282" priority="8589" stopIfTrue="1" operator="equal">
      <formula>"Napkin Hs"</formula>
    </cfRule>
    <cfRule type="cellIs" dxfId="5281" priority="8590" stopIfTrue="1" operator="equal">
      <formula>"Towel"</formula>
    </cfRule>
    <cfRule type="cellIs" dxfId="5280" priority="8591" stopIfTrue="1" operator="equal">
      <formula>"Napkin Hs"</formula>
    </cfRule>
    <cfRule type="cellIs" dxfId="5279" priority="8596" stopIfTrue="1" operator="equal">
      <formula>"Towel"</formula>
    </cfRule>
    <cfRule type="cellIs" dxfId="5278" priority="8597" stopIfTrue="1" operator="equal">
      <formula>"Napkin Hs"</formula>
    </cfRule>
    <cfRule type="cellIs" dxfId="5277" priority="8598" stopIfTrue="1" operator="equal">
      <formula>"Towel"</formula>
    </cfRule>
    <cfRule type="cellIs" dxfId="5276" priority="8599" stopIfTrue="1" operator="equal">
      <formula>"Napkin Hs"</formula>
    </cfRule>
    <cfRule type="cellIs" dxfId="5275" priority="8602" stopIfTrue="1" operator="equal">
      <formula>"Towel"</formula>
    </cfRule>
    <cfRule type="cellIs" dxfId="5274" priority="8603" stopIfTrue="1" operator="equal">
      <formula>"Napkin Hs"</formula>
    </cfRule>
    <cfRule type="cellIs" dxfId="5273" priority="8604" stopIfTrue="1" operator="equal">
      <formula>"Towel"</formula>
    </cfRule>
    <cfRule type="cellIs" dxfId="5272" priority="8605" stopIfTrue="1" operator="equal">
      <formula>"Napkin Hs"</formula>
    </cfRule>
    <cfRule type="cellIs" dxfId="5271" priority="8606" stopIfTrue="1" operator="equal">
      <formula>"Towel"</formula>
    </cfRule>
    <cfRule type="cellIs" dxfId="5270" priority="8607" stopIfTrue="1" operator="equal">
      <formula>"Napkin Hs"</formula>
    </cfRule>
    <cfRule type="cellIs" dxfId="5269" priority="8608" stopIfTrue="1" operator="equal">
      <formula>"Towel"</formula>
    </cfRule>
    <cfRule type="cellIs" dxfId="5268" priority="8609" stopIfTrue="1" operator="equal">
      <formula>"Napkin Hs"</formula>
    </cfRule>
    <cfRule type="cellIs" dxfId="5267" priority="8614" stopIfTrue="1" operator="equal">
      <formula>"Towel"</formula>
    </cfRule>
    <cfRule type="cellIs" dxfId="5266" priority="8615" stopIfTrue="1" operator="equal">
      <formula>"Napkin Hs"</formula>
    </cfRule>
    <cfRule type="cellIs" dxfId="5265" priority="8616" stopIfTrue="1" operator="equal">
      <formula>"Towel"</formula>
    </cfRule>
    <cfRule type="cellIs" dxfId="5264" priority="8617" stopIfTrue="1" operator="equal">
      <formula>"Napkin Hs"</formula>
    </cfRule>
    <cfRule type="cellIs" dxfId="5263" priority="8620" stopIfTrue="1" operator="equal">
      <formula>"Towel"</formula>
    </cfRule>
    <cfRule type="cellIs" dxfId="5262" priority="8621" stopIfTrue="1" operator="equal">
      <formula>"Napkin Hs"</formula>
    </cfRule>
    <cfRule type="cellIs" dxfId="5261" priority="8622" stopIfTrue="1" operator="equal">
      <formula>"Towel"</formula>
    </cfRule>
    <cfRule type="cellIs" dxfId="5260" priority="8623" stopIfTrue="1" operator="equal">
      <formula>"Napkin Hs"</formula>
    </cfRule>
    <cfRule type="cellIs" dxfId="5259" priority="8624" stopIfTrue="1" operator="equal">
      <formula>"Towel"</formula>
    </cfRule>
    <cfRule type="cellIs" dxfId="5258" priority="8625" stopIfTrue="1" operator="equal">
      <formula>"Napkin Hs"</formula>
    </cfRule>
    <cfRule type="cellIs" dxfId="5257" priority="8626" stopIfTrue="1" operator="equal">
      <formula>"Towel"</formula>
    </cfRule>
    <cfRule type="cellIs" dxfId="5256" priority="8627" stopIfTrue="1" operator="equal">
      <formula>"Napkin Hs"</formula>
    </cfRule>
    <cfRule type="cellIs" dxfId="5255" priority="8632" stopIfTrue="1" operator="equal">
      <formula>"Towel"</formula>
    </cfRule>
    <cfRule type="cellIs" dxfId="5254" priority="8633" stopIfTrue="1" operator="equal">
      <formula>"Napkin Hs"</formula>
    </cfRule>
    <cfRule type="cellIs" dxfId="5253" priority="8634" stopIfTrue="1" operator="equal">
      <formula>"Towel"</formula>
    </cfRule>
    <cfRule type="cellIs" dxfId="5252" priority="8635" stopIfTrue="1" operator="equal">
      <formula>"Napkin Hs"</formula>
    </cfRule>
    <cfRule type="cellIs" dxfId="5251" priority="8638" stopIfTrue="1" operator="equal">
      <formula>"Towel"</formula>
    </cfRule>
    <cfRule type="cellIs" dxfId="5250" priority="8639" stopIfTrue="1" operator="equal">
      <formula>"Napkin Hs"</formula>
    </cfRule>
    <cfRule type="cellIs" dxfId="5249" priority="8640" stopIfTrue="1" operator="equal">
      <formula>"Towel"</formula>
    </cfRule>
    <cfRule type="cellIs" dxfId="5248" priority="8641" stopIfTrue="1" operator="equal">
      <formula>"Napkin Hs"</formula>
    </cfRule>
  </conditionalFormatting>
  <conditionalFormatting sqref="C111">
    <cfRule type="cellIs" dxfId="5247" priority="8545" stopIfTrue="1" operator="equal">
      <formula>"Napkin Hs"</formula>
    </cfRule>
  </conditionalFormatting>
  <conditionalFormatting sqref="C111">
    <cfRule type="cellIs" dxfId="5246" priority="8544" stopIfTrue="1" operator="equal">
      <formula>"Napkin Hs"</formula>
    </cfRule>
  </conditionalFormatting>
  <conditionalFormatting sqref="C111">
    <cfRule type="cellIs" dxfId="5245" priority="8543" stopIfTrue="1" operator="equal">
      <formula>"Napkin Hs"</formula>
    </cfRule>
  </conditionalFormatting>
  <conditionalFormatting sqref="C111">
    <cfRule type="cellIs" dxfId="5244" priority="8542" stopIfTrue="1" operator="equal">
      <formula>"Napkin Hs"</formula>
    </cfRule>
  </conditionalFormatting>
  <conditionalFormatting sqref="C111">
    <cfRule type="cellIs" dxfId="5243" priority="8541" stopIfTrue="1" operator="equal">
      <formula>"Napkin Hs"</formula>
    </cfRule>
  </conditionalFormatting>
  <conditionalFormatting sqref="C111">
    <cfRule type="cellIs" dxfId="5242" priority="8540" stopIfTrue="1" operator="equal">
      <formula>"Napkin Hs"</formula>
    </cfRule>
  </conditionalFormatting>
  <conditionalFormatting sqref="C111">
    <cfRule type="cellIs" dxfId="5241" priority="8536" stopIfTrue="1" operator="equal">
      <formula>"Towel"</formula>
    </cfRule>
    <cfRule type="cellIs" dxfId="5240" priority="8537" stopIfTrue="1" operator="equal">
      <formula>"Napkin Hs"</formula>
    </cfRule>
  </conditionalFormatting>
  <conditionalFormatting sqref="C111">
    <cfRule type="cellIs" dxfId="5239" priority="8538" stopIfTrue="1" operator="equal">
      <formula>"Towel"</formula>
    </cfRule>
    <cfRule type="cellIs" dxfId="5238" priority="8539" stopIfTrue="1" operator="equal">
      <formula>"Napkin Hs"</formula>
    </cfRule>
  </conditionalFormatting>
  <conditionalFormatting sqref="C111">
    <cfRule type="cellIs" dxfId="5237" priority="8532" stopIfTrue="1" operator="equal">
      <formula>"Towel"</formula>
    </cfRule>
    <cfRule type="cellIs" dxfId="5236" priority="8533" stopIfTrue="1" operator="equal">
      <formula>"Napkin Hs"</formula>
    </cfRule>
  </conditionalFormatting>
  <conditionalFormatting sqref="C111">
    <cfRule type="cellIs" dxfId="5235" priority="8534" stopIfTrue="1" operator="equal">
      <formula>"Towel"</formula>
    </cfRule>
    <cfRule type="cellIs" dxfId="5234" priority="8535" stopIfTrue="1" operator="equal">
      <formula>"Napkin Hs"</formula>
    </cfRule>
  </conditionalFormatting>
  <conditionalFormatting sqref="B110">
    <cfRule type="cellIs" dxfId="5233" priority="8531" stopIfTrue="1" operator="equal">
      <formula>"Napkin Hs"</formula>
    </cfRule>
  </conditionalFormatting>
  <conditionalFormatting sqref="B110">
    <cfRule type="cellIs" dxfId="5232" priority="8530" stopIfTrue="1" operator="equal">
      <formula>"Napkin Hs"</formula>
    </cfRule>
  </conditionalFormatting>
  <conditionalFormatting sqref="B110">
    <cfRule type="cellIs" dxfId="5231" priority="8529" stopIfTrue="1" operator="equal">
      <formula>"Napkin Hs"</formula>
    </cfRule>
  </conditionalFormatting>
  <conditionalFormatting sqref="C110">
    <cfRule type="cellIs" dxfId="5230" priority="8527" stopIfTrue="1" operator="equal">
      <formula>"Towel"</formula>
    </cfRule>
    <cfRule type="cellIs" dxfId="5229" priority="8528" stopIfTrue="1" operator="equal">
      <formula>"Napkin Hs"</formula>
    </cfRule>
  </conditionalFormatting>
  <conditionalFormatting sqref="C110">
    <cfRule type="cellIs" dxfId="5228" priority="8523" stopIfTrue="1" operator="equal">
      <formula>"Towel"</formula>
    </cfRule>
    <cfRule type="cellIs" dxfId="5227" priority="8524" stopIfTrue="1" operator="equal">
      <formula>"Napkin Hs"</formula>
    </cfRule>
  </conditionalFormatting>
  <conditionalFormatting sqref="C110">
    <cfRule type="cellIs" dxfId="5226" priority="8525" stopIfTrue="1" operator="equal">
      <formula>"Towel"</formula>
    </cfRule>
    <cfRule type="cellIs" dxfId="5225" priority="8526" stopIfTrue="1" operator="equal">
      <formula>"Napkin Hs"</formula>
    </cfRule>
  </conditionalFormatting>
  <conditionalFormatting sqref="C110">
    <cfRule type="cellIs" dxfId="5224" priority="8519" stopIfTrue="1" operator="equal">
      <formula>"Towel"</formula>
    </cfRule>
    <cfRule type="cellIs" dxfId="5223" priority="8520" stopIfTrue="1" operator="equal">
      <formula>"Napkin Hs"</formula>
    </cfRule>
  </conditionalFormatting>
  <conditionalFormatting sqref="C110">
    <cfRule type="cellIs" dxfId="5222" priority="8521" stopIfTrue="1" operator="equal">
      <formula>"Towel"</formula>
    </cfRule>
    <cfRule type="cellIs" dxfId="5221" priority="8522" stopIfTrue="1" operator="equal">
      <formula>"Napkin Hs"</formula>
    </cfRule>
  </conditionalFormatting>
  <conditionalFormatting sqref="C110">
    <cfRule type="cellIs" dxfId="5220" priority="8517" stopIfTrue="1" operator="equal">
      <formula>"Towel"</formula>
    </cfRule>
    <cfRule type="cellIs" dxfId="5219" priority="8518" stopIfTrue="1" operator="equal">
      <formula>"Napkin Hs"</formula>
    </cfRule>
  </conditionalFormatting>
  <conditionalFormatting sqref="C110">
    <cfRule type="cellIs" dxfId="5218" priority="8511" stopIfTrue="1" operator="equal">
      <formula>"Towel"</formula>
    </cfRule>
    <cfRule type="cellIs" dxfId="5217" priority="8512" stopIfTrue="1" operator="equal">
      <formula>"Napkin Hs"</formula>
    </cfRule>
  </conditionalFormatting>
  <conditionalFormatting sqref="C110">
    <cfRule type="cellIs" dxfId="5216" priority="8515" stopIfTrue="1" operator="equal">
      <formula>"Towel"</formula>
    </cfRule>
    <cfRule type="cellIs" dxfId="5215" priority="8516" stopIfTrue="1" operator="equal">
      <formula>"Napkin Hs"</formula>
    </cfRule>
  </conditionalFormatting>
  <conditionalFormatting sqref="C110">
    <cfRule type="cellIs" dxfId="5214" priority="8513" stopIfTrue="1" operator="equal">
      <formula>"Towel"</formula>
    </cfRule>
    <cfRule type="cellIs" dxfId="5213" priority="8514" stopIfTrue="1" operator="equal">
      <formula>"Napkin Hs"</formula>
    </cfRule>
  </conditionalFormatting>
  <conditionalFormatting sqref="C110">
    <cfRule type="cellIs" dxfId="5212" priority="8505" stopIfTrue="1" operator="equal">
      <formula>"Towel"</formula>
    </cfRule>
    <cfRule type="cellIs" dxfId="5211" priority="8506" stopIfTrue="1" operator="equal">
      <formula>"Napkin Hs"</formula>
    </cfRule>
  </conditionalFormatting>
  <conditionalFormatting sqref="C110">
    <cfRule type="cellIs" dxfId="5210" priority="8507" stopIfTrue="1" operator="equal">
      <formula>"Towel"</formula>
    </cfRule>
    <cfRule type="cellIs" dxfId="5209" priority="8508" stopIfTrue="1" operator="equal">
      <formula>"Napkin Hs"</formula>
    </cfRule>
  </conditionalFormatting>
  <conditionalFormatting sqref="C110">
    <cfRule type="cellIs" dxfId="5208" priority="8509" stopIfTrue="1" operator="equal">
      <formula>"Towel"</formula>
    </cfRule>
    <cfRule type="cellIs" dxfId="5207" priority="8510" stopIfTrue="1" operator="equal">
      <formula>"Napkin Hs"</formula>
    </cfRule>
  </conditionalFormatting>
  <conditionalFormatting sqref="C110">
    <cfRule type="cellIs" dxfId="5206" priority="8503" stopIfTrue="1" operator="equal">
      <formula>"Towel"</formula>
    </cfRule>
    <cfRule type="cellIs" dxfId="5205" priority="8504" stopIfTrue="1" operator="equal">
      <formula>"Napkin Hs"</formula>
    </cfRule>
  </conditionalFormatting>
  <conditionalFormatting sqref="C110">
    <cfRule type="cellIs" dxfId="5204" priority="8501" stopIfTrue="1" operator="equal">
      <formula>"Towel"</formula>
    </cfRule>
    <cfRule type="cellIs" dxfId="5203" priority="8502" stopIfTrue="1" operator="equal">
      <formula>"Napkin Hs"</formula>
    </cfRule>
  </conditionalFormatting>
  <conditionalFormatting sqref="C110">
    <cfRule type="cellIs" dxfId="5202" priority="8477" stopIfTrue="1" operator="equal">
      <formula>"Towel"</formula>
    </cfRule>
  </conditionalFormatting>
  <conditionalFormatting sqref="C110">
    <cfRule type="cellIs" dxfId="5201" priority="8478" stopIfTrue="1" operator="equal">
      <formula>"Napkin Hs"</formula>
    </cfRule>
    <cfRule type="cellIs" dxfId="5200" priority="8483" stopIfTrue="1" operator="equal">
      <formula>"Towel"</formula>
    </cfRule>
    <cfRule type="cellIs" dxfId="5199" priority="8484" stopIfTrue="1" operator="equal">
      <formula>"Napkin Hs"</formula>
    </cfRule>
    <cfRule type="cellIs" dxfId="5198" priority="8493" stopIfTrue="1" operator="equal">
      <formula>"Towel"</formula>
    </cfRule>
    <cfRule type="cellIs" dxfId="5197" priority="8494" stopIfTrue="1" operator="equal">
      <formula>"Napkin Hs"</formula>
    </cfRule>
    <cfRule type="cellIs" dxfId="5196" priority="8499" stopIfTrue="1" operator="equal">
      <formula>"Towel"</formula>
    </cfRule>
    <cfRule type="cellIs" dxfId="5195" priority="8500" stopIfTrue="1" operator="equal">
      <formula>"Napkin Hs"</formula>
    </cfRule>
  </conditionalFormatting>
  <conditionalFormatting sqref="C110">
    <cfRule type="cellIs" dxfId="5194" priority="8479" stopIfTrue="1" operator="equal">
      <formula>"Towel"</formula>
    </cfRule>
    <cfRule type="cellIs" dxfId="5193" priority="8480" stopIfTrue="1" operator="equal">
      <formula>"Napkin Hs"</formula>
    </cfRule>
    <cfRule type="cellIs" dxfId="5192" priority="8481" stopIfTrue="1" operator="equal">
      <formula>"Towel"</formula>
    </cfRule>
    <cfRule type="cellIs" dxfId="5191" priority="8482" stopIfTrue="1" operator="equal">
      <formula>"Napkin Hs"</formula>
    </cfRule>
    <cfRule type="cellIs" dxfId="5190" priority="8485" stopIfTrue="1" operator="equal">
      <formula>"Towel"</formula>
    </cfRule>
    <cfRule type="cellIs" dxfId="5189" priority="8486" stopIfTrue="1" operator="equal">
      <formula>"Napkin Hs"</formula>
    </cfRule>
    <cfRule type="cellIs" dxfId="5188" priority="8487" stopIfTrue="1" operator="equal">
      <formula>"Towel"</formula>
    </cfRule>
    <cfRule type="cellIs" dxfId="5187" priority="8488" stopIfTrue="1" operator="equal">
      <formula>"Napkin Hs"</formula>
    </cfRule>
    <cfRule type="cellIs" dxfId="5186" priority="8489" stopIfTrue="1" operator="equal">
      <formula>"Towel"</formula>
    </cfRule>
    <cfRule type="cellIs" dxfId="5185" priority="8490" stopIfTrue="1" operator="equal">
      <formula>"Napkin Hs"</formula>
    </cfRule>
    <cfRule type="cellIs" dxfId="5184" priority="8491" stopIfTrue="1" operator="equal">
      <formula>"Towel"</formula>
    </cfRule>
    <cfRule type="cellIs" dxfId="5183" priority="8492" stopIfTrue="1" operator="equal">
      <formula>"Napkin Hs"</formula>
    </cfRule>
    <cfRule type="cellIs" dxfId="5182" priority="8495" stopIfTrue="1" operator="equal">
      <formula>"Towel"</formula>
    </cfRule>
    <cfRule type="cellIs" dxfId="5181" priority="8496" stopIfTrue="1" operator="equal">
      <formula>"Napkin Hs"</formula>
    </cfRule>
    <cfRule type="cellIs" dxfId="5180" priority="8498" stopIfTrue="1" operator="equal">
      <formula>"Napkin Hs"</formula>
    </cfRule>
  </conditionalFormatting>
  <conditionalFormatting sqref="C110">
    <cfRule type="cellIs" dxfId="5179" priority="8497" stopIfTrue="1" operator="equal">
      <formula>"Towel"</formula>
    </cfRule>
  </conditionalFormatting>
  <conditionalFormatting sqref="C110">
    <cfRule type="cellIs" dxfId="5178" priority="8475" stopIfTrue="1" operator="equal">
      <formula>"Towel"</formula>
    </cfRule>
    <cfRule type="cellIs" dxfId="5177" priority="8476" stopIfTrue="1" operator="equal">
      <formula>"Napkin Hs"</formula>
    </cfRule>
  </conditionalFormatting>
  <conditionalFormatting sqref="C110">
    <cfRule type="cellIs" dxfId="5176" priority="8474" stopIfTrue="1" operator="equal">
      <formula>"Napkin Hs"</formula>
    </cfRule>
  </conditionalFormatting>
  <conditionalFormatting sqref="C110">
    <cfRule type="cellIs" dxfId="5175" priority="8473" stopIfTrue="1" operator="equal">
      <formula>"Towel"</formula>
    </cfRule>
  </conditionalFormatting>
  <conditionalFormatting sqref="C110">
    <cfRule type="cellIs" dxfId="5174" priority="8471" stopIfTrue="1" operator="equal">
      <formula>"Towel"</formula>
    </cfRule>
  </conditionalFormatting>
  <conditionalFormatting sqref="C110">
    <cfRule type="cellIs" dxfId="5173" priority="8472" stopIfTrue="1" operator="equal">
      <formula>"Napkin Hs"</formula>
    </cfRule>
  </conditionalFormatting>
  <conditionalFormatting sqref="C110">
    <cfRule type="cellIs" dxfId="5172" priority="8375" stopIfTrue="1" operator="equal">
      <formula>"Towel"</formula>
    </cfRule>
  </conditionalFormatting>
  <conditionalFormatting sqref="C110">
    <cfRule type="cellIs" dxfId="5171" priority="8385" stopIfTrue="1" operator="equal">
      <formula>"Towel"</formula>
    </cfRule>
    <cfRule type="cellIs" dxfId="5170" priority="8386" stopIfTrue="1" operator="equal">
      <formula>"Napkin Hs"</formula>
    </cfRule>
    <cfRule type="cellIs" dxfId="5169" priority="8391" stopIfTrue="1" operator="equal">
      <formula>"Towel"</formula>
    </cfRule>
    <cfRule type="cellIs" dxfId="5168" priority="8392" stopIfTrue="1" operator="equal">
      <formula>"Napkin Hs"</formula>
    </cfRule>
    <cfRule type="cellIs" dxfId="5167" priority="8397" stopIfTrue="1" operator="equal">
      <formula>"Towel"</formula>
    </cfRule>
    <cfRule type="cellIs" dxfId="5166" priority="8398" stopIfTrue="1" operator="equal">
      <formula>"Napkin Hs"</formula>
    </cfRule>
    <cfRule type="cellIs" dxfId="5165" priority="8399" stopIfTrue="1" operator="equal">
      <formula>"Towel"</formula>
    </cfRule>
    <cfRule type="cellIs" dxfId="5164" priority="8400" stopIfTrue="1" operator="equal">
      <formula>"Napkin Hs"</formula>
    </cfRule>
    <cfRule type="cellIs" dxfId="5163" priority="8405" stopIfTrue="1" operator="equal">
      <formula>"Towel"</formula>
    </cfRule>
    <cfRule type="cellIs" dxfId="5162" priority="8406" stopIfTrue="1" operator="equal">
      <formula>"Napkin Hs"</formula>
    </cfRule>
    <cfRule type="cellIs" dxfId="5161" priority="8415" stopIfTrue="1" operator="equal">
      <formula>"Towel"</formula>
    </cfRule>
    <cfRule type="cellIs" dxfId="5160" priority="8416" stopIfTrue="1" operator="equal">
      <formula>"Napkin Hs"</formula>
    </cfRule>
    <cfRule type="cellIs" dxfId="5159" priority="8421" stopIfTrue="1" operator="equal">
      <formula>"Towel"</formula>
    </cfRule>
    <cfRule type="cellIs" dxfId="5158" priority="8422" stopIfTrue="1" operator="equal">
      <formula>"Napkin Hs"</formula>
    </cfRule>
    <cfRule type="cellIs" dxfId="5157" priority="8423" stopIfTrue="1" operator="equal">
      <formula>"Towel"</formula>
    </cfRule>
    <cfRule type="cellIs" dxfId="5156" priority="8424" stopIfTrue="1" operator="equal">
      <formula>"Napkin Hs"</formula>
    </cfRule>
    <cfRule type="cellIs" dxfId="5155" priority="8429" stopIfTrue="1" operator="equal">
      <formula>"Towel"</formula>
    </cfRule>
    <cfRule type="cellIs" dxfId="5154" priority="8430" stopIfTrue="1" operator="equal">
      <formula>"Napkin Hs"</formula>
    </cfRule>
    <cfRule type="cellIs" dxfId="5153" priority="8439" stopIfTrue="1" operator="equal">
      <formula>"Towel"</formula>
    </cfRule>
    <cfRule type="cellIs" dxfId="5152" priority="8440" stopIfTrue="1" operator="equal">
      <formula>"Napkin Hs"</formula>
    </cfRule>
    <cfRule type="cellIs" dxfId="5151" priority="8441" stopIfTrue="1" operator="equal">
      <formula>"Towel"</formula>
    </cfRule>
    <cfRule type="cellIs" dxfId="5150" priority="8442" stopIfTrue="1" operator="equal">
      <formula>"Napkin Hs"</formula>
    </cfRule>
    <cfRule type="cellIs" dxfId="5149" priority="8447" stopIfTrue="1" operator="equal">
      <formula>"Towel"</formula>
    </cfRule>
    <cfRule type="cellIs" dxfId="5148" priority="8448" stopIfTrue="1" operator="equal">
      <formula>"Napkin Hs"</formula>
    </cfRule>
    <cfRule type="cellIs" dxfId="5147" priority="8457" stopIfTrue="1" operator="equal">
      <formula>"Towel"</formula>
    </cfRule>
    <cfRule type="cellIs" dxfId="5146" priority="8458" stopIfTrue="1" operator="equal">
      <formula>"Napkin Hs"</formula>
    </cfRule>
    <cfRule type="cellIs" dxfId="5145" priority="8459" stopIfTrue="1" operator="equal">
      <formula>"Towel"</formula>
    </cfRule>
    <cfRule type="cellIs" dxfId="5144" priority="8460" stopIfTrue="1" operator="equal">
      <formula>"Napkin Hs"</formula>
    </cfRule>
    <cfRule type="cellIs" dxfId="5143" priority="8466" stopIfTrue="1" operator="equal">
      <formula>"Napkin Hs"</formula>
    </cfRule>
  </conditionalFormatting>
  <conditionalFormatting sqref="C110">
    <cfRule type="cellIs" dxfId="5142" priority="8465" stopIfTrue="1" operator="equal">
      <formula>"Towel"</formula>
    </cfRule>
  </conditionalFormatting>
  <conditionalFormatting sqref="C110">
    <cfRule type="cellIs" dxfId="5141" priority="8376" stopIfTrue="1" operator="equal">
      <formula>"Napkin Hs"</formula>
    </cfRule>
    <cfRule type="cellIs" dxfId="5140" priority="8377" stopIfTrue="1" operator="equal">
      <formula>"Towel"</formula>
    </cfRule>
    <cfRule type="cellIs" dxfId="5139" priority="8378" stopIfTrue="1" operator="equal">
      <formula>"Napkin Hs"</formula>
    </cfRule>
    <cfRule type="cellIs" dxfId="5138" priority="8379" stopIfTrue="1" operator="equal">
      <formula>"Towel"</formula>
    </cfRule>
    <cfRule type="cellIs" dxfId="5137" priority="8380" stopIfTrue="1" operator="equal">
      <formula>"Napkin Hs"</formula>
    </cfRule>
    <cfRule type="cellIs" dxfId="5136" priority="8381" stopIfTrue="1" operator="equal">
      <formula>"Towel"</formula>
    </cfRule>
    <cfRule type="cellIs" dxfId="5135" priority="8382" stopIfTrue="1" operator="equal">
      <formula>"Napkin Hs"</formula>
    </cfRule>
    <cfRule type="cellIs" dxfId="5134" priority="8383" stopIfTrue="1" operator="equal">
      <formula>"Towel"</formula>
    </cfRule>
    <cfRule type="cellIs" dxfId="5133" priority="8384" stopIfTrue="1" operator="equal">
      <formula>"Napkin Hs"</formula>
    </cfRule>
    <cfRule type="cellIs" dxfId="5132" priority="8387" stopIfTrue="1" operator="equal">
      <formula>"Towel"</formula>
    </cfRule>
    <cfRule type="cellIs" dxfId="5131" priority="8388" stopIfTrue="1" operator="equal">
      <formula>"Napkin Hs"</formula>
    </cfRule>
    <cfRule type="cellIs" dxfId="5130" priority="8389" stopIfTrue="1" operator="equal">
      <formula>"Towel"</formula>
    </cfRule>
    <cfRule type="cellIs" dxfId="5129" priority="8390" stopIfTrue="1" operator="equal">
      <formula>"Napkin Hs"</formula>
    </cfRule>
    <cfRule type="cellIs" dxfId="5128" priority="8393" stopIfTrue="1" operator="equal">
      <formula>"Towel"</formula>
    </cfRule>
    <cfRule type="cellIs" dxfId="5127" priority="8394" stopIfTrue="1" operator="equal">
      <formula>"Napkin Hs"</formula>
    </cfRule>
    <cfRule type="cellIs" dxfId="5126" priority="8395" stopIfTrue="1" operator="equal">
      <formula>"Towel"</formula>
    </cfRule>
    <cfRule type="cellIs" dxfId="5125" priority="8396" stopIfTrue="1" operator="equal">
      <formula>"Napkin Hs"</formula>
    </cfRule>
    <cfRule type="cellIs" dxfId="5124" priority="8401" stopIfTrue="1" operator="equal">
      <formula>"Towel"</formula>
    </cfRule>
    <cfRule type="cellIs" dxfId="5123" priority="8402" stopIfTrue="1" operator="equal">
      <formula>"Napkin Hs"</formula>
    </cfRule>
    <cfRule type="cellIs" dxfId="5122" priority="8403" stopIfTrue="1" operator="equal">
      <formula>"Towel"</formula>
    </cfRule>
    <cfRule type="cellIs" dxfId="5121" priority="8404" stopIfTrue="1" operator="equal">
      <formula>"Napkin Hs"</formula>
    </cfRule>
    <cfRule type="cellIs" dxfId="5120" priority="8407" stopIfTrue="1" operator="equal">
      <formula>"Towel"</formula>
    </cfRule>
    <cfRule type="cellIs" dxfId="5119" priority="8408" stopIfTrue="1" operator="equal">
      <formula>"Napkin Hs"</formula>
    </cfRule>
    <cfRule type="cellIs" dxfId="5118" priority="8409" stopIfTrue="1" operator="equal">
      <formula>"Towel"</formula>
    </cfRule>
    <cfRule type="cellIs" dxfId="5117" priority="8410" stopIfTrue="1" operator="equal">
      <formula>"Napkin Hs"</formula>
    </cfRule>
    <cfRule type="cellIs" dxfId="5116" priority="8411" stopIfTrue="1" operator="equal">
      <formula>"Towel"</formula>
    </cfRule>
    <cfRule type="cellIs" dxfId="5115" priority="8412" stopIfTrue="1" operator="equal">
      <formula>"Napkin Hs"</formula>
    </cfRule>
    <cfRule type="cellIs" dxfId="5114" priority="8413" stopIfTrue="1" operator="equal">
      <formula>"Towel"</formula>
    </cfRule>
    <cfRule type="cellIs" dxfId="5113" priority="8414" stopIfTrue="1" operator="equal">
      <formula>"Napkin Hs"</formula>
    </cfRule>
    <cfRule type="cellIs" dxfId="5112" priority="8417" stopIfTrue="1" operator="equal">
      <formula>"Towel"</formula>
    </cfRule>
    <cfRule type="cellIs" dxfId="5111" priority="8418" stopIfTrue="1" operator="equal">
      <formula>"Napkin Hs"</formula>
    </cfRule>
    <cfRule type="cellIs" dxfId="5110" priority="8419" stopIfTrue="1" operator="equal">
      <formula>"Towel"</formula>
    </cfRule>
    <cfRule type="cellIs" dxfId="5109" priority="8420" stopIfTrue="1" operator="equal">
      <formula>"Napkin Hs"</formula>
    </cfRule>
    <cfRule type="cellIs" dxfId="5108" priority="8425" stopIfTrue="1" operator="equal">
      <formula>"Towel"</formula>
    </cfRule>
    <cfRule type="cellIs" dxfId="5107" priority="8426" stopIfTrue="1" operator="equal">
      <formula>"Napkin Hs"</formula>
    </cfRule>
    <cfRule type="cellIs" dxfId="5106" priority="8427" stopIfTrue="1" operator="equal">
      <formula>"Towel"</formula>
    </cfRule>
    <cfRule type="cellIs" dxfId="5105" priority="8428" stopIfTrue="1" operator="equal">
      <formula>"Napkin Hs"</formula>
    </cfRule>
    <cfRule type="cellIs" dxfId="5104" priority="8431" stopIfTrue="1" operator="equal">
      <formula>"Towel"</formula>
    </cfRule>
    <cfRule type="cellIs" dxfId="5103" priority="8432" stopIfTrue="1" operator="equal">
      <formula>"Napkin Hs"</formula>
    </cfRule>
    <cfRule type="cellIs" dxfId="5102" priority="8433" stopIfTrue="1" operator="equal">
      <formula>"Towel"</formula>
    </cfRule>
    <cfRule type="cellIs" dxfId="5101" priority="8434" stopIfTrue="1" operator="equal">
      <formula>"Napkin Hs"</formula>
    </cfRule>
    <cfRule type="cellIs" dxfId="5100" priority="8435" stopIfTrue="1" operator="equal">
      <formula>"Towel"</formula>
    </cfRule>
    <cfRule type="cellIs" dxfId="5099" priority="8436" stopIfTrue="1" operator="equal">
      <formula>"Napkin Hs"</formula>
    </cfRule>
    <cfRule type="cellIs" dxfId="5098" priority="8437" stopIfTrue="1" operator="equal">
      <formula>"Towel"</formula>
    </cfRule>
    <cfRule type="cellIs" dxfId="5097" priority="8438" stopIfTrue="1" operator="equal">
      <formula>"Napkin Hs"</formula>
    </cfRule>
    <cfRule type="cellIs" dxfId="5096" priority="8443" stopIfTrue="1" operator="equal">
      <formula>"Towel"</formula>
    </cfRule>
    <cfRule type="cellIs" dxfId="5095" priority="8444" stopIfTrue="1" operator="equal">
      <formula>"Napkin Hs"</formula>
    </cfRule>
    <cfRule type="cellIs" dxfId="5094" priority="8445" stopIfTrue="1" operator="equal">
      <formula>"Towel"</formula>
    </cfRule>
    <cfRule type="cellIs" dxfId="5093" priority="8446" stopIfTrue="1" operator="equal">
      <formula>"Napkin Hs"</formula>
    </cfRule>
    <cfRule type="cellIs" dxfId="5092" priority="8449" stopIfTrue="1" operator="equal">
      <formula>"Towel"</formula>
    </cfRule>
    <cfRule type="cellIs" dxfId="5091" priority="8450" stopIfTrue="1" operator="equal">
      <formula>"Napkin Hs"</formula>
    </cfRule>
    <cfRule type="cellIs" dxfId="5090" priority="8451" stopIfTrue="1" operator="equal">
      <formula>"Towel"</formula>
    </cfRule>
    <cfRule type="cellIs" dxfId="5089" priority="8452" stopIfTrue="1" operator="equal">
      <formula>"Napkin Hs"</formula>
    </cfRule>
    <cfRule type="cellIs" dxfId="5088" priority="8453" stopIfTrue="1" operator="equal">
      <formula>"Towel"</formula>
    </cfRule>
    <cfRule type="cellIs" dxfId="5087" priority="8454" stopIfTrue="1" operator="equal">
      <formula>"Napkin Hs"</formula>
    </cfRule>
    <cfRule type="cellIs" dxfId="5086" priority="8455" stopIfTrue="1" operator="equal">
      <formula>"Towel"</formula>
    </cfRule>
    <cfRule type="cellIs" dxfId="5085" priority="8456" stopIfTrue="1" operator="equal">
      <formula>"Napkin Hs"</formula>
    </cfRule>
    <cfRule type="cellIs" dxfId="5084" priority="8461" stopIfTrue="1" operator="equal">
      <formula>"Towel"</formula>
    </cfRule>
    <cfRule type="cellIs" dxfId="5083" priority="8462" stopIfTrue="1" operator="equal">
      <formula>"Napkin Hs"</formula>
    </cfRule>
    <cfRule type="cellIs" dxfId="5082" priority="8463" stopIfTrue="1" operator="equal">
      <formula>"Towel"</formula>
    </cfRule>
    <cfRule type="cellIs" dxfId="5081" priority="8464" stopIfTrue="1" operator="equal">
      <formula>"Napkin Hs"</formula>
    </cfRule>
    <cfRule type="cellIs" dxfId="5080" priority="8467" stopIfTrue="1" operator="equal">
      <formula>"Towel"</formula>
    </cfRule>
    <cfRule type="cellIs" dxfId="5079" priority="8468" stopIfTrue="1" operator="equal">
      <formula>"Napkin Hs"</formula>
    </cfRule>
    <cfRule type="cellIs" dxfId="5078" priority="8469" stopIfTrue="1" operator="equal">
      <formula>"Towel"</formula>
    </cfRule>
    <cfRule type="cellIs" dxfId="5077" priority="8470" stopIfTrue="1" operator="equal">
      <formula>"Napkin Hs"</formula>
    </cfRule>
  </conditionalFormatting>
  <conditionalFormatting sqref="C110">
    <cfRule type="cellIs" dxfId="5076" priority="8374" stopIfTrue="1" operator="equal">
      <formula>"Napkin Hs"</formula>
    </cfRule>
  </conditionalFormatting>
  <conditionalFormatting sqref="C110">
    <cfRule type="cellIs" dxfId="5075" priority="8373" stopIfTrue="1" operator="equal">
      <formula>"Napkin Hs"</formula>
    </cfRule>
  </conditionalFormatting>
  <conditionalFormatting sqref="C110">
    <cfRule type="cellIs" dxfId="5074" priority="8372" stopIfTrue="1" operator="equal">
      <formula>"Napkin Hs"</formula>
    </cfRule>
  </conditionalFormatting>
  <conditionalFormatting sqref="C110">
    <cfRule type="cellIs" dxfId="5073" priority="8371" stopIfTrue="1" operator="equal">
      <formula>"Napkin Hs"</formula>
    </cfRule>
  </conditionalFormatting>
  <conditionalFormatting sqref="C110">
    <cfRule type="cellIs" dxfId="5072" priority="8370" stopIfTrue="1" operator="equal">
      <formula>"Napkin Hs"</formula>
    </cfRule>
  </conditionalFormatting>
  <conditionalFormatting sqref="C110">
    <cfRule type="cellIs" dxfId="5071" priority="8369" stopIfTrue="1" operator="equal">
      <formula>"Napkin Hs"</formula>
    </cfRule>
  </conditionalFormatting>
  <conditionalFormatting sqref="C110">
    <cfRule type="cellIs" dxfId="5070" priority="8365" stopIfTrue="1" operator="equal">
      <formula>"Towel"</formula>
    </cfRule>
    <cfRule type="cellIs" dxfId="5069" priority="8366" stopIfTrue="1" operator="equal">
      <formula>"Napkin Hs"</formula>
    </cfRule>
  </conditionalFormatting>
  <conditionalFormatting sqref="C110">
    <cfRule type="cellIs" dxfId="5068" priority="8367" stopIfTrue="1" operator="equal">
      <formula>"Towel"</formula>
    </cfRule>
    <cfRule type="cellIs" dxfId="5067" priority="8368" stopIfTrue="1" operator="equal">
      <formula>"Napkin Hs"</formula>
    </cfRule>
  </conditionalFormatting>
  <conditionalFormatting sqref="C110">
    <cfRule type="cellIs" dxfId="5066" priority="8361" stopIfTrue="1" operator="equal">
      <formula>"Towel"</formula>
    </cfRule>
    <cfRule type="cellIs" dxfId="5065" priority="8362" stopIfTrue="1" operator="equal">
      <formula>"Napkin Hs"</formula>
    </cfRule>
  </conditionalFormatting>
  <conditionalFormatting sqref="C110">
    <cfRule type="cellIs" dxfId="5064" priority="8363" stopIfTrue="1" operator="equal">
      <formula>"Towel"</formula>
    </cfRule>
    <cfRule type="cellIs" dxfId="5063" priority="8364" stopIfTrue="1" operator="equal">
      <formula>"Napkin Hs"</formula>
    </cfRule>
  </conditionalFormatting>
  <conditionalFormatting sqref="C117">
    <cfRule type="cellIs" dxfId="5062" priority="8353" stopIfTrue="1" operator="equal">
      <formula>"Towel"</formula>
    </cfRule>
    <cfRule type="cellIs" dxfId="5061" priority="8354" stopIfTrue="1" operator="equal">
      <formula>"Napkin Hs"</formula>
    </cfRule>
  </conditionalFormatting>
  <conditionalFormatting sqref="C117">
    <cfRule type="cellIs" dxfId="5060" priority="8351" stopIfTrue="1" operator="equal">
      <formula>"Towel"</formula>
    </cfRule>
    <cfRule type="cellIs" dxfId="5059" priority="8352" stopIfTrue="1" operator="equal">
      <formula>"Napkin Hs"</formula>
    </cfRule>
  </conditionalFormatting>
  <conditionalFormatting sqref="B117:C117">
    <cfRule type="cellIs" dxfId="5058" priority="8349" stopIfTrue="1" operator="equal">
      <formula>"Towel"</formula>
    </cfRule>
    <cfRule type="cellIs" dxfId="5057" priority="8350" stopIfTrue="1" operator="equal">
      <formula>"Napkin Hs"</formula>
    </cfRule>
  </conditionalFormatting>
  <conditionalFormatting sqref="B117:C117">
    <cfRule type="cellIs" dxfId="5056" priority="8359" stopIfTrue="1" operator="equal">
      <formula>"Towel"</formula>
    </cfRule>
    <cfRule type="cellIs" dxfId="5055" priority="8360" stopIfTrue="1" operator="equal">
      <formula>"Napkin Hs"</formula>
    </cfRule>
  </conditionalFormatting>
  <conditionalFormatting sqref="C117">
    <cfRule type="cellIs" dxfId="5054" priority="8357" stopIfTrue="1" operator="equal">
      <formula>"Towel"</formula>
    </cfRule>
    <cfRule type="cellIs" dxfId="5053" priority="8358" stopIfTrue="1" operator="equal">
      <formula>"Napkin Hs"</formula>
    </cfRule>
  </conditionalFormatting>
  <conditionalFormatting sqref="C117">
    <cfRule type="cellIs" dxfId="5052" priority="8355" stopIfTrue="1" operator="equal">
      <formula>"Towel"</formula>
    </cfRule>
    <cfRule type="cellIs" dxfId="5051" priority="8356" stopIfTrue="1" operator="equal">
      <formula>"Napkin Hs"</formula>
    </cfRule>
  </conditionalFormatting>
  <conditionalFormatting sqref="C117">
    <cfRule type="cellIs" dxfId="5050" priority="8347" stopIfTrue="1" operator="equal">
      <formula>"Towel"</formula>
    </cfRule>
    <cfRule type="cellIs" dxfId="5049" priority="8348" stopIfTrue="1" operator="equal">
      <formula>"Napkin Hs"</formula>
    </cfRule>
  </conditionalFormatting>
  <conditionalFormatting sqref="C117">
    <cfRule type="cellIs" dxfId="5048" priority="8345" stopIfTrue="1" operator="equal">
      <formula>"Towel"</formula>
    </cfRule>
    <cfRule type="cellIs" dxfId="5047" priority="8346" stopIfTrue="1" operator="equal">
      <formula>"Napkin Hs"</formula>
    </cfRule>
  </conditionalFormatting>
  <conditionalFormatting sqref="B117:C117">
    <cfRule type="cellIs" dxfId="5046" priority="8343" stopIfTrue="1" operator="equal">
      <formula>"Towel"</formula>
    </cfRule>
    <cfRule type="cellIs" dxfId="5045" priority="8344" stopIfTrue="1" operator="equal">
      <formula>"Napkin Hs"</formula>
    </cfRule>
  </conditionalFormatting>
  <conditionalFormatting sqref="B117:C117">
    <cfRule type="cellIs" dxfId="5044" priority="8339" stopIfTrue="1" operator="equal">
      <formula>"Towel"</formula>
    </cfRule>
    <cfRule type="cellIs" dxfId="5043" priority="8340" stopIfTrue="1" operator="equal">
      <formula>"Napkin Hs"</formula>
    </cfRule>
  </conditionalFormatting>
  <conditionalFormatting sqref="C117">
    <cfRule type="cellIs" dxfId="5042" priority="8341" stopIfTrue="1" operator="equal">
      <formula>"Towel"</formula>
    </cfRule>
    <cfRule type="cellIs" dxfId="5041" priority="8342" stopIfTrue="1" operator="equal">
      <formula>"Napkin Hs"</formula>
    </cfRule>
  </conditionalFormatting>
  <conditionalFormatting sqref="C117">
    <cfRule type="cellIs" dxfId="5040" priority="8337" stopIfTrue="1" operator="equal">
      <formula>"Towel"</formula>
    </cfRule>
    <cfRule type="cellIs" dxfId="5039" priority="8338" stopIfTrue="1" operator="equal">
      <formula>"Napkin Hs"</formula>
    </cfRule>
  </conditionalFormatting>
  <conditionalFormatting sqref="C116">
    <cfRule type="cellIs" dxfId="5038" priority="8329" stopIfTrue="1" operator="equal">
      <formula>"Towel"</formula>
    </cfRule>
    <cfRule type="cellIs" dxfId="5037" priority="8330" stopIfTrue="1" operator="equal">
      <formula>"Napkin Hs"</formula>
    </cfRule>
  </conditionalFormatting>
  <conditionalFormatting sqref="B116:C116">
    <cfRule type="cellIs" dxfId="5036" priority="8331" stopIfTrue="1" operator="equal">
      <formula>"Towel"</formula>
    </cfRule>
    <cfRule type="cellIs" dxfId="5035" priority="8332" stopIfTrue="1" operator="equal">
      <formula>"Napkin Hs"</formula>
    </cfRule>
  </conditionalFormatting>
  <conditionalFormatting sqref="C116">
    <cfRule type="cellIs" dxfId="5034" priority="8327" stopIfTrue="1" operator="equal">
      <formula>"Towel"</formula>
    </cfRule>
    <cfRule type="cellIs" dxfId="5033" priority="8328" stopIfTrue="1" operator="equal">
      <formula>"Napkin Hs"</formula>
    </cfRule>
  </conditionalFormatting>
  <conditionalFormatting sqref="B116:C116">
    <cfRule type="cellIs" dxfId="5032" priority="8325" stopIfTrue="1" operator="equal">
      <formula>"Towel"</formula>
    </cfRule>
    <cfRule type="cellIs" dxfId="5031" priority="8326" stopIfTrue="1" operator="equal">
      <formula>"Napkin Hs"</formula>
    </cfRule>
  </conditionalFormatting>
  <conditionalFormatting sqref="C116">
    <cfRule type="cellIs" dxfId="5030" priority="8333" stopIfTrue="1" operator="equal">
      <formula>"Towel"</formula>
    </cfRule>
    <cfRule type="cellIs" dxfId="5029" priority="8334" stopIfTrue="1" operator="equal">
      <formula>"Napkin Hs"</formula>
    </cfRule>
  </conditionalFormatting>
  <conditionalFormatting sqref="C116">
    <cfRule type="cellIs" dxfId="5028" priority="8335" stopIfTrue="1" operator="equal">
      <formula>"Towel"</formula>
    </cfRule>
    <cfRule type="cellIs" dxfId="5027" priority="8336" stopIfTrue="1" operator="equal">
      <formula>"Napkin Hs"</formula>
    </cfRule>
  </conditionalFormatting>
  <conditionalFormatting sqref="C116">
    <cfRule type="cellIs" dxfId="5026" priority="8321" stopIfTrue="1" operator="equal">
      <formula>"Towel"</formula>
    </cfRule>
    <cfRule type="cellIs" dxfId="5025" priority="8322" stopIfTrue="1" operator="equal">
      <formula>"Napkin Hs"</formula>
    </cfRule>
  </conditionalFormatting>
  <conditionalFormatting sqref="C116">
    <cfRule type="cellIs" dxfId="5024" priority="8323" stopIfTrue="1" operator="equal">
      <formula>"Towel"</formula>
    </cfRule>
    <cfRule type="cellIs" dxfId="5023" priority="8324" stopIfTrue="1" operator="equal">
      <formula>"Napkin Hs"</formula>
    </cfRule>
  </conditionalFormatting>
  <conditionalFormatting sqref="C116">
    <cfRule type="cellIs" dxfId="5022" priority="8319" stopIfTrue="1" operator="equal">
      <formula>"Towel"</formula>
    </cfRule>
    <cfRule type="cellIs" dxfId="5021" priority="8320" stopIfTrue="1" operator="equal">
      <formula>"Napkin Hs"</formula>
    </cfRule>
  </conditionalFormatting>
  <conditionalFormatting sqref="B116">
    <cfRule type="cellIs" dxfId="5020" priority="8317" stopIfTrue="1" operator="equal">
      <formula>"Towel"</formula>
    </cfRule>
    <cfRule type="cellIs" dxfId="5019" priority="8318" stopIfTrue="1" operator="equal">
      <formula>"Napkin Hs"</formula>
    </cfRule>
  </conditionalFormatting>
  <conditionalFormatting sqref="C116">
    <cfRule type="cellIs" dxfId="5018" priority="8311" stopIfTrue="1" operator="equal">
      <formula>"Towel"</formula>
    </cfRule>
    <cfRule type="cellIs" dxfId="5017" priority="8312" stopIfTrue="1" operator="equal">
      <formula>"Napkin Hs"</formula>
    </cfRule>
  </conditionalFormatting>
  <conditionalFormatting sqref="C116">
    <cfRule type="cellIs" dxfId="5016" priority="8315" stopIfTrue="1" operator="equal">
      <formula>"Towel"</formula>
    </cfRule>
    <cfRule type="cellIs" dxfId="5015" priority="8316" stopIfTrue="1" operator="equal">
      <formula>"Napkin Hs"</formula>
    </cfRule>
  </conditionalFormatting>
  <conditionalFormatting sqref="C116">
    <cfRule type="cellIs" dxfId="5014" priority="8313" stopIfTrue="1" operator="equal">
      <formula>"Towel"</formula>
    </cfRule>
    <cfRule type="cellIs" dxfId="5013" priority="8314" stopIfTrue="1" operator="equal">
      <formula>"Napkin Hs"</formula>
    </cfRule>
  </conditionalFormatting>
  <conditionalFormatting sqref="C116">
    <cfRule type="cellIs" dxfId="5012" priority="8305" stopIfTrue="1" operator="equal">
      <formula>"Towel"</formula>
    </cfRule>
    <cfRule type="cellIs" dxfId="5011" priority="8306" stopIfTrue="1" operator="equal">
      <formula>"Napkin Hs"</formula>
    </cfRule>
  </conditionalFormatting>
  <conditionalFormatting sqref="C116">
    <cfRule type="cellIs" dxfId="5010" priority="8307" stopIfTrue="1" operator="equal">
      <formula>"Towel"</formula>
    </cfRule>
    <cfRule type="cellIs" dxfId="5009" priority="8308" stopIfTrue="1" operator="equal">
      <formula>"Napkin Hs"</formula>
    </cfRule>
  </conditionalFormatting>
  <conditionalFormatting sqref="C116">
    <cfRule type="cellIs" dxfId="5008" priority="8309" stopIfTrue="1" operator="equal">
      <formula>"Towel"</formula>
    </cfRule>
    <cfRule type="cellIs" dxfId="5007" priority="8310" stopIfTrue="1" operator="equal">
      <formula>"Napkin Hs"</formula>
    </cfRule>
  </conditionalFormatting>
  <conditionalFormatting sqref="B116:C116">
    <cfRule type="cellIs" dxfId="5006" priority="8303" stopIfTrue="1" operator="equal">
      <formula>"Towel"</formula>
    </cfRule>
    <cfRule type="cellIs" dxfId="5005" priority="8304" stopIfTrue="1" operator="equal">
      <formula>"Napkin Hs"</formula>
    </cfRule>
  </conditionalFormatting>
  <conditionalFormatting sqref="B116:C116">
    <cfRule type="cellIs" dxfId="5004" priority="8301" stopIfTrue="1" operator="equal">
      <formula>"Towel"</formula>
    </cfRule>
    <cfRule type="cellIs" dxfId="5003" priority="8302" stopIfTrue="1" operator="equal">
      <formula>"Napkin Hs"</formula>
    </cfRule>
  </conditionalFormatting>
  <conditionalFormatting sqref="B116:C116">
    <cfRule type="cellIs" dxfId="5002" priority="8277" stopIfTrue="1" operator="equal">
      <formula>"Towel"</formula>
    </cfRule>
  </conditionalFormatting>
  <conditionalFormatting sqref="B116:C116">
    <cfRule type="cellIs" dxfId="5001" priority="8278" stopIfTrue="1" operator="equal">
      <formula>"Napkin Hs"</formula>
    </cfRule>
    <cfRule type="cellIs" dxfId="5000" priority="8283" stopIfTrue="1" operator="equal">
      <formula>"Towel"</formula>
    </cfRule>
    <cfRule type="cellIs" dxfId="4999" priority="8284" stopIfTrue="1" operator="equal">
      <formula>"Napkin Hs"</formula>
    </cfRule>
    <cfRule type="cellIs" dxfId="4998" priority="8293" stopIfTrue="1" operator="equal">
      <formula>"Towel"</formula>
    </cfRule>
    <cfRule type="cellIs" dxfId="4997" priority="8294" stopIfTrue="1" operator="equal">
      <formula>"Napkin Hs"</formula>
    </cfRule>
    <cfRule type="cellIs" dxfId="4996" priority="8299" stopIfTrue="1" operator="equal">
      <formula>"Towel"</formula>
    </cfRule>
    <cfRule type="cellIs" dxfId="4995" priority="8300" stopIfTrue="1" operator="equal">
      <formula>"Napkin Hs"</formula>
    </cfRule>
  </conditionalFormatting>
  <conditionalFormatting sqref="C116">
    <cfRule type="cellIs" dxfId="4994" priority="8279" stopIfTrue="1" operator="equal">
      <formula>"Towel"</formula>
    </cfRule>
    <cfRule type="cellIs" dxfId="4993" priority="8280" stopIfTrue="1" operator="equal">
      <formula>"Napkin Hs"</formula>
    </cfRule>
    <cfRule type="cellIs" dxfId="4992" priority="8281" stopIfTrue="1" operator="equal">
      <formula>"Towel"</formula>
    </cfRule>
    <cfRule type="cellIs" dxfId="4991" priority="8282" stopIfTrue="1" operator="equal">
      <formula>"Napkin Hs"</formula>
    </cfRule>
    <cfRule type="cellIs" dxfId="4990" priority="8285" stopIfTrue="1" operator="equal">
      <formula>"Towel"</formula>
    </cfRule>
    <cfRule type="cellIs" dxfId="4989" priority="8286" stopIfTrue="1" operator="equal">
      <formula>"Napkin Hs"</formula>
    </cfRule>
    <cfRule type="cellIs" dxfId="4988" priority="8287" stopIfTrue="1" operator="equal">
      <formula>"Towel"</formula>
    </cfRule>
    <cfRule type="cellIs" dxfId="4987" priority="8288" stopIfTrue="1" operator="equal">
      <formula>"Napkin Hs"</formula>
    </cfRule>
    <cfRule type="cellIs" dxfId="4986" priority="8289" stopIfTrue="1" operator="equal">
      <formula>"Towel"</formula>
    </cfRule>
    <cfRule type="cellIs" dxfId="4985" priority="8290" stopIfTrue="1" operator="equal">
      <formula>"Napkin Hs"</formula>
    </cfRule>
    <cfRule type="cellIs" dxfId="4984" priority="8291" stopIfTrue="1" operator="equal">
      <formula>"Towel"</formula>
    </cfRule>
    <cfRule type="cellIs" dxfId="4983" priority="8292" stopIfTrue="1" operator="equal">
      <formula>"Napkin Hs"</formula>
    </cfRule>
    <cfRule type="cellIs" dxfId="4982" priority="8295" stopIfTrue="1" operator="equal">
      <formula>"Towel"</formula>
    </cfRule>
    <cfRule type="cellIs" dxfId="4981" priority="8296" stopIfTrue="1" operator="equal">
      <formula>"Napkin Hs"</formula>
    </cfRule>
    <cfRule type="cellIs" dxfId="4980" priority="8298" stopIfTrue="1" operator="equal">
      <formula>"Napkin Hs"</formula>
    </cfRule>
  </conditionalFormatting>
  <conditionalFormatting sqref="C116">
    <cfRule type="cellIs" dxfId="4979" priority="8297" stopIfTrue="1" operator="equal">
      <formula>"Towel"</formula>
    </cfRule>
  </conditionalFormatting>
  <conditionalFormatting sqref="B116:C116">
    <cfRule type="cellIs" dxfId="4978" priority="8275" stopIfTrue="1" operator="equal">
      <formula>"Towel"</formula>
    </cfRule>
    <cfRule type="cellIs" dxfId="4977" priority="8276" stopIfTrue="1" operator="equal">
      <formula>"Napkin Hs"</formula>
    </cfRule>
  </conditionalFormatting>
  <conditionalFormatting sqref="C116">
    <cfRule type="cellIs" dxfId="4976" priority="8274" stopIfTrue="1" operator="equal">
      <formula>"Napkin Hs"</formula>
    </cfRule>
  </conditionalFormatting>
  <conditionalFormatting sqref="C116">
    <cfRule type="cellIs" dxfId="4975" priority="8273" stopIfTrue="1" operator="equal">
      <formula>"Towel"</formula>
    </cfRule>
  </conditionalFormatting>
  <conditionalFormatting sqref="C116">
    <cfRule type="cellIs" dxfId="4974" priority="8271" stopIfTrue="1" operator="equal">
      <formula>"Towel"</formula>
    </cfRule>
  </conditionalFormatting>
  <conditionalFormatting sqref="C116">
    <cfRule type="cellIs" dxfId="4973" priority="8272" stopIfTrue="1" operator="equal">
      <formula>"Napkin Hs"</formula>
    </cfRule>
  </conditionalFormatting>
  <conditionalFormatting sqref="B116">
    <cfRule type="cellIs" dxfId="4972" priority="8175" stopIfTrue="1" operator="equal">
      <formula>"Napkin Hs"</formula>
    </cfRule>
  </conditionalFormatting>
  <conditionalFormatting sqref="B116:C116">
    <cfRule type="cellIs" dxfId="4971" priority="8174" stopIfTrue="1" operator="equal">
      <formula>"Towel"</formula>
    </cfRule>
  </conditionalFormatting>
  <conditionalFormatting sqref="B116:C116">
    <cfRule type="cellIs" dxfId="4970" priority="8185" stopIfTrue="1" operator="equal">
      <formula>"Towel"</formula>
    </cfRule>
    <cfRule type="cellIs" dxfId="4969" priority="8186" stopIfTrue="1" operator="equal">
      <formula>"Napkin Hs"</formula>
    </cfRule>
    <cfRule type="cellIs" dxfId="4968" priority="8191" stopIfTrue="1" operator="equal">
      <formula>"Towel"</formula>
    </cfRule>
    <cfRule type="cellIs" dxfId="4967" priority="8192" stopIfTrue="1" operator="equal">
      <formula>"Napkin Hs"</formula>
    </cfRule>
    <cfRule type="cellIs" dxfId="4966" priority="8197" stopIfTrue="1" operator="equal">
      <formula>"Towel"</formula>
    </cfRule>
    <cfRule type="cellIs" dxfId="4965" priority="8198" stopIfTrue="1" operator="equal">
      <formula>"Napkin Hs"</formula>
    </cfRule>
    <cfRule type="cellIs" dxfId="4964" priority="8199" stopIfTrue="1" operator="equal">
      <formula>"Towel"</formula>
    </cfRule>
    <cfRule type="cellIs" dxfId="4963" priority="8200" stopIfTrue="1" operator="equal">
      <formula>"Napkin Hs"</formula>
    </cfRule>
    <cfRule type="cellIs" dxfId="4962" priority="8205" stopIfTrue="1" operator="equal">
      <formula>"Towel"</formula>
    </cfRule>
    <cfRule type="cellIs" dxfId="4961" priority="8206" stopIfTrue="1" operator="equal">
      <formula>"Napkin Hs"</formula>
    </cfRule>
    <cfRule type="cellIs" dxfId="4960" priority="8215" stopIfTrue="1" operator="equal">
      <formula>"Towel"</formula>
    </cfRule>
    <cfRule type="cellIs" dxfId="4959" priority="8216" stopIfTrue="1" operator="equal">
      <formula>"Napkin Hs"</formula>
    </cfRule>
    <cfRule type="cellIs" dxfId="4958" priority="8221" stopIfTrue="1" operator="equal">
      <formula>"Towel"</formula>
    </cfRule>
    <cfRule type="cellIs" dxfId="4957" priority="8222" stopIfTrue="1" operator="equal">
      <formula>"Napkin Hs"</formula>
    </cfRule>
    <cfRule type="cellIs" dxfId="4956" priority="8223" stopIfTrue="1" operator="equal">
      <formula>"Towel"</formula>
    </cfRule>
    <cfRule type="cellIs" dxfId="4955" priority="8224" stopIfTrue="1" operator="equal">
      <formula>"Napkin Hs"</formula>
    </cfRule>
    <cfRule type="cellIs" dxfId="4954" priority="8229" stopIfTrue="1" operator="equal">
      <formula>"Towel"</formula>
    </cfRule>
    <cfRule type="cellIs" dxfId="4953" priority="8230" stopIfTrue="1" operator="equal">
      <formula>"Napkin Hs"</formula>
    </cfRule>
    <cfRule type="cellIs" dxfId="4952" priority="8239" stopIfTrue="1" operator="equal">
      <formula>"Towel"</formula>
    </cfRule>
    <cfRule type="cellIs" dxfId="4951" priority="8240" stopIfTrue="1" operator="equal">
      <formula>"Napkin Hs"</formula>
    </cfRule>
    <cfRule type="cellIs" dxfId="4950" priority="8241" stopIfTrue="1" operator="equal">
      <formula>"Towel"</formula>
    </cfRule>
    <cfRule type="cellIs" dxfId="4949" priority="8242" stopIfTrue="1" operator="equal">
      <formula>"Napkin Hs"</formula>
    </cfRule>
    <cfRule type="cellIs" dxfId="4948" priority="8247" stopIfTrue="1" operator="equal">
      <formula>"Towel"</formula>
    </cfRule>
    <cfRule type="cellIs" dxfId="4947" priority="8248" stopIfTrue="1" operator="equal">
      <formula>"Napkin Hs"</formula>
    </cfRule>
    <cfRule type="cellIs" dxfId="4946" priority="8257" stopIfTrue="1" operator="equal">
      <formula>"Towel"</formula>
    </cfRule>
    <cfRule type="cellIs" dxfId="4945" priority="8258" stopIfTrue="1" operator="equal">
      <formula>"Napkin Hs"</formula>
    </cfRule>
    <cfRule type="cellIs" dxfId="4944" priority="8259" stopIfTrue="1" operator="equal">
      <formula>"Towel"</formula>
    </cfRule>
    <cfRule type="cellIs" dxfId="4943" priority="8260" stopIfTrue="1" operator="equal">
      <formula>"Napkin Hs"</formula>
    </cfRule>
    <cfRule type="cellIs" dxfId="4942" priority="8266" stopIfTrue="1" operator="equal">
      <formula>"Napkin Hs"</formula>
    </cfRule>
  </conditionalFormatting>
  <conditionalFormatting sqref="B116:C116">
    <cfRule type="cellIs" dxfId="4941" priority="8265" stopIfTrue="1" operator="equal">
      <formula>"Towel"</formula>
    </cfRule>
  </conditionalFormatting>
  <conditionalFormatting sqref="C116">
    <cfRule type="cellIs" dxfId="4940" priority="8176" stopIfTrue="1" operator="equal">
      <formula>"Napkin Hs"</formula>
    </cfRule>
    <cfRule type="cellIs" dxfId="4939" priority="8177" stopIfTrue="1" operator="equal">
      <formula>"Towel"</formula>
    </cfRule>
    <cfRule type="cellIs" dxfId="4938" priority="8178" stopIfTrue="1" operator="equal">
      <formula>"Napkin Hs"</formula>
    </cfRule>
    <cfRule type="cellIs" dxfId="4937" priority="8179" stopIfTrue="1" operator="equal">
      <formula>"Towel"</formula>
    </cfRule>
    <cfRule type="cellIs" dxfId="4936" priority="8180" stopIfTrue="1" operator="equal">
      <formula>"Napkin Hs"</formula>
    </cfRule>
    <cfRule type="cellIs" dxfId="4935" priority="8181" stopIfTrue="1" operator="equal">
      <formula>"Towel"</formula>
    </cfRule>
    <cfRule type="cellIs" dxfId="4934" priority="8182" stopIfTrue="1" operator="equal">
      <formula>"Napkin Hs"</formula>
    </cfRule>
    <cfRule type="cellIs" dxfId="4933" priority="8183" stopIfTrue="1" operator="equal">
      <formula>"Towel"</formula>
    </cfRule>
    <cfRule type="cellIs" dxfId="4932" priority="8184" stopIfTrue="1" operator="equal">
      <formula>"Napkin Hs"</formula>
    </cfRule>
    <cfRule type="cellIs" dxfId="4931" priority="8187" stopIfTrue="1" operator="equal">
      <formula>"Towel"</formula>
    </cfRule>
    <cfRule type="cellIs" dxfId="4930" priority="8188" stopIfTrue="1" operator="equal">
      <formula>"Napkin Hs"</formula>
    </cfRule>
    <cfRule type="cellIs" dxfId="4929" priority="8189" stopIfTrue="1" operator="equal">
      <formula>"Towel"</formula>
    </cfRule>
    <cfRule type="cellIs" dxfId="4928" priority="8190" stopIfTrue="1" operator="equal">
      <formula>"Napkin Hs"</formula>
    </cfRule>
    <cfRule type="cellIs" dxfId="4927" priority="8193" stopIfTrue="1" operator="equal">
      <formula>"Towel"</formula>
    </cfRule>
    <cfRule type="cellIs" dxfId="4926" priority="8194" stopIfTrue="1" operator="equal">
      <formula>"Napkin Hs"</formula>
    </cfRule>
    <cfRule type="cellIs" dxfId="4925" priority="8195" stopIfTrue="1" operator="equal">
      <formula>"Towel"</formula>
    </cfRule>
    <cfRule type="cellIs" dxfId="4924" priority="8196" stopIfTrue="1" operator="equal">
      <formula>"Napkin Hs"</formula>
    </cfRule>
    <cfRule type="cellIs" dxfId="4923" priority="8201" stopIfTrue="1" operator="equal">
      <formula>"Towel"</formula>
    </cfRule>
    <cfRule type="cellIs" dxfId="4922" priority="8202" stopIfTrue="1" operator="equal">
      <formula>"Napkin Hs"</formula>
    </cfRule>
    <cfRule type="cellIs" dxfId="4921" priority="8203" stopIfTrue="1" operator="equal">
      <formula>"Towel"</formula>
    </cfRule>
    <cfRule type="cellIs" dxfId="4920" priority="8204" stopIfTrue="1" operator="equal">
      <formula>"Napkin Hs"</formula>
    </cfRule>
    <cfRule type="cellIs" dxfId="4919" priority="8207" stopIfTrue="1" operator="equal">
      <formula>"Towel"</formula>
    </cfRule>
    <cfRule type="cellIs" dxfId="4918" priority="8208" stopIfTrue="1" operator="equal">
      <formula>"Napkin Hs"</formula>
    </cfRule>
    <cfRule type="cellIs" dxfId="4917" priority="8209" stopIfTrue="1" operator="equal">
      <formula>"Towel"</formula>
    </cfRule>
    <cfRule type="cellIs" dxfId="4916" priority="8210" stopIfTrue="1" operator="equal">
      <formula>"Napkin Hs"</formula>
    </cfRule>
    <cfRule type="cellIs" dxfId="4915" priority="8211" stopIfTrue="1" operator="equal">
      <formula>"Towel"</formula>
    </cfRule>
    <cfRule type="cellIs" dxfId="4914" priority="8212" stopIfTrue="1" operator="equal">
      <formula>"Napkin Hs"</formula>
    </cfRule>
    <cfRule type="cellIs" dxfId="4913" priority="8213" stopIfTrue="1" operator="equal">
      <formula>"Towel"</formula>
    </cfRule>
    <cfRule type="cellIs" dxfId="4912" priority="8214" stopIfTrue="1" operator="equal">
      <formula>"Napkin Hs"</formula>
    </cfRule>
    <cfRule type="cellIs" dxfId="4911" priority="8217" stopIfTrue="1" operator="equal">
      <formula>"Towel"</formula>
    </cfRule>
    <cfRule type="cellIs" dxfId="4910" priority="8218" stopIfTrue="1" operator="equal">
      <formula>"Napkin Hs"</formula>
    </cfRule>
    <cfRule type="cellIs" dxfId="4909" priority="8219" stopIfTrue="1" operator="equal">
      <formula>"Towel"</formula>
    </cfRule>
    <cfRule type="cellIs" dxfId="4908" priority="8220" stopIfTrue="1" operator="equal">
      <formula>"Napkin Hs"</formula>
    </cfRule>
    <cfRule type="cellIs" dxfId="4907" priority="8225" stopIfTrue="1" operator="equal">
      <formula>"Towel"</formula>
    </cfRule>
    <cfRule type="cellIs" dxfId="4906" priority="8226" stopIfTrue="1" operator="equal">
      <formula>"Napkin Hs"</formula>
    </cfRule>
    <cfRule type="cellIs" dxfId="4905" priority="8227" stopIfTrue="1" operator="equal">
      <formula>"Towel"</formula>
    </cfRule>
    <cfRule type="cellIs" dxfId="4904" priority="8228" stopIfTrue="1" operator="equal">
      <formula>"Napkin Hs"</formula>
    </cfRule>
    <cfRule type="cellIs" dxfId="4903" priority="8231" stopIfTrue="1" operator="equal">
      <formula>"Towel"</formula>
    </cfRule>
    <cfRule type="cellIs" dxfId="4902" priority="8232" stopIfTrue="1" operator="equal">
      <formula>"Napkin Hs"</formula>
    </cfRule>
    <cfRule type="cellIs" dxfId="4901" priority="8233" stopIfTrue="1" operator="equal">
      <formula>"Towel"</formula>
    </cfRule>
    <cfRule type="cellIs" dxfId="4900" priority="8234" stopIfTrue="1" operator="equal">
      <formula>"Napkin Hs"</formula>
    </cfRule>
    <cfRule type="cellIs" dxfId="4899" priority="8235" stopIfTrue="1" operator="equal">
      <formula>"Towel"</formula>
    </cfRule>
    <cfRule type="cellIs" dxfId="4898" priority="8236" stopIfTrue="1" operator="equal">
      <formula>"Napkin Hs"</formula>
    </cfRule>
    <cfRule type="cellIs" dxfId="4897" priority="8237" stopIfTrue="1" operator="equal">
      <formula>"Towel"</formula>
    </cfRule>
    <cfRule type="cellIs" dxfId="4896" priority="8238" stopIfTrue="1" operator="equal">
      <formula>"Napkin Hs"</formula>
    </cfRule>
    <cfRule type="cellIs" dxfId="4895" priority="8243" stopIfTrue="1" operator="equal">
      <formula>"Towel"</formula>
    </cfRule>
    <cfRule type="cellIs" dxfId="4894" priority="8244" stopIfTrue="1" operator="equal">
      <formula>"Napkin Hs"</formula>
    </cfRule>
    <cfRule type="cellIs" dxfId="4893" priority="8245" stopIfTrue="1" operator="equal">
      <formula>"Towel"</formula>
    </cfRule>
    <cfRule type="cellIs" dxfId="4892" priority="8246" stopIfTrue="1" operator="equal">
      <formula>"Napkin Hs"</formula>
    </cfRule>
    <cfRule type="cellIs" dxfId="4891" priority="8249" stopIfTrue="1" operator="equal">
      <formula>"Towel"</formula>
    </cfRule>
    <cfRule type="cellIs" dxfId="4890" priority="8250" stopIfTrue="1" operator="equal">
      <formula>"Napkin Hs"</formula>
    </cfRule>
    <cfRule type="cellIs" dxfId="4889" priority="8251" stopIfTrue="1" operator="equal">
      <formula>"Towel"</formula>
    </cfRule>
    <cfRule type="cellIs" dxfId="4888" priority="8252" stopIfTrue="1" operator="equal">
      <formula>"Napkin Hs"</formula>
    </cfRule>
    <cfRule type="cellIs" dxfId="4887" priority="8253" stopIfTrue="1" operator="equal">
      <formula>"Towel"</formula>
    </cfRule>
    <cfRule type="cellIs" dxfId="4886" priority="8254" stopIfTrue="1" operator="equal">
      <formula>"Napkin Hs"</formula>
    </cfRule>
    <cfRule type="cellIs" dxfId="4885" priority="8255" stopIfTrue="1" operator="equal">
      <formula>"Towel"</formula>
    </cfRule>
    <cfRule type="cellIs" dxfId="4884" priority="8256" stopIfTrue="1" operator="equal">
      <formula>"Napkin Hs"</formula>
    </cfRule>
    <cfRule type="cellIs" dxfId="4883" priority="8261" stopIfTrue="1" operator="equal">
      <formula>"Towel"</formula>
    </cfRule>
    <cfRule type="cellIs" dxfId="4882" priority="8262" stopIfTrue="1" operator="equal">
      <formula>"Napkin Hs"</formula>
    </cfRule>
    <cfRule type="cellIs" dxfId="4881" priority="8263" stopIfTrue="1" operator="equal">
      <formula>"Towel"</formula>
    </cfRule>
    <cfRule type="cellIs" dxfId="4880" priority="8264" stopIfTrue="1" operator="equal">
      <formula>"Napkin Hs"</formula>
    </cfRule>
    <cfRule type="cellIs" dxfId="4879" priority="8267" stopIfTrue="1" operator="equal">
      <formula>"Towel"</formula>
    </cfRule>
    <cfRule type="cellIs" dxfId="4878" priority="8268" stopIfTrue="1" operator="equal">
      <formula>"Napkin Hs"</formula>
    </cfRule>
    <cfRule type="cellIs" dxfId="4877" priority="8269" stopIfTrue="1" operator="equal">
      <formula>"Towel"</formula>
    </cfRule>
    <cfRule type="cellIs" dxfId="4876" priority="8270" stopIfTrue="1" operator="equal">
      <formula>"Napkin Hs"</formula>
    </cfRule>
  </conditionalFormatting>
  <conditionalFormatting sqref="C116">
    <cfRule type="cellIs" dxfId="4875" priority="8173" stopIfTrue="1" operator="equal">
      <formula>"Napkin Hs"</formula>
    </cfRule>
  </conditionalFormatting>
  <conditionalFormatting sqref="C116">
    <cfRule type="cellIs" dxfId="4874" priority="8172" stopIfTrue="1" operator="equal">
      <formula>"Napkin Hs"</formula>
    </cfRule>
  </conditionalFormatting>
  <conditionalFormatting sqref="B116">
    <cfRule type="cellIs" dxfId="4873" priority="8171" stopIfTrue="1" operator="equal">
      <formula>"Napkin Hs"</formula>
    </cfRule>
  </conditionalFormatting>
  <conditionalFormatting sqref="C116">
    <cfRule type="cellIs" dxfId="4872" priority="8170" stopIfTrue="1" operator="equal">
      <formula>"Napkin Hs"</formula>
    </cfRule>
  </conditionalFormatting>
  <conditionalFormatting sqref="C116">
    <cfRule type="cellIs" dxfId="4871" priority="8169" stopIfTrue="1" operator="equal">
      <formula>"Napkin Hs"</formula>
    </cfRule>
  </conditionalFormatting>
  <conditionalFormatting sqref="C116">
    <cfRule type="cellIs" dxfId="4870" priority="8168" stopIfTrue="1" operator="equal">
      <formula>"Napkin Hs"</formula>
    </cfRule>
  </conditionalFormatting>
  <conditionalFormatting sqref="C116">
    <cfRule type="cellIs" dxfId="4869" priority="8167" stopIfTrue="1" operator="equal">
      <formula>"Napkin Hs"</formula>
    </cfRule>
  </conditionalFormatting>
  <conditionalFormatting sqref="B116">
    <cfRule type="cellIs" dxfId="4868" priority="8166" stopIfTrue="1" operator="equal">
      <formula>"Napkin Hs"</formula>
    </cfRule>
  </conditionalFormatting>
  <conditionalFormatting sqref="B116">
    <cfRule type="cellIs" dxfId="4867" priority="8165" stopIfTrue="1" operator="equal">
      <formula>"Napkin Hs"</formula>
    </cfRule>
  </conditionalFormatting>
  <conditionalFormatting sqref="C116">
    <cfRule type="cellIs" dxfId="4866" priority="8161" stopIfTrue="1" operator="equal">
      <formula>"Towel"</formula>
    </cfRule>
    <cfRule type="cellIs" dxfId="4865" priority="8162" stopIfTrue="1" operator="equal">
      <formula>"Napkin Hs"</formula>
    </cfRule>
  </conditionalFormatting>
  <conditionalFormatting sqref="C116">
    <cfRule type="cellIs" dxfId="4864" priority="8163" stopIfTrue="1" operator="equal">
      <formula>"Towel"</formula>
    </cfRule>
    <cfRule type="cellIs" dxfId="4863" priority="8164" stopIfTrue="1" operator="equal">
      <formula>"Napkin Hs"</formula>
    </cfRule>
  </conditionalFormatting>
  <conditionalFormatting sqref="C116">
    <cfRule type="cellIs" dxfId="4862" priority="8157" stopIfTrue="1" operator="equal">
      <formula>"Towel"</formula>
    </cfRule>
    <cfRule type="cellIs" dxfId="4861" priority="8158" stopIfTrue="1" operator="equal">
      <formula>"Napkin Hs"</formula>
    </cfRule>
  </conditionalFormatting>
  <conditionalFormatting sqref="C116">
    <cfRule type="cellIs" dxfId="4860" priority="8159" stopIfTrue="1" operator="equal">
      <formula>"Towel"</formula>
    </cfRule>
    <cfRule type="cellIs" dxfId="4859" priority="8160" stopIfTrue="1" operator="equal">
      <formula>"Napkin Hs"</formula>
    </cfRule>
  </conditionalFormatting>
  <conditionalFormatting sqref="B115">
    <cfRule type="cellIs" dxfId="4858" priority="8156" stopIfTrue="1" operator="equal">
      <formula>"Napkin Hs"</formula>
    </cfRule>
  </conditionalFormatting>
  <conditionalFormatting sqref="B115">
    <cfRule type="cellIs" dxfId="4857" priority="8155" stopIfTrue="1" operator="equal">
      <formula>"Napkin Hs"</formula>
    </cfRule>
  </conditionalFormatting>
  <conditionalFormatting sqref="B115">
    <cfRule type="cellIs" dxfId="4856" priority="8154" stopIfTrue="1" operator="equal">
      <formula>"Napkin Hs"</formula>
    </cfRule>
  </conditionalFormatting>
  <conditionalFormatting sqref="C115">
    <cfRule type="cellIs" dxfId="4855" priority="8152" stopIfTrue="1" operator="equal">
      <formula>"Towel"</formula>
    </cfRule>
    <cfRule type="cellIs" dxfId="4854" priority="8153" stopIfTrue="1" operator="equal">
      <formula>"Napkin Hs"</formula>
    </cfRule>
  </conditionalFormatting>
  <conditionalFormatting sqref="C115">
    <cfRule type="cellIs" dxfId="4853" priority="8148" stopIfTrue="1" operator="equal">
      <formula>"Towel"</formula>
    </cfRule>
    <cfRule type="cellIs" dxfId="4852" priority="8149" stopIfTrue="1" operator="equal">
      <formula>"Napkin Hs"</formula>
    </cfRule>
  </conditionalFormatting>
  <conditionalFormatting sqref="C115">
    <cfRule type="cellIs" dxfId="4851" priority="8150" stopIfTrue="1" operator="equal">
      <formula>"Towel"</formula>
    </cfRule>
    <cfRule type="cellIs" dxfId="4850" priority="8151" stopIfTrue="1" operator="equal">
      <formula>"Napkin Hs"</formula>
    </cfRule>
  </conditionalFormatting>
  <conditionalFormatting sqref="C115">
    <cfRule type="cellIs" dxfId="4849" priority="8144" stopIfTrue="1" operator="equal">
      <formula>"Towel"</formula>
    </cfRule>
    <cfRule type="cellIs" dxfId="4848" priority="8145" stopIfTrue="1" operator="equal">
      <formula>"Napkin Hs"</formula>
    </cfRule>
  </conditionalFormatting>
  <conditionalFormatting sqref="C115">
    <cfRule type="cellIs" dxfId="4847" priority="8146" stopIfTrue="1" operator="equal">
      <formula>"Towel"</formula>
    </cfRule>
    <cfRule type="cellIs" dxfId="4846" priority="8147" stopIfTrue="1" operator="equal">
      <formula>"Napkin Hs"</formula>
    </cfRule>
  </conditionalFormatting>
  <conditionalFormatting sqref="C115">
    <cfRule type="cellIs" dxfId="4845" priority="8142" stopIfTrue="1" operator="equal">
      <formula>"Towel"</formula>
    </cfRule>
    <cfRule type="cellIs" dxfId="4844" priority="8143" stopIfTrue="1" operator="equal">
      <formula>"Napkin Hs"</formula>
    </cfRule>
  </conditionalFormatting>
  <conditionalFormatting sqref="C115">
    <cfRule type="cellIs" dxfId="4843" priority="8136" stopIfTrue="1" operator="equal">
      <formula>"Towel"</formula>
    </cfRule>
    <cfRule type="cellIs" dxfId="4842" priority="8137" stopIfTrue="1" operator="equal">
      <formula>"Napkin Hs"</formula>
    </cfRule>
  </conditionalFormatting>
  <conditionalFormatting sqref="C115">
    <cfRule type="cellIs" dxfId="4841" priority="8140" stopIfTrue="1" operator="equal">
      <formula>"Towel"</formula>
    </cfRule>
    <cfRule type="cellIs" dxfId="4840" priority="8141" stopIfTrue="1" operator="equal">
      <formula>"Napkin Hs"</formula>
    </cfRule>
  </conditionalFormatting>
  <conditionalFormatting sqref="C115">
    <cfRule type="cellIs" dxfId="4839" priority="8138" stopIfTrue="1" operator="equal">
      <formula>"Towel"</formula>
    </cfRule>
    <cfRule type="cellIs" dxfId="4838" priority="8139" stopIfTrue="1" operator="equal">
      <formula>"Napkin Hs"</formula>
    </cfRule>
  </conditionalFormatting>
  <conditionalFormatting sqref="C115">
    <cfRule type="cellIs" dxfId="4837" priority="8130" stopIfTrue="1" operator="equal">
      <formula>"Towel"</formula>
    </cfRule>
    <cfRule type="cellIs" dxfId="4836" priority="8131" stopIfTrue="1" operator="equal">
      <formula>"Napkin Hs"</formula>
    </cfRule>
  </conditionalFormatting>
  <conditionalFormatting sqref="C115">
    <cfRule type="cellIs" dxfId="4835" priority="8132" stopIfTrue="1" operator="equal">
      <formula>"Towel"</formula>
    </cfRule>
    <cfRule type="cellIs" dxfId="4834" priority="8133" stopIfTrue="1" operator="equal">
      <formula>"Napkin Hs"</formula>
    </cfRule>
  </conditionalFormatting>
  <conditionalFormatting sqref="C115">
    <cfRule type="cellIs" dxfId="4833" priority="8134" stopIfTrue="1" operator="equal">
      <formula>"Towel"</formula>
    </cfRule>
    <cfRule type="cellIs" dxfId="4832" priority="8135" stopIfTrue="1" operator="equal">
      <formula>"Napkin Hs"</formula>
    </cfRule>
  </conditionalFormatting>
  <conditionalFormatting sqref="C115">
    <cfRule type="cellIs" dxfId="4831" priority="8128" stopIfTrue="1" operator="equal">
      <formula>"Towel"</formula>
    </cfRule>
    <cfRule type="cellIs" dxfId="4830" priority="8129" stopIfTrue="1" operator="equal">
      <formula>"Napkin Hs"</formula>
    </cfRule>
  </conditionalFormatting>
  <conditionalFormatting sqref="C115">
    <cfRule type="cellIs" dxfId="4829" priority="8126" stopIfTrue="1" operator="equal">
      <formula>"Towel"</formula>
    </cfRule>
    <cfRule type="cellIs" dxfId="4828" priority="8127" stopIfTrue="1" operator="equal">
      <formula>"Napkin Hs"</formula>
    </cfRule>
  </conditionalFormatting>
  <conditionalFormatting sqref="C115">
    <cfRule type="cellIs" dxfId="4827" priority="8102" stopIfTrue="1" operator="equal">
      <formula>"Towel"</formula>
    </cfRule>
  </conditionalFormatting>
  <conditionalFormatting sqref="C115">
    <cfRule type="cellIs" dxfId="4826" priority="8103" stopIfTrue="1" operator="equal">
      <formula>"Napkin Hs"</formula>
    </cfRule>
    <cfRule type="cellIs" dxfId="4825" priority="8108" stopIfTrue="1" operator="equal">
      <formula>"Towel"</formula>
    </cfRule>
    <cfRule type="cellIs" dxfId="4824" priority="8109" stopIfTrue="1" operator="equal">
      <formula>"Napkin Hs"</formula>
    </cfRule>
    <cfRule type="cellIs" dxfId="4823" priority="8118" stopIfTrue="1" operator="equal">
      <formula>"Towel"</formula>
    </cfRule>
    <cfRule type="cellIs" dxfId="4822" priority="8119" stopIfTrue="1" operator="equal">
      <formula>"Napkin Hs"</formula>
    </cfRule>
    <cfRule type="cellIs" dxfId="4821" priority="8124" stopIfTrue="1" operator="equal">
      <formula>"Towel"</formula>
    </cfRule>
    <cfRule type="cellIs" dxfId="4820" priority="8125" stopIfTrue="1" operator="equal">
      <formula>"Napkin Hs"</formula>
    </cfRule>
  </conditionalFormatting>
  <conditionalFormatting sqref="C115">
    <cfRule type="cellIs" dxfId="4819" priority="8104" stopIfTrue="1" operator="equal">
      <formula>"Towel"</formula>
    </cfRule>
    <cfRule type="cellIs" dxfId="4818" priority="8105" stopIfTrue="1" operator="equal">
      <formula>"Napkin Hs"</formula>
    </cfRule>
    <cfRule type="cellIs" dxfId="4817" priority="8106" stopIfTrue="1" operator="equal">
      <formula>"Towel"</formula>
    </cfRule>
    <cfRule type="cellIs" dxfId="4816" priority="8107" stopIfTrue="1" operator="equal">
      <formula>"Napkin Hs"</formula>
    </cfRule>
    <cfRule type="cellIs" dxfId="4815" priority="8110" stopIfTrue="1" operator="equal">
      <formula>"Towel"</formula>
    </cfRule>
    <cfRule type="cellIs" dxfId="4814" priority="8111" stopIfTrue="1" operator="equal">
      <formula>"Napkin Hs"</formula>
    </cfRule>
    <cfRule type="cellIs" dxfId="4813" priority="8112" stopIfTrue="1" operator="equal">
      <formula>"Towel"</formula>
    </cfRule>
    <cfRule type="cellIs" dxfId="4812" priority="8113" stopIfTrue="1" operator="equal">
      <formula>"Napkin Hs"</formula>
    </cfRule>
    <cfRule type="cellIs" dxfId="4811" priority="8114" stopIfTrue="1" operator="equal">
      <formula>"Towel"</formula>
    </cfRule>
    <cfRule type="cellIs" dxfId="4810" priority="8115" stopIfTrue="1" operator="equal">
      <formula>"Napkin Hs"</formula>
    </cfRule>
    <cfRule type="cellIs" dxfId="4809" priority="8116" stopIfTrue="1" operator="equal">
      <formula>"Towel"</formula>
    </cfRule>
    <cfRule type="cellIs" dxfId="4808" priority="8117" stopIfTrue="1" operator="equal">
      <formula>"Napkin Hs"</formula>
    </cfRule>
    <cfRule type="cellIs" dxfId="4807" priority="8120" stopIfTrue="1" operator="equal">
      <formula>"Towel"</formula>
    </cfRule>
    <cfRule type="cellIs" dxfId="4806" priority="8121" stopIfTrue="1" operator="equal">
      <formula>"Napkin Hs"</formula>
    </cfRule>
    <cfRule type="cellIs" dxfId="4805" priority="8123" stopIfTrue="1" operator="equal">
      <formula>"Napkin Hs"</formula>
    </cfRule>
  </conditionalFormatting>
  <conditionalFormatting sqref="C115">
    <cfRule type="cellIs" dxfId="4804" priority="8122" stopIfTrue="1" operator="equal">
      <formula>"Towel"</formula>
    </cfRule>
  </conditionalFormatting>
  <conditionalFormatting sqref="C115">
    <cfRule type="cellIs" dxfId="4803" priority="8100" stopIfTrue="1" operator="equal">
      <formula>"Towel"</formula>
    </cfRule>
    <cfRule type="cellIs" dxfId="4802" priority="8101" stopIfTrue="1" operator="equal">
      <formula>"Napkin Hs"</formula>
    </cfRule>
  </conditionalFormatting>
  <conditionalFormatting sqref="C115">
    <cfRule type="cellIs" dxfId="4801" priority="8099" stopIfTrue="1" operator="equal">
      <formula>"Napkin Hs"</formula>
    </cfRule>
  </conditionalFormatting>
  <conditionalFormatting sqref="C115">
    <cfRule type="cellIs" dxfId="4800" priority="8098" stopIfTrue="1" operator="equal">
      <formula>"Towel"</formula>
    </cfRule>
  </conditionalFormatting>
  <conditionalFormatting sqref="C115">
    <cfRule type="cellIs" dxfId="4799" priority="8096" stopIfTrue="1" operator="equal">
      <formula>"Towel"</formula>
    </cfRule>
  </conditionalFormatting>
  <conditionalFormatting sqref="C115">
    <cfRule type="cellIs" dxfId="4798" priority="8097" stopIfTrue="1" operator="equal">
      <formula>"Napkin Hs"</formula>
    </cfRule>
  </conditionalFormatting>
  <conditionalFormatting sqref="C115">
    <cfRule type="cellIs" dxfId="4797" priority="8000" stopIfTrue="1" operator="equal">
      <formula>"Towel"</formula>
    </cfRule>
  </conditionalFormatting>
  <conditionalFormatting sqref="C115">
    <cfRule type="cellIs" dxfId="4796" priority="8010" stopIfTrue="1" operator="equal">
      <formula>"Towel"</formula>
    </cfRule>
    <cfRule type="cellIs" dxfId="4795" priority="8011" stopIfTrue="1" operator="equal">
      <formula>"Napkin Hs"</formula>
    </cfRule>
    <cfRule type="cellIs" dxfId="4794" priority="8016" stopIfTrue="1" operator="equal">
      <formula>"Towel"</formula>
    </cfRule>
    <cfRule type="cellIs" dxfId="4793" priority="8017" stopIfTrue="1" operator="equal">
      <formula>"Napkin Hs"</formula>
    </cfRule>
    <cfRule type="cellIs" dxfId="4792" priority="8022" stopIfTrue="1" operator="equal">
      <formula>"Towel"</formula>
    </cfRule>
    <cfRule type="cellIs" dxfId="4791" priority="8023" stopIfTrue="1" operator="equal">
      <formula>"Napkin Hs"</formula>
    </cfRule>
    <cfRule type="cellIs" dxfId="4790" priority="8024" stopIfTrue="1" operator="equal">
      <formula>"Towel"</formula>
    </cfRule>
    <cfRule type="cellIs" dxfId="4789" priority="8025" stopIfTrue="1" operator="equal">
      <formula>"Napkin Hs"</formula>
    </cfRule>
    <cfRule type="cellIs" dxfId="4788" priority="8030" stopIfTrue="1" operator="equal">
      <formula>"Towel"</formula>
    </cfRule>
    <cfRule type="cellIs" dxfId="4787" priority="8031" stopIfTrue="1" operator="equal">
      <formula>"Napkin Hs"</formula>
    </cfRule>
    <cfRule type="cellIs" dxfId="4786" priority="8040" stopIfTrue="1" operator="equal">
      <formula>"Towel"</formula>
    </cfRule>
    <cfRule type="cellIs" dxfId="4785" priority="8041" stopIfTrue="1" operator="equal">
      <formula>"Napkin Hs"</formula>
    </cfRule>
    <cfRule type="cellIs" dxfId="4784" priority="8046" stopIfTrue="1" operator="equal">
      <formula>"Towel"</formula>
    </cfRule>
    <cfRule type="cellIs" dxfId="4783" priority="8047" stopIfTrue="1" operator="equal">
      <formula>"Napkin Hs"</formula>
    </cfRule>
    <cfRule type="cellIs" dxfId="4782" priority="8048" stopIfTrue="1" operator="equal">
      <formula>"Towel"</formula>
    </cfRule>
    <cfRule type="cellIs" dxfId="4781" priority="8049" stopIfTrue="1" operator="equal">
      <formula>"Napkin Hs"</formula>
    </cfRule>
    <cfRule type="cellIs" dxfId="4780" priority="8054" stopIfTrue="1" operator="equal">
      <formula>"Towel"</formula>
    </cfRule>
    <cfRule type="cellIs" dxfId="4779" priority="8055" stopIfTrue="1" operator="equal">
      <formula>"Napkin Hs"</formula>
    </cfRule>
    <cfRule type="cellIs" dxfId="4778" priority="8064" stopIfTrue="1" operator="equal">
      <formula>"Towel"</formula>
    </cfRule>
    <cfRule type="cellIs" dxfId="4777" priority="8065" stopIfTrue="1" operator="equal">
      <formula>"Napkin Hs"</formula>
    </cfRule>
    <cfRule type="cellIs" dxfId="4776" priority="8066" stopIfTrue="1" operator="equal">
      <formula>"Towel"</formula>
    </cfRule>
    <cfRule type="cellIs" dxfId="4775" priority="8067" stopIfTrue="1" operator="equal">
      <formula>"Napkin Hs"</formula>
    </cfRule>
    <cfRule type="cellIs" dxfId="4774" priority="8072" stopIfTrue="1" operator="equal">
      <formula>"Towel"</formula>
    </cfRule>
    <cfRule type="cellIs" dxfId="4773" priority="8073" stopIfTrue="1" operator="equal">
      <formula>"Napkin Hs"</formula>
    </cfRule>
    <cfRule type="cellIs" dxfId="4772" priority="8082" stopIfTrue="1" operator="equal">
      <formula>"Towel"</formula>
    </cfRule>
    <cfRule type="cellIs" dxfId="4771" priority="8083" stopIfTrue="1" operator="equal">
      <formula>"Napkin Hs"</formula>
    </cfRule>
    <cfRule type="cellIs" dxfId="4770" priority="8084" stopIfTrue="1" operator="equal">
      <formula>"Towel"</formula>
    </cfRule>
    <cfRule type="cellIs" dxfId="4769" priority="8085" stopIfTrue="1" operator="equal">
      <formula>"Napkin Hs"</formula>
    </cfRule>
    <cfRule type="cellIs" dxfId="4768" priority="8091" stopIfTrue="1" operator="equal">
      <formula>"Napkin Hs"</formula>
    </cfRule>
  </conditionalFormatting>
  <conditionalFormatting sqref="C115">
    <cfRule type="cellIs" dxfId="4767" priority="8090" stopIfTrue="1" operator="equal">
      <formula>"Towel"</formula>
    </cfRule>
  </conditionalFormatting>
  <conditionalFormatting sqref="C115">
    <cfRule type="cellIs" dxfId="4766" priority="8001" stopIfTrue="1" operator="equal">
      <formula>"Napkin Hs"</formula>
    </cfRule>
    <cfRule type="cellIs" dxfId="4765" priority="8002" stopIfTrue="1" operator="equal">
      <formula>"Towel"</formula>
    </cfRule>
    <cfRule type="cellIs" dxfId="4764" priority="8003" stopIfTrue="1" operator="equal">
      <formula>"Napkin Hs"</formula>
    </cfRule>
    <cfRule type="cellIs" dxfId="4763" priority="8004" stopIfTrue="1" operator="equal">
      <formula>"Towel"</formula>
    </cfRule>
    <cfRule type="cellIs" dxfId="4762" priority="8005" stopIfTrue="1" operator="equal">
      <formula>"Napkin Hs"</formula>
    </cfRule>
    <cfRule type="cellIs" dxfId="4761" priority="8006" stopIfTrue="1" operator="equal">
      <formula>"Towel"</formula>
    </cfRule>
    <cfRule type="cellIs" dxfId="4760" priority="8007" stopIfTrue="1" operator="equal">
      <formula>"Napkin Hs"</formula>
    </cfRule>
    <cfRule type="cellIs" dxfId="4759" priority="8008" stopIfTrue="1" operator="equal">
      <formula>"Towel"</formula>
    </cfRule>
    <cfRule type="cellIs" dxfId="4758" priority="8009" stopIfTrue="1" operator="equal">
      <formula>"Napkin Hs"</formula>
    </cfRule>
    <cfRule type="cellIs" dxfId="4757" priority="8012" stopIfTrue="1" operator="equal">
      <formula>"Towel"</formula>
    </cfRule>
    <cfRule type="cellIs" dxfId="4756" priority="8013" stopIfTrue="1" operator="equal">
      <formula>"Napkin Hs"</formula>
    </cfRule>
    <cfRule type="cellIs" dxfId="4755" priority="8014" stopIfTrue="1" operator="equal">
      <formula>"Towel"</formula>
    </cfRule>
    <cfRule type="cellIs" dxfId="4754" priority="8015" stopIfTrue="1" operator="equal">
      <formula>"Napkin Hs"</formula>
    </cfRule>
    <cfRule type="cellIs" dxfId="4753" priority="8018" stopIfTrue="1" operator="equal">
      <formula>"Towel"</formula>
    </cfRule>
    <cfRule type="cellIs" dxfId="4752" priority="8019" stopIfTrue="1" operator="equal">
      <formula>"Napkin Hs"</formula>
    </cfRule>
    <cfRule type="cellIs" dxfId="4751" priority="8020" stopIfTrue="1" operator="equal">
      <formula>"Towel"</formula>
    </cfRule>
    <cfRule type="cellIs" dxfId="4750" priority="8021" stopIfTrue="1" operator="equal">
      <formula>"Napkin Hs"</formula>
    </cfRule>
    <cfRule type="cellIs" dxfId="4749" priority="8026" stopIfTrue="1" operator="equal">
      <formula>"Towel"</formula>
    </cfRule>
    <cfRule type="cellIs" dxfId="4748" priority="8027" stopIfTrue="1" operator="equal">
      <formula>"Napkin Hs"</formula>
    </cfRule>
    <cfRule type="cellIs" dxfId="4747" priority="8028" stopIfTrue="1" operator="equal">
      <formula>"Towel"</formula>
    </cfRule>
    <cfRule type="cellIs" dxfId="4746" priority="8029" stopIfTrue="1" operator="equal">
      <formula>"Napkin Hs"</formula>
    </cfRule>
    <cfRule type="cellIs" dxfId="4745" priority="8032" stopIfTrue="1" operator="equal">
      <formula>"Towel"</formula>
    </cfRule>
    <cfRule type="cellIs" dxfId="4744" priority="8033" stopIfTrue="1" operator="equal">
      <formula>"Napkin Hs"</formula>
    </cfRule>
    <cfRule type="cellIs" dxfId="4743" priority="8034" stopIfTrue="1" operator="equal">
      <formula>"Towel"</formula>
    </cfRule>
    <cfRule type="cellIs" dxfId="4742" priority="8035" stopIfTrue="1" operator="equal">
      <formula>"Napkin Hs"</formula>
    </cfRule>
    <cfRule type="cellIs" dxfId="4741" priority="8036" stopIfTrue="1" operator="equal">
      <formula>"Towel"</formula>
    </cfRule>
    <cfRule type="cellIs" dxfId="4740" priority="8037" stopIfTrue="1" operator="equal">
      <formula>"Napkin Hs"</formula>
    </cfRule>
    <cfRule type="cellIs" dxfId="4739" priority="8038" stopIfTrue="1" operator="equal">
      <formula>"Towel"</formula>
    </cfRule>
    <cfRule type="cellIs" dxfId="4738" priority="8039" stopIfTrue="1" operator="equal">
      <formula>"Napkin Hs"</formula>
    </cfRule>
    <cfRule type="cellIs" dxfId="4737" priority="8042" stopIfTrue="1" operator="equal">
      <formula>"Towel"</formula>
    </cfRule>
    <cfRule type="cellIs" dxfId="4736" priority="8043" stopIfTrue="1" operator="equal">
      <formula>"Napkin Hs"</formula>
    </cfRule>
    <cfRule type="cellIs" dxfId="4735" priority="8044" stopIfTrue="1" operator="equal">
      <formula>"Towel"</formula>
    </cfRule>
    <cfRule type="cellIs" dxfId="4734" priority="8045" stopIfTrue="1" operator="equal">
      <formula>"Napkin Hs"</formula>
    </cfRule>
    <cfRule type="cellIs" dxfId="4733" priority="8050" stopIfTrue="1" operator="equal">
      <formula>"Towel"</formula>
    </cfRule>
    <cfRule type="cellIs" dxfId="4732" priority="8051" stopIfTrue="1" operator="equal">
      <formula>"Napkin Hs"</formula>
    </cfRule>
    <cfRule type="cellIs" dxfId="4731" priority="8052" stopIfTrue="1" operator="equal">
      <formula>"Towel"</formula>
    </cfRule>
    <cfRule type="cellIs" dxfId="4730" priority="8053" stopIfTrue="1" operator="equal">
      <formula>"Napkin Hs"</formula>
    </cfRule>
    <cfRule type="cellIs" dxfId="4729" priority="8056" stopIfTrue="1" operator="equal">
      <formula>"Towel"</formula>
    </cfRule>
    <cfRule type="cellIs" dxfId="4728" priority="8057" stopIfTrue="1" operator="equal">
      <formula>"Napkin Hs"</formula>
    </cfRule>
    <cfRule type="cellIs" dxfId="4727" priority="8058" stopIfTrue="1" operator="equal">
      <formula>"Towel"</formula>
    </cfRule>
    <cfRule type="cellIs" dxfId="4726" priority="8059" stopIfTrue="1" operator="equal">
      <formula>"Napkin Hs"</formula>
    </cfRule>
    <cfRule type="cellIs" dxfId="4725" priority="8060" stopIfTrue="1" operator="equal">
      <formula>"Towel"</formula>
    </cfRule>
    <cfRule type="cellIs" dxfId="4724" priority="8061" stopIfTrue="1" operator="equal">
      <formula>"Napkin Hs"</formula>
    </cfRule>
    <cfRule type="cellIs" dxfId="4723" priority="8062" stopIfTrue="1" operator="equal">
      <formula>"Towel"</formula>
    </cfRule>
    <cfRule type="cellIs" dxfId="4722" priority="8063" stopIfTrue="1" operator="equal">
      <formula>"Napkin Hs"</formula>
    </cfRule>
    <cfRule type="cellIs" dxfId="4721" priority="8068" stopIfTrue="1" operator="equal">
      <formula>"Towel"</formula>
    </cfRule>
    <cfRule type="cellIs" dxfId="4720" priority="8069" stopIfTrue="1" operator="equal">
      <formula>"Napkin Hs"</formula>
    </cfRule>
    <cfRule type="cellIs" dxfId="4719" priority="8070" stopIfTrue="1" operator="equal">
      <formula>"Towel"</formula>
    </cfRule>
    <cfRule type="cellIs" dxfId="4718" priority="8071" stopIfTrue="1" operator="equal">
      <formula>"Napkin Hs"</formula>
    </cfRule>
    <cfRule type="cellIs" dxfId="4717" priority="8074" stopIfTrue="1" operator="equal">
      <formula>"Towel"</formula>
    </cfRule>
    <cfRule type="cellIs" dxfId="4716" priority="8075" stopIfTrue="1" operator="equal">
      <formula>"Napkin Hs"</formula>
    </cfRule>
    <cfRule type="cellIs" dxfId="4715" priority="8076" stopIfTrue="1" operator="equal">
      <formula>"Towel"</formula>
    </cfRule>
    <cfRule type="cellIs" dxfId="4714" priority="8077" stopIfTrue="1" operator="equal">
      <formula>"Napkin Hs"</formula>
    </cfRule>
    <cfRule type="cellIs" dxfId="4713" priority="8078" stopIfTrue="1" operator="equal">
      <formula>"Towel"</formula>
    </cfRule>
    <cfRule type="cellIs" dxfId="4712" priority="8079" stopIfTrue="1" operator="equal">
      <formula>"Napkin Hs"</formula>
    </cfRule>
    <cfRule type="cellIs" dxfId="4711" priority="8080" stopIfTrue="1" operator="equal">
      <formula>"Towel"</formula>
    </cfRule>
    <cfRule type="cellIs" dxfId="4710" priority="8081" stopIfTrue="1" operator="equal">
      <formula>"Napkin Hs"</formula>
    </cfRule>
    <cfRule type="cellIs" dxfId="4709" priority="8086" stopIfTrue="1" operator="equal">
      <formula>"Towel"</formula>
    </cfRule>
    <cfRule type="cellIs" dxfId="4708" priority="8087" stopIfTrue="1" operator="equal">
      <formula>"Napkin Hs"</formula>
    </cfRule>
    <cfRule type="cellIs" dxfId="4707" priority="8088" stopIfTrue="1" operator="equal">
      <formula>"Towel"</formula>
    </cfRule>
    <cfRule type="cellIs" dxfId="4706" priority="8089" stopIfTrue="1" operator="equal">
      <formula>"Napkin Hs"</formula>
    </cfRule>
    <cfRule type="cellIs" dxfId="4705" priority="8092" stopIfTrue="1" operator="equal">
      <formula>"Towel"</formula>
    </cfRule>
    <cfRule type="cellIs" dxfId="4704" priority="8093" stopIfTrue="1" operator="equal">
      <formula>"Napkin Hs"</formula>
    </cfRule>
    <cfRule type="cellIs" dxfId="4703" priority="8094" stopIfTrue="1" operator="equal">
      <formula>"Towel"</formula>
    </cfRule>
    <cfRule type="cellIs" dxfId="4702" priority="8095" stopIfTrue="1" operator="equal">
      <formula>"Napkin Hs"</formula>
    </cfRule>
  </conditionalFormatting>
  <conditionalFormatting sqref="C115">
    <cfRule type="cellIs" dxfId="4701" priority="7999" stopIfTrue="1" operator="equal">
      <formula>"Napkin Hs"</formula>
    </cfRule>
  </conditionalFormatting>
  <conditionalFormatting sqref="C115">
    <cfRule type="cellIs" dxfId="4700" priority="7998" stopIfTrue="1" operator="equal">
      <formula>"Napkin Hs"</formula>
    </cfRule>
  </conditionalFormatting>
  <conditionalFormatting sqref="C115">
    <cfRule type="cellIs" dxfId="4699" priority="7997" stopIfTrue="1" operator="equal">
      <formula>"Napkin Hs"</formula>
    </cfRule>
  </conditionalFormatting>
  <conditionalFormatting sqref="C115">
    <cfRule type="cellIs" dxfId="4698" priority="7996" stopIfTrue="1" operator="equal">
      <formula>"Napkin Hs"</formula>
    </cfRule>
  </conditionalFormatting>
  <conditionalFormatting sqref="C115">
    <cfRule type="cellIs" dxfId="4697" priority="7995" stopIfTrue="1" operator="equal">
      <formula>"Napkin Hs"</formula>
    </cfRule>
  </conditionalFormatting>
  <conditionalFormatting sqref="C115">
    <cfRule type="cellIs" dxfId="4696" priority="7994" stopIfTrue="1" operator="equal">
      <formula>"Napkin Hs"</formula>
    </cfRule>
  </conditionalFormatting>
  <conditionalFormatting sqref="C115">
    <cfRule type="cellIs" dxfId="4695" priority="7990" stopIfTrue="1" operator="equal">
      <formula>"Towel"</formula>
    </cfRule>
    <cfRule type="cellIs" dxfId="4694" priority="7991" stopIfTrue="1" operator="equal">
      <formula>"Napkin Hs"</formula>
    </cfRule>
  </conditionalFormatting>
  <conditionalFormatting sqref="C115">
    <cfRule type="cellIs" dxfId="4693" priority="7992" stopIfTrue="1" operator="equal">
      <formula>"Towel"</formula>
    </cfRule>
    <cfRule type="cellIs" dxfId="4692" priority="7993" stopIfTrue="1" operator="equal">
      <formula>"Napkin Hs"</formula>
    </cfRule>
  </conditionalFormatting>
  <conditionalFormatting sqref="C115">
    <cfRule type="cellIs" dxfId="4691" priority="7986" stopIfTrue="1" operator="equal">
      <formula>"Towel"</formula>
    </cfRule>
    <cfRule type="cellIs" dxfId="4690" priority="7987" stopIfTrue="1" operator="equal">
      <formula>"Napkin Hs"</formula>
    </cfRule>
  </conditionalFormatting>
  <conditionalFormatting sqref="C115">
    <cfRule type="cellIs" dxfId="4689" priority="7988" stopIfTrue="1" operator="equal">
      <formula>"Towel"</formula>
    </cfRule>
    <cfRule type="cellIs" dxfId="4688" priority="7989" stopIfTrue="1" operator="equal">
      <formula>"Napkin Hs"</formula>
    </cfRule>
  </conditionalFormatting>
  <conditionalFormatting sqref="B114">
    <cfRule type="cellIs" dxfId="4687" priority="7985" stopIfTrue="1" operator="equal">
      <formula>"Napkin Hs"</formula>
    </cfRule>
  </conditionalFormatting>
  <conditionalFormatting sqref="B114">
    <cfRule type="cellIs" dxfId="4686" priority="7984" stopIfTrue="1" operator="equal">
      <formula>"Napkin Hs"</formula>
    </cfRule>
  </conditionalFormatting>
  <conditionalFormatting sqref="B114">
    <cfRule type="cellIs" dxfId="4685" priority="7983" stopIfTrue="1" operator="equal">
      <formula>"Napkin Hs"</formula>
    </cfRule>
  </conditionalFormatting>
  <conditionalFormatting sqref="C114">
    <cfRule type="cellIs" dxfId="4684" priority="7981" stopIfTrue="1" operator="equal">
      <formula>"Towel"</formula>
    </cfRule>
    <cfRule type="cellIs" dxfId="4683" priority="7982" stopIfTrue="1" operator="equal">
      <formula>"Napkin Hs"</formula>
    </cfRule>
  </conditionalFormatting>
  <conditionalFormatting sqref="C114">
    <cfRule type="cellIs" dxfId="4682" priority="7977" stopIfTrue="1" operator="equal">
      <formula>"Towel"</formula>
    </cfRule>
    <cfRule type="cellIs" dxfId="4681" priority="7978" stopIfTrue="1" operator="equal">
      <formula>"Napkin Hs"</formula>
    </cfRule>
  </conditionalFormatting>
  <conditionalFormatting sqref="C114">
    <cfRule type="cellIs" dxfId="4680" priority="7979" stopIfTrue="1" operator="equal">
      <formula>"Towel"</formula>
    </cfRule>
    <cfRule type="cellIs" dxfId="4679" priority="7980" stopIfTrue="1" operator="equal">
      <formula>"Napkin Hs"</formula>
    </cfRule>
  </conditionalFormatting>
  <conditionalFormatting sqref="C114">
    <cfRule type="cellIs" dxfId="4678" priority="7973" stopIfTrue="1" operator="equal">
      <formula>"Towel"</formula>
    </cfRule>
    <cfRule type="cellIs" dxfId="4677" priority="7974" stopIfTrue="1" operator="equal">
      <formula>"Napkin Hs"</formula>
    </cfRule>
  </conditionalFormatting>
  <conditionalFormatting sqref="C114">
    <cfRule type="cellIs" dxfId="4676" priority="7975" stopIfTrue="1" operator="equal">
      <formula>"Towel"</formula>
    </cfRule>
    <cfRule type="cellIs" dxfId="4675" priority="7976" stopIfTrue="1" operator="equal">
      <formula>"Napkin Hs"</formula>
    </cfRule>
  </conditionalFormatting>
  <conditionalFormatting sqref="C114">
    <cfRule type="cellIs" dxfId="4674" priority="7971" stopIfTrue="1" operator="equal">
      <formula>"Towel"</formula>
    </cfRule>
    <cfRule type="cellIs" dxfId="4673" priority="7972" stopIfTrue="1" operator="equal">
      <formula>"Napkin Hs"</formula>
    </cfRule>
  </conditionalFormatting>
  <conditionalFormatting sqref="C114">
    <cfRule type="cellIs" dxfId="4672" priority="7965" stopIfTrue="1" operator="equal">
      <formula>"Towel"</formula>
    </cfRule>
    <cfRule type="cellIs" dxfId="4671" priority="7966" stopIfTrue="1" operator="equal">
      <formula>"Napkin Hs"</formula>
    </cfRule>
  </conditionalFormatting>
  <conditionalFormatting sqref="C114">
    <cfRule type="cellIs" dxfId="4670" priority="7969" stopIfTrue="1" operator="equal">
      <formula>"Towel"</formula>
    </cfRule>
    <cfRule type="cellIs" dxfId="4669" priority="7970" stopIfTrue="1" operator="equal">
      <formula>"Napkin Hs"</formula>
    </cfRule>
  </conditionalFormatting>
  <conditionalFormatting sqref="C114">
    <cfRule type="cellIs" dxfId="4668" priority="7967" stopIfTrue="1" operator="equal">
      <formula>"Towel"</formula>
    </cfRule>
    <cfRule type="cellIs" dxfId="4667" priority="7968" stopIfTrue="1" operator="equal">
      <formula>"Napkin Hs"</formula>
    </cfRule>
  </conditionalFormatting>
  <conditionalFormatting sqref="C114">
    <cfRule type="cellIs" dxfId="4666" priority="7959" stopIfTrue="1" operator="equal">
      <formula>"Towel"</formula>
    </cfRule>
    <cfRule type="cellIs" dxfId="4665" priority="7960" stopIfTrue="1" operator="equal">
      <formula>"Napkin Hs"</formula>
    </cfRule>
  </conditionalFormatting>
  <conditionalFormatting sqref="C114">
    <cfRule type="cellIs" dxfId="4664" priority="7961" stopIfTrue="1" operator="equal">
      <formula>"Towel"</formula>
    </cfRule>
    <cfRule type="cellIs" dxfId="4663" priority="7962" stopIfTrue="1" operator="equal">
      <formula>"Napkin Hs"</formula>
    </cfRule>
  </conditionalFormatting>
  <conditionalFormatting sqref="C114">
    <cfRule type="cellIs" dxfId="4662" priority="7963" stopIfTrue="1" operator="equal">
      <formula>"Towel"</formula>
    </cfRule>
    <cfRule type="cellIs" dxfId="4661" priority="7964" stopIfTrue="1" operator="equal">
      <formula>"Napkin Hs"</formula>
    </cfRule>
  </conditionalFormatting>
  <conditionalFormatting sqref="C114">
    <cfRule type="cellIs" dxfId="4660" priority="7957" stopIfTrue="1" operator="equal">
      <formula>"Towel"</formula>
    </cfRule>
    <cfRule type="cellIs" dxfId="4659" priority="7958" stopIfTrue="1" operator="equal">
      <formula>"Napkin Hs"</formula>
    </cfRule>
  </conditionalFormatting>
  <conditionalFormatting sqref="C114">
    <cfRule type="cellIs" dxfId="4658" priority="7955" stopIfTrue="1" operator="equal">
      <formula>"Towel"</formula>
    </cfRule>
    <cfRule type="cellIs" dxfId="4657" priority="7956" stopIfTrue="1" operator="equal">
      <formula>"Napkin Hs"</formula>
    </cfRule>
  </conditionalFormatting>
  <conditionalFormatting sqref="C114">
    <cfRule type="cellIs" dxfId="4656" priority="7931" stopIfTrue="1" operator="equal">
      <formula>"Towel"</formula>
    </cfRule>
  </conditionalFormatting>
  <conditionalFormatting sqref="C114">
    <cfRule type="cellIs" dxfId="4655" priority="7932" stopIfTrue="1" operator="equal">
      <formula>"Napkin Hs"</formula>
    </cfRule>
    <cfRule type="cellIs" dxfId="4654" priority="7937" stopIfTrue="1" operator="equal">
      <formula>"Towel"</formula>
    </cfRule>
    <cfRule type="cellIs" dxfId="4653" priority="7938" stopIfTrue="1" operator="equal">
      <formula>"Napkin Hs"</formula>
    </cfRule>
    <cfRule type="cellIs" dxfId="4652" priority="7947" stopIfTrue="1" operator="equal">
      <formula>"Towel"</formula>
    </cfRule>
    <cfRule type="cellIs" dxfId="4651" priority="7948" stopIfTrue="1" operator="equal">
      <formula>"Napkin Hs"</formula>
    </cfRule>
    <cfRule type="cellIs" dxfId="4650" priority="7953" stopIfTrue="1" operator="equal">
      <formula>"Towel"</formula>
    </cfRule>
    <cfRule type="cellIs" dxfId="4649" priority="7954" stopIfTrue="1" operator="equal">
      <formula>"Napkin Hs"</formula>
    </cfRule>
  </conditionalFormatting>
  <conditionalFormatting sqref="C114">
    <cfRule type="cellIs" dxfId="4648" priority="7933" stopIfTrue="1" operator="equal">
      <formula>"Towel"</formula>
    </cfRule>
    <cfRule type="cellIs" dxfId="4647" priority="7934" stopIfTrue="1" operator="equal">
      <formula>"Napkin Hs"</formula>
    </cfRule>
    <cfRule type="cellIs" dxfId="4646" priority="7935" stopIfTrue="1" operator="equal">
      <formula>"Towel"</formula>
    </cfRule>
    <cfRule type="cellIs" dxfId="4645" priority="7936" stopIfTrue="1" operator="equal">
      <formula>"Napkin Hs"</formula>
    </cfRule>
    <cfRule type="cellIs" dxfId="4644" priority="7939" stopIfTrue="1" operator="equal">
      <formula>"Towel"</formula>
    </cfRule>
    <cfRule type="cellIs" dxfId="4643" priority="7940" stopIfTrue="1" operator="equal">
      <formula>"Napkin Hs"</formula>
    </cfRule>
    <cfRule type="cellIs" dxfId="4642" priority="7941" stopIfTrue="1" operator="equal">
      <formula>"Towel"</formula>
    </cfRule>
    <cfRule type="cellIs" dxfId="4641" priority="7942" stopIfTrue="1" operator="equal">
      <formula>"Napkin Hs"</formula>
    </cfRule>
    <cfRule type="cellIs" dxfId="4640" priority="7943" stopIfTrue="1" operator="equal">
      <formula>"Towel"</formula>
    </cfRule>
    <cfRule type="cellIs" dxfId="4639" priority="7944" stopIfTrue="1" operator="equal">
      <formula>"Napkin Hs"</formula>
    </cfRule>
    <cfRule type="cellIs" dxfId="4638" priority="7945" stopIfTrue="1" operator="equal">
      <formula>"Towel"</formula>
    </cfRule>
    <cfRule type="cellIs" dxfId="4637" priority="7946" stopIfTrue="1" operator="equal">
      <formula>"Napkin Hs"</formula>
    </cfRule>
    <cfRule type="cellIs" dxfId="4636" priority="7949" stopIfTrue="1" operator="equal">
      <formula>"Towel"</formula>
    </cfRule>
    <cfRule type="cellIs" dxfId="4635" priority="7950" stopIfTrue="1" operator="equal">
      <formula>"Napkin Hs"</formula>
    </cfRule>
    <cfRule type="cellIs" dxfId="4634" priority="7952" stopIfTrue="1" operator="equal">
      <formula>"Napkin Hs"</formula>
    </cfRule>
  </conditionalFormatting>
  <conditionalFormatting sqref="C114">
    <cfRule type="cellIs" dxfId="4633" priority="7951" stopIfTrue="1" operator="equal">
      <formula>"Towel"</formula>
    </cfRule>
  </conditionalFormatting>
  <conditionalFormatting sqref="C114">
    <cfRule type="cellIs" dxfId="4632" priority="7929" stopIfTrue="1" operator="equal">
      <formula>"Towel"</formula>
    </cfRule>
    <cfRule type="cellIs" dxfId="4631" priority="7930" stopIfTrue="1" operator="equal">
      <formula>"Napkin Hs"</formula>
    </cfRule>
  </conditionalFormatting>
  <conditionalFormatting sqref="C114">
    <cfRule type="cellIs" dxfId="4630" priority="7928" stopIfTrue="1" operator="equal">
      <formula>"Napkin Hs"</formula>
    </cfRule>
  </conditionalFormatting>
  <conditionalFormatting sqref="C114">
    <cfRule type="cellIs" dxfId="4629" priority="7927" stopIfTrue="1" operator="equal">
      <formula>"Towel"</formula>
    </cfRule>
  </conditionalFormatting>
  <conditionalFormatting sqref="C114">
    <cfRule type="cellIs" dxfId="4628" priority="7925" stopIfTrue="1" operator="equal">
      <formula>"Towel"</formula>
    </cfRule>
  </conditionalFormatting>
  <conditionalFormatting sqref="C114">
    <cfRule type="cellIs" dxfId="4627" priority="7926" stopIfTrue="1" operator="equal">
      <formula>"Napkin Hs"</formula>
    </cfRule>
  </conditionalFormatting>
  <conditionalFormatting sqref="C114">
    <cfRule type="cellIs" dxfId="4626" priority="7829" stopIfTrue="1" operator="equal">
      <formula>"Towel"</formula>
    </cfRule>
  </conditionalFormatting>
  <conditionalFormatting sqref="C114">
    <cfRule type="cellIs" dxfId="4625" priority="7839" stopIfTrue="1" operator="equal">
      <formula>"Towel"</formula>
    </cfRule>
    <cfRule type="cellIs" dxfId="4624" priority="7840" stopIfTrue="1" operator="equal">
      <formula>"Napkin Hs"</formula>
    </cfRule>
    <cfRule type="cellIs" dxfId="4623" priority="7845" stopIfTrue="1" operator="equal">
      <formula>"Towel"</formula>
    </cfRule>
    <cfRule type="cellIs" dxfId="4622" priority="7846" stopIfTrue="1" operator="equal">
      <formula>"Napkin Hs"</formula>
    </cfRule>
    <cfRule type="cellIs" dxfId="4621" priority="7851" stopIfTrue="1" operator="equal">
      <formula>"Towel"</formula>
    </cfRule>
    <cfRule type="cellIs" dxfId="4620" priority="7852" stopIfTrue="1" operator="equal">
      <formula>"Napkin Hs"</formula>
    </cfRule>
    <cfRule type="cellIs" dxfId="4619" priority="7853" stopIfTrue="1" operator="equal">
      <formula>"Towel"</formula>
    </cfRule>
    <cfRule type="cellIs" dxfId="4618" priority="7854" stopIfTrue="1" operator="equal">
      <formula>"Napkin Hs"</formula>
    </cfRule>
    <cfRule type="cellIs" dxfId="4617" priority="7859" stopIfTrue="1" operator="equal">
      <formula>"Towel"</formula>
    </cfRule>
    <cfRule type="cellIs" dxfId="4616" priority="7860" stopIfTrue="1" operator="equal">
      <formula>"Napkin Hs"</formula>
    </cfRule>
    <cfRule type="cellIs" dxfId="4615" priority="7869" stopIfTrue="1" operator="equal">
      <formula>"Towel"</formula>
    </cfRule>
    <cfRule type="cellIs" dxfId="4614" priority="7870" stopIfTrue="1" operator="equal">
      <formula>"Napkin Hs"</formula>
    </cfRule>
    <cfRule type="cellIs" dxfId="4613" priority="7875" stopIfTrue="1" operator="equal">
      <formula>"Towel"</formula>
    </cfRule>
    <cfRule type="cellIs" dxfId="4612" priority="7876" stopIfTrue="1" operator="equal">
      <formula>"Napkin Hs"</formula>
    </cfRule>
    <cfRule type="cellIs" dxfId="4611" priority="7877" stopIfTrue="1" operator="equal">
      <formula>"Towel"</formula>
    </cfRule>
    <cfRule type="cellIs" dxfId="4610" priority="7878" stopIfTrue="1" operator="equal">
      <formula>"Napkin Hs"</formula>
    </cfRule>
    <cfRule type="cellIs" dxfId="4609" priority="7883" stopIfTrue="1" operator="equal">
      <formula>"Towel"</formula>
    </cfRule>
    <cfRule type="cellIs" dxfId="4608" priority="7884" stopIfTrue="1" operator="equal">
      <formula>"Napkin Hs"</formula>
    </cfRule>
    <cfRule type="cellIs" dxfId="4607" priority="7893" stopIfTrue="1" operator="equal">
      <formula>"Towel"</formula>
    </cfRule>
    <cfRule type="cellIs" dxfId="4606" priority="7894" stopIfTrue="1" operator="equal">
      <formula>"Napkin Hs"</formula>
    </cfRule>
    <cfRule type="cellIs" dxfId="4605" priority="7895" stopIfTrue="1" operator="equal">
      <formula>"Towel"</formula>
    </cfRule>
    <cfRule type="cellIs" dxfId="4604" priority="7896" stopIfTrue="1" operator="equal">
      <formula>"Napkin Hs"</formula>
    </cfRule>
    <cfRule type="cellIs" dxfId="4603" priority="7901" stopIfTrue="1" operator="equal">
      <formula>"Towel"</formula>
    </cfRule>
    <cfRule type="cellIs" dxfId="4602" priority="7902" stopIfTrue="1" operator="equal">
      <formula>"Napkin Hs"</formula>
    </cfRule>
    <cfRule type="cellIs" dxfId="4601" priority="7911" stopIfTrue="1" operator="equal">
      <formula>"Towel"</formula>
    </cfRule>
    <cfRule type="cellIs" dxfId="4600" priority="7912" stopIfTrue="1" operator="equal">
      <formula>"Napkin Hs"</formula>
    </cfRule>
    <cfRule type="cellIs" dxfId="4599" priority="7913" stopIfTrue="1" operator="equal">
      <formula>"Towel"</formula>
    </cfRule>
    <cfRule type="cellIs" dxfId="4598" priority="7914" stopIfTrue="1" operator="equal">
      <formula>"Napkin Hs"</formula>
    </cfRule>
    <cfRule type="cellIs" dxfId="4597" priority="7920" stopIfTrue="1" operator="equal">
      <formula>"Napkin Hs"</formula>
    </cfRule>
  </conditionalFormatting>
  <conditionalFormatting sqref="C114">
    <cfRule type="cellIs" dxfId="4596" priority="7919" stopIfTrue="1" operator="equal">
      <formula>"Towel"</formula>
    </cfRule>
  </conditionalFormatting>
  <conditionalFormatting sqref="C114">
    <cfRule type="cellIs" dxfId="4595" priority="7830" stopIfTrue="1" operator="equal">
      <formula>"Napkin Hs"</formula>
    </cfRule>
    <cfRule type="cellIs" dxfId="4594" priority="7831" stopIfTrue="1" operator="equal">
      <formula>"Towel"</formula>
    </cfRule>
    <cfRule type="cellIs" dxfId="4593" priority="7832" stopIfTrue="1" operator="equal">
      <formula>"Napkin Hs"</formula>
    </cfRule>
    <cfRule type="cellIs" dxfId="4592" priority="7833" stopIfTrue="1" operator="equal">
      <formula>"Towel"</formula>
    </cfRule>
    <cfRule type="cellIs" dxfId="4591" priority="7834" stopIfTrue="1" operator="equal">
      <formula>"Napkin Hs"</formula>
    </cfRule>
    <cfRule type="cellIs" dxfId="4590" priority="7835" stopIfTrue="1" operator="equal">
      <formula>"Towel"</formula>
    </cfRule>
    <cfRule type="cellIs" dxfId="4589" priority="7836" stopIfTrue="1" operator="equal">
      <formula>"Napkin Hs"</formula>
    </cfRule>
    <cfRule type="cellIs" dxfId="4588" priority="7837" stopIfTrue="1" operator="equal">
      <formula>"Towel"</formula>
    </cfRule>
    <cfRule type="cellIs" dxfId="4587" priority="7838" stopIfTrue="1" operator="equal">
      <formula>"Napkin Hs"</formula>
    </cfRule>
    <cfRule type="cellIs" dxfId="4586" priority="7841" stopIfTrue="1" operator="equal">
      <formula>"Towel"</formula>
    </cfRule>
    <cfRule type="cellIs" dxfId="4585" priority="7842" stopIfTrue="1" operator="equal">
      <formula>"Napkin Hs"</formula>
    </cfRule>
    <cfRule type="cellIs" dxfId="4584" priority="7843" stopIfTrue="1" operator="equal">
      <formula>"Towel"</formula>
    </cfRule>
    <cfRule type="cellIs" dxfId="4583" priority="7844" stopIfTrue="1" operator="equal">
      <formula>"Napkin Hs"</formula>
    </cfRule>
    <cfRule type="cellIs" dxfId="4582" priority="7847" stopIfTrue="1" operator="equal">
      <formula>"Towel"</formula>
    </cfRule>
    <cfRule type="cellIs" dxfId="4581" priority="7848" stopIfTrue="1" operator="equal">
      <formula>"Napkin Hs"</formula>
    </cfRule>
    <cfRule type="cellIs" dxfId="4580" priority="7849" stopIfTrue="1" operator="equal">
      <formula>"Towel"</formula>
    </cfRule>
    <cfRule type="cellIs" dxfId="4579" priority="7850" stopIfTrue="1" operator="equal">
      <formula>"Napkin Hs"</formula>
    </cfRule>
    <cfRule type="cellIs" dxfId="4578" priority="7855" stopIfTrue="1" operator="equal">
      <formula>"Towel"</formula>
    </cfRule>
    <cfRule type="cellIs" dxfId="4577" priority="7856" stopIfTrue="1" operator="equal">
      <formula>"Napkin Hs"</formula>
    </cfRule>
    <cfRule type="cellIs" dxfId="4576" priority="7857" stopIfTrue="1" operator="equal">
      <formula>"Towel"</formula>
    </cfRule>
    <cfRule type="cellIs" dxfId="4575" priority="7858" stopIfTrue="1" operator="equal">
      <formula>"Napkin Hs"</formula>
    </cfRule>
    <cfRule type="cellIs" dxfId="4574" priority="7861" stopIfTrue="1" operator="equal">
      <formula>"Towel"</formula>
    </cfRule>
    <cfRule type="cellIs" dxfId="4573" priority="7862" stopIfTrue="1" operator="equal">
      <formula>"Napkin Hs"</formula>
    </cfRule>
    <cfRule type="cellIs" dxfId="4572" priority="7863" stopIfTrue="1" operator="equal">
      <formula>"Towel"</formula>
    </cfRule>
    <cfRule type="cellIs" dxfId="4571" priority="7864" stopIfTrue="1" operator="equal">
      <formula>"Napkin Hs"</formula>
    </cfRule>
    <cfRule type="cellIs" dxfId="4570" priority="7865" stopIfTrue="1" operator="equal">
      <formula>"Towel"</formula>
    </cfRule>
    <cfRule type="cellIs" dxfId="4569" priority="7866" stopIfTrue="1" operator="equal">
      <formula>"Napkin Hs"</formula>
    </cfRule>
    <cfRule type="cellIs" dxfId="4568" priority="7867" stopIfTrue="1" operator="equal">
      <formula>"Towel"</formula>
    </cfRule>
    <cfRule type="cellIs" dxfId="4567" priority="7868" stopIfTrue="1" operator="equal">
      <formula>"Napkin Hs"</formula>
    </cfRule>
    <cfRule type="cellIs" dxfId="4566" priority="7871" stopIfTrue="1" operator="equal">
      <formula>"Towel"</formula>
    </cfRule>
    <cfRule type="cellIs" dxfId="4565" priority="7872" stopIfTrue="1" operator="equal">
      <formula>"Napkin Hs"</formula>
    </cfRule>
    <cfRule type="cellIs" dxfId="4564" priority="7873" stopIfTrue="1" operator="equal">
      <formula>"Towel"</formula>
    </cfRule>
    <cfRule type="cellIs" dxfId="4563" priority="7874" stopIfTrue="1" operator="equal">
      <formula>"Napkin Hs"</formula>
    </cfRule>
    <cfRule type="cellIs" dxfId="4562" priority="7879" stopIfTrue="1" operator="equal">
      <formula>"Towel"</formula>
    </cfRule>
    <cfRule type="cellIs" dxfId="4561" priority="7880" stopIfTrue="1" operator="equal">
      <formula>"Napkin Hs"</formula>
    </cfRule>
    <cfRule type="cellIs" dxfId="4560" priority="7881" stopIfTrue="1" operator="equal">
      <formula>"Towel"</formula>
    </cfRule>
    <cfRule type="cellIs" dxfId="4559" priority="7882" stopIfTrue="1" operator="equal">
      <formula>"Napkin Hs"</formula>
    </cfRule>
    <cfRule type="cellIs" dxfId="4558" priority="7885" stopIfTrue="1" operator="equal">
      <formula>"Towel"</formula>
    </cfRule>
    <cfRule type="cellIs" dxfId="4557" priority="7886" stopIfTrue="1" operator="equal">
      <formula>"Napkin Hs"</formula>
    </cfRule>
    <cfRule type="cellIs" dxfId="4556" priority="7887" stopIfTrue="1" operator="equal">
      <formula>"Towel"</formula>
    </cfRule>
    <cfRule type="cellIs" dxfId="4555" priority="7888" stopIfTrue="1" operator="equal">
      <formula>"Napkin Hs"</formula>
    </cfRule>
    <cfRule type="cellIs" dxfId="4554" priority="7889" stopIfTrue="1" operator="equal">
      <formula>"Towel"</formula>
    </cfRule>
    <cfRule type="cellIs" dxfId="4553" priority="7890" stopIfTrue="1" operator="equal">
      <formula>"Napkin Hs"</formula>
    </cfRule>
    <cfRule type="cellIs" dxfId="4552" priority="7891" stopIfTrue="1" operator="equal">
      <formula>"Towel"</formula>
    </cfRule>
    <cfRule type="cellIs" dxfId="4551" priority="7892" stopIfTrue="1" operator="equal">
      <formula>"Napkin Hs"</formula>
    </cfRule>
    <cfRule type="cellIs" dxfId="4550" priority="7897" stopIfTrue="1" operator="equal">
      <formula>"Towel"</formula>
    </cfRule>
    <cfRule type="cellIs" dxfId="4549" priority="7898" stopIfTrue="1" operator="equal">
      <formula>"Napkin Hs"</formula>
    </cfRule>
    <cfRule type="cellIs" dxfId="4548" priority="7899" stopIfTrue="1" operator="equal">
      <formula>"Towel"</formula>
    </cfRule>
    <cfRule type="cellIs" dxfId="4547" priority="7900" stopIfTrue="1" operator="equal">
      <formula>"Napkin Hs"</formula>
    </cfRule>
    <cfRule type="cellIs" dxfId="4546" priority="7903" stopIfTrue="1" operator="equal">
      <formula>"Towel"</formula>
    </cfRule>
    <cfRule type="cellIs" dxfId="4545" priority="7904" stopIfTrue="1" operator="equal">
      <formula>"Napkin Hs"</formula>
    </cfRule>
    <cfRule type="cellIs" dxfId="4544" priority="7905" stopIfTrue="1" operator="equal">
      <formula>"Towel"</formula>
    </cfRule>
    <cfRule type="cellIs" dxfId="4543" priority="7906" stopIfTrue="1" operator="equal">
      <formula>"Napkin Hs"</formula>
    </cfRule>
    <cfRule type="cellIs" dxfId="4542" priority="7907" stopIfTrue="1" operator="equal">
      <formula>"Towel"</formula>
    </cfRule>
    <cfRule type="cellIs" dxfId="4541" priority="7908" stopIfTrue="1" operator="equal">
      <formula>"Napkin Hs"</formula>
    </cfRule>
    <cfRule type="cellIs" dxfId="4540" priority="7909" stopIfTrue="1" operator="equal">
      <formula>"Towel"</formula>
    </cfRule>
    <cfRule type="cellIs" dxfId="4539" priority="7910" stopIfTrue="1" operator="equal">
      <formula>"Napkin Hs"</formula>
    </cfRule>
    <cfRule type="cellIs" dxfId="4538" priority="7915" stopIfTrue="1" operator="equal">
      <formula>"Towel"</formula>
    </cfRule>
    <cfRule type="cellIs" dxfId="4537" priority="7916" stopIfTrue="1" operator="equal">
      <formula>"Napkin Hs"</formula>
    </cfRule>
    <cfRule type="cellIs" dxfId="4536" priority="7917" stopIfTrue="1" operator="equal">
      <formula>"Towel"</formula>
    </cfRule>
    <cfRule type="cellIs" dxfId="4535" priority="7918" stopIfTrue="1" operator="equal">
      <formula>"Napkin Hs"</formula>
    </cfRule>
    <cfRule type="cellIs" dxfId="4534" priority="7921" stopIfTrue="1" operator="equal">
      <formula>"Towel"</formula>
    </cfRule>
    <cfRule type="cellIs" dxfId="4533" priority="7922" stopIfTrue="1" operator="equal">
      <formula>"Napkin Hs"</formula>
    </cfRule>
    <cfRule type="cellIs" dxfId="4532" priority="7923" stopIfTrue="1" operator="equal">
      <formula>"Towel"</formula>
    </cfRule>
    <cfRule type="cellIs" dxfId="4531" priority="7924" stopIfTrue="1" operator="equal">
      <formula>"Napkin Hs"</formula>
    </cfRule>
  </conditionalFormatting>
  <conditionalFormatting sqref="C114">
    <cfRule type="cellIs" dxfId="4530" priority="7828" stopIfTrue="1" operator="equal">
      <formula>"Napkin Hs"</formula>
    </cfRule>
  </conditionalFormatting>
  <conditionalFormatting sqref="C114">
    <cfRule type="cellIs" dxfId="4529" priority="7827" stopIfTrue="1" operator="equal">
      <formula>"Napkin Hs"</formula>
    </cfRule>
  </conditionalFormatting>
  <conditionalFormatting sqref="C114">
    <cfRule type="cellIs" dxfId="4528" priority="7826" stopIfTrue="1" operator="equal">
      <formula>"Napkin Hs"</formula>
    </cfRule>
  </conditionalFormatting>
  <conditionalFormatting sqref="C114">
    <cfRule type="cellIs" dxfId="4527" priority="7825" stopIfTrue="1" operator="equal">
      <formula>"Napkin Hs"</formula>
    </cfRule>
  </conditionalFormatting>
  <conditionalFormatting sqref="C114">
    <cfRule type="cellIs" dxfId="4526" priority="7824" stopIfTrue="1" operator="equal">
      <formula>"Napkin Hs"</formula>
    </cfRule>
  </conditionalFormatting>
  <conditionalFormatting sqref="C114">
    <cfRule type="cellIs" dxfId="4525" priority="7823" stopIfTrue="1" operator="equal">
      <formula>"Napkin Hs"</formula>
    </cfRule>
  </conditionalFormatting>
  <conditionalFormatting sqref="C114">
    <cfRule type="cellIs" dxfId="4524" priority="7819" stopIfTrue="1" operator="equal">
      <formula>"Towel"</formula>
    </cfRule>
    <cfRule type="cellIs" dxfId="4523" priority="7820" stopIfTrue="1" operator="equal">
      <formula>"Napkin Hs"</formula>
    </cfRule>
  </conditionalFormatting>
  <conditionalFormatting sqref="C114">
    <cfRule type="cellIs" dxfId="4522" priority="7821" stopIfTrue="1" operator="equal">
      <formula>"Towel"</formula>
    </cfRule>
    <cfRule type="cellIs" dxfId="4521" priority="7822" stopIfTrue="1" operator="equal">
      <formula>"Napkin Hs"</formula>
    </cfRule>
  </conditionalFormatting>
  <conditionalFormatting sqref="C114">
    <cfRule type="cellIs" dxfId="4520" priority="7815" stopIfTrue="1" operator="equal">
      <formula>"Towel"</formula>
    </cfRule>
    <cfRule type="cellIs" dxfId="4519" priority="7816" stopIfTrue="1" operator="equal">
      <formula>"Napkin Hs"</formula>
    </cfRule>
  </conditionalFormatting>
  <conditionalFormatting sqref="C114">
    <cfRule type="cellIs" dxfId="4518" priority="7817" stopIfTrue="1" operator="equal">
      <formula>"Towel"</formula>
    </cfRule>
    <cfRule type="cellIs" dxfId="4517" priority="7818" stopIfTrue="1" operator="equal">
      <formula>"Napkin Hs"</formula>
    </cfRule>
  </conditionalFormatting>
  <conditionalFormatting sqref="B122:C122">
    <cfRule type="cellIs" dxfId="4516" priority="7801" stopIfTrue="1" operator="equal">
      <formula>"Towel"</formula>
    </cfRule>
    <cfRule type="cellIs" dxfId="4515" priority="7802" stopIfTrue="1" operator="equal">
      <formula>"Napkin Hs"</formula>
    </cfRule>
  </conditionalFormatting>
  <conditionalFormatting sqref="C122">
    <cfRule type="cellIs" dxfId="4514" priority="7797" stopIfTrue="1" operator="equal">
      <formula>"Towel"</formula>
    </cfRule>
    <cfRule type="cellIs" dxfId="4513" priority="7798" stopIfTrue="1" operator="equal">
      <formula>"Napkin Hs"</formula>
    </cfRule>
  </conditionalFormatting>
  <conditionalFormatting sqref="C122">
    <cfRule type="cellIs" dxfId="4512" priority="7799" stopIfTrue="1" operator="equal">
      <formula>"Towel"</formula>
    </cfRule>
    <cfRule type="cellIs" dxfId="4511" priority="7800" stopIfTrue="1" operator="equal">
      <formula>"Napkin Hs"</formula>
    </cfRule>
  </conditionalFormatting>
  <conditionalFormatting sqref="B121:C121">
    <cfRule type="cellIs" dxfId="4510" priority="7771" stopIfTrue="1" operator="equal">
      <formula>"Towel"</formula>
    </cfRule>
    <cfRule type="cellIs" dxfId="4509" priority="7772" stopIfTrue="1" operator="equal">
      <formula>"Napkin Hs"</formula>
    </cfRule>
  </conditionalFormatting>
  <conditionalFormatting sqref="C121">
    <cfRule type="cellIs" dxfId="4508" priority="7751" stopIfTrue="1" operator="equal">
      <formula>"Towel"</formula>
    </cfRule>
    <cfRule type="cellIs" dxfId="4507" priority="7752" stopIfTrue="1" operator="equal">
      <formula>"Napkin Hs"</formula>
    </cfRule>
  </conditionalFormatting>
  <conditionalFormatting sqref="B121:C121">
    <cfRule type="cellIs" dxfId="4506" priority="7749" stopIfTrue="1" operator="equal">
      <formula>"Towel"</formula>
    </cfRule>
    <cfRule type="cellIs" dxfId="4505" priority="7750" stopIfTrue="1" operator="equal">
      <formula>"Napkin Hs"</formula>
    </cfRule>
  </conditionalFormatting>
  <conditionalFormatting sqref="C121">
    <cfRule type="cellIs" dxfId="4504" priority="7757" stopIfTrue="1" operator="equal">
      <formula>"Towel"</formula>
    </cfRule>
    <cfRule type="cellIs" dxfId="4503" priority="7758" stopIfTrue="1" operator="equal">
      <formula>"Napkin Hs"</formula>
    </cfRule>
  </conditionalFormatting>
  <conditionalFormatting sqref="B121:C121">
    <cfRule type="cellIs" dxfId="4502" priority="7755" stopIfTrue="1" operator="equal">
      <formula>"Towel"</formula>
    </cfRule>
    <cfRule type="cellIs" dxfId="4501" priority="7756" stopIfTrue="1" operator="equal">
      <formula>"Napkin Hs"</formula>
    </cfRule>
  </conditionalFormatting>
  <conditionalFormatting sqref="C121">
    <cfRule type="cellIs" dxfId="4500" priority="7753" stopIfTrue="1" operator="equal">
      <formula>"Towel"</formula>
    </cfRule>
    <cfRule type="cellIs" dxfId="4499" priority="7754" stopIfTrue="1" operator="equal">
      <formula>"Napkin Hs"</formula>
    </cfRule>
  </conditionalFormatting>
  <conditionalFormatting sqref="B122:C122">
    <cfRule type="cellIs" dxfId="4498" priority="7789" stopIfTrue="1" operator="equal">
      <formula>"Towel"</formula>
    </cfRule>
    <cfRule type="cellIs" dxfId="4497" priority="7790" stopIfTrue="1" operator="equal">
      <formula>"Napkin Hs"</formula>
    </cfRule>
  </conditionalFormatting>
  <conditionalFormatting sqref="C122">
    <cfRule type="cellIs" dxfId="4496" priority="7787" stopIfTrue="1" operator="equal">
      <formula>"Towel"</formula>
    </cfRule>
    <cfRule type="cellIs" dxfId="4495" priority="7788" stopIfTrue="1" operator="equal">
      <formula>"Napkin Hs"</formula>
    </cfRule>
  </conditionalFormatting>
  <conditionalFormatting sqref="C122">
    <cfRule type="cellIs" dxfId="4494" priority="7785" stopIfTrue="1" operator="equal">
      <formula>"Towel"</formula>
    </cfRule>
    <cfRule type="cellIs" dxfId="4493" priority="7786" stopIfTrue="1" operator="equal">
      <formula>"Napkin Hs"</formula>
    </cfRule>
  </conditionalFormatting>
  <conditionalFormatting sqref="C121">
    <cfRule type="cellIs" dxfId="4492" priority="7763" stopIfTrue="1" operator="equal">
      <formula>"Towel"</formula>
    </cfRule>
    <cfRule type="cellIs" dxfId="4491" priority="7764" stopIfTrue="1" operator="equal">
      <formula>"Napkin Hs"</formula>
    </cfRule>
  </conditionalFormatting>
  <conditionalFormatting sqref="C121">
    <cfRule type="cellIs" dxfId="4490" priority="7761" stopIfTrue="1" operator="equal">
      <formula>"Towel"</formula>
    </cfRule>
    <cfRule type="cellIs" dxfId="4489" priority="7762" stopIfTrue="1" operator="equal">
      <formula>"Napkin Hs"</formula>
    </cfRule>
  </conditionalFormatting>
  <conditionalFormatting sqref="C121">
    <cfRule type="cellIs" dxfId="4488" priority="7759" stopIfTrue="1" operator="equal">
      <formula>"Towel"</formula>
    </cfRule>
    <cfRule type="cellIs" dxfId="4487" priority="7760" stopIfTrue="1" operator="equal">
      <formula>"Napkin Hs"</formula>
    </cfRule>
  </conditionalFormatting>
  <conditionalFormatting sqref="C122">
    <cfRule type="cellIs" dxfId="4486" priority="7777" stopIfTrue="1" operator="equal">
      <formula>"Towel"</formula>
    </cfRule>
    <cfRule type="cellIs" dxfId="4485" priority="7778" stopIfTrue="1" operator="equal">
      <formula>"Napkin Hs"</formula>
    </cfRule>
  </conditionalFormatting>
  <conditionalFormatting sqref="B122:C122">
    <cfRule type="cellIs" dxfId="4484" priority="7779" stopIfTrue="1" operator="equal">
      <formula>"Towel"</formula>
    </cfRule>
    <cfRule type="cellIs" dxfId="4483" priority="7780" stopIfTrue="1" operator="equal">
      <formula>"Napkin Hs"</formula>
    </cfRule>
  </conditionalFormatting>
  <conditionalFormatting sqref="C122">
    <cfRule type="cellIs" dxfId="4482" priority="7775" stopIfTrue="1" operator="equal">
      <formula>"Towel"</formula>
    </cfRule>
    <cfRule type="cellIs" dxfId="4481" priority="7776" stopIfTrue="1" operator="equal">
      <formula>"Napkin Hs"</formula>
    </cfRule>
  </conditionalFormatting>
  <conditionalFormatting sqref="B122:C122">
    <cfRule type="cellIs" dxfId="4480" priority="7773" stopIfTrue="1" operator="equal">
      <formula>"Towel"</formula>
    </cfRule>
    <cfRule type="cellIs" dxfId="4479" priority="7774" stopIfTrue="1" operator="equal">
      <formula>"Napkin Hs"</formula>
    </cfRule>
  </conditionalFormatting>
  <conditionalFormatting sqref="C122">
    <cfRule type="cellIs" dxfId="4478" priority="7781" stopIfTrue="1" operator="equal">
      <formula>"Towel"</formula>
    </cfRule>
    <cfRule type="cellIs" dxfId="4477" priority="7782" stopIfTrue="1" operator="equal">
      <formula>"Napkin Hs"</formula>
    </cfRule>
  </conditionalFormatting>
  <conditionalFormatting sqref="C122">
    <cfRule type="cellIs" dxfId="4476" priority="7783" stopIfTrue="1" operator="equal">
      <formula>"Towel"</formula>
    </cfRule>
    <cfRule type="cellIs" dxfId="4475" priority="7784" stopIfTrue="1" operator="equal">
      <formula>"Napkin Hs"</formula>
    </cfRule>
  </conditionalFormatting>
  <conditionalFormatting sqref="C121">
    <cfRule type="cellIs" dxfId="4474" priority="7767" stopIfTrue="1" operator="equal">
      <formula>"Towel"</formula>
    </cfRule>
    <cfRule type="cellIs" dxfId="4473" priority="7768" stopIfTrue="1" operator="equal">
      <formula>"Napkin Hs"</formula>
    </cfRule>
  </conditionalFormatting>
  <conditionalFormatting sqref="C121">
    <cfRule type="cellIs" dxfId="4472" priority="7769" stopIfTrue="1" operator="equal">
      <formula>"Towel"</formula>
    </cfRule>
    <cfRule type="cellIs" dxfId="4471" priority="7770" stopIfTrue="1" operator="equal">
      <formula>"Napkin Hs"</formula>
    </cfRule>
  </conditionalFormatting>
  <conditionalFormatting sqref="B121:C121">
    <cfRule type="cellIs" dxfId="4470" priority="7765" stopIfTrue="1" operator="equal">
      <formula>"Towel"</formula>
    </cfRule>
    <cfRule type="cellIs" dxfId="4469" priority="7766" stopIfTrue="1" operator="equal">
      <formula>"Napkin Hs"</formula>
    </cfRule>
  </conditionalFormatting>
  <conditionalFormatting sqref="C120">
    <cfRule type="cellIs" dxfId="4468" priority="7741" stopIfTrue="1" operator="equal">
      <formula>"Towel"</formula>
    </cfRule>
    <cfRule type="cellIs" dxfId="4467" priority="7742" stopIfTrue="1" operator="equal">
      <formula>"Napkin Hs"</formula>
    </cfRule>
  </conditionalFormatting>
  <conditionalFormatting sqref="B120:C120">
    <cfRule type="cellIs" dxfId="4466" priority="7743" stopIfTrue="1" operator="equal">
      <formula>"Towel"</formula>
    </cfRule>
    <cfRule type="cellIs" dxfId="4465" priority="7744" stopIfTrue="1" operator="equal">
      <formula>"Napkin Hs"</formula>
    </cfRule>
  </conditionalFormatting>
  <conditionalFormatting sqref="C120">
    <cfRule type="cellIs" dxfId="4464" priority="7739" stopIfTrue="1" operator="equal">
      <formula>"Towel"</formula>
    </cfRule>
    <cfRule type="cellIs" dxfId="4463" priority="7740" stopIfTrue="1" operator="equal">
      <formula>"Napkin Hs"</formula>
    </cfRule>
  </conditionalFormatting>
  <conditionalFormatting sqref="B120:C120">
    <cfRule type="cellIs" dxfId="4462" priority="7737" stopIfTrue="1" operator="equal">
      <formula>"Towel"</formula>
    </cfRule>
    <cfRule type="cellIs" dxfId="4461" priority="7738" stopIfTrue="1" operator="equal">
      <formula>"Napkin Hs"</formula>
    </cfRule>
  </conditionalFormatting>
  <conditionalFormatting sqref="C120">
    <cfRule type="cellIs" dxfId="4460" priority="7745" stopIfTrue="1" operator="equal">
      <formula>"Towel"</formula>
    </cfRule>
    <cfRule type="cellIs" dxfId="4459" priority="7746" stopIfTrue="1" operator="equal">
      <formula>"Napkin Hs"</formula>
    </cfRule>
  </conditionalFormatting>
  <conditionalFormatting sqref="C120">
    <cfRule type="cellIs" dxfId="4458" priority="7747" stopIfTrue="1" operator="equal">
      <formula>"Towel"</formula>
    </cfRule>
    <cfRule type="cellIs" dxfId="4457" priority="7748" stopIfTrue="1" operator="equal">
      <formula>"Napkin Hs"</formula>
    </cfRule>
  </conditionalFormatting>
  <conditionalFormatting sqref="C120">
    <cfRule type="cellIs" dxfId="4456" priority="7733" stopIfTrue="1" operator="equal">
      <formula>"Towel"</formula>
    </cfRule>
    <cfRule type="cellIs" dxfId="4455" priority="7734" stopIfTrue="1" operator="equal">
      <formula>"Napkin Hs"</formula>
    </cfRule>
  </conditionalFormatting>
  <conditionalFormatting sqref="C120">
    <cfRule type="cellIs" dxfId="4454" priority="7735" stopIfTrue="1" operator="equal">
      <formula>"Towel"</formula>
    </cfRule>
    <cfRule type="cellIs" dxfId="4453" priority="7736" stopIfTrue="1" operator="equal">
      <formula>"Napkin Hs"</formula>
    </cfRule>
  </conditionalFormatting>
  <conditionalFormatting sqref="C120">
    <cfRule type="cellIs" dxfId="4452" priority="7731" stopIfTrue="1" operator="equal">
      <formula>"Towel"</formula>
    </cfRule>
    <cfRule type="cellIs" dxfId="4451" priority="7732" stopIfTrue="1" operator="equal">
      <formula>"Napkin Hs"</formula>
    </cfRule>
  </conditionalFormatting>
  <conditionalFormatting sqref="B120">
    <cfRule type="cellIs" dxfId="4450" priority="7729" stopIfTrue="1" operator="equal">
      <formula>"Towel"</formula>
    </cfRule>
    <cfRule type="cellIs" dxfId="4449" priority="7730" stopIfTrue="1" operator="equal">
      <formula>"Napkin Hs"</formula>
    </cfRule>
  </conditionalFormatting>
  <conditionalFormatting sqref="C120">
    <cfRule type="cellIs" dxfId="4448" priority="7723" stopIfTrue="1" operator="equal">
      <formula>"Towel"</formula>
    </cfRule>
    <cfRule type="cellIs" dxfId="4447" priority="7724" stopIfTrue="1" operator="equal">
      <formula>"Napkin Hs"</formula>
    </cfRule>
  </conditionalFormatting>
  <conditionalFormatting sqref="C120">
    <cfRule type="cellIs" dxfId="4446" priority="7727" stopIfTrue="1" operator="equal">
      <formula>"Towel"</formula>
    </cfRule>
    <cfRule type="cellIs" dxfId="4445" priority="7728" stopIfTrue="1" operator="equal">
      <formula>"Napkin Hs"</formula>
    </cfRule>
  </conditionalFormatting>
  <conditionalFormatting sqref="C120">
    <cfRule type="cellIs" dxfId="4444" priority="7725" stopIfTrue="1" operator="equal">
      <formula>"Towel"</formula>
    </cfRule>
    <cfRule type="cellIs" dxfId="4443" priority="7726" stopIfTrue="1" operator="equal">
      <formula>"Napkin Hs"</formula>
    </cfRule>
  </conditionalFormatting>
  <conditionalFormatting sqref="C120">
    <cfRule type="cellIs" dxfId="4442" priority="7717" stopIfTrue="1" operator="equal">
      <formula>"Towel"</formula>
    </cfRule>
    <cfRule type="cellIs" dxfId="4441" priority="7718" stopIfTrue="1" operator="equal">
      <formula>"Napkin Hs"</formula>
    </cfRule>
  </conditionalFormatting>
  <conditionalFormatting sqref="C120">
    <cfRule type="cellIs" dxfId="4440" priority="7719" stopIfTrue="1" operator="equal">
      <formula>"Towel"</formula>
    </cfRule>
    <cfRule type="cellIs" dxfId="4439" priority="7720" stopIfTrue="1" operator="equal">
      <formula>"Napkin Hs"</formula>
    </cfRule>
  </conditionalFormatting>
  <conditionalFormatting sqref="C120">
    <cfRule type="cellIs" dxfId="4438" priority="7721" stopIfTrue="1" operator="equal">
      <formula>"Towel"</formula>
    </cfRule>
    <cfRule type="cellIs" dxfId="4437" priority="7722" stopIfTrue="1" operator="equal">
      <formula>"Napkin Hs"</formula>
    </cfRule>
  </conditionalFormatting>
  <conditionalFormatting sqref="B120:C120">
    <cfRule type="cellIs" dxfId="4436" priority="7715" stopIfTrue="1" operator="equal">
      <formula>"Towel"</formula>
    </cfRule>
    <cfRule type="cellIs" dxfId="4435" priority="7716" stopIfTrue="1" operator="equal">
      <formula>"Napkin Hs"</formula>
    </cfRule>
  </conditionalFormatting>
  <conditionalFormatting sqref="B120:C120">
    <cfRule type="cellIs" dxfId="4434" priority="7713" stopIfTrue="1" operator="equal">
      <formula>"Towel"</formula>
    </cfRule>
    <cfRule type="cellIs" dxfId="4433" priority="7714" stopIfTrue="1" operator="equal">
      <formula>"Napkin Hs"</formula>
    </cfRule>
  </conditionalFormatting>
  <conditionalFormatting sqref="B120:C120">
    <cfRule type="cellIs" dxfId="4432" priority="7689" stopIfTrue="1" operator="equal">
      <formula>"Towel"</formula>
    </cfRule>
  </conditionalFormatting>
  <conditionalFormatting sqref="B120:C120">
    <cfRule type="cellIs" dxfId="4431" priority="7690" stopIfTrue="1" operator="equal">
      <formula>"Napkin Hs"</formula>
    </cfRule>
    <cfRule type="cellIs" dxfId="4430" priority="7695" stopIfTrue="1" operator="equal">
      <formula>"Towel"</formula>
    </cfRule>
    <cfRule type="cellIs" dxfId="4429" priority="7696" stopIfTrue="1" operator="equal">
      <formula>"Napkin Hs"</formula>
    </cfRule>
    <cfRule type="cellIs" dxfId="4428" priority="7705" stopIfTrue="1" operator="equal">
      <formula>"Towel"</formula>
    </cfRule>
    <cfRule type="cellIs" dxfId="4427" priority="7706" stopIfTrue="1" operator="equal">
      <formula>"Napkin Hs"</formula>
    </cfRule>
    <cfRule type="cellIs" dxfId="4426" priority="7711" stopIfTrue="1" operator="equal">
      <formula>"Towel"</formula>
    </cfRule>
    <cfRule type="cellIs" dxfId="4425" priority="7712" stopIfTrue="1" operator="equal">
      <formula>"Napkin Hs"</formula>
    </cfRule>
  </conditionalFormatting>
  <conditionalFormatting sqref="C120">
    <cfRule type="cellIs" dxfId="4424" priority="7691" stopIfTrue="1" operator="equal">
      <formula>"Towel"</formula>
    </cfRule>
    <cfRule type="cellIs" dxfId="4423" priority="7692" stopIfTrue="1" operator="equal">
      <formula>"Napkin Hs"</formula>
    </cfRule>
    <cfRule type="cellIs" dxfId="4422" priority="7693" stopIfTrue="1" operator="equal">
      <formula>"Towel"</formula>
    </cfRule>
    <cfRule type="cellIs" dxfId="4421" priority="7694" stopIfTrue="1" operator="equal">
      <formula>"Napkin Hs"</formula>
    </cfRule>
    <cfRule type="cellIs" dxfId="4420" priority="7697" stopIfTrue="1" operator="equal">
      <formula>"Towel"</formula>
    </cfRule>
    <cfRule type="cellIs" dxfId="4419" priority="7698" stopIfTrue="1" operator="equal">
      <formula>"Napkin Hs"</formula>
    </cfRule>
    <cfRule type="cellIs" dxfId="4418" priority="7699" stopIfTrue="1" operator="equal">
      <formula>"Towel"</formula>
    </cfRule>
    <cfRule type="cellIs" dxfId="4417" priority="7700" stopIfTrue="1" operator="equal">
      <formula>"Napkin Hs"</formula>
    </cfRule>
    <cfRule type="cellIs" dxfId="4416" priority="7701" stopIfTrue="1" operator="equal">
      <formula>"Towel"</formula>
    </cfRule>
    <cfRule type="cellIs" dxfId="4415" priority="7702" stopIfTrue="1" operator="equal">
      <formula>"Napkin Hs"</formula>
    </cfRule>
    <cfRule type="cellIs" dxfId="4414" priority="7703" stopIfTrue="1" operator="equal">
      <formula>"Towel"</formula>
    </cfRule>
    <cfRule type="cellIs" dxfId="4413" priority="7704" stopIfTrue="1" operator="equal">
      <formula>"Napkin Hs"</formula>
    </cfRule>
    <cfRule type="cellIs" dxfId="4412" priority="7707" stopIfTrue="1" operator="equal">
      <formula>"Towel"</formula>
    </cfRule>
    <cfRule type="cellIs" dxfId="4411" priority="7708" stopIfTrue="1" operator="equal">
      <formula>"Napkin Hs"</formula>
    </cfRule>
    <cfRule type="cellIs" dxfId="4410" priority="7710" stopIfTrue="1" operator="equal">
      <formula>"Napkin Hs"</formula>
    </cfRule>
  </conditionalFormatting>
  <conditionalFormatting sqref="C120">
    <cfRule type="cellIs" dxfId="4409" priority="7709" stopIfTrue="1" operator="equal">
      <formula>"Towel"</formula>
    </cfRule>
  </conditionalFormatting>
  <conditionalFormatting sqref="B120:C120">
    <cfRule type="cellIs" dxfId="4408" priority="7687" stopIfTrue="1" operator="equal">
      <formula>"Towel"</formula>
    </cfRule>
    <cfRule type="cellIs" dxfId="4407" priority="7688" stopIfTrue="1" operator="equal">
      <formula>"Napkin Hs"</formula>
    </cfRule>
  </conditionalFormatting>
  <conditionalFormatting sqref="C120">
    <cfRule type="cellIs" dxfId="4406" priority="7686" stopIfTrue="1" operator="equal">
      <formula>"Napkin Hs"</formula>
    </cfRule>
  </conditionalFormatting>
  <conditionalFormatting sqref="C120">
    <cfRule type="cellIs" dxfId="4405" priority="7685" stopIfTrue="1" operator="equal">
      <formula>"Towel"</formula>
    </cfRule>
  </conditionalFormatting>
  <conditionalFormatting sqref="C120">
    <cfRule type="cellIs" dxfId="4404" priority="7683" stopIfTrue="1" operator="equal">
      <formula>"Towel"</formula>
    </cfRule>
  </conditionalFormatting>
  <conditionalFormatting sqref="C120">
    <cfRule type="cellIs" dxfId="4403" priority="7684" stopIfTrue="1" operator="equal">
      <formula>"Napkin Hs"</formula>
    </cfRule>
  </conditionalFormatting>
  <conditionalFormatting sqref="B120">
    <cfRule type="cellIs" dxfId="4402" priority="7587" stopIfTrue="1" operator="equal">
      <formula>"Napkin Hs"</formula>
    </cfRule>
  </conditionalFormatting>
  <conditionalFormatting sqref="B120:C120">
    <cfRule type="cellIs" dxfId="4401" priority="7586" stopIfTrue="1" operator="equal">
      <formula>"Towel"</formula>
    </cfRule>
  </conditionalFormatting>
  <conditionalFormatting sqref="B120:C120">
    <cfRule type="cellIs" dxfId="4400" priority="7597" stopIfTrue="1" operator="equal">
      <formula>"Towel"</formula>
    </cfRule>
    <cfRule type="cellIs" dxfId="4399" priority="7598" stopIfTrue="1" operator="equal">
      <formula>"Napkin Hs"</formula>
    </cfRule>
    <cfRule type="cellIs" dxfId="4398" priority="7603" stopIfTrue="1" operator="equal">
      <formula>"Towel"</formula>
    </cfRule>
    <cfRule type="cellIs" dxfId="4397" priority="7604" stopIfTrue="1" operator="equal">
      <formula>"Napkin Hs"</formula>
    </cfRule>
    <cfRule type="cellIs" dxfId="4396" priority="7609" stopIfTrue="1" operator="equal">
      <formula>"Towel"</formula>
    </cfRule>
    <cfRule type="cellIs" dxfId="4395" priority="7610" stopIfTrue="1" operator="equal">
      <formula>"Napkin Hs"</formula>
    </cfRule>
    <cfRule type="cellIs" dxfId="4394" priority="7611" stopIfTrue="1" operator="equal">
      <formula>"Towel"</formula>
    </cfRule>
    <cfRule type="cellIs" dxfId="4393" priority="7612" stopIfTrue="1" operator="equal">
      <formula>"Napkin Hs"</formula>
    </cfRule>
    <cfRule type="cellIs" dxfId="4392" priority="7617" stopIfTrue="1" operator="equal">
      <formula>"Towel"</formula>
    </cfRule>
    <cfRule type="cellIs" dxfId="4391" priority="7618" stopIfTrue="1" operator="equal">
      <formula>"Napkin Hs"</formula>
    </cfRule>
    <cfRule type="cellIs" dxfId="4390" priority="7627" stopIfTrue="1" operator="equal">
      <formula>"Towel"</formula>
    </cfRule>
    <cfRule type="cellIs" dxfId="4389" priority="7628" stopIfTrue="1" operator="equal">
      <formula>"Napkin Hs"</formula>
    </cfRule>
    <cfRule type="cellIs" dxfId="4388" priority="7633" stopIfTrue="1" operator="equal">
      <formula>"Towel"</formula>
    </cfRule>
    <cfRule type="cellIs" dxfId="4387" priority="7634" stopIfTrue="1" operator="equal">
      <formula>"Napkin Hs"</formula>
    </cfRule>
    <cfRule type="cellIs" dxfId="4386" priority="7635" stopIfTrue="1" operator="equal">
      <formula>"Towel"</formula>
    </cfRule>
    <cfRule type="cellIs" dxfId="4385" priority="7636" stopIfTrue="1" operator="equal">
      <formula>"Napkin Hs"</formula>
    </cfRule>
    <cfRule type="cellIs" dxfId="4384" priority="7641" stopIfTrue="1" operator="equal">
      <formula>"Towel"</formula>
    </cfRule>
    <cfRule type="cellIs" dxfId="4383" priority="7642" stopIfTrue="1" operator="equal">
      <formula>"Napkin Hs"</formula>
    </cfRule>
    <cfRule type="cellIs" dxfId="4382" priority="7651" stopIfTrue="1" operator="equal">
      <formula>"Towel"</formula>
    </cfRule>
    <cfRule type="cellIs" dxfId="4381" priority="7652" stopIfTrue="1" operator="equal">
      <formula>"Napkin Hs"</formula>
    </cfRule>
    <cfRule type="cellIs" dxfId="4380" priority="7653" stopIfTrue="1" operator="equal">
      <formula>"Towel"</formula>
    </cfRule>
    <cfRule type="cellIs" dxfId="4379" priority="7654" stopIfTrue="1" operator="equal">
      <formula>"Napkin Hs"</formula>
    </cfRule>
    <cfRule type="cellIs" dxfId="4378" priority="7659" stopIfTrue="1" operator="equal">
      <formula>"Towel"</formula>
    </cfRule>
    <cfRule type="cellIs" dxfId="4377" priority="7660" stopIfTrue="1" operator="equal">
      <formula>"Napkin Hs"</formula>
    </cfRule>
    <cfRule type="cellIs" dxfId="4376" priority="7669" stopIfTrue="1" operator="equal">
      <formula>"Towel"</formula>
    </cfRule>
    <cfRule type="cellIs" dxfId="4375" priority="7670" stopIfTrue="1" operator="equal">
      <formula>"Napkin Hs"</formula>
    </cfRule>
    <cfRule type="cellIs" dxfId="4374" priority="7671" stopIfTrue="1" operator="equal">
      <formula>"Towel"</formula>
    </cfRule>
    <cfRule type="cellIs" dxfId="4373" priority="7672" stopIfTrue="1" operator="equal">
      <formula>"Napkin Hs"</formula>
    </cfRule>
    <cfRule type="cellIs" dxfId="4372" priority="7678" stopIfTrue="1" operator="equal">
      <formula>"Napkin Hs"</formula>
    </cfRule>
  </conditionalFormatting>
  <conditionalFormatting sqref="B120:C120">
    <cfRule type="cellIs" dxfId="4371" priority="7677" stopIfTrue="1" operator="equal">
      <formula>"Towel"</formula>
    </cfRule>
  </conditionalFormatting>
  <conditionalFormatting sqref="C120">
    <cfRule type="cellIs" dxfId="4370" priority="7588" stopIfTrue="1" operator="equal">
      <formula>"Napkin Hs"</formula>
    </cfRule>
    <cfRule type="cellIs" dxfId="4369" priority="7589" stopIfTrue="1" operator="equal">
      <formula>"Towel"</formula>
    </cfRule>
    <cfRule type="cellIs" dxfId="4368" priority="7590" stopIfTrue="1" operator="equal">
      <formula>"Napkin Hs"</formula>
    </cfRule>
    <cfRule type="cellIs" dxfId="4367" priority="7591" stopIfTrue="1" operator="equal">
      <formula>"Towel"</formula>
    </cfRule>
    <cfRule type="cellIs" dxfId="4366" priority="7592" stopIfTrue="1" operator="equal">
      <formula>"Napkin Hs"</formula>
    </cfRule>
    <cfRule type="cellIs" dxfId="4365" priority="7593" stopIfTrue="1" operator="equal">
      <formula>"Towel"</formula>
    </cfRule>
    <cfRule type="cellIs" dxfId="4364" priority="7594" stopIfTrue="1" operator="equal">
      <formula>"Napkin Hs"</formula>
    </cfRule>
    <cfRule type="cellIs" dxfId="4363" priority="7595" stopIfTrue="1" operator="equal">
      <formula>"Towel"</formula>
    </cfRule>
    <cfRule type="cellIs" dxfId="4362" priority="7596" stopIfTrue="1" operator="equal">
      <formula>"Napkin Hs"</formula>
    </cfRule>
    <cfRule type="cellIs" dxfId="4361" priority="7599" stopIfTrue="1" operator="equal">
      <formula>"Towel"</formula>
    </cfRule>
    <cfRule type="cellIs" dxfId="4360" priority="7600" stopIfTrue="1" operator="equal">
      <formula>"Napkin Hs"</formula>
    </cfRule>
    <cfRule type="cellIs" dxfId="4359" priority="7601" stopIfTrue="1" operator="equal">
      <formula>"Towel"</formula>
    </cfRule>
    <cfRule type="cellIs" dxfId="4358" priority="7602" stopIfTrue="1" operator="equal">
      <formula>"Napkin Hs"</formula>
    </cfRule>
    <cfRule type="cellIs" dxfId="4357" priority="7605" stopIfTrue="1" operator="equal">
      <formula>"Towel"</formula>
    </cfRule>
    <cfRule type="cellIs" dxfId="4356" priority="7606" stopIfTrue="1" operator="equal">
      <formula>"Napkin Hs"</formula>
    </cfRule>
    <cfRule type="cellIs" dxfId="4355" priority="7607" stopIfTrue="1" operator="equal">
      <formula>"Towel"</formula>
    </cfRule>
    <cfRule type="cellIs" dxfId="4354" priority="7608" stopIfTrue="1" operator="equal">
      <formula>"Napkin Hs"</formula>
    </cfRule>
    <cfRule type="cellIs" dxfId="4353" priority="7613" stopIfTrue="1" operator="equal">
      <formula>"Towel"</formula>
    </cfRule>
    <cfRule type="cellIs" dxfId="4352" priority="7614" stopIfTrue="1" operator="equal">
      <formula>"Napkin Hs"</formula>
    </cfRule>
    <cfRule type="cellIs" dxfId="4351" priority="7615" stopIfTrue="1" operator="equal">
      <formula>"Towel"</formula>
    </cfRule>
    <cfRule type="cellIs" dxfId="4350" priority="7616" stopIfTrue="1" operator="equal">
      <formula>"Napkin Hs"</formula>
    </cfRule>
    <cfRule type="cellIs" dxfId="4349" priority="7619" stopIfTrue="1" operator="equal">
      <formula>"Towel"</formula>
    </cfRule>
    <cfRule type="cellIs" dxfId="4348" priority="7620" stopIfTrue="1" operator="equal">
      <formula>"Napkin Hs"</formula>
    </cfRule>
    <cfRule type="cellIs" dxfId="4347" priority="7621" stopIfTrue="1" operator="equal">
      <formula>"Towel"</formula>
    </cfRule>
    <cfRule type="cellIs" dxfId="4346" priority="7622" stopIfTrue="1" operator="equal">
      <formula>"Napkin Hs"</formula>
    </cfRule>
    <cfRule type="cellIs" dxfId="4345" priority="7623" stopIfTrue="1" operator="equal">
      <formula>"Towel"</formula>
    </cfRule>
    <cfRule type="cellIs" dxfId="4344" priority="7624" stopIfTrue="1" operator="equal">
      <formula>"Napkin Hs"</formula>
    </cfRule>
    <cfRule type="cellIs" dxfId="4343" priority="7625" stopIfTrue="1" operator="equal">
      <formula>"Towel"</formula>
    </cfRule>
    <cfRule type="cellIs" dxfId="4342" priority="7626" stopIfTrue="1" operator="equal">
      <formula>"Napkin Hs"</formula>
    </cfRule>
    <cfRule type="cellIs" dxfId="4341" priority="7629" stopIfTrue="1" operator="equal">
      <formula>"Towel"</formula>
    </cfRule>
    <cfRule type="cellIs" dxfId="4340" priority="7630" stopIfTrue="1" operator="equal">
      <formula>"Napkin Hs"</formula>
    </cfRule>
    <cfRule type="cellIs" dxfId="4339" priority="7631" stopIfTrue="1" operator="equal">
      <formula>"Towel"</formula>
    </cfRule>
    <cfRule type="cellIs" dxfId="4338" priority="7632" stopIfTrue="1" operator="equal">
      <formula>"Napkin Hs"</formula>
    </cfRule>
    <cfRule type="cellIs" dxfId="4337" priority="7637" stopIfTrue="1" operator="equal">
      <formula>"Towel"</formula>
    </cfRule>
    <cfRule type="cellIs" dxfId="4336" priority="7638" stopIfTrue="1" operator="equal">
      <formula>"Napkin Hs"</formula>
    </cfRule>
    <cfRule type="cellIs" dxfId="4335" priority="7639" stopIfTrue="1" operator="equal">
      <formula>"Towel"</formula>
    </cfRule>
    <cfRule type="cellIs" dxfId="4334" priority="7640" stopIfTrue="1" operator="equal">
      <formula>"Napkin Hs"</formula>
    </cfRule>
    <cfRule type="cellIs" dxfId="4333" priority="7643" stopIfTrue="1" operator="equal">
      <formula>"Towel"</formula>
    </cfRule>
    <cfRule type="cellIs" dxfId="4332" priority="7644" stopIfTrue="1" operator="equal">
      <formula>"Napkin Hs"</formula>
    </cfRule>
    <cfRule type="cellIs" dxfId="4331" priority="7645" stopIfTrue="1" operator="equal">
      <formula>"Towel"</formula>
    </cfRule>
    <cfRule type="cellIs" dxfId="4330" priority="7646" stopIfTrue="1" operator="equal">
      <formula>"Napkin Hs"</formula>
    </cfRule>
    <cfRule type="cellIs" dxfId="4329" priority="7647" stopIfTrue="1" operator="equal">
      <formula>"Towel"</formula>
    </cfRule>
    <cfRule type="cellIs" dxfId="4328" priority="7648" stopIfTrue="1" operator="equal">
      <formula>"Napkin Hs"</formula>
    </cfRule>
    <cfRule type="cellIs" dxfId="4327" priority="7649" stopIfTrue="1" operator="equal">
      <formula>"Towel"</formula>
    </cfRule>
    <cfRule type="cellIs" dxfId="4326" priority="7650" stopIfTrue="1" operator="equal">
      <formula>"Napkin Hs"</formula>
    </cfRule>
    <cfRule type="cellIs" dxfId="4325" priority="7655" stopIfTrue="1" operator="equal">
      <formula>"Towel"</formula>
    </cfRule>
    <cfRule type="cellIs" dxfId="4324" priority="7656" stopIfTrue="1" operator="equal">
      <formula>"Napkin Hs"</formula>
    </cfRule>
    <cfRule type="cellIs" dxfId="4323" priority="7657" stopIfTrue="1" operator="equal">
      <formula>"Towel"</formula>
    </cfRule>
    <cfRule type="cellIs" dxfId="4322" priority="7658" stopIfTrue="1" operator="equal">
      <formula>"Napkin Hs"</formula>
    </cfRule>
    <cfRule type="cellIs" dxfId="4321" priority="7661" stopIfTrue="1" operator="equal">
      <formula>"Towel"</formula>
    </cfRule>
    <cfRule type="cellIs" dxfId="4320" priority="7662" stopIfTrue="1" operator="equal">
      <formula>"Napkin Hs"</formula>
    </cfRule>
    <cfRule type="cellIs" dxfId="4319" priority="7663" stopIfTrue="1" operator="equal">
      <formula>"Towel"</formula>
    </cfRule>
    <cfRule type="cellIs" dxfId="4318" priority="7664" stopIfTrue="1" operator="equal">
      <formula>"Napkin Hs"</formula>
    </cfRule>
    <cfRule type="cellIs" dxfId="4317" priority="7665" stopIfTrue="1" operator="equal">
      <formula>"Towel"</formula>
    </cfRule>
    <cfRule type="cellIs" dxfId="4316" priority="7666" stopIfTrue="1" operator="equal">
      <formula>"Napkin Hs"</formula>
    </cfRule>
    <cfRule type="cellIs" dxfId="4315" priority="7667" stopIfTrue="1" operator="equal">
      <formula>"Towel"</formula>
    </cfRule>
    <cfRule type="cellIs" dxfId="4314" priority="7668" stopIfTrue="1" operator="equal">
      <formula>"Napkin Hs"</formula>
    </cfRule>
    <cfRule type="cellIs" dxfId="4313" priority="7673" stopIfTrue="1" operator="equal">
      <formula>"Towel"</formula>
    </cfRule>
    <cfRule type="cellIs" dxfId="4312" priority="7674" stopIfTrue="1" operator="equal">
      <formula>"Napkin Hs"</formula>
    </cfRule>
    <cfRule type="cellIs" dxfId="4311" priority="7675" stopIfTrue="1" operator="equal">
      <formula>"Towel"</formula>
    </cfRule>
    <cfRule type="cellIs" dxfId="4310" priority="7676" stopIfTrue="1" operator="equal">
      <formula>"Napkin Hs"</formula>
    </cfRule>
    <cfRule type="cellIs" dxfId="4309" priority="7679" stopIfTrue="1" operator="equal">
      <formula>"Towel"</formula>
    </cfRule>
    <cfRule type="cellIs" dxfId="4308" priority="7680" stopIfTrue="1" operator="equal">
      <formula>"Napkin Hs"</formula>
    </cfRule>
    <cfRule type="cellIs" dxfId="4307" priority="7681" stopIfTrue="1" operator="equal">
      <formula>"Towel"</formula>
    </cfRule>
    <cfRule type="cellIs" dxfId="4306" priority="7682" stopIfTrue="1" operator="equal">
      <formula>"Napkin Hs"</formula>
    </cfRule>
  </conditionalFormatting>
  <conditionalFormatting sqref="C120">
    <cfRule type="cellIs" dxfId="4305" priority="7585" stopIfTrue="1" operator="equal">
      <formula>"Napkin Hs"</formula>
    </cfRule>
  </conditionalFormatting>
  <conditionalFormatting sqref="C120">
    <cfRule type="cellIs" dxfId="4304" priority="7584" stopIfTrue="1" operator="equal">
      <formula>"Napkin Hs"</formula>
    </cfRule>
  </conditionalFormatting>
  <conditionalFormatting sqref="B120">
    <cfRule type="cellIs" dxfId="4303" priority="7583" stopIfTrue="1" operator="equal">
      <formula>"Napkin Hs"</formula>
    </cfRule>
  </conditionalFormatting>
  <conditionalFormatting sqref="C120">
    <cfRule type="cellIs" dxfId="4302" priority="7582" stopIfTrue="1" operator="equal">
      <formula>"Napkin Hs"</formula>
    </cfRule>
  </conditionalFormatting>
  <conditionalFormatting sqref="C120">
    <cfRule type="cellIs" dxfId="4301" priority="7581" stopIfTrue="1" operator="equal">
      <formula>"Napkin Hs"</formula>
    </cfRule>
  </conditionalFormatting>
  <conditionalFormatting sqref="C120">
    <cfRule type="cellIs" dxfId="4300" priority="7580" stopIfTrue="1" operator="equal">
      <formula>"Napkin Hs"</formula>
    </cfRule>
  </conditionalFormatting>
  <conditionalFormatting sqref="C120">
    <cfRule type="cellIs" dxfId="4299" priority="7579" stopIfTrue="1" operator="equal">
      <formula>"Napkin Hs"</formula>
    </cfRule>
  </conditionalFormatting>
  <conditionalFormatting sqref="B120">
    <cfRule type="cellIs" dxfId="4298" priority="7578" stopIfTrue="1" operator="equal">
      <formula>"Napkin Hs"</formula>
    </cfRule>
  </conditionalFormatting>
  <conditionalFormatting sqref="B120">
    <cfRule type="cellIs" dxfId="4297" priority="7577" stopIfTrue="1" operator="equal">
      <formula>"Napkin Hs"</formula>
    </cfRule>
  </conditionalFormatting>
  <conditionalFormatting sqref="C120">
    <cfRule type="cellIs" dxfId="4296" priority="7573" stopIfTrue="1" operator="equal">
      <formula>"Towel"</formula>
    </cfRule>
    <cfRule type="cellIs" dxfId="4295" priority="7574" stopIfTrue="1" operator="equal">
      <formula>"Napkin Hs"</formula>
    </cfRule>
  </conditionalFormatting>
  <conditionalFormatting sqref="C120">
    <cfRule type="cellIs" dxfId="4294" priority="7575" stopIfTrue="1" operator="equal">
      <formula>"Towel"</formula>
    </cfRule>
    <cfRule type="cellIs" dxfId="4293" priority="7576" stopIfTrue="1" operator="equal">
      <formula>"Napkin Hs"</formula>
    </cfRule>
  </conditionalFormatting>
  <conditionalFormatting sqref="C120">
    <cfRule type="cellIs" dxfId="4292" priority="7569" stopIfTrue="1" operator="equal">
      <formula>"Towel"</formula>
    </cfRule>
    <cfRule type="cellIs" dxfId="4291" priority="7570" stopIfTrue="1" operator="equal">
      <formula>"Napkin Hs"</formula>
    </cfRule>
  </conditionalFormatting>
  <conditionalFormatting sqref="C120">
    <cfRule type="cellIs" dxfId="4290" priority="7571" stopIfTrue="1" operator="equal">
      <formula>"Towel"</formula>
    </cfRule>
    <cfRule type="cellIs" dxfId="4289" priority="7572" stopIfTrue="1" operator="equal">
      <formula>"Napkin Hs"</formula>
    </cfRule>
  </conditionalFormatting>
  <conditionalFormatting sqref="B118">
    <cfRule type="cellIs" dxfId="4288" priority="7226" stopIfTrue="1" operator="equal">
      <formula>"Napkin Hs"</formula>
    </cfRule>
  </conditionalFormatting>
  <conditionalFormatting sqref="B118">
    <cfRule type="cellIs" dxfId="4287" priority="7225" stopIfTrue="1" operator="equal">
      <formula>"Napkin Hs"</formula>
    </cfRule>
  </conditionalFormatting>
  <conditionalFormatting sqref="B118">
    <cfRule type="cellIs" dxfId="4286" priority="7224" stopIfTrue="1" operator="equal">
      <formula>"Napkin Hs"</formula>
    </cfRule>
  </conditionalFormatting>
  <conditionalFormatting sqref="C118">
    <cfRule type="cellIs" dxfId="4285" priority="7222" stopIfTrue="1" operator="equal">
      <formula>"Towel"</formula>
    </cfRule>
    <cfRule type="cellIs" dxfId="4284" priority="7223" stopIfTrue="1" operator="equal">
      <formula>"Napkin Hs"</formula>
    </cfRule>
  </conditionalFormatting>
  <conditionalFormatting sqref="C118">
    <cfRule type="cellIs" dxfId="4283" priority="7218" stopIfTrue="1" operator="equal">
      <formula>"Towel"</formula>
    </cfRule>
    <cfRule type="cellIs" dxfId="4282" priority="7219" stopIfTrue="1" operator="equal">
      <formula>"Napkin Hs"</formula>
    </cfRule>
  </conditionalFormatting>
  <conditionalFormatting sqref="C118">
    <cfRule type="cellIs" dxfId="4281" priority="7220" stopIfTrue="1" operator="equal">
      <formula>"Towel"</formula>
    </cfRule>
    <cfRule type="cellIs" dxfId="4280" priority="7221" stopIfTrue="1" operator="equal">
      <formula>"Napkin Hs"</formula>
    </cfRule>
  </conditionalFormatting>
  <conditionalFormatting sqref="C118">
    <cfRule type="cellIs" dxfId="4279" priority="7214" stopIfTrue="1" operator="equal">
      <formula>"Towel"</formula>
    </cfRule>
    <cfRule type="cellIs" dxfId="4278" priority="7215" stopIfTrue="1" operator="equal">
      <formula>"Napkin Hs"</formula>
    </cfRule>
  </conditionalFormatting>
  <conditionalFormatting sqref="C118">
    <cfRule type="cellIs" dxfId="4277" priority="7216" stopIfTrue="1" operator="equal">
      <formula>"Towel"</formula>
    </cfRule>
    <cfRule type="cellIs" dxfId="4276" priority="7217" stopIfTrue="1" operator="equal">
      <formula>"Napkin Hs"</formula>
    </cfRule>
  </conditionalFormatting>
  <conditionalFormatting sqref="C118">
    <cfRule type="cellIs" dxfId="4275" priority="7212" stopIfTrue="1" operator="equal">
      <formula>"Towel"</formula>
    </cfRule>
    <cfRule type="cellIs" dxfId="4274" priority="7213" stopIfTrue="1" operator="equal">
      <formula>"Napkin Hs"</formula>
    </cfRule>
  </conditionalFormatting>
  <conditionalFormatting sqref="C118">
    <cfRule type="cellIs" dxfId="4273" priority="7206" stopIfTrue="1" operator="equal">
      <formula>"Towel"</formula>
    </cfRule>
    <cfRule type="cellIs" dxfId="4272" priority="7207" stopIfTrue="1" operator="equal">
      <formula>"Napkin Hs"</formula>
    </cfRule>
  </conditionalFormatting>
  <conditionalFormatting sqref="C118">
    <cfRule type="cellIs" dxfId="4271" priority="7210" stopIfTrue="1" operator="equal">
      <formula>"Towel"</formula>
    </cfRule>
    <cfRule type="cellIs" dxfId="4270" priority="7211" stopIfTrue="1" operator="equal">
      <formula>"Napkin Hs"</formula>
    </cfRule>
  </conditionalFormatting>
  <conditionalFormatting sqref="C118">
    <cfRule type="cellIs" dxfId="4269" priority="7208" stopIfTrue="1" operator="equal">
      <formula>"Towel"</formula>
    </cfRule>
    <cfRule type="cellIs" dxfId="4268" priority="7209" stopIfTrue="1" operator="equal">
      <formula>"Napkin Hs"</formula>
    </cfRule>
  </conditionalFormatting>
  <conditionalFormatting sqref="C118">
    <cfRule type="cellIs" dxfId="4267" priority="7200" stopIfTrue="1" operator="equal">
      <formula>"Towel"</formula>
    </cfRule>
    <cfRule type="cellIs" dxfId="4266" priority="7201" stopIfTrue="1" operator="equal">
      <formula>"Napkin Hs"</formula>
    </cfRule>
  </conditionalFormatting>
  <conditionalFormatting sqref="C118">
    <cfRule type="cellIs" dxfId="4265" priority="7202" stopIfTrue="1" operator="equal">
      <formula>"Towel"</formula>
    </cfRule>
    <cfRule type="cellIs" dxfId="4264" priority="7203" stopIfTrue="1" operator="equal">
      <formula>"Napkin Hs"</formula>
    </cfRule>
  </conditionalFormatting>
  <conditionalFormatting sqref="C118">
    <cfRule type="cellIs" dxfId="4263" priority="7204" stopIfTrue="1" operator="equal">
      <formula>"Towel"</formula>
    </cfRule>
    <cfRule type="cellIs" dxfId="4262" priority="7205" stopIfTrue="1" operator="equal">
      <formula>"Napkin Hs"</formula>
    </cfRule>
  </conditionalFormatting>
  <conditionalFormatting sqref="C118">
    <cfRule type="cellIs" dxfId="4261" priority="7198" stopIfTrue="1" operator="equal">
      <formula>"Towel"</formula>
    </cfRule>
    <cfRule type="cellIs" dxfId="4260" priority="7199" stopIfTrue="1" operator="equal">
      <formula>"Napkin Hs"</formula>
    </cfRule>
  </conditionalFormatting>
  <conditionalFormatting sqref="C118">
    <cfRule type="cellIs" dxfId="4259" priority="7196" stopIfTrue="1" operator="equal">
      <formula>"Towel"</formula>
    </cfRule>
    <cfRule type="cellIs" dxfId="4258" priority="7197" stopIfTrue="1" operator="equal">
      <formula>"Napkin Hs"</formula>
    </cfRule>
  </conditionalFormatting>
  <conditionalFormatting sqref="C118">
    <cfRule type="cellIs" dxfId="4257" priority="7172" stopIfTrue="1" operator="equal">
      <formula>"Towel"</formula>
    </cfRule>
  </conditionalFormatting>
  <conditionalFormatting sqref="C118">
    <cfRule type="cellIs" dxfId="4256" priority="7173" stopIfTrue="1" operator="equal">
      <formula>"Napkin Hs"</formula>
    </cfRule>
    <cfRule type="cellIs" dxfId="4255" priority="7178" stopIfTrue="1" operator="equal">
      <formula>"Towel"</formula>
    </cfRule>
    <cfRule type="cellIs" dxfId="4254" priority="7179" stopIfTrue="1" operator="equal">
      <formula>"Napkin Hs"</formula>
    </cfRule>
    <cfRule type="cellIs" dxfId="4253" priority="7188" stopIfTrue="1" operator="equal">
      <formula>"Towel"</formula>
    </cfRule>
    <cfRule type="cellIs" dxfId="4252" priority="7189" stopIfTrue="1" operator="equal">
      <formula>"Napkin Hs"</formula>
    </cfRule>
    <cfRule type="cellIs" dxfId="4251" priority="7194" stopIfTrue="1" operator="equal">
      <formula>"Towel"</formula>
    </cfRule>
    <cfRule type="cellIs" dxfId="4250" priority="7195" stopIfTrue="1" operator="equal">
      <formula>"Napkin Hs"</formula>
    </cfRule>
  </conditionalFormatting>
  <conditionalFormatting sqref="C118">
    <cfRule type="cellIs" dxfId="4249" priority="7174" stopIfTrue="1" operator="equal">
      <formula>"Towel"</formula>
    </cfRule>
    <cfRule type="cellIs" dxfId="4248" priority="7175" stopIfTrue="1" operator="equal">
      <formula>"Napkin Hs"</formula>
    </cfRule>
    <cfRule type="cellIs" dxfId="4247" priority="7176" stopIfTrue="1" operator="equal">
      <formula>"Towel"</formula>
    </cfRule>
    <cfRule type="cellIs" dxfId="4246" priority="7177" stopIfTrue="1" operator="equal">
      <formula>"Napkin Hs"</formula>
    </cfRule>
    <cfRule type="cellIs" dxfId="4245" priority="7180" stopIfTrue="1" operator="equal">
      <formula>"Towel"</formula>
    </cfRule>
    <cfRule type="cellIs" dxfId="4244" priority="7181" stopIfTrue="1" operator="equal">
      <formula>"Napkin Hs"</formula>
    </cfRule>
    <cfRule type="cellIs" dxfId="4243" priority="7182" stopIfTrue="1" operator="equal">
      <formula>"Towel"</formula>
    </cfRule>
    <cfRule type="cellIs" dxfId="4242" priority="7183" stopIfTrue="1" operator="equal">
      <formula>"Napkin Hs"</formula>
    </cfRule>
    <cfRule type="cellIs" dxfId="4241" priority="7184" stopIfTrue="1" operator="equal">
      <formula>"Towel"</formula>
    </cfRule>
    <cfRule type="cellIs" dxfId="4240" priority="7185" stopIfTrue="1" operator="equal">
      <formula>"Napkin Hs"</formula>
    </cfRule>
    <cfRule type="cellIs" dxfId="4239" priority="7186" stopIfTrue="1" operator="equal">
      <formula>"Towel"</formula>
    </cfRule>
    <cfRule type="cellIs" dxfId="4238" priority="7187" stopIfTrue="1" operator="equal">
      <formula>"Napkin Hs"</formula>
    </cfRule>
    <cfRule type="cellIs" dxfId="4237" priority="7190" stopIfTrue="1" operator="equal">
      <formula>"Towel"</formula>
    </cfRule>
    <cfRule type="cellIs" dxfId="4236" priority="7191" stopIfTrue="1" operator="equal">
      <formula>"Napkin Hs"</formula>
    </cfRule>
    <cfRule type="cellIs" dxfId="4235" priority="7193" stopIfTrue="1" operator="equal">
      <formula>"Napkin Hs"</formula>
    </cfRule>
  </conditionalFormatting>
  <conditionalFormatting sqref="C118">
    <cfRule type="cellIs" dxfId="4234" priority="7192" stopIfTrue="1" operator="equal">
      <formula>"Towel"</formula>
    </cfRule>
  </conditionalFormatting>
  <conditionalFormatting sqref="C118">
    <cfRule type="cellIs" dxfId="4233" priority="7170" stopIfTrue="1" operator="equal">
      <formula>"Towel"</formula>
    </cfRule>
    <cfRule type="cellIs" dxfId="4232" priority="7171" stopIfTrue="1" operator="equal">
      <formula>"Napkin Hs"</formula>
    </cfRule>
  </conditionalFormatting>
  <conditionalFormatting sqref="C118">
    <cfRule type="cellIs" dxfId="4231" priority="7169" stopIfTrue="1" operator="equal">
      <formula>"Napkin Hs"</formula>
    </cfRule>
  </conditionalFormatting>
  <conditionalFormatting sqref="C118">
    <cfRule type="cellIs" dxfId="4230" priority="7168" stopIfTrue="1" operator="equal">
      <formula>"Towel"</formula>
    </cfRule>
  </conditionalFormatting>
  <conditionalFormatting sqref="C118">
    <cfRule type="cellIs" dxfId="4229" priority="7166" stopIfTrue="1" operator="equal">
      <formula>"Towel"</formula>
    </cfRule>
  </conditionalFormatting>
  <conditionalFormatting sqref="C118">
    <cfRule type="cellIs" dxfId="4228" priority="7167" stopIfTrue="1" operator="equal">
      <formula>"Napkin Hs"</formula>
    </cfRule>
  </conditionalFormatting>
  <conditionalFormatting sqref="C118">
    <cfRule type="cellIs" dxfId="4227" priority="7070" stopIfTrue="1" operator="equal">
      <formula>"Towel"</formula>
    </cfRule>
  </conditionalFormatting>
  <conditionalFormatting sqref="C118">
    <cfRule type="cellIs" dxfId="4226" priority="7080" stopIfTrue="1" operator="equal">
      <formula>"Towel"</formula>
    </cfRule>
    <cfRule type="cellIs" dxfId="4225" priority="7081" stopIfTrue="1" operator="equal">
      <formula>"Napkin Hs"</formula>
    </cfRule>
    <cfRule type="cellIs" dxfId="4224" priority="7086" stopIfTrue="1" operator="equal">
      <formula>"Towel"</formula>
    </cfRule>
    <cfRule type="cellIs" dxfId="4223" priority="7087" stopIfTrue="1" operator="equal">
      <formula>"Napkin Hs"</formula>
    </cfRule>
    <cfRule type="cellIs" dxfId="4222" priority="7092" stopIfTrue="1" operator="equal">
      <formula>"Towel"</formula>
    </cfRule>
    <cfRule type="cellIs" dxfId="4221" priority="7093" stopIfTrue="1" operator="equal">
      <formula>"Napkin Hs"</formula>
    </cfRule>
    <cfRule type="cellIs" dxfId="4220" priority="7094" stopIfTrue="1" operator="equal">
      <formula>"Towel"</formula>
    </cfRule>
    <cfRule type="cellIs" dxfId="4219" priority="7095" stopIfTrue="1" operator="equal">
      <formula>"Napkin Hs"</formula>
    </cfRule>
    <cfRule type="cellIs" dxfId="4218" priority="7100" stopIfTrue="1" operator="equal">
      <formula>"Towel"</formula>
    </cfRule>
    <cfRule type="cellIs" dxfId="4217" priority="7101" stopIfTrue="1" operator="equal">
      <formula>"Napkin Hs"</formula>
    </cfRule>
    <cfRule type="cellIs" dxfId="4216" priority="7110" stopIfTrue="1" operator="equal">
      <formula>"Towel"</formula>
    </cfRule>
    <cfRule type="cellIs" dxfId="4215" priority="7111" stopIfTrue="1" operator="equal">
      <formula>"Napkin Hs"</formula>
    </cfRule>
    <cfRule type="cellIs" dxfId="4214" priority="7116" stopIfTrue="1" operator="equal">
      <formula>"Towel"</formula>
    </cfRule>
    <cfRule type="cellIs" dxfId="4213" priority="7117" stopIfTrue="1" operator="equal">
      <formula>"Napkin Hs"</formula>
    </cfRule>
    <cfRule type="cellIs" dxfId="4212" priority="7118" stopIfTrue="1" operator="equal">
      <formula>"Towel"</formula>
    </cfRule>
    <cfRule type="cellIs" dxfId="4211" priority="7119" stopIfTrue="1" operator="equal">
      <formula>"Napkin Hs"</formula>
    </cfRule>
    <cfRule type="cellIs" dxfId="4210" priority="7124" stopIfTrue="1" operator="equal">
      <formula>"Towel"</formula>
    </cfRule>
    <cfRule type="cellIs" dxfId="4209" priority="7125" stopIfTrue="1" operator="equal">
      <formula>"Napkin Hs"</formula>
    </cfRule>
    <cfRule type="cellIs" dxfId="4208" priority="7134" stopIfTrue="1" operator="equal">
      <formula>"Towel"</formula>
    </cfRule>
    <cfRule type="cellIs" dxfId="4207" priority="7135" stopIfTrue="1" operator="equal">
      <formula>"Napkin Hs"</formula>
    </cfRule>
    <cfRule type="cellIs" dxfId="4206" priority="7136" stopIfTrue="1" operator="equal">
      <formula>"Towel"</formula>
    </cfRule>
    <cfRule type="cellIs" dxfId="4205" priority="7137" stopIfTrue="1" operator="equal">
      <formula>"Napkin Hs"</formula>
    </cfRule>
    <cfRule type="cellIs" dxfId="4204" priority="7142" stopIfTrue="1" operator="equal">
      <formula>"Towel"</formula>
    </cfRule>
    <cfRule type="cellIs" dxfId="4203" priority="7143" stopIfTrue="1" operator="equal">
      <formula>"Napkin Hs"</formula>
    </cfRule>
    <cfRule type="cellIs" dxfId="4202" priority="7152" stopIfTrue="1" operator="equal">
      <formula>"Towel"</formula>
    </cfRule>
    <cfRule type="cellIs" dxfId="4201" priority="7153" stopIfTrue="1" operator="equal">
      <formula>"Napkin Hs"</formula>
    </cfRule>
    <cfRule type="cellIs" dxfId="4200" priority="7154" stopIfTrue="1" operator="equal">
      <formula>"Towel"</formula>
    </cfRule>
    <cfRule type="cellIs" dxfId="4199" priority="7155" stopIfTrue="1" operator="equal">
      <formula>"Napkin Hs"</formula>
    </cfRule>
    <cfRule type="cellIs" dxfId="4198" priority="7161" stopIfTrue="1" operator="equal">
      <formula>"Napkin Hs"</formula>
    </cfRule>
  </conditionalFormatting>
  <conditionalFormatting sqref="C118">
    <cfRule type="cellIs" dxfId="4197" priority="7160" stopIfTrue="1" operator="equal">
      <formula>"Towel"</formula>
    </cfRule>
  </conditionalFormatting>
  <conditionalFormatting sqref="C118">
    <cfRule type="cellIs" dxfId="4196" priority="7071" stopIfTrue="1" operator="equal">
      <formula>"Napkin Hs"</formula>
    </cfRule>
    <cfRule type="cellIs" dxfId="4195" priority="7072" stopIfTrue="1" operator="equal">
      <formula>"Towel"</formula>
    </cfRule>
    <cfRule type="cellIs" dxfId="4194" priority="7073" stopIfTrue="1" operator="equal">
      <formula>"Napkin Hs"</formula>
    </cfRule>
    <cfRule type="cellIs" dxfId="4193" priority="7074" stopIfTrue="1" operator="equal">
      <formula>"Towel"</formula>
    </cfRule>
    <cfRule type="cellIs" dxfId="4192" priority="7075" stopIfTrue="1" operator="equal">
      <formula>"Napkin Hs"</formula>
    </cfRule>
    <cfRule type="cellIs" dxfId="4191" priority="7076" stopIfTrue="1" operator="equal">
      <formula>"Towel"</formula>
    </cfRule>
    <cfRule type="cellIs" dxfId="4190" priority="7077" stopIfTrue="1" operator="equal">
      <formula>"Napkin Hs"</formula>
    </cfRule>
    <cfRule type="cellIs" dxfId="4189" priority="7078" stopIfTrue="1" operator="equal">
      <formula>"Towel"</formula>
    </cfRule>
    <cfRule type="cellIs" dxfId="4188" priority="7079" stopIfTrue="1" operator="equal">
      <formula>"Napkin Hs"</formula>
    </cfRule>
    <cfRule type="cellIs" dxfId="4187" priority="7082" stopIfTrue="1" operator="equal">
      <formula>"Towel"</formula>
    </cfRule>
    <cfRule type="cellIs" dxfId="4186" priority="7083" stopIfTrue="1" operator="equal">
      <formula>"Napkin Hs"</formula>
    </cfRule>
    <cfRule type="cellIs" dxfId="4185" priority="7084" stopIfTrue="1" operator="equal">
      <formula>"Towel"</formula>
    </cfRule>
    <cfRule type="cellIs" dxfId="4184" priority="7085" stopIfTrue="1" operator="equal">
      <formula>"Napkin Hs"</formula>
    </cfRule>
    <cfRule type="cellIs" dxfId="4183" priority="7088" stopIfTrue="1" operator="equal">
      <formula>"Towel"</formula>
    </cfRule>
    <cfRule type="cellIs" dxfId="4182" priority="7089" stopIfTrue="1" operator="equal">
      <formula>"Napkin Hs"</formula>
    </cfRule>
    <cfRule type="cellIs" dxfId="4181" priority="7090" stopIfTrue="1" operator="equal">
      <formula>"Towel"</formula>
    </cfRule>
    <cfRule type="cellIs" dxfId="4180" priority="7091" stopIfTrue="1" operator="equal">
      <formula>"Napkin Hs"</formula>
    </cfRule>
    <cfRule type="cellIs" dxfId="4179" priority="7096" stopIfTrue="1" operator="equal">
      <formula>"Towel"</formula>
    </cfRule>
    <cfRule type="cellIs" dxfId="4178" priority="7097" stopIfTrue="1" operator="equal">
      <formula>"Napkin Hs"</formula>
    </cfRule>
    <cfRule type="cellIs" dxfId="4177" priority="7098" stopIfTrue="1" operator="equal">
      <formula>"Towel"</formula>
    </cfRule>
    <cfRule type="cellIs" dxfId="4176" priority="7099" stopIfTrue="1" operator="equal">
      <formula>"Napkin Hs"</formula>
    </cfRule>
    <cfRule type="cellIs" dxfId="4175" priority="7102" stopIfTrue="1" operator="equal">
      <formula>"Towel"</formula>
    </cfRule>
    <cfRule type="cellIs" dxfId="4174" priority="7103" stopIfTrue="1" operator="equal">
      <formula>"Napkin Hs"</formula>
    </cfRule>
    <cfRule type="cellIs" dxfId="4173" priority="7104" stopIfTrue="1" operator="equal">
      <formula>"Towel"</formula>
    </cfRule>
    <cfRule type="cellIs" dxfId="4172" priority="7105" stopIfTrue="1" operator="equal">
      <formula>"Napkin Hs"</formula>
    </cfRule>
    <cfRule type="cellIs" dxfId="4171" priority="7106" stopIfTrue="1" operator="equal">
      <formula>"Towel"</formula>
    </cfRule>
    <cfRule type="cellIs" dxfId="4170" priority="7107" stopIfTrue="1" operator="equal">
      <formula>"Napkin Hs"</formula>
    </cfRule>
    <cfRule type="cellIs" dxfId="4169" priority="7108" stopIfTrue="1" operator="equal">
      <formula>"Towel"</formula>
    </cfRule>
    <cfRule type="cellIs" dxfId="4168" priority="7109" stopIfTrue="1" operator="equal">
      <formula>"Napkin Hs"</formula>
    </cfRule>
    <cfRule type="cellIs" dxfId="4167" priority="7112" stopIfTrue="1" operator="equal">
      <formula>"Towel"</formula>
    </cfRule>
    <cfRule type="cellIs" dxfId="4166" priority="7113" stopIfTrue="1" operator="equal">
      <formula>"Napkin Hs"</formula>
    </cfRule>
    <cfRule type="cellIs" dxfId="4165" priority="7114" stopIfTrue="1" operator="equal">
      <formula>"Towel"</formula>
    </cfRule>
    <cfRule type="cellIs" dxfId="4164" priority="7115" stopIfTrue="1" operator="equal">
      <formula>"Napkin Hs"</formula>
    </cfRule>
    <cfRule type="cellIs" dxfId="4163" priority="7120" stopIfTrue="1" operator="equal">
      <formula>"Towel"</formula>
    </cfRule>
    <cfRule type="cellIs" dxfId="4162" priority="7121" stopIfTrue="1" operator="equal">
      <formula>"Napkin Hs"</formula>
    </cfRule>
    <cfRule type="cellIs" dxfId="4161" priority="7122" stopIfTrue="1" operator="equal">
      <formula>"Towel"</formula>
    </cfRule>
    <cfRule type="cellIs" dxfId="4160" priority="7123" stopIfTrue="1" operator="equal">
      <formula>"Napkin Hs"</formula>
    </cfRule>
    <cfRule type="cellIs" dxfId="4159" priority="7126" stopIfTrue="1" operator="equal">
      <formula>"Towel"</formula>
    </cfRule>
    <cfRule type="cellIs" dxfId="4158" priority="7127" stopIfTrue="1" operator="equal">
      <formula>"Napkin Hs"</formula>
    </cfRule>
    <cfRule type="cellIs" dxfId="4157" priority="7128" stopIfTrue="1" operator="equal">
      <formula>"Towel"</formula>
    </cfRule>
    <cfRule type="cellIs" dxfId="4156" priority="7129" stopIfTrue="1" operator="equal">
      <formula>"Napkin Hs"</formula>
    </cfRule>
    <cfRule type="cellIs" dxfId="4155" priority="7130" stopIfTrue="1" operator="equal">
      <formula>"Towel"</formula>
    </cfRule>
    <cfRule type="cellIs" dxfId="4154" priority="7131" stopIfTrue="1" operator="equal">
      <formula>"Napkin Hs"</formula>
    </cfRule>
    <cfRule type="cellIs" dxfId="4153" priority="7132" stopIfTrue="1" operator="equal">
      <formula>"Towel"</formula>
    </cfRule>
    <cfRule type="cellIs" dxfId="4152" priority="7133" stopIfTrue="1" operator="equal">
      <formula>"Napkin Hs"</formula>
    </cfRule>
    <cfRule type="cellIs" dxfId="4151" priority="7138" stopIfTrue="1" operator="equal">
      <formula>"Towel"</formula>
    </cfRule>
    <cfRule type="cellIs" dxfId="4150" priority="7139" stopIfTrue="1" operator="equal">
      <formula>"Napkin Hs"</formula>
    </cfRule>
    <cfRule type="cellIs" dxfId="4149" priority="7140" stopIfTrue="1" operator="equal">
      <formula>"Towel"</formula>
    </cfRule>
    <cfRule type="cellIs" dxfId="4148" priority="7141" stopIfTrue="1" operator="equal">
      <formula>"Napkin Hs"</formula>
    </cfRule>
    <cfRule type="cellIs" dxfId="4147" priority="7144" stopIfTrue="1" operator="equal">
      <formula>"Towel"</formula>
    </cfRule>
    <cfRule type="cellIs" dxfId="4146" priority="7145" stopIfTrue="1" operator="equal">
      <formula>"Napkin Hs"</formula>
    </cfRule>
    <cfRule type="cellIs" dxfId="4145" priority="7146" stopIfTrue="1" operator="equal">
      <formula>"Towel"</formula>
    </cfRule>
    <cfRule type="cellIs" dxfId="4144" priority="7147" stopIfTrue="1" operator="equal">
      <formula>"Napkin Hs"</formula>
    </cfRule>
    <cfRule type="cellIs" dxfId="4143" priority="7148" stopIfTrue="1" operator="equal">
      <formula>"Towel"</formula>
    </cfRule>
    <cfRule type="cellIs" dxfId="4142" priority="7149" stopIfTrue="1" operator="equal">
      <formula>"Napkin Hs"</formula>
    </cfRule>
    <cfRule type="cellIs" dxfId="4141" priority="7150" stopIfTrue="1" operator="equal">
      <formula>"Towel"</formula>
    </cfRule>
    <cfRule type="cellIs" dxfId="4140" priority="7151" stopIfTrue="1" operator="equal">
      <formula>"Napkin Hs"</formula>
    </cfRule>
    <cfRule type="cellIs" dxfId="4139" priority="7156" stopIfTrue="1" operator="equal">
      <formula>"Towel"</formula>
    </cfRule>
    <cfRule type="cellIs" dxfId="4138" priority="7157" stopIfTrue="1" operator="equal">
      <formula>"Napkin Hs"</formula>
    </cfRule>
    <cfRule type="cellIs" dxfId="4137" priority="7158" stopIfTrue="1" operator="equal">
      <formula>"Towel"</formula>
    </cfRule>
    <cfRule type="cellIs" dxfId="4136" priority="7159" stopIfTrue="1" operator="equal">
      <formula>"Napkin Hs"</formula>
    </cfRule>
    <cfRule type="cellIs" dxfId="4135" priority="7162" stopIfTrue="1" operator="equal">
      <formula>"Towel"</formula>
    </cfRule>
    <cfRule type="cellIs" dxfId="4134" priority="7163" stopIfTrue="1" operator="equal">
      <formula>"Napkin Hs"</formula>
    </cfRule>
    <cfRule type="cellIs" dxfId="4133" priority="7164" stopIfTrue="1" operator="equal">
      <formula>"Towel"</formula>
    </cfRule>
    <cfRule type="cellIs" dxfId="4132" priority="7165" stopIfTrue="1" operator="equal">
      <formula>"Napkin Hs"</formula>
    </cfRule>
  </conditionalFormatting>
  <conditionalFormatting sqref="C118">
    <cfRule type="cellIs" dxfId="4131" priority="7069" stopIfTrue="1" operator="equal">
      <formula>"Napkin Hs"</formula>
    </cfRule>
  </conditionalFormatting>
  <conditionalFormatting sqref="C118">
    <cfRule type="cellIs" dxfId="4130" priority="7068" stopIfTrue="1" operator="equal">
      <formula>"Napkin Hs"</formula>
    </cfRule>
  </conditionalFormatting>
  <conditionalFormatting sqref="C118">
    <cfRule type="cellIs" dxfId="4129" priority="7067" stopIfTrue="1" operator="equal">
      <formula>"Napkin Hs"</formula>
    </cfRule>
  </conditionalFormatting>
  <conditionalFormatting sqref="C118">
    <cfRule type="cellIs" dxfId="4128" priority="7066" stopIfTrue="1" operator="equal">
      <formula>"Napkin Hs"</formula>
    </cfRule>
  </conditionalFormatting>
  <conditionalFormatting sqref="C118">
    <cfRule type="cellIs" dxfId="4127" priority="7065" stopIfTrue="1" operator="equal">
      <formula>"Napkin Hs"</formula>
    </cfRule>
  </conditionalFormatting>
  <conditionalFormatting sqref="C118">
    <cfRule type="cellIs" dxfId="4126" priority="7064" stopIfTrue="1" operator="equal">
      <formula>"Napkin Hs"</formula>
    </cfRule>
  </conditionalFormatting>
  <conditionalFormatting sqref="C118">
    <cfRule type="cellIs" dxfId="4125" priority="7060" stopIfTrue="1" operator="equal">
      <formula>"Towel"</formula>
    </cfRule>
    <cfRule type="cellIs" dxfId="4124" priority="7061" stopIfTrue="1" operator="equal">
      <formula>"Napkin Hs"</formula>
    </cfRule>
  </conditionalFormatting>
  <conditionalFormatting sqref="C118">
    <cfRule type="cellIs" dxfId="4123" priority="7062" stopIfTrue="1" operator="equal">
      <formula>"Towel"</formula>
    </cfRule>
    <cfRule type="cellIs" dxfId="4122" priority="7063" stopIfTrue="1" operator="equal">
      <formula>"Napkin Hs"</formula>
    </cfRule>
  </conditionalFormatting>
  <conditionalFormatting sqref="C118">
    <cfRule type="cellIs" dxfId="4121" priority="7056" stopIfTrue="1" operator="equal">
      <formula>"Towel"</formula>
    </cfRule>
    <cfRule type="cellIs" dxfId="4120" priority="7057" stopIfTrue="1" operator="equal">
      <formula>"Napkin Hs"</formula>
    </cfRule>
  </conditionalFormatting>
  <conditionalFormatting sqref="C118">
    <cfRule type="cellIs" dxfId="4119" priority="7058" stopIfTrue="1" operator="equal">
      <formula>"Towel"</formula>
    </cfRule>
    <cfRule type="cellIs" dxfId="4118" priority="7059" stopIfTrue="1" operator="equal">
      <formula>"Napkin Hs"</formula>
    </cfRule>
  </conditionalFormatting>
  <conditionalFormatting sqref="B119">
    <cfRule type="cellIs" dxfId="4117" priority="7055" stopIfTrue="1" operator="equal">
      <formula>"Napkin Hs"</formula>
    </cfRule>
  </conditionalFormatting>
  <conditionalFormatting sqref="B119">
    <cfRule type="cellIs" dxfId="4116" priority="7054" stopIfTrue="1" operator="equal">
      <formula>"Napkin Hs"</formula>
    </cfRule>
  </conditionalFormatting>
  <conditionalFormatting sqref="B119">
    <cfRule type="cellIs" dxfId="4115" priority="7053" stopIfTrue="1" operator="equal">
      <formula>"Napkin Hs"</formula>
    </cfRule>
  </conditionalFormatting>
  <conditionalFormatting sqref="C119">
    <cfRule type="cellIs" dxfId="4114" priority="7051" stopIfTrue="1" operator="equal">
      <formula>"Towel"</formula>
    </cfRule>
    <cfRule type="cellIs" dxfId="4113" priority="7052" stopIfTrue="1" operator="equal">
      <formula>"Napkin Hs"</formula>
    </cfRule>
  </conditionalFormatting>
  <conditionalFormatting sqref="C119">
    <cfRule type="cellIs" dxfId="4112" priority="7047" stopIfTrue="1" operator="equal">
      <formula>"Towel"</formula>
    </cfRule>
    <cfRule type="cellIs" dxfId="4111" priority="7048" stopIfTrue="1" operator="equal">
      <formula>"Napkin Hs"</formula>
    </cfRule>
  </conditionalFormatting>
  <conditionalFormatting sqref="C119">
    <cfRule type="cellIs" dxfId="4110" priority="7049" stopIfTrue="1" operator="equal">
      <formula>"Towel"</formula>
    </cfRule>
    <cfRule type="cellIs" dxfId="4109" priority="7050" stopIfTrue="1" operator="equal">
      <formula>"Napkin Hs"</formula>
    </cfRule>
  </conditionalFormatting>
  <conditionalFormatting sqref="C119">
    <cfRule type="cellIs" dxfId="4108" priority="7043" stopIfTrue="1" operator="equal">
      <formula>"Towel"</formula>
    </cfRule>
    <cfRule type="cellIs" dxfId="4107" priority="7044" stopIfTrue="1" operator="equal">
      <formula>"Napkin Hs"</formula>
    </cfRule>
  </conditionalFormatting>
  <conditionalFormatting sqref="C119">
    <cfRule type="cellIs" dxfId="4106" priority="7045" stopIfTrue="1" operator="equal">
      <formula>"Towel"</formula>
    </cfRule>
    <cfRule type="cellIs" dxfId="4105" priority="7046" stopIfTrue="1" operator="equal">
      <formula>"Napkin Hs"</formula>
    </cfRule>
  </conditionalFormatting>
  <conditionalFormatting sqref="C119">
    <cfRule type="cellIs" dxfId="4104" priority="7041" stopIfTrue="1" operator="equal">
      <formula>"Towel"</formula>
    </cfRule>
    <cfRule type="cellIs" dxfId="4103" priority="7042" stopIfTrue="1" operator="equal">
      <formula>"Napkin Hs"</formula>
    </cfRule>
  </conditionalFormatting>
  <conditionalFormatting sqref="C119">
    <cfRule type="cellIs" dxfId="4102" priority="7035" stopIfTrue="1" operator="equal">
      <formula>"Towel"</formula>
    </cfRule>
    <cfRule type="cellIs" dxfId="4101" priority="7036" stopIfTrue="1" operator="equal">
      <formula>"Napkin Hs"</formula>
    </cfRule>
  </conditionalFormatting>
  <conditionalFormatting sqref="C119">
    <cfRule type="cellIs" dxfId="4100" priority="7039" stopIfTrue="1" operator="equal">
      <formula>"Towel"</formula>
    </cfRule>
    <cfRule type="cellIs" dxfId="4099" priority="7040" stopIfTrue="1" operator="equal">
      <formula>"Napkin Hs"</formula>
    </cfRule>
  </conditionalFormatting>
  <conditionalFormatting sqref="C119">
    <cfRule type="cellIs" dxfId="4098" priority="7037" stopIfTrue="1" operator="equal">
      <formula>"Towel"</formula>
    </cfRule>
    <cfRule type="cellIs" dxfId="4097" priority="7038" stopIfTrue="1" operator="equal">
      <formula>"Napkin Hs"</formula>
    </cfRule>
  </conditionalFormatting>
  <conditionalFormatting sqref="C119">
    <cfRule type="cellIs" dxfId="4096" priority="7029" stopIfTrue="1" operator="equal">
      <formula>"Towel"</formula>
    </cfRule>
    <cfRule type="cellIs" dxfId="4095" priority="7030" stopIfTrue="1" operator="equal">
      <formula>"Napkin Hs"</formula>
    </cfRule>
  </conditionalFormatting>
  <conditionalFormatting sqref="C119">
    <cfRule type="cellIs" dxfId="4094" priority="7031" stopIfTrue="1" operator="equal">
      <formula>"Towel"</formula>
    </cfRule>
    <cfRule type="cellIs" dxfId="4093" priority="7032" stopIfTrue="1" operator="equal">
      <formula>"Napkin Hs"</formula>
    </cfRule>
  </conditionalFormatting>
  <conditionalFormatting sqref="C119">
    <cfRule type="cellIs" dxfId="4092" priority="7033" stopIfTrue="1" operator="equal">
      <formula>"Towel"</formula>
    </cfRule>
    <cfRule type="cellIs" dxfId="4091" priority="7034" stopIfTrue="1" operator="equal">
      <formula>"Napkin Hs"</formula>
    </cfRule>
  </conditionalFormatting>
  <conditionalFormatting sqref="C119">
    <cfRule type="cellIs" dxfId="4090" priority="7027" stopIfTrue="1" operator="equal">
      <formula>"Towel"</formula>
    </cfRule>
    <cfRule type="cellIs" dxfId="4089" priority="7028" stopIfTrue="1" operator="equal">
      <formula>"Napkin Hs"</formula>
    </cfRule>
  </conditionalFormatting>
  <conditionalFormatting sqref="C119">
    <cfRule type="cellIs" dxfId="4088" priority="7025" stopIfTrue="1" operator="equal">
      <formula>"Towel"</formula>
    </cfRule>
    <cfRule type="cellIs" dxfId="4087" priority="7026" stopIfTrue="1" operator="equal">
      <formula>"Napkin Hs"</formula>
    </cfRule>
  </conditionalFormatting>
  <conditionalFormatting sqref="C119">
    <cfRule type="cellIs" dxfId="4086" priority="7001" stopIfTrue="1" operator="equal">
      <formula>"Towel"</formula>
    </cfRule>
  </conditionalFormatting>
  <conditionalFormatting sqref="C119">
    <cfRule type="cellIs" dxfId="4085" priority="7002" stopIfTrue="1" operator="equal">
      <formula>"Napkin Hs"</formula>
    </cfRule>
    <cfRule type="cellIs" dxfId="4084" priority="7007" stopIfTrue="1" operator="equal">
      <formula>"Towel"</formula>
    </cfRule>
    <cfRule type="cellIs" dxfId="4083" priority="7008" stopIfTrue="1" operator="equal">
      <formula>"Napkin Hs"</formula>
    </cfRule>
    <cfRule type="cellIs" dxfId="4082" priority="7017" stopIfTrue="1" operator="equal">
      <formula>"Towel"</formula>
    </cfRule>
    <cfRule type="cellIs" dxfId="4081" priority="7018" stopIfTrue="1" operator="equal">
      <formula>"Napkin Hs"</formula>
    </cfRule>
    <cfRule type="cellIs" dxfId="4080" priority="7023" stopIfTrue="1" operator="equal">
      <formula>"Towel"</formula>
    </cfRule>
    <cfRule type="cellIs" dxfId="4079" priority="7024" stopIfTrue="1" operator="equal">
      <formula>"Napkin Hs"</formula>
    </cfRule>
  </conditionalFormatting>
  <conditionalFormatting sqref="C119">
    <cfRule type="cellIs" dxfId="4078" priority="7003" stopIfTrue="1" operator="equal">
      <formula>"Towel"</formula>
    </cfRule>
    <cfRule type="cellIs" dxfId="4077" priority="7004" stopIfTrue="1" operator="equal">
      <formula>"Napkin Hs"</formula>
    </cfRule>
    <cfRule type="cellIs" dxfId="4076" priority="7005" stopIfTrue="1" operator="equal">
      <formula>"Towel"</formula>
    </cfRule>
    <cfRule type="cellIs" dxfId="4075" priority="7006" stopIfTrue="1" operator="equal">
      <formula>"Napkin Hs"</formula>
    </cfRule>
    <cfRule type="cellIs" dxfId="4074" priority="7009" stopIfTrue="1" operator="equal">
      <formula>"Towel"</formula>
    </cfRule>
    <cfRule type="cellIs" dxfId="4073" priority="7010" stopIfTrue="1" operator="equal">
      <formula>"Napkin Hs"</formula>
    </cfRule>
    <cfRule type="cellIs" dxfId="4072" priority="7011" stopIfTrue="1" operator="equal">
      <formula>"Towel"</formula>
    </cfRule>
    <cfRule type="cellIs" dxfId="4071" priority="7012" stopIfTrue="1" operator="equal">
      <formula>"Napkin Hs"</formula>
    </cfRule>
    <cfRule type="cellIs" dxfId="4070" priority="7013" stopIfTrue="1" operator="equal">
      <formula>"Towel"</formula>
    </cfRule>
    <cfRule type="cellIs" dxfId="4069" priority="7014" stopIfTrue="1" operator="equal">
      <formula>"Napkin Hs"</formula>
    </cfRule>
    <cfRule type="cellIs" dxfId="4068" priority="7015" stopIfTrue="1" operator="equal">
      <formula>"Towel"</formula>
    </cfRule>
    <cfRule type="cellIs" dxfId="4067" priority="7016" stopIfTrue="1" operator="equal">
      <formula>"Napkin Hs"</formula>
    </cfRule>
    <cfRule type="cellIs" dxfId="4066" priority="7019" stopIfTrue="1" operator="equal">
      <formula>"Towel"</formula>
    </cfRule>
    <cfRule type="cellIs" dxfId="4065" priority="7020" stopIfTrue="1" operator="equal">
      <formula>"Napkin Hs"</formula>
    </cfRule>
    <cfRule type="cellIs" dxfId="4064" priority="7022" stopIfTrue="1" operator="equal">
      <formula>"Napkin Hs"</formula>
    </cfRule>
  </conditionalFormatting>
  <conditionalFormatting sqref="C119">
    <cfRule type="cellIs" dxfId="4063" priority="7021" stopIfTrue="1" operator="equal">
      <formula>"Towel"</formula>
    </cfRule>
  </conditionalFormatting>
  <conditionalFormatting sqref="C119">
    <cfRule type="cellIs" dxfId="4062" priority="6999" stopIfTrue="1" operator="equal">
      <formula>"Towel"</formula>
    </cfRule>
    <cfRule type="cellIs" dxfId="4061" priority="7000" stopIfTrue="1" operator="equal">
      <formula>"Napkin Hs"</formula>
    </cfRule>
  </conditionalFormatting>
  <conditionalFormatting sqref="C119">
    <cfRule type="cellIs" dxfId="4060" priority="6998" stopIfTrue="1" operator="equal">
      <formula>"Napkin Hs"</formula>
    </cfRule>
  </conditionalFormatting>
  <conditionalFormatting sqref="C119">
    <cfRule type="cellIs" dxfId="4059" priority="6997" stopIfTrue="1" operator="equal">
      <formula>"Towel"</formula>
    </cfRule>
  </conditionalFormatting>
  <conditionalFormatting sqref="C119">
    <cfRule type="cellIs" dxfId="4058" priority="6995" stopIfTrue="1" operator="equal">
      <formula>"Towel"</formula>
    </cfRule>
  </conditionalFormatting>
  <conditionalFormatting sqref="C119">
    <cfRule type="cellIs" dxfId="4057" priority="6996" stopIfTrue="1" operator="equal">
      <formula>"Napkin Hs"</formula>
    </cfRule>
  </conditionalFormatting>
  <conditionalFormatting sqref="C119">
    <cfRule type="cellIs" dxfId="4056" priority="6899" stopIfTrue="1" operator="equal">
      <formula>"Towel"</formula>
    </cfRule>
  </conditionalFormatting>
  <conditionalFormatting sqref="C119">
    <cfRule type="cellIs" dxfId="4055" priority="6909" stopIfTrue="1" operator="equal">
      <formula>"Towel"</formula>
    </cfRule>
    <cfRule type="cellIs" dxfId="4054" priority="6910" stopIfTrue="1" operator="equal">
      <formula>"Napkin Hs"</formula>
    </cfRule>
    <cfRule type="cellIs" dxfId="4053" priority="6915" stopIfTrue="1" operator="equal">
      <formula>"Towel"</formula>
    </cfRule>
    <cfRule type="cellIs" dxfId="4052" priority="6916" stopIfTrue="1" operator="equal">
      <formula>"Napkin Hs"</formula>
    </cfRule>
    <cfRule type="cellIs" dxfId="4051" priority="6921" stopIfTrue="1" operator="equal">
      <formula>"Towel"</formula>
    </cfRule>
    <cfRule type="cellIs" dxfId="4050" priority="6922" stopIfTrue="1" operator="equal">
      <formula>"Napkin Hs"</formula>
    </cfRule>
    <cfRule type="cellIs" dxfId="4049" priority="6923" stopIfTrue="1" operator="equal">
      <formula>"Towel"</formula>
    </cfRule>
    <cfRule type="cellIs" dxfId="4048" priority="6924" stopIfTrue="1" operator="equal">
      <formula>"Napkin Hs"</formula>
    </cfRule>
    <cfRule type="cellIs" dxfId="4047" priority="6929" stopIfTrue="1" operator="equal">
      <formula>"Towel"</formula>
    </cfRule>
    <cfRule type="cellIs" dxfId="4046" priority="6930" stopIfTrue="1" operator="equal">
      <formula>"Napkin Hs"</formula>
    </cfRule>
    <cfRule type="cellIs" dxfId="4045" priority="6939" stopIfTrue="1" operator="equal">
      <formula>"Towel"</formula>
    </cfRule>
    <cfRule type="cellIs" dxfId="4044" priority="6940" stopIfTrue="1" operator="equal">
      <formula>"Napkin Hs"</formula>
    </cfRule>
    <cfRule type="cellIs" dxfId="4043" priority="6945" stopIfTrue="1" operator="equal">
      <formula>"Towel"</formula>
    </cfRule>
    <cfRule type="cellIs" dxfId="4042" priority="6946" stopIfTrue="1" operator="equal">
      <formula>"Napkin Hs"</formula>
    </cfRule>
    <cfRule type="cellIs" dxfId="4041" priority="6947" stopIfTrue="1" operator="equal">
      <formula>"Towel"</formula>
    </cfRule>
    <cfRule type="cellIs" dxfId="4040" priority="6948" stopIfTrue="1" operator="equal">
      <formula>"Napkin Hs"</formula>
    </cfRule>
    <cfRule type="cellIs" dxfId="4039" priority="6953" stopIfTrue="1" operator="equal">
      <formula>"Towel"</formula>
    </cfRule>
    <cfRule type="cellIs" dxfId="4038" priority="6954" stopIfTrue="1" operator="equal">
      <formula>"Napkin Hs"</formula>
    </cfRule>
    <cfRule type="cellIs" dxfId="4037" priority="6963" stopIfTrue="1" operator="equal">
      <formula>"Towel"</formula>
    </cfRule>
    <cfRule type="cellIs" dxfId="4036" priority="6964" stopIfTrue="1" operator="equal">
      <formula>"Napkin Hs"</formula>
    </cfRule>
    <cfRule type="cellIs" dxfId="4035" priority="6965" stopIfTrue="1" operator="equal">
      <formula>"Towel"</formula>
    </cfRule>
    <cfRule type="cellIs" dxfId="4034" priority="6966" stopIfTrue="1" operator="equal">
      <formula>"Napkin Hs"</formula>
    </cfRule>
    <cfRule type="cellIs" dxfId="4033" priority="6971" stopIfTrue="1" operator="equal">
      <formula>"Towel"</formula>
    </cfRule>
    <cfRule type="cellIs" dxfId="4032" priority="6972" stopIfTrue="1" operator="equal">
      <formula>"Napkin Hs"</formula>
    </cfRule>
    <cfRule type="cellIs" dxfId="4031" priority="6981" stopIfTrue="1" operator="equal">
      <formula>"Towel"</formula>
    </cfRule>
    <cfRule type="cellIs" dxfId="4030" priority="6982" stopIfTrue="1" operator="equal">
      <formula>"Napkin Hs"</formula>
    </cfRule>
    <cfRule type="cellIs" dxfId="4029" priority="6983" stopIfTrue="1" operator="equal">
      <formula>"Towel"</formula>
    </cfRule>
    <cfRule type="cellIs" dxfId="4028" priority="6984" stopIfTrue="1" operator="equal">
      <formula>"Napkin Hs"</formula>
    </cfRule>
    <cfRule type="cellIs" dxfId="4027" priority="6990" stopIfTrue="1" operator="equal">
      <formula>"Napkin Hs"</formula>
    </cfRule>
  </conditionalFormatting>
  <conditionalFormatting sqref="C119">
    <cfRule type="cellIs" dxfId="4026" priority="6989" stopIfTrue="1" operator="equal">
      <formula>"Towel"</formula>
    </cfRule>
  </conditionalFormatting>
  <conditionalFormatting sqref="C119">
    <cfRule type="cellIs" dxfId="4025" priority="6900" stopIfTrue="1" operator="equal">
      <formula>"Napkin Hs"</formula>
    </cfRule>
    <cfRule type="cellIs" dxfId="4024" priority="6901" stopIfTrue="1" operator="equal">
      <formula>"Towel"</formula>
    </cfRule>
    <cfRule type="cellIs" dxfId="4023" priority="6902" stopIfTrue="1" operator="equal">
      <formula>"Napkin Hs"</formula>
    </cfRule>
    <cfRule type="cellIs" dxfId="4022" priority="6903" stopIfTrue="1" operator="equal">
      <formula>"Towel"</formula>
    </cfRule>
    <cfRule type="cellIs" dxfId="4021" priority="6904" stopIfTrue="1" operator="equal">
      <formula>"Napkin Hs"</formula>
    </cfRule>
    <cfRule type="cellIs" dxfId="4020" priority="6905" stopIfTrue="1" operator="equal">
      <formula>"Towel"</formula>
    </cfRule>
    <cfRule type="cellIs" dxfId="4019" priority="6906" stopIfTrue="1" operator="equal">
      <formula>"Napkin Hs"</formula>
    </cfRule>
    <cfRule type="cellIs" dxfId="4018" priority="6907" stopIfTrue="1" operator="equal">
      <formula>"Towel"</formula>
    </cfRule>
    <cfRule type="cellIs" dxfId="4017" priority="6908" stopIfTrue="1" operator="equal">
      <formula>"Napkin Hs"</formula>
    </cfRule>
    <cfRule type="cellIs" dxfId="4016" priority="6911" stopIfTrue="1" operator="equal">
      <formula>"Towel"</formula>
    </cfRule>
    <cfRule type="cellIs" dxfId="4015" priority="6912" stopIfTrue="1" operator="equal">
      <formula>"Napkin Hs"</formula>
    </cfRule>
    <cfRule type="cellIs" dxfId="4014" priority="6913" stopIfTrue="1" operator="equal">
      <formula>"Towel"</formula>
    </cfRule>
    <cfRule type="cellIs" dxfId="4013" priority="6914" stopIfTrue="1" operator="equal">
      <formula>"Napkin Hs"</formula>
    </cfRule>
    <cfRule type="cellIs" dxfId="4012" priority="6917" stopIfTrue="1" operator="equal">
      <formula>"Towel"</formula>
    </cfRule>
    <cfRule type="cellIs" dxfId="4011" priority="6918" stopIfTrue="1" operator="equal">
      <formula>"Napkin Hs"</formula>
    </cfRule>
    <cfRule type="cellIs" dxfId="4010" priority="6919" stopIfTrue="1" operator="equal">
      <formula>"Towel"</formula>
    </cfRule>
    <cfRule type="cellIs" dxfId="4009" priority="6920" stopIfTrue="1" operator="equal">
      <formula>"Napkin Hs"</formula>
    </cfRule>
    <cfRule type="cellIs" dxfId="4008" priority="6925" stopIfTrue="1" operator="equal">
      <formula>"Towel"</formula>
    </cfRule>
    <cfRule type="cellIs" dxfId="4007" priority="6926" stopIfTrue="1" operator="equal">
      <formula>"Napkin Hs"</formula>
    </cfRule>
    <cfRule type="cellIs" dxfId="4006" priority="6927" stopIfTrue="1" operator="equal">
      <formula>"Towel"</formula>
    </cfRule>
    <cfRule type="cellIs" dxfId="4005" priority="6928" stopIfTrue="1" operator="equal">
      <formula>"Napkin Hs"</formula>
    </cfRule>
    <cfRule type="cellIs" dxfId="4004" priority="6931" stopIfTrue="1" operator="equal">
      <formula>"Towel"</formula>
    </cfRule>
    <cfRule type="cellIs" dxfId="4003" priority="6932" stopIfTrue="1" operator="equal">
      <formula>"Napkin Hs"</formula>
    </cfRule>
    <cfRule type="cellIs" dxfId="4002" priority="6933" stopIfTrue="1" operator="equal">
      <formula>"Towel"</formula>
    </cfRule>
    <cfRule type="cellIs" dxfId="4001" priority="6934" stopIfTrue="1" operator="equal">
      <formula>"Napkin Hs"</formula>
    </cfRule>
    <cfRule type="cellIs" dxfId="4000" priority="6935" stopIfTrue="1" operator="equal">
      <formula>"Towel"</formula>
    </cfRule>
    <cfRule type="cellIs" dxfId="3999" priority="6936" stopIfTrue="1" operator="equal">
      <formula>"Napkin Hs"</formula>
    </cfRule>
    <cfRule type="cellIs" dxfId="3998" priority="6937" stopIfTrue="1" operator="equal">
      <formula>"Towel"</formula>
    </cfRule>
    <cfRule type="cellIs" dxfId="3997" priority="6938" stopIfTrue="1" operator="equal">
      <formula>"Napkin Hs"</formula>
    </cfRule>
    <cfRule type="cellIs" dxfId="3996" priority="6941" stopIfTrue="1" operator="equal">
      <formula>"Towel"</formula>
    </cfRule>
    <cfRule type="cellIs" dxfId="3995" priority="6942" stopIfTrue="1" operator="equal">
      <formula>"Napkin Hs"</formula>
    </cfRule>
    <cfRule type="cellIs" dxfId="3994" priority="6943" stopIfTrue="1" operator="equal">
      <formula>"Towel"</formula>
    </cfRule>
    <cfRule type="cellIs" dxfId="3993" priority="6944" stopIfTrue="1" operator="equal">
      <formula>"Napkin Hs"</formula>
    </cfRule>
    <cfRule type="cellIs" dxfId="3992" priority="6949" stopIfTrue="1" operator="equal">
      <formula>"Towel"</formula>
    </cfRule>
    <cfRule type="cellIs" dxfId="3991" priority="6950" stopIfTrue="1" operator="equal">
      <formula>"Napkin Hs"</formula>
    </cfRule>
    <cfRule type="cellIs" dxfId="3990" priority="6951" stopIfTrue="1" operator="equal">
      <formula>"Towel"</formula>
    </cfRule>
    <cfRule type="cellIs" dxfId="3989" priority="6952" stopIfTrue="1" operator="equal">
      <formula>"Napkin Hs"</formula>
    </cfRule>
    <cfRule type="cellIs" dxfId="3988" priority="6955" stopIfTrue="1" operator="equal">
      <formula>"Towel"</formula>
    </cfRule>
    <cfRule type="cellIs" dxfId="3987" priority="6956" stopIfTrue="1" operator="equal">
      <formula>"Napkin Hs"</formula>
    </cfRule>
    <cfRule type="cellIs" dxfId="3986" priority="6957" stopIfTrue="1" operator="equal">
      <formula>"Towel"</formula>
    </cfRule>
    <cfRule type="cellIs" dxfId="3985" priority="6958" stopIfTrue="1" operator="equal">
      <formula>"Napkin Hs"</formula>
    </cfRule>
    <cfRule type="cellIs" dxfId="3984" priority="6959" stopIfTrue="1" operator="equal">
      <formula>"Towel"</formula>
    </cfRule>
    <cfRule type="cellIs" dxfId="3983" priority="6960" stopIfTrue="1" operator="equal">
      <formula>"Napkin Hs"</formula>
    </cfRule>
    <cfRule type="cellIs" dxfId="3982" priority="6961" stopIfTrue="1" operator="equal">
      <formula>"Towel"</formula>
    </cfRule>
    <cfRule type="cellIs" dxfId="3981" priority="6962" stopIfTrue="1" operator="equal">
      <formula>"Napkin Hs"</formula>
    </cfRule>
    <cfRule type="cellIs" dxfId="3980" priority="6967" stopIfTrue="1" operator="equal">
      <formula>"Towel"</formula>
    </cfRule>
    <cfRule type="cellIs" dxfId="3979" priority="6968" stopIfTrue="1" operator="equal">
      <formula>"Napkin Hs"</formula>
    </cfRule>
    <cfRule type="cellIs" dxfId="3978" priority="6969" stopIfTrue="1" operator="equal">
      <formula>"Towel"</formula>
    </cfRule>
    <cfRule type="cellIs" dxfId="3977" priority="6970" stopIfTrue="1" operator="equal">
      <formula>"Napkin Hs"</formula>
    </cfRule>
    <cfRule type="cellIs" dxfId="3976" priority="6973" stopIfTrue="1" operator="equal">
      <formula>"Towel"</formula>
    </cfRule>
    <cfRule type="cellIs" dxfId="3975" priority="6974" stopIfTrue="1" operator="equal">
      <formula>"Napkin Hs"</formula>
    </cfRule>
    <cfRule type="cellIs" dxfId="3974" priority="6975" stopIfTrue="1" operator="equal">
      <formula>"Towel"</formula>
    </cfRule>
    <cfRule type="cellIs" dxfId="3973" priority="6976" stopIfTrue="1" operator="equal">
      <formula>"Napkin Hs"</formula>
    </cfRule>
    <cfRule type="cellIs" dxfId="3972" priority="6977" stopIfTrue="1" operator="equal">
      <formula>"Towel"</formula>
    </cfRule>
    <cfRule type="cellIs" dxfId="3971" priority="6978" stopIfTrue="1" operator="equal">
      <formula>"Napkin Hs"</formula>
    </cfRule>
    <cfRule type="cellIs" dxfId="3970" priority="6979" stopIfTrue="1" operator="equal">
      <formula>"Towel"</formula>
    </cfRule>
    <cfRule type="cellIs" dxfId="3969" priority="6980" stopIfTrue="1" operator="equal">
      <formula>"Napkin Hs"</formula>
    </cfRule>
    <cfRule type="cellIs" dxfId="3968" priority="6985" stopIfTrue="1" operator="equal">
      <formula>"Towel"</formula>
    </cfRule>
    <cfRule type="cellIs" dxfId="3967" priority="6986" stopIfTrue="1" operator="equal">
      <formula>"Napkin Hs"</formula>
    </cfRule>
    <cfRule type="cellIs" dxfId="3966" priority="6987" stopIfTrue="1" operator="equal">
      <formula>"Towel"</formula>
    </cfRule>
    <cfRule type="cellIs" dxfId="3965" priority="6988" stopIfTrue="1" operator="equal">
      <formula>"Napkin Hs"</formula>
    </cfRule>
    <cfRule type="cellIs" dxfId="3964" priority="6991" stopIfTrue="1" operator="equal">
      <formula>"Towel"</formula>
    </cfRule>
    <cfRule type="cellIs" dxfId="3963" priority="6992" stopIfTrue="1" operator="equal">
      <formula>"Napkin Hs"</formula>
    </cfRule>
    <cfRule type="cellIs" dxfId="3962" priority="6993" stopIfTrue="1" operator="equal">
      <formula>"Towel"</formula>
    </cfRule>
    <cfRule type="cellIs" dxfId="3961" priority="6994" stopIfTrue="1" operator="equal">
      <formula>"Napkin Hs"</formula>
    </cfRule>
  </conditionalFormatting>
  <conditionalFormatting sqref="C119">
    <cfRule type="cellIs" dxfId="3960" priority="6898" stopIfTrue="1" operator="equal">
      <formula>"Napkin Hs"</formula>
    </cfRule>
  </conditionalFormatting>
  <conditionalFormatting sqref="C119">
    <cfRule type="cellIs" dxfId="3959" priority="6897" stopIfTrue="1" operator="equal">
      <formula>"Napkin Hs"</formula>
    </cfRule>
  </conditionalFormatting>
  <conditionalFormatting sqref="C119">
    <cfRule type="cellIs" dxfId="3958" priority="6896" stopIfTrue="1" operator="equal">
      <formula>"Napkin Hs"</formula>
    </cfRule>
  </conditionalFormatting>
  <conditionalFormatting sqref="C119">
    <cfRule type="cellIs" dxfId="3957" priority="6895" stopIfTrue="1" operator="equal">
      <formula>"Napkin Hs"</formula>
    </cfRule>
  </conditionalFormatting>
  <conditionalFormatting sqref="C119">
    <cfRule type="cellIs" dxfId="3956" priority="6894" stopIfTrue="1" operator="equal">
      <formula>"Napkin Hs"</formula>
    </cfRule>
  </conditionalFormatting>
  <conditionalFormatting sqref="C119">
    <cfRule type="cellIs" dxfId="3955" priority="6893" stopIfTrue="1" operator="equal">
      <formula>"Napkin Hs"</formula>
    </cfRule>
  </conditionalFormatting>
  <conditionalFormatting sqref="C119">
    <cfRule type="cellIs" dxfId="3954" priority="6889" stopIfTrue="1" operator="equal">
      <formula>"Towel"</formula>
    </cfRule>
    <cfRule type="cellIs" dxfId="3953" priority="6890" stopIfTrue="1" operator="equal">
      <formula>"Napkin Hs"</formula>
    </cfRule>
  </conditionalFormatting>
  <conditionalFormatting sqref="C119">
    <cfRule type="cellIs" dxfId="3952" priority="6891" stopIfTrue="1" operator="equal">
      <formula>"Towel"</formula>
    </cfRule>
    <cfRule type="cellIs" dxfId="3951" priority="6892" stopIfTrue="1" operator="equal">
      <formula>"Napkin Hs"</formula>
    </cfRule>
  </conditionalFormatting>
  <conditionalFormatting sqref="C119">
    <cfRule type="cellIs" dxfId="3950" priority="6885" stopIfTrue="1" operator="equal">
      <formula>"Towel"</formula>
    </cfRule>
    <cfRule type="cellIs" dxfId="3949" priority="6886" stopIfTrue="1" operator="equal">
      <formula>"Napkin Hs"</formula>
    </cfRule>
  </conditionalFormatting>
  <conditionalFormatting sqref="C119">
    <cfRule type="cellIs" dxfId="3948" priority="6887" stopIfTrue="1" operator="equal">
      <formula>"Towel"</formula>
    </cfRule>
    <cfRule type="cellIs" dxfId="3947" priority="6888" stopIfTrue="1" operator="equal">
      <formula>"Napkin Hs"</formula>
    </cfRule>
  </conditionalFormatting>
  <conditionalFormatting sqref="B126:C126">
    <cfRule type="cellIs" dxfId="3946" priority="6827" stopIfTrue="1" operator="equal">
      <formula>"Towel"</formula>
    </cfRule>
    <cfRule type="cellIs" dxfId="3945" priority="6828" stopIfTrue="1" operator="equal">
      <formula>"Napkin Hs"</formula>
    </cfRule>
  </conditionalFormatting>
  <conditionalFormatting sqref="C126">
    <cfRule type="cellIs" dxfId="3944" priority="6807" stopIfTrue="1" operator="equal">
      <formula>"Towel"</formula>
    </cfRule>
    <cfRule type="cellIs" dxfId="3943" priority="6808" stopIfTrue="1" operator="equal">
      <formula>"Napkin Hs"</formula>
    </cfRule>
  </conditionalFormatting>
  <conditionalFormatting sqref="B126:C126">
    <cfRule type="cellIs" dxfId="3942" priority="6805" stopIfTrue="1" operator="equal">
      <formula>"Towel"</formula>
    </cfRule>
    <cfRule type="cellIs" dxfId="3941" priority="6806" stopIfTrue="1" operator="equal">
      <formula>"Napkin Hs"</formula>
    </cfRule>
  </conditionalFormatting>
  <conditionalFormatting sqref="C126">
    <cfRule type="cellIs" dxfId="3940" priority="6813" stopIfTrue="1" operator="equal">
      <formula>"Towel"</formula>
    </cfRule>
    <cfRule type="cellIs" dxfId="3939" priority="6814" stopIfTrue="1" operator="equal">
      <formula>"Napkin Hs"</formula>
    </cfRule>
  </conditionalFormatting>
  <conditionalFormatting sqref="B126:C126">
    <cfRule type="cellIs" dxfId="3938" priority="6811" stopIfTrue="1" operator="equal">
      <formula>"Towel"</formula>
    </cfRule>
    <cfRule type="cellIs" dxfId="3937" priority="6812" stopIfTrue="1" operator="equal">
      <formula>"Napkin Hs"</formula>
    </cfRule>
  </conditionalFormatting>
  <conditionalFormatting sqref="C126">
    <cfRule type="cellIs" dxfId="3936" priority="6809" stopIfTrue="1" operator="equal">
      <formula>"Towel"</formula>
    </cfRule>
    <cfRule type="cellIs" dxfId="3935" priority="6810" stopIfTrue="1" operator="equal">
      <formula>"Napkin Hs"</formula>
    </cfRule>
  </conditionalFormatting>
  <conditionalFormatting sqref="C126">
    <cfRule type="cellIs" dxfId="3934" priority="6819" stopIfTrue="1" operator="equal">
      <formula>"Towel"</formula>
    </cfRule>
    <cfRule type="cellIs" dxfId="3933" priority="6820" stopIfTrue="1" operator="equal">
      <formula>"Napkin Hs"</formula>
    </cfRule>
  </conditionalFormatting>
  <conditionalFormatting sqref="C126">
    <cfRule type="cellIs" dxfId="3932" priority="6817" stopIfTrue="1" operator="equal">
      <formula>"Towel"</formula>
    </cfRule>
    <cfRule type="cellIs" dxfId="3931" priority="6818" stopIfTrue="1" operator="equal">
      <formula>"Napkin Hs"</formula>
    </cfRule>
  </conditionalFormatting>
  <conditionalFormatting sqref="C126">
    <cfRule type="cellIs" dxfId="3930" priority="6815" stopIfTrue="1" operator="equal">
      <formula>"Towel"</formula>
    </cfRule>
    <cfRule type="cellIs" dxfId="3929" priority="6816" stopIfTrue="1" operator="equal">
      <formula>"Napkin Hs"</formula>
    </cfRule>
  </conditionalFormatting>
  <conditionalFormatting sqref="C126">
    <cfRule type="cellIs" dxfId="3928" priority="6823" stopIfTrue="1" operator="equal">
      <formula>"Towel"</formula>
    </cfRule>
    <cfRule type="cellIs" dxfId="3927" priority="6824" stopIfTrue="1" operator="equal">
      <formula>"Napkin Hs"</formula>
    </cfRule>
  </conditionalFormatting>
  <conditionalFormatting sqref="C126">
    <cfRule type="cellIs" dxfId="3926" priority="6825" stopIfTrue="1" operator="equal">
      <formula>"Towel"</formula>
    </cfRule>
    <cfRule type="cellIs" dxfId="3925" priority="6826" stopIfTrue="1" operator="equal">
      <formula>"Napkin Hs"</formula>
    </cfRule>
  </conditionalFormatting>
  <conditionalFormatting sqref="B126:C126">
    <cfRule type="cellIs" dxfId="3924" priority="6821" stopIfTrue="1" operator="equal">
      <formula>"Towel"</formula>
    </cfRule>
    <cfRule type="cellIs" dxfId="3923" priority="6822" stopIfTrue="1" operator="equal">
      <formula>"Napkin Hs"</formula>
    </cfRule>
  </conditionalFormatting>
  <conditionalFormatting sqref="C125">
    <cfRule type="cellIs" dxfId="3922" priority="6797" stopIfTrue="1" operator="equal">
      <formula>"Towel"</formula>
    </cfRule>
    <cfRule type="cellIs" dxfId="3921" priority="6798" stopIfTrue="1" operator="equal">
      <formula>"Napkin Hs"</formula>
    </cfRule>
  </conditionalFormatting>
  <conditionalFormatting sqref="B125:C125">
    <cfRule type="cellIs" dxfId="3920" priority="6799" stopIfTrue="1" operator="equal">
      <formula>"Towel"</formula>
    </cfRule>
    <cfRule type="cellIs" dxfId="3919" priority="6800" stopIfTrue="1" operator="equal">
      <formula>"Napkin Hs"</formula>
    </cfRule>
  </conditionalFormatting>
  <conditionalFormatting sqref="C125">
    <cfRule type="cellIs" dxfId="3918" priority="6795" stopIfTrue="1" operator="equal">
      <formula>"Towel"</formula>
    </cfRule>
    <cfRule type="cellIs" dxfId="3917" priority="6796" stopIfTrue="1" operator="equal">
      <formula>"Napkin Hs"</formula>
    </cfRule>
  </conditionalFormatting>
  <conditionalFormatting sqref="B125:C125">
    <cfRule type="cellIs" dxfId="3916" priority="6793" stopIfTrue="1" operator="equal">
      <formula>"Towel"</formula>
    </cfRule>
    <cfRule type="cellIs" dxfId="3915" priority="6794" stopIfTrue="1" operator="equal">
      <formula>"Napkin Hs"</formula>
    </cfRule>
  </conditionalFormatting>
  <conditionalFormatting sqref="C125">
    <cfRule type="cellIs" dxfId="3914" priority="6801" stopIfTrue="1" operator="equal">
      <formula>"Towel"</formula>
    </cfRule>
    <cfRule type="cellIs" dxfId="3913" priority="6802" stopIfTrue="1" operator="equal">
      <formula>"Napkin Hs"</formula>
    </cfRule>
  </conditionalFormatting>
  <conditionalFormatting sqref="C125">
    <cfRule type="cellIs" dxfId="3912" priority="6803" stopIfTrue="1" operator="equal">
      <formula>"Towel"</formula>
    </cfRule>
    <cfRule type="cellIs" dxfId="3911" priority="6804" stopIfTrue="1" operator="equal">
      <formula>"Napkin Hs"</formula>
    </cfRule>
  </conditionalFormatting>
  <conditionalFormatting sqref="C125">
    <cfRule type="cellIs" dxfId="3910" priority="6789" stopIfTrue="1" operator="equal">
      <formula>"Towel"</formula>
    </cfRule>
    <cfRule type="cellIs" dxfId="3909" priority="6790" stopIfTrue="1" operator="equal">
      <formula>"Napkin Hs"</formula>
    </cfRule>
  </conditionalFormatting>
  <conditionalFormatting sqref="C125">
    <cfRule type="cellIs" dxfId="3908" priority="6791" stopIfTrue="1" operator="equal">
      <formula>"Towel"</formula>
    </cfRule>
    <cfRule type="cellIs" dxfId="3907" priority="6792" stopIfTrue="1" operator="equal">
      <formula>"Napkin Hs"</formula>
    </cfRule>
  </conditionalFormatting>
  <conditionalFormatting sqref="C125">
    <cfRule type="cellIs" dxfId="3906" priority="6787" stopIfTrue="1" operator="equal">
      <formula>"Towel"</formula>
    </cfRule>
    <cfRule type="cellIs" dxfId="3905" priority="6788" stopIfTrue="1" operator="equal">
      <formula>"Napkin Hs"</formula>
    </cfRule>
  </conditionalFormatting>
  <conditionalFormatting sqref="B125">
    <cfRule type="cellIs" dxfId="3904" priority="6785" stopIfTrue="1" operator="equal">
      <formula>"Towel"</formula>
    </cfRule>
    <cfRule type="cellIs" dxfId="3903" priority="6786" stopIfTrue="1" operator="equal">
      <formula>"Napkin Hs"</formula>
    </cfRule>
  </conditionalFormatting>
  <conditionalFormatting sqref="C125">
    <cfRule type="cellIs" dxfId="3902" priority="6779" stopIfTrue="1" operator="equal">
      <formula>"Towel"</formula>
    </cfRule>
    <cfRule type="cellIs" dxfId="3901" priority="6780" stopIfTrue="1" operator="equal">
      <formula>"Napkin Hs"</formula>
    </cfRule>
  </conditionalFormatting>
  <conditionalFormatting sqref="C125">
    <cfRule type="cellIs" dxfId="3900" priority="6783" stopIfTrue="1" operator="equal">
      <formula>"Towel"</formula>
    </cfRule>
    <cfRule type="cellIs" dxfId="3899" priority="6784" stopIfTrue="1" operator="equal">
      <formula>"Napkin Hs"</formula>
    </cfRule>
  </conditionalFormatting>
  <conditionalFormatting sqref="C125">
    <cfRule type="cellIs" dxfId="3898" priority="6781" stopIfTrue="1" operator="equal">
      <formula>"Towel"</formula>
    </cfRule>
    <cfRule type="cellIs" dxfId="3897" priority="6782" stopIfTrue="1" operator="equal">
      <formula>"Napkin Hs"</formula>
    </cfRule>
  </conditionalFormatting>
  <conditionalFormatting sqref="C125">
    <cfRule type="cellIs" dxfId="3896" priority="6773" stopIfTrue="1" operator="equal">
      <formula>"Towel"</formula>
    </cfRule>
    <cfRule type="cellIs" dxfId="3895" priority="6774" stopIfTrue="1" operator="equal">
      <formula>"Napkin Hs"</formula>
    </cfRule>
  </conditionalFormatting>
  <conditionalFormatting sqref="C125">
    <cfRule type="cellIs" dxfId="3894" priority="6775" stopIfTrue="1" operator="equal">
      <formula>"Towel"</formula>
    </cfRule>
    <cfRule type="cellIs" dxfId="3893" priority="6776" stopIfTrue="1" operator="equal">
      <formula>"Napkin Hs"</formula>
    </cfRule>
  </conditionalFormatting>
  <conditionalFormatting sqref="C125">
    <cfRule type="cellIs" dxfId="3892" priority="6777" stopIfTrue="1" operator="equal">
      <formula>"Towel"</formula>
    </cfRule>
    <cfRule type="cellIs" dxfId="3891" priority="6778" stopIfTrue="1" operator="equal">
      <formula>"Napkin Hs"</formula>
    </cfRule>
  </conditionalFormatting>
  <conditionalFormatting sqref="B125:C125">
    <cfRule type="cellIs" dxfId="3890" priority="6771" stopIfTrue="1" operator="equal">
      <formula>"Towel"</formula>
    </cfRule>
    <cfRule type="cellIs" dxfId="3889" priority="6772" stopIfTrue="1" operator="equal">
      <formula>"Napkin Hs"</formula>
    </cfRule>
  </conditionalFormatting>
  <conditionalFormatting sqref="B125:C125">
    <cfRule type="cellIs" dxfId="3888" priority="6769" stopIfTrue="1" operator="equal">
      <formula>"Towel"</formula>
    </cfRule>
    <cfRule type="cellIs" dxfId="3887" priority="6770" stopIfTrue="1" operator="equal">
      <formula>"Napkin Hs"</formula>
    </cfRule>
  </conditionalFormatting>
  <conditionalFormatting sqref="B125:C125">
    <cfRule type="cellIs" dxfId="3886" priority="6745" stopIfTrue="1" operator="equal">
      <formula>"Towel"</formula>
    </cfRule>
  </conditionalFormatting>
  <conditionalFormatting sqref="B125:C125">
    <cfRule type="cellIs" dxfId="3885" priority="6746" stopIfTrue="1" operator="equal">
      <formula>"Napkin Hs"</formula>
    </cfRule>
    <cfRule type="cellIs" dxfId="3884" priority="6751" stopIfTrue="1" operator="equal">
      <formula>"Towel"</formula>
    </cfRule>
    <cfRule type="cellIs" dxfId="3883" priority="6752" stopIfTrue="1" operator="equal">
      <formula>"Napkin Hs"</formula>
    </cfRule>
    <cfRule type="cellIs" dxfId="3882" priority="6761" stopIfTrue="1" operator="equal">
      <formula>"Towel"</formula>
    </cfRule>
    <cfRule type="cellIs" dxfId="3881" priority="6762" stopIfTrue="1" operator="equal">
      <formula>"Napkin Hs"</formula>
    </cfRule>
    <cfRule type="cellIs" dxfId="3880" priority="6767" stopIfTrue="1" operator="equal">
      <formula>"Towel"</formula>
    </cfRule>
    <cfRule type="cellIs" dxfId="3879" priority="6768" stopIfTrue="1" operator="equal">
      <formula>"Napkin Hs"</formula>
    </cfRule>
  </conditionalFormatting>
  <conditionalFormatting sqref="C125">
    <cfRule type="cellIs" dxfId="3878" priority="6747" stopIfTrue="1" operator="equal">
      <formula>"Towel"</formula>
    </cfRule>
    <cfRule type="cellIs" dxfId="3877" priority="6748" stopIfTrue="1" operator="equal">
      <formula>"Napkin Hs"</formula>
    </cfRule>
    <cfRule type="cellIs" dxfId="3876" priority="6749" stopIfTrue="1" operator="equal">
      <formula>"Towel"</formula>
    </cfRule>
    <cfRule type="cellIs" dxfId="3875" priority="6750" stopIfTrue="1" operator="equal">
      <formula>"Napkin Hs"</formula>
    </cfRule>
    <cfRule type="cellIs" dxfId="3874" priority="6753" stopIfTrue="1" operator="equal">
      <formula>"Towel"</formula>
    </cfRule>
    <cfRule type="cellIs" dxfId="3873" priority="6754" stopIfTrue="1" operator="equal">
      <formula>"Napkin Hs"</formula>
    </cfRule>
    <cfRule type="cellIs" dxfId="3872" priority="6755" stopIfTrue="1" operator="equal">
      <formula>"Towel"</formula>
    </cfRule>
    <cfRule type="cellIs" dxfId="3871" priority="6756" stopIfTrue="1" operator="equal">
      <formula>"Napkin Hs"</formula>
    </cfRule>
    <cfRule type="cellIs" dxfId="3870" priority="6757" stopIfTrue="1" operator="equal">
      <formula>"Towel"</formula>
    </cfRule>
    <cfRule type="cellIs" dxfId="3869" priority="6758" stopIfTrue="1" operator="equal">
      <formula>"Napkin Hs"</formula>
    </cfRule>
    <cfRule type="cellIs" dxfId="3868" priority="6759" stopIfTrue="1" operator="equal">
      <formula>"Towel"</formula>
    </cfRule>
    <cfRule type="cellIs" dxfId="3867" priority="6760" stopIfTrue="1" operator="equal">
      <formula>"Napkin Hs"</formula>
    </cfRule>
    <cfRule type="cellIs" dxfId="3866" priority="6763" stopIfTrue="1" operator="equal">
      <formula>"Towel"</formula>
    </cfRule>
    <cfRule type="cellIs" dxfId="3865" priority="6764" stopIfTrue="1" operator="equal">
      <formula>"Napkin Hs"</formula>
    </cfRule>
    <cfRule type="cellIs" dxfId="3864" priority="6766" stopIfTrue="1" operator="equal">
      <formula>"Napkin Hs"</formula>
    </cfRule>
  </conditionalFormatting>
  <conditionalFormatting sqref="C125">
    <cfRule type="cellIs" dxfId="3863" priority="6765" stopIfTrue="1" operator="equal">
      <formula>"Towel"</formula>
    </cfRule>
  </conditionalFormatting>
  <conditionalFormatting sqref="B125:C125">
    <cfRule type="cellIs" dxfId="3862" priority="6743" stopIfTrue="1" operator="equal">
      <formula>"Towel"</formula>
    </cfRule>
    <cfRule type="cellIs" dxfId="3861" priority="6744" stopIfTrue="1" operator="equal">
      <formula>"Napkin Hs"</formula>
    </cfRule>
  </conditionalFormatting>
  <conditionalFormatting sqref="C125">
    <cfRule type="cellIs" dxfId="3860" priority="6742" stopIfTrue="1" operator="equal">
      <formula>"Napkin Hs"</formula>
    </cfRule>
  </conditionalFormatting>
  <conditionalFormatting sqref="C125">
    <cfRule type="cellIs" dxfId="3859" priority="6741" stopIfTrue="1" operator="equal">
      <formula>"Towel"</formula>
    </cfRule>
  </conditionalFormatting>
  <conditionalFormatting sqref="C125">
    <cfRule type="cellIs" dxfId="3858" priority="6739" stopIfTrue="1" operator="equal">
      <formula>"Towel"</formula>
    </cfRule>
  </conditionalFormatting>
  <conditionalFormatting sqref="C125">
    <cfRule type="cellIs" dxfId="3857" priority="6740" stopIfTrue="1" operator="equal">
      <formula>"Napkin Hs"</formula>
    </cfRule>
  </conditionalFormatting>
  <conditionalFormatting sqref="B125">
    <cfRule type="cellIs" dxfId="3856" priority="6643" stopIfTrue="1" operator="equal">
      <formula>"Napkin Hs"</formula>
    </cfRule>
  </conditionalFormatting>
  <conditionalFormatting sqref="B125:C125">
    <cfRule type="cellIs" dxfId="3855" priority="6642" stopIfTrue="1" operator="equal">
      <formula>"Towel"</formula>
    </cfRule>
  </conditionalFormatting>
  <conditionalFormatting sqref="B125:C125">
    <cfRule type="cellIs" dxfId="3854" priority="6653" stopIfTrue="1" operator="equal">
      <formula>"Towel"</formula>
    </cfRule>
    <cfRule type="cellIs" dxfId="3853" priority="6654" stopIfTrue="1" operator="equal">
      <formula>"Napkin Hs"</formula>
    </cfRule>
    <cfRule type="cellIs" dxfId="3852" priority="6659" stopIfTrue="1" operator="equal">
      <formula>"Towel"</formula>
    </cfRule>
    <cfRule type="cellIs" dxfId="3851" priority="6660" stopIfTrue="1" operator="equal">
      <formula>"Napkin Hs"</formula>
    </cfRule>
    <cfRule type="cellIs" dxfId="3850" priority="6665" stopIfTrue="1" operator="equal">
      <formula>"Towel"</formula>
    </cfRule>
    <cfRule type="cellIs" dxfId="3849" priority="6666" stopIfTrue="1" operator="equal">
      <formula>"Napkin Hs"</formula>
    </cfRule>
    <cfRule type="cellIs" dxfId="3848" priority="6667" stopIfTrue="1" operator="equal">
      <formula>"Towel"</formula>
    </cfRule>
    <cfRule type="cellIs" dxfId="3847" priority="6668" stopIfTrue="1" operator="equal">
      <formula>"Napkin Hs"</formula>
    </cfRule>
    <cfRule type="cellIs" dxfId="3846" priority="6673" stopIfTrue="1" operator="equal">
      <formula>"Towel"</formula>
    </cfRule>
    <cfRule type="cellIs" dxfId="3845" priority="6674" stopIfTrue="1" operator="equal">
      <formula>"Napkin Hs"</formula>
    </cfRule>
    <cfRule type="cellIs" dxfId="3844" priority="6683" stopIfTrue="1" operator="equal">
      <formula>"Towel"</formula>
    </cfRule>
    <cfRule type="cellIs" dxfId="3843" priority="6684" stopIfTrue="1" operator="equal">
      <formula>"Napkin Hs"</formula>
    </cfRule>
    <cfRule type="cellIs" dxfId="3842" priority="6689" stopIfTrue="1" operator="equal">
      <formula>"Towel"</formula>
    </cfRule>
    <cfRule type="cellIs" dxfId="3841" priority="6690" stopIfTrue="1" operator="equal">
      <formula>"Napkin Hs"</formula>
    </cfRule>
    <cfRule type="cellIs" dxfId="3840" priority="6691" stopIfTrue="1" operator="equal">
      <formula>"Towel"</formula>
    </cfRule>
    <cfRule type="cellIs" dxfId="3839" priority="6692" stopIfTrue="1" operator="equal">
      <formula>"Napkin Hs"</formula>
    </cfRule>
    <cfRule type="cellIs" dxfId="3838" priority="6697" stopIfTrue="1" operator="equal">
      <formula>"Towel"</formula>
    </cfRule>
    <cfRule type="cellIs" dxfId="3837" priority="6698" stopIfTrue="1" operator="equal">
      <formula>"Napkin Hs"</formula>
    </cfRule>
    <cfRule type="cellIs" dxfId="3836" priority="6707" stopIfTrue="1" operator="equal">
      <formula>"Towel"</formula>
    </cfRule>
    <cfRule type="cellIs" dxfId="3835" priority="6708" stopIfTrue="1" operator="equal">
      <formula>"Napkin Hs"</formula>
    </cfRule>
    <cfRule type="cellIs" dxfId="3834" priority="6709" stopIfTrue="1" operator="equal">
      <formula>"Towel"</formula>
    </cfRule>
    <cfRule type="cellIs" dxfId="3833" priority="6710" stopIfTrue="1" operator="equal">
      <formula>"Napkin Hs"</formula>
    </cfRule>
    <cfRule type="cellIs" dxfId="3832" priority="6715" stopIfTrue="1" operator="equal">
      <formula>"Towel"</formula>
    </cfRule>
    <cfRule type="cellIs" dxfId="3831" priority="6716" stopIfTrue="1" operator="equal">
      <formula>"Napkin Hs"</formula>
    </cfRule>
    <cfRule type="cellIs" dxfId="3830" priority="6725" stopIfTrue="1" operator="equal">
      <formula>"Towel"</formula>
    </cfRule>
    <cfRule type="cellIs" dxfId="3829" priority="6726" stopIfTrue="1" operator="equal">
      <formula>"Napkin Hs"</formula>
    </cfRule>
    <cfRule type="cellIs" dxfId="3828" priority="6727" stopIfTrue="1" operator="equal">
      <formula>"Towel"</formula>
    </cfRule>
    <cfRule type="cellIs" dxfId="3827" priority="6728" stopIfTrue="1" operator="equal">
      <formula>"Napkin Hs"</formula>
    </cfRule>
    <cfRule type="cellIs" dxfId="3826" priority="6734" stopIfTrue="1" operator="equal">
      <formula>"Napkin Hs"</formula>
    </cfRule>
  </conditionalFormatting>
  <conditionalFormatting sqref="B125:C125">
    <cfRule type="cellIs" dxfId="3825" priority="6733" stopIfTrue="1" operator="equal">
      <formula>"Towel"</formula>
    </cfRule>
  </conditionalFormatting>
  <conditionalFormatting sqref="C125">
    <cfRule type="cellIs" dxfId="3824" priority="6644" stopIfTrue="1" operator="equal">
      <formula>"Napkin Hs"</formula>
    </cfRule>
    <cfRule type="cellIs" dxfId="3823" priority="6645" stopIfTrue="1" operator="equal">
      <formula>"Towel"</formula>
    </cfRule>
    <cfRule type="cellIs" dxfId="3822" priority="6646" stopIfTrue="1" operator="equal">
      <formula>"Napkin Hs"</formula>
    </cfRule>
    <cfRule type="cellIs" dxfId="3821" priority="6647" stopIfTrue="1" operator="equal">
      <formula>"Towel"</formula>
    </cfRule>
    <cfRule type="cellIs" dxfId="3820" priority="6648" stopIfTrue="1" operator="equal">
      <formula>"Napkin Hs"</formula>
    </cfRule>
    <cfRule type="cellIs" dxfId="3819" priority="6649" stopIfTrue="1" operator="equal">
      <formula>"Towel"</formula>
    </cfRule>
    <cfRule type="cellIs" dxfId="3818" priority="6650" stopIfTrue="1" operator="equal">
      <formula>"Napkin Hs"</formula>
    </cfRule>
    <cfRule type="cellIs" dxfId="3817" priority="6651" stopIfTrue="1" operator="equal">
      <formula>"Towel"</formula>
    </cfRule>
    <cfRule type="cellIs" dxfId="3816" priority="6652" stopIfTrue="1" operator="equal">
      <formula>"Napkin Hs"</formula>
    </cfRule>
    <cfRule type="cellIs" dxfId="3815" priority="6655" stopIfTrue="1" operator="equal">
      <formula>"Towel"</formula>
    </cfRule>
    <cfRule type="cellIs" dxfId="3814" priority="6656" stopIfTrue="1" operator="equal">
      <formula>"Napkin Hs"</formula>
    </cfRule>
    <cfRule type="cellIs" dxfId="3813" priority="6657" stopIfTrue="1" operator="equal">
      <formula>"Towel"</formula>
    </cfRule>
    <cfRule type="cellIs" dxfId="3812" priority="6658" stopIfTrue="1" operator="equal">
      <formula>"Napkin Hs"</formula>
    </cfRule>
    <cfRule type="cellIs" dxfId="3811" priority="6661" stopIfTrue="1" operator="equal">
      <formula>"Towel"</formula>
    </cfRule>
    <cfRule type="cellIs" dxfId="3810" priority="6662" stopIfTrue="1" operator="equal">
      <formula>"Napkin Hs"</formula>
    </cfRule>
    <cfRule type="cellIs" dxfId="3809" priority="6663" stopIfTrue="1" operator="equal">
      <formula>"Towel"</formula>
    </cfRule>
    <cfRule type="cellIs" dxfId="3808" priority="6664" stopIfTrue="1" operator="equal">
      <formula>"Napkin Hs"</formula>
    </cfRule>
    <cfRule type="cellIs" dxfId="3807" priority="6669" stopIfTrue="1" operator="equal">
      <formula>"Towel"</formula>
    </cfRule>
    <cfRule type="cellIs" dxfId="3806" priority="6670" stopIfTrue="1" operator="equal">
      <formula>"Napkin Hs"</formula>
    </cfRule>
    <cfRule type="cellIs" dxfId="3805" priority="6671" stopIfTrue="1" operator="equal">
      <formula>"Towel"</formula>
    </cfRule>
    <cfRule type="cellIs" dxfId="3804" priority="6672" stopIfTrue="1" operator="equal">
      <formula>"Napkin Hs"</formula>
    </cfRule>
    <cfRule type="cellIs" dxfId="3803" priority="6675" stopIfTrue="1" operator="equal">
      <formula>"Towel"</formula>
    </cfRule>
    <cfRule type="cellIs" dxfId="3802" priority="6676" stopIfTrue="1" operator="equal">
      <formula>"Napkin Hs"</formula>
    </cfRule>
    <cfRule type="cellIs" dxfId="3801" priority="6677" stopIfTrue="1" operator="equal">
      <formula>"Towel"</formula>
    </cfRule>
    <cfRule type="cellIs" dxfId="3800" priority="6678" stopIfTrue="1" operator="equal">
      <formula>"Napkin Hs"</formula>
    </cfRule>
    <cfRule type="cellIs" dxfId="3799" priority="6679" stopIfTrue="1" operator="equal">
      <formula>"Towel"</formula>
    </cfRule>
    <cfRule type="cellIs" dxfId="3798" priority="6680" stopIfTrue="1" operator="equal">
      <formula>"Napkin Hs"</formula>
    </cfRule>
    <cfRule type="cellIs" dxfId="3797" priority="6681" stopIfTrue="1" operator="equal">
      <formula>"Towel"</formula>
    </cfRule>
    <cfRule type="cellIs" dxfId="3796" priority="6682" stopIfTrue="1" operator="equal">
      <formula>"Napkin Hs"</formula>
    </cfRule>
    <cfRule type="cellIs" dxfId="3795" priority="6685" stopIfTrue="1" operator="equal">
      <formula>"Towel"</formula>
    </cfRule>
    <cfRule type="cellIs" dxfId="3794" priority="6686" stopIfTrue="1" operator="equal">
      <formula>"Napkin Hs"</formula>
    </cfRule>
    <cfRule type="cellIs" dxfId="3793" priority="6687" stopIfTrue="1" operator="equal">
      <formula>"Towel"</formula>
    </cfRule>
    <cfRule type="cellIs" dxfId="3792" priority="6688" stopIfTrue="1" operator="equal">
      <formula>"Napkin Hs"</formula>
    </cfRule>
    <cfRule type="cellIs" dxfId="3791" priority="6693" stopIfTrue="1" operator="equal">
      <formula>"Towel"</formula>
    </cfRule>
    <cfRule type="cellIs" dxfId="3790" priority="6694" stopIfTrue="1" operator="equal">
      <formula>"Napkin Hs"</formula>
    </cfRule>
    <cfRule type="cellIs" dxfId="3789" priority="6695" stopIfTrue="1" operator="equal">
      <formula>"Towel"</formula>
    </cfRule>
    <cfRule type="cellIs" dxfId="3788" priority="6696" stopIfTrue="1" operator="equal">
      <formula>"Napkin Hs"</formula>
    </cfRule>
    <cfRule type="cellIs" dxfId="3787" priority="6699" stopIfTrue="1" operator="equal">
      <formula>"Towel"</formula>
    </cfRule>
    <cfRule type="cellIs" dxfId="3786" priority="6700" stopIfTrue="1" operator="equal">
      <formula>"Napkin Hs"</formula>
    </cfRule>
    <cfRule type="cellIs" dxfId="3785" priority="6701" stopIfTrue="1" operator="equal">
      <formula>"Towel"</formula>
    </cfRule>
    <cfRule type="cellIs" dxfId="3784" priority="6702" stopIfTrue="1" operator="equal">
      <formula>"Napkin Hs"</formula>
    </cfRule>
    <cfRule type="cellIs" dxfId="3783" priority="6703" stopIfTrue="1" operator="equal">
      <formula>"Towel"</formula>
    </cfRule>
    <cfRule type="cellIs" dxfId="3782" priority="6704" stopIfTrue="1" operator="equal">
      <formula>"Napkin Hs"</formula>
    </cfRule>
    <cfRule type="cellIs" dxfId="3781" priority="6705" stopIfTrue="1" operator="equal">
      <formula>"Towel"</formula>
    </cfRule>
    <cfRule type="cellIs" dxfId="3780" priority="6706" stopIfTrue="1" operator="equal">
      <formula>"Napkin Hs"</formula>
    </cfRule>
    <cfRule type="cellIs" dxfId="3779" priority="6711" stopIfTrue="1" operator="equal">
      <formula>"Towel"</formula>
    </cfRule>
    <cfRule type="cellIs" dxfId="3778" priority="6712" stopIfTrue="1" operator="equal">
      <formula>"Napkin Hs"</formula>
    </cfRule>
    <cfRule type="cellIs" dxfId="3777" priority="6713" stopIfTrue="1" operator="equal">
      <formula>"Towel"</formula>
    </cfRule>
    <cfRule type="cellIs" dxfId="3776" priority="6714" stopIfTrue="1" operator="equal">
      <formula>"Napkin Hs"</formula>
    </cfRule>
    <cfRule type="cellIs" dxfId="3775" priority="6717" stopIfTrue="1" operator="equal">
      <formula>"Towel"</formula>
    </cfRule>
    <cfRule type="cellIs" dxfId="3774" priority="6718" stopIfTrue="1" operator="equal">
      <formula>"Napkin Hs"</formula>
    </cfRule>
    <cfRule type="cellIs" dxfId="3773" priority="6719" stopIfTrue="1" operator="equal">
      <formula>"Towel"</formula>
    </cfRule>
    <cfRule type="cellIs" dxfId="3772" priority="6720" stopIfTrue="1" operator="equal">
      <formula>"Napkin Hs"</formula>
    </cfRule>
    <cfRule type="cellIs" dxfId="3771" priority="6721" stopIfTrue="1" operator="equal">
      <formula>"Towel"</formula>
    </cfRule>
    <cfRule type="cellIs" dxfId="3770" priority="6722" stopIfTrue="1" operator="equal">
      <formula>"Napkin Hs"</formula>
    </cfRule>
    <cfRule type="cellIs" dxfId="3769" priority="6723" stopIfTrue="1" operator="equal">
      <formula>"Towel"</formula>
    </cfRule>
    <cfRule type="cellIs" dxfId="3768" priority="6724" stopIfTrue="1" operator="equal">
      <formula>"Napkin Hs"</formula>
    </cfRule>
    <cfRule type="cellIs" dxfId="3767" priority="6729" stopIfTrue="1" operator="equal">
      <formula>"Towel"</formula>
    </cfRule>
    <cfRule type="cellIs" dxfId="3766" priority="6730" stopIfTrue="1" operator="equal">
      <formula>"Napkin Hs"</formula>
    </cfRule>
    <cfRule type="cellIs" dxfId="3765" priority="6731" stopIfTrue="1" operator="equal">
      <formula>"Towel"</formula>
    </cfRule>
    <cfRule type="cellIs" dxfId="3764" priority="6732" stopIfTrue="1" operator="equal">
      <formula>"Napkin Hs"</formula>
    </cfRule>
    <cfRule type="cellIs" dxfId="3763" priority="6735" stopIfTrue="1" operator="equal">
      <formula>"Towel"</formula>
    </cfRule>
    <cfRule type="cellIs" dxfId="3762" priority="6736" stopIfTrue="1" operator="equal">
      <formula>"Napkin Hs"</formula>
    </cfRule>
    <cfRule type="cellIs" dxfId="3761" priority="6737" stopIfTrue="1" operator="equal">
      <formula>"Towel"</formula>
    </cfRule>
    <cfRule type="cellIs" dxfId="3760" priority="6738" stopIfTrue="1" operator="equal">
      <formula>"Napkin Hs"</formula>
    </cfRule>
  </conditionalFormatting>
  <conditionalFormatting sqref="C125">
    <cfRule type="cellIs" dxfId="3759" priority="6641" stopIfTrue="1" operator="equal">
      <formula>"Napkin Hs"</formula>
    </cfRule>
  </conditionalFormatting>
  <conditionalFormatting sqref="C125">
    <cfRule type="cellIs" dxfId="3758" priority="6640" stopIfTrue="1" operator="equal">
      <formula>"Napkin Hs"</formula>
    </cfRule>
  </conditionalFormatting>
  <conditionalFormatting sqref="B125">
    <cfRule type="cellIs" dxfId="3757" priority="6639" stopIfTrue="1" operator="equal">
      <formula>"Napkin Hs"</formula>
    </cfRule>
  </conditionalFormatting>
  <conditionalFormatting sqref="C125">
    <cfRule type="cellIs" dxfId="3756" priority="6638" stopIfTrue="1" operator="equal">
      <formula>"Napkin Hs"</formula>
    </cfRule>
  </conditionalFormatting>
  <conditionalFormatting sqref="C125">
    <cfRule type="cellIs" dxfId="3755" priority="6637" stopIfTrue="1" operator="equal">
      <formula>"Napkin Hs"</formula>
    </cfRule>
  </conditionalFormatting>
  <conditionalFormatting sqref="C125">
    <cfRule type="cellIs" dxfId="3754" priority="6636" stopIfTrue="1" operator="equal">
      <formula>"Napkin Hs"</formula>
    </cfRule>
  </conditionalFormatting>
  <conditionalFormatting sqref="C125">
    <cfRule type="cellIs" dxfId="3753" priority="6635" stopIfTrue="1" operator="equal">
      <formula>"Napkin Hs"</formula>
    </cfRule>
  </conditionalFormatting>
  <conditionalFormatting sqref="B125">
    <cfRule type="cellIs" dxfId="3752" priority="6634" stopIfTrue="1" operator="equal">
      <formula>"Napkin Hs"</formula>
    </cfRule>
  </conditionalFormatting>
  <conditionalFormatting sqref="B125">
    <cfRule type="cellIs" dxfId="3751" priority="6633" stopIfTrue="1" operator="equal">
      <formula>"Napkin Hs"</formula>
    </cfRule>
  </conditionalFormatting>
  <conditionalFormatting sqref="C125">
    <cfRule type="cellIs" dxfId="3750" priority="6629" stopIfTrue="1" operator="equal">
      <formula>"Towel"</formula>
    </cfRule>
    <cfRule type="cellIs" dxfId="3749" priority="6630" stopIfTrue="1" operator="equal">
      <formula>"Napkin Hs"</formula>
    </cfRule>
  </conditionalFormatting>
  <conditionalFormatting sqref="C125">
    <cfRule type="cellIs" dxfId="3748" priority="6631" stopIfTrue="1" operator="equal">
      <formula>"Towel"</formula>
    </cfRule>
    <cfRule type="cellIs" dxfId="3747" priority="6632" stopIfTrue="1" operator="equal">
      <formula>"Napkin Hs"</formula>
    </cfRule>
  </conditionalFormatting>
  <conditionalFormatting sqref="C125">
    <cfRule type="cellIs" dxfId="3746" priority="6625" stopIfTrue="1" operator="equal">
      <formula>"Towel"</formula>
    </cfRule>
    <cfRule type="cellIs" dxfId="3745" priority="6626" stopIfTrue="1" operator="equal">
      <formula>"Napkin Hs"</formula>
    </cfRule>
  </conditionalFormatting>
  <conditionalFormatting sqref="C125">
    <cfRule type="cellIs" dxfId="3744" priority="6627" stopIfTrue="1" operator="equal">
      <formula>"Towel"</formula>
    </cfRule>
    <cfRule type="cellIs" dxfId="3743" priority="6628" stopIfTrue="1" operator="equal">
      <formula>"Napkin Hs"</formula>
    </cfRule>
  </conditionalFormatting>
  <conditionalFormatting sqref="B124">
    <cfRule type="cellIs" dxfId="3742" priority="6624" stopIfTrue="1" operator="equal">
      <formula>"Napkin Hs"</formula>
    </cfRule>
  </conditionalFormatting>
  <conditionalFormatting sqref="B124">
    <cfRule type="cellIs" dxfId="3741" priority="6623" stopIfTrue="1" operator="equal">
      <formula>"Napkin Hs"</formula>
    </cfRule>
  </conditionalFormatting>
  <conditionalFormatting sqref="B124">
    <cfRule type="cellIs" dxfId="3740" priority="6622" stopIfTrue="1" operator="equal">
      <formula>"Napkin Hs"</formula>
    </cfRule>
  </conditionalFormatting>
  <conditionalFormatting sqref="C124">
    <cfRule type="cellIs" dxfId="3739" priority="6620" stopIfTrue="1" operator="equal">
      <formula>"Towel"</formula>
    </cfRule>
    <cfRule type="cellIs" dxfId="3738" priority="6621" stopIfTrue="1" operator="equal">
      <formula>"Napkin Hs"</formula>
    </cfRule>
  </conditionalFormatting>
  <conditionalFormatting sqref="C124">
    <cfRule type="cellIs" dxfId="3737" priority="6616" stopIfTrue="1" operator="equal">
      <formula>"Towel"</formula>
    </cfRule>
    <cfRule type="cellIs" dxfId="3736" priority="6617" stopIfTrue="1" operator="equal">
      <formula>"Napkin Hs"</formula>
    </cfRule>
  </conditionalFormatting>
  <conditionalFormatting sqref="C124">
    <cfRule type="cellIs" dxfId="3735" priority="6618" stopIfTrue="1" operator="equal">
      <formula>"Towel"</formula>
    </cfRule>
    <cfRule type="cellIs" dxfId="3734" priority="6619" stopIfTrue="1" operator="equal">
      <formula>"Napkin Hs"</formula>
    </cfRule>
  </conditionalFormatting>
  <conditionalFormatting sqref="C124">
    <cfRule type="cellIs" dxfId="3733" priority="6612" stopIfTrue="1" operator="equal">
      <formula>"Towel"</formula>
    </cfRule>
    <cfRule type="cellIs" dxfId="3732" priority="6613" stopIfTrue="1" operator="equal">
      <formula>"Napkin Hs"</formula>
    </cfRule>
  </conditionalFormatting>
  <conditionalFormatting sqref="C124">
    <cfRule type="cellIs" dxfId="3731" priority="6614" stopIfTrue="1" operator="equal">
      <formula>"Towel"</formula>
    </cfRule>
    <cfRule type="cellIs" dxfId="3730" priority="6615" stopIfTrue="1" operator="equal">
      <formula>"Napkin Hs"</formula>
    </cfRule>
  </conditionalFormatting>
  <conditionalFormatting sqref="C124">
    <cfRule type="cellIs" dxfId="3729" priority="6610" stopIfTrue="1" operator="equal">
      <formula>"Towel"</formula>
    </cfRule>
    <cfRule type="cellIs" dxfId="3728" priority="6611" stopIfTrue="1" operator="equal">
      <formula>"Napkin Hs"</formula>
    </cfRule>
  </conditionalFormatting>
  <conditionalFormatting sqref="C124">
    <cfRule type="cellIs" dxfId="3727" priority="6604" stopIfTrue="1" operator="equal">
      <formula>"Towel"</formula>
    </cfRule>
    <cfRule type="cellIs" dxfId="3726" priority="6605" stopIfTrue="1" operator="equal">
      <formula>"Napkin Hs"</formula>
    </cfRule>
  </conditionalFormatting>
  <conditionalFormatting sqref="C124">
    <cfRule type="cellIs" dxfId="3725" priority="6608" stopIfTrue="1" operator="equal">
      <formula>"Towel"</formula>
    </cfRule>
    <cfRule type="cellIs" dxfId="3724" priority="6609" stopIfTrue="1" operator="equal">
      <formula>"Napkin Hs"</formula>
    </cfRule>
  </conditionalFormatting>
  <conditionalFormatting sqref="C124">
    <cfRule type="cellIs" dxfId="3723" priority="6606" stopIfTrue="1" operator="equal">
      <formula>"Towel"</formula>
    </cfRule>
    <cfRule type="cellIs" dxfId="3722" priority="6607" stopIfTrue="1" operator="equal">
      <formula>"Napkin Hs"</formula>
    </cfRule>
  </conditionalFormatting>
  <conditionalFormatting sqref="C124">
    <cfRule type="cellIs" dxfId="3721" priority="6598" stopIfTrue="1" operator="equal">
      <formula>"Towel"</formula>
    </cfRule>
    <cfRule type="cellIs" dxfId="3720" priority="6599" stopIfTrue="1" operator="equal">
      <formula>"Napkin Hs"</formula>
    </cfRule>
  </conditionalFormatting>
  <conditionalFormatting sqref="C124">
    <cfRule type="cellIs" dxfId="3719" priority="6600" stopIfTrue="1" operator="equal">
      <formula>"Towel"</formula>
    </cfRule>
    <cfRule type="cellIs" dxfId="3718" priority="6601" stopIfTrue="1" operator="equal">
      <formula>"Napkin Hs"</formula>
    </cfRule>
  </conditionalFormatting>
  <conditionalFormatting sqref="C124">
    <cfRule type="cellIs" dxfId="3717" priority="6602" stopIfTrue="1" operator="equal">
      <formula>"Towel"</formula>
    </cfRule>
    <cfRule type="cellIs" dxfId="3716" priority="6603" stopIfTrue="1" operator="equal">
      <formula>"Napkin Hs"</formula>
    </cfRule>
  </conditionalFormatting>
  <conditionalFormatting sqref="C124">
    <cfRule type="cellIs" dxfId="3715" priority="6596" stopIfTrue="1" operator="equal">
      <formula>"Towel"</formula>
    </cfRule>
    <cfRule type="cellIs" dxfId="3714" priority="6597" stopIfTrue="1" operator="equal">
      <formula>"Napkin Hs"</formula>
    </cfRule>
  </conditionalFormatting>
  <conditionalFormatting sqref="C124">
    <cfRule type="cellIs" dxfId="3713" priority="6594" stopIfTrue="1" operator="equal">
      <formula>"Towel"</formula>
    </cfRule>
    <cfRule type="cellIs" dxfId="3712" priority="6595" stopIfTrue="1" operator="equal">
      <formula>"Napkin Hs"</formula>
    </cfRule>
  </conditionalFormatting>
  <conditionalFormatting sqref="C124">
    <cfRule type="cellIs" dxfId="3711" priority="6570" stopIfTrue="1" operator="equal">
      <formula>"Towel"</formula>
    </cfRule>
  </conditionalFormatting>
  <conditionalFormatting sqref="C124">
    <cfRule type="cellIs" dxfId="3710" priority="6571" stopIfTrue="1" operator="equal">
      <formula>"Napkin Hs"</formula>
    </cfRule>
    <cfRule type="cellIs" dxfId="3709" priority="6576" stopIfTrue="1" operator="equal">
      <formula>"Towel"</formula>
    </cfRule>
    <cfRule type="cellIs" dxfId="3708" priority="6577" stopIfTrue="1" operator="equal">
      <formula>"Napkin Hs"</formula>
    </cfRule>
    <cfRule type="cellIs" dxfId="3707" priority="6586" stopIfTrue="1" operator="equal">
      <formula>"Towel"</formula>
    </cfRule>
    <cfRule type="cellIs" dxfId="3706" priority="6587" stopIfTrue="1" operator="equal">
      <formula>"Napkin Hs"</formula>
    </cfRule>
    <cfRule type="cellIs" dxfId="3705" priority="6592" stopIfTrue="1" operator="equal">
      <formula>"Towel"</formula>
    </cfRule>
    <cfRule type="cellIs" dxfId="3704" priority="6593" stopIfTrue="1" operator="equal">
      <formula>"Napkin Hs"</formula>
    </cfRule>
  </conditionalFormatting>
  <conditionalFormatting sqref="C124">
    <cfRule type="cellIs" dxfId="3703" priority="6572" stopIfTrue="1" operator="equal">
      <formula>"Towel"</formula>
    </cfRule>
    <cfRule type="cellIs" dxfId="3702" priority="6573" stopIfTrue="1" operator="equal">
      <formula>"Napkin Hs"</formula>
    </cfRule>
    <cfRule type="cellIs" dxfId="3701" priority="6574" stopIfTrue="1" operator="equal">
      <formula>"Towel"</formula>
    </cfRule>
    <cfRule type="cellIs" dxfId="3700" priority="6575" stopIfTrue="1" operator="equal">
      <formula>"Napkin Hs"</formula>
    </cfRule>
    <cfRule type="cellIs" dxfId="3699" priority="6578" stopIfTrue="1" operator="equal">
      <formula>"Towel"</formula>
    </cfRule>
    <cfRule type="cellIs" dxfId="3698" priority="6579" stopIfTrue="1" operator="equal">
      <formula>"Napkin Hs"</formula>
    </cfRule>
    <cfRule type="cellIs" dxfId="3697" priority="6580" stopIfTrue="1" operator="equal">
      <formula>"Towel"</formula>
    </cfRule>
    <cfRule type="cellIs" dxfId="3696" priority="6581" stopIfTrue="1" operator="equal">
      <formula>"Napkin Hs"</formula>
    </cfRule>
    <cfRule type="cellIs" dxfId="3695" priority="6582" stopIfTrue="1" operator="equal">
      <formula>"Towel"</formula>
    </cfRule>
    <cfRule type="cellIs" dxfId="3694" priority="6583" stopIfTrue="1" operator="equal">
      <formula>"Napkin Hs"</formula>
    </cfRule>
    <cfRule type="cellIs" dxfId="3693" priority="6584" stopIfTrue="1" operator="equal">
      <formula>"Towel"</formula>
    </cfRule>
    <cfRule type="cellIs" dxfId="3692" priority="6585" stopIfTrue="1" operator="equal">
      <formula>"Napkin Hs"</formula>
    </cfRule>
    <cfRule type="cellIs" dxfId="3691" priority="6588" stopIfTrue="1" operator="equal">
      <formula>"Towel"</formula>
    </cfRule>
    <cfRule type="cellIs" dxfId="3690" priority="6589" stopIfTrue="1" operator="equal">
      <formula>"Napkin Hs"</formula>
    </cfRule>
    <cfRule type="cellIs" dxfId="3689" priority="6591" stopIfTrue="1" operator="equal">
      <formula>"Napkin Hs"</formula>
    </cfRule>
  </conditionalFormatting>
  <conditionalFormatting sqref="C124">
    <cfRule type="cellIs" dxfId="3688" priority="6590" stopIfTrue="1" operator="equal">
      <formula>"Towel"</formula>
    </cfRule>
  </conditionalFormatting>
  <conditionalFormatting sqref="C124">
    <cfRule type="cellIs" dxfId="3687" priority="6568" stopIfTrue="1" operator="equal">
      <formula>"Towel"</formula>
    </cfRule>
    <cfRule type="cellIs" dxfId="3686" priority="6569" stopIfTrue="1" operator="equal">
      <formula>"Napkin Hs"</formula>
    </cfRule>
  </conditionalFormatting>
  <conditionalFormatting sqref="C124">
    <cfRule type="cellIs" dxfId="3685" priority="6567" stopIfTrue="1" operator="equal">
      <formula>"Napkin Hs"</formula>
    </cfRule>
  </conditionalFormatting>
  <conditionalFormatting sqref="C124">
    <cfRule type="cellIs" dxfId="3684" priority="6566" stopIfTrue="1" operator="equal">
      <formula>"Towel"</formula>
    </cfRule>
  </conditionalFormatting>
  <conditionalFormatting sqref="C124">
    <cfRule type="cellIs" dxfId="3683" priority="6564" stopIfTrue="1" operator="equal">
      <formula>"Towel"</formula>
    </cfRule>
  </conditionalFormatting>
  <conditionalFormatting sqref="C124">
    <cfRule type="cellIs" dxfId="3682" priority="6565" stopIfTrue="1" operator="equal">
      <formula>"Napkin Hs"</formula>
    </cfRule>
  </conditionalFormatting>
  <conditionalFormatting sqref="C124">
    <cfRule type="cellIs" dxfId="3681" priority="6468" stopIfTrue="1" operator="equal">
      <formula>"Towel"</formula>
    </cfRule>
  </conditionalFormatting>
  <conditionalFormatting sqref="C124">
    <cfRule type="cellIs" dxfId="3680" priority="6478" stopIfTrue="1" operator="equal">
      <formula>"Towel"</formula>
    </cfRule>
    <cfRule type="cellIs" dxfId="3679" priority="6479" stopIfTrue="1" operator="equal">
      <formula>"Napkin Hs"</formula>
    </cfRule>
    <cfRule type="cellIs" dxfId="3678" priority="6484" stopIfTrue="1" operator="equal">
      <formula>"Towel"</formula>
    </cfRule>
    <cfRule type="cellIs" dxfId="3677" priority="6485" stopIfTrue="1" operator="equal">
      <formula>"Napkin Hs"</formula>
    </cfRule>
    <cfRule type="cellIs" dxfId="3676" priority="6490" stopIfTrue="1" operator="equal">
      <formula>"Towel"</formula>
    </cfRule>
    <cfRule type="cellIs" dxfId="3675" priority="6491" stopIfTrue="1" operator="equal">
      <formula>"Napkin Hs"</formula>
    </cfRule>
    <cfRule type="cellIs" dxfId="3674" priority="6492" stopIfTrue="1" operator="equal">
      <formula>"Towel"</formula>
    </cfRule>
    <cfRule type="cellIs" dxfId="3673" priority="6493" stopIfTrue="1" operator="equal">
      <formula>"Napkin Hs"</formula>
    </cfRule>
    <cfRule type="cellIs" dxfId="3672" priority="6498" stopIfTrue="1" operator="equal">
      <formula>"Towel"</formula>
    </cfRule>
    <cfRule type="cellIs" dxfId="3671" priority="6499" stopIfTrue="1" operator="equal">
      <formula>"Napkin Hs"</formula>
    </cfRule>
    <cfRule type="cellIs" dxfId="3670" priority="6508" stopIfTrue="1" operator="equal">
      <formula>"Towel"</formula>
    </cfRule>
    <cfRule type="cellIs" dxfId="3669" priority="6509" stopIfTrue="1" operator="equal">
      <formula>"Napkin Hs"</formula>
    </cfRule>
    <cfRule type="cellIs" dxfId="3668" priority="6514" stopIfTrue="1" operator="equal">
      <formula>"Towel"</formula>
    </cfRule>
    <cfRule type="cellIs" dxfId="3667" priority="6515" stopIfTrue="1" operator="equal">
      <formula>"Napkin Hs"</formula>
    </cfRule>
    <cfRule type="cellIs" dxfId="3666" priority="6516" stopIfTrue="1" operator="equal">
      <formula>"Towel"</formula>
    </cfRule>
    <cfRule type="cellIs" dxfId="3665" priority="6517" stopIfTrue="1" operator="equal">
      <formula>"Napkin Hs"</formula>
    </cfRule>
    <cfRule type="cellIs" dxfId="3664" priority="6522" stopIfTrue="1" operator="equal">
      <formula>"Towel"</formula>
    </cfRule>
    <cfRule type="cellIs" dxfId="3663" priority="6523" stopIfTrue="1" operator="equal">
      <formula>"Napkin Hs"</formula>
    </cfRule>
    <cfRule type="cellIs" dxfId="3662" priority="6532" stopIfTrue="1" operator="equal">
      <formula>"Towel"</formula>
    </cfRule>
    <cfRule type="cellIs" dxfId="3661" priority="6533" stopIfTrue="1" operator="equal">
      <formula>"Napkin Hs"</formula>
    </cfRule>
    <cfRule type="cellIs" dxfId="3660" priority="6534" stopIfTrue="1" operator="equal">
      <formula>"Towel"</formula>
    </cfRule>
    <cfRule type="cellIs" dxfId="3659" priority="6535" stopIfTrue="1" operator="equal">
      <formula>"Napkin Hs"</formula>
    </cfRule>
    <cfRule type="cellIs" dxfId="3658" priority="6540" stopIfTrue="1" operator="equal">
      <formula>"Towel"</formula>
    </cfRule>
    <cfRule type="cellIs" dxfId="3657" priority="6541" stopIfTrue="1" operator="equal">
      <formula>"Napkin Hs"</formula>
    </cfRule>
    <cfRule type="cellIs" dxfId="3656" priority="6550" stopIfTrue="1" operator="equal">
      <formula>"Towel"</formula>
    </cfRule>
    <cfRule type="cellIs" dxfId="3655" priority="6551" stopIfTrue="1" operator="equal">
      <formula>"Napkin Hs"</formula>
    </cfRule>
    <cfRule type="cellIs" dxfId="3654" priority="6552" stopIfTrue="1" operator="equal">
      <formula>"Towel"</formula>
    </cfRule>
    <cfRule type="cellIs" dxfId="3653" priority="6553" stopIfTrue="1" operator="equal">
      <formula>"Napkin Hs"</formula>
    </cfRule>
    <cfRule type="cellIs" dxfId="3652" priority="6559" stopIfTrue="1" operator="equal">
      <formula>"Napkin Hs"</formula>
    </cfRule>
  </conditionalFormatting>
  <conditionalFormatting sqref="C124">
    <cfRule type="cellIs" dxfId="3651" priority="6558" stopIfTrue="1" operator="equal">
      <formula>"Towel"</formula>
    </cfRule>
  </conditionalFormatting>
  <conditionalFormatting sqref="C124">
    <cfRule type="cellIs" dxfId="3650" priority="6469" stopIfTrue="1" operator="equal">
      <formula>"Napkin Hs"</formula>
    </cfRule>
    <cfRule type="cellIs" dxfId="3649" priority="6470" stopIfTrue="1" operator="equal">
      <formula>"Towel"</formula>
    </cfRule>
    <cfRule type="cellIs" dxfId="3648" priority="6471" stopIfTrue="1" operator="equal">
      <formula>"Napkin Hs"</formula>
    </cfRule>
    <cfRule type="cellIs" dxfId="3647" priority="6472" stopIfTrue="1" operator="equal">
      <formula>"Towel"</formula>
    </cfRule>
    <cfRule type="cellIs" dxfId="3646" priority="6473" stopIfTrue="1" operator="equal">
      <formula>"Napkin Hs"</formula>
    </cfRule>
    <cfRule type="cellIs" dxfId="3645" priority="6474" stopIfTrue="1" operator="equal">
      <formula>"Towel"</formula>
    </cfRule>
    <cfRule type="cellIs" dxfId="3644" priority="6475" stopIfTrue="1" operator="equal">
      <formula>"Napkin Hs"</formula>
    </cfRule>
    <cfRule type="cellIs" dxfId="3643" priority="6476" stopIfTrue="1" operator="equal">
      <formula>"Towel"</formula>
    </cfRule>
    <cfRule type="cellIs" dxfId="3642" priority="6477" stopIfTrue="1" operator="equal">
      <formula>"Napkin Hs"</formula>
    </cfRule>
    <cfRule type="cellIs" dxfId="3641" priority="6480" stopIfTrue="1" operator="equal">
      <formula>"Towel"</formula>
    </cfRule>
    <cfRule type="cellIs" dxfId="3640" priority="6481" stopIfTrue="1" operator="equal">
      <formula>"Napkin Hs"</formula>
    </cfRule>
    <cfRule type="cellIs" dxfId="3639" priority="6482" stopIfTrue="1" operator="equal">
      <formula>"Towel"</formula>
    </cfRule>
    <cfRule type="cellIs" dxfId="3638" priority="6483" stopIfTrue="1" operator="equal">
      <formula>"Napkin Hs"</formula>
    </cfRule>
    <cfRule type="cellIs" dxfId="3637" priority="6486" stopIfTrue="1" operator="equal">
      <formula>"Towel"</formula>
    </cfRule>
    <cfRule type="cellIs" dxfId="3636" priority="6487" stopIfTrue="1" operator="equal">
      <formula>"Napkin Hs"</formula>
    </cfRule>
    <cfRule type="cellIs" dxfId="3635" priority="6488" stopIfTrue="1" operator="equal">
      <formula>"Towel"</formula>
    </cfRule>
    <cfRule type="cellIs" dxfId="3634" priority="6489" stopIfTrue="1" operator="equal">
      <formula>"Napkin Hs"</formula>
    </cfRule>
    <cfRule type="cellIs" dxfId="3633" priority="6494" stopIfTrue="1" operator="equal">
      <formula>"Towel"</formula>
    </cfRule>
    <cfRule type="cellIs" dxfId="3632" priority="6495" stopIfTrue="1" operator="equal">
      <formula>"Napkin Hs"</formula>
    </cfRule>
    <cfRule type="cellIs" dxfId="3631" priority="6496" stopIfTrue="1" operator="equal">
      <formula>"Towel"</formula>
    </cfRule>
    <cfRule type="cellIs" dxfId="3630" priority="6497" stopIfTrue="1" operator="equal">
      <formula>"Napkin Hs"</formula>
    </cfRule>
    <cfRule type="cellIs" dxfId="3629" priority="6500" stopIfTrue="1" operator="equal">
      <formula>"Towel"</formula>
    </cfRule>
    <cfRule type="cellIs" dxfId="3628" priority="6501" stopIfTrue="1" operator="equal">
      <formula>"Napkin Hs"</formula>
    </cfRule>
    <cfRule type="cellIs" dxfId="3627" priority="6502" stopIfTrue="1" operator="equal">
      <formula>"Towel"</formula>
    </cfRule>
    <cfRule type="cellIs" dxfId="3626" priority="6503" stopIfTrue="1" operator="equal">
      <formula>"Napkin Hs"</formula>
    </cfRule>
    <cfRule type="cellIs" dxfId="3625" priority="6504" stopIfTrue="1" operator="equal">
      <formula>"Towel"</formula>
    </cfRule>
    <cfRule type="cellIs" dxfId="3624" priority="6505" stopIfTrue="1" operator="equal">
      <formula>"Napkin Hs"</formula>
    </cfRule>
    <cfRule type="cellIs" dxfId="3623" priority="6506" stopIfTrue="1" operator="equal">
      <formula>"Towel"</formula>
    </cfRule>
    <cfRule type="cellIs" dxfId="3622" priority="6507" stopIfTrue="1" operator="equal">
      <formula>"Napkin Hs"</formula>
    </cfRule>
    <cfRule type="cellIs" dxfId="3621" priority="6510" stopIfTrue="1" operator="equal">
      <formula>"Towel"</formula>
    </cfRule>
    <cfRule type="cellIs" dxfId="3620" priority="6511" stopIfTrue="1" operator="equal">
      <formula>"Napkin Hs"</formula>
    </cfRule>
    <cfRule type="cellIs" dxfId="3619" priority="6512" stopIfTrue="1" operator="equal">
      <formula>"Towel"</formula>
    </cfRule>
    <cfRule type="cellIs" dxfId="3618" priority="6513" stopIfTrue="1" operator="equal">
      <formula>"Napkin Hs"</formula>
    </cfRule>
    <cfRule type="cellIs" dxfId="3617" priority="6518" stopIfTrue="1" operator="equal">
      <formula>"Towel"</formula>
    </cfRule>
    <cfRule type="cellIs" dxfId="3616" priority="6519" stopIfTrue="1" operator="equal">
      <formula>"Napkin Hs"</formula>
    </cfRule>
    <cfRule type="cellIs" dxfId="3615" priority="6520" stopIfTrue="1" operator="equal">
      <formula>"Towel"</formula>
    </cfRule>
    <cfRule type="cellIs" dxfId="3614" priority="6521" stopIfTrue="1" operator="equal">
      <formula>"Napkin Hs"</formula>
    </cfRule>
    <cfRule type="cellIs" dxfId="3613" priority="6524" stopIfTrue="1" operator="equal">
      <formula>"Towel"</formula>
    </cfRule>
    <cfRule type="cellIs" dxfId="3612" priority="6525" stopIfTrue="1" operator="equal">
      <formula>"Napkin Hs"</formula>
    </cfRule>
    <cfRule type="cellIs" dxfId="3611" priority="6526" stopIfTrue="1" operator="equal">
      <formula>"Towel"</formula>
    </cfRule>
    <cfRule type="cellIs" dxfId="3610" priority="6527" stopIfTrue="1" operator="equal">
      <formula>"Napkin Hs"</formula>
    </cfRule>
    <cfRule type="cellIs" dxfId="3609" priority="6528" stopIfTrue="1" operator="equal">
      <formula>"Towel"</formula>
    </cfRule>
    <cfRule type="cellIs" dxfId="3608" priority="6529" stopIfTrue="1" operator="equal">
      <formula>"Napkin Hs"</formula>
    </cfRule>
    <cfRule type="cellIs" dxfId="3607" priority="6530" stopIfTrue="1" operator="equal">
      <formula>"Towel"</formula>
    </cfRule>
    <cfRule type="cellIs" dxfId="3606" priority="6531" stopIfTrue="1" operator="equal">
      <formula>"Napkin Hs"</formula>
    </cfRule>
    <cfRule type="cellIs" dxfId="3605" priority="6536" stopIfTrue="1" operator="equal">
      <formula>"Towel"</formula>
    </cfRule>
    <cfRule type="cellIs" dxfId="3604" priority="6537" stopIfTrue="1" operator="equal">
      <formula>"Napkin Hs"</formula>
    </cfRule>
    <cfRule type="cellIs" dxfId="3603" priority="6538" stopIfTrue="1" operator="equal">
      <formula>"Towel"</formula>
    </cfRule>
    <cfRule type="cellIs" dxfId="3602" priority="6539" stopIfTrue="1" operator="equal">
      <formula>"Napkin Hs"</formula>
    </cfRule>
    <cfRule type="cellIs" dxfId="3601" priority="6542" stopIfTrue="1" operator="equal">
      <formula>"Towel"</formula>
    </cfRule>
    <cfRule type="cellIs" dxfId="3600" priority="6543" stopIfTrue="1" operator="equal">
      <formula>"Napkin Hs"</formula>
    </cfRule>
    <cfRule type="cellIs" dxfId="3599" priority="6544" stopIfTrue="1" operator="equal">
      <formula>"Towel"</formula>
    </cfRule>
    <cfRule type="cellIs" dxfId="3598" priority="6545" stopIfTrue="1" operator="equal">
      <formula>"Napkin Hs"</formula>
    </cfRule>
    <cfRule type="cellIs" dxfId="3597" priority="6546" stopIfTrue="1" operator="equal">
      <formula>"Towel"</formula>
    </cfRule>
    <cfRule type="cellIs" dxfId="3596" priority="6547" stopIfTrue="1" operator="equal">
      <formula>"Napkin Hs"</formula>
    </cfRule>
    <cfRule type="cellIs" dxfId="3595" priority="6548" stopIfTrue="1" operator="equal">
      <formula>"Towel"</formula>
    </cfRule>
    <cfRule type="cellIs" dxfId="3594" priority="6549" stopIfTrue="1" operator="equal">
      <formula>"Napkin Hs"</formula>
    </cfRule>
    <cfRule type="cellIs" dxfId="3593" priority="6554" stopIfTrue="1" operator="equal">
      <formula>"Towel"</formula>
    </cfRule>
    <cfRule type="cellIs" dxfId="3592" priority="6555" stopIfTrue="1" operator="equal">
      <formula>"Napkin Hs"</formula>
    </cfRule>
    <cfRule type="cellIs" dxfId="3591" priority="6556" stopIfTrue="1" operator="equal">
      <formula>"Towel"</formula>
    </cfRule>
    <cfRule type="cellIs" dxfId="3590" priority="6557" stopIfTrue="1" operator="equal">
      <formula>"Napkin Hs"</formula>
    </cfRule>
    <cfRule type="cellIs" dxfId="3589" priority="6560" stopIfTrue="1" operator="equal">
      <formula>"Towel"</formula>
    </cfRule>
    <cfRule type="cellIs" dxfId="3588" priority="6561" stopIfTrue="1" operator="equal">
      <formula>"Napkin Hs"</formula>
    </cfRule>
    <cfRule type="cellIs" dxfId="3587" priority="6562" stopIfTrue="1" operator="equal">
      <formula>"Towel"</formula>
    </cfRule>
    <cfRule type="cellIs" dxfId="3586" priority="6563" stopIfTrue="1" operator="equal">
      <formula>"Napkin Hs"</formula>
    </cfRule>
  </conditionalFormatting>
  <conditionalFormatting sqref="C124">
    <cfRule type="cellIs" dxfId="3585" priority="6467" stopIfTrue="1" operator="equal">
      <formula>"Napkin Hs"</formula>
    </cfRule>
  </conditionalFormatting>
  <conditionalFormatting sqref="C124">
    <cfRule type="cellIs" dxfId="3584" priority="6466" stopIfTrue="1" operator="equal">
      <formula>"Napkin Hs"</formula>
    </cfRule>
  </conditionalFormatting>
  <conditionalFormatting sqref="C124">
    <cfRule type="cellIs" dxfId="3583" priority="6465" stopIfTrue="1" operator="equal">
      <formula>"Napkin Hs"</formula>
    </cfRule>
  </conditionalFormatting>
  <conditionalFormatting sqref="C124">
    <cfRule type="cellIs" dxfId="3582" priority="6464" stopIfTrue="1" operator="equal">
      <formula>"Napkin Hs"</formula>
    </cfRule>
  </conditionalFormatting>
  <conditionalFormatting sqref="C124">
    <cfRule type="cellIs" dxfId="3581" priority="6463" stopIfTrue="1" operator="equal">
      <formula>"Napkin Hs"</formula>
    </cfRule>
  </conditionalFormatting>
  <conditionalFormatting sqref="C124">
    <cfRule type="cellIs" dxfId="3580" priority="6462" stopIfTrue="1" operator="equal">
      <formula>"Napkin Hs"</formula>
    </cfRule>
  </conditionalFormatting>
  <conditionalFormatting sqref="C124">
    <cfRule type="cellIs" dxfId="3579" priority="6458" stopIfTrue="1" operator="equal">
      <formula>"Towel"</formula>
    </cfRule>
    <cfRule type="cellIs" dxfId="3578" priority="6459" stopIfTrue="1" operator="equal">
      <formula>"Napkin Hs"</formula>
    </cfRule>
  </conditionalFormatting>
  <conditionalFormatting sqref="C124">
    <cfRule type="cellIs" dxfId="3577" priority="6460" stopIfTrue="1" operator="equal">
      <formula>"Towel"</formula>
    </cfRule>
    <cfRule type="cellIs" dxfId="3576" priority="6461" stopIfTrue="1" operator="equal">
      <formula>"Napkin Hs"</formula>
    </cfRule>
  </conditionalFormatting>
  <conditionalFormatting sqref="C124">
    <cfRule type="cellIs" dxfId="3575" priority="6454" stopIfTrue="1" operator="equal">
      <formula>"Towel"</formula>
    </cfRule>
    <cfRule type="cellIs" dxfId="3574" priority="6455" stopIfTrue="1" operator="equal">
      <formula>"Napkin Hs"</formula>
    </cfRule>
  </conditionalFormatting>
  <conditionalFormatting sqref="C124">
    <cfRule type="cellIs" dxfId="3573" priority="6456" stopIfTrue="1" operator="equal">
      <formula>"Towel"</formula>
    </cfRule>
    <cfRule type="cellIs" dxfId="3572" priority="6457" stopIfTrue="1" operator="equal">
      <formula>"Napkin Hs"</formula>
    </cfRule>
  </conditionalFormatting>
  <conditionalFormatting sqref="B123">
    <cfRule type="cellIs" dxfId="3571" priority="6453" stopIfTrue="1" operator="equal">
      <formula>"Napkin Hs"</formula>
    </cfRule>
  </conditionalFormatting>
  <conditionalFormatting sqref="B123">
    <cfRule type="cellIs" dxfId="3570" priority="6452" stopIfTrue="1" operator="equal">
      <formula>"Napkin Hs"</formula>
    </cfRule>
  </conditionalFormatting>
  <conditionalFormatting sqref="B123">
    <cfRule type="cellIs" dxfId="3569" priority="6451" stopIfTrue="1" operator="equal">
      <formula>"Napkin Hs"</formula>
    </cfRule>
  </conditionalFormatting>
  <conditionalFormatting sqref="C123">
    <cfRule type="cellIs" dxfId="3568" priority="6449" stopIfTrue="1" operator="equal">
      <formula>"Towel"</formula>
    </cfRule>
    <cfRule type="cellIs" dxfId="3567" priority="6450" stopIfTrue="1" operator="equal">
      <formula>"Napkin Hs"</formula>
    </cfRule>
  </conditionalFormatting>
  <conditionalFormatting sqref="C123">
    <cfRule type="cellIs" dxfId="3566" priority="6445" stopIfTrue="1" operator="equal">
      <formula>"Towel"</formula>
    </cfRule>
    <cfRule type="cellIs" dxfId="3565" priority="6446" stopIfTrue="1" operator="equal">
      <formula>"Napkin Hs"</formula>
    </cfRule>
  </conditionalFormatting>
  <conditionalFormatting sqref="C123">
    <cfRule type="cellIs" dxfId="3564" priority="6447" stopIfTrue="1" operator="equal">
      <formula>"Towel"</formula>
    </cfRule>
    <cfRule type="cellIs" dxfId="3563" priority="6448" stopIfTrue="1" operator="equal">
      <formula>"Napkin Hs"</formula>
    </cfRule>
  </conditionalFormatting>
  <conditionalFormatting sqref="C123">
    <cfRule type="cellIs" dxfId="3562" priority="6441" stopIfTrue="1" operator="equal">
      <formula>"Towel"</formula>
    </cfRule>
    <cfRule type="cellIs" dxfId="3561" priority="6442" stopIfTrue="1" operator="equal">
      <formula>"Napkin Hs"</formula>
    </cfRule>
  </conditionalFormatting>
  <conditionalFormatting sqref="C123">
    <cfRule type="cellIs" dxfId="3560" priority="6443" stopIfTrue="1" operator="equal">
      <formula>"Towel"</formula>
    </cfRule>
    <cfRule type="cellIs" dxfId="3559" priority="6444" stopIfTrue="1" operator="equal">
      <formula>"Napkin Hs"</formula>
    </cfRule>
  </conditionalFormatting>
  <conditionalFormatting sqref="C123">
    <cfRule type="cellIs" dxfId="3558" priority="6439" stopIfTrue="1" operator="equal">
      <formula>"Towel"</formula>
    </cfRule>
    <cfRule type="cellIs" dxfId="3557" priority="6440" stopIfTrue="1" operator="equal">
      <formula>"Napkin Hs"</formula>
    </cfRule>
  </conditionalFormatting>
  <conditionalFormatting sqref="C123">
    <cfRule type="cellIs" dxfId="3556" priority="6433" stopIfTrue="1" operator="equal">
      <formula>"Towel"</formula>
    </cfRule>
    <cfRule type="cellIs" dxfId="3555" priority="6434" stopIfTrue="1" operator="equal">
      <formula>"Napkin Hs"</formula>
    </cfRule>
  </conditionalFormatting>
  <conditionalFormatting sqref="C123">
    <cfRule type="cellIs" dxfId="3554" priority="6437" stopIfTrue="1" operator="equal">
      <formula>"Towel"</formula>
    </cfRule>
    <cfRule type="cellIs" dxfId="3553" priority="6438" stopIfTrue="1" operator="equal">
      <formula>"Napkin Hs"</formula>
    </cfRule>
  </conditionalFormatting>
  <conditionalFormatting sqref="C123">
    <cfRule type="cellIs" dxfId="3552" priority="6435" stopIfTrue="1" operator="equal">
      <formula>"Towel"</formula>
    </cfRule>
    <cfRule type="cellIs" dxfId="3551" priority="6436" stopIfTrue="1" operator="equal">
      <formula>"Napkin Hs"</formula>
    </cfRule>
  </conditionalFormatting>
  <conditionalFormatting sqref="C123">
    <cfRule type="cellIs" dxfId="3550" priority="6427" stopIfTrue="1" operator="equal">
      <formula>"Towel"</formula>
    </cfRule>
    <cfRule type="cellIs" dxfId="3549" priority="6428" stopIfTrue="1" operator="equal">
      <formula>"Napkin Hs"</formula>
    </cfRule>
  </conditionalFormatting>
  <conditionalFormatting sqref="C123">
    <cfRule type="cellIs" dxfId="3548" priority="6429" stopIfTrue="1" operator="equal">
      <formula>"Towel"</formula>
    </cfRule>
    <cfRule type="cellIs" dxfId="3547" priority="6430" stopIfTrue="1" operator="equal">
      <formula>"Napkin Hs"</formula>
    </cfRule>
  </conditionalFormatting>
  <conditionalFormatting sqref="C123">
    <cfRule type="cellIs" dxfId="3546" priority="6431" stopIfTrue="1" operator="equal">
      <formula>"Towel"</formula>
    </cfRule>
    <cfRule type="cellIs" dxfId="3545" priority="6432" stopIfTrue="1" operator="equal">
      <formula>"Napkin Hs"</formula>
    </cfRule>
  </conditionalFormatting>
  <conditionalFormatting sqref="C123">
    <cfRule type="cellIs" dxfId="3544" priority="6425" stopIfTrue="1" operator="equal">
      <formula>"Towel"</formula>
    </cfRule>
    <cfRule type="cellIs" dxfId="3543" priority="6426" stopIfTrue="1" operator="equal">
      <formula>"Napkin Hs"</formula>
    </cfRule>
  </conditionalFormatting>
  <conditionalFormatting sqref="C123">
    <cfRule type="cellIs" dxfId="3542" priority="6423" stopIfTrue="1" operator="equal">
      <formula>"Towel"</formula>
    </cfRule>
    <cfRule type="cellIs" dxfId="3541" priority="6424" stopIfTrue="1" operator="equal">
      <formula>"Napkin Hs"</formula>
    </cfRule>
  </conditionalFormatting>
  <conditionalFormatting sqref="C123">
    <cfRule type="cellIs" dxfId="3540" priority="6399" stopIfTrue="1" operator="equal">
      <formula>"Towel"</formula>
    </cfRule>
  </conditionalFormatting>
  <conditionalFormatting sqref="C123">
    <cfRule type="cellIs" dxfId="3539" priority="6400" stopIfTrue="1" operator="equal">
      <formula>"Napkin Hs"</formula>
    </cfRule>
    <cfRule type="cellIs" dxfId="3538" priority="6405" stopIfTrue="1" operator="equal">
      <formula>"Towel"</formula>
    </cfRule>
    <cfRule type="cellIs" dxfId="3537" priority="6406" stopIfTrue="1" operator="equal">
      <formula>"Napkin Hs"</formula>
    </cfRule>
    <cfRule type="cellIs" dxfId="3536" priority="6415" stopIfTrue="1" operator="equal">
      <formula>"Towel"</formula>
    </cfRule>
    <cfRule type="cellIs" dxfId="3535" priority="6416" stopIfTrue="1" operator="equal">
      <formula>"Napkin Hs"</formula>
    </cfRule>
    <cfRule type="cellIs" dxfId="3534" priority="6421" stopIfTrue="1" operator="equal">
      <formula>"Towel"</formula>
    </cfRule>
    <cfRule type="cellIs" dxfId="3533" priority="6422" stopIfTrue="1" operator="equal">
      <formula>"Napkin Hs"</formula>
    </cfRule>
  </conditionalFormatting>
  <conditionalFormatting sqref="C123">
    <cfRule type="cellIs" dxfId="3532" priority="6401" stopIfTrue="1" operator="equal">
      <formula>"Towel"</formula>
    </cfRule>
    <cfRule type="cellIs" dxfId="3531" priority="6402" stopIfTrue="1" operator="equal">
      <formula>"Napkin Hs"</formula>
    </cfRule>
    <cfRule type="cellIs" dxfId="3530" priority="6403" stopIfTrue="1" operator="equal">
      <formula>"Towel"</formula>
    </cfRule>
    <cfRule type="cellIs" dxfId="3529" priority="6404" stopIfTrue="1" operator="equal">
      <formula>"Napkin Hs"</formula>
    </cfRule>
    <cfRule type="cellIs" dxfId="3528" priority="6407" stopIfTrue="1" operator="equal">
      <formula>"Towel"</formula>
    </cfRule>
    <cfRule type="cellIs" dxfId="3527" priority="6408" stopIfTrue="1" operator="equal">
      <formula>"Napkin Hs"</formula>
    </cfRule>
    <cfRule type="cellIs" dxfId="3526" priority="6409" stopIfTrue="1" operator="equal">
      <formula>"Towel"</formula>
    </cfRule>
    <cfRule type="cellIs" dxfId="3525" priority="6410" stopIfTrue="1" operator="equal">
      <formula>"Napkin Hs"</formula>
    </cfRule>
    <cfRule type="cellIs" dxfId="3524" priority="6411" stopIfTrue="1" operator="equal">
      <formula>"Towel"</formula>
    </cfRule>
    <cfRule type="cellIs" dxfId="3523" priority="6412" stopIfTrue="1" operator="equal">
      <formula>"Napkin Hs"</formula>
    </cfRule>
    <cfRule type="cellIs" dxfId="3522" priority="6413" stopIfTrue="1" operator="equal">
      <formula>"Towel"</formula>
    </cfRule>
    <cfRule type="cellIs" dxfId="3521" priority="6414" stopIfTrue="1" operator="equal">
      <formula>"Napkin Hs"</formula>
    </cfRule>
    <cfRule type="cellIs" dxfId="3520" priority="6417" stopIfTrue="1" operator="equal">
      <formula>"Towel"</formula>
    </cfRule>
    <cfRule type="cellIs" dxfId="3519" priority="6418" stopIfTrue="1" operator="equal">
      <formula>"Napkin Hs"</formula>
    </cfRule>
    <cfRule type="cellIs" dxfId="3518" priority="6420" stopIfTrue="1" operator="equal">
      <formula>"Napkin Hs"</formula>
    </cfRule>
  </conditionalFormatting>
  <conditionalFormatting sqref="C123">
    <cfRule type="cellIs" dxfId="3517" priority="6419" stopIfTrue="1" operator="equal">
      <formula>"Towel"</formula>
    </cfRule>
  </conditionalFormatting>
  <conditionalFormatting sqref="C123">
    <cfRule type="cellIs" dxfId="3516" priority="6397" stopIfTrue="1" operator="equal">
      <formula>"Towel"</formula>
    </cfRule>
    <cfRule type="cellIs" dxfId="3515" priority="6398" stopIfTrue="1" operator="equal">
      <formula>"Napkin Hs"</formula>
    </cfRule>
  </conditionalFormatting>
  <conditionalFormatting sqref="C123">
    <cfRule type="cellIs" dxfId="3514" priority="6396" stopIfTrue="1" operator="equal">
      <formula>"Napkin Hs"</formula>
    </cfRule>
  </conditionalFormatting>
  <conditionalFormatting sqref="C123">
    <cfRule type="cellIs" dxfId="3513" priority="6395" stopIfTrue="1" operator="equal">
      <formula>"Towel"</formula>
    </cfRule>
  </conditionalFormatting>
  <conditionalFormatting sqref="C123">
    <cfRule type="cellIs" dxfId="3512" priority="6393" stopIfTrue="1" operator="equal">
      <formula>"Towel"</formula>
    </cfRule>
  </conditionalFormatting>
  <conditionalFormatting sqref="C123">
    <cfRule type="cellIs" dxfId="3511" priority="6394" stopIfTrue="1" operator="equal">
      <formula>"Napkin Hs"</formula>
    </cfRule>
  </conditionalFormatting>
  <conditionalFormatting sqref="C123">
    <cfRule type="cellIs" dxfId="3510" priority="6297" stopIfTrue="1" operator="equal">
      <formula>"Towel"</formula>
    </cfRule>
  </conditionalFormatting>
  <conditionalFormatting sqref="C123">
    <cfRule type="cellIs" dxfId="3509" priority="6307" stopIfTrue="1" operator="equal">
      <formula>"Towel"</formula>
    </cfRule>
    <cfRule type="cellIs" dxfId="3508" priority="6308" stopIfTrue="1" operator="equal">
      <formula>"Napkin Hs"</formula>
    </cfRule>
    <cfRule type="cellIs" dxfId="3507" priority="6313" stopIfTrue="1" operator="equal">
      <formula>"Towel"</formula>
    </cfRule>
    <cfRule type="cellIs" dxfId="3506" priority="6314" stopIfTrue="1" operator="equal">
      <formula>"Napkin Hs"</formula>
    </cfRule>
    <cfRule type="cellIs" dxfId="3505" priority="6319" stopIfTrue="1" operator="equal">
      <formula>"Towel"</formula>
    </cfRule>
    <cfRule type="cellIs" dxfId="3504" priority="6320" stopIfTrue="1" operator="equal">
      <formula>"Napkin Hs"</formula>
    </cfRule>
    <cfRule type="cellIs" dxfId="3503" priority="6321" stopIfTrue="1" operator="equal">
      <formula>"Towel"</formula>
    </cfRule>
    <cfRule type="cellIs" dxfId="3502" priority="6322" stopIfTrue="1" operator="equal">
      <formula>"Napkin Hs"</formula>
    </cfRule>
    <cfRule type="cellIs" dxfId="3501" priority="6327" stopIfTrue="1" operator="equal">
      <formula>"Towel"</formula>
    </cfRule>
    <cfRule type="cellIs" dxfId="3500" priority="6328" stopIfTrue="1" operator="equal">
      <formula>"Napkin Hs"</formula>
    </cfRule>
    <cfRule type="cellIs" dxfId="3499" priority="6337" stopIfTrue="1" operator="equal">
      <formula>"Towel"</formula>
    </cfRule>
    <cfRule type="cellIs" dxfId="3498" priority="6338" stopIfTrue="1" operator="equal">
      <formula>"Napkin Hs"</formula>
    </cfRule>
    <cfRule type="cellIs" dxfId="3497" priority="6343" stopIfTrue="1" operator="equal">
      <formula>"Towel"</formula>
    </cfRule>
    <cfRule type="cellIs" dxfId="3496" priority="6344" stopIfTrue="1" operator="equal">
      <formula>"Napkin Hs"</formula>
    </cfRule>
    <cfRule type="cellIs" dxfId="3495" priority="6345" stopIfTrue="1" operator="equal">
      <formula>"Towel"</formula>
    </cfRule>
    <cfRule type="cellIs" dxfId="3494" priority="6346" stopIfTrue="1" operator="equal">
      <formula>"Napkin Hs"</formula>
    </cfRule>
    <cfRule type="cellIs" dxfId="3493" priority="6351" stopIfTrue="1" operator="equal">
      <formula>"Towel"</formula>
    </cfRule>
    <cfRule type="cellIs" dxfId="3492" priority="6352" stopIfTrue="1" operator="equal">
      <formula>"Napkin Hs"</formula>
    </cfRule>
    <cfRule type="cellIs" dxfId="3491" priority="6361" stopIfTrue="1" operator="equal">
      <formula>"Towel"</formula>
    </cfRule>
    <cfRule type="cellIs" dxfId="3490" priority="6362" stopIfTrue="1" operator="equal">
      <formula>"Napkin Hs"</formula>
    </cfRule>
    <cfRule type="cellIs" dxfId="3489" priority="6363" stopIfTrue="1" operator="equal">
      <formula>"Towel"</formula>
    </cfRule>
    <cfRule type="cellIs" dxfId="3488" priority="6364" stopIfTrue="1" operator="equal">
      <formula>"Napkin Hs"</formula>
    </cfRule>
    <cfRule type="cellIs" dxfId="3487" priority="6369" stopIfTrue="1" operator="equal">
      <formula>"Towel"</formula>
    </cfRule>
    <cfRule type="cellIs" dxfId="3486" priority="6370" stopIfTrue="1" operator="equal">
      <formula>"Napkin Hs"</formula>
    </cfRule>
    <cfRule type="cellIs" dxfId="3485" priority="6379" stopIfTrue="1" operator="equal">
      <formula>"Towel"</formula>
    </cfRule>
    <cfRule type="cellIs" dxfId="3484" priority="6380" stopIfTrue="1" operator="equal">
      <formula>"Napkin Hs"</formula>
    </cfRule>
    <cfRule type="cellIs" dxfId="3483" priority="6381" stopIfTrue="1" operator="equal">
      <formula>"Towel"</formula>
    </cfRule>
    <cfRule type="cellIs" dxfId="3482" priority="6382" stopIfTrue="1" operator="equal">
      <formula>"Napkin Hs"</formula>
    </cfRule>
    <cfRule type="cellIs" dxfId="3481" priority="6388" stopIfTrue="1" operator="equal">
      <formula>"Napkin Hs"</formula>
    </cfRule>
  </conditionalFormatting>
  <conditionalFormatting sqref="C123">
    <cfRule type="cellIs" dxfId="3480" priority="6387" stopIfTrue="1" operator="equal">
      <formula>"Towel"</formula>
    </cfRule>
  </conditionalFormatting>
  <conditionalFormatting sqref="C123">
    <cfRule type="cellIs" dxfId="3479" priority="6298" stopIfTrue="1" operator="equal">
      <formula>"Napkin Hs"</formula>
    </cfRule>
    <cfRule type="cellIs" dxfId="3478" priority="6299" stopIfTrue="1" operator="equal">
      <formula>"Towel"</formula>
    </cfRule>
    <cfRule type="cellIs" dxfId="3477" priority="6300" stopIfTrue="1" operator="equal">
      <formula>"Napkin Hs"</formula>
    </cfRule>
    <cfRule type="cellIs" dxfId="3476" priority="6301" stopIfTrue="1" operator="equal">
      <formula>"Towel"</formula>
    </cfRule>
    <cfRule type="cellIs" dxfId="3475" priority="6302" stopIfTrue="1" operator="equal">
      <formula>"Napkin Hs"</formula>
    </cfRule>
    <cfRule type="cellIs" dxfId="3474" priority="6303" stopIfTrue="1" operator="equal">
      <formula>"Towel"</formula>
    </cfRule>
    <cfRule type="cellIs" dxfId="3473" priority="6304" stopIfTrue="1" operator="equal">
      <formula>"Napkin Hs"</formula>
    </cfRule>
    <cfRule type="cellIs" dxfId="3472" priority="6305" stopIfTrue="1" operator="equal">
      <formula>"Towel"</formula>
    </cfRule>
    <cfRule type="cellIs" dxfId="3471" priority="6306" stopIfTrue="1" operator="equal">
      <formula>"Napkin Hs"</formula>
    </cfRule>
    <cfRule type="cellIs" dxfId="3470" priority="6309" stopIfTrue="1" operator="equal">
      <formula>"Towel"</formula>
    </cfRule>
    <cfRule type="cellIs" dxfId="3469" priority="6310" stopIfTrue="1" operator="equal">
      <formula>"Napkin Hs"</formula>
    </cfRule>
    <cfRule type="cellIs" dxfId="3468" priority="6311" stopIfTrue="1" operator="equal">
      <formula>"Towel"</formula>
    </cfRule>
    <cfRule type="cellIs" dxfId="3467" priority="6312" stopIfTrue="1" operator="equal">
      <formula>"Napkin Hs"</formula>
    </cfRule>
    <cfRule type="cellIs" dxfId="3466" priority="6315" stopIfTrue="1" operator="equal">
      <formula>"Towel"</formula>
    </cfRule>
    <cfRule type="cellIs" dxfId="3465" priority="6316" stopIfTrue="1" operator="equal">
      <formula>"Napkin Hs"</formula>
    </cfRule>
    <cfRule type="cellIs" dxfId="3464" priority="6317" stopIfTrue="1" operator="equal">
      <formula>"Towel"</formula>
    </cfRule>
    <cfRule type="cellIs" dxfId="3463" priority="6318" stopIfTrue="1" operator="equal">
      <formula>"Napkin Hs"</formula>
    </cfRule>
    <cfRule type="cellIs" dxfId="3462" priority="6323" stopIfTrue="1" operator="equal">
      <formula>"Towel"</formula>
    </cfRule>
    <cfRule type="cellIs" dxfId="3461" priority="6324" stopIfTrue="1" operator="equal">
      <formula>"Napkin Hs"</formula>
    </cfRule>
    <cfRule type="cellIs" dxfId="3460" priority="6325" stopIfTrue="1" operator="equal">
      <formula>"Towel"</formula>
    </cfRule>
    <cfRule type="cellIs" dxfId="3459" priority="6326" stopIfTrue="1" operator="equal">
      <formula>"Napkin Hs"</formula>
    </cfRule>
    <cfRule type="cellIs" dxfId="3458" priority="6329" stopIfTrue="1" operator="equal">
      <formula>"Towel"</formula>
    </cfRule>
    <cfRule type="cellIs" dxfId="3457" priority="6330" stopIfTrue="1" operator="equal">
      <formula>"Napkin Hs"</formula>
    </cfRule>
    <cfRule type="cellIs" dxfId="3456" priority="6331" stopIfTrue="1" operator="equal">
      <formula>"Towel"</formula>
    </cfRule>
    <cfRule type="cellIs" dxfId="3455" priority="6332" stopIfTrue="1" operator="equal">
      <formula>"Napkin Hs"</formula>
    </cfRule>
    <cfRule type="cellIs" dxfId="3454" priority="6333" stopIfTrue="1" operator="equal">
      <formula>"Towel"</formula>
    </cfRule>
    <cfRule type="cellIs" dxfId="3453" priority="6334" stopIfTrue="1" operator="equal">
      <formula>"Napkin Hs"</formula>
    </cfRule>
    <cfRule type="cellIs" dxfId="3452" priority="6335" stopIfTrue="1" operator="equal">
      <formula>"Towel"</formula>
    </cfRule>
    <cfRule type="cellIs" dxfId="3451" priority="6336" stopIfTrue="1" operator="equal">
      <formula>"Napkin Hs"</formula>
    </cfRule>
    <cfRule type="cellIs" dxfId="3450" priority="6339" stopIfTrue="1" operator="equal">
      <formula>"Towel"</formula>
    </cfRule>
    <cfRule type="cellIs" dxfId="3449" priority="6340" stopIfTrue="1" operator="equal">
      <formula>"Napkin Hs"</formula>
    </cfRule>
    <cfRule type="cellIs" dxfId="3448" priority="6341" stopIfTrue="1" operator="equal">
      <formula>"Towel"</formula>
    </cfRule>
    <cfRule type="cellIs" dxfId="3447" priority="6342" stopIfTrue="1" operator="equal">
      <formula>"Napkin Hs"</formula>
    </cfRule>
    <cfRule type="cellIs" dxfId="3446" priority="6347" stopIfTrue="1" operator="equal">
      <formula>"Towel"</formula>
    </cfRule>
    <cfRule type="cellIs" dxfId="3445" priority="6348" stopIfTrue="1" operator="equal">
      <formula>"Napkin Hs"</formula>
    </cfRule>
    <cfRule type="cellIs" dxfId="3444" priority="6349" stopIfTrue="1" operator="equal">
      <formula>"Towel"</formula>
    </cfRule>
    <cfRule type="cellIs" dxfId="3443" priority="6350" stopIfTrue="1" operator="equal">
      <formula>"Napkin Hs"</formula>
    </cfRule>
    <cfRule type="cellIs" dxfId="3442" priority="6353" stopIfTrue="1" operator="equal">
      <formula>"Towel"</formula>
    </cfRule>
    <cfRule type="cellIs" dxfId="3441" priority="6354" stopIfTrue="1" operator="equal">
      <formula>"Napkin Hs"</formula>
    </cfRule>
    <cfRule type="cellIs" dxfId="3440" priority="6355" stopIfTrue="1" operator="equal">
      <formula>"Towel"</formula>
    </cfRule>
    <cfRule type="cellIs" dxfId="3439" priority="6356" stopIfTrue="1" operator="equal">
      <formula>"Napkin Hs"</formula>
    </cfRule>
    <cfRule type="cellIs" dxfId="3438" priority="6357" stopIfTrue="1" operator="equal">
      <formula>"Towel"</formula>
    </cfRule>
    <cfRule type="cellIs" dxfId="3437" priority="6358" stopIfTrue="1" operator="equal">
      <formula>"Napkin Hs"</formula>
    </cfRule>
    <cfRule type="cellIs" dxfId="3436" priority="6359" stopIfTrue="1" operator="equal">
      <formula>"Towel"</formula>
    </cfRule>
    <cfRule type="cellIs" dxfId="3435" priority="6360" stopIfTrue="1" operator="equal">
      <formula>"Napkin Hs"</formula>
    </cfRule>
    <cfRule type="cellIs" dxfId="3434" priority="6365" stopIfTrue="1" operator="equal">
      <formula>"Towel"</formula>
    </cfRule>
    <cfRule type="cellIs" dxfId="3433" priority="6366" stopIfTrue="1" operator="equal">
      <formula>"Napkin Hs"</formula>
    </cfRule>
    <cfRule type="cellIs" dxfId="3432" priority="6367" stopIfTrue="1" operator="equal">
      <formula>"Towel"</formula>
    </cfRule>
    <cfRule type="cellIs" dxfId="3431" priority="6368" stopIfTrue="1" operator="equal">
      <formula>"Napkin Hs"</formula>
    </cfRule>
    <cfRule type="cellIs" dxfId="3430" priority="6371" stopIfTrue="1" operator="equal">
      <formula>"Towel"</formula>
    </cfRule>
    <cfRule type="cellIs" dxfId="3429" priority="6372" stopIfTrue="1" operator="equal">
      <formula>"Napkin Hs"</formula>
    </cfRule>
    <cfRule type="cellIs" dxfId="3428" priority="6373" stopIfTrue="1" operator="equal">
      <formula>"Towel"</formula>
    </cfRule>
    <cfRule type="cellIs" dxfId="3427" priority="6374" stopIfTrue="1" operator="equal">
      <formula>"Napkin Hs"</formula>
    </cfRule>
    <cfRule type="cellIs" dxfId="3426" priority="6375" stopIfTrue="1" operator="equal">
      <formula>"Towel"</formula>
    </cfRule>
    <cfRule type="cellIs" dxfId="3425" priority="6376" stopIfTrue="1" operator="equal">
      <formula>"Napkin Hs"</formula>
    </cfRule>
    <cfRule type="cellIs" dxfId="3424" priority="6377" stopIfTrue="1" operator="equal">
      <formula>"Towel"</formula>
    </cfRule>
    <cfRule type="cellIs" dxfId="3423" priority="6378" stopIfTrue="1" operator="equal">
      <formula>"Napkin Hs"</formula>
    </cfRule>
    <cfRule type="cellIs" dxfId="3422" priority="6383" stopIfTrue="1" operator="equal">
      <formula>"Towel"</formula>
    </cfRule>
    <cfRule type="cellIs" dxfId="3421" priority="6384" stopIfTrue="1" operator="equal">
      <formula>"Napkin Hs"</formula>
    </cfRule>
    <cfRule type="cellIs" dxfId="3420" priority="6385" stopIfTrue="1" operator="equal">
      <formula>"Towel"</formula>
    </cfRule>
    <cfRule type="cellIs" dxfId="3419" priority="6386" stopIfTrue="1" operator="equal">
      <formula>"Napkin Hs"</formula>
    </cfRule>
    <cfRule type="cellIs" dxfId="3418" priority="6389" stopIfTrue="1" operator="equal">
      <formula>"Towel"</formula>
    </cfRule>
    <cfRule type="cellIs" dxfId="3417" priority="6390" stopIfTrue="1" operator="equal">
      <formula>"Napkin Hs"</formula>
    </cfRule>
    <cfRule type="cellIs" dxfId="3416" priority="6391" stopIfTrue="1" operator="equal">
      <formula>"Towel"</formula>
    </cfRule>
    <cfRule type="cellIs" dxfId="3415" priority="6392" stopIfTrue="1" operator="equal">
      <formula>"Napkin Hs"</formula>
    </cfRule>
  </conditionalFormatting>
  <conditionalFormatting sqref="C123">
    <cfRule type="cellIs" dxfId="3414" priority="6296" stopIfTrue="1" operator="equal">
      <formula>"Napkin Hs"</formula>
    </cfRule>
  </conditionalFormatting>
  <conditionalFormatting sqref="C123">
    <cfRule type="cellIs" dxfId="3413" priority="6295" stopIfTrue="1" operator="equal">
      <formula>"Napkin Hs"</formula>
    </cfRule>
  </conditionalFormatting>
  <conditionalFormatting sqref="C123">
    <cfRule type="cellIs" dxfId="3412" priority="6294" stopIfTrue="1" operator="equal">
      <formula>"Napkin Hs"</formula>
    </cfRule>
  </conditionalFormatting>
  <conditionalFormatting sqref="C123">
    <cfRule type="cellIs" dxfId="3411" priority="6293" stopIfTrue="1" operator="equal">
      <formula>"Napkin Hs"</formula>
    </cfRule>
  </conditionalFormatting>
  <conditionalFormatting sqref="C123">
    <cfRule type="cellIs" dxfId="3410" priority="6292" stopIfTrue="1" operator="equal">
      <formula>"Napkin Hs"</formula>
    </cfRule>
  </conditionalFormatting>
  <conditionalFormatting sqref="C123">
    <cfRule type="cellIs" dxfId="3409" priority="6291" stopIfTrue="1" operator="equal">
      <formula>"Napkin Hs"</formula>
    </cfRule>
  </conditionalFormatting>
  <conditionalFormatting sqref="C123">
    <cfRule type="cellIs" dxfId="3408" priority="6287" stopIfTrue="1" operator="equal">
      <formula>"Towel"</formula>
    </cfRule>
    <cfRule type="cellIs" dxfId="3407" priority="6288" stopIfTrue="1" operator="equal">
      <formula>"Napkin Hs"</formula>
    </cfRule>
  </conditionalFormatting>
  <conditionalFormatting sqref="C123">
    <cfRule type="cellIs" dxfId="3406" priority="6289" stopIfTrue="1" operator="equal">
      <formula>"Towel"</formula>
    </cfRule>
    <cfRule type="cellIs" dxfId="3405" priority="6290" stopIfTrue="1" operator="equal">
      <formula>"Napkin Hs"</formula>
    </cfRule>
  </conditionalFormatting>
  <conditionalFormatting sqref="C123">
    <cfRule type="cellIs" dxfId="3404" priority="6283" stopIfTrue="1" operator="equal">
      <formula>"Towel"</formula>
    </cfRule>
    <cfRule type="cellIs" dxfId="3403" priority="6284" stopIfTrue="1" operator="equal">
      <formula>"Napkin Hs"</formula>
    </cfRule>
  </conditionalFormatting>
  <conditionalFormatting sqref="C123">
    <cfRule type="cellIs" dxfId="3402" priority="6285" stopIfTrue="1" operator="equal">
      <formula>"Towel"</formula>
    </cfRule>
    <cfRule type="cellIs" dxfId="3401" priority="6286" stopIfTrue="1" operator="equal">
      <formula>"Napkin Hs"</formula>
    </cfRule>
  </conditionalFormatting>
  <conditionalFormatting sqref="B131:C131">
    <cfRule type="cellIs" dxfId="3400" priority="6281" stopIfTrue="1" operator="equal">
      <formula>"Towel"</formula>
    </cfRule>
    <cfRule type="cellIs" dxfId="3399" priority="6282" stopIfTrue="1" operator="equal">
      <formula>"Napkin Hs"</formula>
    </cfRule>
  </conditionalFormatting>
  <conditionalFormatting sqref="C131">
    <cfRule type="cellIs" dxfId="3398" priority="6279" stopIfTrue="1" operator="equal">
      <formula>"Towel"</formula>
    </cfRule>
    <cfRule type="cellIs" dxfId="3397" priority="6280" stopIfTrue="1" operator="equal">
      <formula>"Napkin Hs"</formula>
    </cfRule>
  </conditionalFormatting>
  <conditionalFormatting sqref="C131">
    <cfRule type="cellIs" dxfId="3396" priority="6277" stopIfTrue="1" operator="equal">
      <formula>"Towel"</formula>
    </cfRule>
    <cfRule type="cellIs" dxfId="3395" priority="6278" stopIfTrue="1" operator="equal">
      <formula>"Napkin Hs"</formula>
    </cfRule>
  </conditionalFormatting>
  <conditionalFormatting sqref="B131:C131">
    <cfRule type="cellIs" dxfId="3394" priority="6275" stopIfTrue="1" operator="equal">
      <formula>"Towel"</formula>
    </cfRule>
    <cfRule type="cellIs" dxfId="3393" priority="6276" stopIfTrue="1" operator="equal">
      <formula>"Napkin Hs"</formula>
    </cfRule>
  </conditionalFormatting>
  <conditionalFormatting sqref="C131">
    <cfRule type="cellIs" dxfId="3392" priority="6273" stopIfTrue="1" operator="equal">
      <formula>"Towel"</formula>
    </cfRule>
    <cfRule type="cellIs" dxfId="3391" priority="6274" stopIfTrue="1" operator="equal">
      <formula>"Napkin Hs"</formula>
    </cfRule>
  </conditionalFormatting>
  <conditionalFormatting sqref="C131">
    <cfRule type="cellIs" dxfId="3390" priority="6271" stopIfTrue="1" operator="equal">
      <formula>"Towel"</formula>
    </cfRule>
    <cfRule type="cellIs" dxfId="3389" priority="6272" stopIfTrue="1" operator="equal">
      <formula>"Napkin Hs"</formula>
    </cfRule>
  </conditionalFormatting>
  <conditionalFormatting sqref="C131">
    <cfRule type="cellIs" dxfId="3388" priority="6263" stopIfTrue="1" operator="equal">
      <formula>"Towel"</formula>
    </cfRule>
    <cfRule type="cellIs" dxfId="3387" priority="6264" stopIfTrue="1" operator="equal">
      <formula>"Napkin Hs"</formula>
    </cfRule>
  </conditionalFormatting>
  <conditionalFormatting sqref="B131:C131">
    <cfRule type="cellIs" dxfId="3386" priority="6265" stopIfTrue="1" operator="equal">
      <formula>"Towel"</formula>
    </cfRule>
    <cfRule type="cellIs" dxfId="3385" priority="6266" stopIfTrue="1" operator="equal">
      <formula>"Napkin Hs"</formula>
    </cfRule>
  </conditionalFormatting>
  <conditionalFormatting sqref="C131">
    <cfRule type="cellIs" dxfId="3384" priority="6261" stopIfTrue="1" operator="equal">
      <formula>"Towel"</formula>
    </cfRule>
    <cfRule type="cellIs" dxfId="3383" priority="6262" stopIfTrue="1" operator="equal">
      <formula>"Napkin Hs"</formula>
    </cfRule>
  </conditionalFormatting>
  <conditionalFormatting sqref="B131:C131">
    <cfRule type="cellIs" dxfId="3382" priority="6259" stopIfTrue="1" operator="equal">
      <formula>"Towel"</formula>
    </cfRule>
    <cfRule type="cellIs" dxfId="3381" priority="6260" stopIfTrue="1" operator="equal">
      <formula>"Napkin Hs"</formula>
    </cfRule>
  </conditionalFormatting>
  <conditionalFormatting sqref="C131">
    <cfRule type="cellIs" dxfId="3380" priority="6267" stopIfTrue="1" operator="equal">
      <formula>"Towel"</formula>
    </cfRule>
    <cfRule type="cellIs" dxfId="3379" priority="6268" stopIfTrue="1" operator="equal">
      <formula>"Napkin Hs"</formula>
    </cfRule>
  </conditionalFormatting>
  <conditionalFormatting sqref="C131">
    <cfRule type="cellIs" dxfId="3378" priority="6269" stopIfTrue="1" operator="equal">
      <formula>"Towel"</formula>
    </cfRule>
    <cfRule type="cellIs" dxfId="3377" priority="6270" stopIfTrue="1" operator="equal">
      <formula>"Napkin Hs"</formula>
    </cfRule>
  </conditionalFormatting>
  <conditionalFormatting sqref="B130:C130">
    <cfRule type="cellIs" dxfId="3376" priority="6257" stopIfTrue="1" operator="equal">
      <formula>"Towel"</formula>
    </cfRule>
    <cfRule type="cellIs" dxfId="3375" priority="6258" stopIfTrue="1" operator="equal">
      <formula>"Napkin Hs"</formula>
    </cfRule>
  </conditionalFormatting>
  <conditionalFormatting sqref="C130">
    <cfRule type="cellIs" dxfId="3374" priority="6237" stopIfTrue="1" operator="equal">
      <formula>"Towel"</formula>
    </cfRule>
    <cfRule type="cellIs" dxfId="3373" priority="6238" stopIfTrue="1" operator="equal">
      <formula>"Napkin Hs"</formula>
    </cfRule>
  </conditionalFormatting>
  <conditionalFormatting sqref="B130:C130">
    <cfRule type="cellIs" dxfId="3372" priority="6235" stopIfTrue="1" operator="equal">
      <formula>"Towel"</formula>
    </cfRule>
    <cfRule type="cellIs" dxfId="3371" priority="6236" stopIfTrue="1" operator="equal">
      <formula>"Napkin Hs"</formula>
    </cfRule>
  </conditionalFormatting>
  <conditionalFormatting sqref="C130">
    <cfRule type="cellIs" dxfId="3370" priority="6243" stopIfTrue="1" operator="equal">
      <formula>"Towel"</formula>
    </cfRule>
    <cfRule type="cellIs" dxfId="3369" priority="6244" stopIfTrue="1" operator="equal">
      <formula>"Napkin Hs"</formula>
    </cfRule>
  </conditionalFormatting>
  <conditionalFormatting sqref="B130:C130">
    <cfRule type="cellIs" dxfId="3368" priority="6241" stopIfTrue="1" operator="equal">
      <formula>"Towel"</formula>
    </cfRule>
    <cfRule type="cellIs" dxfId="3367" priority="6242" stopIfTrue="1" operator="equal">
      <formula>"Napkin Hs"</formula>
    </cfRule>
  </conditionalFormatting>
  <conditionalFormatting sqref="C130">
    <cfRule type="cellIs" dxfId="3366" priority="6239" stopIfTrue="1" operator="equal">
      <formula>"Towel"</formula>
    </cfRule>
    <cfRule type="cellIs" dxfId="3365" priority="6240" stopIfTrue="1" operator="equal">
      <formula>"Napkin Hs"</formula>
    </cfRule>
  </conditionalFormatting>
  <conditionalFormatting sqref="C130">
    <cfRule type="cellIs" dxfId="3364" priority="6249" stopIfTrue="1" operator="equal">
      <formula>"Towel"</formula>
    </cfRule>
    <cfRule type="cellIs" dxfId="3363" priority="6250" stopIfTrue="1" operator="equal">
      <formula>"Napkin Hs"</formula>
    </cfRule>
  </conditionalFormatting>
  <conditionalFormatting sqref="C130">
    <cfRule type="cellIs" dxfId="3362" priority="6247" stopIfTrue="1" operator="equal">
      <formula>"Towel"</formula>
    </cfRule>
    <cfRule type="cellIs" dxfId="3361" priority="6248" stopIfTrue="1" operator="equal">
      <formula>"Napkin Hs"</formula>
    </cfRule>
  </conditionalFormatting>
  <conditionalFormatting sqref="C130">
    <cfRule type="cellIs" dxfId="3360" priority="6245" stopIfTrue="1" operator="equal">
      <formula>"Towel"</formula>
    </cfRule>
    <cfRule type="cellIs" dxfId="3359" priority="6246" stopIfTrue="1" operator="equal">
      <formula>"Napkin Hs"</formula>
    </cfRule>
  </conditionalFormatting>
  <conditionalFormatting sqref="C130">
    <cfRule type="cellIs" dxfId="3358" priority="6253" stopIfTrue="1" operator="equal">
      <formula>"Towel"</formula>
    </cfRule>
    <cfRule type="cellIs" dxfId="3357" priority="6254" stopIfTrue="1" operator="equal">
      <formula>"Napkin Hs"</formula>
    </cfRule>
  </conditionalFormatting>
  <conditionalFormatting sqref="C130">
    <cfRule type="cellIs" dxfId="3356" priority="6255" stopIfTrue="1" operator="equal">
      <formula>"Towel"</formula>
    </cfRule>
    <cfRule type="cellIs" dxfId="3355" priority="6256" stopIfTrue="1" operator="equal">
      <formula>"Napkin Hs"</formula>
    </cfRule>
  </conditionalFormatting>
  <conditionalFormatting sqref="B130:C130">
    <cfRule type="cellIs" dxfId="3354" priority="6251" stopIfTrue="1" operator="equal">
      <formula>"Towel"</formula>
    </cfRule>
    <cfRule type="cellIs" dxfId="3353" priority="6252" stopIfTrue="1" operator="equal">
      <formula>"Napkin Hs"</formula>
    </cfRule>
  </conditionalFormatting>
  <conditionalFormatting sqref="C129">
    <cfRule type="cellIs" dxfId="3352" priority="6227" stopIfTrue="1" operator="equal">
      <formula>"Towel"</formula>
    </cfRule>
    <cfRule type="cellIs" dxfId="3351" priority="6228" stopIfTrue="1" operator="equal">
      <formula>"Napkin Hs"</formula>
    </cfRule>
  </conditionalFormatting>
  <conditionalFormatting sqref="B129:C129">
    <cfRule type="cellIs" dxfId="3350" priority="6229" stopIfTrue="1" operator="equal">
      <formula>"Towel"</formula>
    </cfRule>
    <cfRule type="cellIs" dxfId="3349" priority="6230" stopIfTrue="1" operator="equal">
      <formula>"Napkin Hs"</formula>
    </cfRule>
  </conditionalFormatting>
  <conditionalFormatting sqref="C129">
    <cfRule type="cellIs" dxfId="3348" priority="6225" stopIfTrue="1" operator="equal">
      <formula>"Towel"</formula>
    </cfRule>
    <cfRule type="cellIs" dxfId="3347" priority="6226" stopIfTrue="1" operator="equal">
      <formula>"Napkin Hs"</formula>
    </cfRule>
  </conditionalFormatting>
  <conditionalFormatting sqref="B129:C129">
    <cfRule type="cellIs" dxfId="3346" priority="6223" stopIfTrue="1" operator="equal">
      <formula>"Towel"</formula>
    </cfRule>
    <cfRule type="cellIs" dxfId="3345" priority="6224" stopIfTrue="1" operator="equal">
      <formula>"Napkin Hs"</formula>
    </cfRule>
  </conditionalFormatting>
  <conditionalFormatting sqref="C129">
    <cfRule type="cellIs" dxfId="3344" priority="6231" stopIfTrue="1" operator="equal">
      <formula>"Towel"</formula>
    </cfRule>
    <cfRule type="cellIs" dxfId="3343" priority="6232" stopIfTrue="1" operator="equal">
      <formula>"Napkin Hs"</formula>
    </cfRule>
  </conditionalFormatting>
  <conditionalFormatting sqref="C129">
    <cfRule type="cellIs" dxfId="3342" priority="6233" stopIfTrue="1" operator="equal">
      <formula>"Towel"</formula>
    </cfRule>
    <cfRule type="cellIs" dxfId="3341" priority="6234" stopIfTrue="1" operator="equal">
      <formula>"Napkin Hs"</formula>
    </cfRule>
  </conditionalFormatting>
  <conditionalFormatting sqref="C129">
    <cfRule type="cellIs" dxfId="3340" priority="6219" stopIfTrue="1" operator="equal">
      <formula>"Towel"</formula>
    </cfRule>
    <cfRule type="cellIs" dxfId="3339" priority="6220" stopIfTrue="1" operator="equal">
      <formula>"Napkin Hs"</formula>
    </cfRule>
  </conditionalFormatting>
  <conditionalFormatting sqref="C129">
    <cfRule type="cellIs" dxfId="3338" priority="6221" stopIfTrue="1" operator="equal">
      <formula>"Towel"</formula>
    </cfRule>
    <cfRule type="cellIs" dxfId="3337" priority="6222" stopIfTrue="1" operator="equal">
      <formula>"Napkin Hs"</formula>
    </cfRule>
  </conditionalFormatting>
  <conditionalFormatting sqref="C129">
    <cfRule type="cellIs" dxfId="3336" priority="6217" stopIfTrue="1" operator="equal">
      <formula>"Towel"</formula>
    </cfRule>
    <cfRule type="cellIs" dxfId="3335" priority="6218" stopIfTrue="1" operator="equal">
      <formula>"Napkin Hs"</formula>
    </cfRule>
  </conditionalFormatting>
  <conditionalFormatting sqref="B129">
    <cfRule type="cellIs" dxfId="3334" priority="6215" stopIfTrue="1" operator="equal">
      <formula>"Towel"</formula>
    </cfRule>
    <cfRule type="cellIs" dxfId="3333" priority="6216" stopIfTrue="1" operator="equal">
      <formula>"Napkin Hs"</formula>
    </cfRule>
  </conditionalFormatting>
  <conditionalFormatting sqref="C129">
    <cfRule type="cellIs" dxfId="3332" priority="6209" stopIfTrue="1" operator="equal">
      <formula>"Towel"</formula>
    </cfRule>
    <cfRule type="cellIs" dxfId="3331" priority="6210" stopIfTrue="1" operator="equal">
      <formula>"Napkin Hs"</formula>
    </cfRule>
  </conditionalFormatting>
  <conditionalFormatting sqref="C129">
    <cfRule type="cellIs" dxfId="3330" priority="6213" stopIfTrue="1" operator="equal">
      <formula>"Towel"</formula>
    </cfRule>
    <cfRule type="cellIs" dxfId="3329" priority="6214" stopIfTrue="1" operator="equal">
      <formula>"Napkin Hs"</formula>
    </cfRule>
  </conditionalFormatting>
  <conditionalFormatting sqref="C129">
    <cfRule type="cellIs" dxfId="3328" priority="6211" stopIfTrue="1" operator="equal">
      <formula>"Towel"</formula>
    </cfRule>
    <cfRule type="cellIs" dxfId="3327" priority="6212" stopIfTrue="1" operator="equal">
      <formula>"Napkin Hs"</formula>
    </cfRule>
  </conditionalFormatting>
  <conditionalFormatting sqref="C129">
    <cfRule type="cellIs" dxfId="3326" priority="6203" stopIfTrue="1" operator="equal">
      <formula>"Towel"</formula>
    </cfRule>
    <cfRule type="cellIs" dxfId="3325" priority="6204" stopIfTrue="1" operator="equal">
      <formula>"Napkin Hs"</formula>
    </cfRule>
  </conditionalFormatting>
  <conditionalFormatting sqref="C129">
    <cfRule type="cellIs" dxfId="3324" priority="6205" stopIfTrue="1" operator="equal">
      <formula>"Towel"</formula>
    </cfRule>
    <cfRule type="cellIs" dxfId="3323" priority="6206" stopIfTrue="1" operator="equal">
      <formula>"Napkin Hs"</formula>
    </cfRule>
  </conditionalFormatting>
  <conditionalFormatting sqref="C129">
    <cfRule type="cellIs" dxfId="3322" priority="6207" stopIfTrue="1" operator="equal">
      <formula>"Towel"</formula>
    </cfRule>
    <cfRule type="cellIs" dxfId="3321" priority="6208" stopIfTrue="1" operator="equal">
      <formula>"Napkin Hs"</formula>
    </cfRule>
  </conditionalFormatting>
  <conditionalFormatting sqref="B129:C129">
    <cfRule type="cellIs" dxfId="3320" priority="6201" stopIfTrue="1" operator="equal">
      <formula>"Towel"</formula>
    </cfRule>
    <cfRule type="cellIs" dxfId="3319" priority="6202" stopIfTrue="1" operator="equal">
      <formula>"Napkin Hs"</formula>
    </cfRule>
  </conditionalFormatting>
  <conditionalFormatting sqref="B129:C129">
    <cfRule type="cellIs" dxfId="3318" priority="6199" stopIfTrue="1" operator="equal">
      <formula>"Towel"</formula>
    </cfRule>
    <cfRule type="cellIs" dxfId="3317" priority="6200" stopIfTrue="1" operator="equal">
      <formula>"Napkin Hs"</formula>
    </cfRule>
  </conditionalFormatting>
  <conditionalFormatting sqref="B129:C129">
    <cfRule type="cellIs" dxfId="3316" priority="6175" stopIfTrue="1" operator="equal">
      <formula>"Towel"</formula>
    </cfRule>
  </conditionalFormatting>
  <conditionalFormatting sqref="B129:C129">
    <cfRule type="cellIs" dxfId="3315" priority="6176" stopIfTrue="1" operator="equal">
      <formula>"Napkin Hs"</formula>
    </cfRule>
    <cfRule type="cellIs" dxfId="3314" priority="6181" stopIfTrue="1" operator="equal">
      <formula>"Towel"</formula>
    </cfRule>
    <cfRule type="cellIs" dxfId="3313" priority="6182" stopIfTrue="1" operator="equal">
      <formula>"Napkin Hs"</formula>
    </cfRule>
    <cfRule type="cellIs" dxfId="3312" priority="6191" stopIfTrue="1" operator="equal">
      <formula>"Towel"</formula>
    </cfRule>
    <cfRule type="cellIs" dxfId="3311" priority="6192" stopIfTrue="1" operator="equal">
      <formula>"Napkin Hs"</formula>
    </cfRule>
    <cfRule type="cellIs" dxfId="3310" priority="6197" stopIfTrue="1" operator="equal">
      <formula>"Towel"</formula>
    </cfRule>
    <cfRule type="cellIs" dxfId="3309" priority="6198" stopIfTrue="1" operator="equal">
      <formula>"Napkin Hs"</formula>
    </cfRule>
  </conditionalFormatting>
  <conditionalFormatting sqref="C129">
    <cfRule type="cellIs" dxfId="3308" priority="6177" stopIfTrue="1" operator="equal">
      <formula>"Towel"</formula>
    </cfRule>
    <cfRule type="cellIs" dxfId="3307" priority="6178" stopIfTrue="1" operator="equal">
      <formula>"Napkin Hs"</formula>
    </cfRule>
    <cfRule type="cellIs" dxfId="3306" priority="6179" stopIfTrue="1" operator="equal">
      <formula>"Towel"</formula>
    </cfRule>
    <cfRule type="cellIs" dxfId="3305" priority="6180" stopIfTrue="1" operator="equal">
      <formula>"Napkin Hs"</formula>
    </cfRule>
    <cfRule type="cellIs" dxfId="3304" priority="6183" stopIfTrue="1" operator="equal">
      <formula>"Towel"</formula>
    </cfRule>
    <cfRule type="cellIs" dxfId="3303" priority="6184" stopIfTrue="1" operator="equal">
      <formula>"Napkin Hs"</formula>
    </cfRule>
    <cfRule type="cellIs" dxfId="3302" priority="6185" stopIfTrue="1" operator="equal">
      <formula>"Towel"</formula>
    </cfRule>
    <cfRule type="cellIs" dxfId="3301" priority="6186" stopIfTrue="1" operator="equal">
      <formula>"Napkin Hs"</formula>
    </cfRule>
    <cfRule type="cellIs" dxfId="3300" priority="6187" stopIfTrue="1" operator="equal">
      <formula>"Towel"</formula>
    </cfRule>
    <cfRule type="cellIs" dxfId="3299" priority="6188" stopIfTrue="1" operator="equal">
      <formula>"Napkin Hs"</formula>
    </cfRule>
    <cfRule type="cellIs" dxfId="3298" priority="6189" stopIfTrue="1" operator="equal">
      <formula>"Towel"</formula>
    </cfRule>
    <cfRule type="cellIs" dxfId="3297" priority="6190" stopIfTrue="1" operator="equal">
      <formula>"Napkin Hs"</formula>
    </cfRule>
    <cfRule type="cellIs" dxfId="3296" priority="6193" stopIfTrue="1" operator="equal">
      <formula>"Towel"</formula>
    </cfRule>
    <cfRule type="cellIs" dxfId="3295" priority="6194" stopIfTrue="1" operator="equal">
      <formula>"Napkin Hs"</formula>
    </cfRule>
    <cfRule type="cellIs" dxfId="3294" priority="6196" stopIfTrue="1" operator="equal">
      <formula>"Napkin Hs"</formula>
    </cfRule>
  </conditionalFormatting>
  <conditionalFormatting sqref="C129">
    <cfRule type="cellIs" dxfId="3293" priority="6195" stopIfTrue="1" operator="equal">
      <formula>"Towel"</formula>
    </cfRule>
  </conditionalFormatting>
  <conditionalFormatting sqref="B129:C129">
    <cfRule type="cellIs" dxfId="3292" priority="6173" stopIfTrue="1" operator="equal">
      <formula>"Towel"</formula>
    </cfRule>
    <cfRule type="cellIs" dxfId="3291" priority="6174" stopIfTrue="1" operator="equal">
      <formula>"Napkin Hs"</formula>
    </cfRule>
  </conditionalFormatting>
  <conditionalFormatting sqref="C129">
    <cfRule type="cellIs" dxfId="3290" priority="6172" stopIfTrue="1" operator="equal">
      <formula>"Napkin Hs"</formula>
    </cfRule>
  </conditionalFormatting>
  <conditionalFormatting sqref="C129">
    <cfRule type="cellIs" dxfId="3289" priority="6171" stopIfTrue="1" operator="equal">
      <formula>"Towel"</formula>
    </cfRule>
  </conditionalFormatting>
  <conditionalFormatting sqref="C129">
    <cfRule type="cellIs" dxfId="3288" priority="6169" stopIfTrue="1" operator="equal">
      <formula>"Towel"</formula>
    </cfRule>
  </conditionalFormatting>
  <conditionalFormatting sqref="C129">
    <cfRule type="cellIs" dxfId="3287" priority="6170" stopIfTrue="1" operator="equal">
      <formula>"Napkin Hs"</formula>
    </cfRule>
  </conditionalFormatting>
  <conditionalFormatting sqref="B129">
    <cfRule type="cellIs" dxfId="3286" priority="6073" stopIfTrue="1" operator="equal">
      <formula>"Napkin Hs"</formula>
    </cfRule>
  </conditionalFormatting>
  <conditionalFormatting sqref="B129:C129">
    <cfRule type="cellIs" dxfId="3285" priority="6072" stopIfTrue="1" operator="equal">
      <formula>"Towel"</formula>
    </cfRule>
  </conditionalFormatting>
  <conditionalFormatting sqref="B129:C129">
    <cfRule type="cellIs" dxfId="3284" priority="6083" stopIfTrue="1" operator="equal">
      <formula>"Towel"</formula>
    </cfRule>
    <cfRule type="cellIs" dxfId="3283" priority="6084" stopIfTrue="1" operator="equal">
      <formula>"Napkin Hs"</formula>
    </cfRule>
    <cfRule type="cellIs" dxfId="3282" priority="6089" stopIfTrue="1" operator="equal">
      <formula>"Towel"</formula>
    </cfRule>
    <cfRule type="cellIs" dxfId="3281" priority="6090" stopIfTrue="1" operator="equal">
      <formula>"Napkin Hs"</formula>
    </cfRule>
    <cfRule type="cellIs" dxfId="3280" priority="6095" stopIfTrue="1" operator="equal">
      <formula>"Towel"</formula>
    </cfRule>
    <cfRule type="cellIs" dxfId="3279" priority="6096" stopIfTrue="1" operator="equal">
      <formula>"Napkin Hs"</formula>
    </cfRule>
    <cfRule type="cellIs" dxfId="3278" priority="6097" stopIfTrue="1" operator="equal">
      <formula>"Towel"</formula>
    </cfRule>
    <cfRule type="cellIs" dxfId="3277" priority="6098" stopIfTrue="1" operator="equal">
      <formula>"Napkin Hs"</formula>
    </cfRule>
    <cfRule type="cellIs" dxfId="3276" priority="6103" stopIfTrue="1" operator="equal">
      <formula>"Towel"</formula>
    </cfRule>
    <cfRule type="cellIs" dxfId="3275" priority="6104" stopIfTrue="1" operator="equal">
      <formula>"Napkin Hs"</formula>
    </cfRule>
    <cfRule type="cellIs" dxfId="3274" priority="6113" stopIfTrue="1" operator="equal">
      <formula>"Towel"</formula>
    </cfRule>
    <cfRule type="cellIs" dxfId="3273" priority="6114" stopIfTrue="1" operator="equal">
      <formula>"Napkin Hs"</formula>
    </cfRule>
    <cfRule type="cellIs" dxfId="3272" priority="6119" stopIfTrue="1" operator="equal">
      <formula>"Towel"</formula>
    </cfRule>
    <cfRule type="cellIs" dxfId="3271" priority="6120" stopIfTrue="1" operator="equal">
      <formula>"Napkin Hs"</formula>
    </cfRule>
    <cfRule type="cellIs" dxfId="3270" priority="6121" stopIfTrue="1" operator="equal">
      <formula>"Towel"</formula>
    </cfRule>
    <cfRule type="cellIs" dxfId="3269" priority="6122" stopIfTrue="1" operator="equal">
      <formula>"Napkin Hs"</formula>
    </cfRule>
    <cfRule type="cellIs" dxfId="3268" priority="6127" stopIfTrue="1" operator="equal">
      <formula>"Towel"</formula>
    </cfRule>
    <cfRule type="cellIs" dxfId="3267" priority="6128" stopIfTrue="1" operator="equal">
      <formula>"Napkin Hs"</formula>
    </cfRule>
    <cfRule type="cellIs" dxfId="3266" priority="6137" stopIfTrue="1" operator="equal">
      <formula>"Towel"</formula>
    </cfRule>
    <cfRule type="cellIs" dxfId="3265" priority="6138" stopIfTrue="1" operator="equal">
      <formula>"Napkin Hs"</formula>
    </cfRule>
    <cfRule type="cellIs" dxfId="3264" priority="6139" stopIfTrue="1" operator="equal">
      <formula>"Towel"</formula>
    </cfRule>
    <cfRule type="cellIs" dxfId="3263" priority="6140" stopIfTrue="1" operator="equal">
      <formula>"Napkin Hs"</formula>
    </cfRule>
    <cfRule type="cellIs" dxfId="3262" priority="6145" stopIfTrue="1" operator="equal">
      <formula>"Towel"</formula>
    </cfRule>
    <cfRule type="cellIs" dxfId="3261" priority="6146" stopIfTrue="1" operator="equal">
      <formula>"Napkin Hs"</formula>
    </cfRule>
    <cfRule type="cellIs" dxfId="3260" priority="6155" stopIfTrue="1" operator="equal">
      <formula>"Towel"</formula>
    </cfRule>
    <cfRule type="cellIs" dxfId="3259" priority="6156" stopIfTrue="1" operator="equal">
      <formula>"Napkin Hs"</formula>
    </cfRule>
    <cfRule type="cellIs" dxfId="3258" priority="6157" stopIfTrue="1" operator="equal">
      <formula>"Towel"</formula>
    </cfRule>
    <cfRule type="cellIs" dxfId="3257" priority="6158" stopIfTrue="1" operator="equal">
      <formula>"Napkin Hs"</formula>
    </cfRule>
    <cfRule type="cellIs" dxfId="3256" priority="6164" stopIfTrue="1" operator="equal">
      <formula>"Napkin Hs"</formula>
    </cfRule>
  </conditionalFormatting>
  <conditionalFormatting sqref="B129:C129">
    <cfRule type="cellIs" dxfId="3255" priority="6163" stopIfTrue="1" operator="equal">
      <formula>"Towel"</formula>
    </cfRule>
  </conditionalFormatting>
  <conditionalFormatting sqref="C129">
    <cfRule type="cellIs" dxfId="3254" priority="6074" stopIfTrue="1" operator="equal">
      <formula>"Napkin Hs"</formula>
    </cfRule>
    <cfRule type="cellIs" dxfId="3253" priority="6075" stopIfTrue="1" operator="equal">
      <formula>"Towel"</formula>
    </cfRule>
    <cfRule type="cellIs" dxfId="3252" priority="6076" stopIfTrue="1" operator="equal">
      <formula>"Napkin Hs"</formula>
    </cfRule>
    <cfRule type="cellIs" dxfId="3251" priority="6077" stopIfTrue="1" operator="equal">
      <formula>"Towel"</formula>
    </cfRule>
    <cfRule type="cellIs" dxfId="3250" priority="6078" stopIfTrue="1" operator="equal">
      <formula>"Napkin Hs"</formula>
    </cfRule>
    <cfRule type="cellIs" dxfId="3249" priority="6079" stopIfTrue="1" operator="equal">
      <formula>"Towel"</formula>
    </cfRule>
    <cfRule type="cellIs" dxfId="3248" priority="6080" stopIfTrue="1" operator="equal">
      <formula>"Napkin Hs"</formula>
    </cfRule>
    <cfRule type="cellIs" dxfId="3247" priority="6081" stopIfTrue="1" operator="equal">
      <formula>"Towel"</formula>
    </cfRule>
    <cfRule type="cellIs" dxfId="3246" priority="6082" stopIfTrue="1" operator="equal">
      <formula>"Napkin Hs"</formula>
    </cfRule>
    <cfRule type="cellIs" dxfId="3245" priority="6085" stopIfTrue="1" operator="equal">
      <formula>"Towel"</formula>
    </cfRule>
    <cfRule type="cellIs" dxfId="3244" priority="6086" stopIfTrue="1" operator="equal">
      <formula>"Napkin Hs"</formula>
    </cfRule>
    <cfRule type="cellIs" dxfId="3243" priority="6087" stopIfTrue="1" operator="equal">
      <formula>"Towel"</formula>
    </cfRule>
    <cfRule type="cellIs" dxfId="3242" priority="6088" stopIfTrue="1" operator="equal">
      <formula>"Napkin Hs"</formula>
    </cfRule>
    <cfRule type="cellIs" dxfId="3241" priority="6091" stopIfTrue="1" operator="equal">
      <formula>"Towel"</formula>
    </cfRule>
    <cfRule type="cellIs" dxfId="3240" priority="6092" stopIfTrue="1" operator="equal">
      <formula>"Napkin Hs"</formula>
    </cfRule>
    <cfRule type="cellIs" dxfId="3239" priority="6093" stopIfTrue="1" operator="equal">
      <formula>"Towel"</formula>
    </cfRule>
    <cfRule type="cellIs" dxfId="3238" priority="6094" stopIfTrue="1" operator="equal">
      <formula>"Napkin Hs"</formula>
    </cfRule>
    <cfRule type="cellIs" dxfId="3237" priority="6099" stopIfTrue="1" operator="equal">
      <formula>"Towel"</formula>
    </cfRule>
    <cfRule type="cellIs" dxfId="3236" priority="6100" stopIfTrue="1" operator="equal">
      <formula>"Napkin Hs"</formula>
    </cfRule>
    <cfRule type="cellIs" dxfId="3235" priority="6101" stopIfTrue="1" operator="equal">
      <formula>"Towel"</formula>
    </cfRule>
    <cfRule type="cellIs" dxfId="3234" priority="6102" stopIfTrue="1" operator="equal">
      <formula>"Napkin Hs"</formula>
    </cfRule>
    <cfRule type="cellIs" dxfId="3233" priority="6105" stopIfTrue="1" operator="equal">
      <formula>"Towel"</formula>
    </cfRule>
    <cfRule type="cellIs" dxfId="3232" priority="6106" stopIfTrue="1" operator="equal">
      <formula>"Napkin Hs"</formula>
    </cfRule>
    <cfRule type="cellIs" dxfId="3231" priority="6107" stopIfTrue="1" operator="equal">
      <formula>"Towel"</formula>
    </cfRule>
    <cfRule type="cellIs" dxfId="3230" priority="6108" stopIfTrue="1" operator="equal">
      <formula>"Napkin Hs"</formula>
    </cfRule>
    <cfRule type="cellIs" dxfId="3229" priority="6109" stopIfTrue="1" operator="equal">
      <formula>"Towel"</formula>
    </cfRule>
    <cfRule type="cellIs" dxfId="3228" priority="6110" stopIfTrue="1" operator="equal">
      <formula>"Napkin Hs"</formula>
    </cfRule>
    <cfRule type="cellIs" dxfId="3227" priority="6111" stopIfTrue="1" operator="equal">
      <formula>"Towel"</formula>
    </cfRule>
    <cfRule type="cellIs" dxfId="3226" priority="6112" stopIfTrue="1" operator="equal">
      <formula>"Napkin Hs"</formula>
    </cfRule>
    <cfRule type="cellIs" dxfId="3225" priority="6115" stopIfTrue="1" operator="equal">
      <formula>"Towel"</formula>
    </cfRule>
    <cfRule type="cellIs" dxfId="3224" priority="6116" stopIfTrue="1" operator="equal">
      <formula>"Napkin Hs"</formula>
    </cfRule>
    <cfRule type="cellIs" dxfId="3223" priority="6117" stopIfTrue="1" operator="equal">
      <formula>"Towel"</formula>
    </cfRule>
    <cfRule type="cellIs" dxfId="3222" priority="6118" stopIfTrue="1" operator="equal">
      <formula>"Napkin Hs"</formula>
    </cfRule>
    <cfRule type="cellIs" dxfId="3221" priority="6123" stopIfTrue="1" operator="equal">
      <formula>"Towel"</formula>
    </cfRule>
    <cfRule type="cellIs" dxfId="3220" priority="6124" stopIfTrue="1" operator="equal">
      <formula>"Napkin Hs"</formula>
    </cfRule>
    <cfRule type="cellIs" dxfId="3219" priority="6125" stopIfTrue="1" operator="equal">
      <formula>"Towel"</formula>
    </cfRule>
    <cfRule type="cellIs" dxfId="3218" priority="6126" stopIfTrue="1" operator="equal">
      <formula>"Napkin Hs"</formula>
    </cfRule>
    <cfRule type="cellIs" dxfId="3217" priority="6129" stopIfTrue="1" operator="equal">
      <formula>"Towel"</formula>
    </cfRule>
    <cfRule type="cellIs" dxfId="3216" priority="6130" stopIfTrue="1" operator="equal">
      <formula>"Napkin Hs"</formula>
    </cfRule>
    <cfRule type="cellIs" dxfId="3215" priority="6131" stopIfTrue="1" operator="equal">
      <formula>"Towel"</formula>
    </cfRule>
    <cfRule type="cellIs" dxfId="3214" priority="6132" stopIfTrue="1" operator="equal">
      <formula>"Napkin Hs"</formula>
    </cfRule>
    <cfRule type="cellIs" dxfId="3213" priority="6133" stopIfTrue="1" operator="equal">
      <formula>"Towel"</formula>
    </cfRule>
    <cfRule type="cellIs" dxfId="3212" priority="6134" stopIfTrue="1" operator="equal">
      <formula>"Napkin Hs"</formula>
    </cfRule>
    <cfRule type="cellIs" dxfId="3211" priority="6135" stopIfTrue="1" operator="equal">
      <formula>"Towel"</formula>
    </cfRule>
    <cfRule type="cellIs" dxfId="3210" priority="6136" stopIfTrue="1" operator="equal">
      <formula>"Napkin Hs"</formula>
    </cfRule>
    <cfRule type="cellIs" dxfId="3209" priority="6141" stopIfTrue="1" operator="equal">
      <formula>"Towel"</formula>
    </cfRule>
    <cfRule type="cellIs" dxfId="3208" priority="6142" stopIfTrue="1" operator="equal">
      <formula>"Napkin Hs"</formula>
    </cfRule>
    <cfRule type="cellIs" dxfId="3207" priority="6143" stopIfTrue="1" operator="equal">
      <formula>"Towel"</formula>
    </cfRule>
    <cfRule type="cellIs" dxfId="3206" priority="6144" stopIfTrue="1" operator="equal">
      <formula>"Napkin Hs"</formula>
    </cfRule>
    <cfRule type="cellIs" dxfId="3205" priority="6147" stopIfTrue="1" operator="equal">
      <formula>"Towel"</formula>
    </cfRule>
    <cfRule type="cellIs" dxfId="3204" priority="6148" stopIfTrue="1" operator="equal">
      <formula>"Napkin Hs"</formula>
    </cfRule>
    <cfRule type="cellIs" dxfId="3203" priority="6149" stopIfTrue="1" operator="equal">
      <formula>"Towel"</formula>
    </cfRule>
    <cfRule type="cellIs" dxfId="3202" priority="6150" stopIfTrue="1" operator="equal">
      <formula>"Napkin Hs"</formula>
    </cfRule>
    <cfRule type="cellIs" dxfId="3201" priority="6151" stopIfTrue="1" operator="equal">
      <formula>"Towel"</formula>
    </cfRule>
    <cfRule type="cellIs" dxfId="3200" priority="6152" stopIfTrue="1" operator="equal">
      <formula>"Napkin Hs"</formula>
    </cfRule>
    <cfRule type="cellIs" dxfId="3199" priority="6153" stopIfTrue="1" operator="equal">
      <formula>"Towel"</formula>
    </cfRule>
    <cfRule type="cellIs" dxfId="3198" priority="6154" stopIfTrue="1" operator="equal">
      <formula>"Napkin Hs"</formula>
    </cfRule>
    <cfRule type="cellIs" dxfId="3197" priority="6159" stopIfTrue="1" operator="equal">
      <formula>"Towel"</formula>
    </cfRule>
    <cfRule type="cellIs" dxfId="3196" priority="6160" stopIfTrue="1" operator="equal">
      <formula>"Napkin Hs"</formula>
    </cfRule>
    <cfRule type="cellIs" dxfId="3195" priority="6161" stopIfTrue="1" operator="equal">
      <formula>"Towel"</formula>
    </cfRule>
    <cfRule type="cellIs" dxfId="3194" priority="6162" stopIfTrue="1" operator="equal">
      <formula>"Napkin Hs"</formula>
    </cfRule>
    <cfRule type="cellIs" dxfId="3193" priority="6165" stopIfTrue="1" operator="equal">
      <formula>"Towel"</formula>
    </cfRule>
    <cfRule type="cellIs" dxfId="3192" priority="6166" stopIfTrue="1" operator="equal">
      <formula>"Napkin Hs"</formula>
    </cfRule>
    <cfRule type="cellIs" dxfId="3191" priority="6167" stopIfTrue="1" operator="equal">
      <formula>"Towel"</formula>
    </cfRule>
    <cfRule type="cellIs" dxfId="3190" priority="6168" stopIfTrue="1" operator="equal">
      <formula>"Napkin Hs"</formula>
    </cfRule>
  </conditionalFormatting>
  <conditionalFormatting sqref="C129">
    <cfRule type="cellIs" dxfId="3189" priority="6071" stopIfTrue="1" operator="equal">
      <formula>"Napkin Hs"</formula>
    </cfRule>
  </conditionalFormatting>
  <conditionalFormatting sqref="C129">
    <cfRule type="cellIs" dxfId="3188" priority="6070" stopIfTrue="1" operator="equal">
      <formula>"Napkin Hs"</formula>
    </cfRule>
  </conditionalFormatting>
  <conditionalFormatting sqref="B129">
    <cfRule type="cellIs" dxfId="3187" priority="6069" stopIfTrue="1" operator="equal">
      <formula>"Napkin Hs"</formula>
    </cfRule>
  </conditionalFormatting>
  <conditionalFormatting sqref="C129">
    <cfRule type="cellIs" dxfId="3186" priority="6068" stopIfTrue="1" operator="equal">
      <formula>"Napkin Hs"</formula>
    </cfRule>
  </conditionalFormatting>
  <conditionalFormatting sqref="C129">
    <cfRule type="cellIs" dxfId="3185" priority="6067" stopIfTrue="1" operator="equal">
      <formula>"Napkin Hs"</formula>
    </cfRule>
  </conditionalFormatting>
  <conditionalFormatting sqref="C129">
    <cfRule type="cellIs" dxfId="3184" priority="6066" stopIfTrue="1" operator="equal">
      <formula>"Napkin Hs"</formula>
    </cfRule>
  </conditionalFormatting>
  <conditionalFormatting sqref="C129">
    <cfRule type="cellIs" dxfId="3183" priority="6065" stopIfTrue="1" operator="equal">
      <formula>"Napkin Hs"</formula>
    </cfRule>
  </conditionalFormatting>
  <conditionalFormatting sqref="B129">
    <cfRule type="cellIs" dxfId="3182" priority="6064" stopIfTrue="1" operator="equal">
      <formula>"Napkin Hs"</formula>
    </cfRule>
  </conditionalFormatting>
  <conditionalFormatting sqref="B129">
    <cfRule type="cellIs" dxfId="3181" priority="6063" stopIfTrue="1" operator="equal">
      <formula>"Napkin Hs"</formula>
    </cfRule>
  </conditionalFormatting>
  <conditionalFormatting sqref="C129">
    <cfRule type="cellIs" dxfId="3180" priority="6059" stopIfTrue="1" operator="equal">
      <formula>"Towel"</formula>
    </cfRule>
    <cfRule type="cellIs" dxfId="3179" priority="6060" stopIfTrue="1" operator="equal">
      <formula>"Napkin Hs"</formula>
    </cfRule>
  </conditionalFormatting>
  <conditionalFormatting sqref="C129">
    <cfRule type="cellIs" dxfId="3178" priority="6061" stopIfTrue="1" operator="equal">
      <formula>"Towel"</formula>
    </cfRule>
    <cfRule type="cellIs" dxfId="3177" priority="6062" stopIfTrue="1" operator="equal">
      <formula>"Napkin Hs"</formula>
    </cfRule>
  </conditionalFormatting>
  <conditionalFormatting sqref="C129">
    <cfRule type="cellIs" dxfId="3176" priority="6055" stopIfTrue="1" operator="equal">
      <formula>"Towel"</formula>
    </cfRule>
    <cfRule type="cellIs" dxfId="3175" priority="6056" stopIfTrue="1" operator="equal">
      <formula>"Napkin Hs"</formula>
    </cfRule>
  </conditionalFormatting>
  <conditionalFormatting sqref="C129">
    <cfRule type="cellIs" dxfId="3174" priority="6057" stopIfTrue="1" operator="equal">
      <formula>"Towel"</formula>
    </cfRule>
    <cfRule type="cellIs" dxfId="3173" priority="6058" stopIfTrue="1" operator="equal">
      <formula>"Napkin Hs"</formula>
    </cfRule>
  </conditionalFormatting>
  <conditionalFormatting sqref="C127">
    <cfRule type="cellIs" dxfId="3172" priority="6053" stopIfTrue="1" operator="equal">
      <formula>"Towel"</formula>
    </cfRule>
    <cfRule type="cellIs" dxfId="3171" priority="6054" stopIfTrue="1" operator="equal">
      <formula>"Napkin Hs"</formula>
    </cfRule>
  </conditionalFormatting>
  <conditionalFormatting sqref="C127">
    <cfRule type="cellIs" dxfId="3170" priority="6049" stopIfTrue="1" operator="equal">
      <formula>"Towel"</formula>
    </cfRule>
    <cfRule type="cellIs" dxfId="3169" priority="6050" stopIfTrue="1" operator="equal">
      <formula>"Napkin Hs"</formula>
    </cfRule>
  </conditionalFormatting>
  <conditionalFormatting sqref="C127">
    <cfRule type="cellIs" dxfId="3168" priority="6051" stopIfTrue="1" operator="equal">
      <formula>"Towel"</formula>
    </cfRule>
    <cfRule type="cellIs" dxfId="3167" priority="6052" stopIfTrue="1" operator="equal">
      <formula>"Napkin Hs"</formula>
    </cfRule>
  </conditionalFormatting>
  <conditionalFormatting sqref="C127">
    <cfRule type="cellIs" dxfId="3166" priority="6045" stopIfTrue="1" operator="equal">
      <formula>"Towel"</formula>
    </cfRule>
    <cfRule type="cellIs" dxfId="3165" priority="6046" stopIfTrue="1" operator="equal">
      <formula>"Napkin Hs"</formula>
    </cfRule>
  </conditionalFormatting>
  <conditionalFormatting sqref="C127">
    <cfRule type="cellIs" dxfId="3164" priority="6047" stopIfTrue="1" operator="equal">
      <formula>"Towel"</formula>
    </cfRule>
    <cfRule type="cellIs" dxfId="3163" priority="6048" stopIfTrue="1" operator="equal">
      <formula>"Napkin Hs"</formula>
    </cfRule>
  </conditionalFormatting>
  <conditionalFormatting sqref="C127">
    <cfRule type="cellIs" dxfId="3162" priority="6043" stopIfTrue="1" operator="equal">
      <formula>"Towel"</formula>
    </cfRule>
    <cfRule type="cellIs" dxfId="3161" priority="6044" stopIfTrue="1" operator="equal">
      <formula>"Napkin Hs"</formula>
    </cfRule>
  </conditionalFormatting>
  <conditionalFormatting sqref="C127">
    <cfRule type="cellIs" dxfId="3160" priority="6037" stopIfTrue="1" operator="equal">
      <formula>"Towel"</formula>
    </cfRule>
    <cfRule type="cellIs" dxfId="3159" priority="6038" stopIfTrue="1" operator="equal">
      <formula>"Napkin Hs"</formula>
    </cfRule>
  </conditionalFormatting>
  <conditionalFormatting sqref="C127">
    <cfRule type="cellIs" dxfId="3158" priority="6041" stopIfTrue="1" operator="equal">
      <formula>"Towel"</formula>
    </cfRule>
    <cfRule type="cellIs" dxfId="3157" priority="6042" stopIfTrue="1" operator="equal">
      <formula>"Napkin Hs"</formula>
    </cfRule>
  </conditionalFormatting>
  <conditionalFormatting sqref="C127">
    <cfRule type="cellIs" dxfId="3156" priority="6039" stopIfTrue="1" operator="equal">
      <formula>"Towel"</formula>
    </cfRule>
    <cfRule type="cellIs" dxfId="3155" priority="6040" stopIfTrue="1" operator="equal">
      <formula>"Napkin Hs"</formula>
    </cfRule>
  </conditionalFormatting>
  <conditionalFormatting sqref="C127">
    <cfRule type="cellIs" dxfId="3154" priority="6031" stopIfTrue="1" operator="equal">
      <formula>"Towel"</formula>
    </cfRule>
    <cfRule type="cellIs" dxfId="3153" priority="6032" stopIfTrue="1" operator="equal">
      <formula>"Napkin Hs"</formula>
    </cfRule>
  </conditionalFormatting>
  <conditionalFormatting sqref="C127">
    <cfRule type="cellIs" dxfId="3152" priority="6033" stopIfTrue="1" operator="equal">
      <formula>"Towel"</formula>
    </cfRule>
    <cfRule type="cellIs" dxfId="3151" priority="6034" stopIfTrue="1" operator="equal">
      <formula>"Napkin Hs"</formula>
    </cfRule>
  </conditionalFormatting>
  <conditionalFormatting sqref="C127">
    <cfRule type="cellIs" dxfId="3150" priority="6035" stopIfTrue="1" operator="equal">
      <formula>"Towel"</formula>
    </cfRule>
    <cfRule type="cellIs" dxfId="3149" priority="6036" stopIfTrue="1" operator="equal">
      <formula>"Napkin Hs"</formula>
    </cfRule>
  </conditionalFormatting>
  <conditionalFormatting sqref="C127">
    <cfRule type="cellIs" dxfId="3148" priority="6029" stopIfTrue="1" operator="equal">
      <formula>"Towel"</formula>
    </cfRule>
    <cfRule type="cellIs" dxfId="3147" priority="6030" stopIfTrue="1" operator="equal">
      <formula>"Napkin Hs"</formula>
    </cfRule>
  </conditionalFormatting>
  <conditionalFormatting sqref="C127">
    <cfRule type="cellIs" dxfId="3146" priority="6027" stopIfTrue="1" operator="equal">
      <formula>"Towel"</formula>
    </cfRule>
    <cfRule type="cellIs" dxfId="3145" priority="6028" stopIfTrue="1" operator="equal">
      <formula>"Napkin Hs"</formula>
    </cfRule>
  </conditionalFormatting>
  <conditionalFormatting sqref="C127">
    <cfRule type="cellIs" dxfId="3144" priority="6003" stopIfTrue="1" operator="equal">
      <formula>"Towel"</formula>
    </cfRule>
  </conditionalFormatting>
  <conditionalFormatting sqref="C127">
    <cfRule type="cellIs" dxfId="3143" priority="6004" stopIfTrue="1" operator="equal">
      <formula>"Napkin Hs"</formula>
    </cfRule>
    <cfRule type="cellIs" dxfId="3142" priority="6009" stopIfTrue="1" operator="equal">
      <formula>"Towel"</formula>
    </cfRule>
    <cfRule type="cellIs" dxfId="3141" priority="6010" stopIfTrue="1" operator="equal">
      <formula>"Napkin Hs"</formula>
    </cfRule>
    <cfRule type="cellIs" dxfId="3140" priority="6019" stopIfTrue="1" operator="equal">
      <formula>"Towel"</formula>
    </cfRule>
    <cfRule type="cellIs" dxfId="3139" priority="6020" stopIfTrue="1" operator="equal">
      <formula>"Napkin Hs"</formula>
    </cfRule>
    <cfRule type="cellIs" dxfId="3138" priority="6025" stopIfTrue="1" operator="equal">
      <formula>"Towel"</formula>
    </cfRule>
    <cfRule type="cellIs" dxfId="3137" priority="6026" stopIfTrue="1" operator="equal">
      <formula>"Napkin Hs"</formula>
    </cfRule>
  </conditionalFormatting>
  <conditionalFormatting sqref="C127">
    <cfRule type="cellIs" dxfId="3136" priority="6005" stopIfTrue="1" operator="equal">
      <formula>"Towel"</formula>
    </cfRule>
    <cfRule type="cellIs" dxfId="3135" priority="6006" stopIfTrue="1" operator="equal">
      <formula>"Napkin Hs"</formula>
    </cfRule>
    <cfRule type="cellIs" dxfId="3134" priority="6007" stopIfTrue="1" operator="equal">
      <formula>"Towel"</formula>
    </cfRule>
    <cfRule type="cellIs" dxfId="3133" priority="6008" stopIfTrue="1" operator="equal">
      <formula>"Napkin Hs"</formula>
    </cfRule>
    <cfRule type="cellIs" dxfId="3132" priority="6011" stopIfTrue="1" operator="equal">
      <formula>"Towel"</formula>
    </cfRule>
    <cfRule type="cellIs" dxfId="3131" priority="6012" stopIfTrue="1" operator="equal">
      <formula>"Napkin Hs"</formula>
    </cfRule>
    <cfRule type="cellIs" dxfId="3130" priority="6013" stopIfTrue="1" operator="equal">
      <formula>"Towel"</formula>
    </cfRule>
    <cfRule type="cellIs" dxfId="3129" priority="6014" stopIfTrue="1" operator="equal">
      <formula>"Napkin Hs"</formula>
    </cfRule>
    <cfRule type="cellIs" dxfId="3128" priority="6015" stopIfTrue="1" operator="equal">
      <formula>"Towel"</formula>
    </cfRule>
    <cfRule type="cellIs" dxfId="3127" priority="6016" stopIfTrue="1" operator="equal">
      <formula>"Napkin Hs"</formula>
    </cfRule>
    <cfRule type="cellIs" dxfId="3126" priority="6017" stopIfTrue="1" operator="equal">
      <formula>"Towel"</formula>
    </cfRule>
    <cfRule type="cellIs" dxfId="3125" priority="6018" stopIfTrue="1" operator="equal">
      <formula>"Napkin Hs"</formula>
    </cfRule>
    <cfRule type="cellIs" dxfId="3124" priority="6021" stopIfTrue="1" operator="equal">
      <formula>"Towel"</formula>
    </cfRule>
    <cfRule type="cellIs" dxfId="3123" priority="6022" stopIfTrue="1" operator="equal">
      <formula>"Napkin Hs"</formula>
    </cfRule>
    <cfRule type="cellIs" dxfId="3122" priority="6024" stopIfTrue="1" operator="equal">
      <formula>"Napkin Hs"</formula>
    </cfRule>
  </conditionalFormatting>
  <conditionalFormatting sqref="C127">
    <cfRule type="cellIs" dxfId="3121" priority="6023" stopIfTrue="1" operator="equal">
      <formula>"Towel"</formula>
    </cfRule>
  </conditionalFormatting>
  <conditionalFormatting sqref="C127">
    <cfRule type="cellIs" dxfId="3120" priority="6001" stopIfTrue="1" operator="equal">
      <formula>"Towel"</formula>
    </cfRule>
    <cfRule type="cellIs" dxfId="3119" priority="6002" stopIfTrue="1" operator="equal">
      <formula>"Napkin Hs"</formula>
    </cfRule>
  </conditionalFormatting>
  <conditionalFormatting sqref="C127">
    <cfRule type="cellIs" dxfId="3118" priority="6000" stopIfTrue="1" operator="equal">
      <formula>"Napkin Hs"</formula>
    </cfRule>
  </conditionalFormatting>
  <conditionalFormatting sqref="C127">
    <cfRule type="cellIs" dxfId="3117" priority="5999" stopIfTrue="1" operator="equal">
      <formula>"Towel"</formula>
    </cfRule>
  </conditionalFormatting>
  <conditionalFormatting sqref="C127">
    <cfRule type="cellIs" dxfId="3116" priority="5997" stopIfTrue="1" operator="equal">
      <formula>"Towel"</formula>
    </cfRule>
  </conditionalFormatting>
  <conditionalFormatting sqref="C127">
    <cfRule type="cellIs" dxfId="3115" priority="5998" stopIfTrue="1" operator="equal">
      <formula>"Napkin Hs"</formula>
    </cfRule>
  </conditionalFormatting>
  <conditionalFormatting sqref="C127">
    <cfRule type="cellIs" dxfId="3114" priority="5901" stopIfTrue="1" operator="equal">
      <formula>"Towel"</formula>
    </cfRule>
  </conditionalFormatting>
  <conditionalFormatting sqref="C127">
    <cfRule type="cellIs" dxfId="3113" priority="5911" stopIfTrue="1" operator="equal">
      <formula>"Towel"</formula>
    </cfRule>
    <cfRule type="cellIs" dxfId="3112" priority="5912" stopIfTrue="1" operator="equal">
      <formula>"Napkin Hs"</formula>
    </cfRule>
    <cfRule type="cellIs" dxfId="3111" priority="5917" stopIfTrue="1" operator="equal">
      <formula>"Towel"</formula>
    </cfRule>
    <cfRule type="cellIs" dxfId="3110" priority="5918" stopIfTrue="1" operator="equal">
      <formula>"Napkin Hs"</formula>
    </cfRule>
    <cfRule type="cellIs" dxfId="3109" priority="5923" stopIfTrue="1" operator="equal">
      <formula>"Towel"</formula>
    </cfRule>
    <cfRule type="cellIs" dxfId="3108" priority="5924" stopIfTrue="1" operator="equal">
      <formula>"Napkin Hs"</formula>
    </cfRule>
    <cfRule type="cellIs" dxfId="3107" priority="5925" stopIfTrue="1" operator="equal">
      <formula>"Towel"</formula>
    </cfRule>
    <cfRule type="cellIs" dxfId="3106" priority="5926" stopIfTrue="1" operator="equal">
      <formula>"Napkin Hs"</formula>
    </cfRule>
    <cfRule type="cellIs" dxfId="3105" priority="5931" stopIfTrue="1" operator="equal">
      <formula>"Towel"</formula>
    </cfRule>
    <cfRule type="cellIs" dxfId="3104" priority="5932" stopIfTrue="1" operator="equal">
      <formula>"Napkin Hs"</formula>
    </cfRule>
    <cfRule type="cellIs" dxfId="3103" priority="5941" stopIfTrue="1" operator="equal">
      <formula>"Towel"</formula>
    </cfRule>
    <cfRule type="cellIs" dxfId="3102" priority="5942" stopIfTrue="1" operator="equal">
      <formula>"Napkin Hs"</formula>
    </cfRule>
    <cfRule type="cellIs" dxfId="3101" priority="5947" stopIfTrue="1" operator="equal">
      <formula>"Towel"</formula>
    </cfRule>
    <cfRule type="cellIs" dxfId="3100" priority="5948" stopIfTrue="1" operator="equal">
      <formula>"Napkin Hs"</formula>
    </cfRule>
    <cfRule type="cellIs" dxfId="3099" priority="5949" stopIfTrue="1" operator="equal">
      <formula>"Towel"</formula>
    </cfRule>
    <cfRule type="cellIs" dxfId="3098" priority="5950" stopIfTrue="1" operator="equal">
      <formula>"Napkin Hs"</formula>
    </cfRule>
    <cfRule type="cellIs" dxfId="3097" priority="5955" stopIfTrue="1" operator="equal">
      <formula>"Towel"</formula>
    </cfRule>
    <cfRule type="cellIs" dxfId="3096" priority="5956" stopIfTrue="1" operator="equal">
      <formula>"Napkin Hs"</formula>
    </cfRule>
    <cfRule type="cellIs" dxfId="3095" priority="5965" stopIfTrue="1" operator="equal">
      <formula>"Towel"</formula>
    </cfRule>
    <cfRule type="cellIs" dxfId="3094" priority="5966" stopIfTrue="1" operator="equal">
      <formula>"Napkin Hs"</formula>
    </cfRule>
    <cfRule type="cellIs" dxfId="3093" priority="5967" stopIfTrue="1" operator="equal">
      <formula>"Towel"</formula>
    </cfRule>
    <cfRule type="cellIs" dxfId="3092" priority="5968" stopIfTrue="1" operator="equal">
      <formula>"Napkin Hs"</formula>
    </cfRule>
    <cfRule type="cellIs" dxfId="3091" priority="5973" stopIfTrue="1" operator="equal">
      <formula>"Towel"</formula>
    </cfRule>
    <cfRule type="cellIs" dxfId="3090" priority="5974" stopIfTrue="1" operator="equal">
      <formula>"Napkin Hs"</formula>
    </cfRule>
    <cfRule type="cellIs" dxfId="3089" priority="5983" stopIfTrue="1" operator="equal">
      <formula>"Towel"</formula>
    </cfRule>
    <cfRule type="cellIs" dxfId="3088" priority="5984" stopIfTrue="1" operator="equal">
      <formula>"Napkin Hs"</formula>
    </cfRule>
    <cfRule type="cellIs" dxfId="3087" priority="5985" stopIfTrue="1" operator="equal">
      <formula>"Towel"</formula>
    </cfRule>
    <cfRule type="cellIs" dxfId="3086" priority="5986" stopIfTrue="1" operator="equal">
      <formula>"Napkin Hs"</formula>
    </cfRule>
    <cfRule type="cellIs" dxfId="3085" priority="5992" stopIfTrue="1" operator="equal">
      <formula>"Napkin Hs"</formula>
    </cfRule>
  </conditionalFormatting>
  <conditionalFormatting sqref="C127">
    <cfRule type="cellIs" dxfId="3084" priority="5991" stopIfTrue="1" operator="equal">
      <formula>"Towel"</formula>
    </cfRule>
  </conditionalFormatting>
  <conditionalFormatting sqref="C127">
    <cfRule type="cellIs" dxfId="3083" priority="5902" stopIfTrue="1" operator="equal">
      <formula>"Napkin Hs"</formula>
    </cfRule>
    <cfRule type="cellIs" dxfId="3082" priority="5903" stopIfTrue="1" operator="equal">
      <formula>"Towel"</formula>
    </cfRule>
    <cfRule type="cellIs" dxfId="3081" priority="5904" stopIfTrue="1" operator="equal">
      <formula>"Napkin Hs"</formula>
    </cfRule>
    <cfRule type="cellIs" dxfId="3080" priority="5905" stopIfTrue="1" operator="equal">
      <formula>"Towel"</formula>
    </cfRule>
    <cfRule type="cellIs" dxfId="3079" priority="5906" stopIfTrue="1" operator="equal">
      <formula>"Napkin Hs"</formula>
    </cfRule>
    <cfRule type="cellIs" dxfId="3078" priority="5907" stopIfTrue="1" operator="equal">
      <formula>"Towel"</formula>
    </cfRule>
    <cfRule type="cellIs" dxfId="3077" priority="5908" stopIfTrue="1" operator="equal">
      <formula>"Napkin Hs"</formula>
    </cfRule>
    <cfRule type="cellIs" dxfId="3076" priority="5909" stopIfTrue="1" operator="equal">
      <formula>"Towel"</formula>
    </cfRule>
    <cfRule type="cellIs" dxfId="3075" priority="5910" stopIfTrue="1" operator="equal">
      <formula>"Napkin Hs"</formula>
    </cfRule>
    <cfRule type="cellIs" dxfId="3074" priority="5913" stopIfTrue="1" operator="equal">
      <formula>"Towel"</formula>
    </cfRule>
    <cfRule type="cellIs" dxfId="3073" priority="5914" stopIfTrue="1" operator="equal">
      <formula>"Napkin Hs"</formula>
    </cfRule>
    <cfRule type="cellIs" dxfId="3072" priority="5915" stopIfTrue="1" operator="equal">
      <formula>"Towel"</formula>
    </cfRule>
    <cfRule type="cellIs" dxfId="3071" priority="5916" stopIfTrue="1" operator="equal">
      <formula>"Napkin Hs"</formula>
    </cfRule>
    <cfRule type="cellIs" dxfId="3070" priority="5919" stopIfTrue="1" operator="equal">
      <formula>"Towel"</formula>
    </cfRule>
    <cfRule type="cellIs" dxfId="3069" priority="5920" stopIfTrue="1" operator="equal">
      <formula>"Napkin Hs"</formula>
    </cfRule>
    <cfRule type="cellIs" dxfId="3068" priority="5921" stopIfTrue="1" operator="equal">
      <formula>"Towel"</formula>
    </cfRule>
    <cfRule type="cellIs" dxfId="3067" priority="5922" stopIfTrue="1" operator="equal">
      <formula>"Napkin Hs"</formula>
    </cfRule>
    <cfRule type="cellIs" dxfId="3066" priority="5927" stopIfTrue="1" operator="equal">
      <formula>"Towel"</formula>
    </cfRule>
    <cfRule type="cellIs" dxfId="3065" priority="5928" stopIfTrue="1" operator="equal">
      <formula>"Napkin Hs"</formula>
    </cfRule>
    <cfRule type="cellIs" dxfId="3064" priority="5929" stopIfTrue="1" operator="equal">
      <formula>"Towel"</formula>
    </cfRule>
    <cfRule type="cellIs" dxfId="3063" priority="5930" stopIfTrue="1" operator="equal">
      <formula>"Napkin Hs"</formula>
    </cfRule>
    <cfRule type="cellIs" dxfId="3062" priority="5933" stopIfTrue="1" operator="equal">
      <formula>"Towel"</formula>
    </cfRule>
    <cfRule type="cellIs" dxfId="3061" priority="5934" stopIfTrue="1" operator="equal">
      <formula>"Napkin Hs"</formula>
    </cfRule>
    <cfRule type="cellIs" dxfId="3060" priority="5935" stopIfTrue="1" operator="equal">
      <formula>"Towel"</formula>
    </cfRule>
    <cfRule type="cellIs" dxfId="3059" priority="5936" stopIfTrue="1" operator="equal">
      <formula>"Napkin Hs"</formula>
    </cfRule>
    <cfRule type="cellIs" dxfId="3058" priority="5937" stopIfTrue="1" operator="equal">
      <formula>"Towel"</formula>
    </cfRule>
    <cfRule type="cellIs" dxfId="3057" priority="5938" stopIfTrue="1" operator="equal">
      <formula>"Napkin Hs"</formula>
    </cfRule>
    <cfRule type="cellIs" dxfId="3056" priority="5939" stopIfTrue="1" operator="equal">
      <formula>"Towel"</formula>
    </cfRule>
    <cfRule type="cellIs" dxfId="3055" priority="5940" stopIfTrue="1" operator="equal">
      <formula>"Napkin Hs"</formula>
    </cfRule>
    <cfRule type="cellIs" dxfId="3054" priority="5943" stopIfTrue="1" operator="equal">
      <formula>"Towel"</formula>
    </cfRule>
    <cfRule type="cellIs" dxfId="3053" priority="5944" stopIfTrue="1" operator="equal">
      <formula>"Napkin Hs"</formula>
    </cfRule>
    <cfRule type="cellIs" dxfId="3052" priority="5945" stopIfTrue="1" operator="equal">
      <formula>"Towel"</formula>
    </cfRule>
    <cfRule type="cellIs" dxfId="3051" priority="5946" stopIfTrue="1" operator="equal">
      <formula>"Napkin Hs"</formula>
    </cfRule>
    <cfRule type="cellIs" dxfId="3050" priority="5951" stopIfTrue="1" operator="equal">
      <formula>"Towel"</formula>
    </cfRule>
    <cfRule type="cellIs" dxfId="3049" priority="5952" stopIfTrue="1" operator="equal">
      <formula>"Napkin Hs"</formula>
    </cfRule>
    <cfRule type="cellIs" dxfId="3048" priority="5953" stopIfTrue="1" operator="equal">
      <formula>"Towel"</formula>
    </cfRule>
    <cfRule type="cellIs" dxfId="3047" priority="5954" stopIfTrue="1" operator="equal">
      <formula>"Napkin Hs"</formula>
    </cfRule>
    <cfRule type="cellIs" dxfId="3046" priority="5957" stopIfTrue="1" operator="equal">
      <formula>"Towel"</formula>
    </cfRule>
    <cfRule type="cellIs" dxfId="3045" priority="5958" stopIfTrue="1" operator="equal">
      <formula>"Napkin Hs"</formula>
    </cfRule>
    <cfRule type="cellIs" dxfId="3044" priority="5959" stopIfTrue="1" operator="equal">
      <formula>"Towel"</formula>
    </cfRule>
    <cfRule type="cellIs" dxfId="3043" priority="5960" stopIfTrue="1" operator="equal">
      <formula>"Napkin Hs"</formula>
    </cfRule>
    <cfRule type="cellIs" dxfId="3042" priority="5961" stopIfTrue="1" operator="equal">
      <formula>"Towel"</formula>
    </cfRule>
    <cfRule type="cellIs" dxfId="3041" priority="5962" stopIfTrue="1" operator="equal">
      <formula>"Napkin Hs"</formula>
    </cfRule>
    <cfRule type="cellIs" dxfId="3040" priority="5963" stopIfTrue="1" operator="equal">
      <formula>"Towel"</formula>
    </cfRule>
    <cfRule type="cellIs" dxfId="3039" priority="5964" stopIfTrue="1" operator="equal">
      <formula>"Napkin Hs"</formula>
    </cfRule>
    <cfRule type="cellIs" dxfId="3038" priority="5969" stopIfTrue="1" operator="equal">
      <formula>"Towel"</formula>
    </cfRule>
    <cfRule type="cellIs" dxfId="3037" priority="5970" stopIfTrue="1" operator="equal">
      <formula>"Napkin Hs"</formula>
    </cfRule>
    <cfRule type="cellIs" dxfId="3036" priority="5971" stopIfTrue="1" operator="equal">
      <formula>"Towel"</formula>
    </cfRule>
    <cfRule type="cellIs" dxfId="3035" priority="5972" stopIfTrue="1" operator="equal">
      <formula>"Napkin Hs"</formula>
    </cfRule>
    <cfRule type="cellIs" dxfId="3034" priority="5975" stopIfTrue="1" operator="equal">
      <formula>"Towel"</formula>
    </cfRule>
    <cfRule type="cellIs" dxfId="3033" priority="5976" stopIfTrue="1" operator="equal">
      <formula>"Napkin Hs"</formula>
    </cfRule>
    <cfRule type="cellIs" dxfId="3032" priority="5977" stopIfTrue="1" operator="equal">
      <formula>"Towel"</formula>
    </cfRule>
    <cfRule type="cellIs" dxfId="3031" priority="5978" stopIfTrue="1" operator="equal">
      <formula>"Napkin Hs"</formula>
    </cfRule>
    <cfRule type="cellIs" dxfId="3030" priority="5979" stopIfTrue="1" operator="equal">
      <formula>"Towel"</formula>
    </cfRule>
    <cfRule type="cellIs" dxfId="3029" priority="5980" stopIfTrue="1" operator="equal">
      <formula>"Napkin Hs"</formula>
    </cfRule>
    <cfRule type="cellIs" dxfId="3028" priority="5981" stopIfTrue="1" operator="equal">
      <formula>"Towel"</formula>
    </cfRule>
    <cfRule type="cellIs" dxfId="3027" priority="5982" stopIfTrue="1" operator="equal">
      <formula>"Napkin Hs"</formula>
    </cfRule>
    <cfRule type="cellIs" dxfId="3026" priority="5987" stopIfTrue="1" operator="equal">
      <formula>"Towel"</formula>
    </cfRule>
    <cfRule type="cellIs" dxfId="3025" priority="5988" stopIfTrue="1" operator="equal">
      <formula>"Napkin Hs"</formula>
    </cfRule>
    <cfRule type="cellIs" dxfId="3024" priority="5989" stopIfTrue="1" operator="equal">
      <formula>"Towel"</formula>
    </cfRule>
    <cfRule type="cellIs" dxfId="3023" priority="5990" stopIfTrue="1" operator="equal">
      <formula>"Napkin Hs"</formula>
    </cfRule>
    <cfRule type="cellIs" dxfId="3022" priority="5993" stopIfTrue="1" operator="equal">
      <formula>"Towel"</formula>
    </cfRule>
    <cfRule type="cellIs" dxfId="3021" priority="5994" stopIfTrue="1" operator="equal">
      <formula>"Napkin Hs"</formula>
    </cfRule>
    <cfRule type="cellIs" dxfId="3020" priority="5995" stopIfTrue="1" operator="equal">
      <formula>"Towel"</formula>
    </cfRule>
    <cfRule type="cellIs" dxfId="3019" priority="5996" stopIfTrue="1" operator="equal">
      <formula>"Napkin Hs"</formula>
    </cfRule>
  </conditionalFormatting>
  <conditionalFormatting sqref="C127">
    <cfRule type="cellIs" dxfId="3018" priority="5900" stopIfTrue="1" operator="equal">
      <formula>"Napkin Hs"</formula>
    </cfRule>
  </conditionalFormatting>
  <conditionalFormatting sqref="C127">
    <cfRule type="cellIs" dxfId="3017" priority="5899" stopIfTrue="1" operator="equal">
      <formula>"Napkin Hs"</formula>
    </cfRule>
  </conditionalFormatting>
  <conditionalFormatting sqref="C127">
    <cfRule type="cellIs" dxfId="3016" priority="5898" stopIfTrue="1" operator="equal">
      <formula>"Napkin Hs"</formula>
    </cfRule>
  </conditionalFormatting>
  <conditionalFormatting sqref="C127">
    <cfRule type="cellIs" dxfId="3015" priority="5897" stopIfTrue="1" operator="equal">
      <formula>"Napkin Hs"</formula>
    </cfRule>
  </conditionalFormatting>
  <conditionalFormatting sqref="C127">
    <cfRule type="cellIs" dxfId="3014" priority="5896" stopIfTrue="1" operator="equal">
      <formula>"Napkin Hs"</formula>
    </cfRule>
  </conditionalFormatting>
  <conditionalFormatting sqref="C127">
    <cfRule type="cellIs" dxfId="3013" priority="5895" stopIfTrue="1" operator="equal">
      <formula>"Napkin Hs"</formula>
    </cfRule>
  </conditionalFormatting>
  <conditionalFormatting sqref="C127">
    <cfRule type="cellIs" dxfId="3012" priority="5891" stopIfTrue="1" operator="equal">
      <formula>"Towel"</formula>
    </cfRule>
    <cfRule type="cellIs" dxfId="3011" priority="5892" stopIfTrue="1" operator="equal">
      <formula>"Napkin Hs"</formula>
    </cfRule>
  </conditionalFormatting>
  <conditionalFormatting sqref="C127">
    <cfRule type="cellIs" dxfId="3010" priority="5893" stopIfTrue="1" operator="equal">
      <formula>"Towel"</formula>
    </cfRule>
    <cfRule type="cellIs" dxfId="3009" priority="5894" stopIfTrue="1" operator="equal">
      <formula>"Napkin Hs"</formula>
    </cfRule>
  </conditionalFormatting>
  <conditionalFormatting sqref="C127">
    <cfRule type="cellIs" dxfId="3008" priority="5887" stopIfTrue="1" operator="equal">
      <formula>"Towel"</formula>
    </cfRule>
    <cfRule type="cellIs" dxfId="3007" priority="5888" stopIfTrue="1" operator="equal">
      <formula>"Napkin Hs"</formula>
    </cfRule>
  </conditionalFormatting>
  <conditionalFormatting sqref="C127">
    <cfRule type="cellIs" dxfId="3006" priority="5889" stopIfTrue="1" operator="equal">
      <formula>"Towel"</formula>
    </cfRule>
    <cfRule type="cellIs" dxfId="3005" priority="5890" stopIfTrue="1" operator="equal">
      <formula>"Napkin Hs"</formula>
    </cfRule>
  </conditionalFormatting>
  <conditionalFormatting sqref="B127">
    <cfRule type="cellIs" dxfId="3004" priority="5886" stopIfTrue="1" operator="equal">
      <formula>"Napkin Hs"</formula>
    </cfRule>
  </conditionalFormatting>
  <conditionalFormatting sqref="B127">
    <cfRule type="cellIs" dxfId="3003" priority="5885" stopIfTrue="1" operator="equal">
      <formula>"Napkin Hs"</formula>
    </cfRule>
  </conditionalFormatting>
  <conditionalFormatting sqref="B127">
    <cfRule type="cellIs" dxfId="3002" priority="5884" stopIfTrue="1" operator="equal">
      <formula>"Napkin Hs"</formula>
    </cfRule>
  </conditionalFormatting>
  <conditionalFormatting sqref="C128">
    <cfRule type="cellIs" dxfId="3001" priority="5882" stopIfTrue="1" operator="equal">
      <formula>"Towel"</formula>
    </cfRule>
    <cfRule type="cellIs" dxfId="3000" priority="5883" stopIfTrue="1" operator="equal">
      <formula>"Napkin Hs"</formula>
    </cfRule>
  </conditionalFormatting>
  <conditionalFormatting sqref="C128">
    <cfRule type="cellIs" dxfId="2999" priority="5878" stopIfTrue="1" operator="equal">
      <formula>"Towel"</formula>
    </cfRule>
    <cfRule type="cellIs" dxfId="2998" priority="5879" stopIfTrue="1" operator="equal">
      <formula>"Napkin Hs"</formula>
    </cfRule>
  </conditionalFormatting>
  <conditionalFormatting sqref="C128">
    <cfRule type="cellIs" dxfId="2997" priority="5880" stopIfTrue="1" operator="equal">
      <formula>"Towel"</formula>
    </cfRule>
    <cfRule type="cellIs" dxfId="2996" priority="5881" stopIfTrue="1" operator="equal">
      <formula>"Napkin Hs"</formula>
    </cfRule>
  </conditionalFormatting>
  <conditionalFormatting sqref="C128">
    <cfRule type="cellIs" dxfId="2995" priority="5874" stopIfTrue="1" operator="equal">
      <formula>"Towel"</formula>
    </cfRule>
    <cfRule type="cellIs" dxfId="2994" priority="5875" stopIfTrue="1" operator="equal">
      <formula>"Napkin Hs"</formula>
    </cfRule>
  </conditionalFormatting>
  <conditionalFormatting sqref="C128">
    <cfRule type="cellIs" dxfId="2993" priority="5876" stopIfTrue="1" operator="equal">
      <formula>"Towel"</formula>
    </cfRule>
    <cfRule type="cellIs" dxfId="2992" priority="5877" stopIfTrue="1" operator="equal">
      <formula>"Napkin Hs"</formula>
    </cfRule>
  </conditionalFormatting>
  <conditionalFormatting sqref="C128">
    <cfRule type="cellIs" dxfId="2991" priority="5872" stopIfTrue="1" operator="equal">
      <formula>"Towel"</formula>
    </cfRule>
    <cfRule type="cellIs" dxfId="2990" priority="5873" stopIfTrue="1" operator="equal">
      <formula>"Napkin Hs"</formula>
    </cfRule>
  </conditionalFormatting>
  <conditionalFormatting sqref="C128">
    <cfRule type="cellIs" dxfId="2989" priority="5866" stopIfTrue="1" operator="equal">
      <formula>"Towel"</formula>
    </cfRule>
    <cfRule type="cellIs" dxfId="2988" priority="5867" stopIfTrue="1" operator="equal">
      <formula>"Napkin Hs"</formula>
    </cfRule>
  </conditionalFormatting>
  <conditionalFormatting sqref="C128">
    <cfRule type="cellIs" dxfId="2987" priority="5870" stopIfTrue="1" operator="equal">
      <formula>"Towel"</formula>
    </cfRule>
    <cfRule type="cellIs" dxfId="2986" priority="5871" stopIfTrue="1" operator="equal">
      <formula>"Napkin Hs"</formula>
    </cfRule>
  </conditionalFormatting>
  <conditionalFormatting sqref="C128">
    <cfRule type="cellIs" dxfId="2985" priority="5868" stopIfTrue="1" operator="equal">
      <formula>"Towel"</formula>
    </cfRule>
    <cfRule type="cellIs" dxfId="2984" priority="5869" stopIfTrue="1" operator="equal">
      <formula>"Napkin Hs"</formula>
    </cfRule>
  </conditionalFormatting>
  <conditionalFormatting sqref="C128">
    <cfRule type="cellIs" dxfId="2983" priority="5860" stopIfTrue="1" operator="equal">
      <formula>"Towel"</formula>
    </cfRule>
    <cfRule type="cellIs" dxfId="2982" priority="5861" stopIfTrue="1" operator="equal">
      <formula>"Napkin Hs"</formula>
    </cfRule>
  </conditionalFormatting>
  <conditionalFormatting sqref="C128">
    <cfRule type="cellIs" dxfId="2981" priority="5862" stopIfTrue="1" operator="equal">
      <formula>"Towel"</formula>
    </cfRule>
    <cfRule type="cellIs" dxfId="2980" priority="5863" stopIfTrue="1" operator="equal">
      <formula>"Napkin Hs"</formula>
    </cfRule>
  </conditionalFormatting>
  <conditionalFormatting sqref="C128">
    <cfRule type="cellIs" dxfId="2979" priority="5864" stopIfTrue="1" operator="equal">
      <formula>"Towel"</formula>
    </cfRule>
    <cfRule type="cellIs" dxfId="2978" priority="5865" stopIfTrue="1" operator="equal">
      <formula>"Napkin Hs"</formula>
    </cfRule>
  </conditionalFormatting>
  <conditionalFormatting sqref="C128">
    <cfRule type="cellIs" dxfId="2977" priority="5858" stopIfTrue="1" operator="equal">
      <formula>"Towel"</formula>
    </cfRule>
    <cfRule type="cellIs" dxfId="2976" priority="5859" stopIfTrue="1" operator="equal">
      <formula>"Napkin Hs"</formula>
    </cfRule>
  </conditionalFormatting>
  <conditionalFormatting sqref="C128">
    <cfRule type="cellIs" dxfId="2975" priority="5856" stopIfTrue="1" operator="equal">
      <formula>"Towel"</formula>
    </cfRule>
    <cfRule type="cellIs" dxfId="2974" priority="5857" stopIfTrue="1" operator="equal">
      <formula>"Napkin Hs"</formula>
    </cfRule>
  </conditionalFormatting>
  <conditionalFormatting sqref="C128">
    <cfRule type="cellIs" dxfId="2973" priority="5832" stopIfTrue="1" operator="equal">
      <formula>"Towel"</formula>
    </cfRule>
  </conditionalFormatting>
  <conditionalFormatting sqref="C128">
    <cfRule type="cellIs" dxfId="2972" priority="5833" stopIfTrue="1" operator="equal">
      <formula>"Napkin Hs"</formula>
    </cfRule>
    <cfRule type="cellIs" dxfId="2971" priority="5838" stopIfTrue="1" operator="equal">
      <formula>"Towel"</formula>
    </cfRule>
    <cfRule type="cellIs" dxfId="2970" priority="5839" stopIfTrue="1" operator="equal">
      <formula>"Napkin Hs"</formula>
    </cfRule>
    <cfRule type="cellIs" dxfId="2969" priority="5848" stopIfTrue="1" operator="equal">
      <formula>"Towel"</formula>
    </cfRule>
    <cfRule type="cellIs" dxfId="2968" priority="5849" stopIfTrue="1" operator="equal">
      <formula>"Napkin Hs"</formula>
    </cfRule>
    <cfRule type="cellIs" dxfId="2967" priority="5854" stopIfTrue="1" operator="equal">
      <formula>"Towel"</formula>
    </cfRule>
    <cfRule type="cellIs" dxfId="2966" priority="5855" stopIfTrue="1" operator="equal">
      <formula>"Napkin Hs"</formula>
    </cfRule>
  </conditionalFormatting>
  <conditionalFormatting sqref="C128">
    <cfRule type="cellIs" dxfId="2965" priority="5834" stopIfTrue="1" operator="equal">
      <formula>"Towel"</formula>
    </cfRule>
    <cfRule type="cellIs" dxfId="2964" priority="5835" stopIfTrue="1" operator="equal">
      <formula>"Napkin Hs"</formula>
    </cfRule>
    <cfRule type="cellIs" dxfId="2963" priority="5836" stopIfTrue="1" operator="equal">
      <formula>"Towel"</formula>
    </cfRule>
    <cfRule type="cellIs" dxfId="2962" priority="5837" stopIfTrue="1" operator="equal">
      <formula>"Napkin Hs"</formula>
    </cfRule>
    <cfRule type="cellIs" dxfId="2961" priority="5840" stopIfTrue="1" operator="equal">
      <formula>"Towel"</formula>
    </cfRule>
    <cfRule type="cellIs" dxfId="2960" priority="5841" stopIfTrue="1" operator="equal">
      <formula>"Napkin Hs"</formula>
    </cfRule>
    <cfRule type="cellIs" dxfId="2959" priority="5842" stopIfTrue="1" operator="equal">
      <formula>"Towel"</formula>
    </cfRule>
    <cfRule type="cellIs" dxfId="2958" priority="5843" stopIfTrue="1" operator="equal">
      <formula>"Napkin Hs"</formula>
    </cfRule>
    <cfRule type="cellIs" dxfId="2957" priority="5844" stopIfTrue="1" operator="equal">
      <formula>"Towel"</formula>
    </cfRule>
    <cfRule type="cellIs" dxfId="2956" priority="5845" stopIfTrue="1" operator="equal">
      <formula>"Napkin Hs"</formula>
    </cfRule>
    <cfRule type="cellIs" dxfId="2955" priority="5846" stopIfTrue="1" operator="equal">
      <formula>"Towel"</formula>
    </cfRule>
    <cfRule type="cellIs" dxfId="2954" priority="5847" stopIfTrue="1" operator="equal">
      <formula>"Napkin Hs"</formula>
    </cfRule>
    <cfRule type="cellIs" dxfId="2953" priority="5850" stopIfTrue="1" operator="equal">
      <formula>"Towel"</formula>
    </cfRule>
    <cfRule type="cellIs" dxfId="2952" priority="5851" stopIfTrue="1" operator="equal">
      <formula>"Napkin Hs"</formula>
    </cfRule>
    <cfRule type="cellIs" dxfId="2951" priority="5853" stopIfTrue="1" operator="equal">
      <formula>"Napkin Hs"</formula>
    </cfRule>
  </conditionalFormatting>
  <conditionalFormatting sqref="C128">
    <cfRule type="cellIs" dxfId="2950" priority="5852" stopIfTrue="1" operator="equal">
      <formula>"Towel"</formula>
    </cfRule>
  </conditionalFormatting>
  <conditionalFormatting sqref="C128">
    <cfRule type="cellIs" dxfId="2949" priority="5830" stopIfTrue="1" operator="equal">
      <formula>"Towel"</formula>
    </cfRule>
    <cfRule type="cellIs" dxfId="2948" priority="5831" stopIfTrue="1" operator="equal">
      <formula>"Napkin Hs"</formula>
    </cfRule>
  </conditionalFormatting>
  <conditionalFormatting sqref="C128">
    <cfRule type="cellIs" dxfId="2947" priority="5829" stopIfTrue="1" operator="equal">
      <formula>"Napkin Hs"</formula>
    </cfRule>
  </conditionalFormatting>
  <conditionalFormatting sqref="C128">
    <cfRule type="cellIs" dxfId="2946" priority="5828" stopIfTrue="1" operator="equal">
      <formula>"Towel"</formula>
    </cfRule>
  </conditionalFormatting>
  <conditionalFormatting sqref="C128">
    <cfRule type="cellIs" dxfId="2945" priority="5826" stopIfTrue="1" operator="equal">
      <formula>"Towel"</formula>
    </cfRule>
  </conditionalFormatting>
  <conditionalFormatting sqref="C128">
    <cfRule type="cellIs" dxfId="2944" priority="5827" stopIfTrue="1" operator="equal">
      <formula>"Napkin Hs"</formula>
    </cfRule>
  </conditionalFormatting>
  <conditionalFormatting sqref="C128">
    <cfRule type="cellIs" dxfId="2943" priority="5730" stopIfTrue="1" operator="equal">
      <formula>"Towel"</formula>
    </cfRule>
  </conditionalFormatting>
  <conditionalFormatting sqref="C128">
    <cfRule type="cellIs" dxfId="2942" priority="5740" stopIfTrue="1" operator="equal">
      <formula>"Towel"</formula>
    </cfRule>
    <cfRule type="cellIs" dxfId="2941" priority="5741" stopIfTrue="1" operator="equal">
      <formula>"Napkin Hs"</formula>
    </cfRule>
    <cfRule type="cellIs" dxfId="2940" priority="5746" stopIfTrue="1" operator="equal">
      <formula>"Towel"</formula>
    </cfRule>
    <cfRule type="cellIs" dxfId="2939" priority="5747" stopIfTrue="1" operator="equal">
      <formula>"Napkin Hs"</formula>
    </cfRule>
    <cfRule type="cellIs" dxfId="2938" priority="5752" stopIfTrue="1" operator="equal">
      <formula>"Towel"</formula>
    </cfRule>
    <cfRule type="cellIs" dxfId="2937" priority="5753" stopIfTrue="1" operator="equal">
      <formula>"Napkin Hs"</formula>
    </cfRule>
    <cfRule type="cellIs" dxfId="2936" priority="5754" stopIfTrue="1" operator="equal">
      <formula>"Towel"</formula>
    </cfRule>
    <cfRule type="cellIs" dxfId="2935" priority="5755" stopIfTrue="1" operator="equal">
      <formula>"Napkin Hs"</formula>
    </cfRule>
    <cfRule type="cellIs" dxfId="2934" priority="5760" stopIfTrue="1" operator="equal">
      <formula>"Towel"</formula>
    </cfRule>
    <cfRule type="cellIs" dxfId="2933" priority="5761" stopIfTrue="1" operator="equal">
      <formula>"Napkin Hs"</formula>
    </cfRule>
    <cfRule type="cellIs" dxfId="2932" priority="5770" stopIfTrue="1" operator="equal">
      <formula>"Towel"</formula>
    </cfRule>
    <cfRule type="cellIs" dxfId="2931" priority="5771" stopIfTrue="1" operator="equal">
      <formula>"Napkin Hs"</formula>
    </cfRule>
    <cfRule type="cellIs" dxfId="2930" priority="5776" stopIfTrue="1" operator="equal">
      <formula>"Towel"</formula>
    </cfRule>
    <cfRule type="cellIs" dxfId="2929" priority="5777" stopIfTrue="1" operator="equal">
      <formula>"Napkin Hs"</formula>
    </cfRule>
    <cfRule type="cellIs" dxfId="2928" priority="5778" stopIfTrue="1" operator="equal">
      <formula>"Towel"</formula>
    </cfRule>
    <cfRule type="cellIs" dxfId="2927" priority="5779" stopIfTrue="1" operator="equal">
      <formula>"Napkin Hs"</formula>
    </cfRule>
    <cfRule type="cellIs" dxfId="2926" priority="5784" stopIfTrue="1" operator="equal">
      <formula>"Towel"</formula>
    </cfRule>
    <cfRule type="cellIs" dxfId="2925" priority="5785" stopIfTrue="1" operator="equal">
      <formula>"Napkin Hs"</formula>
    </cfRule>
    <cfRule type="cellIs" dxfId="2924" priority="5794" stopIfTrue="1" operator="equal">
      <formula>"Towel"</formula>
    </cfRule>
    <cfRule type="cellIs" dxfId="2923" priority="5795" stopIfTrue="1" operator="equal">
      <formula>"Napkin Hs"</formula>
    </cfRule>
    <cfRule type="cellIs" dxfId="2922" priority="5796" stopIfTrue="1" operator="equal">
      <formula>"Towel"</formula>
    </cfRule>
    <cfRule type="cellIs" dxfId="2921" priority="5797" stopIfTrue="1" operator="equal">
      <formula>"Napkin Hs"</formula>
    </cfRule>
    <cfRule type="cellIs" dxfId="2920" priority="5802" stopIfTrue="1" operator="equal">
      <formula>"Towel"</formula>
    </cfRule>
    <cfRule type="cellIs" dxfId="2919" priority="5803" stopIfTrue="1" operator="equal">
      <formula>"Napkin Hs"</formula>
    </cfRule>
    <cfRule type="cellIs" dxfId="2918" priority="5812" stopIfTrue="1" operator="equal">
      <formula>"Towel"</formula>
    </cfRule>
    <cfRule type="cellIs" dxfId="2917" priority="5813" stopIfTrue="1" operator="equal">
      <formula>"Napkin Hs"</formula>
    </cfRule>
    <cfRule type="cellIs" dxfId="2916" priority="5814" stopIfTrue="1" operator="equal">
      <formula>"Towel"</formula>
    </cfRule>
    <cfRule type="cellIs" dxfId="2915" priority="5815" stopIfTrue="1" operator="equal">
      <formula>"Napkin Hs"</formula>
    </cfRule>
    <cfRule type="cellIs" dxfId="2914" priority="5821" stopIfTrue="1" operator="equal">
      <formula>"Napkin Hs"</formula>
    </cfRule>
  </conditionalFormatting>
  <conditionalFormatting sqref="C128">
    <cfRule type="cellIs" dxfId="2913" priority="5820" stopIfTrue="1" operator="equal">
      <formula>"Towel"</formula>
    </cfRule>
  </conditionalFormatting>
  <conditionalFormatting sqref="C128">
    <cfRule type="cellIs" dxfId="2912" priority="5731" stopIfTrue="1" operator="equal">
      <formula>"Napkin Hs"</formula>
    </cfRule>
    <cfRule type="cellIs" dxfId="2911" priority="5732" stopIfTrue="1" operator="equal">
      <formula>"Towel"</formula>
    </cfRule>
    <cfRule type="cellIs" dxfId="2910" priority="5733" stopIfTrue="1" operator="equal">
      <formula>"Napkin Hs"</formula>
    </cfRule>
    <cfRule type="cellIs" dxfId="2909" priority="5734" stopIfTrue="1" operator="equal">
      <formula>"Towel"</formula>
    </cfRule>
    <cfRule type="cellIs" dxfId="2908" priority="5735" stopIfTrue="1" operator="equal">
      <formula>"Napkin Hs"</formula>
    </cfRule>
    <cfRule type="cellIs" dxfId="2907" priority="5736" stopIfTrue="1" operator="equal">
      <formula>"Towel"</formula>
    </cfRule>
    <cfRule type="cellIs" dxfId="2906" priority="5737" stopIfTrue="1" operator="equal">
      <formula>"Napkin Hs"</formula>
    </cfRule>
    <cfRule type="cellIs" dxfId="2905" priority="5738" stopIfTrue="1" operator="equal">
      <formula>"Towel"</formula>
    </cfRule>
    <cfRule type="cellIs" dxfId="2904" priority="5739" stopIfTrue="1" operator="equal">
      <formula>"Napkin Hs"</formula>
    </cfRule>
    <cfRule type="cellIs" dxfId="2903" priority="5742" stopIfTrue="1" operator="equal">
      <formula>"Towel"</formula>
    </cfRule>
    <cfRule type="cellIs" dxfId="2902" priority="5743" stopIfTrue="1" operator="equal">
      <formula>"Napkin Hs"</formula>
    </cfRule>
    <cfRule type="cellIs" dxfId="2901" priority="5744" stopIfTrue="1" operator="equal">
      <formula>"Towel"</formula>
    </cfRule>
    <cfRule type="cellIs" dxfId="2900" priority="5745" stopIfTrue="1" operator="equal">
      <formula>"Napkin Hs"</formula>
    </cfRule>
    <cfRule type="cellIs" dxfId="2899" priority="5748" stopIfTrue="1" operator="equal">
      <formula>"Towel"</formula>
    </cfRule>
    <cfRule type="cellIs" dxfId="2898" priority="5749" stopIfTrue="1" operator="equal">
      <formula>"Napkin Hs"</formula>
    </cfRule>
    <cfRule type="cellIs" dxfId="2897" priority="5750" stopIfTrue="1" operator="equal">
      <formula>"Towel"</formula>
    </cfRule>
    <cfRule type="cellIs" dxfId="2896" priority="5751" stopIfTrue="1" operator="equal">
      <formula>"Napkin Hs"</formula>
    </cfRule>
    <cfRule type="cellIs" dxfId="2895" priority="5756" stopIfTrue="1" operator="equal">
      <formula>"Towel"</formula>
    </cfRule>
    <cfRule type="cellIs" dxfId="2894" priority="5757" stopIfTrue="1" operator="equal">
      <formula>"Napkin Hs"</formula>
    </cfRule>
    <cfRule type="cellIs" dxfId="2893" priority="5758" stopIfTrue="1" operator="equal">
      <formula>"Towel"</formula>
    </cfRule>
    <cfRule type="cellIs" dxfId="2892" priority="5759" stopIfTrue="1" operator="equal">
      <formula>"Napkin Hs"</formula>
    </cfRule>
    <cfRule type="cellIs" dxfId="2891" priority="5762" stopIfTrue="1" operator="equal">
      <formula>"Towel"</formula>
    </cfRule>
    <cfRule type="cellIs" dxfId="2890" priority="5763" stopIfTrue="1" operator="equal">
      <formula>"Napkin Hs"</formula>
    </cfRule>
    <cfRule type="cellIs" dxfId="2889" priority="5764" stopIfTrue="1" operator="equal">
      <formula>"Towel"</formula>
    </cfRule>
    <cfRule type="cellIs" dxfId="2888" priority="5765" stopIfTrue="1" operator="equal">
      <formula>"Napkin Hs"</formula>
    </cfRule>
    <cfRule type="cellIs" dxfId="2887" priority="5766" stopIfTrue="1" operator="equal">
      <formula>"Towel"</formula>
    </cfRule>
    <cfRule type="cellIs" dxfId="2886" priority="5767" stopIfTrue="1" operator="equal">
      <formula>"Napkin Hs"</formula>
    </cfRule>
    <cfRule type="cellIs" dxfId="2885" priority="5768" stopIfTrue="1" operator="equal">
      <formula>"Towel"</formula>
    </cfRule>
    <cfRule type="cellIs" dxfId="2884" priority="5769" stopIfTrue="1" operator="equal">
      <formula>"Napkin Hs"</formula>
    </cfRule>
    <cfRule type="cellIs" dxfId="2883" priority="5772" stopIfTrue="1" operator="equal">
      <formula>"Towel"</formula>
    </cfRule>
    <cfRule type="cellIs" dxfId="2882" priority="5773" stopIfTrue="1" operator="equal">
      <formula>"Napkin Hs"</formula>
    </cfRule>
    <cfRule type="cellIs" dxfId="2881" priority="5774" stopIfTrue="1" operator="equal">
      <formula>"Towel"</formula>
    </cfRule>
    <cfRule type="cellIs" dxfId="2880" priority="5775" stopIfTrue="1" operator="equal">
      <formula>"Napkin Hs"</formula>
    </cfRule>
    <cfRule type="cellIs" dxfId="2879" priority="5780" stopIfTrue="1" operator="equal">
      <formula>"Towel"</formula>
    </cfRule>
    <cfRule type="cellIs" dxfId="2878" priority="5781" stopIfTrue="1" operator="equal">
      <formula>"Napkin Hs"</formula>
    </cfRule>
    <cfRule type="cellIs" dxfId="2877" priority="5782" stopIfTrue="1" operator="equal">
      <formula>"Towel"</formula>
    </cfRule>
    <cfRule type="cellIs" dxfId="2876" priority="5783" stopIfTrue="1" operator="equal">
      <formula>"Napkin Hs"</formula>
    </cfRule>
    <cfRule type="cellIs" dxfId="2875" priority="5786" stopIfTrue="1" operator="equal">
      <formula>"Towel"</formula>
    </cfRule>
    <cfRule type="cellIs" dxfId="2874" priority="5787" stopIfTrue="1" operator="equal">
      <formula>"Napkin Hs"</formula>
    </cfRule>
    <cfRule type="cellIs" dxfId="2873" priority="5788" stopIfTrue="1" operator="equal">
      <formula>"Towel"</formula>
    </cfRule>
    <cfRule type="cellIs" dxfId="2872" priority="5789" stopIfTrue="1" operator="equal">
      <formula>"Napkin Hs"</formula>
    </cfRule>
    <cfRule type="cellIs" dxfId="2871" priority="5790" stopIfTrue="1" operator="equal">
      <formula>"Towel"</formula>
    </cfRule>
    <cfRule type="cellIs" dxfId="2870" priority="5791" stopIfTrue="1" operator="equal">
      <formula>"Napkin Hs"</formula>
    </cfRule>
    <cfRule type="cellIs" dxfId="2869" priority="5792" stopIfTrue="1" operator="equal">
      <formula>"Towel"</formula>
    </cfRule>
    <cfRule type="cellIs" dxfId="2868" priority="5793" stopIfTrue="1" operator="equal">
      <formula>"Napkin Hs"</formula>
    </cfRule>
    <cfRule type="cellIs" dxfId="2867" priority="5798" stopIfTrue="1" operator="equal">
      <formula>"Towel"</formula>
    </cfRule>
    <cfRule type="cellIs" dxfId="2866" priority="5799" stopIfTrue="1" operator="equal">
      <formula>"Napkin Hs"</formula>
    </cfRule>
    <cfRule type="cellIs" dxfId="2865" priority="5800" stopIfTrue="1" operator="equal">
      <formula>"Towel"</formula>
    </cfRule>
    <cfRule type="cellIs" dxfId="2864" priority="5801" stopIfTrue="1" operator="equal">
      <formula>"Napkin Hs"</formula>
    </cfRule>
    <cfRule type="cellIs" dxfId="2863" priority="5804" stopIfTrue="1" operator="equal">
      <formula>"Towel"</formula>
    </cfRule>
    <cfRule type="cellIs" dxfId="2862" priority="5805" stopIfTrue="1" operator="equal">
      <formula>"Napkin Hs"</formula>
    </cfRule>
    <cfRule type="cellIs" dxfId="2861" priority="5806" stopIfTrue="1" operator="equal">
      <formula>"Towel"</formula>
    </cfRule>
    <cfRule type="cellIs" dxfId="2860" priority="5807" stopIfTrue="1" operator="equal">
      <formula>"Napkin Hs"</formula>
    </cfRule>
    <cfRule type="cellIs" dxfId="2859" priority="5808" stopIfTrue="1" operator="equal">
      <formula>"Towel"</formula>
    </cfRule>
    <cfRule type="cellIs" dxfId="2858" priority="5809" stopIfTrue="1" operator="equal">
      <formula>"Napkin Hs"</formula>
    </cfRule>
    <cfRule type="cellIs" dxfId="2857" priority="5810" stopIfTrue="1" operator="equal">
      <formula>"Towel"</formula>
    </cfRule>
    <cfRule type="cellIs" dxfId="2856" priority="5811" stopIfTrue="1" operator="equal">
      <formula>"Napkin Hs"</formula>
    </cfRule>
    <cfRule type="cellIs" dxfId="2855" priority="5816" stopIfTrue="1" operator="equal">
      <formula>"Towel"</formula>
    </cfRule>
    <cfRule type="cellIs" dxfId="2854" priority="5817" stopIfTrue="1" operator="equal">
      <formula>"Napkin Hs"</formula>
    </cfRule>
    <cfRule type="cellIs" dxfId="2853" priority="5818" stopIfTrue="1" operator="equal">
      <formula>"Towel"</formula>
    </cfRule>
    <cfRule type="cellIs" dxfId="2852" priority="5819" stopIfTrue="1" operator="equal">
      <formula>"Napkin Hs"</formula>
    </cfRule>
    <cfRule type="cellIs" dxfId="2851" priority="5822" stopIfTrue="1" operator="equal">
      <formula>"Towel"</formula>
    </cfRule>
    <cfRule type="cellIs" dxfId="2850" priority="5823" stopIfTrue="1" operator="equal">
      <formula>"Napkin Hs"</formula>
    </cfRule>
    <cfRule type="cellIs" dxfId="2849" priority="5824" stopIfTrue="1" operator="equal">
      <formula>"Towel"</formula>
    </cfRule>
    <cfRule type="cellIs" dxfId="2848" priority="5825" stopIfTrue="1" operator="equal">
      <formula>"Napkin Hs"</formula>
    </cfRule>
  </conditionalFormatting>
  <conditionalFormatting sqref="C128">
    <cfRule type="cellIs" dxfId="2847" priority="5729" stopIfTrue="1" operator="equal">
      <formula>"Napkin Hs"</formula>
    </cfRule>
  </conditionalFormatting>
  <conditionalFormatting sqref="C128">
    <cfRule type="cellIs" dxfId="2846" priority="5728" stopIfTrue="1" operator="equal">
      <formula>"Napkin Hs"</formula>
    </cfRule>
  </conditionalFormatting>
  <conditionalFormatting sqref="C128">
    <cfRule type="cellIs" dxfId="2845" priority="5727" stopIfTrue="1" operator="equal">
      <formula>"Napkin Hs"</formula>
    </cfRule>
  </conditionalFormatting>
  <conditionalFormatting sqref="C128">
    <cfRule type="cellIs" dxfId="2844" priority="5726" stopIfTrue="1" operator="equal">
      <formula>"Napkin Hs"</formula>
    </cfRule>
  </conditionalFormatting>
  <conditionalFormatting sqref="C128">
    <cfRule type="cellIs" dxfId="2843" priority="5725" stopIfTrue="1" operator="equal">
      <formula>"Napkin Hs"</formula>
    </cfRule>
  </conditionalFormatting>
  <conditionalFormatting sqref="C128">
    <cfRule type="cellIs" dxfId="2842" priority="5724" stopIfTrue="1" operator="equal">
      <formula>"Napkin Hs"</formula>
    </cfRule>
  </conditionalFormatting>
  <conditionalFormatting sqref="C128">
    <cfRule type="cellIs" dxfId="2841" priority="5720" stopIfTrue="1" operator="equal">
      <formula>"Towel"</formula>
    </cfRule>
    <cfRule type="cellIs" dxfId="2840" priority="5721" stopIfTrue="1" operator="equal">
      <formula>"Napkin Hs"</formula>
    </cfRule>
  </conditionalFormatting>
  <conditionalFormatting sqref="C128">
    <cfRule type="cellIs" dxfId="2839" priority="5722" stopIfTrue="1" operator="equal">
      <formula>"Towel"</formula>
    </cfRule>
    <cfRule type="cellIs" dxfId="2838" priority="5723" stopIfTrue="1" operator="equal">
      <formula>"Napkin Hs"</formula>
    </cfRule>
  </conditionalFormatting>
  <conditionalFormatting sqref="C128">
    <cfRule type="cellIs" dxfId="2837" priority="5716" stopIfTrue="1" operator="equal">
      <formula>"Towel"</formula>
    </cfRule>
    <cfRule type="cellIs" dxfId="2836" priority="5717" stopIfTrue="1" operator="equal">
      <formula>"Napkin Hs"</formula>
    </cfRule>
  </conditionalFormatting>
  <conditionalFormatting sqref="C128">
    <cfRule type="cellIs" dxfId="2835" priority="5718" stopIfTrue="1" operator="equal">
      <formula>"Towel"</formula>
    </cfRule>
    <cfRule type="cellIs" dxfId="2834" priority="5719" stopIfTrue="1" operator="equal">
      <formula>"Napkin Hs"</formula>
    </cfRule>
  </conditionalFormatting>
  <conditionalFormatting sqref="B128">
    <cfRule type="cellIs" dxfId="2833" priority="5715" stopIfTrue="1" operator="equal">
      <formula>"Napkin Hs"</formula>
    </cfRule>
  </conditionalFormatting>
  <conditionalFormatting sqref="B128">
    <cfRule type="cellIs" dxfId="2832" priority="5714" stopIfTrue="1" operator="equal">
      <formula>"Napkin Hs"</formula>
    </cfRule>
  </conditionalFormatting>
  <conditionalFormatting sqref="B128">
    <cfRule type="cellIs" dxfId="2831" priority="5713" stopIfTrue="1" operator="equal">
      <formula>"Napkin Hs"</formula>
    </cfRule>
  </conditionalFormatting>
  <conditionalFormatting sqref="B135:C135">
    <cfRule type="cellIs" dxfId="2830" priority="5711" stopIfTrue="1" operator="equal">
      <formula>"Towel"</formula>
    </cfRule>
    <cfRule type="cellIs" dxfId="2829" priority="5712" stopIfTrue="1" operator="equal">
      <formula>"Napkin Hs"</formula>
    </cfRule>
  </conditionalFormatting>
  <conditionalFormatting sqref="C135">
    <cfRule type="cellIs" dxfId="2828" priority="5710" stopIfTrue="1" operator="equal">
      <formula>"Napkin Hs"</formula>
    </cfRule>
  </conditionalFormatting>
  <conditionalFormatting sqref="C135">
    <cfRule type="cellIs" dxfId="2827" priority="5709" stopIfTrue="1" operator="equal">
      <formula>"Towel"</formula>
    </cfRule>
  </conditionalFormatting>
  <conditionalFormatting sqref="C135">
    <cfRule type="cellIs" dxfId="2826" priority="5707" stopIfTrue="1" operator="equal">
      <formula>"Towel"</formula>
    </cfRule>
    <cfRule type="cellIs" dxfId="2825" priority="5708" stopIfTrue="1" operator="equal">
      <formula>"Napkin Hs"</formula>
    </cfRule>
  </conditionalFormatting>
  <conditionalFormatting sqref="B137:C137">
    <cfRule type="cellIs" dxfId="2824" priority="5705" stopIfTrue="1" operator="equal">
      <formula>"Towel"</formula>
    </cfRule>
    <cfRule type="cellIs" dxfId="2823" priority="5706" stopIfTrue="1" operator="equal">
      <formula>"Napkin Hs"</formula>
    </cfRule>
  </conditionalFormatting>
  <conditionalFormatting sqref="C137">
    <cfRule type="cellIs" dxfId="2822" priority="5701" stopIfTrue="1" operator="equal">
      <formula>"Towel"</formula>
    </cfRule>
    <cfRule type="cellIs" dxfId="2821" priority="5702" stopIfTrue="1" operator="equal">
      <formula>"Napkin Hs"</formula>
    </cfRule>
  </conditionalFormatting>
  <conditionalFormatting sqref="C137">
    <cfRule type="cellIs" dxfId="2820" priority="5703" stopIfTrue="1" operator="equal">
      <formula>"Towel"</formula>
    </cfRule>
    <cfRule type="cellIs" dxfId="2819" priority="5704" stopIfTrue="1" operator="equal">
      <formula>"Napkin Hs"</formula>
    </cfRule>
  </conditionalFormatting>
  <conditionalFormatting sqref="B137:C137">
    <cfRule type="cellIs" dxfId="2818" priority="5699" stopIfTrue="1" operator="equal">
      <formula>"Towel"</formula>
    </cfRule>
    <cfRule type="cellIs" dxfId="2817" priority="5700" stopIfTrue="1" operator="equal">
      <formula>"Napkin Hs"</formula>
    </cfRule>
  </conditionalFormatting>
  <conditionalFormatting sqref="C137">
    <cfRule type="cellIs" dxfId="2816" priority="5697" stopIfTrue="1" operator="equal">
      <formula>"Towel"</formula>
    </cfRule>
    <cfRule type="cellIs" dxfId="2815" priority="5698" stopIfTrue="1" operator="equal">
      <formula>"Napkin Hs"</formula>
    </cfRule>
  </conditionalFormatting>
  <conditionalFormatting sqref="C137">
    <cfRule type="cellIs" dxfId="2814" priority="5695" stopIfTrue="1" operator="equal">
      <formula>"Towel"</formula>
    </cfRule>
    <cfRule type="cellIs" dxfId="2813" priority="5696" stopIfTrue="1" operator="equal">
      <formula>"Napkin Hs"</formula>
    </cfRule>
  </conditionalFormatting>
  <conditionalFormatting sqref="C137">
    <cfRule type="cellIs" dxfId="2812" priority="5687" stopIfTrue="1" operator="equal">
      <formula>"Towel"</formula>
    </cfRule>
    <cfRule type="cellIs" dxfId="2811" priority="5688" stopIfTrue="1" operator="equal">
      <formula>"Napkin Hs"</formula>
    </cfRule>
  </conditionalFormatting>
  <conditionalFormatting sqref="B137:C137">
    <cfRule type="cellIs" dxfId="2810" priority="5689" stopIfTrue="1" operator="equal">
      <formula>"Towel"</formula>
    </cfRule>
    <cfRule type="cellIs" dxfId="2809" priority="5690" stopIfTrue="1" operator="equal">
      <formula>"Napkin Hs"</formula>
    </cfRule>
  </conditionalFormatting>
  <conditionalFormatting sqref="C137">
    <cfRule type="cellIs" dxfId="2808" priority="5685" stopIfTrue="1" operator="equal">
      <formula>"Towel"</formula>
    </cfRule>
    <cfRule type="cellIs" dxfId="2807" priority="5686" stopIfTrue="1" operator="equal">
      <formula>"Napkin Hs"</formula>
    </cfRule>
  </conditionalFormatting>
  <conditionalFormatting sqref="B137:C137">
    <cfRule type="cellIs" dxfId="2806" priority="5683" stopIfTrue="1" operator="equal">
      <formula>"Towel"</formula>
    </cfRule>
    <cfRule type="cellIs" dxfId="2805" priority="5684" stopIfTrue="1" operator="equal">
      <formula>"Napkin Hs"</formula>
    </cfRule>
  </conditionalFormatting>
  <conditionalFormatting sqref="C137">
    <cfRule type="cellIs" dxfId="2804" priority="5691" stopIfTrue="1" operator="equal">
      <formula>"Towel"</formula>
    </cfRule>
    <cfRule type="cellIs" dxfId="2803" priority="5692" stopIfTrue="1" operator="equal">
      <formula>"Napkin Hs"</formula>
    </cfRule>
  </conditionalFormatting>
  <conditionalFormatting sqref="C137">
    <cfRule type="cellIs" dxfId="2802" priority="5693" stopIfTrue="1" operator="equal">
      <formula>"Towel"</formula>
    </cfRule>
    <cfRule type="cellIs" dxfId="2801" priority="5694" stopIfTrue="1" operator="equal">
      <formula>"Napkin Hs"</formula>
    </cfRule>
  </conditionalFormatting>
  <conditionalFormatting sqref="B136:C136">
    <cfRule type="cellIs" dxfId="2800" priority="5681" stopIfTrue="1" operator="equal">
      <formula>"Towel"</formula>
    </cfRule>
    <cfRule type="cellIs" dxfId="2799" priority="5682" stopIfTrue="1" operator="equal">
      <formula>"Napkin Hs"</formula>
    </cfRule>
  </conditionalFormatting>
  <conditionalFormatting sqref="C136">
    <cfRule type="cellIs" dxfId="2798" priority="5679" stopIfTrue="1" operator="equal">
      <formula>"Towel"</formula>
    </cfRule>
    <cfRule type="cellIs" dxfId="2797" priority="5680" stopIfTrue="1" operator="equal">
      <formula>"Napkin Hs"</formula>
    </cfRule>
  </conditionalFormatting>
  <conditionalFormatting sqref="C136">
    <cfRule type="cellIs" dxfId="2796" priority="5677" stopIfTrue="1" operator="equal">
      <formula>"Towel"</formula>
    </cfRule>
    <cfRule type="cellIs" dxfId="2795" priority="5678" stopIfTrue="1" operator="equal">
      <formula>"Napkin Hs"</formula>
    </cfRule>
  </conditionalFormatting>
  <conditionalFormatting sqref="B136:C136">
    <cfRule type="cellIs" dxfId="2794" priority="5675" stopIfTrue="1" operator="equal">
      <formula>"Towel"</formula>
    </cfRule>
    <cfRule type="cellIs" dxfId="2793" priority="5676" stopIfTrue="1" operator="equal">
      <formula>"Napkin Hs"</formula>
    </cfRule>
  </conditionalFormatting>
  <conditionalFormatting sqref="C136">
    <cfRule type="cellIs" dxfId="2792" priority="5673" stopIfTrue="1" operator="equal">
      <formula>"Towel"</formula>
    </cfRule>
    <cfRule type="cellIs" dxfId="2791" priority="5674" stopIfTrue="1" operator="equal">
      <formula>"Napkin Hs"</formula>
    </cfRule>
  </conditionalFormatting>
  <conditionalFormatting sqref="C136">
    <cfRule type="cellIs" dxfId="2790" priority="5671" stopIfTrue="1" operator="equal">
      <formula>"Towel"</formula>
    </cfRule>
    <cfRule type="cellIs" dxfId="2789" priority="5672" stopIfTrue="1" operator="equal">
      <formula>"Napkin Hs"</formula>
    </cfRule>
  </conditionalFormatting>
  <conditionalFormatting sqref="C136">
    <cfRule type="cellIs" dxfId="2788" priority="5663" stopIfTrue="1" operator="equal">
      <formula>"Towel"</formula>
    </cfRule>
    <cfRule type="cellIs" dxfId="2787" priority="5664" stopIfTrue="1" operator="equal">
      <formula>"Napkin Hs"</formula>
    </cfRule>
  </conditionalFormatting>
  <conditionalFormatting sqref="B136:C136">
    <cfRule type="cellIs" dxfId="2786" priority="5665" stopIfTrue="1" operator="equal">
      <formula>"Towel"</formula>
    </cfRule>
    <cfRule type="cellIs" dxfId="2785" priority="5666" stopIfTrue="1" operator="equal">
      <formula>"Napkin Hs"</formula>
    </cfRule>
  </conditionalFormatting>
  <conditionalFormatting sqref="C136">
    <cfRule type="cellIs" dxfId="2784" priority="5661" stopIfTrue="1" operator="equal">
      <formula>"Towel"</formula>
    </cfRule>
    <cfRule type="cellIs" dxfId="2783" priority="5662" stopIfTrue="1" operator="equal">
      <formula>"Napkin Hs"</formula>
    </cfRule>
  </conditionalFormatting>
  <conditionalFormatting sqref="B136:C136">
    <cfRule type="cellIs" dxfId="2782" priority="5659" stopIfTrue="1" operator="equal">
      <formula>"Towel"</formula>
    </cfRule>
    <cfRule type="cellIs" dxfId="2781" priority="5660" stopIfTrue="1" operator="equal">
      <formula>"Napkin Hs"</formula>
    </cfRule>
  </conditionalFormatting>
  <conditionalFormatting sqref="C136">
    <cfRule type="cellIs" dxfId="2780" priority="5667" stopIfTrue="1" operator="equal">
      <formula>"Towel"</formula>
    </cfRule>
    <cfRule type="cellIs" dxfId="2779" priority="5668" stopIfTrue="1" operator="equal">
      <formula>"Napkin Hs"</formula>
    </cfRule>
  </conditionalFormatting>
  <conditionalFormatting sqref="C136">
    <cfRule type="cellIs" dxfId="2778" priority="5669" stopIfTrue="1" operator="equal">
      <formula>"Towel"</formula>
    </cfRule>
    <cfRule type="cellIs" dxfId="2777" priority="5670" stopIfTrue="1" operator="equal">
      <formula>"Napkin Hs"</formula>
    </cfRule>
  </conditionalFormatting>
  <conditionalFormatting sqref="C134">
    <cfRule type="cellIs" dxfId="2776" priority="5651" stopIfTrue="1" operator="equal">
      <formula>"Towel"</formula>
    </cfRule>
    <cfRule type="cellIs" dxfId="2775" priority="5652" stopIfTrue="1" operator="equal">
      <formula>"Napkin Hs"</formula>
    </cfRule>
  </conditionalFormatting>
  <conditionalFormatting sqref="B134:C134">
    <cfRule type="cellIs" dxfId="2774" priority="5653" stopIfTrue="1" operator="equal">
      <formula>"Towel"</formula>
    </cfRule>
    <cfRule type="cellIs" dxfId="2773" priority="5654" stopIfTrue="1" operator="equal">
      <formula>"Napkin Hs"</formula>
    </cfRule>
  </conditionalFormatting>
  <conditionalFormatting sqref="C134">
    <cfRule type="cellIs" dxfId="2772" priority="5649" stopIfTrue="1" operator="equal">
      <formula>"Towel"</formula>
    </cfRule>
    <cfRule type="cellIs" dxfId="2771" priority="5650" stopIfTrue="1" operator="equal">
      <formula>"Napkin Hs"</formula>
    </cfRule>
  </conditionalFormatting>
  <conditionalFormatting sqref="B134:C134">
    <cfRule type="cellIs" dxfId="2770" priority="5647" stopIfTrue="1" operator="equal">
      <formula>"Towel"</formula>
    </cfRule>
    <cfRule type="cellIs" dxfId="2769" priority="5648" stopIfTrue="1" operator="equal">
      <formula>"Napkin Hs"</formula>
    </cfRule>
  </conditionalFormatting>
  <conditionalFormatting sqref="C134">
    <cfRule type="cellIs" dxfId="2768" priority="5655" stopIfTrue="1" operator="equal">
      <formula>"Towel"</formula>
    </cfRule>
    <cfRule type="cellIs" dxfId="2767" priority="5656" stopIfTrue="1" operator="equal">
      <formula>"Napkin Hs"</formula>
    </cfRule>
  </conditionalFormatting>
  <conditionalFormatting sqref="C134">
    <cfRule type="cellIs" dxfId="2766" priority="5657" stopIfTrue="1" operator="equal">
      <formula>"Towel"</formula>
    </cfRule>
    <cfRule type="cellIs" dxfId="2765" priority="5658" stopIfTrue="1" operator="equal">
      <formula>"Napkin Hs"</formula>
    </cfRule>
  </conditionalFormatting>
  <conditionalFormatting sqref="C134">
    <cfRule type="cellIs" dxfId="2764" priority="5643" stopIfTrue="1" operator="equal">
      <formula>"Towel"</formula>
    </cfRule>
    <cfRule type="cellIs" dxfId="2763" priority="5644" stopIfTrue="1" operator="equal">
      <formula>"Napkin Hs"</formula>
    </cfRule>
  </conditionalFormatting>
  <conditionalFormatting sqref="C134">
    <cfRule type="cellIs" dxfId="2762" priority="5645" stopIfTrue="1" operator="equal">
      <formula>"Towel"</formula>
    </cfRule>
    <cfRule type="cellIs" dxfId="2761" priority="5646" stopIfTrue="1" operator="equal">
      <formula>"Napkin Hs"</formula>
    </cfRule>
  </conditionalFormatting>
  <conditionalFormatting sqref="C134">
    <cfRule type="cellIs" dxfId="2760" priority="5641" stopIfTrue="1" operator="equal">
      <formula>"Towel"</formula>
    </cfRule>
    <cfRule type="cellIs" dxfId="2759" priority="5642" stopIfTrue="1" operator="equal">
      <formula>"Napkin Hs"</formula>
    </cfRule>
  </conditionalFormatting>
  <conditionalFormatting sqref="B134">
    <cfRule type="cellIs" dxfId="2758" priority="5639" stopIfTrue="1" operator="equal">
      <formula>"Towel"</formula>
    </cfRule>
    <cfRule type="cellIs" dxfId="2757" priority="5640" stopIfTrue="1" operator="equal">
      <formula>"Napkin Hs"</formula>
    </cfRule>
  </conditionalFormatting>
  <conditionalFormatting sqref="C134">
    <cfRule type="cellIs" dxfId="2756" priority="5633" stopIfTrue="1" operator="equal">
      <formula>"Towel"</formula>
    </cfRule>
    <cfRule type="cellIs" dxfId="2755" priority="5634" stopIfTrue="1" operator="equal">
      <formula>"Napkin Hs"</formula>
    </cfRule>
  </conditionalFormatting>
  <conditionalFormatting sqref="C134">
    <cfRule type="cellIs" dxfId="2754" priority="5637" stopIfTrue="1" operator="equal">
      <formula>"Towel"</formula>
    </cfRule>
    <cfRule type="cellIs" dxfId="2753" priority="5638" stopIfTrue="1" operator="equal">
      <formula>"Napkin Hs"</formula>
    </cfRule>
  </conditionalFormatting>
  <conditionalFormatting sqref="C134">
    <cfRule type="cellIs" dxfId="2752" priority="5635" stopIfTrue="1" operator="equal">
      <formula>"Towel"</formula>
    </cfRule>
    <cfRule type="cellIs" dxfId="2751" priority="5636" stopIfTrue="1" operator="equal">
      <formula>"Napkin Hs"</formula>
    </cfRule>
  </conditionalFormatting>
  <conditionalFormatting sqref="C134">
    <cfRule type="cellIs" dxfId="2750" priority="5627" stopIfTrue="1" operator="equal">
      <formula>"Towel"</formula>
    </cfRule>
    <cfRule type="cellIs" dxfId="2749" priority="5628" stopIfTrue="1" operator="equal">
      <formula>"Napkin Hs"</formula>
    </cfRule>
  </conditionalFormatting>
  <conditionalFormatting sqref="C134">
    <cfRule type="cellIs" dxfId="2748" priority="5629" stopIfTrue="1" operator="equal">
      <formula>"Towel"</formula>
    </cfRule>
    <cfRule type="cellIs" dxfId="2747" priority="5630" stopIfTrue="1" operator="equal">
      <formula>"Napkin Hs"</formula>
    </cfRule>
  </conditionalFormatting>
  <conditionalFormatting sqref="C134">
    <cfRule type="cellIs" dxfId="2746" priority="5631" stopIfTrue="1" operator="equal">
      <formula>"Towel"</formula>
    </cfRule>
    <cfRule type="cellIs" dxfId="2745" priority="5632" stopIfTrue="1" operator="equal">
      <formula>"Napkin Hs"</formula>
    </cfRule>
  </conditionalFormatting>
  <conditionalFormatting sqref="B134:C134">
    <cfRule type="cellIs" dxfId="2744" priority="5625" stopIfTrue="1" operator="equal">
      <formula>"Towel"</formula>
    </cfRule>
    <cfRule type="cellIs" dxfId="2743" priority="5626" stopIfTrue="1" operator="equal">
      <formula>"Napkin Hs"</formula>
    </cfRule>
  </conditionalFormatting>
  <conditionalFormatting sqref="B134:C134">
    <cfRule type="cellIs" dxfId="2742" priority="5623" stopIfTrue="1" operator="equal">
      <formula>"Towel"</formula>
    </cfRule>
    <cfRule type="cellIs" dxfId="2741" priority="5624" stopIfTrue="1" operator="equal">
      <formula>"Napkin Hs"</formula>
    </cfRule>
  </conditionalFormatting>
  <conditionalFormatting sqref="B134:C134">
    <cfRule type="cellIs" dxfId="2740" priority="5599" stopIfTrue="1" operator="equal">
      <formula>"Towel"</formula>
    </cfRule>
  </conditionalFormatting>
  <conditionalFormatting sqref="B134:C134">
    <cfRule type="cellIs" dxfId="2739" priority="5600" stopIfTrue="1" operator="equal">
      <formula>"Napkin Hs"</formula>
    </cfRule>
    <cfRule type="cellIs" dxfId="2738" priority="5605" stopIfTrue="1" operator="equal">
      <formula>"Towel"</formula>
    </cfRule>
    <cfRule type="cellIs" dxfId="2737" priority="5606" stopIfTrue="1" operator="equal">
      <formula>"Napkin Hs"</formula>
    </cfRule>
    <cfRule type="cellIs" dxfId="2736" priority="5615" stopIfTrue="1" operator="equal">
      <formula>"Towel"</formula>
    </cfRule>
    <cfRule type="cellIs" dxfId="2735" priority="5616" stopIfTrue="1" operator="equal">
      <formula>"Napkin Hs"</formula>
    </cfRule>
    <cfRule type="cellIs" dxfId="2734" priority="5621" stopIfTrue="1" operator="equal">
      <formula>"Towel"</formula>
    </cfRule>
    <cfRule type="cellIs" dxfId="2733" priority="5622" stopIfTrue="1" operator="equal">
      <formula>"Napkin Hs"</formula>
    </cfRule>
  </conditionalFormatting>
  <conditionalFormatting sqref="C134">
    <cfRule type="cellIs" dxfId="2732" priority="5601" stopIfTrue="1" operator="equal">
      <formula>"Towel"</formula>
    </cfRule>
    <cfRule type="cellIs" dxfId="2731" priority="5602" stopIfTrue="1" operator="equal">
      <formula>"Napkin Hs"</formula>
    </cfRule>
    <cfRule type="cellIs" dxfId="2730" priority="5603" stopIfTrue="1" operator="equal">
      <formula>"Towel"</formula>
    </cfRule>
    <cfRule type="cellIs" dxfId="2729" priority="5604" stopIfTrue="1" operator="equal">
      <formula>"Napkin Hs"</formula>
    </cfRule>
    <cfRule type="cellIs" dxfId="2728" priority="5607" stopIfTrue="1" operator="equal">
      <formula>"Towel"</formula>
    </cfRule>
    <cfRule type="cellIs" dxfId="2727" priority="5608" stopIfTrue="1" operator="equal">
      <formula>"Napkin Hs"</formula>
    </cfRule>
    <cfRule type="cellIs" dxfId="2726" priority="5609" stopIfTrue="1" operator="equal">
      <formula>"Towel"</formula>
    </cfRule>
    <cfRule type="cellIs" dxfId="2725" priority="5610" stopIfTrue="1" operator="equal">
      <formula>"Napkin Hs"</formula>
    </cfRule>
    <cfRule type="cellIs" dxfId="2724" priority="5611" stopIfTrue="1" operator="equal">
      <formula>"Towel"</formula>
    </cfRule>
    <cfRule type="cellIs" dxfId="2723" priority="5612" stopIfTrue="1" operator="equal">
      <formula>"Napkin Hs"</formula>
    </cfRule>
    <cfRule type="cellIs" dxfId="2722" priority="5613" stopIfTrue="1" operator="equal">
      <formula>"Towel"</formula>
    </cfRule>
    <cfRule type="cellIs" dxfId="2721" priority="5614" stopIfTrue="1" operator="equal">
      <formula>"Napkin Hs"</formula>
    </cfRule>
    <cfRule type="cellIs" dxfId="2720" priority="5617" stopIfTrue="1" operator="equal">
      <formula>"Towel"</formula>
    </cfRule>
    <cfRule type="cellIs" dxfId="2719" priority="5618" stopIfTrue="1" operator="equal">
      <formula>"Napkin Hs"</formula>
    </cfRule>
    <cfRule type="cellIs" dxfId="2718" priority="5620" stopIfTrue="1" operator="equal">
      <formula>"Napkin Hs"</formula>
    </cfRule>
  </conditionalFormatting>
  <conditionalFormatting sqref="C134">
    <cfRule type="cellIs" dxfId="2717" priority="5619" stopIfTrue="1" operator="equal">
      <formula>"Towel"</formula>
    </cfRule>
  </conditionalFormatting>
  <conditionalFormatting sqref="B134:C134">
    <cfRule type="cellIs" dxfId="2716" priority="5597" stopIfTrue="1" operator="equal">
      <formula>"Towel"</formula>
    </cfRule>
    <cfRule type="cellIs" dxfId="2715" priority="5598" stopIfTrue="1" operator="equal">
      <formula>"Napkin Hs"</formula>
    </cfRule>
  </conditionalFormatting>
  <conditionalFormatting sqref="C134">
    <cfRule type="cellIs" dxfId="2714" priority="5596" stopIfTrue="1" operator="equal">
      <formula>"Napkin Hs"</formula>
    </cfRule>
  </conditionalFormatting>
  <conditionalFormatting sqref="C134">
    <cfRule type="cellIs" dxfId="2713" priority="5595" stopIfTrue="1" operator="equal">
      <formula>"Towel"</formula>
    </cfRule>
  </conditionalFormatting>
  <conditionalFormatting sqref="C134">
    <cfRule type="cellIs" dxfId="2712" priority="5593" stopIfTrue="1" operator="equal">
      <formula>"Towel"</formula>
    </cfRule>
  </conditionalFormatting>
  <conditionalFormatting sqref="C134">
    <cfRule type="cellIs" dxfId="2711" priority="5594" stopIfTrue="1" operator="equal">
      <formula>"Napkin Hs"</formula>
    </cfRule>
  </conditionalFormatting>
  <conditionalFormatting sqref="B134">
    <cfRule type="cellIs" dxfId="2710" priority="5497" stopIfTrue="1" operator="equal">
      <formula>"Napkin Hs"</formula>
    </cfRule>
  </conditionalFormatting>
  <conditionalFormatting sqref="B134:C134">
    <cfRule type="cellIs" dxfId="2709" priority="5496" stopIfTrue="1" operator="equal">
      <formula>"Towel"</formula>
    </cfRule>
  </conditionalFormatting>
  <conditionalFormatting sqref="B134:C134">
    <cfRule type="cellIs" dxfId="2708" priority="5507" stopIfTrue="1" operator="equal">
      <formula>"Towel"</formula>
    </cfRule>
    <cfRule type="cellIs" dxfId="2707" priority="5508" stopIfTrue="1" operator="equal">
      <formula>"Napkin Hs"</formula>
    </cfRule>
    <cfRule type="cellIs" dxfId="2706" priority="5513" stopIfTrue="1" operator="equal">
      <formula>"Towel"</formula>
    </cfRule>
    <cfRule type="cellIs" dxfId="2705" priority="5514" stopIfTrue="1" operator="equal">
      <formula>"Napkin Hs"</formula>
    </cfRule>
    <cfRule type="cellIs" dxfId="2704" priority="5519" stopIfTrue="1" operator="equal">
      <formula>"Towel"</formula>
    </cfRule>
    <cfRule type="cellIs" dxfId="2703" priority="5520" stopIfTrue="1" operator="equal">
      <formula>"Napkin Hs"</formula>
    </cfRule>
    <cfRule type="cellIs" dxfId="2702" priority="5521" stopIfTrue="1" operator="equal">
      <formula>"Towel"</formula>
    </cfRule>
    <cfRule type="cellIs" dxfId="2701" priority="5522" stopIfTrue="1" operator="equal">
      <formula>"Napkin Hs"</formula>
    </cfRule>
    <cfRule type="cellIs" dxfId="2700" priority="5527" stopIfTrue="1" operator="equal">
      <formula>"Towel"</formula>
    </cfRule>
    <cfRule type="cellIs" dxfId="2699" priority="5528" stopIfTrue="1" operator="equal">
      <formula>"Napkin Hs"</formula>
    </cfRule>
    <cfRule type="cellIs" dxfId="2698" priority="5537" stopIfTrue="1" operator="equal">
      <formula>"Towel"</formula>
    </cfRule>
    <cfRule type="cellIs" dxfId="2697" priority="5538" stopIfTrue="1" operator="equal">
      <formula>"Napkin Hs"</formula>
    </cfRule>
    <cfRule type="cellIs" dxfId="2696" priority="5543" stopIfTrue="1" operator="equal">
      <formula>"Towel"</formula>
    </cfRule>
    <cfRule type="cellIs" dxfId="2695" priority="5544" stopIfTrue="1" operator="equal">
      <formula>"Napkin Hs"</formula>
    </cfRule>
    <cfRule type="cellIs" dxfId="2694" priority="5545" stopIfTrue="1" operator="equal">
      <formula>"Towel"</formula>
    </cfRule>
    <cfRule type="cellIs" dxfId="2693" priority="5546" stopIfTrue="1" operator="equal">
      <formula>"Napkin Hs"</formula>
    </cfRule>
    <cfRule type="cellIs" dxfId="2692" priority="5551" stopIfTrue="1" operator="equal">
      <formula>"Towel"</formula>
    </cfRule>
    <cfRule type="cellIs" dxfId="2691" priority="5552" stopIfTrue="1" operator="equal">
      <formula>"Napkin Hs"</formula>
    </cfRule>
    <cfRule type="cellIs" dxfId="2690" priority="5561" stopIfTrue="1" operator="equal">
      <formula>"Towel"</formula>
    </cfRule>
    <cfRule type="cellIs" dxfId="2689" priority="5562" stopIfTrue="1" operator="equal">
      <formula>"Napkin Hs"</formula>
    </cfRule>
    <cfRule type="cellIs" dxfId="2688" priority="5563" stopIfTrue="1" operator="equal">
      <formula>"Towel"</formula>
    </cfRule>
    <cfRule type="cellIs" dxfId="2687" priority="5564" stopIfTrue="1" operator="equal">
      <formula>"Napkin Hs"</formula>
    </cfRule>
    <cfRule type="cellIs" dxfId="2686" priority="5569" stopIfTrue="1" operator="equal">
      <formula>"Towel"</formula>
    </cfRule>
    <cfRule type="cellIs" dxfId="2685" priority="5570" stopIfTrue="1" operator="equal">
      <formula>"Napkin Hs"</formula>
    </cfRule>
    <cfRule type="cellIs" dxfId="2684" priority="5579" stopIfTrue="1" operator="equal">
      <formula>"Towel"</formula>
    </cfRule>
    <cfRule type="cellIs" dxfId="2683" priority="5580" stopIfTrue="1" operator="equal">
      <formula>"Napkin Hs"</formula>
    </cfRule>
    <cfRule type="cellIs" dxfId="2682" priority="5581" stopIfTrue="1" operator="equal">
      <formula>"Towel"</formula>
    </cfRule>
    <cfRule type="cellIs" dxfId="2681" priority="5582" stopIfTrue="1" operator="equal">
      <formula>"Napkin Hs"</formula>
    </cfRule>
    <cfRule type="cellIs" dxfId="2680" priority="5588" stopIfTrue="1" operator="equal">
      <formula>"Napkin Hs"</formula>
    </cfRule>
  </conditionalFormatting>
  <conditionalFormatting sqref="B134:C134">
    <cfRule type="cellIs" dxfId="2679" priority="5587" stopIfTrue="1" operator="equal">
      <formula>"Towel"</formula>
    </cfRule>
  </conditionalFormatting>
  <conditionalFormatting sqref="C134">
    <cfRule type="cellIs" dxfId="2678" priority="5498" stopIfTrue="1" operator="equal">
      <formula>"Napkin Hs"</formula>
    </cfRule>
    <cfRule type="cellIs" dxfId="2677" priority="5499" stopIfTrue="1" operator="equal">
      <formula>"Towel"</formula>
    </cfRule>
    <cfRule type="cellIs" dxfId="2676" priority="5500" stopIfTrue="1" operator="equal">
      <formula>"Napkin Hs"</formula>
    </cfRule>
    <cfRule type="cellIs" dxfId="2675" priority="5501" stopIfTrue="1" operator="equal">
      <formula>"Towel"</formula>
    </cfRule>
    <cfRule type="cellIs" dxfId="2674" priority="5502" stopIfTrue="1" operator="equal">
      <formula>"Napkin Hs"</formula>
    </cfRule>
    <cfRule type="cellIs" dxfId="2673" priority="5503" stopIfTrue="1" operator="equal">
      <formula>"Towel"</formula>
    </cfRule>
    <cfRule type="cellIs" dxfId="2672" priority="5504" stopIfTrue="1" operator="equal">
      <formula>"Napkin Hs"</formula>
    </cfRule>
    <cfRule type="cellIs" dxfId="2671" priority="5505" stopIfTrue="1" operator="equal">
      <formula>"Towel"</formula>
    </cfRule>
    <cfRule type="cellIs" dxfId="2670" priority="5506" stopIfTrue="1" operator="equal">
      <formula>"Napkin Hs"</formula>
    </cfRule>
    <cfRule type="cellIs" dxfId="2669" priority="5509" stopIfTrue="1" operator="equal">
      <formula>"Towel"</formula>
    </cfRule>
    <cfRule type="cellIs" dxfId="2668" priority="5510" stopIfTrue="1" operator="equal">
      <formula>"Napkin Hs"</formula>
    </cfRule>
    <cfRule type="cellIs" dxfId="2667" priority="5511" stopIfTrue="1" operator="equal">
      <formula>"Towel"</formula>
    </cfRule>
    <cfRule type="cellIs" dxfId="2666" priority="5512" stopIfTrue="1" operator="equal">
      <formula>"Napkin Hs"</formula>
    </cfRule>
    <cfRule type="cellIs" dxfId="2665" priority="5515" stopIfTrue="1" operator="equal">
      <formula>"Towel"</formula>
    </cfRule>
    <cfRule type="cellIs" dxfId="2664" priority="5516" stopIfTrue="1" operator="equal">
      <formula>"Napkin Hs"</formula>
    </cfRule>
    <cfRule type="cellIs" dxfId="2663" priority="5517" stopIfTrue="1" operator="equal">
      <formula>"Towel"</formula>
    </cfRule>
    <cfRule type="cellIs" dxfId="2662" priority="5518" stopIfTrue="1" operator="equal">
      <formula>"Napkin Hs"</formula>
    </cfRule>
    <cfRule type="cellIs" dxfId="2661" priority="5523" stopIfTrue="1" operator="equal">
      <formula>"Towel"</formula>
    </cfRule>
    <cfRule type="cellIs" dxfId="2660" priority="5524" stopIfTrue="1" operator="equal">
      <formula>"Napkin Hs"</formula>
    </cfRule>
    <cfRule type="cellIs" dxfId="2659" priority="5525" stopIfTrue="1" operator="equal">
      <formula>"Towel"</formula>
    </cfRule>
    <cfRule type="cellIs" dxfId="2658" priority="5526" stopIfTrue="1" operator="equal">
      <formula>"Napkin Hs"</formula>
    </cfRule>
    <cfRule type="cellIs" dxfId="2657" priority="5529" stopIfTrue="1" operator="equal">
      <formula>"Towel"</formula>
    </cfRule>
    <cfRule type="cellIs" dxfId="2656" priority="5530" stopIfTrue="1" operator="equal">
      <formula>"Napkin Hs"</formula>
    </cfRule>
    <cfRule type="cellIs" dxfId="2655" priority="5531" stopIfTrue="1" operator="equal">
      <formula>"Towel"</formula>
    </cfRule>
    <cfRule type="cellIs" dxfId="2654" priority="5532" stopIfTrue="1" operator="equal">
      <formula>"Napkin Hs"</formula>
    </cfRule>
    <cfRule type="cellIs" dxfId="2653" priority="5533" stopIfTrue="1" operator="equal">
      <formula>"Towel"</formula>
    </cfRule>
    <cfRule type="cellIs" dxfId="2652" priority="5534" stopIfTrue="1" operator="equal">
      <formula>"Napkin Hs"</formula>
    </cfRule>
    <cfRule type="cellIs" dxfId="2651" priority="5535" stopIfTrue="1" operator="equal">
      <formula>"Towel"</formula>
    </cfRule>
    <cfRule type="cellIs" dxfId="2650" priority="5536" stopIfTrue="1" operator="equal">
      <formula>"Napkin Hs"</formula>
    </cfRule>
    <cfRule type="cellIs" dxfId="2649" priority="5539" stopIfTrue="1" operator="equal">
      <formula>"Towel"</formula>
    </cfRule>
    <cfRule type="cellIs" dxfId="2648" priority="5540" stopIfTrue="1" operator="equal">
      <formula>"Napkin Hs"</formula>
    </cfRule>
    <cfRule type="cellIs" dxfId="2647" priority="5541" stopIfTrue="1" operator="equal">
      <formula>"Towel"</formula>
    </cfRule>
    <cfRule type="cellIs" dxfId="2646" priority="5542" stopIfTrue="1" operator="equal">
      <formula>"Napkin Hs"</formula>
    </cfRule>
    <cfRule type="cellIs" dxfId="2645" priority="5547" stopIfTrue="1" operator="equal">
      <formula>"Towel"</formula>
    </cfRule>
    <cfRule type="cellIs" dxfId="2644" priority="5548" stopIfTrue="1" operator="equal">
      <formula>"Napkin Hs"</formula>
    </cfRule>
    <cfRule type="cellIs" dxfId="2643" priority="5549" stopIfTrue="1" operator="equal">
      <formula>"Towel"</formula>
    </cfRule>
    <cfRule type="cellIs" dxfId="2642" priority="5550" stopIfTrue="1" operator="equal">
      <formula>"Napkin Hs"</formula>
    </cfRule>
    <cfRule type="cellIs" dxfId="2641" priority="5553" stopIfTrue="1" operator="equal">
      <formula>"Towel"</formula>
    </cfRule>
    <cfRule type="cellIs" dxfId="2640" priority="5554" stopIfTrue="1" operator="equal">
      <formula>"Napkin Hs"</formula>
    </cfRule>
    <cfRule type="cellIs" dxfId="2639" priority="5555" stopIfTrue="1" operator="equal">
      <formula>"Towel"</formula>
    </cfRule>
    <cfRule type="cellIs" dxfId="2638" priority="5556" stopIfTrue="1" operator="equal">
      <formula>"Napkin Hs"</formula>
    </cfRule>
    <cfRule type="cellIs" dxfId="2637" priority="5557" stopIfTrue="1" operator="equal">
      <formula>"Towel"</formula>
    </cfRule>
    <cfRule type="cellIs" dxfId="2636" priority="5558" stopIfTrue="1" operator="equal">
      <formula>"Napkin Hs"</formula>
    </cfRule>
    <cfRule type="cellIs" dxfId="2635" priority="5559" stopIfTrue="1" operator="equal">
      <formula>"Towel"</formula>
    </cfRule>
    <cfRule type="cellIs" dxfId="2634" priority="5560" stopIfTrue="1" operator="equal">
      <formula>"Napkin Hs"</formula>
    </cfRule>
    <cfRule type="cellIs" dxfId="2633" priority="5565" stopIfTrue="1" operator="equal">
      <formula>"Towel"</formula>
    </cfRule>
    <cfRule type="cellIs" dxfId="2632" priority="5566" stopIfTrue="1" operator="equal">
      <formula>"Napkin Hs"</formula>
    </cfRule>
    <cfRule type="cellIs" dxfId="2631" priority="5567" stopIfTrue="1" operator="equal">
      <formula>"Towel"</formula>
    </cfRule>
    <cfRule type="cellIs" dxfId="2630" priority="5568" stopIfTrue="1" operator="equal">
      <formula>"Napkin Hs"</formula>
    </cfRule>
    <cfRule type="cellIs" dxfId="2629" priority="5571" stopIfTrue="1" operator="equal">
      <formula>"Towel"</formula>
    </cfRule>
    <cfRule type="cellIs" dxfId="2628" priority="5572" stopIfTrue="1" operator="equal">
      <formula>"Napkin Hs"</formula>
    </cfRule>
    <cfRule type="cellIs" dxfId="2627" priority="5573" stopIfTrue="1" operator="equal">
      <formula>"Towel"</formula>
    </cfRule>
    <cfRule type="cellIs" dxfId="2626" priority="5574" stopIfTrue="1" operator="equal">
      <formula>"Napkin Hs"</formula>
    </cfRule>
    <cfRule type="cellIs" dxfId="2625" priority="5575" stopIfTrue="1" operator="equal">
      <formula>"Towel"</formula>
    </cfRule>
    <cfRule type="cellIs" dxfId="2624" priority="5576" stopIfTrue="1" operator="equal">
      <formula>"Napkin Hs"</formula>
    </cfRule>
    <cfRule type="cellIs" dxfId="2623" priority="5577" stopIfTrue="1" operator="equal">
      <formula>"Towel"</formula>
    </cfRule>
    <cfRule type="cellIs" dxfId="2622" priority="5578" stopIfTrue="1" operator="equal">
      <formula>"Napkin Hs"</formula>
    </cfRule>
    <cfRule type="cellIs" dxfId="2621" priority="5583" stopIfTrue="1" operator="equal">
      <formula>"Towel"</formula>
    </cfRule>
    <cfRule type="cellIs" dxfId="2620" priority="5584" stopIfTrue="1" operator="equal">
      <formula>"Napkin Hs"</formula>
    </cfRule>
    <cfRule type="cellIs" dxfId="2619" priority="5585" stopIfTrue="1" operator="equal">
      <formula>"Towel"</formula>
    </cfRule>
    <cfRule type="cellIs" dxfId="2618" priority="5586" stopIfTrue="1" operator="equal">
      <formula>"Napkin Hs"</formula>
    </cfRule>
    <cfRule type="cellIs" dxfId="2617" priority="5589" stopIfTrue="1" operator="equal">
      <formula>"Towel"</formula>
    </cfRule>
    <cfRule type="cellIs" dxfId="2616" priority="5590" stopIfTrue="1" operator="equal">
      <formula>"Napkin Hs"</formula>
    </cfRule>
    <cfRule type="cellIs" dxfId="2615" priority="5591" stopIfTrue="1" operator="equal">
      <formula>"Towel"</formula>
    </cfRule>
    <cfRule type="cellIs" dxfId="2614" priority="5592" stopIfTrue="1" operator="equal">
      <formula>"Napkin Hs"</formula>
    </cfRule>
  </conditionalFormatting>
  <conditionalFormatting sqref="C134">
    <cfRule type="cellIs" dxfId="2613" priority="5495" stopIfTrue="1" operator="equal">
      <formula>"Napkin Hs"</formula>
    </cfRule>
  </conditionalFormatting>
  <conditionalFormatting sqref="C134">
    <cfRule type="cellIs" dxfId="2612" priority="5494" stopIfTrue="1" operator="equal">
      <formula>"Napkin Hs"</formula>
    </cfRule>
  </conditionalFormatting>
  <conditionalFormatting sqref="B134">
    <cfRule type="cellIs" dxfId="2611" priority="5493" stopIfTrue="1" operator="equal">
      <formula>"Napkin Hs"</formula>
    </cfRule>
  </conditionalFormatting>
  <conditionalFormatting sqref="C134">
    <cfRule type="cellIs" dxfId="2610" priority="5492" stopIfTrue="1" operator="equal">
      <formula>"Napkin Hs"</formula>
    </cfRule>
  </conditionalFormatting>
  <conditionalFormatting sqref="C134">
    <cfRule type="cellIs" dxfId="2609" priority="5491" stopIfTrue="1" operator="equal">
      <formula>"Napkin Hs"</formula>
    </cfRule>
  </conditionalFormatting>
  <conditionalFormatting sqref="C134">
    <cfRule type="cellIs" dxfId="2608" priority="5490" stopIfTrue="1" operator="equal">
      <formula>"Napkin Hs"</formula>
    </cfRule>
  </conditionalFormatting>
  <conditionalFormatting sqref="C134">
    <cfRule type="cellIs" dxfId="2607" priority="5489" stopIfTrue="1" operator="equal">
      <formula>"Napkin Hs"</formula>
    </cfRule>
  </conditionalFormatting>
  <conditionalFormatting sqref="B134">
    <cfRule type="cellIs" dxfId="2606" priority="5488" stopIfTrue="1" operator="equal">
      <formula>"Napkin Hs"</formula>
    </cfRule>
  </conditionalFormatting>
  <conditionalFormatting sqref="B134">
    <cfRule type="cellIs" dxfId="2605" priority="5487" stopIfTrue="1" operator="equal">
      <formula>"Napkin Hs"</formula>
    </cfRule>
  </conditionalFormatting>
  <conditionalFormatting sqref="C134">
    <cfRule type="cellIs" dxfId="2604" priority="5483" stopIfTrue="1" operator="equal">
      <formula>"Towel"</formula>
    </cfRule>
    <cfRule type="cellIs" dxfId="2603" priority="5484" stopIfTrue="1" operator="equal">
      <formula>"Napkin Hs"</formula>
    </cfRule>
  </conditionalFormatting>
  <conditionalFormatting sqref="C134">
    <cfRule type="cellIs" dxfId="2602" priority="5485" stopIfTrue="1" operator="equal">
      <formula>"Towel"</formula>
    </cfRule>
    <cfRule type="cellIs" dxfId="2601" priority="5486" stopIfTrue="1" operator="equal">
      <formula>"Napkin Hs"</formula>
    </cfRule>
  </conditionalFormatting>
  <conditionalFormatting sqref="C134">
    <cfRule type="cellIs" dxfId="2600" priority="5479" stopIfTrue="1" operator="equal">
      <formula>"Towel"</formula>
    </cfRule>
    <cfRule type="cellIs" dxfId="2599" priority="5480" stopIfTrue="1" operator="equal">
      <formula>"Napkin Hs"</formula>
    </cfRule>
  </conditionalFormatting>
  <conditionalFormatting sqref="C134">
    <cfRule type="cellIs" dxfId="2598" priority="5481" stopIfTrue="1" operator="equal">
      <formula>"Towel"</formula>
    </cfRule>
    <cfRule type="cellIs" dxfId="2597" priority="5482" stopIfTrue="1" operator="equal">
      <formula>"Napkin Hs"</formula>
    </cfRule>
  </conditionalFormatting>
  <conditionalFormatting sqref="C133">
    <cfRule type="cellIs" dxfId="2596" priority="5477" stopIfTrue="1" operator="equal">
      <formula>"Towel"</formula>
    </cfRule>
    <cfRule type="cellIs" dxfId="2595" priority="5478" stopIfTrue="1" operator="equal">
      <formula>"Napkin Hs"</formula>
    </cfRule>
  </conditionalFormatting>
  <conditionalFormatting sqref="C133">
    <cfRule type="cellIs" dxfId="2594" priority="5473" stopIfTrue="1" operator="equal">
      <formula>"Towel"</formula>
    </cfRule>
    <cfRule type="cellIs" dxfId="2593" priority="5474" stopIfTrue="1" operator="equal">
      <formula>"Napkin Hs"</formula>
    </cfRule>
  </conditionalFormatting>
  <conditionalFormatting sqref="C133">
    <cfRule type="cellIs" dxfId="2592" priority="5475" stopIfTrue="1" operator="equal">
      <formula>"Towel"</formula>
    </cfRule>
    <cfRule type="cellIs" dxfId="2591" priority="5476" stopIfTrue="1" operator="equal">
      <formula>"Napkin Hs"</formula>
    </cfRule>
  </conditionalFormatting>
  <conditionalFormatting sqref="C133">
    <cfRule type="cellIs" dxfId="2590" priority="5469" stopIfTrue="1" operator="equal">
      <formula>"Towel"</formula>
    </cfRule>
    <cfRule type="cellIs" dxfId="2589" priority="5470" stopIfTrue="1" operator="equal">
      <formula>"Napkin Hs"</formula>
    </cfRule>
  </conditionalFormatting>
  <conditionalFormatting sqref="C133">
    <cfRule type="cellIs" dxfId="2588" priority="5471" stopIfTrue="1" operator="equal">
      <formula>"Towel"</formula>
    </cfRule>
    <cfRule type="cellIs" dxfId="2587" priority="5472" stopIfTrue="1" operator="equal">
      <formula>"Napkin Hs"</formula>
    </cfRule>
  </conditionalFormatting>
  <conditionalFormatting sqref="C133">
    <cfRule type="cellIs" dxfId="2586" priority="5467" stopIfTrue="1" operator="equal">
      <formula>"Towel"</formula>
    </cfRule>
    <cfRule type="cellIs" dxfId="2585" priority="5468" stopIfTrue="1" operator="equal">
      <formula>"Napkin Hs"</formula>
    </cfRule>
  </conditionalFormatting>
  <conditionalFormatting sqref="C133">
    <cfRule type="cellIs" dxfId="2584" priority="5461" stopIfTrue="1" operator="equal">
      <formula>"Towel"</formula>
    </cfRule>
    <cfRule type="cellIs" dxfId="2583" priority="5462" stopIfTrue="1" operator="equal">
      <formula>"Napkin Hs"</formula>
    </cfRule>
  </conditionalFormatting>
  <conditionalFormatting sqref="C133">
    <cfRule type="cellIs" dxfId="2582" priority="5465" stopIfTrue="1" operator="equal">
      <formula>"Towel"</formula>
    </cfRule>
    <cfRule type="cellIs" dxfId="2581" priority="5466" stopIfTrue="1" operator="equal">
      <formula>"Napkin Hs"</formula>
    </cfRule>
  </conditionalFormatting>
  <conditionalFormatting sqref="C133">
    <cfRule type="cellIs" dxfId="2580" priority="5463" stopIfTrue="1" operator="equal">
      <formula>"Towel"</formula>
    </cfRule>
    <cfRule type="cellIs" dxfId="2579" priority="5464" stopIfTrue="1" operator="equal">
      <formula>"Napkin Hs"</formula>
    </cfRule>
  </conditionalFormatting>
  <conditionalFormatting sqref="C133">
    <cfRule type="cellIs" dxfId="2578" priority="5455" stopIfTrue="1" operator="equal">
      <formula>"Towel"</formula>
    </cfRule>
    <cfRule type="cellIs" dxfId="2577" priority="5456" stopIfTrue="1" operator="equal">
      <formula>"Napkin Hs"</formula>
    </cfRule>
  </conditionalFormatting>
  <conditionalFormatting sqref="C133">
    <cfRule type="cellIs" dxfId="2576" priority="5457" stopIfTrue="1" operator="equal">
      <formula>"Towel"</formula>
    </cfRule>
    <cfRule type="cellIs" dxfId="2575" priority="5458" stopIfTrue="1" operator="equal">
      <formula>"Napkin Hs"</formula>
    </cfRule>
  </conditionalFormatting>
  <conditionalFormatting sqref="C133">
    <cfRule type="cellIs" dxfId="2574" priority="5459" stopIfTrue="1" operator="equal">
      <formula>"Towel"</formula>
    </cfRule>
    <cfRule type="cellIs" dxfId="2573" priority="5460" stopIfTrue="1" operator="equal">
      <formula>"Napkin Hs"</formula>
    </cfRule>
  </conditionalFormatting>
  <conditionalFormatting sqref="C133">
    <cfRule type="cellIs" dxfId="2572" priority="5453" stopIfTrue="1" operator="equal">
      <formula>"Towel"</formula>
    </cfRule>
    <cfRule type="cellIs" dxfId="2571" priority="5454" stopIfTrue="1" operator="equal">
      <formula>"Napkin Hs"</formula>
    </cfRule>
  </conditionalFormatting>
  <conditionalFormatting sqref="C133">
    <cfRule type="cellIs" dxfId="2570" priority="5451" stopIfTrue="1" operator="equal">
      <formula>"Towel"</formula>
    </cfRule>
    <cfRule type="cellIs" dxfId="2569" priority="5452" stopIfTrue="1" operator="equal">
      <formula>"Napkin Hs"</formula>
    </cfRule>
  </conditionalFormatting>
  <conditionalFormatting sqref="C133">
    <cfRule type="cellIs" dxfId="2568" priority="5427" stopIfTrue="1" operator="equal">
      <formula>"Towel"</formula>
    </cfRule>
  </conditionalFormatting>
  <conditionalFormatting sqref="C133">
    <cfRule type="cellIs" dxfId="2567" priority="5428" stopIfTrue="1" operator="equal">
      <formula>"Napkin Hs"</formula>
    </cfRule>
    <cfRule type="cellIs" dxfId="2566" priority="5433" stopIfTrue="1" operator="equal">
      <formula>"Towel"</formula>
    </cfRule>
    <cfRule type="cellIs" dxfId="2565" priority="5434" stopIfTrue="1" operator="equal">
      <formula>"Napkin Hs"</formula>
    </cfRule>
    <cfRule type="cellIs" dxfId="2564" priority="5443" stopIfTrue="1" operator="equal">
      <formula>"Towel"</formula>
    </cfRule>
    <cfRule type="cellIs" dxfId="2563" priority="5444" stopIfTrue="1" operator="equal">
      <formula>"Napkin Hs"</formula>
    </cfRule>
    <cfRule type="cellIs" dxfId="2562" priority="5449" stopIfTrue="1" operator="equal">
      <formula>"Towel"</formula>
    </cfRule>
    <cfRule type="cellIs" dxfId="2561" priority="5450" stopIfTrue="1" operator="equal">
      <formula>"Napkin Hs"</formula>
    </cfRule>
  </conditionalFormatting>
  <conditionalFormatting sqref="C133">
    <cfRule type="cellIs" dxfId="2560" priority="5429" stopIfTrue="1" operator="equal">
      <formula>"Towel"</formula>
    </cfRule>
    <cfRule type="cellIs" dxfId="2559" priority="5430" stopIfTrue="1" operator="equal">
      <formula>"Napkin Hs"</formula>
    </cfRule>
    <cfRule type="cellIs" dxfId="2558" priority="5431" stopIfTrue="1" operator="equal">
      <formula>"Towel"</formula>
    </cfRule>
    <cfRule type="cellIs" dxfId="2557" priority="5432" stopIfTrue="1" operator="equal">
      <formula>"Napkin Hs"</formula>
    </cfRule>
    <cfRule type="cellIs" dxfId="2556" priority="5435" stopIfTrue="1" operator="equal">
      <formula>"Towel"</formula>
    </cfRule>
    <cfRule type="cellIs" dxfId="2555" priority="5436" stopIfTrue="1" operator="equal">
      <formula>"Napkin Hs"</formula>
    </cfRule>
    <cfRule type="cellIs" dxfId="2554" priority="5437" stopIfTrue="1" operator="equal">
      <formula>"Towel"</formula>
    </cfRule>
    <cfRule type="cellIs" dxfId="2553" priority="5438" stopIfTrue="1" operator="equal">
      <formula>"Napkin Hs"</formula>
    </cfRule>
    <cfRule type="cellIs" dxfId="2552" priority="5439" stopIfTrue="1" operator="equal">
      <formula>"Towel"</formula>
    </cfRule>
    <cfRule type="cellIs" dxfId="2551" priority="5440" stopIfTrue="1" operator="equal">
      <formula>"Napkin Hs"</formula>
    </cfRule>
    <cfRule type="cellIs" dxfId="2550" priority="5441" stopIfTrue="1" operator="equal">
      <formula>"Towel"</formula>
    </cfRule>
    <cfRule type="cellIs" dxfId="2549" priority="5442" stopIfTrue="1" operator="equal">
      <formula>"Napkin Hs"</formula>
    </cfRule>
    <cfRule type="cellIs" dxfId="2548" priority="5445" stopIfTrue="1" operator="equal">
      <formula>"Towel"</formula>
    </cfRule>
    <cfRule type="cellIs" dxfId="2547" priority="5446" stopIfTrue="1" operator="equal">
      <formula>"Napkin Hs"</formula>
    </cfRule>
    <cfRule type="cellIs" dxfId="2546" priority="5448" stopIfTrue="1" operator="equal">
      <formula>"Napkin Hs"</formula>
    </cfRule>
  </conditionalFormatting>
  <conditionalFormatting sqref="C133">
    <cfRule type="cellIs" dxfId="2545" priority="5447" stopIfTrue="1" operator="equal">
      <formula>"Towel"</formula>
    </cfRule>
  </conditionalFormatting>
  <conditionalFormatting sqref="C133">
    <cfRule type="cellIs" dxfId="2544" priority="5425" stopIfTrue="1" operator="equal">
      <formula>"Towel"</formula>
    </cfRule>
    <cfRule type="cellIs" dxfId="2543" priority="5426" stopIfTrue="1" operator="equal">
      <formula>"Napkin Hs"</formula>
    </cfRule>
  </conditionalFormatting>
  <conditionalFormatting sqref="C133">
    <cfRule type="cellIs" dxfId="2542" priority="5424" stopIfTrue="1" operator="equal">
      <formula>"Napkin Hs"</formula>
    </cfRule>
  </conditionalFormatting>
  <conditionalFormatting sqref="C133">
    <cfRule type="cellIs" dxfId="2541" priority="5423" stopIfTrue="1" operator="equal">
      <formula>"Towel"</formula>
    </cfRule>
  </conditionalFormatting>
  <conditionalFormatting sqref="C133">
    <cfRule type="cellIs" dxfId="2540" priority="5421" stopIfTrue="1" operator="equal">
      <formula>"Towel"</formula>
    </cfRule>
  </conditionalFormatting>
  <conditionalFormatting sqref="C133">
    <cfRule type="cellIs" dxfId="2539" priority="5422" stopIfTrue="1" operator="equal">
      <formula>"Napkin Hs"</formula>
    </cfRule>
  </conditionalFormatting>
  <conditionalFormatting sqref="C133">
    <cfRule type="cellIs" dxfId="2538" priority="5325" stopIfTrue="1" operator="equal">
      <formula>"Towel"</formula>
    </cfRule>
  </conditionalFormatting>
  <conditionalFormatting sqref="C133">
    <cfRule type="cellIs" dxfId="2537" priority="5335" stopIfTrue="1" operator="equal">
      <formula>"Towel"</formula>
    </cfRule>
    <cfRule type="cellIs" dxfId="2536" priority="5336" stopIfTrue="1" operator="equal">
      <formula>"Napkin Hs"</formula>
    </cfRule>
    <cfRule type="cellIs" dxfId="2535" priority="5341" stopIfTrue="1" operator="equal">
      <formula>"Towel"</formula>
    </cfRule>
    <cfRule type="cellIs" dxfId="2534" priority="5342" stopIfTrue="1" operator="equal">
      <formula>"Napkin Hs"</formula>
    </cfRule>
    <cfRule type="cellIs" dxfId="2533" priority="5347" stopIfTrue="1" operator="equal">
      <formula>"Towel"</formula>
    </cfRule>
    <cfRule type="cellIs" dxfId="2532" priority="5348" stopIfTrue="1" operator="equal">
      <formula>"Napkin Hs"</formula>
    </cfRule>
    <cfRule type="cellIs" dxfId="2531" priority="5349" stopIfTrue="1" operator="equal">
      <formula>"Towel"</formula>
    </cfRule>
    <cfRule type="cellIs" dxfId="2530" priority="5350" stopIfTrue="1" operator="equal">
      <formula>"Napkin Hs"</formula>
    </cfRule>
    <cfRule type="cellIs" dxfId="2529" priority="5355" stopIfTrue="1" operator="equal">
      <formula>"Towel"</formula>
    </cfRule>
    <cfRule type="cellIs" dxfId="2528" priority="5356" stopIfTrue="1" operator="equal">
      <formula>"Napkin Hs"</formula>
    </cfRule>
    <cfRule type="cellIs" dxfId="2527" priority="5365" stopIfTrue="1" operator="equal">
      <formula>"Towel"</formula>
    </cfRule>
    <cfRule type="cellIs" dxfId="2526" priority="5366" stopIfTrue="1" operator="equal">
      <formula>"Napkin Hs"</formula>
    </cfRule>
    <cfRule type="cellIs" dxfId="2525" priority="5371" stopIfTrue="1" operator="equal">
      <formula>"Towel"</formula>
    </cfRule>
    <cfRule type="cellIs" dxfId="2524" priority="5372" stopIfTrue="1" operator="equal">
      <formula>"Napkin Hs"</formula>
    </cfRule>
    <cfRule type="cellIs" dxfId="2523" priority="5373" stopIfTrue="1" operator="equal">
      <formula>"Towel"</formula>
    </cfRule>
    <cfRule type="cellIs" dxfId="2522" priority="5374" stopIfTrue="1" operator="equal">
      <formula>"Napkin Hs"</formula>
    </cfRule>
    <cfRule type="cellIs" dxfId="2521" priority="5379" stopIfTrue="1" operator="equal">
      <formula>"Towel"</formula>
    </cfRule>
    <cfRule type="cellIs" dxfId="2520" priority="5380" stopIfTrue="1" operator="equal">
      <formula>"Napkin Hs"</formula>
    </cfRule>
    <cfRule type="cellIs" dxfId="2519" priority="5389" stopIfTrue="1" operator="equal">
      <formula>"Towel"</formula>
    </cfRule>
    <cfRule type="cellIs" dxfId="2518" priority="5390" stopIfTrue="1" operator="equal">
      <formula>"Napkin Hs"</formula>
    </cfRule>
    <cfRule type="cellIs" dxfId="2517" priority="5391" stopIfTrue="1" operator="equal">
      <formula>"Towel"</formula>
    </cfRule>
    <cfRule type="cellIs" dxfId="2516" priority="5392" stopIfTrue="1" operator="equal">
      <formula>"Napkin Hs"</formula>
    </cfRule>
    <cfRule type="cellIs" dxfId="2515" priority="5397" stopIfTrue="1" operator="equal">
      <formula>"Towel"</formula>
    </cfRule>
    <cfRule type="cellIs" dxfId="2514" priority="5398" stopIfTrue="1" operator="equal">
      <formula>"Napkin Hs"</formula>
    </cfRule>
    <cfRule type="cellIs" dxfId="2513" priority="5407" stopIfTrue="1" operator="equal">
      <formula>"Towel"</formula>
    </cfRule>
    <cfRule type="cellIs" dxfId="2512" priority="5408" stopIfTrue="1" operator="equal">
      <formula>"Napkin Hs"</formula>
    </cfRule>
    <cfRule type="cellIs" dxfId="2511" priority="5409" stopIfTrue="1" operator="equal">
      <formula>"Towel"</formula>
    </cfRule>
    <cfRule type="cellIs" dxfId="2510" priority="5410" stopIfTrue="1" operator="equal">
      <formula>"Napkin Hs"</formula>
    </cfRule>
    <cfRule type="cellIs" dxfId="2509" priority="5416" stopIfTrue="1" operator="equal">
      <formula>"Napkin Hs"</formula>
    </cfRule>
  </conditionalFormatting>
  <conditionalFormatting sqref="C133">
    <cfRule type="cellIs" dxfId="2508" priority="5415" stopIfTrue="1" operator="equal">
      <formula>"Towel"</formula>
    </cfRule>
  </conditionalFormatting>
  <conditionalFormatting sqref="C133">
    <cfRule type="cellIs" dxfId="2507" priority="5326" stopIfTrue="1" operator="equal">
      <formula>"Napkin Hs"</formula>
    </cfRule>
    <cfRule type="cellIs" dxfId="2506" priority="5327" stopIfTrue="1" operator="equal">
      <formula>"Towel"</formula>
    </cfRule>
    <cfRule type="cellIs" dxfId="2505" priority="5328" stopIfTrue="1" operator="equal">
      <formula>"Napkin Hs"</formula>
    </cfRule>
    <cfRule type="cellIs" dxfId="2504" priority="5329" stopIfTrue="1" operator="equal">
      <formula>"Towel"</formula>
    </cfRule>
    <cfRule type="cellIs" dxfId="2503" priority="5330" stopIfTrue="1" operator="equal">
      <formula>"Napkin Hs"</formula>
    </cfRule>
    <cfRule type="cellIs" dxfId="2502" priority="5331" stopIfTrue="1" operator="equal">
      <formula>"Towel"</formula>
    </cfRule>
    <cfRule type="cellIs" dxfId="2501" priority="5332" stopIfTrue="1" operator="equal">
      <formula>"Napkin Hs"</formula>
    </cfRule>
    <cfRule type="cellIs" dxfId="2500" priority="5333" stopIfTrue="1" operator="equal">
      <formula>"Towel"</formula>
    </cfRule>
    <cfRule type="cellIs" dxfId="2499" priority="5334" stopIfTrue="1" operator="equal">
      <formula>"Napkin Hs"</formula>
    </cfRule>
    <cfRule type="cellIs" dxfId="2498" priority="5337" stopIfTrue="1" operator="equal">
      <formula>"Towel"</formula>
    </cfRule>
    <cfRule type="cellIs" dxfId="2497" priority="5338" stopIfTrue="1" operator="equal">
      <formula>"Napkin Hs"</formula>
    </cfRule>
    <cfRule type="cellIs" dxfId="2496" priority="5339" stopIfTrue="1" operator="equal">
      <formula>"Towel"</formula>
    </cfRule>
    <cfRule type="cellIs" dxfId="2495" priority="5340" stopIfTrue="1" operator="equal">
      <formula>"Napkin Hs"</formula>
    </cfRule>
    <cfRule type="cellIs" dxfId="2494" priority="5343" stopIfTrue="1" operator="equal">
      <formula>"Towel"</formula>
    </cfRule>
    <cfRule type="cellIs" dxfId="2493" priority="5344" stopIfTrue="1" operator="equal">
      <formula>"Napkin Hs"</formula>
    </cfRule>
    <cfRule type="cellIs" dxfId="2492" priority="5345" stopIfTrue="1" operator="equal">
      <formula>"Towel"</formula>
    </cfRule>
    <cfRule type="cellIs" dxfId="2491" priority="5346" stopIfTrue="1" operator="equal">
      <formula>"Napkin Hs"</formula>
    </cfRule>
    <cfRule type="cellIs" dxfId="2490" priority="5351" stopIfTrue="1" operator="equal">
      <formula>"Towel"</formula>
    </cfRule>
    <cfRule type="cellIs" dxfId="2489" priority="5352" stopIfTrue="1" operator="equal">
      <formula>"Napkin Hs"</formula>
    </cfRule>
    <cfRule type="cellIs" dxfId="2488" priority="5353" stopIfTrue="1" operator="equal">
      <formula>"Towel"</formula>
    </cfRule>
    <cfRule type="cellIs" dxfId="2487" priority="5354" stopIfTrue="1" operator="equal">
      <formula>"Napkin Hs"</formula>
    </cfRule>
    <cfRule type="cellIs" dxfId="2486" priority="5357" stopIfTrue="1" operator="equal">
      <formula>"Towel"</formula>
    </cfRule>
    <cfRule type="cellIs" dxfId="2485" priority="5358" stopIfTrue="1" operator="equal">
      <formula>"Napkin Hs"</formula>
    </cfRule>
    <cfRule type="cellIs" dxfId="2484" priority="5359" stopIfTrue="1" operator="equal">
      <formula>"Towel"</formula>
    </cfRule>
    <cfRule type="cellIs" dxfId="2483" priority="5360" stopIfTrue="1" operator="equal">
      <formula>"Napkin Hs"</formula>
    </cfRule>
    <cfRule type="cellIs" dxfId="2482" priority="5361" stopIfTrue="1" operator="equal">
      <formula>"Towel"</formula>
    </cfRule>
    <cfRule type="cellIs" dxfId="2481" priority="5362" stopIfTrue="1" operator="equal">
      <formula>"Napkin Hs"</formula>
    </cfRule>
    <cfRule type="cellIs" dxfId="2480" priority="5363" stopIfTrue="1" operator="equal">
      <formula>"Towel"</formula>
    </cfRule>
    <cfRule type="cellIs" dxfId="2479" priority="5364" stopIfTrue="1" operator="equal">
      <formula>"Napkin Hs"</formula>
    </cfRule>
    <cfRule type="cellIs" dxfId="2478" priority="5367" stopIfTrue="1" operator="equal">
      <formula>"Towel"</formula>
    </cfRule>
    <cfRule type="cellIs" dxfId="2477" priority="5368" stopIfTrue="1" operator="equal">
      <formula>"Napkin Hs"</formula>
    </cfRule>
    <cfRule type="cellIs" dxfId="2476" priority="5369" stopIfTrue="1" operator="equal">
      <formula>"Towel"</formula>
    </cfRule>
    <cfRule type="cellIs" dxfId="2475" priority="5370" stopIfTrue="1" operator="equal">
      <formula>"Napkin Hs"</formula>
    </cfRule>
    <cfRule type="cellIs" dxfId="2474" priority="5375" stopIfTrue="1" operator="equal">
      <formula>"Towel"</formula>
    </cfRule>
    <cfRule type="cellIs" dxfId="2473" priority="5376" stopIfTrue="1" operator="equal">
      <formula>"Napkin Hs"</formula>
    </cfRule>
    <cfRule type="cellIs" dxfId="2472" priority="5377" stopIfTrue="1" operator="equal">
      <formula>"Towel"</formula>
    </cfRule>
    <cfRule type="cellIs" dxfId="2471" priority="5378" stopIfTrue="1" operator="equal">
      <formula>"Napkin Hs"</formula>
    </cfRule>
    <cfRule type="cellIs" dxfId="2470" priority="5381" stopIfTrue="1" operator="equal">
      <formula>"Towel"</formula>
    </cfRule>
    <cfRule type="cellIs" dxfId="2469" priority="5382" stopIfTrue="1" operator="equal">
      <formula>"Napkin Hs"</formula>
    </cfRule>
    <cfRule type="cellIs" dxfId="2468" priority="5383" stopIfTrue="1" operator="equal">
      <formula>"Towel"</formula>
    </cfRule>
    <cfRule type="cellIs" dxfId="2467" priority="5384" stopIfTrue="1" operator="equal">
      <formula>"Napkin Hs"</formula>
    </cfRule>
    <cfRule type="cellIs" dxfId="2466" priority="5385" stopIfTrue="1" operator="equal">
      <formula>"Towel"</formula>
    </cfRule>
    <cfRule type="cellIs" dxfId="2465" priority="5386" stopIfTrue="1" operator="equal">
      <formula>"Napkin Hs"</formula>
    </cfRule>
    <cfRule type="cellIs" dxfId="2464" priority="5387" stopIfTrue="1" operator="equal">
      <formula>"Towel"</formula>
    </cfRule>
    <cfRule type="cellIs" dxfId="2463" priority="5388" stopIfTrue="1" operator="equal">
      <formula>"Napkin Hs"</formula>
    </cfRule>
    <cfRule type="cellIs" dxfId="2462" priority="5393" stopIfTrue="1" operator="equal">
      <formula>"Towel"</formula>
    </cfRule>
    <cfRule type="cellIs" dxfId="2461" priority="5394" stopIfTrue="1" operator="equal">
      <formula>"Napkin Hs"</formula>
    </cfRule>
    <cfRule type="cellIs" dxfId="2460" priority="5395" stopIfTrue="1" operator="equal">
      <formula>"Towel"</formula>
    </cfRule>
    <cfRule type="cellIs" dxfId="2459" priority="5396" stopIfTrue="1" operator="equal">
      <formula>"Napkin Hs"</formula>
    </cfRule>
    <cfRule type="cellIs" dxfId="2458" priority="5399" stopIfTrue="1" operator="equal">
      <formula>"Towel"</formula>
    </cfRule>
    <cfRule type="cellIs" dxfId="2457" priority="5400" stopIfTrue="1" operator="equal">
      <formula>"Napkin Hs"</formula>
    </cfRule>
    <cfRule type="cellIs" dxfId="2456" priority="5401" stopIfTrue="1" operator="equal">
      <formula>"Towel"</formula>
    </cfRule>
    <cfRule type="cellIs" dxfId="2455" priority="5402" stopIfTrue="1" operator="equal">
      <formula>"Napkin Hs"</formula>
    </cfRule>
    <cfRule type="cellIs" dxfId="2454" priority="5403" stopIfTrue="1" operator="equal">
      <formula>"Towel"</formula>
    </cfRule>
    <cfRule type="cellIs" dxfId="2453" priority="5404" stopIfTrue="1" operator="equal">
      <formula>"Napkin Hs"</formula>
    </cfRule>
    <cfRule type="cellIs" dxfId="2452" priority="5405" stopIfTrue="1" operator="equal">
      <formula>"Towel"</formula>
    </cfRule>
    <cfRule type="cellIs" dxfId="2451" priority="5406" stopIfTrue="1" operator="equal">
      <formula>"Napkin Hs"</formula>
    </cfRule>
    <cfRule type="cellIs" dxfId="2450" priority="5411" stopIfTrue="1" operator="equal">
      <formula>"Towel"</formula>
    </cfRule>
    <cfRule type="cellIs" dxfId="2449" priority="5412" stopIfTrue="1" operator="equal">
      <formula>"Napkin Hs"</formula>
    </cfRule>
    <cfRule type="cellIs" dxfId="2448" priority="5413" stopIfTrue="1" operator="equal">
      <formula>"Towel"</formula>
    </cfRule>
    <cfRule type="cellIs" dxfId="2447" priority="5414" stopIfTrue="1" operator="equal">
      <formula>"Napkin Hs"</formula>
    </cfRule>
    <cfRule type="cellIs" dxfId="2446" priority="5417" stopIfTrue="1" operator="equal">
      <formula>"Towel"</formula>
    </cfRule>
    <cfRule type="cellIs" dxfId="2445" priority="5418" stopIfTrue="1" operator="equal">
      <formula>"Napkin Hs"</formula>
    </cfRule>
    <cfRule type="cellIs" dxfId="2444" priority="5419" stopIfTrue="1" operator="equal">
      <formula>"Towel"</formula>
    </cfRule>
    <cfRule type="cellIs" dxfId="2443" priority="5420" stopIfTrue="1" operator="equal">
      <formula>"Napkin Hs"</formula>
    </cfRule>
  </conditionalFormatting>
  <conditionalFormatting sqref="C133">
    <cfRule type="cellIs" dxfId="2442" priority="5324" stopIfTrue="1" operator="equal">
      <formula>"Napkin Hs"</formula>
    </cfRule>
  </conditionalFormatting>
  <conditionalFormatting sqref="C133">
    <cfRule type="cellIs" dxfId="2441" priority="5323" stopIfTrue="1" operator="equal">
      <formula>"Napkin Hs"</formula>
    </cfRule>
  </conditionalFormatting>
  <conditionalFormatting sqref="C133">
    <cfRule type="cellIs" dxfId="2440" priority="5322" stopIfTrue="1" operator="equal">
      <formula>"Napkin Hs"</formula>
    </cfRule>
  </conditionalFormatting>
  <conditionalFormatting sqref="C133">
    <cfRule type="cellIs" dxfId="2439" priority="5321" stopIfTrue="1" operator="equal">
      <formula>"Napkin Hs"</formula>
    </cfRule>
  </conditionalFormatting>
  <conditionalFormatting sqref="C133">
    <cfRule type="cellIs" dxfId="2438" priority="5320" stopIfTrue="1" operator="equal">
      <formula>"Napkin Hs"</formula>
    </cfRule>
  </conditionalFormatting>
  <conditionalFormatting sqref="C133">
    <cfRule type="cellIs" dxfId="2437" priority="5319" stopIfTrue="1" operator="equal">
      <formula>"Napkin Hs"</formula>
    </cfRule>
  </conditionalFormatting>
  <conditionalFormatting sqref="C133">
    <cfRule type="cellIs" dxfId="2436" priority="5315" stopIfTrue="1" operator="equal">
      <formula>"Towel"</formula>
    </cfRule>
    <cfRule type="cellIs" dxfId="2435" priority="5316" stopIfTrue="1" operator="equal">
      <formula>"Napkin Hs"</formula>
    </cfRule>
  </conditionalFormatting>
  <conditionalFormatting sqref="C133">
    <cfRule type="cellIs" dxfId="2434" priority="5317" stopIfTrue="1" operator="equal">
      <formula>"Towel"</formula>
    </cfRule>
    <cfRule type="cellIs" dxfId="2433" priority="5318" stopIfTrue="1" operator="equal">
      <formula>"Napkin Hs"</formula>
    </cfRule>
  </conditionalFormatting>
  <conditionalFormatting sqref="C133">
    <cfRule type="cellIs" dxfId="2432" priority="5311" stopIfTrue="1" operator="equal">
      <formula>"Towel"</formula>
    </cfRule>
    <cfRule type="cellIs" dxfId="2431" priority="5312" stopIfTrue="1" operator="equal">
      <formula>"Napkin Hs"</formula>
    </cfRule>
  </conditionalFormatting>
  <conditionalFormatting sqref="C133">
    <cfRule type="cellIs" dxfId="2430" priority="5313" stopIfTrue="1" operator="equal">
      <formula>"Towel"</formula>
    </cfRule>
    <cfRule type="cellIs" dxfId="2429" priority="5314" stopIfTrue="1" operator="equal">
      <formula>"Napkin Hs"</formula>
    </cfRule>
  </conditionalFormatting>
  <conditionalFormatting sqref="B133">
    <cfRule type="cellIs" dxfId="2428" priority="5310" stopIfTrue="1" operator="equal">
      <formula>"Napkin Hs"</formula>
    </cfRule>
  </conditionalFormatting>
  <conditionalFormatting sqref="B133">
    <cfRule type="cellIs" dxfId="2427" priority="5309" stopIfTrue="1" operator="equal">
      <formula>"Napkin Hs"</formula>
    </cfRule>
  </conditionalFormatting>
  <conditionalFormatting sqref="B133">
    <cfRule type="cellIs" dxfId="2426" priority="5308" stopIfTrue="1" operator="equal">
      <formula>"Napkin Hs"</formula>
    </cfRule>
  </conditionalFormatting>
  <conditionalFormatting sqref="C132">
    <cfRule type="cellIs" dxfId="2425" priority="5306" stopIfTrue="1" operator="equal">
      <formula>"Towel"</formula>
    </cfRule>
    <cfRule type="cellIs" dxfId="2424" priority="5307" stopIfTrue="1" operator="equal">
      <formula>"Napkin Hs"</formula>
    </cfRule>
  </conditionalFormatting>
  <conditionalFormatting sqref="C132">
    <cfRule type="cellIs" dxfId="2423" priority="5302" stopIfTrue="1" operator="equal">
      <formula>"Towel"</formula>
    </cfRule>
    <cfRule type="cellIs" dxfId="2422" priority="5303" stopIfTrue="1" operator="equal">
      <formula>"Napkin Hs"</formula>
    </cfRule>
  </conditionalFormatting>
  <conditionalFormatting sqref="C132">
    <cfRule type="cellIs" dxfId="2421" priority="5304" stopIfTrue="1" operator="equal">
      <formula>"Towel"</formula>
    </cfRule>
    <cfRule type="cellIs" dxfId="2420" priority="5305" stopIfTrue="1" operator="equal">
      <formula>"Napkin Hs"</formula>
    </cfRule>
  </conditionalFormatting>
  <conditionalFormatting sqref="C132">
    <cfRule type="cellIs" dxfId="2419" priority="5298" stopIfTrue="1" operator="equal">
      <formula>"Towel"</formula>
    </cfRule>
    <cfRule type="cellIs" dxfId="2418" priority="5299" stopIfTrue="1" operator="equal">
      <formula>"Napkin Hs"</formula>
    </cfRule>
  </conditionalFormatting>
  <conditionalFormatting sqref="C132">
    <cfRule type="cellIs" dxfId="2417" priority="5300" stopIfTrue="1" operator="equal">
      <formula>"Towel"</formula>
    </cfRule>
    <cfRule type="cellIs" dxfId="2416" priority="5301" stopIfTrue="1" operator="equal">
      <formula>"Napkin Hs"</formula>
    </cfRule>
  </conditionalFormatting>
  <conditionalFormatting sqref="C132">
    <cfRule type="cellIs" dxfId="2415" priority="5296" stopIfTrue="1" operator="equal">
      <formula>"Towel"</formula>
    </cfRule>
    <cfRule type="cellIs" dxfId="2414" priority="5297" stopIfTrue="1" operator="equal">
      <formula>"Napkin Hs"</formula>
    </cfRule>
  </conditionalFormatting>
  <conditionalFormatting sqref="C132">
    <cfRule type="cellIs" dxfId="2413" priority="5290" stopIfTrue="1" operator="equal">
      <formula>"Towel"</formula>
    </cfRule>
    <cfRule type="cellIs" dxfId="2412" priority="5291" stopIfTrue="1" operator="equal">
      <formula>"Napkin Hs"</formula>
    </cfRule>
  </conditionalFormatting>
  <conditionalFormatting sqref="C132">
    <cfRule type="cellIs" dxfId="2411" priority="5294" stopIfTrue="1" operator="equal">
      <formula>"Towel"</formula>
    </cfRule>
    <cfRule type="cellIs" dxfId="2410" priority="5295" stopIfTrue="1" operator="equal">
      <formula>"Napkin Hs"</formula>
    </cfRule>
  </conditionalFormatting>
  <conditionalFormatting sqref="C132">
    <cfRule type="cellIs" dxfId="2409" priority="5292" stopIfTrue="1" operator="equal">
      <formula>"Towel"</formula>
    </cfRule>
    <cfRule type="cellIs" dxfId="2408" priority="5293" stopIfTrue="1" operator="equal">
      <formula>"Napkin Hs"</formula>
    </cfRule>
  </conditionalFormatting>
  <conditionalFormatting sqref="C132">
    <cfRule type="cellIs" dxfId="2407" priority="5284" stopIfTrue="1" operator="equal">
      <formula>"Towel"</formula>
    </cfRule>
    <cfRule type="cellIs" dxfId="2406" priority="5285" stopIfTrue="1" operator="equal">
      <formula>"Napkin Hs"</formula>
    </cfRule>
  </conditionalFormatting>
  <conditionalFormatting sqref="C132">
    <cfRule type="cellIs" dxfId="2405" priority="5286" stopIfTrue="1" operator="equal">
      <formula>"Towel"</formula>
    </cfRule>
    <cfRule type="cellIs" dxfId="2404" priority="5287" stopIfTrue="1" operator="equal">
      <formula>"Napkin Hs"</formula>
    </cfRule>
  </conditionalFormatting>
  <conditionalFormatting sqref="C132">
    <cfRule type="cellIs" dxfId="2403" priority="5288" stopIfTrue="1" operator="equal">
      <formula>"Towel"</formula>
    </cfRule>
    <cfRule type="cellIs" dxfId="2402" priority="5289" stopIfTrue="1" operator="equal">
      <formula>"Napkin Hs"</formula>
    </cfRule>
  </conditionalFormatting>
  <conditionalFormatting sqref="C132">
    <cfRule type="cellIs" dxfId="2401" priority="5282" stopIfTrue="1" operator="equal">
      <formula>"Towel"</formula>
    </cfRule>
    <cfRule type="cellIs" dxfId="2400" priority="5283" stopIfTrue="1" operator="equal">
      <formula>"Napkin Hs"</formula>
    </cfRule>
  </conditionalFormatting>
  <conditionalFormatting sqref="C132">
    <cfRule type="cellIs" dxfId="2399" priority="5280" stopIfTrue="1" operator="equal">
      <formula>"Towel"</formula>
    </cfRule>
    <cfRule type="cellIs" dxfId="2398" priority="5281" stopIfTrue="1" operator="equal">
      <formula>"Napkin Hs"</formula>
    </cfRule>
  </conditionalFormatting>
  <conditionalFormatting sqref="C132">
    <cfRule type="cellIs" dxfId="2397" priority="5256" stopIfTrue="1" operator="equal">
      <formula>"Towel"</formula>
    </cfRule>
  </conditionalFormatting>
  <conditionalFormatting sqref="C132">
    <cfRule type="cellIs" dxfId="2396" priority="5257" stopIfTrue="1" operator="equal">
      <formula>"Napkin Hs"</formula>
    </cfRule>
    <cfRule type="cellIs" dxfId="2395" priority="5262" stopIfTrue="1" operator="equal">
      <formula>"Towel"</formula>
    </cfRule>
    <cfRule type="cellIs" dxfId="2394" priority="5263" stopIfTrue="1" operator="equal">
      <formula>"Napkin Hs"</formula>
    </cfRule>
    <cfRule type="cellIs" dxfId="2393" priority="5272" stopIfTrue="1" operator="equal">
      <formula>"Towel"</formula>
    </cfRule>
    <cfRule type="cellIs" dxfId="2392" priority="5273" stopIfTrue="1" operator="equal">
      <formula>"Napkin Hs"</formula>
    </cfRule>
    <cfRule type="cellIs" dxfId="2391" priority="5278" stopIfTrue="1" operator="equal">
      <formula>"Towel"</formula>
    </cfRule>
    <cfRule type="cellIs" dxfId="2390" priority="5279" stopIfTrue="1" operator="equal">
      <formula>"Napkin Hs"</formula>
    </cfRule>
  </conditionalFormatting>
  <conditionalFormatting sqref="C132">
    <cfRule type="cellIs" dxfId="2389" priority="5258" stopIfTrue="1" operator="equal">
      <formula>"Towel"</formula>
    </cfRule>
    <cfRule type="cellIs" dxfId="2388" priority="5259" stopIfTrue="1" operator="equal">
      <formula>"Napkin Hs"</formula>
    </cfRule>
    <cfRule type="cellIs" dxfId="2387" priority="5260" stopIfTrue="1" operator="equal">
      <formula>"Towel"</formula>
    </cfRule>
    <cfRule type="cellIs" dxfId="2386" priority="5261" stopIfTrue="1" operator="equal">
      <formula>"Napkin Hs"</formula>
    </cfRule>
    <cfRule type="cellIs" dxfId="2385" priority="5264" stopIfTrue="1" operator="equal">
      <formula>"Towel"</formula>
    </cfRule>
    <cfRule type="cellIs" dxfId="2384" priority="5265" stopIfTrue="1" operator="equal">
      <formula>"Napkin Hs"</formula>
    </cfRule>
    <cfRule type="cellIs" dxfId="2383" priority="5266" stopIfTrue="1" operator="equal">
      <formula>"Towel"</formula>
    </cfRule>
    <cfRule type="cellIs" dxfId="2382" priority="5267" stopIfTrue="1" operator="equal">
      <formula>"Napkin Hs"</formula>
    </cfRule>
    <cfRule type="cellIs" dxfId="2381" priority="5268" stopIfTrue="1" operator="equal">
      <formula>"Towel"</formula>
    </cfRule>
    <cfRule type="cellIs" dxfId="2380" priority="5269" stopIfTrue="1" operator="equal">
      <formula>"Napkin Hs"</formula>
    </cfRule>
    <cfRule type="cellIs" dxfId="2379" priority="5270" stopIfTrue="1" operator="equal">
      <formula>"Towel"</formula>
    </cfRule>
    <cfRule type="cellIs" dxfId="2378" priority="5271" stopIfTrue="1" operator="equal">
      <formula>"Napkin Hs"</formula>
    </cfRule>
    <cfRule type="cellIs" dxfId="2377" priority="5274" stopIfTrue="1" operator="equal">
      <formula>"Towel"</formula>
    </cfRule>
    <cfRule type="cellIs" dxfId="2376" priority="5275" stopIfTrue="1" operator="equal">
      <formula>"Napkin Hs"</formula>
    </cfRule>
    <cfRule type="cellIs" dxfId="2375" priority="5277" stopIfTrue="1" operator="equal">
      <formula>"Napkin Hs"</formula>
    </cfRule>
  </conditionalFormatting>
  <conditionalFormatting sqref="C132">
    <cfRule type="cellIs" dxfId="2374" priority="5276" stopIfTrue="1" operator="equal">
      <formula>"Towel"</formula>
    </cfRule>
  </conditionalFormatting>
  <conditionalFormatting sqref="C132">
    <cfRule type="cellIs" dxfId="2373" priority="5254" stopIfTrue="1" operator="equal">
      <formula>"Towel"</formula>
    </cfRule>
    <cfRule type="cellIs" dxfId="2372" priority="5255" stopIfTrue="1" operator="equal">
      <formula>"Napkin Hs"</formula>
    </cfRule>
  </conditionalFormatting>
  <conditionalFormatting sqref="C132">
    <cfRule type="cellIs" dxfId="2371" priority="5253" stopIfTrue="1" operator="equal">
      <formula>"Napkin Hs"</formula>
    </cfRule>
  </conditionalFormatting>
  <conditionalFormatting sqref="C132">
    <cfRule type="cellIs" dxfId="2370" priority="5252" stopIfTrue="1" operator="equal">
      <formula>"Towel"</formula>
    </cfRule>
  </conditionalFormatting>
  <conditionalFormatting sqref="C132">
    <cfRule type="cellIs" dxfId="2369" priority="5250" stopIfTrue="1" operator="equal">
      <formula>"Towel"</formula>
    </cfRule>
  </conditionalFormatting>
  <conditionalFormatting sqref="C132">
    <cfRule type="cellIs" dxfId="2368" priority="5251" stopIfTrue="1" operator="equal">
      <formula>"Napkin Hs"</formula>
    </cfRule>
  </conditionalFormatting>
  <conditionalFormatting sqref="C132">
    <cfRule type="cellIs" dxfId="2367" priority="5154" stopIfTrue="1" operator="equal">
      <formula>"Towel"</formula>
    </cfRule>
  </conditionalFormatting>
  <conditionalFormatting sqref="C132">
    <cfRule type="cellIs" dxfId="2366" priority="5164" stopIfTrue="1" operator="equal">
      <formula>"Towel"</formula>
    </cfRule>
    <cfRule type="cellIs" dxfId="2365" priority="5165" stopIfTrue="1" operator="equal">
      <formula>"Napkin Hs"</formula>
    </cfRule>
    <cfRule type="cellIs" dxfId="2364" priority="5170" stopIfTrue="1" operator="equal">
      <formula>"Towel"</formula>
    </cfRule>
    <cfRule type="cellIs" dxfId="2363" priority="5171" stopIfTrue="1" operator="equal">
      <formula>"Napkin Hs"</formula>
    </cfRule>
    <cfRule type="cellIs" dxfId="2362" priority="5176" stopIfTrue="1" operator="equal">
      <formula>"Towel"</formula>
    </cfRule>
    <cfRule type="cellIs" dxfId="2361" priority="5177" stopIfTrue="1" operator="equal">
      <formula>"Napkin Hs"</formula>
    </cfRule>
    <cfRule type="cellIs" dxfId="2360" priority="5178" stopIfTrue="1" operator="equal">
      <formula>"Towel"</formula>
    </cfRule>
    <cfRule type="cellIs" dxfId="2359" priority="5179" stopIfTrue="1" operator="equal">
      <formula>"Napkin Hs"</formula>
    </cfRule>
    <cfRule type="cellIs" dxfId="2358" priority="5184" stopIfTrue="1" operator="equal">
      <formula>"Towel"</formula>
    </cfRule>
    <cfRule type="cellIs" dxfId="2357" priority="5185" stopIfTrue="1" operator="equal">
      <formula>"Napkin Hs"</formula>
    </cfRule>
    <cfRule type="cellIs" dxfId="2356" priority="5194" stopIfTrue="1" operator="equal">
      <formula>"Towel"</formula>
    </cfRule>
    <cfRule type="cellIs" dxfId="2355" priority="5195" stopIfTrue="1" operator="equal">
      <formula>"Napkin Hs"</formula>
    </cfRule>
    <cfRule type="cellIs" dxfId="2354" priority="5200" stopIfTrue="1" operator="equal">
      <formula>"Towel"</formula>
    </cfRule>
    <cfRule type="cellIs" dxfId="2353" priority="5201" stopIfTrue="1" operator="equal">
      <formula>"Napkin Hs"</formula>
    </cfRule>
    <cfRule type="cellIs" dxfId="2352" priority="5202" stopIfTrue="1" operator="equal">
      <formula>"Towel"</formula>
    </cfRule>
    <cfRule type="cellIs" dxfId="2351" priority="5203" stopIfTrue="1" operator="equal">
      <formula>"Napkin Hs"</formula>
    </cfRule>
    <cfRule type="cellIs" dxfId="2350" priority="5208" stopIfTrue="1" operator="equal">
      <formula>"Towel"</formula>
    </cfRule>
    <cfRule type="cellIs" dxfId="2349" priority="5209" stopIfTrue="1" operator="equal">
      <formula>"Napkin Hs"</formula>
    </cfRule>
    <cfRule type="cellIs" dxfId="2348" priority="5218" stopIfTrue="1" operator="equal">
      <formula>"Towel"</formula>
    </cfRule>
    <cfRule type="cellIs" dxfId="2347" priority="5219" stopIfTrue="1" operator="equal">
      <formula>"Napkin Hs"</formula>
    </cfRule>
    <cfRule type="cellIs" dxfId="2346" priority="5220" stopIfTrue="1" operator="equal">
      <formula>"Towel"</formula>
    </cfRule>
    <cfRule type="cellIs" dxfId="2345" priority="5221" stopIfTrue="1" operator="equal">
      <formula>"Napkin Hs"</formula>
    </cfRule>
    <cfRule type="cellIs" dxfId="2344" priority="5226" stopIfTrue="1" operator="equal">
      <formula>"Towel"</formula>
    </cfRule>
    <cfRule type="cellIs" dxfId="2343" priority="5227" stopIfTrue="1" operator="equal">
      <formula>"Napkin Hs"</formula>
    </cfRule>
    <cfRule type="cellIs" dxfId="2342" priority="5236" stopIfTrue="1" operator="equal">
      <formula>"Towel"</formula>
    </cfRule>
    <cfRule type="cellIs" dxfId="2341" priority="5237" stopIfTrue="1" operator="equal">
      <formula>"Napkin Hs"</formula>
    </cfRule>
    <cfRule type="cellIs" dxfId="2340" priority="5238" stopIfTrue="1" operator="equal">
      <formula>"Towel"</formula>
    </cfRule>
    <cfRule type="cellIs" dxfId="2339" priority="5239" stopIfTrue="1" operator="equal">
      <formula>"Napkin Hs"</formula>
    </cfRule>
    <cfRule type="cellIs" dxfId="2338" priority="5245" stopIfTrue="1" operator="equal">
      <formula>"Napkin Hs"</formula>
    </cfRule>
  </conditionalFormatting>
  <conditionalFormatting sqref="C132">
    <cfRule type="cellIs" dxfId="2337" priority="5244" stopIfTrue="1" operator="equal">
      <formula>"Towel"</formula>
    </cfRule>
  </conditionalFormatting>
  <conditionalFormatting sqref="C132">
    <cfRule type="cellIs" dxfId="2336" priority="5155" stopIfTrue="1" operator="equal">
      <formula>"Napkin Hs"</formula>
    </cfRule>
    <cfRule type="cellIs" dxfId="2335" priority="5156" stopIfTrue="1" operator="equal">
      <formula>"Towel"</formula>
    </cfRule>
    <cfRule type="cellIs" dxfId="2334" priority="5157" stopIfTrue="1" operator="equal">
      <formula>"Napkin Hs"</formula>
    </cfRule>
    <cfRule type="cellIs" dxfId="2333" priority="5158" stopIfTrue="1" operator="equal">
      <formula>"Towel"</formula>
    </cfRule>
    <cfRule type="cellIs" dxfId="2332" priority="5159" stopIfTrue="1" operator="equal">
      <formula>"Napkin Hs"</formula>
    </cfRule>
    <cfRule type="cellIs" dxfId="2331" priority="5160" stopIfTrue="1" operator="equal">
      <formula>"Towel"</formula>
    </cfRule>
    <cfRule type="cellIs" dxfId="2330" priority="5161" stopIfTrue="1" operator="equal">
      <formula>"Napkin Hs"</formula>
    </cfRule>
    <cfRule type="cellIs" dxfId="2329" priority="5162" stopIfTrue="1" operator="equal">
      <formula>"Towel"</formula>
    </cfRule>
    <cfRule type="cellIs" dxfId="2328" priority="5163" stopIfTrue="1" operator="equal">
      <formula>"Napkin Hs"</formula>
    </cfRule>
    <cfRule type="cellIs" dxfId="2327" priority="5166" stopIfTrue="1" operator="equal">
      <formula>"Towel"</formula>
    </cfRule>
    <cfRule type="cellIs" dxfId="2326" priority="5167" stopIfTrue="1" operator="equal">
      <formula>"Napkin Hs"</formula>
    </cfRule>
    <cfRule type="cellIs" dxfId="2325" priority="5168" stopIfTrue="1" operator="equal">
      <formula>"Towel"</formula>
    </cfRule>
    <cfRule type="cellIs" dxfId="2324" priority="5169" stopIfTrue="1" operator="equal">
      <formula>"Napkin Hs"</formula>
    </cfRule>
    <cfRule type="cellIs" dxfId="2323" priority="5172" stopIfTrue="1" operator="equal">
      <formula>"Towel"</formula>
    </cfRule>
    <cfRule type="cellIs" dxfId="2322" priority="5173" stopIfTrue="1" operator="equal">
      <formula>"Napkin Hs"</formula>
    </cfRule>
    <cfRule type="cellIs" dxfId="2321" priority="5174" stopIfTrue="1" operator="equal">
      <formula>"Towel"</formula>
    </cfRule>
    <cfRule type="cellIs" dxfId="2320" priority="5175" stopIfTrue="1" operator="equal">
      <formula>"Napkin Hs"</formula>
    </cfRule>
    <cfRule type="cellIs" dxfId="2319" priority="5180" stopIfTrue="1" operator="equal">
      <formula>"Towel"</formula>
    </cfRule>
    <cfRule type="cellIs" dxfId="2318" priority="5181" stopIfTrue="1" operator="equal">
      <formula>"Napkin Hs"</formula>
    </cfRule>
    <cfRule type="cellIs" dxfId="2317" priority="5182" stopIfTrue="1" operator="equal">
      <formula>"Towel"</formula>
    </cfRule>
    <cfRule type="cellIs" dxfId="2316" priority="5183" stopIfTrue="1" operator="equal">
      <formula>"Napkin Hs"</formula>
    </cfRule>
    <cfRule type="cellIs" dxfId="2315" priority="5186" stopIfTrue="1" operator="equal">
      <formula>"Towel"</formula>
    </cfRule>
    <cfRule type="cellIs" dxfId="2314" priority="5187" stopIfTrue="1" operator="equal">
      <formula>"Napkin Hs"</formula>
    </cfRule>
    <cfRule type="cellIs" dxfId="2313" priority="5188" stopIfTrue="1" operator="equal">
      <formula>"Towel"</formula>
    </cfRule>
    <cfRule type="cellIs" dxfId="2312" priority="5189" stopIfTrue="1" operator="equal">
      <formula>"Napkin Hs"</formula>
    </cfRule>
    <cfRule type="cellIs" dxfId="2311" priority="5190" stopIfTrue="1" operator="equal">
      <formula>"Towel"</formula>
    </cfRule>
    <cfRule type="cellIs" dxfId="2310" priority="5191" stopIfTrue="1" operator="equal">
      <formula>"Napkin Hs"</formula>
    </cfRule>
    <cfRule type="cellIs" dxfId="2309" priority="5192" stopIfTrue="1" operator="equal">
      <formula>"Towel"</formula>
    </cfRule>
    <cfRule type="cellIs" dxfId="2308" priority="5193" stopIfTrue="1" operator="equal">
      <formula>"Napkin Hs"</formula>
    </cfRule>
    <cfRule type="cellIs" dxfId="2307" priority="5196" stopIfTrue="1" operator="equal">
      <formula>"Towel"</formula>
    </cfRule>
    <cfRule type="cellIs" dxfId="2306" priority="5197" stopIfTrue="1" operator="equal">
      <formula>"Napkin Hs"</formula>
    </cfRule>
    <cfRule type="cellIs" dxfId="2305" priority="5198" stopIfTrue="1" operator="equal">
      <formula>"Towel"</formula>
    </cfRule>
    <cfRule type="cellIs" dxfId="2304" priority="5199" stopIfTrue="1" operator="equal">
      <formula>"Napkin Hs"</formula>
    </cfRule>
    <cfRule type="cellIs" dxfId="2303" priority="5204" stopIfTrue="1" operator="equal">
      <formula>"Towel"</formula>
    </cfRule>
    <cfRule type="cellIs" dxfId="2302" priority="5205" stopIfTrue="1" operator="equal">
      <formula>"Napkin Hs"</formula>
    </cfRule>
    <cfRule type="cellIs" dxfId="2301" priority="5206" stopIfTrue="1" operator="equal">
      <formula>"Towel"</formula>
    </cfRule>
    <cfRule type="cellIs" dxfId="2300" priority="5207" stopIfTrue="1" operator="equal">
      <formula>"Napkin Hs"</formula>
    </cfRule>
    <cfRule type="cellIs" dxfId="2299" priority="5210" stopIfTrue="1" operator="equal">
      <formula>"Towel"</formula>
    </cfRule>
    <cfRule type="cellIs" dxfId="2298" priority="5211" stopIfTrue="1" operator="equal">
      <formula>"Napkin Hs"</formula>
    </cfRule>
    <cfRule type="cellIs" dxfId="2297" priority="5212" stopIfTrue="1" operator="equal">
      <formula>"Towel"</formula>
    </cfRule>
    <cfRule type="cellIs" dxfId="2296" priority="5213" stopIfTrue="1" operator="equal">
      <formula>"Napkin Hs"</formula>
    </cfRule>
    <cfRule type="cellIs" dxfId="2295" priority="5214" stopIfTrue="1" operator="equal">
      <formula>"Towel"</formula>
    </cfRule>
    <cfRule type="cellIs" dxfId="2294" priority="5215" stopIfTrue="1" operator="equal">
      <formula>"Napkin Hs"</formula>
    </cfRule>
    <cfRule type="cellIs" dxfId="2293" priority="5216" stopIfTrue="1" operator="equal">
      <formula>"Towel"</formula>
    </cfRule>
    <cfRule type="cellIs" dxfId="2292" priority="5217" stopIfTrue="1" operator="equal">
      <formula>"Napkin Hs"</formula>
    </cfRule>
    <cfRule type="cellIs" dxfId="2291" priority="5222" stopIfTrue="1" operator="equal">
      <formula>"Towel"</formula>
    </cfRule>
    <cfRule type="cellIs" dxfId="2290" priority="5223" stopIfTrue="1" operator="equal">
      <formula>"Napkin Hs"</formula>
    </cfRule>
    <cfRule type="cellIs" dxfId="2289" priority="5224" stopIfTrue="1" operator="equal">
      <formula>"Towel"</formula>
    </cfRule>
    <cfRule type="cellIs" dxfId="2288" priority="5225" stopIfTrue="1" operator="equal">
      <formula>"Napkin Hs"</formula>
    </cfRule>
    <cfRule type="cellIs" dxfId="2287" priority="5228" stopIfTrue="1" operator="equal">
      <formula>"Towel"</formula>
    </cfRule>
    <cfRule type="cellIs" dxfId="2286" priority="5229" stopIfTrue="1" operator="equal">
      <formula>"Napkin Hs"</formula>
    </cfRule>
    <cfRule type="cellIs" dxfId="2285" priority="5230" stopIfTrue="1" operator="equal">
      <formula>"Towel"</formula>
    </cfRule>
    <cfRule type="cellIs" dxfId="2284" priority="5231" stopIfTrue="1" operator="equal">
      <formula>"Napkin Hs"</formula>
    </cfRule>
    <cfRule type="cellIs" dxfId="2283" priority="5232" stopIfTrue="1" operator="equal">
      <formula>"Towel"</formula>
    </cfRule>
    <cfRule type="cellIs" dxfId="2282" priority="5233" stopIfTrue="1" operator="equal">
      <formula>"Napkin Hs"</formula>
    </cfRule>
    <cfRule type="cellIs" dxfId="2281" priority="5234" stopIfTrue="1" operator="equal">
      <formula>"Towel"</formula>
    </cfRule>
    <cfRule type="cellIs" dxfId="2280" priority="5235" stopIfTrue="1" operator="equal">
      <formula>"Napkin Hs"</formula>
    </cfRule>
    <cfRule type="cellIs" dxfId="2279" priority="5240" stopIfTrue="1" operator="equal">
      <formula>"Towel"</formula>
    </cfRule>
    <cfRule type="cellIs" dxfId="2278" priority="5241" stopIfTrue="1" operator="equal">
      <formula>"Napkin Hs"</formula>
    </cfRule>
    <cfRule type="cellIs" dxfId="2277" priority="5242" stopIfTrue="1" operator="equal">
      <formula>"Towel"</formula>
    </cfRule>
    <cfRule type="cellIs" dxfId="2276" priority="5243" stopIfTrue="1" operator="equal">
      <formula>"Napkin Hs"</formula>
    </cfRule>
    <cfRule type="cellIs" dxfId="2275" priority="5246" stopIfTrue="1" operator="equal">
      <formula>"Towel"</formula>
    </cfRule>
    <cfRule type="cellIs" dxfId="2274" priority="5247" stopIfTrue="1" operator="equal">
      <formula>"Napkin Hs"</formula>
    </cfRule>
    <cfRule type="cellIs" dxfId="2273" priority="5248" stopIfTrue="1" operator="equal">
      <formula>"Towel"</formula>
    </cfRule>
    <cfRule type="cellIs" dxfId="2272" priority="5249" stopIfTrue="1" operator="equal">
      <formula>"Napkin Hs"</formula>
    </cfRule>
  </conditionalFormatting>
  <conditionalFormatting sqref="C132">
    <cfRule type="cellIs" dxfId="2271" priority="5153" stopIfTrue="1" operator="equal">
      <formula>"Napkin Hs"</formula>
    </cfRule>
  </conditionalFormatting>
  <conditionalFormatting sqref="C132">
    <cfRule type="cellIs" dxfId="2270" priority="5152" stopIfTrue="1" operator="equal">
      <formula>"Napkin Hs"</formula>
    </cfRule>
  </conditionalFormatting>
  <conditionalFormatting sqref="C132">
    <cfRule type="cellIs" dxfId="2269" priority="5151" stopIfTrue="1" operator="equal">
      <formula>"Napkin Hs"</formula>
    </cfRule>
  </conditionalFormatting>
  <conditionalFormatting sqref="C132">
    <cfRule type="cellIs" dxfId="2268" priority="5150" stopIfTrue="1" operator="equal">
      <formula>"Napkin Hs"</formula>
    </cfRule>
  </conditionalFormatting>
  <conditionalFormatting sqref="C132">
    <cfRule type="cellIs" dxfId="2267" priority="5149" stopIfTrue="1" operator="equal">
      <formula>"Napkin Hs"</formula>
    </cfRule>
  </conditionalFormatting>
  <conditionalFormatting sqref="C132">
    <cfRule type="cellIs" dxfId="2266" priority="5148" stopIfTrue="1" operator="equal">
      <formula>"Napkin Hs"</formula>
    </cfRule>
  </conditionalFormatting>
  <conditionalFormatting sqref="C132">
    <cfRule type="cellIs" dxfId="2265" priority="5144" stopIfTrue="1" operator="equal">
      <formula>"Towel"</formula>
    </cfRule>
    <cfRule type="cellIs" dxfId="2264" priority="5145" stopIfTrue="1" operator="equal">
      <formula>"Napkin Hs"</formula>
    </cfRule>
  </conditionalFormatting>
  <conditionalFormatting sqref="C132">
    <cfRule type="cellIs" dxfId="2263" priority="5146" stopIfTrue="1" operator="equal">
      <formula>"Towel"</formula>
    </cfRule>
    <cfRule type="cellIs" dxfId="2262" priority="5147" stopIfTrue="1" operator="equal">
      <formula>"Napkin Hs"</formula>
    </cfRule>
  </conditionalFormatting>
  <conditionalFormatting sqref="C132">
    <cfRule type="cellIs" dxfId="2261" priority="5140" stopIfTrue="1" operator="equal">
      <formula>"Towel"</formula>
    </cfRule>
    <cfRule type="cellIs" dxfId="2260" priority="5141" stopIfTrue="1" operator="equal">
      <formula>"Napkin Hs"</formula>
    </cfRule>
  </conditionalFormatting>
  <conditionalFormatting sqref="C132">
    <cfRule type="cellIs" dxfId="2259" priority="5142" stopIfTrue="1" operator="equal">
      <formula>"Towel"</formula>
    </cfRule>
    <cfRule type="cellIs" dxfId="2258" priority="5143" stopIfTrue="1" operator="equal">
      <formula>"Napkin Hs"</formula>
    </cfRule>
  </conditionalFormatting>
  <conditionalFormatting sqref="B132">
    <cfRule type="cellIs" dxfId="2257" priority="5139" stopIfTrue="1" operator="equal">
      <formula>"Napkin Hs"</formula>
    </cfRule>
  </conditionalFormatting>
  <conditionalFormatting sqref="B132">
    <cfRule type="cellIs" dxfId="2256" priority="5138" stopIfTrue="1" operator="equal">
      <formula>"Napkin Hs"</formula>
    </cfRule>
  </conditionalFormatting>
  <conditionalFormatting sqref="B132">
    <cfRule type="cellIs" dxfId="2255" priority="5137" stopIfTrue="1" operator="equal">
      <formula>"Napkin Hs"</formula>
    </cfRule>
  </conditionalFormatting>
  <conditionalFormatting sqref="B141:C141">
    <cfRule type="cellIs" dxfId="2254" priority="4010" stopIfTrue="1" operator="equal">
      <formula>"Towel"</formula>
    </cfRule>
    <cfRule type="cellIs" dxfId="2253" priority="4011" stopIfTrue="1" operator="equal">
      <formula>"Napkin Hs"</formula>
    </cfRule>
  </conditionalFormatting>
  <conditionalFormatting sqref="C141">
    <cfRule type="cellIs" dxfId="2252" priority="4009" stopIfTrue="1" operator="equal">
      <formula>"Napkin Hs"</formula>
    </cfRule>
  </conditionalFormatting>
  <conditionalFormatting sqref="C141">
    <cfRule type="cellIs" dxfId="2251" priority="4008" stopIfTrue="1" operator="equal">
      <formula>"Towel"</formula>
    </cfRule>
  </conditionalFormatting>
  <conditionalFormatting sqref="C141">
    <cfRule type="cellIs" dxfId="2250" priority="4006" stopIfTrue="1" operator="equal">
      <formula>"Towel"</formula>
    </cfRule>
    <cfRule type="cellIs" dxfId="2249" priority="4007" stopIfTrue="1" operator="equal">
      <formula>"Napkin Hs"</formula>
    </cfRule>
  </conditionalFormatting>
  <conditionalFormatting sqref="C140">
    <cfRule type="cellIs" dxfId="2248" priority="3998" stopIfTrue="1" operator="equal">
      <formula>"Towel"</formula>
    </cfRule>
    <cfRule type="cellIs" dxfId="2247" priority="3999" stopIfTrue="1" operator="equal">
      <formula>"Napkin Hs"</formula>
    </cfRule>
  </conditionalFormatting>
  <conditionalFormatting sqref="B140:C140">
    <cfRule type="cellIs" dxfId="2246" priority="4000" stopIfTrue="1" operator="equal">
      <formula>"Towel"</formula>
    </cfRule>
    <cfRule type="cellIs" dxfId="2245" priority="4001" stopIfTrue="1" operator="equal">
      <formula>"Napkin Hs"</formula>
    </cfRule>
  </conditionalFormatting>
  <conditionalFormatting sqref="C140">
    <cfRule type="cellIs" dxfId="2244" priority="3996" stopIfTrue="1" operator="equal">
      <formula>"Towel"</formula>
    </cfRule>
    <cfRule type="cellIs" dxfId="2243" priority="3997" stopIfTrue="1" operator="equal">
      <formula>"Napkin Hs"</formula>
    </cfRule>
  </conditionalFormatting>
  <conditionalFormatting sqref="B140:C140">
    <cfRule type="cellIs" dxfId="2242" priority="3994" stopIfTrue="1" operator="equal">
      <formula>"Towel"</formula>
    </cfRule>
    <cfRule type="cellIs" dxfId="2241" priority="3995" stopIfTrue="1" operator="equal">
      <formula>"Napkin Hs"</formula>
    </cfRule>
  </conditionalFormatting>
  <conditionalFormatting sqref="C140">
    <cfRule type="cellIs" dxfId="2240" priority="4002" stopIfTrue="1" operator="equal">
      <formula>"Towel"</formula>
    </cfRule>
    <cfRule type="cellIs" dxfId="2239" priority="4003" stopIfTrue="1" operator="equal">
      <formula>"Napkin Hs"</formula>
    </cfRule>
  </conditionalFormatting>
  <conditionalFormatting sqref="C140">
    <cfRule type="cellIs" dxfId="2238" priority="4004" stopIfTrue="1" operator="equal">
      <formula>"Towel"</formula>
    </cfRule>
    <cfRule type="cellIs" dxfId="2237" priority="4005" stopIfTrue="1" operator="equal">
      <formula>"Napkin Hs"</formula>
    </cfRule>
  </conditionalFormatting>
  <conditionalFormatting sqref="C140">
    <cfRule type="cellIs" dxfId="2236" priority="3990" stopIfTrue="1" operator="equal">
      <formula>"Towel"</formula>
    </cfRule>
    <cfRule type="cellIs" dxfId="2235" priority="3991" stopIfTrue="1" operator="equal">
      <formula>"Napkin Hs"</formula>
    </cfRule>
  </conditionalFormatting>
  <conditionalFormatting sqref="C140">
    <cfRule type="cellIs" dxfId="2234" priority="3992" stopIfTrue="1" operator="equal">
      <formula>"Towel"</formula>
    </cfRule>
    <cfRule type="cellIs" dxfId="2233" priority="3993" stopIfTrue="1" operator="equal">
      <formula>"Napkin Hs"</formula>
    </cfRule>
  </conditionalFormatting>
  <conditionalFormatting sqref="C140">
    <cfRule type="cellIs" dxfId="2232" priority="3988" stopIfTrue="1" operator="equal">
      <formula>"Towel"</formula>
    </cfRule>
    <cfRule type="cellIs" dxfId="2231" priority="3989" stopIfTrue="1" operator="equal">
      <formula>"Napkin Hs"</formula>
    </cfRule>
  </conditionalFormatting>
  <conditionalFormatting sqref="B140">
    <cfRule type="cellIs" dxfId="2230" priority="3986" stopIfTrue="1" operator="equal">
      <formula>"Towel"</formula>
    </cfRule>
    <cfRule type="cellIs" dxfId="2229" priority="3987" stopIfTrue="1" operator="equal">
      <formula>"Napkin Hs"</formula>
    </cfRule>
  </conditionalFormatting>
  <conditionalFormatting sqref="C140">
    <cfRule type="cellIs" dxfId="2228" priority="3980" stopIfTrue="1" operator="equal">
      <formula>"Towel"</formula>
    </cfRule>
    <cfRule type="cellIs" dxfId="2227" priority="3981" stopIfTrue="1" operator="equal">
      <formula>"Napkin Hs"</formula>
    </cfRule>
  </conditionalFormatting>
  <conditionalFormatting sqref="C140">
    <cfRule type="cellIs" dxfId="2226" priority="3984" stopIfTrue="1" operator="equal">
      <formula>"Towel"</formula>
    </cfRule>
    <cfRule type="cellIs" dxfId="2225" priority="3985" stopIfTrue="1" operator="equal">
      <formula>"Napkin Hs"</formula>
    </cfRule>
  </conditionalFormatting>
  <conditionalFormatting sqref="C140">
    <cfRule type="cellIs" dxfId="2224" priority="3982" stopIfTrue="1" operator="equal">
      <formula>"Towel"</formula>
    </cfRule>
    <cfRule type="cellIs" dxfId="2223" priority="3983" stopIfTrue="1" operator="equal">
      <formula>"Napkin Hs"</formula>
    </cfRule>
  </conditionalFormatting>
  <conditionalFormatting sqref="C140">
    <cfRule type="cellIs" dxfId="2222" priority="3974" stopIfTrue="1" operator="equal">
      <formula>"Towel"</formula>
    </cfRule>
    <cfRule type="cellIs" dxfId="2221" priority="3975" stopIfTrue="1" operator="equal">
      <formula>"Napkin Hs"</formula>
    </cfRule>
  </conditionalFormatting>
  <conditionalFormatting sqref="C140">
    <cfRule type="cellIs" dxfId="2220" priority="3976" stopIfTrue="1" operator="equal">
      <formula>"Towel"</formula>
    </cfRule>
    <cfRule type="cellIs" dxfId="2219" priority="3977" stopIfTrue="1" operator="equal">
      <formula>"Napkin Hs"</formula>
    </cfRule>
  </conditionalFormatting>
  <conditionalFormatting sqref="C140">
    <cfRule type="cellIs" dxfId="2218" priority="3978" stopIfTrue="1" operator="equal">
      <formula>"Towel"</formula>
    </cfRule>
    <cfRule type="cellIs" dxfId="2217" priority="3979" stopIfTrue="1" operator="equal">
      <formula>"Napkin Hs"</formula>
    </cfRule>
  </conditionalFormatting>
  <conditionalFormatting sqref="B140:C140">
    <cfRule type="cellIs" dxfId="2216" priority="3972" stopIfTrue="1" operator="equal">
      <formula>"Towel"</formula>
    </cfRule>
    <cfRule type="cellIs" dxfId="2215" priority="3973" stopIfTrue="1" operator="equal">
      <formula>"Napkin Hs"</formula>
    </cfRule>
  </conditionalFormatting>
  <conditionalFormatting sqref="B140:C140">
    <cfRule type="cellIs" dxfId="2214" priority="3970" stopIfTrue="1" operator="equal">
      <formula>"Towel"</formula>
    </cfRule>
    <cfRule type="cellIs" dxfId="2213" priority="3971" stopIfTrue="1" operator="equal">
      <formula>"Napkin Hs"</formula>
    </cfRule>
  </conditionalFormatting>
  <conditionalFormatting sqref="B140:C140">
    <cfRule type="cellIs" dxfId="2212" priority="3946" stopIfTrue="1" operator="equal">
      <formula>"Towel"</formula>
    </cfRule>
  </conditionalFormatting>
  <conditionalFormatting sqref="B140:C140">
    <cfRule type="cellIs" dxfId="2211" priority="3947" stopIfTrue="1" operator="equal">
      <formula>"Napkin Hs"</formula>
    </cfRule>
    <cfRule type="cellIs" dxfId="2210" priority="3952" stopIfTrue="1" operator="equal">
      <formula>"Towel"</formula>
    </cfRule>
    <cfRule type="cellIs" dxfId="2209" priority="3953" stopIfTrue="1" operator="equal">
      <formula>"Napkin Hs"</formula>
    </cfRule>
    <cfRule type="cellIs" dxfId="2208" priority="3962" stopIfTrue="1" operator="equal">
      <formula>"Towel"</formula>
    </cfRule>
    <cfRule type="cellIs" dxfId="2207" priority="3963" stopIfTrue="1" operator="equal">
      <formula>"Napkin Hs"</formula>
    </cfRule>
    <cfRule type="cellIs" dxfId="2206" priority="3968" stopIfTrue="1" operator="equal">
      <formula>"Towel"</formula>
    </cfRule>
    <cfRule type="cellIs" dxfId="2205" priority="3969" stopIfTrue="1" operator="equal">
      <formula>"Napkin Hs"</formula>
    </cfRule>
  </conditionalFormatting>
  <conditionalFormatting sqref="C140">
    <cfRule type="cellIs" dxfId="2204" priority="3948" stopIfTrue="1" operator="equal">
      <formula>"Towel"</formula>
    </cfRule>
    <cfRule type="cellIs" dxfId="2203" priority="3949" stopIfTrue="1" operator="equal">
      <formula>"Napkin Hs"</formula>
    </cfRule>
    <cfRule type="cellIs" dxfId="2202" priority="3950" stopIfTrue="1" operator="equal">
      <formula>"Towel"</formula>
    </cfRule>
    <cfRule type="cellIs" dxfId="2201" priority="3951" stopIfTrue="1" operator="equal">
      <formula>"Napkin Hs"</formula>
    </cfRule>
    <cfRule type="cellIs" dxfId="2200" priority="3954" stopIfTrue="1" operator="equal">
      <formula>"Towel"</formula>
    </cfRule>
    <cfRule type="cellIs" dxfId="2199" priority="3955" stopIfTrue="1" operator="equal">
      <formula>"Napkin Hs"</formula>
    </cfRule>
    <cfRule type="cellIs" dxfId="2198" priority="3956" stopIfTrue="1" operator="equal">
      <formula>"Towel"</formula>
    </cfRule>
    <cfRule type="cellIs" dxfId="2197" priority="3957" stopIfTrue="1" operator="equal">
      <formula>"Napkin Hs"</formula>
    </cfRule>
    <cfRule type="cellIs" dxfId="2196" priority="3958" stopIfTrue="1" operator="equal">
      <formula>"Towel"</formula>
    </cfRule>
    <cfRule type="cellIs" dxfId="2195" priority="3959" stopIfTrue="1" operator="equal">
      <formula>"Napkin Hs"</formula>
    </cfRule>
    <cfRule type="cellIs" dxfId="2194" priority="3960" stopIfTrue="1" operator="equal">
      <formula>"Towel"</formula>
    </cfRule>
    <cfRule type="cellIs" dxfId="2193" priority="3961" stopIfTrue="1" operator="equal">
      <formula>"Napkin Hs"</formula>
    </cfRule>
    <cfRule type="cellIs" dxfId="2192" priority="3964" stopIfTrue="1" operator="equal">
      <formula>"Towel"</formula>
    </cfRule>
    <cfRule type="cellIs" dxfId="2191" priority="3965" stopIfTrue="1" operator="equal">
      <formula>"Napkin Hs"</formula>
    </cfRule>
    <cfRule type="cellIs" dxfId="2190" priority="3967" stopIfTrue="1" operator="equal">
      <formula>"Napkin Hs"</formula>
    </cfRule>
  </conditionalFormatting>
  <conditionalFormatting sqref="C140">
    <cfRule type="cellIs" dxfId="2189" priority="3966" stopIfTrue="1" operator="equal">
      <formula>"Towel"</formula>
    </cfRule>
  </conditionalFormatting>
  <conditionalFormatting sqref="B140:C140">
    <cfRule type="cellIs" dxfId="2188" priority="3944" stopIfTrue="1" operator="equal">
      <formula>"Towel"</formula>
    </cfRule>
    <cfRule type="cellIs" dxfId="2187" priority="3945" stopIfTrue="1" operator="equal">
      <formula>"Napkin Hs"</formula>
    </cfRule>
  </conditionalFormatting>
  <conditionalFormatting sqref="C140">
    <cfRule type="cellIs" dxfId="2186" priority="3943" stopIfTrue="1" operator="equal">
      <formula>"Napkin Hs"</formula>
    </cfRule>
  </conditionalFormatting>
  <conditionalFormatting sqref="C140">
    <cfRule type="cellIs" dxfId="2185" priority="3942" stopIfTrue="1" operator="equal">
      <formula>"Towel"</formula>
    </cfRule>
  </conditionalFormatting>
  <conditionalFormatting sqref="C140">
    <cfRule type="cellIs" dxfId="2184" priority="3940" stopIfTrue="1" operator="equal">
      <formula>"Towel"</formula>
    </cfRule>
  </conditionalFormatting>
  <conditionalFormatting sqref="C140">
    <cfRule type="cellIs" dxfId="2183" priority="3941" stopIfTrue="1" operator="equal">
      <formula>"Napkin Hs"</formula>
    </cfRule>
  </conditionalFormatting>
  <conditionalFormatting sqref="B140">
    <cfRule type="cellIs" dxfId="2182" priority="3844" stopIfTrue="1" operator="equal">
      <formula>"Napkin Hs"</formula>
    </cfRule>
  </conditionalFormatting>
  <conditionalFormatting sqref="B140:C140">
    <cfRule type="cellIs" dxfId="2181" priority="3843" stopIfTrue="1" operator="equal">
      <formula>"Towel"</formula>
    </cfRule>
  </conditionalFormatting>
  <conditionalFormatting sqref="B140:C140">
    <cfRule type="cellIs" dxfId="2180" priority="3854" stopIfTrue="1" operator="equal">
      <formula>"Towel"</formula>
    </cfRule>
    <cfRule type="cellIs" dxfId="2179" priority="3855" stopIfTrue="1" operator="equal">
      <formula>"Napkin Hs"</formula>
    </cfRule>
    <cfRule type="cellIs" dxfId="2178" priority="3860" stopIfTrue="1" operator="equal">
      <formula>"Towel"</formula>
    </cfRule>
    <cfRule type="cellIs" dxfId="2177" priority="3861" stopIfTrue="1" operator="equal">
      <formula>"Napkin Hs"</formula>
    </cfRule>
    <cfRule type="cellIs" dxfId="2176" priority="3866" stopIfTrue="1" operator="equal">
      <formula>"Towel"</formula>
    </cfRule>
    <cfRule type="cellIs" dxfId="2175" priority="3867" stopIfTrue="1" operator="equal">
      <formula>"Napkin Hs"</formula>
    </cfRule>
    <cfRule type="cellIs" dxfId="2174" priority="3868" stopIfTrue="1" operator="equal">
      <formula>"Towel"</formula>
    </cfRule>
    <cfRule type="cellIs" dxfId="2173" priority="3869" stopIfTrue="1" operator="equal">
      <formula>"Napkin Hs"</formula>
    </cfRule>
    <cfRule type="cellIs" dxfId="2172" priority="3874" stopIfTrue="1" operator="equal">
      <formula>"Towel"</formula>
    </cfRule>
    <cfRule type="cellIs" dxfId="2171" priority="3875" stopIfTrue="1" operator="equal">
      <formula>"Napkin Hs"</formula>
    </cfRule>
    <cfRule type="cellIs" dxfId="2170" priority="3884" stopIfTrue="1" operator="equal">
      <formula>"Towel"</formula>
    </cfRule>
    <cfRule type="cellIs" dxfId="2169" priority="3885" stopIfTrue="1" operator="equal">
      <formula>"Napkin Hs"</formula>
    </cfRule>
    <cfRule type="cellIs" dxfId="2168" priority="3890" stopIfTrue="1" operator="equal">
      <formula>"Towel"</formula>
    </cfRule>
    <cfRule type="cellIs" dxfId="2167" priority="3891" stopIfTrue="1" operator="equal">
      <formula>"Napkin Hs"</formula>
    </cfRule>
    <cfRule type="cellIs" dxfId="2166" priority="3892" stopIfTrue="1" operator="equal">
      <formula>"Towel"</formula>
    </cfRule>
    <cfRule type="cellIs" dxfId="2165" priority="3893" stopIfTrue="1" operator="equal">
      <formula>"Napkin Hs"</formula>
    </cfRule>
    <cfRule type="cellIs" dxfId="2164" priority="3898" stopIfTrue="1" operator="equal">
      <formula>"Towel"</formula>
    </cfRule>
    <cfRule type="cellIs" dxfId="2163" priority="3899" stopIfTrue="1" operator="equal">
      <formula>"Napkin Hs"</formula>
    </cfRule>
    <cfRule type="cellIs" dxfId="2162" priority="3908" stopIfTrue="1" operator="equal">
      <formula>"Towel"</formula>
    </cfRule>
    <cfRule type="cellIs" dxfId="2161" priority="3909" stopIfTrue="1" operator="equal">
      <formula>"Napkin Hs"</formula>
    </cfRule>
    <cfRule type="cellIs" dxfId="2160" priority="3910" stopIfTrue="1" operator="equal">
      <formula>"Towel"</formula>
    </cfRule>
    <cfRule type="cellIs" dxfId="2159" priority="3911" stopIfTrue="1" operator="equal">
      <formula>"Napkin Hs"</formula>
    </cfRule>
    <cfRule type="cellIs" dxfId="2158" priority="3916" stopIfTrue="1" operator="equal">
      <formula>"Towel"</formula>
    </cfRule>
    <cfRule type="cellIs" dxfId="2157" priority="3917" stopIfTrue="1" operator="equal">
      <formula>"Napkin Hs"</formula>
    </cfRule>
    <cfRule type="cellIs" dxfId="2156" priority="3926" stopIfTrue="1" operator="equal">
      <formula>"Towel"</formula>
    </cfRule>
    <cfRule type="cellIs" dxfId="2155" priority="3927" stopIfTrue="1" operator="equal">
      <formula>"Napkin Hs"</formula>
    </cfRule>
    <cfRule type="cellIs" dxfId="2154" priority="3928" stopIfTrue="1" operator="equal">
      <formula>"Towel"</formula>
    </cfRule>
    <cfRule type="cellIs" dxfId="2153" priority="3929" stopIfTrue="1" operator="equal">
      <formula>"Napkin Hs"</formula>
    </cfRule>
    <cfRule type="cellIs" dxfId="2152" priority="3935" stopIfTrue="1" operator="equal">
      <formula>"Napkin Hs"</formula>
    </cfRule>
  </conditionalFormatting>
  <conditionalFormatting sqref="B140:C140">
    <cfRule type="cellIs" dxfId="2151" priority="3934" stopIfTrue="1" operator="equal">
      <formula>"Towel"</formula>
    </cfRule>
  </conditionalFormatting>
  <conditionalFormatting sqref="C140">
    <cfRule type="cellIs" dxfId="2150" priority="3845" stopIfTrue="1" operator="equal">
      <formula>"Napkin Hs"</formula>
    </cfRule>
    <cfRule type="cellIs" dxfId="2149" priority="3846" stopIfTrue="1" operator="equal">
      <formula>"Towel"</formula>
    </cfRule>
    <cfRule type="cellIs" dxfId="2148" priority="3847" stopIfTrue="1" operator="equal">
      <formula>"Napkin Hs"</formula>
    </cfRule>
    <cfRule type="cellIs" dxfId="2147" priority="3848" stopIfTrue="1" operator="equal">
      <formula>"Towel"</formula>
    </cfRule>
    <cfRule type="cellIs" dxfId="2146" priority="3849" stopIfTrue="1" operator="equal">
      <formula>"Napkin Hs"</formula>
    </cfRule>
    <cfRule type="cellIs" dxfId="2145" priority="3850" stopIfTrue="1" operator="equal">
      <formula>"Towel"</formula>
    </cfRule>
    <cfRule type="cellIs" dxfId="2144" priority="3851" stopIfTrue="1" operator="equal">
      <formula>"Napkin Hs"</formula>
    </cfRule>
    <cfRule type="cellIs" dxfId="2143" priority="3852" stopIfTrue="1" operator="equal">
      <formula>"Towel"</formula>
    </cfRule>
    <cfRule type="cellIs" dxfId="2142" priority="3853" stopIfTrue="1" operator="equal">
      <formula>"Napkin Hs"</formula>
    </cfRule>
    <cfRule type="cellIs" dxfId="2141" priority="3856" stopIfTrue="1" operator="equal">
      <formula>"Towel"</formula>
    </cfRule>
    <cfRule type="cellIs" dxfId="2140" priority="3857" stopIfTrue="1" operator="equal">
      <formula>"Napkin Hs"</formula>
    </cfRule>
    <cfRule type="cellIs" dxfId="2139" priority="3858" stopIfTrue="1" operator="equal">
      <formula>"Towel"</formula>
    </cfRule>
    <cfRule type="cellIs" dxfId="2138" priority="3859" stopIfTrue="1" operator="equal">
      <formula>"Napkin Hs"</formula>
    </cfRule>
    <cfRule type="cellIs" dxfId="2137" priority="3862" stopIfTrue="1" operator="equal">
      <formula>"Towel"</formula>
    </cfRule>
    <cfRule type="cellIs" dxfId="2136" priority="3863" stopIfTrue="1" operator="equal">
      <formula>"Napkin Hs"</formula>
    </cfRule>
    <cfRule type="cellIs" dxfId="2135" priority="3864" stopIfTrue="1" operator="equal">
      <formula>"Towel"</formula>
    </cfRule>
    <cfRule type="cellIs" dxfId="2134" priority="3865" stopIfTrue="1" operator="equal">
      <formula>"Napkin Hs"</formula>
    </cfRule>
    <cfRule type="cellIs" dxfId="2133" priority="3870" stopIfTrue="1" operator="equal">
      <formula>"Towel"</formula>
    </cfRule>
    <cfRule type="cellIs" dxfId="2132" priority="3871" stopIfTrue="1" operator="equal">
      <formula>"Napkin Hs"</formula>
    </cfRule>
    <cfRule type="cellIs" dxfId="2131" priority="3872" stopIfTrue="1" operator="equal">
      <formula>"Towel"</formula>
    </cfRule>
    <cfRule type="cellIs" dxfId="2130" priority="3873" stopIfTrue="1" operator="equal">
      <formula>"Napkin Hs"</formula>
    </cfRule>
    <cfRule type="cellIs" dxfId="2129" priority="3876" stopIfTrue="1" operator="equal">
      <formula>"Towel"</formula>
    </cfRule>
    <cfRule type="cellIs" dxfId="2128" priority="3877" stopIfTrue="1" operator="equal">
      <formula>"Napkin Hs"</formula>
    </cfRule>
    <cfRule type="cellIs" dxfId="2127" priority="3878" stopIfTrue="1" operator="equal">
      <formula>"Towel"</formula>
    </cfRule>
    <cfRule type="cellIs" dxfId="2126" priority="3879" stopIfTrue="1" operator="equal">
      <formula>"Napkin Hs"</formula>
    </cfRule>
    <cfRule type="cellIs" dxfId="2125" priority="3880" stopIfTrue="1" operator="equal">
      <formula>"Towel"</formula>
    </cfRule>
    <cfRule type="cellIs" dxfId="2124" priority="3881" stopIfTrue="1" operator="equal">
      <formula>"Napkin Hs"</formula>
    </cfRule>
    <cfRule type="cellIs" dxfId="2123" priority="3882" stopIfTrue="1" operator="equal">
      <formula>"Towel"</formula>
    </cfRule>
    <cfRule type="cellIs" dxfId="2122" priority="3883" stopIfTrue="1" operator="equal">
      <formula>"Napkin Hs"</formula>
    </cfRule>
    <cfRule type="cellIs" dxfId="2121" priority="3886" stopIfTrue="1" operator="equal">
      <formula>"Towel"</formula>
    </cfRule>
    <cfRule type="cellIs" dxfId="2120" priority="3887" stopIfTrue="1" operator="equal">
      <formula>"Napkin Hs"</formula>
    </cfRule>
    <cfRule type="cellIs" dxfId="2119" priority="3888" stopIfTrue="1" operator="equal">
      <formula>"Towel"</formula>
    </cfRule>
    <cfRule type="cellIs" dxfId="2118" priority="3889" stopIfTrue="1" operator="equal">
      <formula>"Napkin Hs"</formula>
    </cfRule>
    <cfRule type="cellIs" dxfId="2117" priority="3894" stopIfTrue="1" operator="equal">
      <formula>"Towel"</formula>
    </cfRule>
    <cfRule type="cellIs" dxfId="2116" priority="3895" stopIfTrue="1" operator="equal">
      <formula>"Napkin Hs"</formula>
    </cfRule>
    <cfRule type="cellIs" dxfId="2115" priority="3896" stopIfTrue="1" operator="equal">
      <formula>"Towel"</formula>
    </cfRule>
    <cfRule type="cellIs" dxfId="2114" priority="3897" stopIfTrue="1" operator="equal">
      <formula>"Napkin Hs"</formula>
    </cfRule>
    <cfRule type="cellIs" dxfId="2113" priority="3900" stopIfTrue="1" operator="equal">
      <formula>"Towel"</formula>
    </cfRule>
    <cfRule type="cellIs" dxfId="2112" priority="3901" stopIfTrue="1" operator="equal">
      <formula>"Napkin Hs"</formula>
    </cfRule>
    <cfRule type="cellIs" dxfId="2111" priority="3902" stopIfTrue="1" operator="equal">
      <formula>"Towel"</formula>
    </cfRule>
    <cfRule type="cellIs" dxfId="2110" priority="3903" stopIfTrue="1" operator="equal">
      <formula>"Napkin Hs"</formula>
    </cfRule>
    <cfRule type="cellIs" dxfId="2109" priority="3904" stopIfTrue="1" operator="equal">
      <formula>"Towel"</formula>
    </cfRule>
    <cfRule type="cellIs" dxfId="2108" priority="3905" stopIfTrue="1" operator="equal">
      <formula>"Napkin Hs"</formula>
    </cfRule>
    <cfRule type="cellIs" dxfId="2107" priority="3906" stopIfTrue="1" operator="equal">
      <formula>"Towel"</formula>
    </cfRule>
    <cfRule type="cellIs" dxfId="2106" priority="3907" stopIfTrue="1" operator="equal">
      <formula>"Napkin Hs"</formula>
    </cfRule>
    <cfRule type="cellIs" dxfId="2105" priority="3912" stopIfTrue="1" operator="equal">
      <formula>"Towel"</formula>
    </cfRule>
    <cfRule type="cellIs" dxfId="2104" priority="3913" stopIfTrue="1" operator="equal">
      <formula>"Napkin Hs"</formula>
    </cfRule>
    <cfRule type="cellIs" dxfId="2103" priority="3914" stopIfTrue="1" operator="equal">
      <formula>"Towel"</formula>
    </cfRule>
    <cfRule type="cellIs" dxfId="2102" priority="3915" stopIfTrue="1" operator="equal">
      <formula>"Napkin Hs"</formula>
    </cfRule>
    <cfRule type="cellIs" dxfId="2101" priority="3918" stopIfTrue="1" operator="equal">
      <formula>"Towel"</formula>
    </cfRule>
    <cfRule type="cellIs" dxfId="2100" priority="3919" stopIfTrue="1" operator="equal">
      <formula>"Napkin Hs"</formula>
    </cfRule>
    <cfRule type="cellIs" dxfId="2099" priority="3920" stopIfTrue="1" operator="equal">
      <formula>"Towel"</formula>
    </cfRule>
    <cfRule type="cellIs" dxfId="2098" priority="3921" stopIfTrue="1" operator="equal">
      <formula>"Napkin Hs"</formula>
    </cfRule>
    <cfRule type="cellIs" dxfId="2097" priority="3922" stopIfTrue="1" operator="equal">
      <formula>"Towel"</formula>
    </cfRule>
    <cfRule type="cellIs" dxfId="2096" priority="3923" stopIfTrue="1" operator="equal">
      <formula>"Napkin Hs"</formula>
    </cfRule>
    <cfRule type="cellIs" dxfId="2095" priority="3924" stopIfTrue="1" operator="equal">
      <formula>"Towel"</formula>
    </cfRule>
    <cfRule type="cellIs" dxfId="2094" priority="3925" stopIfTrue="1" operator="equal">
      <formula>"Napkin Hs"</formula>
    </cfRule>
    <cfRule type="cellIs" dxfId="2093" priority="3930" stopIfTrue="1" operator="equal">
      <formula>"Towel"</formula>
    </cfRule>
    <cfRule type="cellIs" dxfId="2092" priority="3931" stopIfTrue="1" operator="equal">
      <formula>"Napkin Hs"</formula>
    </cfRule>
    <cfRule type="cellIs" dxfId="2091" priority="3932" stopIfTrue="1" operator="equal">
      <formula>"Towel"</formula>
    </cfRule>
    <cfRule type="cellIs" dxfId="2090" priority="3933" stopIfTrue="1" operator="equal">
      <formula>"Napkin Hs"</formula>
    </cfRule>
    <cfRule type="cellIs" dxfId="2089" priority="3936" stopIfTrue="1" operator="equal">
      <formula>"Towel"</formula>
    </cfRule>
    <cfRule type="cellIs" dxfId="2088" priority="3937" stopIfTrue="1" operator="equal">
      <formula>"Napkin Hs"</formula>
    </cfRule>
    <cfRule type="cellIs" dxfId="2087" priority="3938" stopIfTrue="1" operator="equal">
      <formula>"Towel"</formula>
    </cfRule>
    <cfRule type="cellIs" dxfId="2086" priority="3939" stopIfTrue="1" operator="equal">
      <formula>"Napkin Hs"</formula>
    </cfRule>
  </conditionalFormatting>
  <conditionalFormatting sqref="C140">
    <cfRule type="cellIs" dxfId="2085" priority="3842" stopIfTrue="1" operator="equal">
      <formula>"Napkin Hs"</formula>
    </cfRule>
  </conditionalFormatting>
  <conditionalFormatting sqref="C140">
    <cfRule type="cellIs" dxfId="2084" priority="3841" stopIfTrue="1" operator="equal">
      <formula>"Napkin Hs"</formula>
    </cfRule>
  </conditionalFormatting>
  <conditionalFormatting sqref="B140">
    <cfRule type="cellIs" dxfId="2083" priority="3840" stopIfTrue="1" operator="equal">
      <formula>"Napkin Hs"</formula>
    </cfRule>
  </conditionalFormatting>
  <conditionalFormatting sqref="C140">
    <cfRule type="cellIs" dxfId="2082" priority="3839" stopIfTrue="1" operator="equal">
      <formula>"Napkin Hs"</formula>
    </cfRule>
  </conditionalFormatting>
  <conditionalFormatting sqref="C140">
    <cfRule type="cellIs" dxfId="2081" priority="3838" stopIfTrue="1" operator="equal">
      <formula>"Napkin Hs"</formula>
    </cfRule>
  </conditionalFormatting>
  <conditionalFormatting sqref="C140">
    <cfRule type="cellIs" dxfId="2080" priority="3837" stopIfTrue="1" operator="equal">
      <formula>"Napkin Hs"</formula>
    </cfRule>
  </conditionalFormatting>
  <conditionalFormatting sqref="C140">
    <cfRule type="cellIs" dxfId="2079" priority="3836" stopIfTrue="1" operator="equal">
      <formula>"Napkin Hs"</formula>
    </cfRule>
  </conditionalFormatting>
  <conditionalFormatting sqref="B140">
    <cfRule type="cellIs" dxfId="2078" priority="3835" stopIfTrue="1" operator="equal">
      <formula>"Napkin Hs"</formula>
    </cfRule>
  </conditionalFormatting>
  <conditionalFormatting sqref="B140">
    <cfRule type="cellIs" dxfId="2077" priority="3834" stopIfTrue="1" operator="equal">
      <formula>"Napkin Hs"</formula>
    </cfRule>
  </conditionalFormatting>
  <conditionalFormatting sqref="C140">
    <cfRule type="cellIs" dxfId="2076" priority="3830" stopIfTrue="1" operator="equal">
      <formula>"Towel"</formula>
    </cfRule>
    <cfRule type="cellIs" dxfId="2075" priority="3831" stopIfTrue="1" operator="equal">
      <formula>"Napkin Hs"</formula>
    </cfRule>
  </conditionalFormatting>
  <conditionalFormatting sqref="C140">
    <cfRule type="cellIs" dxfId="2074" priority="3832" stopIfTrue="1" operator="equal">
      <formula>"Towel"</formula>
    </cfRule>
    <cfRule type="cellIs" dxfId="2073" priority="3833" stopIfTrue="1" operator="equal">
      <formula>"Napkin Hs"</formula>
    </cfRule>
  </conditionalFormatting>
  <conditionalFormatting sqref="C140">
    <cfRule type="cellIs" dxfId="2072" priority="3826" stopIfTrue="1" operator="equal">
      <formula>"Towel"</formula>
    </cfRule>
    <cfRule type="cellIs" dxfId="2071" priority="3827" stopIfTrue="1" operator="equal">
      <formula>"Napkin Hs"</formula>
    </cfRule>
  </conditionalFormatting>
  <conditionalFormatting sqref="C140">
    <cfRule type="cellIs" dxfId="2070" priority="3828" stopIfTrue="1" operator="equal">
      <formula>"Towel"</formula>
    </cfRule>
    <cfRule type="cellIs" dxfId="2069" priority="3829" stopIfTrue="1" operator="equal">
      <formula>"Napkin Hs"</formula>
    </cfRule>
  </conditionalFormatting>
  <conditionalFormatting sqref="C139">
    <cfRule type="cellIs" dxfId="2068" priority="3824" stopIfTrue="1" operator="equal">
      <formula>"Towel"</formula>
    </cfRule>
    <cfRule type="cellIs" dxfId="2067" priority="3825" stopIfTrue="1" operator="equal">
      <formula>"Napkin Hs"</formula>
    </cfRule>
  </conditionalFormatting>
  <conditionalFormatting sqref="C139">
    <cfRule type="cellIs" dxfId="2066" priority="3820" stopIfTrue="1" operator="equal">
      <formula>"Towel"</formula>
    </cfRule>
    <cfRule type="cellIs" dxfId="2065" priority="3821" stopIfTrue="1" operator="equal">
      <formula>"Napkin Hs"</formula>
    </cfRule>
  </conditionalFormatting>
  <conditionalFormatting sqref="C139">
    <cfRule type="cellIs" dxfId="2064" priority="3822" stopIfTrue="1" operator="equal">
      <formula>"Towel"</formula>
    </cfRule>
    <cfRule type="cellIs" dxfId="2063" priority="3823" stopIfTrue="1" operator="equal">
      <formula>"Napkin Hs"</formula>
    </cfRule>
  </conditionalFormatting>
  <conditionalFormatting sqref="C139">
    <cfRule type="cellIs" dxfId="2062" priority="3816" stopIfTrue="1" operator="equal">
      <formula>"Towel"</formula>
    </cfRule>
    <cfRule type="cellIs" dxfId="2061" priority="3817" stopIfTrue="1" operator="equal">
      <formula>"Napkin Hs"</formula>
    </cfRule>
  </conditionalFormatting>
  <conditionalFormatting sqref="C139">
    <cfRule type="cellIs" dxfId="2060" priority="3818" stopIfTrue="1" operator="equal">
      <formula>"Towel"</formula>
    </cfRule>
    <cfRule type="cellIs" dxfId="2059" priority="3819" stopIfTrue="1" operator="equal">
      <formula>"Napkin Hs"</formula>
    </cfRule>
  </conditionalFormatting>
  <conditionalFormatting sqref="C139">
    <cfRule type="cellIs" dxfId="2058" priority="3814" stopIfTrue="1" operator="equal">
      <formula>"Towel"</formula>
    </cfRule>
    <cfRule type="cellIs" dxfId="2057" priority="3815" stopIfTrue="1" operator="equal">
      <formula>"Napkin Hs"</formula>
    </cfRule>
  </conditionalFormatting>
  <conditionalFormatting sqref="C139">
    <cfRule type="cellIs" dxfId="2056" priority="3808" stopIfTrue="1" operator="equal">
      <formula>"Towel"</formula>
    </cfRule>
    <cfRule type="cellIs" dxfId="2055" priority="3809" stopIfTrue="1" operator="equal">
      <formula>"Napkin Hs"</formula>
    </cfRule>
  </conditionalFormatting>
  <conditionalFormatting sqref="C139">
    <cfRule type="cellIs" dxfId="2054" priority="3812" stopIfTrue="1" operator="equal">
      <formula>"Towel"</formula>
    </cfRule>
    <cfRule type="cellIs" dxfId="2053" priority="3813" stopIfTrue="1" operator="equal">
      <formula>"Napkin Hs"</formula>
    </cfRule>
  </conditionalFormatting>
  <conditionalFormatting sqref="C139">
    <cfRule type="cellIs" dxfId="2052" priority="3810" stopIfTrue="1" operator="equal">
      <formula>"Towel"</formula>
    </cfRule>
    <cfRule type="cellIs" dxfId="2051" priority="3811" stopIfTrue="1" operator="equal">
      <formula>"Napkin Hs"</formula>
    </cfRule>
  </conditionalFormatting>
  <conditionalFormatting sqref="C139">
    <cfRule type="cellIs" dxfId="2050" priority="3802" stopIfTrue="1" operator="equal">
      <formula>"Towel"</formula>
    </cfRule>
    <cfRule type="cellIs" dxfId="2049" priority="3803" stopIfTrue="1" operator="equal">
      <formula>"Napkin Hs"</formula>
    </cfRule>
  </conditionalFormatting>
  <conditionalFormatting sqref="C139">
    <cfRule type="cellIs" dxfId="2048" priority="3804" stopIfTrue="1" operator="equal">
      <formula>"Towel"</formula>
    </cfRule>
    <cfRule type="cellIs" dxfId="2047" priority="3805" stopIfTrue="1" operator="equal">
      <formula>"Napkin Hs"</formula>
    </cfRule>
  </conditionalFormatting>
  <conditionalFormatting sqref="C139">
    <cfRule type="cellIs" dxfId="2046" priority="3806" stopIfTrue="1" operator="equal">
      <formula>"Towel"</formula>
    </cfRule>
    <cfRule type="cellIs" dxfId="2045" priority="3807" stopIfTrue="1" operator="equal">
      <formula>"Napkin Hs"</formula>
    </cfRule>
  </conditionalFormatting>
  <conditionalFormatting sqref="C139">
    <cfRule type="cellIs" dxfId="2044" priority="3800" stopIfTrue="1" operator="equal">
      <formula>"Towel"</formula>
    </cfRule>
    <cfRule type="cellIs" dxfId="2043" priority="3801" stopIfTrue="1" operator="equal">
      <formula>"Napkin Hs"</formula>
    </cfRule>
  </conditionalFormatting>
  <conditionalFormatting sqref="C139">
    <cfRule type="cellIs" dxfId="2042" priority="3798" stopIfTrue="1" operator="equal">
      <formula>"Towel"</formula>
    </cfRule>
    <cfRule type="cellIs" dxfId="2041" priority="3799" stopIfTrue="1" operator="equal">
      <formula>"Napkin Hs"</formula>
    </cfRule>
  </conditionalFormatting>
  <conditionalFormatting sqref="C139">
    <cfRule type="cellIs" dxfId="2040" priority="3774" stopIfTrue="1" operator="equal">
      <formula>"Towel"</formula>
    </cfRule>
  </conditionalFormatting>
  <conditionalFormatting sqref="C139">
    <cfRule type="cellIs" dxfId="2039" priority="3775" stopIfTrue="1" operator="equal">
      <formula>"Napkin Hs"</formula>
    </cfRule>
    <cfRule type="cellIs" dxfId="2038" priority="3780" stopIfTrue="1" operator="equal">
      <formula>"Towel"</formula>
    </cfRule>
    <cfRule type="cellIs" dxfId="2037" priority="3781" stopIfTrue="1" operator="equal">
      <formula>"Napkin Hs"</formula>
    </cfRule>
    <cfRule type="cellIs" dxfId="2036" priority="3790" stopIfTrue="1" operator="equal">
      <formula>"Towel"</formula>
    </cfRule>
    <cfRule type="cellIs" dxfId="2035" priority="3791" stopIfTrue="1" operator="equal">
      <formula>"Napkin Hs"</formula>
    </cfRule>
    <cfRule type="cellIs" dxfId="2034" priority="3796" stopIfTrue="1" operator="equal">
      <formula>"Towel"</formula>
    </cfRule>
    <cfRule type="cellIs" dxfId="2033" priority="3797" stopIfTrue="1" operator="equal">
      <formula>"Napkin Hs"</formula>
    </cfRule>
  </conditionalFormatting>
  <conditionalFormatting sqref="C139">
    <cfRule type="cellIs" dxfId="2032" priority="3776" stopIfTrue="1" operator="equal">
      <formula>"Towel"</formula>
    </cfRule>
    <cfRule type="cellIs" dxfId="2031" priority="3777" stopIfTrue="1" operator="equal">
      <formula>"Napkin Hs"</formula>
    </cfRule>
    <cfRule type="cellIs" dxfId="2030" priority="3778" stopIfTrue="1" operator="equal">
      <formula>"Towel"</formula>
    </cfRule>
    <cfRule type="cellIs" dxfId="2029" priority="3779" stopIfTrue="1" operator="equal">
      <formula>"Napkin Hs"</formula>
    </cfRule>
    <cfRule type="cellIs" dxfId="2028" priority="3782" stopIfTrue="1" operator="equal">
      <formula>"Towel"</formula>
    </cfRule>
    <cfRule type="cellIs" dxfId="2027" priority="3783" stopIfTrue="1" operator="equal">
      <formula>"Napkin Hs"</formula>
    </cfRule>
    <cfRule type="cellIs" dxfId="2026" priority="3784" stopIfTrue="1" operator="equal">
      <formula>"Towel"</formula>
    </cfRule>
    <cfRule type="cellIs" dxfId="2025" priority="3785" stopIfTrue="1" operator="equal">
      <formula>"Napkin Hs"</formula>
    </cfRule>
    <cfRule type="cellIs" dxfId="2024" priority="3786" stopIfTrue="1" operator="equal">
      <formula>"Towel"</formula>
    </cfRule>
    <cfRule type="cellIs" dxfId="2023" priority="3787" stopIfTrue="1" operator="equal">
      <formula>"Napkin Hs"</formula>
    </cfRule>
    <cfRule type="cellIs" dxfId="2022" priority="3788" stopIfTrue="1" operator="equal">
      <formula>"Towel"</formula>
    </cfRule>
    <cfRule type="cellIs" dxfId="2021" priority="3789" stopIfTrue="1" operator="equal">
      <formula>"Napkin Hs"</formula>
    </cfRule>
    <cfRule type="cellIs" dxfId="2020" priority="3792" stopIfTrue="1" operator="equal">
      <formula>"Towel"</formula>
    </cfRule>
    <cfRule type="cellIs" dxfId="2019" priority="3793" stopIfTrue="1" operator="equal">
      <formula>"Napkin Hs"</formula>
    </cfRule>
    <cfRule type="cellIs" dxfId="2018" priority="3795" stopIfTrue="1" operator="equal">
      <formula>"Napkin Hs"</formula>
    </cfRule>
  </conditionalFormatting>
  <conditionalFormatting sqref="C139">
    <cfRule type="cellIs" dxfId="2017" priority="3794" stopIfTrue="1" operator="equal">
      <formula>"Towel"</formula>
    </cfRule>
  </conditionalFormatting>
  <conditionalFormatting sqref="C139">
    <cfRule type="cellIs" dxfId="2016" priority="3772" stopIfTrue="1" operator="equal">
      <formula>"Towel"</formula>
    </cfRule>
    <cfRule type="cellIs" dxfId="2015" priority="3773" stopIfTrue="1" operator="equal">
      <formula>"Napkin Hs"</formula>
    </cfRule>
  </conditionalFormatting>
  <conditionalFormatting sqref="C139">
    <cfRule type="cellIs" dxfId="2014" priority="3771" stopIfTrue="1" operator="equal">
      <formula>"Napkin Hs"</formula>
    </cfRule>
  </conditionalFormatting>
  <conditionalFormatting sqref="C139">
    <cfRule type="cellIs" dxfId="2013" priority="3770" stopIfTrue="1" operator="equal">
      <formula>"Towel"</formula>
    </cfRule>
  </conditionalFormatting>
  <conditionalFormatting sqref="C139">
    <cfRule type="cellIs" dxfId="2012" priority="3768" stopIfTrue="1" operator="equal">
      <formula>"Towel"</formula>
    </cfRule>
  </conditionalFormatting>
  <conditionalFormatting sqref="C139">
    <cfRule type="cellIs" dxfId="2011" priority="3769" stopIfTrue="1" operator="equal">
      <formula>"Napkin Hs"</formula>
    </cfRule>
  </conditionalFormatting>
  <conditionalFormatting sqref="C139">
    <cfRule type="cellIs" dxfId="2010" priority="3672" stopIfTrue="1" operator="equal">
      <formula>"Towel"</formula>
    </cfRule>
  </conditionalFormatting>
  <conditionalFormatting sqref="C139">
    <cfRule type="cellIs" dxfId="2009" priority="3682" stopIfTrue="1" operator="equal">
      <formula>"Towel"</formula>
    </cfRule>
    <cfRule type="cellIs" dxfId="2008" priority="3683" stopIfTrue="1" operator="equal">
      <formula>"Napkin Hs"</formula>
    </cfRule>
    <cfRule type="cellIs" dxfId="2007" priority="3688" stopIfTrue="1" operator="equal">
      <formula>"Towel"</formula>
    </cfRule>
    <cfRule type="cellIs" dxfId="2006" priority="3689" stopIfTrue="1" operator="equal">
      <formula>"Napkin Hs"</formula>
    </cfRule>
    <cfRule type="cellIs" dxfId="2005" priority="3694" stopIfTrue="1" operator="equal">
      <formula>"Towel"</formula>
    </cfRule>
    <cfRule type="cellIs" dxfId="2004" priority="3695" stopIfTrue="1" operator="equal">
      <formula>"Napkin Hs"</formula>
    </cfRule>
    <cfRule type="cellIs" dxfId="2003" priority="3696" stopIfTrue="1" operator="equal">
      <formula>"Towel"</formula>
    </cfRule>
    <cfRule type="cellIs" dxfId="2002" priority="3697" stopIfTrue="1" operator="equal">
      <formula>"Napkin Hs"</formula>
    </cfRule>
    <cfRule type="cellIs" dxfId="2001" priority="3702" stopIfTrue="1" operator="equal">
      <formula>"Towel"</formula>
    </cfRule>
    <cfRule type="cellIs" dxfId="2000" priority="3703" stopIfTrue="1" operator="equal">
      <formula>"Napkin Hs"</formula>
    </cfRule>
    <cfRule type="cellIs" dxfId="1999" priority="3712" stopIfTrue="1" operator="equal">
      <formula>"Towel"</formula>
    </cfRule>
    <cfRule type="cellIs" dxfId="1998" priority="3713" stopIfTrue="1" operator="equal">
      <formula>"Napkin Hs"</formula>
    </cfRule>
    <cfRule type="cellIs" dxfId="1997" priority="3718" stopIfTrue="1" operator="equal">
      <formula>"Towel"</formula>
    </cfRule>
    <cfRule type="cellIs" dxfId="1996" priority="3719" stopIfTrue="1" operator="equal">
      <formula>"Napkin Hs"</formula>
    </cfRule>
    <cfRule type="cellIs" dxfId="1995" priority="3720" stopIfTrue="1" operator="equal">
      <formula>"Towel"</formula>
    </cfRule>
    <cfRule type="cellIs" dxfId="1994" priority="3721" stopIfTrue="1" operator="equal">
      <formula>"Napkin Hs"</formula>
    </cfRule>
    <cfRule type="cellIs" dxfId="1993" priority="3726" stopIfTrue="1" operator="equal">
      <formula>"Towel"</formula>
    </cfRule>
    <cfRule type="cellIs" dxfId="1992" priority="3727" stopIfTrue="1" operator="equal">
      <formula>"Napkin Hs"</formula>
    </cfRule>
    <cfRule type="cellIs" dxfId="1991" priority="3736" stopIfTrue="1" operator="equal">
      <formula>"Towel"</formula>
    </cfRule>
    <cfRule type="cellIs" dxfId="1990" priority="3737" stopIfTrue="1" operator="equal">
      <formula>"Napkin Hs"</formula>
    </cfRule>
    <cfRule type="cellIs" dxfId="1989" priority="3738" stopIfTrue="1" operator="equal">
      <formula>"Towel"</formula>
    </cfRule>
    <cfRule type="cellIs" dxfId="1988" priority="3739" stopIfTrue="1" operator="equal">
      <formula>"Napkin Hs"</formula>
    </cfRule>
    <cfRule type="cellIs" dxfId="1987" priority="3744" stopIfTrue="1" operator="equal">
      <formula>"Towel"</formula>
    </cfRule>
    <cfRule type="cellIs" dxfId="1986" priority="3745" stopIfTrue="1" operator="equal">
      <formula>"Napkin Hs"</formula>
    </cfRule>
    <cfRule type="cellIs" dxfId="1985" priority="3754" stopIfTrue="1" operator="equal">
      <formula>"Towel"</formula>
    </cfRule>
    <cfRule type="cellIs" dxfId="1984" priority="3755" stopIfTrue="1" operator="equal">
      <formula>"Napkin Hs"</formula>
    </cfRule>
    <cfRule type="cellIs" dxfId="1983" priority="3756" stopIfTrue="1" operator="equal">
      <formula>"Towel"</formula>
    </cfRule>
    <cfRule type="cellIs" dxfId="1982" priority="3757" stopIfTrue="1" operator="equal">
      <formula>"Napkin Hs"</formula>
    </cfRule>
    <cfRule type="cellIs" dxfId="1981" priority="3763" stopIfTrue="1" operator="equal">
      <formula>"Napkin Hs"</formula>
    </cfRule>
  </conditionalFormatting>
  <conditionalFormatting sqref="C139">
    <cfRule type="cellIs" dxfId="1980" priority="3762" stopIfTrue="1" operator="equal">
      <formula>"Towel"</formula>
    </cfRule>
  </conditionalFormatting>
  <conditionalFormatting sqref="C139">
    <cfRule type="cellIs" dxfId="1979" priority="3673" stopIfTrue="1" operator="equal">
      <formula>"Napkin Hs"</formula>
    </cfRule>
    <cfRule type="cellIs" dxfId="1978" priority="3674" stopIfTrue="1" operator="equal">
      <formula>"Towel"</formula>
    </cfRule>
    <cfRule type="cellIs" dxfId="1977" priority="3675" stopIfTrue="1" operator="equal">
      <formula>"Napkin Hs"</formula>
    </cfRule>
    <cfRule type="cellIs" dxfId="1976" priority="3676" stopIfTrue="1" operator="equal">
      <formula>"Towel"</formula>
    </cfRule>
    <cfRule type="cellIs" dxfId="1975" priority="3677" stopIfTrue="1" operator="equal">
      <formula>"Napkin Hs"</formula>
    </cfRule>
    <cfRule type="cellIs" dxfId="1974" priority="3678" stopIfTrue="1" operator="equal">
      <formula>"Towel"</formula>
    </cfRule>
    <cfRule type="cellIs" dxfId="1973" priority="3679" stopIfTrue="1" operator="equal">
      <formula>"Napkin Hs"</formula>
    </cfRule>
    <cfRule type="cellIs" dxfId="1972" priority="3680" stopIfTrue="1" operator="equal">
      <formula>"Towel"</formula>
    </cfRule>
    <cfRule type="cellIs" dxfId="1971" priority="3681" stopIfTrue="1" operator="equal">
      <formula>"Napkin Hs"</formula>
    </cfRule>
    <cfRule type="cellIs" dxfId="1970" priority="3684" stopIfTrue="1" operator="equal">
      <formula>"Towel"</formula>
    </cfRule>
    <cfRule type="cellIs" dxfId="1969" priority="3685" stopIfTrue="1" operator="equal">
      <formula>"Napkin Hs"</formula>
    </cfRule>
    <cfRule type="cellIs" dxfId="1968" priority="3686" stopIfTrue="1" operator="equal">
      <formula>"Towel"</formula>
    </cfRule>
    <cfRule type="cellIs" dxfId="1967" priority="3687" stopIfTrue="1" operator="equal">
      <formula>"Napkin Hs"</formula>
    </cfRule>
    <cfRule type="cellIs" dxfId="1966" priority="3690" stopIfTrue="1" operator="equal">
      <formula>"Towel"</formula>
    </cfRule>
    <cfRule type="cellIs" dxfId="1965" priority="3691" stopIfTrue="1" operator="equal">
      <formula>"Napkin Hs"</formula>
    </cfRule>
    <cfRule type="cellIs" dxfId="1964" priority="3692" stopIfTrue="1" operator="equal">
      <formula>"Towel"</formula>
    </cfRule>
    <cfRule type="cellIs" dxfId="1963" priority="3693" stopIfTrue="1" operator="equal">
      <formula>"Napkin Hs"</formula>
    </cfRule>
    <cfRule type="cellIs" dxfId="1962" priority="3698" stopIfTrue="1" operator="equal">
      <formula>"Towel"</formula>
    </cfRule>
    <cfRule type="cellIs" dxfId="1961" priority="3699" stopIfTrue="1" operator="equal">
      <formula>"Napkin Hs"</formula>
    </cfRule>
    <cfRule type="cellIs" dxfId="1960" priority="3700" stopIfTrue="1" operator="equal">
      <formula>"Towel"</formula>
    </cfRule>
    <cfRule type="cellIs" dxfId="1959" priority="3701" stopIfTrue="1" operator="equal">
      <formula>"Napkin Hs"</formula>
    </cfRule>
    <cfRule type="cellIs" dxfId="1958" priority="3704" stopIfTrue="1" operator="equal">
      <formula>"Towel"</formula>
    </cfRule>
    <cfRule type="cellIs" dxfId="1957" priority="3705" stopIfTrue="1" operator="equal">
      <formula>"Napkin Hs"</formula>
    </cfRule>
    <cfRule type="cellIs" dxfId="1956" priority="3706" stopIfTrue="1" operator="equal">
      <formula>"Towel"</formula>
    </cfRule>
    <cfRule type="cellIs" dxfId="1955" priority="3707" stopIfTrue="1" operator="equal">
      <formula>"Napkin Hs"</formula>
    </cfRule>
    <cfRule type="cellIs" dxfId="1954" priority="3708" stopIfTrue="1" operator="equal">
      <formula>"Towel"</formula>
    </cfRule>
    <cfRule type="cellIs" dxfId="1953" priority="3709" stopIfTrue="1" operator="equal">
      <formula>"Napkin Hs"</formula>
    </cfRule>
    <cfRule type="cellIs" dxfId="1952" priority="3710" stopIfTrue="1" operator="equal">
      <formula>"Towel"</formula>
    </cfRule>
    <cfRule type="cellIs" dxfId="1951" priority="3711" stopIfTrue="1" operator="equal">
      <formula>"Napkin Hs"</formula>
    </cfRule>
    <cfRule type="cellIs" dxfId="1950" priority="3714" stopIfTrue="1" operator="equal">
      <formula>"Towel"</formula>
    </cfRule>
    <cfRule type="cellIs" dxfId="1949" priority="3715" stopIfTrue="1" operator="equal">
      <formula>"Napkin Hs"</formula>
    </cfRule>
    <cfRule type="cellIs" dxfId="1948" priority="3716" stopIfTrue="1" operator="equal">
      <formula>"Towel"</formula>
    </cfRule>
    <cfRule type="cellIs" dxfId="1947" priority="3717" stopIfTrue="1" operator="equal">
      <formula>"Napkin Hs"</formula>
    </cfRule>
    <cfRule type="cellIs" dxfId="1946" priority="3722" stopIfTrue="1" operator="equal">
      <formula>"Towel"</formula>
    </cfRule>
    <cfRule type="cellIs" dxfId="1945" priority="3723" stopIfTrue="1" operator="equal">
      <formula>"Napkin Hs"</formula>
    </cfRule>
    <cfRule type="cellIs" dxfId="1944" priority="3724" stopIfTrue="1" operator="equal">
      <formula>"Towel"</formula>
    </cfRule>
    <cfRule type="cellIs" dxfId="1943" priority="3725" stopIfTrue="1" operator="equal">
      <formula>"Napkin Hs"</formula>
    </cfRule>
    <cfRule type="cellIs" dxfId="1942" priority="3728" stopIfTrue="1" operator="equal">
      <formula>"Towel"</formula>
    </cfRule>
    <cfRule type="cellIs" dxfId="1941" priority="3729" stopIfTrue="1" operator="equal">
      <formula>"Napkin Hs"</formula>
    </cfRule>
    <cfRule type="cellIs" dxfId="1940" priority="3730" stopIfTrue="1" operator="equal">
      <formula>"Towel"</formula>
    </cfRule>
    <cfRule type="cellIs" dxfId="1939" priority="3731" stopIfTrue="1" operator="equal">
      <formula>"Napkin Hs"</formula>
    </cfRule>
    <cfRule type="cellIs" dxfId="1938" priority="3732" stopIfTrue="1" operator="equal">
      <formula>"Towel"</formula>
    </cfRule>
    <cfRule type="cellIs" dxfId="1937" priority="3733" stopIfTrue="1" operator="equal">
      <formula>"Napkin Hs"</formula>
    </cfRule>
    <cfRule type="cellIs" dxfId="1936" priority="3734" stopIfTrue="1" operator="equal">
      <formula>"Towel"</formula>
    </cfRule>
    <cfRule type="cellIs" dxfId="1935" priority="3735" stopIfTrue="1" operator="equal">
      <formula>"Napkin Hs"</formula>
    </cfRule>
    <cfRule type="cellIs" dxfId="1934" priority="3740" stopIfTrue="1" operator="equal">
      <formula>"Towel"</formula>
    </cfRule>
    <cfRule type="cellIs" dxfId="1933" priority="3741" stopIfTrue="1" operator="equal">
      <formula>"Napkin Hs"</formula>
    </cfRule>
    <cfRule type="cellIs" dxfId="1932" priority="3742" stopIfTrue="1" operator="equal">
      <formula>"Towel"</formula>
    </cfRule>
    <cfRule type="cellIs" dxfId="1931" priority="3743" stopIfTrue="1" operator="equal">
      <formula>"Napkin Hs"</formula>
    </cfRule>
    <cfRule type="cellIs" dxfId="1930" priority="3746" stopIfTrue="1" operator="equal">
      <formula>"Towel"</formula>
    </cfRule>
    <cfRule type="cellIs" dxfId="1929" priority="3747" stopIfTrue="1" operator="equal">
      <formula>"Napkin Hs"</formula>
    </cfRule>
    <cfRule type="cellIs" dxfId="1928" priority="3748" stopIfTrue="1" operator="equal">
      <formula>"Towel"</formula>
    </cfRule>
    <cfRule type="cellIs" dxfId="1927" priority="3749" stopIfTrue="1" operator="equal">
      <formula>"Napkin Hs"</formula>
    </cfRule>
    <cfRule type="cellIs" dxfId="1926" priority="3750" stopIfTrue="1" operator="equal">
      <formula>"Towel"</formula>
    </cfRule>
    <cfRule type="cellIs" dxfId="1925" priority="3751" stopIfTrue="1" operator="equal">
      <formula>"Napkin Hs"</formula>
    </cfRule>
    <cfRule type="cellIs" dxfId="1924" priority="3752" stopIfTrue="1" operator="equal">
      <formula>"Towel"</formula>
    </cfRule>
    <cfRule type="cellIs" dxfId="1923" priority="3753" stopIfTrue="1" operator="equal">
      <formula>"Napkin Hs"</formula>
    </cfRule>
    <cfRule type="cellIs" dxfId="1922" priority="3758" stopIfTrue="1" operator="equal">
      <formula>"Towel"</formula>
    </cfRule>
    <cfRule type="cellIs" dxfId="1921" priority="3759" stopIfTrue="1" operator="equal">
      <formula>"Napkin Hs"</formula>
    </cfRule>
    <cfRule type="cellIs" dxfId="1920" priority="3760" stopIfTrue="1" operator="equal">
      <formula>"Towel"</formula>
    </cfRule>
    <cfRule type="cellIs" dxfId="1919" priority="3761" stopIfTrue="1" operator="equal">
      <formula>"Napkin Hs"</formula>
    </cfRule>
    <cfRule type="cellIs" dxfId="1918" priority="3764" stopIfTrue="1" operator="equal">
      <formula>"Towel"</formula>
    </cfRule>
    <cfRule type="cellIs" dxfId="1917" priority="3765" stopIfTrue="1" operator="equal">
      <formula>"Napkin Hs"</formula>
    </cfRule>
    <cfRule type="cellIs" dxfId="1916" priority="3766" stopIfTrue="1" operator="equal">
      <formula>"Towel"</formula>
    </cfRule>
    <cfRule type="cellIs" dxfId="1915" priority="3767" stopIfTrue="1" operator="equal">
      <formula>"Napkin Hs"</formula>
    </cfRule>
  </conditionalFormatting>
  <conditionalFormatting sqref="C139">
    <cfRule type="cellIs" dxfId="1914" priority="3671" stopIfTrue="1" operator="equal">
      <formula>"Napkin Hs"</formula>
    </cfRule>
  </conditionalFormatting>
  <conditionalFormatting sqref="C139">
    <cfRule type="cellIs" dxfId="1913" priority="3670" stopIfTrue="1" operator="equal">
      <formula>"Napkin Hs"</formula>
    </cfRule>
  </conditionalFormatting>
  <conditionalFormatting sqref="C139">
    <cfRule type="cellIs" dxfId="1912" priority="3669" stopIfTrue="1" operator="equal">
      <formula>"Napkin Hs"</formula>
    </cfRule>
  </conditionalFormatting>
  <conditionalFormatting sqref="C139">
    <cfRule type="cellIs" dxfId="1911" priority="3668" stopIfTrue="1" operator="equal">
      <formula>"Napkin Hs"</formula>
    </cfRule>
  </conditionalFormatting>
  <conditionalFormatting sqref="C139">
    <cfRule type="cellIs" dxfId="1910" priority="3667" stopIfTrue="1" operator="equal">
      <formula>"Napkin Hs"</formula>
    </cfRule>
  </conditionalFormatting>
  <conditionalFormatting sqref="C139">
    <cfRule type="cellIs" dxfId="1909" priority="3666" stopIfTrue="1" operator="equal">
      <formula>"Napkin Hs"</formula>
    </cfRule>
  </conditionalFormatting>
  <conditionalFormatting sqref="C139">
    <cfRule type="cellIs" dxfId="1908" priority="3662" stopIfTrue="1" operator="equal">
      <formula>"Towel"</formula>
    </cfRule>
    <cfRule type="cellIs" dxfId="1907" priority="3663" stopIfTrue="1" operator="equal">
      <formula>"Napkin Hs"</formula>
    </cfRule>
  </conditionalFormatting>
  <conditionalFormatting sqref="C139">
    <cfRule type="cellIs" dxfId="1906" priority="3664" stopIfTrue="1" operator="equal">
      <formula>"Towel"</formula>
    </cfRule>
    <cfRule type="cellIs" dxfId="1905" priority="3665" stopIfTrue="1" operator="equal">
      <formula>"Napkin Hs"</formula>
    </cfRule>
  </conditionalFormatting>
  <conditionalFormatting sqref="C139">
    <cfRule type="cellIs" dxfId="1904" priority="3658" stopIfTrue="1" operator="equal">
      <formula>"Towel"</formula>
    </cfRule>
    <cfRule type="cellIs" dxfId="1903" priority="3659" stopIfTrue="1" operator="equal">
      <formula>"Napkin Hs"</formula>
    </cfRule>
  </conditionalFormatting>
  <conditionalFormatting sqref="C139">
    <cfRule type="cellIs" dxfId="1902" priority="3660" stopIfTrue="1" operator="equal">
      <formula>"Towel"</formula>
    </cfRule>
    <cfRule type="cellIs" dxfId="1901" priority="3661" stopIfTrue="1" operator="equal">
      <formula>"Napkin Hs"</formula>
    </cfRule>
  </conditionalFormatting>
  <conditionalFormatting sqref="C138">
    <cfRule type="cellIs" dxfId="1900" priority="3656" stopIfTrue="1" operator="equal">
      <formula>"Towel"</formula>
    </cfRule>
    <cfRule type="cellIs" dxfId="1899" priority="3657" stopIfTrue="1" operator="equal">
      <formula>"Napkin Hs"</formula>
    </cfRule>
  </conditionalFormatting>
  <conditionalFormatting sqref="C138">
    <cfRule type="cellIs" dxfId="1898" priority="3652" stopIfTrue="1" operator="equal">
      <formula>"Towel"</formula>
    </cfRule>
    <cfRule type="cellIs" dxfId="1897" priority="3653" stopIfTrue="1" operator="equal">
      <formula>"Napkin Hs"</formula>
    </cfRule>
  </conditionalFormatting>
  <conditionalFormatting sqref="C138">
    <cfRule type="cellIs" dxfId="1896" priority="3654" stopIfTrue="1" operator="equal">
      <formula>"Towel"</formula>
    </cfRule>
    <cfRule type="cellIs" dxfId="1895" priority="3655" stopIfTrue="1" operator="equal">
      <formula>"Napkin Hs"</formula>
    </cfRule>
  </conditionalFormatting>
  <conditionalFormatting sqref="C138">
    <cfRule type="cellIs" dxfId="1894" priority="3648" stopIfTrue="1" operator="equal">
      <formula>"Towel"</formula>
    </cfRule>
    <cfRule type="cellIs" dxfId="1893" priority="3649" stopIfTrue="1" operator="equal">
      <formula>"Napkin Hs"</formula>
    </cfRule>
  </conditionalFormatting>
  <conditionalFormatting sqref="C138">
    <cfRule type="cellIs" dxfId="1892" priority="3650" stopIfTrue="1" operator="equal">
      <formula>"Towel"</formula>
    </cfRule>
    <cfRule type="cellIs" dxfId="1891" priority="3651" stopIfTrue="1" operator="equal">
      <formula>"Napkin Hs"</formula>
    </cfRule>
  </conditionalFormatting>
  <conditionalFormatting sqref="C138">
    <cfRule type="cellIs" dxfId="1890" priority="3646" stopIfTrue="1" operator="equal">
      <formula>"Towel"</formula>
    </cfRule>
    <cfRule type="cellIs" dxfId="1889" priority="3647" stopIfTrue="1" operator="equal">
      <formula>"Napkin Hs"</formula>
    </cfRule>
  </conditionalFormatting>
  <conditionalFormatting sqref="C138">
    <cfRule type="cellIs" dxfId="1888" priority="3640" stopIfTrue="1" operator="equal">
      <formula>"Towel"</formula>
    </cfRule>
    <cfRule type="cellIs" dxfId="1887" priority="3641" stopIfTrue="1" operator="equal">
      <formula>"Napkin Hs"</formula>
    </cfRule>
  </conditionalFormatting>
  <conditionalFormatting sqref="C138">
    <cfRule type="cellIs" dxfId="1886" priority="3644" stopIfTrue="1" operator="equal">
      <formula>"Towel"</formula>
    </cfRule>
    <cfRule type="cellIs" dxfId="1885" priority="3645" stopIfTrue="1" operator="equal">
      <formula>"Napkin Hs"</formula>
    </cfRule>
  </conditionalFormatting>
  <conditionalFormatting sqref="C138">
    <cfRule type="cellIs" dxfId="1884" priority="3642" stopIfTrue="1" operator="equal">
      <formula>"Towel"</formula>
    </cfRule>
    <cfRule type="cellIs" dxfId="1883" priority="3643" stopIfTrue="1" operator="equal">
      <formula>"Napkin Hs"</formula>
    </cfRule>
  </conditionalFormatting>
  <conditionalFormatting sqref="C138">
    <cfRule type="cellIs" dxfId="1882" priority="3634" stopIfTrue="1" operator="equal">
      <formula>"Towel"</formula>
    </cfRule>
    <cfRule type="cellIs" dxfId="1881" priority="3635" stopIfTrue="1" operator="equal">
      <formula>"Napkin Hs"</formula>
    </cfRule>
  </conditionalFormatting>
  <conditionalFormatting sqref="C138">
    <cfRule type="cellIs" dxfId="1880" priority="3636" stopIfTrue="1" operator="equal">
      <formula>"Towel"</formula>
    </cfRule>
    <cfRule type="cellIs" dxfId="1879" priority="3637" stopIfTrue="1" operator="equal">
      <formula>"Napkin Hs"</formula>
    </cfRule>
  </conditionalFormatting>
  <conditionalFormatting sqref="C138">
    <cfRule type="cellIs" dxfId="1878" priority="3638" stopIfTrue="1" operator="equal">
      <formula>"Towel"</formula>
    </cfRule>
    <cfRule type="cellIs" dxfId="1877" priority="3639" stopIfTrue="1" operator="equal">
      <formula>"Napkin Hs"</formula>
    </cfRule>
  </conditionalFormatting>
  <conditionalFormatting sqref="C138">
    <cfRule type="cellIs" dxfId="1876" priority="3632" stopIfTrue="1" operator="equal">
      <formula>"Towel"</formula>
    </cfRule>
    <cfRule type="cellIs" dxfId="1875" priority="3633" stopIfTrue="1" operator="equal">
      <formula>"Napkin Hs"</formula>
    </cfRule>
  </conditionalFormatting>
  <conditionalFormatting sqref="C138">
    <cfRule type="cellIs" dxfId="1874" priority="3630" stopIfTrue="1" operator="equal">
      <formula>"Towel"</formula>
    </cfRule>
    <cfRule type="cellIs" dxfId="1873" priority="3631" stopIfTrue="1" operator="equal">
      <formula>"Napkin Hs"</formula>
    </cfRule>
  </conditionalFormatting>
  <conditionalFormatting sqref="C138">
    <cfRule type="cellIs" dxfId="1872" priority="3606" stopIfTrue="1" operator="equal">
      <formula>"Towel"</formula>
    </cfRule>
  </conditionalFormatting>
  <conditionalFormatting sqref="C138">
    <cfRule type="cellIs" dxfId="1871" priority="3607" stopIfTrue="1" operator="equal">
      <formula>"Napkin Hs"</formula>
    </cfRule>
    <cfRule type="cellIs" dxfId="1870" priority="3612" stopIfTrue="1" operator="equal">
      <formula>"Towel"</formula>
    </cfRule>
    <cfRule type="cellIs" dxfId="1869" priority="3613" stopIfTrue="1" operator="equal">
      <formula>"Napkin Hs"</formula>
    </cfRule>
    <cfRule type="cellIs" dxfId="1868" priority="3622" stopIfTrue="1" operator="equal">
      <formula>"Towel"</formula>
    </cfRule>
    <cfRule type="cellIs" dxfId="1867" priority="3623" stopIfTrue="1" operator="equal">
      <formula>"Napkin Hs"</formula>
    </cfRule>
    <cfRule type="cellIs" dxfId="1866" priority="3628" stopIfTrue="1" operator="equal">
      <formula>"Towel"</formula>
    </cfRule>
    <cfRule type="cellIs" dxfId="1865" priority="3629" stopIfTrue="1" operator="equal">
      <formula>"Napkin Hs"</formula>
    </cfRule>
  </conditionalFormatting>
  <conditionalFormatting sqref="C138">
    <cfRule type="cellIs" dxfId="1864" priority="3608" stopIfTrue="1" operator="equal">
      <formula>"Towel"</formula>
    </cfRule>
    <cfRule type="cellIs" dxfId="1863" priority="3609" stopIfTrue="1" operator="equal">
      <formula>"Napkin Hs"</formula>
    </cfRule>
    <cfRule type="cellIs" dxfId="1862" priority="3610" stopIfTrue="1" operator="equal">
      <formula>"Towel"</formula>
    </cfRule>
    <cfRule type="cellIs" dxfId="1861" priority="3611" stopIfTrue="1" operator="equal">
      <formula>"Napkin Hs"</formula>
    </cfRule>
    <cfRule type="cellIs" dxfId="1860" priority="3614" stopIfTrue="1" operator="equal">
      <formula>"Towel"</formula>
    </cfRule>
    <cfRule type="cellIs" dxfId="1859" priority="3615" stopIfTrue="1" operator="equal">
      <formula>"Napkin Hs"</formula>
    </cfRule>
    <cfRule type="cellIs" dxfId="1858" priority="3616" stopIfTrue="1" operator="equal">
      <formula>"Towel"</formula>
    </cfRule>
    <cfRule type="cellIs" dxfId="1857" priority="3617" stopIfTrue="1" operator="equal">
      <formula>"Napkin Hs"</formula>
    </cfRule>
    <cfRule type="cellIs" dxfId="1856" priority="3618" stopIfTrue="1" operator="equal">
      <formula>"Towel"</formula>
    </cfRule>
    <cfRule type="cellIs" dxfId="1855" priority="3619" stopIfTrue="1" operator="equal">
      <formula>"Napkin Hs"</formula>
    </cfRule>
    <cfRule type="cellIs" dxfId="1854" priority="3620" stopIfTrue="1" operator="equal">
      <formula>"Towel"</formula>
    </cfRule>
    <cfRule type="cellIs" dxfId="1853" priority="3621" stopIfTrue="1" operator="equal">
      <formula>"Napkin Hs"</formula>
    </cfRule>
    <cfRule type="cellIs" dxfId="1852" priority="3624" stopIfTrue="1" operator="equal">
      <formula>"Towel"</formula>
    </cfRule>
    <cfRule type="cellIs" dxfId="1851" priority="3625" stopIfTrue="1" operator="equal">
      <formula>"Napkin Hs"</formula>
    </cfRule>
    <cfRule type="cellIs" dxfId="1850" priority="3627" stopIfTrue="1" operator="equal">
      <formula>"Napkin Hs"</formula>
    </cfRule>
  </conditionalFormatting>
  <conditionalFormatting sqref="C138">
    <cfRule type="cellIs" dxfId="1849" priority="3626" stopIfTrue="1" operator="equal">
      <formula>"Towel"</formula>
    </cfRule>
  </conditionalFormatting>
  <conditionalFormatting sqref="C138">
    <cfRule type="cellIs" dxfId="1848" priority="3604" stopIfTrue="1" operator="equal">
      <formula>"Towel"</formula>
    </cfRule>
    <cfRule type="cellIs" dxfId="1847" priority="3605" stopIfTrue="1" operator="equal">
      <formula>"Napkin Hs"</formula>
    </cfRule>
  </conditionalFormatting>
  <conditionalFormatting sqref="C138">
    <cfRule type="cellIs" dxfId="1846" priority="3603" stopIfTrue="1" operator="equal">
      <formula>"Napkin Hs"</formula>
    </cfRule>
  </conditionalFormatting>
  <conditionalFormatting sqref="C138">
    <cfRule type="cellIs" dxfId="1845" priority="3602" stopIfTrue="1" operator="equal">
      <formula>"Towel"</formula>
    </cfRule>
  </conditionalFormatting>
  <conditionalFormatting sqref="C138">
    <cfRule type="cellIs" dxfId="1844" priority="3600" stopIfTrue="1" operator="equal">
      <formula>"Towel"</formula>
    </cfRule>
  </conditionalFormatting>
  <conditionalFormatting sqref="C138">
    <cfRule type="cellIs" dxfId="1843" priority="3601" stopIfTrue="1" operator="equal">
      <formula>"Napkin Hs"</formula>
    </cfRule>
  </conditionalFormatting>
  <conditionalFormatting sqref="C138">
    <cfRule type="cellIs" dxfId="1842" priority="3504" stopIfTrue="1" operator="equal">
      <formula>"Towel"</formula>
    </cfRule>
  </conditionalFormatting>
  <conditionalFormatting sqref="C138">
    <cfRule type="cellIs" dxfId="1841" priority="3514" stopIfTrue="1" operator="equal">
      <formula>"Towel"</formula>
    </cfRule>
    <cfRule type="cellIs" dxfId="1840" priority="3515" stopIfTrue="1" operator="equal">
      <formula>"Napkin Hs"</formula>
    </cfRule>
    <cfRule type="cellIs" dxfId="1839" priority="3520" stopIfTrue="1" operator="equal">
      <formula>"Towel"</formula>
    </cfRule>
    <cfRule type="cellIs" dxfId="1838" priority="3521" stopIfTrue="1" operator="equal">
      <formula>"Napkin Hs"</formula>
    </cfRule>
    <cfRule type="cellIs" dxfId="1837" priority="3526" stopIfTrue="1" operator="equal">
      <formula>"Towel"</formula>
    </cfRule>
    <cfRule type="cellIs" dxfId="1836" priority="3527" stopIfTrue="1" operator="equal">
      <formula>"Napkin Hs"</formula>
    </cfRule>
    <cfRule type="cellIs" dxfId="1835" priority="3528" stopIfTrue="1" operator="equal">
      <formula>"Towel"</formula>
    </cfRule>
    <cfRule type="cellIs" dxfId="1834" priority="3529" stopIfTrue="1" operator="equal">
      <formula>"Napkin Hs"</formula>
    </cfRule>
    <cfRule type="cellIs" dxfId="1833" priority="3534" stopIfTrue="1" operator="equal">
      <formula>"Towel"</formula>
    </cfRule>
    <cfRule type="cellIs" dxfId="1832" priority="3535" stopIfTrue="1" operator="equal">
      <formula>"Napkin Hs"</formula>
    </cfRule>
    <cfRule type="cellIs" dxfId="1831" priority="3544" stopIfTrue="1" operator="equal">
      <formula>"Towel"</formula>
    </cfRule>
    <cfRule type="cellIs" dxfId="1830" priority="3545" stopIfTrue="1" operator="equal">
      <formula>"Napkin Hs"</formula>
    </cfRule>
    <cfRule type="cellIs" dxfId="1829" priority="3550" stopIfTrue="1" operator="equal">
      <formula>"Towel"</formula>
    </cfRule>
    <cfRule type="cellIs" dxfId="1828" priority="3551" stopIfTrue="1" operator="equal">
      <formula>"Napkin Hs"</formula>
    </cfRule>
    <cfRule type="cellIs" dxfId="1827" priority="3552" stopIfTrue="1" operator="equal">
      <formula>"Towel"</formula>
    </cfRule>
    <cfRule type="cellIs" dxfId="1826" priority="3553" stopIfTrue="1" operator="equal">
      <formula>"Napkin Hs"</formula>
    </cfRule>
    <cfRule type="cellIs" dxfId="1825" priority="3558" stopIfTrue="1" operator="equal">
      <formula>"Towel"</formula>
    </cfRule>
    <cfRule type="cellIs" dxfId="1824" priority="3559" stopIfTrue="1" operator="equal">
      <formula>"Napkin Hs"</formula>
    </cfRule>
    <cfRule type="cellIs" dxfId="1823" priority="3568" stopIfTrue="1" operator="equal">
      <formula>"Towel"</formula>
    </cfRule>
    <cfRule type="cellIs" dxfId="1822" priority="3569" stopIfTrue="1" operator="equal">
      <formula>"Napkin Hs"</formula>
    </cfRule>
    <cfRule type="cellIs" dxfId="1821" priority="3570" stopIfTrue="1" operator="equal">
      <formula>"Towel"</formula>
    </cfRule>
    <cfRule type="cellIs" dxfId="1820" priority="3571" stopIfTrue="1" operator="equal">
      <formula>"Napkin Hs"</formula>
    </cfRule>
    <cfRule type="cellIs" dxfId="1819" priority="3576" stopIfTrue="1" operator="equal">
      <formula>"Towel"</formula>
    </cfRule>
    <cfRule type="cellIs" dxfId="1818" priority="3577" stopIfTrue="1" operator="equal">
      <formula>"Napkin Hs"</formula>
    </cfRule>
    <cfRule type="cellIs" dxfId="1817" priority="3586" stopIfTrue="1" operator="equal">
      <formula>"Towel"</formula>
    </cfRule>
    <cfRule type="cellIs" dxfId="1816" priority="3587" stopIfTrue="1" operator="equal">
      <formula>"Napkin Hs"</formula>
    </cfRule>
    <cfRule type="cellIs" dxfId="1815" priority="3588" stopIfTrue="1" operator="equal">
      <formula>"Towel"</formula>
    </cfRule>
    <cfRule type="cellIs" dxfId="1814" priority="3589" stopIfTrue="1" operator="equal">
      <formula>"Napkin Hs"</formula>
    </cfRule>
    <cfRule type="cellIs" dxfId="1813" priority="3595" stopIfTrue="1" operator="equal">
      <formula>"Napkin Hs"</formula>
    </cfRule>
  </conditionalFormatting>
  <conditionalFormatting sqref="C138">
    <cfRule type="cellIs" dxfId="1812" priority="3594" stopIfTrue="1" operator="equal">
      <formula>"Towel"</formula>
    </cfRule>
  </conditionalFormatting>
  <conditionalFormatting sqref="C138">
    <cfRule type="cellIs" dxfId="1811" priority="3505" stopIfTrue="1" operator="equal">
      <formula>"Napkin Hs"</formula>
    </cfRule>
    <cfRule type="cellIs" dxfId="1810" priority="3506" stopIfTrue="1" operator="equal">
      <formula>"Towel"</formula>
    </cfRule>
    <cfRule type="cellIs" dxfId="1809" priority="3507" stopIfTrue="1" operator="equal">
      <formula>"Napkin Hs"</formula>
    </cfRule>
    <cfRule type="cellIs" dxfId="1808" priority="3508" stopIfTrue="1" operator="equal">
      <formula>"Towel"</formula>
    </cfRule>
    <cfRule type="cellIs" dxfId="1807" priority="3509" stopIfTrue="1" operator="equal">
      <formula>"Napkin Hs"</formula>
    </cfRule>
    <cfRule type="cellIs" dxfId="1806" priority="3510" stopIfTrue="1" operator="equal">
      <formula>"Towel"</formula>
    </cfRule>
    <cfRule type="cellIs" dxfId="1805" priority="3511" stopIfTrue="1" operator="equal">
      <formula>"Napkin Hs"</formula>
    </cfRule>
    <cfRule type="cellIs" dxfId="1804" priority="3512" stopIfTrue="1" operator="equal">
      <formula>"Towel"</formula>
    </cfRule>
    <cfRule type="cellIs" dxfId="1803" priority="3513" stopIfTrue="1" operator="equal">
      <formula>"Napkin Hs"</formula>
    </cfRule>
    <cfRule type="cellIs" dxfId="1802" priority="3516" stopIfTrue="1" operator="equal">
      <formula>"Towel"</formula>
    </cfRule>
    <cfRule type="cellIs" dxfId="1801" priority="3517" stopIfTrue="1" operator="equal">
      <formula>"Napkin Hs"</formula>
    </cfRule>
    <cfRule type="cellIs" dxfId="1800" priority="3518" stopIfTrue="1" operator="equal">
      <formula>"Towel"</formula>
    </cfRule>
    <cfRule type="cellIs" dxfId="1799" priority="3519" stopIfTrue="1" operator="equal">
      <formula>"Napkin Hs"</formula>
    </cfRule>
    <cfRule type="cellIs" dxfId="1798" priority="3522" stopIfTrue="1" operator="equal">
      <formula>"Towel"</formula>
    </cfRule>
    <cfRule type="cellIs" dxfId="1797" priority="3523" stopIfTrue="1" operator="equal">
      <formula>"Napkin Hs"</formula>
    </cfRule>
    <cfRule type="cellIs" dxfId="1796" priority="3524" stopIfTrue="1" operator="equal">
      <formula>"Towel"</formula>
    </cfRule>
    <cfRule type="cellIs" dxfId="1795" priority="3525" stopIfTrue="1" operator="equal">
      <formula>"Napkin Hs"</formula>
    </cfRule>
    <cfRule type="cellIs" dxfId="1794" priority="3530" stopIfTrue="1" operator="equal">
      <formula>"Towel"</formula>
    </cfRule>
    <cfRule type="cellIs" dxfId="1793" priority="3531" stopIfTrue="1" operator="equal">
      <formula>"Napkin Hs"</formula>
    </cfRule>
    <cfRule type="cellIs" dxfId="1792" priority="3532" stopIfTrue="1" operator="equal">
      <formula>"Towel"</formula>
    </cfRule>
    <cfRule type="cellIs" dxfId="1791" priority="3533" stopIfTrue="1" operator="equal">
      <formula>"Napkin Hs"</formula>
    </cfRule>
    <cfRule type="cellIs" dxfId="1790" priority="3536" stopIfTrue="1" operator="equal">
      <formula>"Towel"</formula>
    </cfRule>
    <cfRule type="cellIs" dxfId="1789" priority="3537" stopIfTrue="1" operator="equal">
      <formula>"Napkin Hs"</formula>
    </cfRule>
    <cfRule type="cellIs" dxfId="1788" priority="3538" stopIfTrue="1" operator="equal">
      <formula>"Towel"</formula>
    </cfRule>
    <cfRule type="cellIs" dxfId="1787" priority="3539" stopIfTrue="1" operator="equal">
      <formula>"Napkin Hs"</formula>
    </cfRule>
    <cfRule type="cellIs" dxfId="1786" priority="3540" stopIfTrue="1" operator="equal">
      <formula>"Towel"</formula>
    </cfRule>
    <cfRule type="cellIs" dxfId="1785" priority="3541" stopIfTrue="1" operator="equal">
      <formula>"Napkin Hs"</formula>
    </cfRule>
    <cfRule type="cellIs" dxfId="1784" priority="3542" stopIfTrue="1" operator="equal">
      <formula>"Towel"</formula>
    </cfRule>
    <cfRule type="cellIs" dxfId="1783" priority="3543" stopIfTrue="1" operator="equal">
      <formula>"Napkin Hs"</formula>
    </cfRule>
    <cfRule type="cellIs" dxfId="1782" priority="3546" stopIfTrue="1" operator="equal">
      <formula>"Towel"</formula>
    </cfRule>
    <cfRule type="cellIs" dxfId="1781" priority="3547" stopIfTrue="1" operator="equal">
      <formula>"Napkin Hs"</formula>
    </cfRule>
    <cfRule type="cellIs" dxfId="1780" priority="3548" stopIfTrue="1" operator="equal">
      <formula>"Towel"</formula>
    </cfRule>
    <cfRule type="cellIs" dxfId="1779" priority="3549" stopIfTrue="1" operator="equal">
      <formula>"Napkin Hs"</formula>
    </cfRule>
    <cfRule type="cellIs" dxfId="1778" priority="3554" stopIfTrue="1" operator="equal">
      <formula>"Towel"</formula>
    </cfRule>
    <cfRule type="cellIs" dxfId="1777" priority="3555" stopIfTrue="1" operator="equal">
      <formula>"Napkin Hs"</formula>
    </cfRule>
    <cfRule type="cellIs" dxfId="1776" priority="3556" stopIfTrue="1" operator="equal">
      <formula>"Towel"</formula>
    </cfRule>
    <cfRule type="cellIs" dxfId="1775" priority="3557" stopIfTrue="1" operator="equal">
      <formula>"Napkin Hs"</formula>
    </cfRule>
    <cfRule type="cellIs" dxfId="1774" priority="3560" stopIfTrue="1" operator="equal">
      <formula>"Towel"</formula>
    </cfRule>
    <cfRule type="cellIs" dxfId="1773" priority="3561" stopIfTrue="1" operator="equal">
      <formula>"Napkin Hs"</formula>
    </cfRule>
    <cfRule type="cellIs" dxfId="1772" priority="3562" stopIfTrue="1" operator="equal">
      <formula>"Towel"</formula>
    </cfRule>
    <cfRule type="cellIs" dxfId="1771" priority="3563" stopIfTrue="1" operator="equal">
      <formula>"Napkin Hs"</formula>
    </cfRule>
    <cfRule type="cellIs" dxfId="1770" priority="3564" stopIfTrue="1" operator="equal">
      <formula>"Towel"</formula>
    </cfRule>
    <cfRule type="cellIs" dxfId="1769" priority="3565" stopIfTrue="1" operator="equal">
      <formula>"Napkin Hs"</formula>
    </cfRule>
    <cfRule type="cellIs" dxfId="1768" priority="3566" stopIfTrue="1" operator="equal">
      <formula>"Towel"</formula>
    </cfRule>
    <cfRule type="cellIs" dxfId="1767" priority="3567" stopIfTrue="1" operator="equal">
      <formula>"Napkin Hs"</formula>
    </cfRule>
    <cfRule type="cellIs" dxfId="1766" priority="3572" stopIfTrue="1" operator="equal">
      <formula>"Towel"</formula>
    </cfRule>
    <cfRule type="cellIs" dxfId="1765" priority="3573" stopIfTrue="1" operator="equal">
      <formula>"Napkin Hs"</formula>
    </cfRule>
    <cfRule type="cellIs" dxfId="1764" priority="3574" stopIfTrue="1" operator="equal">
      <formula>"Towel"</formula>
    </cfRule>
    <cfRule type="cellIs" dxfId="1763" priority="3575" stopIfTrue="1" operator="equal">
      <formula>"Napkin Hs"</formula>
    </cfRule>
    <cfRule type="cellIs" dxfId="1762" priority="3578" stopIfTrue="1" operator="equal">
      <formula>"Towel"</formula>
    </cfRule>
    <cfRule type="cellIs" dxfId="1761" priority="3579" stopIfTrue="1" operator="equal">
      <formula>"Napkin Hs"</formula>
    </cfRule>
    <cfRule type="cellIs" dxfId="1760" priority="3580" stopIfTrue="1" operator="equal">
      <formula>"Towel"</formula>
    </cfRule>
    <cfRule type="cellIs" dxfId="1759" priority="3581" stopIfTrue="1" operator="equal">
      <formula>"Napkin Hs"</formula>
    </cfRule>
    <cfRule type="cellIs" dxfId="1758" priority="3582" stopIfTrue="1" operator="equal">
      <formula>"Towel"</formula>
    </cfRule>
    <cfRule type="cellIs" dxfId="1757" priority="3583" stopIfTrue="1" operator="equal">
      <formula>"Napkin Hs"</formula>
    </cfRule>
    <cfRule type="cellIs" dxfId="1756" priority="3584" stopIfTrue="1" operator="equal">
      <formula>"Towel"</formula>
    </cfRule>
    <cfRule type="cellIs" dxfId="1755" priority="3585" stopIfTrue="1" operator="equal">
      <formula>"Napkin Hs"</formula>
    </cfRule>
    <cfRule type="cellIs" dxfId="1754" priority="3590" stopIfTrue="1" operator="equal">
      <formula>"Towel"</formula>
    </cfRule>
    <cfRule type="cellIs" dxfId="1753" priority="3591" stopIfTrue="1" operator="equal">
      <formula>"Napkin Hs"</formula>
    </cfRule>
    <cfRule type="cellIs" dxfId="1752" priority="3592" stopIfTrue="1" operator="equal">
      <formula>"Towel"</formula>
    </cfRule>
    <cfRule type="cellIs" dxfId="1751" priority="3593" stopIfTrue="1" operator="equal">
      <formula>"Napkin Hs"</formula>
    </cfRule>
    <cfRule type="cellIs" dxfId="1750" priority="3596" stopIfTrue="1" operator="equal">
      <formula>"Towel"</formula>
    </cfRule>
    <cfRule type="cellIs" dxfId="1749" priority="3597" stopIfTrue="1" operator="equal">
      <formula>"Napkin Hs"</formula>
    </cfRule>
    <cfRule type="cellIs" dxfId="1748" priority="3598" stopIfTrue="1" operator="equal">
      <formula>"Towel"</formula>
    </cfRule>
    <cfRule type="cellIs" dxfId="1747" priority="3599" stopIfTrue="1" operator="equal">
      <formula>"Napkin Hs"</formula>
    </cfRule>
  </conditionalFormatting>
  <conditionalFormatting sqref="C138">
    <cfRule type="cellIs" dxfId="1746" priority="3503" stopIfTrue="1" operator="equal">
      <formula>"Napkin Hs"</formula>
    </cfRule>
  </conditionalFormatting>
  <conditionalFormatting sqref="C138">
    <cfRule type="cellIs" dxfId="1745" priority="3502" stopIfTrue="1" operator="equal">
      <formula>"Napkin Hs"</formula>
    </cfRule>
  </conditionalFormatting>
  <conditionalFormatting sqref="C138">
    <cfRule type="cellIs" dxfId="1744" priority="3501" stopIfTrue="1" operator="equal">
      <formula>"Napkin Hs"</formula>
    </cfRule>
  </conditionalFormatting>
  <conditionalFormatting sqref="C138">
    <cfRule type="cellIs" dxfId="1743" priority="3500" stopIfTrue="1" operator="equal">
      <formula>"Napkin Hs"</formula>
    </cfRule>
  </conditionalFormatting>
  <conditionalFormatting sqref="C138">
    <cfRule type="cellIs" dxfId="1742" priority="3499" stopIfTrue="1" operator="equal">
      <formula>"Napkin Hs"</formula>
    </cfRule>
  </conditionalFormatting>
  <conditionalFormatting sqref="C138">
    <cfRule type="cellIs" dxfId="1741" priority="3498" stopIfTrue="1" operator="equal">
      <formula>"Napkin Hs"</formula>
    </cfRule>
  </conditionalFormatting>
  <conditionalFormatting sqref="C138">
    <cfRule type="cellIs" dxfId="1740" priority="3494" stopIfTrue="1" operator="equal">
      <formula>"Towel"</formula>
    </cfRule>
    <cfRule type="cellIs" dxfId="1739" priority="3495" stopIfTrue="1" operator="equal">
      <formula>"Napkin Hs"</formula>
    </cfRule>
  </conditionalFormatting>
  <conditionalFormatting sqref="C138">
    <cfRule type="cellIs" dxfId="1738" priority="3496" stopIfTrue="1" operator="equal">
      <formula>"Towel"</formula>
    </cfRule>
    <cfRule type="cellIs" dxfId="1737" priority="3497" stopIfTrue="1" operator="equal">
      <formula>"Napkin Hs"</formula>
    </cfRule>
  </conditionalFormatting>
  <conditionalFormatting sqref="C138">
    <cfRule type="cellIs" dxfId="1736" priority="3490" stopIfTrue="1" operator="equal">
      <formula>"Towel"</formula>
    </cfRule>
    <cfRule type="cellIs" dxfId="1735" priority="3491" stopIfTrue="1" operator="equal">
      <formula>"Napkin Hs"</formula>
    </cfRule>
  </conditionalFormatting>
  <conditionalFormatting sqref="C138">
    <cfRule type="cellIs" dxfId="1734" priority="3492" stopIfTrue="1" operator="equal">
      <formula>"Towel"</formula>
    </cfRule>
    <cfRule type="cellIs" dxfId="1733" priority="3493" stopIfTrue="1" operator="equal">
      <formula>"Napkin Hs"</formula>
    </cfRule>
  </conditionalFormatting>
  <conditionalFormatting sqref="B138:B139">
    <cfRule type="cellIs" dxfId="1732" priority="3489" stopIfTrue="1" operator="equal">
      <formula>"Napkin Hs"</formula>
    </cfRule>
  </conditionalFormatting>
  <conditionalFormatting sqref="B138:B139">
    <cfRule type="cellIs" dxfId="1731" priority="3488" stopIfTrue="1" operator="equal">
      <formula>"Napkin Hs"</formula>
    </cfRule>
  </conditionalFormatting>
  <conditionalFormatting sqref="B138:B139">
    <cfRule type="cellIs" dxfId="1730" priority="3487" stopIfTrue="1" operator="equal">
      <formula>"Napkin Hs"</formula>
    </cfRule>
  </conditionalFormatting>
  <conditionalFormatting sqref="B145:C145">
    <cfRule type="cellIs" dxfId="1729" priority="1739" stopIfTrue="1" operator="equal">
      <formula>"Towel"</formula>
    </cfRule>
    <cfRule type="cellIs" dxfId="1728" priority="1740" stopIfTrue="1" operator="equal">
      <formula>"Napkin Hs"</formula>
    </cfRule>
  </conditionalFormatting>
  <conditionalFormatting sqref="C145">
    <cfRule type="cellIs" dxfId="1727" priority="1738" stopIfTrue="1" operator="equal">
      <formula>"Napkin Hs"</formula>
    </cfRule>
  </conditionalFormatting>
  <conditionalFormatting sqref="C145">
    <cfRule type="cellIs" dxfId="1726" priority="1737" stopIfTrue="1" operator="equal">
      <formula>"Towel"</formula>
    </cfRule>
  </conditionalFormatting>
  <conditionalFormatting sqref="C145">
    <cfRule type="cellIs" dxfId="1725" priority="1735" stopIfTrue="1" operator="equal">
      <formula>"Towel"</formula>
    </cfRule>
    <cfRule type="cellIs" dxfId="1724" priority="1736" stopIfTrue="1" operator="equal">
      <formula>"Napkin Hs"</formula>
    </cfRule>
  </conditionalFormatting>
  <conditionalFormatting sqref="B144:C144">
    <cfRule type="cellIs" dxfId="1723" priority="1733" stopIfTrue="1" operator="equal">
      <formula>"Towel"</formula>
    </cfRule>
    <cfRule type="cellIs" dxfId="1722" priority="1734" stopIfTrue="1" operator="equal">
      <formula>"Napkin Hs"</formula>
    </cfRule>
  </conditionalFormatting>
  <conditionalFormatting sqref="C144">
    <cfRule type="cellIs" dxfId="1721" priority="1729" stopIfTrue="1" operator="equal">
      <formula>"Towel"</formula>
    </cfRule>
    <cfRule type="cellIs" dxfId="1720" priority="1730" stopIfTrue="1" operator="equal">
      <formula>"Napkin Hs"</formula>
    </cfRule>
  </conditionalFormatting>
  <conditionalFormatting sqref="B142:C146">
    <cfRule type="cellIs" dxfId="1719" priority="1727" stopIfTrue="1" operator="equal">
      <formula>"Towel"</formula>
    </cfRule>
    <cfRule type="cellIs" dxfId="1718" priority="1728" stopIfTrue="1" operator="equal">
      <formula>"Napkin Hs"</formula>
    </cfRule>
  </conditionalFormatting>
  <conditionalFormatting sqref="C142:C146">
    <cfRule type="cellIs" dxfId="1717" priority="1725" stopIfTrue="1" operator="equal">
      <formula>"Towel"</formula>
    </cfRule>
    <cfRule type="cellIs" dxfId="1716" priority="1726" stopIfTrue="1" operator="equal">
      <formula>"Napkin Hs"</formula>
    </cfRule>
  </conditionalFormatting>
  <conditionalFormatting sqref="C142:C146">
    <cfRule type="cellIs" dxfId="1715" priority="1723" stopIfTrue="1" operator="equal">
      <formula>"Towel"</formula>
    </cfRule>
    <cfRule type="cellIs" dxfId="1714" priority="1724" stopIfTrue="1" operator="equal">
      <formula>"Napkin Hs"</formula>
    </cfRule>
  </conditionalFormatting>
  <conditionalFormatting sqref="C142:C146">
    <cfRule type="cellIs" dxfId="1713" priority="1715" stopIfTrue="1" operator="equal">
      <formula>"Towel"</formula>
    </cfRule>
    <cfRule type="cellIs" dxfId="1712" priority="1716" stopIfTrue="1" operator="equal">
      <formula>"Napkin Hs"</formula>
    </cfRule>
  </conditionalFormatting>
  <conditionalFormatting sqref="C142:C146">
    <cfRule type="cellIs" dxfId="1711" priority="1717" stopIfTrue="1" operator="equal">
      <formula>"Towel"</formula>
    </cfRule>
    <cfRule type="cellIs" dxfId="1710" priority="1718" stopIfTrue="1" operator="equal">
      <formula>"Napkin Hs"</formula>
    </cfRule>
  </conditionalFormatting>
  <conditionalFormatting sqref="C142:C146">
    <cfRule type="cellIs" dxfId="1709" priority="1713" stopIfTrue="1" operator="equal">
      <formula>"Towel"</formula>
    </cfRule>
    <cfRule type="cellIs" dxfId="1708" priority="1714" stopIfTrue="1" operator="equal">
      <formula>"Napkin Hs"</formula>
    </cfRule>
  </conditionalFormatting>
  <conditionalFormatting sqref="B142:C146">
    <cfRule type="cellIs" dxfId="1707" priority="1711" stopIfTrue="1" operator="equal">
      <formula>"Towel"</formula>
    </cfRule>
    <cfRule type="cellIs" dxfId="1706" priority="1712" stopIfTrue="1" operator="equal">
      <formula>"Napkin Hs"</formula>
    </cfRule>
  </conditionalFormatting>
  <conditionalFormatting sqref="C142:C146">
    <cfRule type="cellIs" dxfId="1705" priority="1719" stopIfTrue="1" operator="equal">
      <formula>"Towel"</formula>
    </cfRule>
    <cfRule type="cellIs" dxfId="1704" priority="1720" stopIfTrue="1" operator="equal">
      <formula>"Napkin Hs"</formula>
    </cfRule>
  </conditionalFormatting>
  <conditionalFormatting sqref="B142:C146">
    <cfRule type="cellIs" dxfId="1703" priority="1721" stopIfTrue="1" operator="equal">
      <formula>"Towel"</formula>
    </cfRule>
    <cfRule type="cellIs" dxfId="1702" priority="1722" stopIfTrue="1" operator="equal">
      <formula>"Napkin Hs"</formula>
    </cfRule>
  </conditionalFormatting>
  <conditionalFormatting sqref="C142:C146">
    <cfRule type="cellIs" dxfId="1701" priority="1709" stopIfTrue="1" operator="equal">
      <formula>"Towel"</formula>
    </cfRule>
    <cfRule type="cellIs" dxfId="1700" priority="1710" stopIfTrue="1" operator="equal">
      <formula>"Napkin Hs"</formula>
    </cfRule>
  </conditionalFormatting>
  <conditionalFormatting sqref="B142:C146">
    <cfRule type="cellIs" dxfId="1699" priority="1705" stopIfTrue="1" operator="equal">
      <formula>"Towel"</formula>
    </cfRule>
    <cfRule type="cellIs" dxfId="1698" priority="1706" stopIfTrue="1" operator="equal">
      <formula>"Napkin Hs"</formula>
    </cfRule>
  </conditionalFormatting>
  <conditionalFormatting sqref="C142:C146">
    <cfRule type="cellIs" dxfId="1697" priority="1707" stopIfTrue="1" operator="equal">
      <formula>"Towel"</formula>
    </cfRule>
    <cfRule type="cellIs" dxfId="1696" priority="1708" stopIfTrue="1" operator="equal">
      <formula>"Napkin Hs"</formula>
    </cfRule>
  </conditionalFormatting>
  <conditionalFormatting sqref="B143:C143">
    <cfRule type="cellIs" dxfId="1695" priority="1703" stopIfTrue="1" operator="equal">
      <formula>"Towel"</formula>
    </cfRule>
    <cfRule type="cellIs" dxfId="1694" priority="1704" stopIfTrue="1" operator="equal">
      <formula>"Napkin Hs"</formula>
    </cfRule>
  </conditionalFormatting>
  <conditionalFormatting sqref="C143">
    <cfRule type="cellIs" dxfId="1693" priority="1701" stopIfTrue="1" operator="equal">
      <formula>"Towel"</formula>
    </cfRule>
    <cfRule type="cellIs" dxfId="1692" priority="1702" stopIfTrue="1" operator="equal">
      <formula>"Napkin Hs"</formula>
    </cfRule>
  </conditionalFormatting>
  <conditionalFormatting sqref="C143">
    <cfRule type="cellIs" dxfId="1691" priority="1699" stopIfTrue="1" operator="equal">
      <formula>"Towel"</formula>
    </cfRule>
    <cfRule type="cellIs" dxfId="1690" priority="1700" stopIfTrue="1" operator="equal">
      <formula>"Napkin Hs"</formula>
    </cfRule>
  </conditionalFormatting>
  <conditionalFormatting sqref="C143">
    <cfRule type="cellIs" dxfId="1689" priority="1691" stopIfTrue="1" operator="equal">
      <formula>"Towel"</formula>
    </cfRule>
    <cfRule type="cellIs" dxfId="1688" priority="1692" stopIfTrue="1" operator="equal">
      <formula>"Napkin Hs"</formula>
    </cfRule>
  </conditionalFormatting>
  <conditionalFormatting sqref="C143">
    <cfRule type="cellIs" dxfId="1687" priority="1693" stopIfTrue="1" operator="equal">
      <formula>"Towel"</formula>
    </cfRule>
    <cfRule type="cellIs" dxfId="1686" priority="1694" stopIfTrue="1" operator="equal">
      <formula>"Napkin Hs"</formula>
    </cfRule>
  </conditionalFormatting>
  <conditionalFormatting sqref="C143">
    <cfRule type="cellIs" dxfId="1685" priority="1689" stopIfTrue="1" operator="equal">
      <formula>"Towel"</formula>
    </cfRule>
    <cfRule type="cellIs" dxfId="1684" priority="1690" stopIfTrue="1" operator="equal">
      <formula>"Napkin Hs"</formula>
    </cfRule>
  </conditionalFormatting>
  <conditionalFormatting sqref="B143:C143">
    <cfRule type="cellIs" dxfId="1683" priority="1687" stopIfTrue="1" operator="equal">
      <formula>"Towel"</formula>
    </cfRule>
    <cfRule type="cellIs" dxfId="1682" priority="1688" stopIfTrue="1" operator="equal">
      <formula>"Napkin Hs"</formula>
    </cfRule>
  </conditionalFormatting>
  <conditionalFormatting sqref="C143">
    <cfRule type="cellIs" dxfId="1681" priority="1695" stopIfTrue="1" operator="equal">
      <formula>"Towel"</formula>
    </cfRule>
    <cfRule type="cellIs" dxfId="1680" priority="1696" stopIfTrue="1" operator="equal">
      <formula>"Napkin Hs"</formula>
    </cfRule>
  </conditionalFormatting>
  <conditionalFormatting sqref="B143:C143">
    <cfRule type="cellIs" dxfId="1679" priority="1697" stopIfTrue="1" operator="equal">
      <formula>"Towel"</formula>
    </cfRule>
    <cfRule type="cellIs" dxfId="1678" priority="1698" stopIfTrue="1" operator="equal">
      <formula>"Napkin Hs"</formula>
    </cfRule>
  </conditionalFormatting>
  <conditionalFormatting sqref="C143">
    <cfRule type="cellIs" dxfId="1677" priority="1685" stopIfTrue="1" operator="equal">
      <formula>"Towel"</formula>
    </cfRule>
    <cfRule type="cellIs" dxfId="1676" priority="1686" stopIfTrue="1" operator="equal">
      <formula>"Napkin Hs"</formula>
    </cfRule>
  </conditionalFormatting>
  <conditionalFormatting sqref="B143:C143">
    <cfRule type="cellIs" dxfId="1675" priority="1681" stopIfTrue="1" operator="equal">
      <formula>"Towel"</formula>
    </cfRule>
    <cfRule type="cellIs" dxfId="1674" priority="1682" stopIfTrue="1" operator="equal">
      <formula>"Napkin Hs"</formula>
    </cfRule>
  </conditionalFormatting>
  <conditionalFormatting sqref="C143">
    <cfRule type="cellIs" dxfId="1673" priority="1683" stopIfTrue="1" operator="equal">
      <formula>"Towel"</formula>
    </cfRule>
    <cfRule type="cellIs" dxfId="1672" priority="1684" stopIfTrue="1" operator="equal">
      <formula>"Napkin Hs"</formula>
    </cfRule>
  </conditionalFormatting>
  <conditionalFormatting sqref="B146:C146">
    <cfRule type="cellIs" dxfId="1671" priority="1679" stopIfTrue="1" operator="equal">
      <formula>"Towel"</formula>
    </cfRule>
    <cfRule type="cellIs" dxfId="1670" priority="1680" stopIfTrue="1" operator="equal">
      <formula>"Napkin Hs"</formula>
    </cfRule>
  </conditionalFormatting>
  <conditionalFormatting sqref="C146">
    <cfRule type="cellIs" dxfId="1669" priority="1677" stopIfTrue="1" operator="equal">
      <formula>"Towel"</formula>
    </cfRule>
    <cfRule type="cellIs" dxfId="1668" priority="1678" stopIfTrue="1" operator="equal">
      <formula>"Napkin Hs"</formula>
    </cfRule>
  </conditionalFormatting>
  <conditionalFormatting sqref="C146">
    <cfRule type="cellIs" dxfId="1667" priority="1675" stopIfTrue="1" operator="equal">
      <formula>"Towel"</formula>
    </cfRule>
    <cfRule type="cellIs" dxfId="1666" priority="1676" stopIfTrue="1" operator="equal">
      <formula>"Napkin Hs"</formula>
    </cfRule>
  </conditionalFormatting>
  <conditionalFormatting sqref="C146">
    <cfRule type="cellIs" dxfId="1665" priority="1667" stopIfTrue="1" operator="equal">
      <formula>"Towel"</formula>
    </cfRule>
    <cfRule type="cellIs" dxfId="1664" priority="1668" stopIfTrue="1" operator="equal">
      <formula>"Napkin Hs"</formula>
    </cfRule>
  </conditionalFormatting>
  <conditionalFormatting sqref="C146">
    <cfRule type="cellIs" dxfId="1663" priority="1669" stopIfTrue="1" operator="equal">
      <formula>"Towel"</formula>
    </cfRule>
    <cfRule type="cellIs" dxfId="1662" priority="1670" stopIfTrue="1" operator="equal">
      <formula>"Napkin Hs"</formula>
    </cfRule>
  </conditionalFormatting>
  <conditionalFormatting sqref="C146">
    <cfRule type="cellIs" dxfId="1661" priority="1665" stopIfTrue="1" operator="equal">
      <formula>"Towel"</formula>
    </cfRule>
    <cfRule type="cellIs" dxfId="1660" priority="1666" stopIfTrue="1" operator="equal">
      <formula>"Napkin Hs"</formula>
    </cfRule>
  </conditionalFormatting>
  <conditionalFormatting sqref="B146:C146">
    <cfRule type="cellIs" dxfId="1659" priority="1663" stopIfTrue="1" operator="equal">
      <formula>"Towel"</formula>
    </cfRule>
    <cfRule type="cellIs" dxfId="1658" priority="1664" stopIfTrue="1" operator="equal">
      <formula>"Napkin Hs"</formula>
    </cfRule>
  </conditionalFormatting>
  <conditionalFormatting sqref="C146">
    <cfRule type="cellIs" dxfId="1657" priority="1671" stopIfTrue="1" operator="equal">
      <formula>"Towel"</formula>
    </cfRule>
    <cfRule type="cellIs" dxfId="1656" priority="1672" stopIfTrue="1" operator="equal">
      <formula>"Napkin Hs"</formula>
    </cfRule>
  </conditionalFormatting>
  <conditionalFormatting sqref="B146:C146">
    <cfRule type="cellIs" dxfId="1655" priority="1673" stopIfTrue="1" operator="equal">
      <formula>"Towel"</formula>
    </cfRule>
    <cfRule type="cellIs" dxfId="1654" priority="1674" stopIfTrue="1" operator="equal">
      <formula>"Napkin Hs"</formula>
    </cfRule>
  </conditionalFormatting>
  <conditionalFormatting sqref="B151:C151">
    <cfRule type="cellIs" dxfId="1653" priority="1655" stopIfTrue="1" operator="equal">
      <formula>"Towel"</formula>
    </cfRule>
    <cfRule type="cellIs" dxfId="1652" priority="1656" stopIfTrue="1" operator="equal">
      <formula>"Napkin Hs"</formula>
    </cfRule>
  </conditionalFormatting>
  <conditionalFormatting sqref="C151">
    <cfRule type="cellIs" dxfId="1651" priority="1651" stopIfTrue="1" operator="equal">
      <formula>"Towel"</formula>
    </cfRule>
    <cfRule type="cellIs" dxfId="1650" priority="1652" stopIfTrue="1" operator="equal">
      <formula>"Napkin Hs"</formula>
    </cfRule>
  </conditionalFormatting>
  <conditionalFormatting sqref="C151">
    <cfRule type="cellIs" dxfId="1649" priority="1653" stopIfTrue="1" operator="equal">
      <formula>"Towel"</formula>
    </cfRule>
    <cfRule type="cellIs" dxfId="1648" priority="1654" stopIfTrue="1" operator="equal">
      <formula>"Napkin Hs"</formula>
    </cfRule>
  </conditionalFormatting>
  <conditionalFormatting sqref="B151:C151">
    <cfRule type="cellIs" dxfId="1647" priority="1649" stopIfTrue="1" operator="equal">
      <formula>"Towel"</formula>
    </cfRule>
    <cfRule type="cellIs" dxfId="1646" priority="1650" stopIfTrue="1" operator="equal">
      <formula>"Napkin Hs"</formula>
    </cfRule>
  </conditionalFormatting>
  <conditionalFormatting sqref="C151">
    <cfRule type="cellIs" dxfId="1645" priority="1647" stopIfTrue="1" operator="equal">
      <formula>"Towel"</formula>
    </cfRule>
    <cfRule type="cellIs" dxfId="1644" priority="1648" stopIfTrue="1" operator="equal">
      <formula>"Napkin Hs"</formula>
    </cfRule>
  </conditionalFormatting>
  <conditionalFormatting sqref="C151">
    <cfRule type="cellIs" dxfId="1643" priority="1645" stopIfTrue="1" operator="equal">
      <formula>"Towel"</formula>
    </cfRule>
    <cfRule type="cellIs" dxfId="1642" priority="1646" stopIfTrue="1" operator="equal">
      <formula>"Napkin Hs"</formula>
    </cfRule>
  </conditionalFormatting>
  <conditionalFormatting sqref="C151">
    <cfRule type="cellIs" dxfId="1641" priority="1637" stopIfTrue="1" operator="equal">
      <formula>"Towel"</formula>
    </cfRule>
    <cfRule type="cellIs" dxfId="1640" priority="1638" stopIfTrue="1" operator="equal">
      <formula>"Napkin Hs"</formula>
    </cfRule>
  </conditionalFormatting>
  <conditionalFormatting sqref="B151:C151">
    <cfRule type="cellIs" dxfId="1639" priority="1639" stopIfTrue="1" operator="equal">
      <formula>"Towel"</formula>
    </cfRule>
    <cfRule type="cellIs" dxfId="1638" priority="1640" stopIfTrue="1" operator="equal">
      <formula>"Napkin Hs"</formula>
    </cfRule>
  </conditionalFormatting>
  <conditionalFormatting sqref="C151">
    <cfRule type="cellIs" dxfId="1637" priority="1635" stopIfTrue="1" operator="equal">
      <formula>"Towel"</formula>
    </cfRule>
    <cfRule type="cellIs" dxfId="1636" priority="1636" stopIfTrue="1" operator="equal">
      <formula>"Napkin Hs"</formula>
    </cfRule>
  </conditionalFormatting>
  <conditionalFormatting sqref="B151:C151">
    <cfRule type="cellIs" dxfId="1635" priority="1633" stopIfTrue="1" operator="equal">
      <formula>"Towel"</formula>
    </cfRule>
    <cfRule type="cellIs" dxfId="1634" priority="1634" stopIfTrue="1" operator="equal">
      <formula>"Napkin Hs"</formula>
    </cfRule>
  </conditionalFormatting>
  <conditionalFormatting sqref="C151">
    <cfRule type="cellIs" dxfId="1633" priority="1641" stopIfTrue="1" operator="equal">
      <formula>"Towel"</formula>
    </cfRule>
    <cfRule type="cellIs" dxfId="1632" priority="1642" stopIfTrue="1" operator="equal">
      <formula>"Napkin Hs"</formula>
    </cfRule>
  </conditionalFormatting>
  <conditionalFormatting sqref="C151">
    <cfRule type="cellIs" dxfId="1631" priority="1643" stopIfTrue="1" operator="equal">
      <formula>"Towel"</formula>
    </cfRule>
    <cfRule type="cellIs" dxfId="1630" priority="1644" stopIfTrue="1" operator="equal">
      <formula>"Napkin Hs"</formula>
    </cfRule>
  </conditionalFormatting>
  <conditionalFormatting sqref="B146:C146">
    <cfRule type="cellIs" dxfId="1629" priority="1607" stopIfTrue="1" operator="equal">
      <formula>"Towel"</formula>
    </cfRule>
    <cfRule type="cellIs" dxfId="1628" priority="1608" stopIfTrue="1" operator="equal">
      <formula>"Napkin Hs"</formula>
    </cfRule>
  </conditionalFormatting>
  <conditionalFormatting sqref="C146">
    <cfRule type="cellIs" dxfId="1627" priority="1603" stopIfTrue="1" operator="equal">
      <formula>"Towel"</formula>
    </cfRule>
    <cfRule type="cellIs" dxfId="1626" priority="1604" stopIfTrue="1" operator="equal">
      <formula>"Napkin Hs"</formula>
    </cfRule>
  </conditionalFormatting>
  <conditionalFormatting sqref="C146">
    <cfRule type="cellIs" dxfId="1625" priority="1605" stopIfTrue="1" operator="equal">
      <formula>"Towel"</formula>
    </cfRule>
    <cfRule type="cellIs" dxfId="1624" priority="1606" stopIfTrue="1" operator="equal">
      <formula>"Napkin Hs"</formula>
    </cfRule>
  </conditionalFormatting>
  <conditionalFormatting sqref="B146:C146">
    <cfRule type="cellIs" dxfId="1623" priority="1601" stopIfTrue="1" operator="equal">
      <formula>"Towel"</formula>
    </cfRule>
    <cfRule type="cellIs" dxfId="1622" priority="1602" stopIfTrue="1" operator="equal">
      <formula>"Napkin Hs"</formula>
    </cfRule>
  </conditionalFormatting>
  <conditionalFormatting sqref="C146">
    <cfRule type="cellIs" dxfId="1621" priority="1599" stopIfTrue="1" operator="equal">
      <formula>"Towel"</formula>
    </cfRule>
    <cfRule type="cellIs" dxfId="1620" priority="1600" stopIfTrue="1" operator="equal">
      <formula>"Napkin Hs"</formula>
    </cfRule>
  </conditionalFormatting>
  <conditionalFormatting sqref="C146">
    <cfRule type="cellIs" dxfId="1619" priority="1597" stopIfTrue="1" operator="equal">
      <formula>"Towel"</formula>
    </cfRule>
    <cfRule type="cellIs" dxfId="1618" priority="1598" stopIfTrue="1" operator="equal">
      <formula>"Napkin Hs"</formula>
    </cfRule>
  </conditionalFormatting>
  <conditionalFormatting sqref="C146">
    <cfRule type="cellIs" dxfId="1617" priority="1589" stopIfTrue="1" operator="equal">
      <formula>"Towel"</formula>
    </cfRule>
    <cfRule type="cellIs" dxfId="1616" priority="1590" stopIfTrue="1" operator="equal">
      <formula>"Napkin Hs"</formula>
    </cfRule>
  </conditionalFormatting>
  <conditionalFormatting sqref="B146:C146">
    <cfRule type="cellIs" dxfId="1615" priority="1591" stopIfTrue="1" operator="equal">
      <formula>"Towel"</formula>
    </cfRule>
    <cfRule type="cellIs" dxfId="1614" priority="1592" stopIfTrue="1" operator="equal">
      <formula>"Napkin Hs"</formula>
    </cfRule>
  </conditionalFormatting>
  <conditionalFormatting sqref="C146">
    <cfRule type="cellIs" dxfId="1613" priority="1587" stopIfTrue="1" operator="equal">
      <formula>"Towel"</formula>
    </cfRule>
    <cfRule type="cellIs" dxfId="1612" priority="1588" stopIfTrue="1" operator="equal">
      <formula>"Napkin Hs"</formula>
    </cfRule>
  </conditionalFormatting>
  <conditionalFormatting sqref="B146:C146">
    <cfRule type="cellIs" dxfId="1611" priority="1585" stopIfTrue="1" operator="equal">
      <formula>"Towel"</formula>
    </cfRule>
    <cfRule type="cellIs" dxfId="1610" priority="1586" stopIfTrue="1" operator="equal">
      <formula>"Napkin Hs"</formula>
    </cfRule>
  </conditionalFormatting>
  <conditionalFormatting sqref="C146">
    <cfRule type="cellIs" dxfId="1609" priority="1593" stopIfTrue="1" operator="equal">
      <formula>"Towel"</formula>
    </cfRule>
    <cfRule type="cellIs" dxfId="1608" priority="1594" stopIfTrue="1" operator="equal">
      <formula>"Napkin Hs"</formula>
    </cfRule>
  </conditionalFormatting>
  <conditionalFormatting sqref="C146">
    <cfRule type="cellIs" dxfId="1607" priority="1595" stopIfTrue="1" operator="equal">
      <formula>"Towel"</formula>
    </cfRule>
    <cfRule type="cellIs" dxfId="1606" priority="1596" stopIfTrue="1" operator="equal">
      <formula>"Napkin Hs"</formula>
    </cfRule>
  </conditionalFormatting>
  <conditionalFormatting sqref="B145:C145">
    <cfRule type="cellIs" dxfId="1605" priority="1583" stopIfTrue="1" operator="equal">
      <formula>"Towel"</formula>
    </cfRule>
    <cfRule type="cellIs" dxfId="1604" priority="1584" stopIfTrue="1" operator="equal">
      <formula>"Napkin Hs"</formula>
    </cfRule>
  </conditionalFormatting>
  <conditionalFormatting sqref="C145">
    <cfRule type="cellIs" dxfId="1603" priority="1582" stopIfTrue="1" operator="equal">
      <formula>"Napkin Hs"</formula>
    </cfRule>
  </conditionalFormatting>
  <conditionalFormatting sqref="C145">
    <cfRule type="cellIs" dxfId="1602" priority="1581" stopIfTrue="1" operator="equal">
      <formula>"Towel"</formula>
    </cfRule>
  </conditionalFormatting>
  <conditionalFormatting sqref="C145">
    <cfRule type="cellIs" dxfId="1601" priority="1579" stopIfTrue="1" operator="equal">
      <formula>"Towel"</formula>
    </cfRule>
    <cfRule type="cellIs" dxfId="1600" priority="1580" stopIfTrue="1" operator="equal">
      <formula>"Napkin Hs"</formula>
    </cfRule>
  </conditionalFormatting>
  <conditionalFormatting sqref="C144">
    <cfRule type="cellIs" dxfId="1599" priority="1571" stopIfTrue="1" operator="equal">
      <formula>"Towel"</formula>
    </cfRule>
    <cfRule type="cellIs" dxfId="1598" priority="1572" stopIfTrue="1" operator="equal">
      <formula>"Napkin Hs"</formula>
    </cfRule>
  </conditionalFormatting>
  <conditionalFormatting sqref="B144:C144">
    <cfRule type="cellIs" dxfId="1597" priority="1573" stopIfTrue="1" operator="equal">
      <formula>"Towel"</formula>
    </cfRule>
    <cfRule type="cellIs" dxfId="1596" priority="1574" stopIfTrue="1" operator="equal">
      <formula>"Napkin Hs"</formula>
    </cfRule>
  </conditionalFormatting>
  <conditionalFormatting sqref="C144">
    <cfRule type="cellIs" dxfId="1595" priority="1569" stopIfTrue="1" operator="equal">
      <formula>"Towel"</formula>
    </cfRule>
    <cfRule type="cellIs" dxfId="1594" priority="1570" stopIfTrue="1" operator="equal">
      <formula>"Napkin Hs"</formula>
    </cfRule>
  </conditionalFormatting>
  <conditionalFormatting sqref="B144:C144">
    <cfRule type="cellIs" dxfId="1593" priority="1567" stopIfTrue="1" operator="equal">
      <formula>"Towel"</formula>
    </cfRule>
    <cfRule type="cellIs" dxfId="1592" priority="1568" stopIfTrue="1" operator="equal">
      <formula>"Napkin Hs"</formula>
    </cfRule>
  </conditionalFormatting>
  <conditionalFormatting sqref="C144">
    <cfRule type="cellIs" dxfId="1591" priority="1575" stopIfTrue="1" operator="equal">
      <formula>"Towel"</formula>
    </cfRule>
    <cfRule type="cellIs" dxfId="1590" priority="1576" stopIfTrue="1" operator="equal">
      <formula>"Napkin Hs"</formula>
    </cfRule>
  </conditionalFormatting>
  <conditionalFormatting sqref="C144">
    <cfRule type="cellIs" dxfId="1589" priority="1577" stopIfTrue="1" operator="equal">
      <formula>"Towel"</formula>
    </cfRule>
    <cfRule type="cellIs" dxfId="1588" priority="1578" stopIfTrue="1" operator="equal">
      <formula>"Napkin Hs"</formula>
    </cfRule>
  </conditionalFormatting>
  <conditionalFormatting sqref="C144">
    <cfRule type="cellIs" dxfId="1587" priority="1563" stopIfTrue="1" operator="equal">
      <formula>"Towel"</formula>
    </cfRule>
    <cfRule type="cellIs" dxfId="1586" priority="1564" stopIfTrue="1" operator="equal">
      <formula>"Napkin Hs"</formula>
    </cfRule>
  </conditionalFormatting>
  <conditionalFormatting sqref="C144">
    <cfRule type="cellIs" dxfId="1585" priority="1565" stopIfTrue="1" operator="equal">
      <formula>"Towel"</formula>
    </cfRule>
    <cfRule type="cellIs" dxfId="1584" priority="1566" stopIfTrue="1" operator="equal">
      <formula>"Napkin Hs"</formula>
    </cfRule>
  </conditionalFormatting>
  <conditionalFormatting sqref="C144">
    <cfRule type="cellIs" dxfId="1583" priority="1561" stopIfTrue="1" operator="equal">
      <formula>"Towel"</formula>
    </cfRule>
    <cfRule type="cellIs" dxfId="1582" priority="1562" stopIfTrue="1" operator="equal">
      <formula>"Napkin Hs"</formula>
    </cfRule>
  </conditionalFormatting>
  <conditionalFormatting sqref="B144">
    <cfRule type="cellIs" dxfId="1581" priority="1559" stopIfTrue="1" operator="equal">
      <formula>"Towel"</formula>
    </cfRule>
    <cfRule type="cellIs" dxfId="1580" priority="1560" stopIfTrue="1" operator="equal">
      <formula>"Napkin Hs"</formula>
    </cfRule>
  </conditionalFormatting>
  <conditionalFormatting sqref="C144">
    <cfRule type="cellIs" dxfId="1579" priority="1553" stopIfTrue="1" operator="equal">
      <formula>"Towel"</formula>
    </cfRule>
    <cfRule type="cellIs" dxfId="1578" priority="1554" stopIfTrue="1" operator="equal">
      <formula>"Napkin Hs"</formula>
    </cfRule>
  </conditionalFormatting>
  <conditionalFormatting sqref="C144">
    <cfRule type="cellIs" dxfId="1577" priority="1557" stopIfTrue="1" operator="equal">
      <formula>"Towel"</formula>
    </cfRule>
    <cfRule type="cellIs" dxfId="1576" priority="1558" stopIfTrue="1" operator="equal">
      <formula>"Napkin Hs"</formula>
    </cfRule>
  </conditionalFormatting>
  <conditionalFormatting sqref="C144">
    <cfRule type="cellIs" dxfId="1575" priority="1555" stopIfTrue="1" operator="equal">
      <formula>"Towel"</formula>
    </cfRule>
    <cfRule type="cellIs" dxfId="1574" priority="1556" stopIfTrue="1" operator="equal">
      <formula>"Napkin Hs"</formula>
    </cfRule>
  </conditionalFormatting>
  <conditionalFormatting sqref="C144">
    <cfRule type="cellIs" dxfId="1573" priority="1547" stopIfTrue="1" operator="equal">
      <formula>"Towel"</formula>
    </cfRule>
    <cfRule type="cellIs" dxfId="1572" priority="1548" stopIfTrue="1" operator="equal">
      <formula>"Napkin Hs"</formula>
    </cfRule>
  </conditionalFormatting>
  <conditionalFormatting sqref="C144">
    <cfRule type="cellIs" dxfId="1571" priority="1549" stopIfTrue="1" operator="equal">
      <formula>"Towel"</formula>
    </cfRule>
    <cfRule type="cellIs" dxfId="1570" priority="1550" stopIfTrue="1" operator="equal">
      <formula>"Napkin Hs"</formula>
    </cfRule>
  </conditionalFormatting>
  <conditionalFormatting sqref="C144">
    <cfRule type="cellIs" dxfId="1569" priority="1551" stopIfTrue="1" operator="equal">
      <formula>"Towel"</formula>
    </cfRule>
    <cfRule type="cellIs" dxfId="1568" priority="1552" stopIfTrue="1" operator="equal">
      <formula>"Napkin Hs"</formula>
    </cfRule>
  </conditionalFormatting>
  <conditionalFormatting sqref="B144:C144">
    <cfRule type="cellIs" dxfId="1567" priority="1545" stopIfTrue="1" operator="equal">
      <formula>"Towel"</formula>
    </cfRule>
    <cfRule type="cellIs" dxfId="1566" priority="1546" stopIfTrue="1" operator="equal">
      <formula>"Napkin Hs"</formula>
    </cfRule>
  </conditionalFormatting>
  <conditionalFormatting sqref="B144:C144">
    <cfRule type="cellIs" dxfId="1565" priority="1543" stopIfTrue="1" operator="equal">
      <formula>"Towel"</formula>
    </cfRule>
    <cfRule type="cellIs" dxfId="1564" priority="1544" stopIfTrue="1" operator="equal">
      <formula>"Napkin Hs"</formula>
    </cfRule>
  </conditionalFormatting>
  <conditionalFormatting sqref="B144:C144">
    <cfRule type="cellIs" dxfId="1563" priority="1519" stopIfTrue="1" operator="equal">
      <formula>"Towel"</formula>
    </cfRule>
  </conditionalFormatting>
  <conditionalFormatting sqref="B144:C144">
    <cfRule type="cellIs" dxfId="1562" priority="1520" stopIfTrue="1" operator="equal">
      <formula>"Napkin Hs"</formula>
    </cfRule>
    <cfRule type="cellIs" dxfId="1561" priority="1525" stopIfTrue="1" operator="equal">
      <formula>"Towel"</formula>
    </cfRule>
    <cfRule type="cellIs" dxfId="1560" priority="1526" stopIfTrue="1" operator="equal">
      <formula>"Napkin Hs"</formula>
    </cfRule>
    <cfRule type="cellIs" dxfId="1559" priority="1535" stopIfTrue="1" operator="equal">
      <formula>"Towel"</formula>
    </cfRule>
    <cfRule type="cellIs" dxfId="1558" priority="1536" stopIfTrue="1" operator="equal">
      <formula>"Napkin Hs"</formula>
    </cfRule>
    <cfRule type="cellIs" dxfId="1557" priority="1541" stopIfTrue="1" operator="equal">
      <formula>"Towel"</formula>
    </cfRule>
    <cfRule type="cellIs" dxfId="1556" priority="1542" stopIfTrue="1" operator="equal">
      <formula>"Napkin Hs"</formula>
    </cfRule>
  </conditionalFormatting>
  <conditionalFormatting sqref="C144">
    <cfRule type="cellIs" dxfId="1555" priority="1521" stopIfTrue="1" operator="equal">
      <formula>"Towel"</formula>
    </cfRule>
    <cfRule type="cellIs" dxfId="1554" priority="1522" stopIfTrue="1" operator="equal">
      <formula>"Napkin Hs"</formula>
    </cfRule>
    <cfRule type="cellIs" dxfId="1553" priority="1523" stopIfTrue="1" operator="equal">
      <formula>"Towel"</formula>
    </cfRule>
    <cfRule type="cellIs" dxfId="1552" priority="1524" stopIfTrue="1" operator="equal">
      <formula>"Napkin Hs"</formula>
    </cfRule>
    <cfRule type="cellIs" dxfId="1551" priority="1527" stopIfTrue="1" operator="equal">
      <formula>"Towel"</formula>
    </cfRule>
    <cfRule type="cellIs" dxfId="1550" priority="1528" stopIfTrue="1" operator="equal">
      <formula>"Napkin Hs"</formula>
    </cfRule>
    <cfRule type="cellIs" dxfId="1549" priority="1529" stopIfTrue="1" operator="equal">
      <formula>"Towel"</formula>
    </cfRule>
    <cfRule type="cellIs" dxfId="1548" priority="1530" stopIfTrue="1" operator="equal">
      <formula>"Napkin Hs"</formula>
    </cfRule>
    <cfRule type="cellIs" dxfId="1547" priority="1531" stopIfTrue="1" operator="equal">
      <formula>"Towel"</formula>
    </cfRule>
    <cfRule type="cellIs" dxfId="1546" priority="1532" stopIfTrue="1" operator="equal">
      <formula>"Napkin Hs"</formula>
    </cfRule>
    <cfRule type="cellIs" dxfId="1545" priority="1533" stopIfTrue="1" operator="equal">
      <formula>"Towel"</formula>
    </cfRule>
    <cfRule type="cellIs" dxfId="1544" priority="1534" stopIfTrue="1" operator="equal">
      <formula>"Napkin Hs"</formula>
    </cfRule>
    <cfRule type="cellIs" dxfId="1543" priority="1537" stopIfTrue="1" operator="equal">
      <formula>"Towel"</formula>
    </cfRule>
    <cfRule type="cellIs" dxfId="1542" priority="1538" stopIfTrue="1" operator="equal">
      <formula>"Napkin Hs"</formula>
    </cfRule>
    <cfRule type="cellIs" dxfId="1541" priority="1540" stopIfTrue="1" operator="equal">
      <formula>"Napkin Hs"</formula>
    </cfRule>
  </conditionalFormatting>
  <conditionalFormatting sqref="C144">
    <cfRule type="cellIs" dxfId="1540" priority="1539" stopIfTrue="1" operator="equal">
      <formula>"Towel"</formula>
    </cfRule>
  </conditionalFormatting>
  <conditionalFormatting sqref="B144:C144">
    <cfRule type="cellIs" dxfId="1539" priority="1517" stopIfTrue="1" operator="equal">
      <formula>"Towel"</formula>
    </cfRule>
    <cfRule type="cellIs" dxfId="1538" priority="1518" stopIfTrue="1" operator="equal">
      <formula>"Napkin Hs"</formula>
    </cfRule>
  </conditionalFormatting>
  <conditionalFormatting sqref="C144">
    <cfRule type="cellIs" dxfId="1537" priority="1516" stopIfTrue="1" operator="equal">
      <formula>"Napkin Hs"</formula>
    </cfRule>
  </conditionalFormatting>
  <conditionalFormatting sqref="C144">
    <cfRule type="cellIs" dxfId="1536" priority="1515" stopIfTrue="1" operator="equal">
      <formula>"Towel"</formula>
    </cfRule>
  </conditionalFormatting>
  <conditionalFormatting sqref="C144">
    <cfRule type="cellIs" dxfId="1535" priority="1513" stopIfTrue="1" operator="equal">
      <formula>"Towel"</formula>
    </cfRule>
  </conditionalFormatting>
  <conditionalFormatting sqref="C144">
    <cfRule type="cellIs" dxfId="1534" priority="1514" stopIfTrue="1" operator="equal">
      <formula>"Napkin Hs"</formula>
    </cfRule>
  </conditionalFormatting>
  <conditionalFormatting sqref="B144">
    <cfRule type="cellIs" dxfId="1533" priority="1417" stopIfTrue="1" operator="equal">
      <formula>"Napkin Hs"</formula>
    </cfRule>
  </conditionalFormatting>
  <conditionalFormatting sqref="B144:C144">
    <cfRule type="cellIs" dxfId="1532" priority="1416" stopIfTrue="1" operator="equal">
      <formula>"Towel"</formula>
    </cfRule>
  </conditionalFormatting>
  <conditionalFormatting sqref="B144:C144">
    <cfRule type="cellIs" dxfId="1531" priority="1427" stopIfTrue="1" operator="equal">
      <formula>"Towel"</formula>
    </cfRule>
    <cfRule type="cellIs" dxfId="1530" priority="1428" stopIfTrue="1" operator="equal">
      <formula>"Napkin Hs"</formula>
    </cfRule>
    <cfRule type="cellIs" dxfId="1529" priority="1433" stopIfTrue="1" operator="equal">
      <formula>"Towel"</formula>
    </cfRule>
    <cfRule type="cellIs" dxfId="1528" priority="1434" stopIfTrue="1" operator="equal">
      <formula>"Napkin Hs"</formula>
    </cfRule>
    <cfRule type="cellIs" dxfId="1527" priority="1439" stopIfTrue="1" operator="equal">
      <formula>"Towel"</formula>
    </cfRule>
    <cfRule type="cellIs" dxfId="1526" priority="1440" stopIfTrue="1" operator="equal">
      <formula>"Napkin Hs"</formula>
    </cfRule>
    <cfRule type="cellIs" dxfId="1525" priority="1441" stopIfTrue="1" operator="equal">
      <formula>"Towel"</formula>
    </cfRule>
    <cfRule type="cellIs" dxfId="1524" priority="1442" stopIfTrue="1" operator="equal">
      <formula>"Napkin Hs"</formula>
    </cfRule>
    <cfRule type="cellIs" dxfId="1523" priority="1447" stopIfTrue="1" operator="equal">
      <formula>"Towel"</formula>
    </cfRule>
    <cfRule type="cellIs" dxfId="1522" priority="1448" stopIfTrue="1" operator="equal">
      <formula>"Napkin Hs"</formula>
    </cfRule>
    <cfRule type="cellIs" dxfId="1521" priority="1457" stopIfTrue="1" operator="equal">
      <formula>"Towel"</formula>
    </cfRule>
    <cfRule type="cellIs" dxfId="1520" priority="1458" stopIfTrue="1" operator="equal">
      <formula>"Napkin Hs"</formula>
    </cfRule>
    <cfRule type="cellIs" dxfId="1519" priority="1463" stopIfTrue="1" operator="equal">
      <formula>"Towel"</formula>
    </cfRule>
    <cfRule type="cellIs" dxfId="1518" priority="1464" stopIfTrue="1" operator="equal">
      <formula>"Napkin Hs"</formula>
    </cfRule>
    <cfRule type="cellIs" dxfId="1517" priority="1465" stopIfTrue="1" operator="equal">
      <formula>"Towel"</formula>
    </cfRule>
    <cfRule type="cellIs" dxfId="1516" priority="1466" stopIfTrue="1" operator="equal">
      <formula>"Napkin Hs"</formula>
    </cfRule>
    <cfRule type="cellIs" dxfId="1515" priority="1471" stopIfTrue="1" operator="equal">
      <formula>"Towel"</formula>
    </cfRule>
    <cfRule type="cellIs" dxfId="1514" priority="1472" stopIfTrue="1" operator="equal">
      <formula>"Napkin Hs"</formula>
    </cfRule>
    <cfRule type="cellIs" dxfId="1513" priority="1481" stopIfTrue="1" operator="equal">
      <formula>"Towel"</formula>
    </cfRule>
    <cfRule type="cellIs" dxfId="1512" priority="1482" stopIfTrue="1" operator="equal">
      <formula>"Napkin Hs"</formula>
    </cfRule>
    <cfRule type="cellIs" dxfId="1511" priority="1483" stopIfTrue="1" operator="equal">
      <formula>"Towel"</formula>
    </cfRule>
    <cfRule type="cellIs" dxfId="1510" priority="1484" stopIfTrue="1" operator="equal">
      <formula>"Napkin Hs"</formula>
    </cfRule>
    <cfRule type="cellIs" dxfId="1509" priority="1489" stopIfTrue="1" operator="equal">
      <formula>"Towel"</formula>
    </cfRule>
    <cfRule type="cellIs" dxfId="1508" priority="1490" stopIfTrue="1" operator="equal">
      <formula>"Napkin Hs"</formula>
    </cfRule>
    <cfRule type="cellIs" dxfId="1507" priority="1499" stopIfTrue="1" operator="equal">
      <formula>"Towel"</formula>
    </cfRule>
    <cfRule type="cellIs" dxfId="1506" priority="1500" stopIfTrue="1" operator="equal">
      <formula>"Napkin Hs"</formula>
    </cfRule>
    <cfRule type="cellIs" dxfId="1505" priority="1501" stopIfTrue="1" operator="equal">
      <formula>"Towel"</formula>
    </cfRule>
    <cfRule type="cellIs" dxfId="1504" priority="1502" stopIfTrue="1" operator="equal">
      <formula>"Napkin Hs"</formula>
    </cfRule>
    <cfRule type="cellIs" dxfId="1503" priority="1508" stopIfTrue="1" operator="equal">
      <formula>"Napkin Hs"</formula>
    </cfRule>
  </conditionalFormatting>
  <conditionalFormatting sqref="B144:C144">
    <cfRule type="cellIs" dxfId="1502" priority="1507" stopIfTrue="1" operator="equal">
      <formula>"Towel"</formula>
    </cfRule>
  </conditionalFormatting>
  <conditionalFormatting sqref="C144">
    <cfRule type="cellIs" dxfId="1501" priority="1418" stopIfTrue="1" operator="equal">
      <formula>"Napkin Hs"</formula>
    </cfRule>
    <cfRule type="cellIs" dxfId="1500" priority="1419" stopIfTrue="1" operator="equal">
      <formula>"Towel"</formula>
    </cfRule>
    <cfRule type="cellIs" dxfId="1499" priority="1420" stopIfTrue="1" operator="equal">
      <formula>"Napkin Hs"</formula>
    </cfRule>
    <cfRule type="cellIs" dxfId="1498" priority="1421" stopIfTrue="1" operator="equal">
      <formula>"Towel"</formula>
    </cfRule>
    <cfRule type="cellIs" dxfId="1497" priority="1422" stopIfTrue="1" operator="equal">
      <formula>"Napkin Hs"</formula>
    </cfRule>
    <cfRule type="cellIs" dxfId="1496" priority="1423" stopIfTrue="1" operator="equal">
      <formula>"Towel"</formula>
    </cfRule>
    <cfRule type="cellIs" dxfId="1495" priority="1424" stopIfTrue="1" operator="equal">
      <formula>"Napkin Hs"</formula>
    </cfRule>
    <cfRule type="cellIs" dxfId="1494" priority="1425" stopIfTrue="1" operator="equal">
      <formula>"Towel"</formula>
    </cfRule>
    <cfRule type="cellIs" dxfId="1493" priority="1426" stopIfTrue="1" operator="equal">
      <formula>"Napkin Hs"</formula>
    </cfRule>
    <cfRule type="cellIs" dxfId="1492" priority="1429" stopIfTrue="1" operator="equal">
      <formula>"Towel"</formula>
    </cfRule>
    <cfRule type="cellIs" dxfId="1491" priority="1430" stopIfTrue="1" operator="equal">
      <formula>"Napkin Hs"</formula>
    </cfRule>
    <cfRule type="cellIs" dxfId="1490" priority="1431" stopIfTrue="1" operator="equal">
      <formula>"Towel"</formula>
    </cfRule>
    <cfRule type="cellIs" dxfId="1489" priority="1432" stopIfTrue="1" operator="equal">
      <formula>"Napkin Hs"</formula>
    </cfRule>
    <cfRule type="cellIs" dxfId="1488" priority="1435" stopIfTrue="1" operator="equal">
      <formula>"Towel"</formula>
    </cfRule>
    <cfRule type="cellIs" dxfId="1487" priority="1436" stopIfTrue="1" operator="equal">
      <formula>"Napkin Hs"</formula>
    </cfRule>
    <cfRule type="cellIs" dxfId="1486" priority="1437" stopIfTrue="1" operator="equal">
      <formula>"Towel"</formula>
    </cfRule>
    <cfRule type="cellIs" dxfId="1485" priority="1438" stopIfTrue="1" operator="equal">
      <formula>"Napkin Hs"</formula>
    </cfRule>
    <cfRule type="cellIs" dxfId="1484" priority="1443" stopIfTrue="1" operator="equal">
      <formula>"Towel"</formula>
    </cfRule>
    <cfRule type="cellIs" dxfId="1483" priority="1444" stopIfTrue="1" operator="equal">
      <formula>"Napkin Hs"</formula>
    </cfRule>
    <cfRule type="cellIs" dxfId="1482" priority="1445" stopIfTrue="1" operator="equal">
      <formula>"Towel"</formula>
    </cfRule>
    <cfRule type="cellIs" dxfId="1481" priority="1446" stopIfTrue="1" operator="equal">
      <formula>"Napkin Hs"</formula>
    </cfRule>
    <cfRule type="cellIs" dxfId="1480" priority="1449" stopIfTrue="1" operator="equal">
      <formula>"Towel"</formula>
    </cfRule>
    <cfRule type="cellIs" dxfId="1479" priority="1450" stopIfTrue="1" operator="equal">
      <formula>"Napkin Hs"</formula>
    </cfRule>
    <cfRule type="cellIs" dxfId="1478" priority="1451" stopIfTrue="1" operator="equal">
      <formula>"Towel"</formula>
    </cfRule>
    <cfRule type="cellIs" dxfId="1477" priority="1452" stopIfTrue="1" operator="equal">
      <formula>"Napkin Hs"</formula>
    </cfRule>
    <cfRule type="cellIs" dxfId="1476" priority="1453" stopIfTrue="1" operator="equal">
      <formula>"Towel"</formula>
    </cfRule>
    <cfRule type="cellIs" dxfId="1475" priority="1454" stopIfTrue="1" operator="equal">
      <formula>"Napkin Hs"</formula>
    </cfRule>
    <cfRule type="cellIs" dxfId="1474" priority="1455" stopIfTrue="1" operator="equal">
      <formula>"Towel"</formula>
    </cfRule>
    <cfRule type="cellIs" dxfId="1473" priority="1456" stopIfTrue="1" operator="equal">
      <formula>"Napkin Hs"</formula>
    </cfRule>
    <cfRule type="cellIs" dxfId="1472" priority="1459" stopIfTrue="1" operator="equal">
      <formula>"Towel"</formula>
    </cfRule>
    <cfRule type="cellIs" dxfId="1471" priority="1460" stopIfTrue="1" operator="equal">
      <formula>"Napkin Hs"</formula>
    </cfRule>
    <cfRule type="cellIs" dxfId="1470" priority="1461" stopIfTrue="1" operator="equal">
      <formula>"Towel"</formula>
    </cfRule>
    <cfRule type="cellIs" dxfId="1469" priority="1462" stopIfTrue="1" operator="equal">
      <formula>"Napkin Hs"</formula>
    </cfRule>
    <cfRule type="cellIs" dxfId="1468" priority="1467" stopIfTrue="1" operator="equal">
      <formula>"Towel"</formula>
    </cfRule>
    <cfRule type="cellIs" dxfId="1467" priority="1468" stopIfTrue="1" operator="equal">
      <formula>"Napkin Hs"</formula>
    </cfRule>
    <cfRule type="cellIs" dxfId="1466" priority="1469" stopIfTrue="1" operator="equal">
      <formula>"Towel"</formula>
    </cfRule>
    <cfRule type="cellIs" dxfId="1465" priority="1470" stopIfTrue="1" operator="equal">
      <formula>"Napkin Hs"</formula>
    </cfRule>
    <cfRule type="cellIs" dxfId="1464" priority="1473" stopIfTrue="1" operator="equal">
      <formula>"Towel"</formula>
    </cfRule>
    <cfRule type="cellIs" dxfId="1463" priority="1474" stopIfTrue="1" operator="equal">
      <formula>"Napkin Hs"</formula>
    </cfRule>
    <cfRule type="cellIs" dxfId="1462" priority="1475" stopIfTrue="1" operator="equal">
      <formula>"Towel"</formula>
    </cfRule>
    <cfRule type="cellIs" dxfId="1461" priority="1476" stopIfTrue="1" operator="equal">
      <formula>"Napkin Hs"</formula>
    </cfRule>
    <cfRule type="cellIs" dxfId="1460" priority="1477" stopIfTrue="1" operator="equal">
      <formula>"Towel"</formula>
    </cfRule>
    <cfRule type="cellIs" dxfId="1459" priority="1478" stopIfTrue="1" operator="equal">
      <formula>"Napkin Hs"</formula>
    </cfRule>
    <cfRule type="cellIs" dxfId="1458" priority="1479" stopIfTrue="1" operator="equal">
      <formula>"Towel"</formula>
    </cfRule>
    <cfRule type="cellIs" dxfId="1457" priority="1480" stopIfTrue="1" operator="equal">
      <formula>"Napkin Hs"</formula>
    </cfRule>
    <cfRule type="cellIs" dxfId="1456" priority="1485" stopIfTrue="1" operator="equal">
      <formula>"Towel"</formula>
    </cfRule>
    <cfRule type="cellIs" dxfId="1455" priority="1486" stopIfTrue="1" operator="equal">
      <formula>"Napkin Hs"</formula>
    </cfRule>
    <cfRule type="cellIs" dxfId="1454" priority="1487" stopIfTrue="1" operator="equal">
      <formula>"Towel"</formula>
    </cfRule>
    <cfRule type="cellIs" dxfId="1453" priority="1488" stopIfTrue="1" operator="equal">
      <formula>"Napkin Hs"</formula>
    </cfRule>
    <cfRule type="cellIs" dxfId="1452" priority="1491" stopIfTrue="1" operator="equal">
      <formula>"Towel"</formula>
    </cfRule>
    <cfRule type="cellIs" dxfId="1451" priority="1492" stopIfTrue="1" operator="equal">
      <formula>"Napkin Hs"</formula>
    </cfRule>
    <cfRule type="cellIs" dxfId="1450" priority="1493" stopIfTrue="1" operator="equal">
      <formula>"Towel"</formula>
    </cfRule>
    <cfRule type="cellIs" dxfId="1449" priority="1494" stopIfTrue="1" operator="equal">
      <formula>"Napkin Hs"</formula>
    </cfRule>
    <cfRule type="cellIs" dxfId="1448" priority="1495" stopIfTrue="1" operator="equal">
      <formula>"Towel"</formula>
    </cfRule>
    <cfRule type="cellIs" dxfId="1447" priority="1496" stopIfTrue="1" operator="equal">
      <formula>"Napkin Hs"</formula>
    </cfRule>
    <cfRule type="cellIs" dxfId="1446" priority="1497" stopIfTrue="1" operator="equal">
      <formula>"Towel"</formula>
    </cfRule>
    <cfRule type="cellIs" dxfId="1445" priority="1498" stopIfTrue="1" operator="equal">
      <formula>"Napkin Hs"</formula>
    </cfRule>
    <cfRule type="cellIs" dxfId="1444" priority="1503" stopIfTrue="1" operator="equal">
      <formula>"Towel"</formula>
    </cfRule>
    <cfRule type="cellIs" dxfId="1443" priority="1504" stopIfTrue="1" operator="equal">
      <formula>"Napkin Hs"</formula>
    </cfRule>
    <cfRule type="cellIs" dxfId="1442" priority="1505" stopIfTrue="1" operator="equal">
      <formula>"Towel"</formula>
    </cfRule>
    <cfRule type="cellIs" dxfId="1441" priority="1506" stopIfTrue="1" operator="equal">
      <formula>"Napkin Hs"</formula>
    </cfRule>
    <cfRule type="cellIs" dxfId="1440" priority="1509" stopIfTrue="1" operator="equal">
      <formula>"Towel"</formula>
    </cfRule>
    <cfRule type="cellIs" dxfId="1439" priority="1510" stopIfTrue="1" operator="equal">
      <formula>"Napkin Hs"</formula>
    </cfRule>
    <cfRule type="cellIs" dxfId="1438" priority="1511" stopIfTrue="1" operator="equal">
      <formula>"Towel"</formula>
    </cfRule>
    <cfRule type="cellIs" dxfId="1437" priority="1512" stopIfTrue="1" operator="equal">
      <formula>"Napkin Hs"</formula>
    </cfRule>
  </conditionalFormatting>
  <conditionalFormatting sqref="C144">
    <cfRule type="cellIs" dxfId="1436" priority="1415" stopIfTrue="1" operator="equal">
      <formula>"Napkin Hs"</formula>
    </cfRule>
  </conditionalFormatting>
  <conditionalFormatting sqref="C144">
    <cfRule type="cellIs" dxfId="1435" priority="1414" stopIfTrue="1" operator="equal">
      <formula>"Napkin Hs"</formula>
    </cfRule>
  </conditionalFormatting>
  <conditionalFormatting sqref="B144">
    <cfRule type="cellIs" dxfId="1434" priority="1413" stopIfTrue="1" operator="equal">
      <formula>"Napkin Hs"</formula>
    </cfRule>
  </conditionalFormatting>
  <conditionalFormatting sqref="C144">
    <cfRule type="cellIs" dxfId="1433" priority="1412" stopIfTrue="1" operator="equal">
      <formula>"Napkin Hs"</formula>
    </cfRule>
  </conditionalFormatting>
  <conditionalFormatting sqref="C144">
    <cfRule type="cellIs" dxfId="1432" priority="1411" stopIfTrue="1" operator="equal">
      <formula>"Napkin Hs"</formula>
    </cfRule>
  </conditionalFormatting>
  <conditionalFormatting sqref="C144">
    <cfRule type="cellIs" dxfId="1431" priority="1410" stopIfTrue="1" operator="equal">
      <formula>"Napkin Hs"</formula>
    </cfRule>
  </conditionalFormatting>
  <conditionalFormatting sqref="C144">
    <cfRule type="cellIs" dxfId="1430" priority="1409" stopIfTrue="1" operator="equal">
      <formula>"Napkin Hs"</formula>
    </cfRule>
  </conditionalFormatting>
  <conditionalFormatting sqref="B144">
    <cfRule type="cellIs" dxfId="1429" priority="1408" stopIfTrue="1" operator="equal">
      <formula>"Napkin Hs"</formula>
    </cfRule>
  </conditionalFormatting>
  <conditionalFormatting sqref="B144">
    <cfRule type="cellIs" dxfId="1428" priority="1407" stopIfTrue="1" operator="equal">
      <formula>"Napkin Hs"</formula>
    </cfRule>
  </conditionalFormatting>
  <conditionalFormatting sqref="C144">
    <cfRule type="cellIs" dxfId="1427" priority="1403" stopIfTrue="1" operator="equal">
      <formula>"Towel"</formula>
    </cfRule>
    <cfRule type="cellIs" dxfId="1426" priority="1404" stopIfTrue="1" operator="equal">
      <formula>"Napkin Hs"</formula>
    </cfRule>
  </conditionalFormatting>
  <conditionalFormatting sqref="C144">
    <cfRule type="cellIs" dxfId="1425" priority="1405" stopIfTrue="1" operator="equal">
      <formula>"Towel"</formula>
    </cfRule>
    <cfRule type="cellIs" dxfId="1424" priority="1406" stopIfTrue="1" operator="equal">
      <formula>"Napkin Hs"</formula>
    </cfRule>
  </conditionalFormatting>
  <conditionalFormatting sqref="C144">
    <cfRule type="cellIs" dxfId="1423" priority="1399" stopIfTrue="1" operator="equal">
      <formula>"Towel"</formula>
    </cfRule>
    <cfRule type="cellIs" dxfId="1422" priority="1400" stopIfTrue="1" operator="equal">
      <formula>"Napkin Hs"</formula>
    </cfRule>
  </conditionalFormatting>
  <conditionalFormatting sqref="C144">
    <cfRule type="cellIs" dxfId="1421" priority="1401" stopIfTrue="1" operator="equal">
      <formula>"Towel"</formula>
    </cfRule>
    <cfRule type="cellIs" dxfId="1420" priority="1402" stopIfTrue="1" operator="equal">
      <formula>"Napkin Hs"</formula>
    </cfRule>
  </conditionalFormatting>
  <conditionalFormatting sqref="C143">
    <cfRule type="cellIs" dxfId="1419" priority="1397" stopIfTrue="1" operator="equal">
      <formula>"Towel"</formula>
    </cfRule>
    <cfRule type="cellIs" dxfId="1418" priority="1398" stopIfTrue="1" operator="equal">
      <formula>"Napkin Hs"</formula>
    </cfRule>
  </conditionalFormatting>
  <conditionalFormatting sqref="C143">
    <cfRule type="cellIs" dxfId="1417" priority="1393" stopIfTrue="1" operator="equal">
      <formula>"Towel"</formula>
    </cfRule>
    <cfRule type="cellIs" dxfId="1416" priority="1394" stopIfTrue="1" operator="equal">
      <formula>"Napkin Hs"</formula>
    </cfRule>
  </conditionalFormatting>
  <conditionalFormatting sqref="C143">
    <cfRule type="cellIs" dxfId="1415" priority="1395" stopIfTrue="1" operator="equal">
      <formula>"Towel"</formula>
    </cfRule>
    <cfRule type="cellIs" dxfId="1414" priority="1396" stopIfTrue="1" operator="equal">
      <formula>"Napkin Hs"</formula>
    </cfRule>
  </conditionalFormatting>
  <conditionalFormatting sqref="C143">
    <cfRule type="cellIs" dxfId="1413" priority="1389" stopIfTrue="1" operator="equal">
      <formula>"Towel"</formula>
    </cfRule>
    <cfRule type="cellIs" dxfId="1412" priority="1390" stopIfTrue="1" operator="equal">
      <formula>"Napkin Hs"</formula>
    </cfRule>
  </conditionalFormatting>
  <conditionalFormatting sqref="C143">
    <cfRule type="cellIs" dxfId="1411" priority="1391" stopIfTrue="1" operator="equal">
      <formula>"Towel"</formula>
    </cfRule>
    <cfRule type="cellIs" dxfId="1410" priority="1392" stopIfTrue="1" operator="equal">
      <formula>"Napkin Hs"</formula>
    </cfRule>
  </conditionalFormatting>
  <conditionalFormatting sqref="C143">
    <cfRule type="cellIs" dxfId="1409" priority="1387" stopIfTrue="1" operator="equal">
      <formula>"Towel"</formula>
    </cfRule>
    <cfRule type="cellIs" dxfId="1408" priority="1388" stopIfTrue="1" operator="equal">
      <formula>"Napkin Hs"</formula>
    </cfRule>
  </conditionalFormatting>
  <conditionalFormatting sqref="C143">
    <cfRule type="cellIs" dxfId="1407" priority="1381" stopIfTrue="1" operator="equal">
      <formula>"Towel"</formula>
    </cfRule>
    <cfRule type="cellIs" dxfId="1406" priority="1382" stopIfTrue="1" operator="equal">
      <formula>"Napkin Hs"</formula>
    </cfRule>
  </conditionalFormatting>
  <conditionalFormatting sqref="C143">
    <cfRule type="cellIs" dxfId="1405" priority="1385" stopIfTrue="1" operator="equal">
      <formula>"Towel"</formula>
    </cfRule>
    <cfRule type="cellIs" dxfId="1404" priority="1386" stopIfTrue="1" operator="equal">
      <formula>"Napkin Hs"</formula>
    </cfRule>
  </conditionalFormatting>
  <conditionalFormatting sqref="C143">
    <cfRule type="cellIs" dxfId="1403" priority="1383" stopIfTrue="1" operator="equal">
      <formula>"Towel"</formula>
    </cfRule>
    <cfRule type="cellIs" dxfId="1402" priority="1384" stopIfTrue="1" operator="equal">
      <formula>"Napkin Hs"</formula>
    </cfRule>
  </conditionalFormatting>
  <conditionalFormatting sqref="C143">
    <cfRule type="cellIs" dxfId="1401" priority="1375" stopIfTrue="1" operator="equal">
      <formula>"Towel"</formula>
    </cfRule>
    <cfRule type="cellIs" dxfId="1400" priority="1376" stopIfTrue="1" operator="equal">
      <formula>"Napkin Hs"</formula>
    </cfRule>
  </conditionalFormatting>
  <conditionalFormatting sqref="C143">
    <cfRule type="cellIs" dxfId="1399" priority="1377" stopIfTrue="1" operator="equal">
      <formula>"Towel"</formula>
    </cfRule>
    <cfRule type="cellIs" dxfId="1398" priority="1378" stopIfTrue="1" operator="equal">
      <formula>"Napkin Hs"</formula>
    </cfRule>
  </conditionalFormatting>
  <conditionalFormatting sqref="C143">
    <cfRule type="cellIs" dxfId="1397" priority="1379" stopIfTrue="1" operator="equal">
      <formula>"Towel"</formula>
    </cfRule>
    <cfRule type="cellIs" dxfId="1396" priority="1380" stopIfTrue="1" operator="equal">
      <formula>"Napkin Hs"</formula>
    </cfRule>
  </conditionalFormatting>
  <conditionalFormatting sqref="C143">
    <cfRule type="cellIs" dxfId="1395" priority="1373" stopIfTrue="1" operator="equal">
      <formula>"Towel"</formula>
    </cfRule>
    <cfRule type="cellIs" dxfId="1394" priority="1374" stopIfTrue="1" operator="equal">
      <formula>"Napkin Hs"</formula>
    </cfRule>
  </conditionalFormatting>
  <conditionalFormatting sqref="C143">
    <cfRule type="cellIs" dxfId="1393" priority="1371" stopIfTrue="1" operator="equal">
      <formula>"Towel"</formula>
    </cfRule>
    <cfRule type="cellIs" dxfId="1392" priority="1372" stopIfTrue="1" operator="equal">
      <formula>"Napkin Hs"</formula>
    </cfRule>
  </conditionalFormatting>
  <conditionalFormatting sqref="C143">
    <cfRule type="cellIs" dxfId="1391" priority="1347" stopIfTrue="1" operator="equal">
      <formula>"Towel"</formula>
    </cfRule>
  </conditionalFormatting>
  <conditionalFormatting sqref="C143">
    <cfRule type="cellIs" dxfId="1390" priority="1348" stopIfTrue="1" operator="equal">
      <formula>"Napkin Hs"</formula>
    </cfRule>
    <cfRule type="cellIs" dxfId="1389" priority="1353" stopIfTrue="1" operator="equal">
      <formula>"Towel"</formula>
    </cfRule>
    <cfRule type="cellIs" dxfId="1388" priority="1354" stopIfTrue="1" operator="equal">
      <formula>"Napkin Hs"</formula>
    </cfRule>
    <cfRule type="cellIs" dxfId="1387" priority="1363" stopIfTrue="1" operator="equal">
      <formula>"Towel"</formula>
    </cfRule>
    <cfRule type="cellIs" dxfId="1386" priority="1364" stopIfTrue="1" operator="equal">
      <formula>"Napkin Hs"</formula>
    </cfRule>
    <cfRule type="cellIs" dxfId="1385" priority="1369" stopIfTrue="1" operator="equal">
      <formula>"Towel"</formula>
    </cfRule>
    <cfRule type="cellIs" dxfId="1384" priority="1370" stopIfTrue="1" operator="equal">
      <formula>"Napkin Hs"</formula>
    </cfRule>
  </conditionalFormatting>
  <conditionalFormatting sqref="C143">
    <cfRule type="cellIs" dxfId="1383" priority="1349" stopIfTrue="1" operator="equal">
      <formula>"Towel"</formula>
    </cfRule>
    <cfRule type="cellIs" dxfId="1382" priority="1350" stopIfTrue="1" operator="equal">
      <formula>"Napkin Hs"</formula>
    </cfRule>
    <cfRule type="cellIs" dxfId="1381" priority="1351" stopIfTrue="1" operator="equal">
      <formula>"Towel"</formula>
    </cfRule>
    <cfRule type="cellIs" dxfId="1380" priority="1352" stopIfTrue="1" operator="equal">
      <formula>"Napkin Hs"</formula>
    </cfRule>
    <cfRule type="cellIs" dxfId="1379" priority="1355" stopIfTrue="1" operator="equal">
      <formula>"Towel"</formula>
    </cfRule>
    <cfRule type="cellIs" dxfId="1378" priority="1356" stopIfTrue="1" operator="equal">
      <formula>"Napkin Hs"</formula>
    </cfRule>
    <cfRule type="cellIs" dxfId="1377" priority="1357" stopIfTrue="1" operator="equal">
      <formula>"Towel"</formula>
    </cfRule>
    <cfRule type="cellIs" dxfId="1376" priority="1358" stopIfTrue="1" operator="equal">
      <formula>"Napkin Hs"</formula>
    </cfRule>
    <cfRule type="cellIs" dxfId="1375" priority="1359" stopIfTrue="1" operator="equal">
      <formula>"Towel"</formula>
    </cfRule>
    <cfRule type="cellIs" dxfId="1374" priority="1360" stopIfTrue="1" operator="equal">
      <formula>"Napkin Hs"</formula>
    </cfRule>
    <cfRule type="cellIs" dxfId="1373" priority="1361" stopIfTrue="1" operator="equal">
      <formula>"Towel"</formula>
    </cfRule>
    <cfRule type="cellIs" dxfId="1372" priority="1362" stopIfTrue="1" operator="equal">
      <formula>"Napkin Hs"</formula>
    </cfRule>
    <cfRule type="cellIs" dxfId="1371" priority="1365" stopIfTrue="1" operator="equal">
      <formula>"Towel"</formula>
    </cfRule>
    <cfRule type="cellIs" dxfId="1370" priority="1366" stopIfTrue="1" operator="equal">
      <formula>"Napkin Hs"</formula>
    </cfRule>
    <cfRule type="cellIs" dxfId="1369" priority="1368" stopIfTrue="1" operator="equal">
      <formula>"Napkin Hs"</formula>
    </cfRule>
  </conditionalFormatting>
  <conditionalFormatting sqref="C143">
    <cfRule type="cellIs" dxfId="1368" priority="1367" stopIfTrue="1" operator="equal">
      <formula>"Towel"</formula>
    </cfRule>
  </conditionalFormatting>
  <conditionalFormatting sqref="C143">
    <cfRule type="cellIs" dxfId="1367" priority="1345" stopIfTrue="1" operator="equal">
      <formula>"Towel"</formula>
    </cfRule>
    <cfRule type="cellIs" dxfId="1366" priority="1346" stopIfTrue="1" operator="equal">
      <formula>"Napkin Hs"</formula>
    </cfRule>
  </conditionalFormatting>
  <conditionalFormatting sqref="C143">
    <cfRule type="cellIs" dxfId="1365" priority="1344" stopIfTrue="1" operator="equal">
      <formula>"Napkin Hs"</formula>
    </cfRule>
  </conditionalFormatting>
  <conditionalFormatting sqref="C143">
    <cfRule type="cellIs" dxfId="1364" priority="1343" stopIfTrue="1" operator="equal">
      <formula>"Towel"</formula>
    </cfRule>
  </conditionalFormatting>
  <conditionalFormatting sqref="C143">
    <cfRule type="cellIs" dxfId="1363" priority="1341" stopIfTrue="1" operator="equal">
      <formula>"Towel"</formula>
    </cfRule>
  </conditionalFormatting>
  <conditionalFormatting sqref="C143">
    <cfRule type="cellIs" dxfId="1362" priority="1342" stopIfTrue="1" operator="equal">
      <formula>"Napkin Hs"</formula>
    </cfRule>
  </conditionalFormatting>
  <conditionalFormatting sqref="C143">
    <cfRule type="cellIs" dxfId="1361" priority="1245" stopIfTrue="1" operator="equal">
      <formula>"Towel"</formula>
    </cfRule>
  </conditionalFormatting>
  <conditionalFormatting sqref="C143">
    <cfRule type="cellIs" dxfId="1360" priority="1255" stopIfTrue="1" operator="equal">
      <formula>"Towel"</formula>
    </cfRule>
    <cfRule type="cellIs" dxfId="1359" priority="1256" stopIfTrue="1" operator="equal">
      <formula>"Napkin Hs"</formula>
    </cfRule>
    <cfRule type="cellIs" dxfId="1358" priority="1261" stopIfTrue="1" operator="equal">
      <formula>"Towel"</formula>
    </cfRule>
    <cfRule type="cellIs" dxfId="1357" priority="1262" stopIfTrue="1" operator="equal">
      <formula>"Napkin Hs"</formula>
    </cfRule>
    <cfRule type="cellIs" dxfId="1356" priority="1267" stopIfTrue="1" operator="equal">
      <formula>"Towel"</formula>
    </cfRule>
    <cfRule type="cellIs" dxfId="1355" priority="1268" stopIfTrue="1" operator="equal">
      <formula>"Napkin Hs"</formula>
    </cfRule>
    <cfRule type="cellIs" dxfId="1354" priority="1269" stopIfTrue="1" operator="equal">
      <formula>"Towel"</formula>
    </cfRule>
    <cfRule type="cellIs" dxfId="1353" priority="1270" stopIfTrue="1" operator="equal">
      <formula>"Napkin Hs"</formula>
    </cfRule>
    <cfRule type="cellIs" dxfId="1352" priority="1275" stopIfTrue="1" operator="equal">
      <formula>"Towel"</formula>
    </cfRule>
    <cfRule type="cellIs" dxfId="1351" priority="1276" stopIfTrue="1" operator="equal">
      <formula>"Napkin Hs"</formula>
    </cfRule>
    <cfRule type="cellIs" dxfId="1350" priority="1285" stopIfTrue="1" operator="equal">
      <formula>"Towel"</formula>
    </cfRule>
    <cfRule type="cellIs" dxfId="1349" priority="1286" stopIfTrue="1" operator="equal">
      <formula>"Napkin Hs"</formula>
    </cfRule>
    <cfRule type="cellIs" dxfId="1348" priority="1291" stopIfTrue="1" operator="equal">
      <formula>"Towel"</formula>
    </cfRule>
    <cfRule type="cellIs" dxfId="1347" priority="1292" stopIfTrue="1" operator="equal">
      <formula>"Napkin Hs"</formula>
    </cfRule>
    <cfRule type="cellIs" dxfId="1346" priority="1293" stopIfTrue="1" operator="equal">
      <formula>"Towel"</formula>
    </cfRule>
    <cfRule type="cellIs" dxfId="1345" priority="1294" stopIfTrue="1" operator="equal">
      <formula>"Napkin Hs"</formula>
    </cfRule>
    <cfRule type="cellIs" dxfId="1344" priority="1299" stopIfTrue="1" operator="equal">
      <formula>"Towel"</formula>
    </cfRule>
    <cfRule type="cellIs" dxfId="1343" priority="1300" stopIfTrue="1" operator="equal">
      <formula>"Napkin Hs"</formula>
    </cfRule>
    <cfRule type="cellIs" dxfId="1342" priority="1309" stopIfTrue="1" operator="equal">
      <formula>"Towel"</formula>
    </cfRule>
    <cfRule type="cellIs" dxfId="1341" priority="1310" stopIfTrue="1" operator="equal">
      <formula>"Napkin Hs"</formula>
    </cfRule>
    <cfRule type="cellIs" dxfId="1340" priority="1311" stopIfTrue="1" operator="equal">
      <formula>"Towel"</formula>
    </cfRule>
    <cfRule type="cellIs" dxfId="1339" priority="1312" stopIfTrue="1" operator="equal">
      <formula>"Napkin Hs"</formula>
    </cfRule>
    <cfRule type="cellIs" dxfId="1338" priority="1317" stopIfTrue="1" operator="equal">
      <formula>"Towel"</formula>
    </cfRule>
    <cfRule type="cellIs" dxfId="1337" priority="1318" stopIfTrue="1" operator="equal">
      <formula>"Napkin Hs"</formula>
    </cfRule>
    <cfRule type="cellIs" dxfId="1336" priority="1327" stopIfTrue="1" operator="equal">
      <formula>"Towel"</formula>
    </cfRule>
    <cfRule type="cellIs" dxfId="1335" priority="1328" stopIfTrue="1" operator="equal">
      <formula>"Napkin Hs"</formula>
    </cfRule>
    <cfRule type="cellIs" dxfId="1334" priority="1329" stopIfTrue="1" operator="equal">
      <formula>"Towel"</formula>
    </cfRule>
    <cfRule type="cellIs" dxfId="1333" priority="1330" stopIfTrue="1" operator="equal">
      <formula>"Napkin Hs"</formula>
    </cfRule>
    <cfRule type="cellIs" dxfId="1332" priority="1336" stopIfTrue="1" operator="equal">
      <formula>"Napkin Hs"</formula>
    </cfRule>
  </conditionalFormatting>
  <conditionalFormatting sqref="C143">
    <cfRule type="cellIs" dxfId="1331" priority="1335" stopIfTrue="1" operator="equal">
      <formula>"Towel"</formula>
    </cfRule>
  </conditionalFormatting>
  <conditionalFormatting sqref="C143">
    <cfRule type="cellIs" dxfId="1330" priority="1246" stopIfTrue="1" operator="equal">
      <formula>"Napkin Hs"</formula>
    </cfRule>
    <cfRule type="cellIs" dxfId="1329" priority="1247" stopIfTrue="1" operator="equal">
      <formula>"Towel"</formula>
    </cfRule>
    <cfRule type="cellIs" dxfId="1328" priority="1248" stopIfTrue="1" operator="equal">
      <formula>"Napkin Hs"</formula>
    </cfRule>
    <cfRule type="cellIs" dxfId="1327" priority="1249" stopIfTrue="1" operator="equal">
      <formula>"Towel"</formula>
    </cfRule>
    <cfRule type="cellIs" dxfId="1326" priority="1250" stopIfTrue="1" operator="equal">
      <formula>"Napkin Hs"</formula>
    </cfRule>
    <cfRule type="cellIs" dxfId="1325" priority="1251" stopIfTrue="1" operator="equal">
      <formula>"Towel"</formula>
    </cfRule>
    <cfRule type="cellIs" dxfId="1324" priority="1252" stopIfTrue="1" operator="equal">
      <formula>"Napkin Hs"</formula>
    </cfRule>
    <cfRule type="cellIs" dxfId="1323" priority="1253" stopIfTrue="1" operator="equal">
      <formula>"Towel"</formula>
    </cfRule>
    <cfRule type="cellIs" dxfId="1322" priority="1254" stopIfTrue="1" operator="equal">
      <formula>"Napkin Hs"</formula>
    </cfRule>
    <cfRule type="cellIs" dxfId="1321" priority="1257" stopIfTrue="1" operator="equal">
      <formula>"Towel"</formula>
    </cfRule>
    <cfRule type="cellIs" dxfId="1320" priority="1258" stopIfTrue="1" operator="equal">
      <formula>"Napkin Hs"</formula>
    </cfRule>
    <cfRule type="cellIs" dxfId="1319" priority="1259" stopIfTrue="1" operator="equal">
      <formula>"Towel"</formula>
    </cfRule>
    <cfRule type="cellIs" dxfId="1318" priority="1260" stopIfTrue="1" operator="equal">
      <formula>"Napkin Hs"</formula>
    </cfRule>
    <cfRule type="cellIs" dxfId="1317" priority="1263" stopIfTrue="1" operator="equal">
      <formula>"Towel"</formula>
    </cfRule>
    <cfRule type="cellIs" dxfId="1316" priority="1264" stopIfTrue="1" operator="equal">
      <formula>"Napkin Hs"</formula>
    </cfRule>
    <cfRule type="cellIs" dxfId="1315" priority="1265" stopIfTrue="1" operator="equal">
      <formula>"Towel"</formula>
    </cfRule>
    <cfRule type="cellIs" dxfId="1314" priority="1266" stopIfTrue="1" operator="equal">
      <formula>"Napkin Hs"</formula>
    </cfRule>
    <cfRule type="cellIs" dxfId="1313" priority="1271" stopIfTrue="1" operator="equal">
      <formula>"Towel"</formula>
    </cfRule>
    <cfRule type="cellIs" dxfId="1312" priority="1272" stopIfTrue="1" operator="equal">
      <formula>"Napkin Hs"</formula>
    </cfRule>
    <cfRule type="cellIs" dxfId="1311" priority="1273" stopIfTrue="1" operator="equal">
      <formula>"Towel"</formula>
    </cfRule>
    <cfRule type="cellIs" dxfId="1310" priority="1274" stopIfTrue="1" operator="equal">
      <formula>"Napkin Hs"</formula>
    </cfRule>
    <cfRule type="cellIs" dxfId="1309" priority="1277" stopIfTrue="1" operator="equal">
      <formula>"Towel"</formula>
    </cfRule>
    <cfRule type="cellIs" dxfId="1308" priority="1278" stopIfTrue="1" operator="equal">
      <formula>"Napkin Hs"</formula>
    </cfRule>
    <cfRule type="cellIs" dxfId="1307" priority="1279" stopIfTrue="1" operator="equal">
      <formula>"Towel"</formula>
    </cfRule>
    <cfRule type="cellIs" dxfId="1306" priority="1280" stopIfTrue="1" operator="equal">
      <formula>"Napkin Hs"</formula>
    </cfRule>
    <cfRule type="cellIs" dxfId="1305" priority="1281" stopIfTrue="1" operator="equal">
      <formula>"Towel"</formula>
    </cfRule>
    <cfRule type="cellIs" dxfId="1304" priority="1282" stopIfTrue="1" operator="equal">
      <formula>"Napkin Hs"</formula>
    </cfRule>
    <cfRule type="cellIs" dxfId="1303" priority="1283" stopIfTrue="1" operator="equal">
      <formula>"Towel"</formula>
    </cfRule>
    <cfRule type="cellIs" dxfId="1302" priority="1284" stopIfTrue="1" operator="equal">
      <formula>"Napkin Hs"</formula>
    </cfRule>
    <cfRule type="cellIs" dxfId="1301" priority="1287" stopIfTrue="1" operator="equal">
      <formula>"Towel"</formula>
    </cfRule>
    <cfRule type="cellIs" dxfId="1300" priority="1288" stopIfTrue="1" operator="equal">
      <formula>"Napkin Hs"</formula>
    </cfRule>
    <cfRule type="cellIs" dxfId="1299" priority="1289" stopIfTrue="1" operator="equal">
      <formula>"Towel"</formula>
    </cfRule>
    <cfRule type="cellIs" dxfId="1298" priority="1290" stopIfTrue="1" operator="equal">
      <formula>"Napkin Hs"</formula>
    </cfRule>
    <cfRule type="cellIs" dxfId="1297" priority="1295" stopIfTrue="1" operator="equal">
      <formula>"Towel"</formula>
    </cfRule>
    <cfRule type="cellIs" dxfId="1296" priority="1296" stopIfTrue="1" operator="equal">
      <formula>"Napkin Hs"</formula>
    </cfRule>
    <cfRule type="cellIs" dxfId="1295" priority="1297" stopIfTrue="1" operator="equal">
      <formula>"Towel"</formula>
    </cfRule>
    <cfRule type="cellIs" dxfId="1294" priority="1298" stopIfTrue="1" operator="equal">
      <formula>"Napkin Hs"</formula>
    </cfRule>
    <cfRule type="cellIs" dxfId="1293" priority="1301" stopIfTrue="1" operator="equal">
      <formula>"Towel"</formula>
    </cfRule>
    <cfRule type="cellIs" dxfId="1292" priority="1302" stopIfTrue="1" operator="equal">
      <formula>"Napkin Hs"</formula>
    </cfRule>
    <cfRule type="cellIs" dxfId="1291" priority="1303" stopIfTrue="1" operator="equal">
      <formula>"Towel"</formula>
    </cfRule>
    <cfRule type="cellIs" dxfId="1290" priority="1304" stopIfTrue="1" operator="equal">
      <formula>"Napkin Hs"</formula>
    </cfRule>
    <cfRule type="cellIs" dxfId="1289" priority="1305" stopIfTrue="1" operator="equal">
      <formula>"Towel"</formula>
    </cfRule>
    <cfRule type="cellIs" dxfId="1288" priority="1306" stopIfTrue="1" operator="equal">
      <formula>"Napkin Hs"</formula>
    </cfRule>
    <cfRule type="cellIs" dxfId="1287" priority="1307" stopIfTrue="1" operator="equal">
      <formula>"Towel"</formula>
    </cfRule>
    <cfRule type="cellIs" dxfId="1286" priority="1308" stopIfTrue="1" operator="equal">
      <formula>"Napkin Hs"</formula>
    </cfRule>
    <cfRule type="cellIs" dxfId="1285" priority="1313" stopIfTrue="1" operator="equal">
      <formula>"Towel"</formula>
    </cfRule>
    <cfRule type="cellIs" dxfId="1284" priority="1314" stopIfTrue="1" operator="equal">
      <formula>"Napkin Hs"</formula>
    </cfRule>
    <cfRule type="cellIs" dxfId="1283" priority="1315" stopIfTrue="1" operator="equal">
      <formula>"Towel"</formula>
    </cfRule>
    <cfRule type="cellIs" dxfId="1282" priority="1316" stopIfTrue="1" operator="equal">
      <formula>"Napkin Hs"</formula>
    </cfRule>
    <cfRule type="cellIs" dxfId="1281" priority="1319" stopIfTrue="1" operator="equal">
      <formula>"Towel"</formula>
    </cfRule>
    <cfRule type="cellIs" dxfId="1280" priority="1320" stopIfTrue="1" operator="equal">
      <formula>"Napkin Hs"</formula>
    </cfRule>
    <cfRule type="cellIs" dxfId="1279" priority="1321" stopIfTrue="1" operator="equal">
      <formula>"Towel"</formula>
    </cfRule>
    <cfRule type="cellIs" dxfId="1278" priority="1322" stopIfTrue="1" operator="equal">
      <formula>"Napkin Hs"</formula>
    </cfRule>
    <cfRule type="cellIs" dxfId="1277" priority="1323" stopIfTrue="1" operator="equal">
      <formula>"Towel"</formula>
    </cfRule>
    <cfRule type="cellIs" dxfId="1276" priority="1324" stopIfTrue="1" operator="equal">
      <formula>"Napkin Hs"</formula>
    </cfRule>
    <cfRule type="cellIs" dxfId="1275" priority="1325" stopIfTrue="1" operator="equal">
      <formula>"Towel"</formula>
    </cfRule>
    <cfRule type="cellIs" dxfId="1274" priority="1326" stopIfTrue="1" operator="equal">
      <formula>"Napkin Hs"</formula>
    </cfRule>
    <cfRule type="cellIs" dxfId="1273" priority="1331" stopIfTrue="1" operator="equal">
      <formula>"Towel"</formula>
    </cfRule>
    <cfRule type="cellIs" dxfId="1272" priority="1332" stopIfTrue="1" operator="equal">
      <formula>"Napkin Hs"</formula>
    </cfRule>
    <cfRule type="cellIs" dxfId="1271" priority="1333" stopIfTrue="1" operator="equal">
      <formula>"Towel"</formula>
    </cfRule>
    <cfRule type="cellIs" dxfId="1270" priority="1334" stopIfTrue="1" operator="equal">
      <formula>"Napkin Hs"</formula>
    </cfRule>
    <cfRule type="cellIs" dxfId="1269" priority="1337" stopIfTrue="1" operator="equal">
      <formula>"Towel"</formula>
    </cfRule>
    <cfRule type="cellIs" dxfId="1268" priority="1338" stopIfTrue="1" operator="equal">
      <formula>"Napkin Hs"</formula>
    </cfRule>
    <cfRule type="cellIs" dxfId="1267" priority="1339" stopIfTrue="1" operator="equal">
      <formula>"Towel"</formula>
    </cfRule>
    <cfRule type="cellIs" dxfId="1266" priority="1340" stopIfTrue="1" operator="equal">
      <formula>"Napkin Hs"</formula>
    </cfRule>
  </conditionalFormatting>
  <conditionalFormatting sqref="C143">
    <cfRule type="cellIs" dxfId="1265" priority="1244" stopIfTrue="1" operator="equal">
      <formula>"Napkin Hs"</formula>
    </cfRule>
  </conditionalFormatting>
  <conditionalFormatting sqref="C143">
    <cfRule type="cellIs" dxfId="1264" priority="1243" stopIfTrue="1" operator="equal">
      <formula>"Napkin Hs"</formula>
    </cfRule>
  </conditionalFormatting>
  <conditionalFormatting sqref="C143">
    <cfRule type="cellIs" dxfId="1263" priority="1242" stopIfTrue="1" operator="equal">
      <formula>"Napkin Hs"</formula>
    </cfRule>
  </conditionalFormatting>
  <conditionalFormatting sqref="C143">
    <cfRule type="cellIs" dxfId="1262" priority="1241" stopIfTrue="1" operator="equal">
      <formula>"Napkin Hs"</formula>
    </cfRule>
  </conditionalFormatting>
  <conditionalFormatting sqref="C143">
    <cfRule type="cellIs" dxfId="1261" priority="1240" stopIfTrue="1" operator="equal">
      <formula>"Napkin Hs"</formula>
    </cfRule>
  </conditionalFormatting>
  <conditionalFormatting sqref="C143">
    <cfRule type="cellIs" dxfId="1260" priority="1239" stopIfTrue="1" operator="equal">
      <formula>"Napkin Hs"</formula>
    </cfRule>
  </conditionalFormatting>
  <conditionalFormatting sqref="C143">
    <cfRule type="cellIs" dxfId="1259" priority="1235" stopIfTrue="1" operator="equal">
      <formula>"Towel"</formula>
    </cfRule>
    <cfRule type="cellIs" dxfId="1258" priority="1236" stopIfTrue="1" operator="equal">
      <formula>"Napkin Hs"</formula>
    </cfRule>
  </conditionalFormatting>
  <conditionalFormatting sqref="C143">
    <cfRule type="cellIs" dxfId="1257" priority="1237" stopIfTrue="1" operator="equal">
      <formula>"Towel"</formula>
    </cfRule>
    <cfRule type="cellIs" dxfId="1256" priority="1238" stopIfTrue="1" operator="equal">
      <formula>"Napkin Hs"</formula>
    </cfRule>
  </conditionalFormatting>
  <conditionalFormatting sqref="C143">
    <cfRule type="cellIs" dxfId="1255" priority="1231" stopIfTrue="1" operator="equal">
      <formula>"Towel"</formula>
    </cfRule>
    <cfRule type="cellIs" dxfId="1254" priority="1232" stopIfTrue="1" operator="equal">
      <formula>"Napkin Hs"</formula>
    </cfRule>
  </conditionalFormatting>
  <conditionalFormatting sqref="C143">
    <cfRule type="cellIs" dxfId="1253" priority="1233" stopIfTrue="1" operator="equal">
      <formula>"Towel"</formula>
    </cfRule>
    <cfRule type="cellIs" dxfId="1252" priority="1234" stopIfTrue="1" operator="equal">
      <formula>"Napkin Hs"</formula>
    </cfRule>
  </conditionalFormatting>
  <conditionalFormatting sqref="C142:C146">
    <cfRule type="cellIs" dxfId="1251" priority="1229" stopIfTrue="1" operator="equal">
      <formula>"Towel"</formula>
    </cfRule>
    <cfRule type="cellIs" dxfId="1250" priority="1230" stopIfTrue="1" operator="equal">
      <formula>"Napkin Hs"</formula>
    </cfRule>
  </conditionalFormatting>
  <conditionalFormatting sqref="C142:C146">
    <cfRule type="cellIs" dxfId="1249" priority="1225" stopIfTrue="1" operator="equal">
      <formula>"Towel"</formula>
    </cfRule>
    <cfRule type="cellIs" dxfId="1248" priority="1226" stopIfTrue="1" operator="equal">
      <formula>"Napkin Hs"</formula>
    </cfRule>
  </conditionalFormatting>
  <conditionalFormatting sqref="C142:C146">
    <cfRule type="cellIs" dxfId="1247" priority="1227" stopIfTrue="1" operator="equal">
      <formula>"Towel"</formula>
    </cfRule>
    <cfRule type="cellIs" dxfId="1246" priority="1228" stopIfTrue="1" operator="equal">
      <formula>"Napkin Hs"</formula>
    </cfRule>
  </conditionalFormatting>
  <conditionalFormatting sqref="C142:C146">
    <cfRule type="cellIs" dxfId="1245" priority="1221" stopIfTrue="1" operator="equal">
      <formula>"Towel"</formula>
    </cfRule>
    <cfRule type="cellIs" dxfId="1244" priority="1222" stopIfTrue="1" operator="equal">
      <formula>"Napkin Hs"</formula>
    </cfRule>
  </conditionalFormatting>
  <conditionalFormatting sqref="C142:C146">
    <cfRule type="cellIs" dxfId="1243" priority="1223" stopIfTrue="1" operator="equal">
      <formula>"Towel"</formula>
    </cfRule>
    <cfRule type="cellIs" dxfId="1242" priority="1224" stopIfTrue="1" operator="equal">
      <formula>"Napkin Hs"</formula>
    </cfRule>
  </conditionalFormatting>
  <conditionalFormatting sqref="C142:C146">
    <cfRule type="cellIs" dxfId="1241" priority="1219" stopIfTrue="1" operator="equal">
      <formula>"Towel"</formula>
    </cfRule>
    <cfRule type="cellIs" dxfId="1240" priority="1220" stopIfTrue="1" operator="equal">
      <formula>"Napkin Hs"</formula>
    </cfRule>
  </conditionalFormatting>
  <conditionalFormatting sqref="C142:C146">
    <cfRule type="cellIs" dxfId="1239" priority="1213" stopIfTrue="1" operator="equal">
      <formula>"Towel"</formula>
    </cfRule>
    <cfRule type="cellIs" dxfId="1238" priority="1214" stopIfTrue="1" operator="equal">
      <formula>"Napkin Hs"</formula>
    </cfRule>
  </conditionalFormatting>
  <conditionalFormatting sqref="C142:C146">
    <cfRule type="cellIs" dxfId="1237" priority="1217" stopIfTrue="1" operator="equal">
      <formula>"Towel"</formula>
    </cfRule>
    <cfRule type="cellIs" dxfId="1236" priority="1218" stopIfTrue="1" operator="equal">
      <formula>"Napkin Hs"</formula>
    </cfRule>
  </conditionalFormatting>
  <conditionalFormatting sqref="C142:C146">
    <cfRule type="cellIs" dxfId="1235" priority="1215" stopIfTrue="1" operator="equal">
      <formula>"Towel"</formula>
    </cfRule>
    <cfRule type="cellIs" dxfId="1234" priority="1216" stopIfTrue="1" operator="equal">
      <formula>"Napkin Hs"</formula>
    </cfRule>
  </conditionalFormatting>
  <conditionalFormatting sqref="C142:C146">
    <cfRule type="cellIs" dxfId="1233" priority="1207" stopIfTrue="1" operator="equal">
      <formula>"Towel"</formula>
    </cfRule>
    <cfRule type="cellIs" dxfId="1232" priority="1208" stopIfTrue="1" operator="equal">
      <formula>"Napkin Hs"</formula>
    </cfRule>
  </conditionalFormatting>
  <conditionalFormatting sqref="C142:C146">
    <cfRule type="cellIs" dxfId="1231" priority="1209" stopIfTrue="1" operator="equal">
      <formula>"Towel"</formula>
    </cfRule>
    <cfRule type="cellIs" dxfId="1230" priority="1210" stopIfTrue="1" operator="equal">
      <formula>"Napkin Hs"</formula>
    </cfRule>
  </conditionalFormatting>
  <conditionalFormatting sqref="C142:C146">
    <cfRule type="cellIs" dxfId="1229" priority="1211" stopIfTrue="1" operator="equal">
      <formula>"Towel"</formula>
    </cfRule>
    <cfRule type="cellIs" dxfId="1228" priority="1212" stopIfTrue="1" operator="equal">
      <formula>"Napkin Hs"</formula>
    </cfRule>
  </conditionalFormatting>
  <conditionalFormatting sqref="C142:C146">
    <cfRule type="cellIs" dxfId="1227" priority="1205" stopIfTrue="1" operator="equal">
      <formula>"Towel"</formula>
    </cfRule>
    <cfRule type="cellIs" dxfId="1226" priority="1206" stopIfTrue="1" operator="equal">
      <formula>"Napkin Hs"</formula>
    </cfRule>
  </conditionalFormatting>
  <conditionalFormatting sqref="C142:C146">
    <cfRule type="cellIs" dxfId="1225" priority="1203" stopIfTrue="1" operator="equal">
      <formula>"Towel"</formula>
    </cfRule>
    <cfRule type="cellIs" dxfId="1224" priority="1204" stopIfTrue="1" operator="equal">
      <formula>"Napkin Hs"</formula>
    </cfRule>
  </conditionalFormatting>
  <conditionalFormatting sqref="C142:C146">
    <cfRule type="cellIs" dxfId="1223" priority="1179" stopIfTrue="1" operator="equal">
      <formula>"Towel"</formula>
    </cfRule>
  </conditionalFormatting>
  <conditionalFormatting sqref="C142:C146">
    <cfRule type="cellIs" dxfId="1222" priority="1180" stopIfTrue="1" operator="equal">
      <formula>"Napkin Hs"</formula>
    </cfRule>
    <cfRule type="cellIs" dxfId="1221" priority="1185" stopIfTrue="1" operator="equal">
      <formula>"Towel"</formula>
    </cfRule>
    <cfRule type="cellIs" dxfId="1220" priority="1186" stopIfTrue="1" operator="equal">
      <formula>"Napkin Hs"</formula>
    </cfRule>
    <cfRule type="cellIs" dxfId="1219" priority="1195" stopIfTrue="1" operator="equal">
      <formula>"Towel"</formula>
    </cfRule>
    <cfRule type="cellIs" dxfId="1218" priority="1196" stopIfTrue="1" operator="equal">
      <formula>"Napkin Hs"</formula>
    </cfRule>
    <cfRule type="cellIs" dxfId="1217" priority="1201" stopIfTrue="1" operator="equal">
      <formula>"Towel"</formula>
    </cfRule>
    <cfRule type="cellIs" dxfId="1216" priority="1202" stopIfTrue="1" operator="equal">
      <formula>"Napkin Hs"</formula>
    </cfRule>
  </conditionalFormatting>
  <conditionalFormatting sqref="C142:C146">
    <cfRule type="cellIs" dxfId="1215" priority="1181" stopIfTrue="1" operator="equal">
      <formula>"Towel"</formula>
    </cfRule>
    <cfRule type="cellIs" dxfId="1214" priority="1182" stopIfTrue="1" operator="equal">
      <formula>"Napkin Hs"</formula>
    </cfRule>
    <cfRule type="cellIs" dxfId="1213" priority="1183" stopIfTrue="1" operator="equal">
      <formula>"Towel"</formula>
    </cfRule>
    <cfRule type="cellIs" dxfId="1212" priority="1184" stopIfTrue="1" operator="equal">
      <formula>"Napkin Hs"</formula>
    </cfRule>
    <cfRule type="cellIs" dxfId="1211" priority="1187" stopIfTrue="1" operator="equal">
      <formula>"Towel"</formula>
    </cfRule>
    <cfRule type="cellIs" dxfId="1210" priority="1188" stopIfTrue="1" operator="equal">
      <formula>"Napkin Hs"</formula>
    </cfRule>
    <cfRule type="cellIs" dxfId="1209" priority="1189" stopIfTrue="1" operator="equal">
      <formula>"Towel"</formula>
    </cfRule>
    <cfRule type="cellIs" dxfId="1208" priority="1190" stopIfTrue="1" operator="equal">
      <formula>"Napkin Hs"</formula>
    </cfRule>
    <cfRule type="cellIs" dxfId="1207" priority="1191" stopIfTrue="1" operator="equal">
      <formula>"Towel"</formula>
    </cfRule>
    <cfRule type="cellIs" dxfId="1206" priority="1192" stopIfTrue="1" operator="equal">
      <formula>"Napkin Hs"</formula>
    </cfRule>
    <cfRule type="cellIs" dxfId="1205" priority="1193" stopIfTrue="1" operator="equal">
      <formula>"Towel"</formula>
    </cfRule>
    <cfRule type="cellIs" dxfId="1204" priority="1194" stopIfTrue="1" operator="equal">
      <formula>"Napkin Hs"</formula>
    </cfRule>
    <cfRule type="cellIs" dxfId="1203" priority="1197" stopIfTrue="1" operator="equal">
      <formula>"Towel"</formula>
    </cfRule>
    <cfRule type="cellIs" dxfId="1202" priority="1198" stopIfTrue="1" operator="equal">
      <formula>"Napkin Hs"</formula>
    </cfRule>
    <cfRule type="cellIs" dxfId="1201" priority="1200" stopIfTrue="1" operator="equal">
      <formula>"Napkin Hs"</formula>
    </cfRule>
  </conditionalFormatting>
  <conditionalFormatting sqref="C142:C146">
    <cfRule type="cellIs" dxfId="1200" priority="1199" stopIfTrue="1" operator="equal">
      <formula>"Towel"</formula>
    </cfRule>
  </conditionalFormatting>
  <conditionalFormatting sqref="C142:C146">
    <cfRule type="cellIs" dxfId="1199" priority="1177" stopIfTrue="1" operator="equal">
      <formula>"Towel"</formula>
    </cfRule>
    <cfRule type="cellIs" dxfId="1198" priority="1178" stopIfTrue="1" operator="equal">
      <formula>"Napkin Hs"</formula>
    </cfRule>
  </conditionalFormatting>
  <conditionalFormatting sqref="C142:C146">
    <cfRule type="cellIs" dxfId="1197" priority="1176" stopIfTrue="1" operator="equal">
      <formula>"Napkin Hs"</formula>
    </cfRule>
  </conditionalFormatting>
  <conditionalFormatting sqref="C142:C146">
    <cfRule type="cellIs" dxfId="1196" priority="1175" stopIfTrue="1" operator="equal">
      <formula>"Towel"</formula>
    </cfRule>
  </conditionalFormatting>
  <conditionalFormatting sqref="C142:C146">
    <cfRule type="cellIs" dxfId="1195" priority="1173" stopIfTrue="1" operator="equal">
      <formula>"Towel"</formula>
    </cfRule>
  </conditionalFormatting>
  <conditionalFormatting sqref="C142:C146">
    <cfRule type="cellIs" dxfId="1194" priority="1174" stopIfTrue="1" operator="equal">
      <formula>"Napkin Hs"</formula>
    </cfRule>
  </conditionalFormatting>
  <conditionalFormatting sqref="C142:C146">
    <cfRule type="cellIs" dxfId="1193" priority="1077" stopIfTrue="1" operator="equal">
      <formula>"Towel"</formula>
    </cfRule>
  </conditionalFormatting>
  <conditionalFormatting sqref="C142:C146">
    <cfRule type="cellIs" dxfId="1192" priority="1087" stopIfTrue="1" operator="equal">
      <formula>"Towel"</formula>
    </cfRule>
    <cfRule type="cellIs" dxfId="1191" priority="1088" stopIfTrue="1" operator="equal">
      <formula>"Napkin Hs"</formula>
    </cfRule>
    <cfRule type="cellIs" dxfId="1190" priority="1093" stopIfTrue="1" operator="equal">
      <formula>"Towel"</formula>
    </cfRule>
    <cfRule type="cellIs" dxfId="1189" priority="1094" stopIfTrue="1" operator="equal">
      <formula>"Napkin Hs"</formula>
    </cfRule>
    <cfRule type="cellIs" dxfId="1188" priority="1099" stopIfTrue="1" operator="equal">
      <formula>"Towel"</formula>
    </cfRule>
    <cfRule type="cellIs" dxfId="1187" priority="1100" stopIfTrue="1" operator="equal">
      <formula>"Napkin Hs"</formula>
    </cfRule>
    <cfRule type="cellIs" dxfId="1186" priority="1101" stopIfTrue="1" operator="equal">
      <formula>"Towel"</formula>
    </cfRule>
    <cfRule type="cellIs" dxfId="1185" priority="1102" stopIfTrue="1" operator="equal">
      <formula>"Napkin Hs"</formula>
    </cfRule>
    <cfRule type="cellIs" dxfId="1184" priority="1107" stopIfTrue="1" operator="equal">
      <formula>"Towel"</formula>
    </cfRule>
    <cfRule type="cellIs" dxfId="1183" priority="1108" stopIfTrue="1" operator="equal">
      <formula>"Napkin Hs"</formula>
    </cfRule>
    <cfRule type="cellIs" dxfId="1182" priority="1117" stopIfTrue="1" operator="equal">
      <formula>"Towel"</formula>
    </cfRule>
    <cfRule type="cellIs" dxfId="1181" priority="1118" stopIfTrue="1" operator="equal">
      <formula>"Napkin Hs"</formula>
    </cfRule>
    <cfRule type="cellIs" dxfId="1180" priority="1123" stopIfTrue="1" operator="equal">
      <formula>"Towel"</formula>
    </cfRule>
    <cfRule type="cellIs" dxfId="1179" priority="1124" stopIfTrue="1" operator="equal">
      <formula>"Napkin Hs"</formula>
    </cfRule>
    <cfRule type="cellIs" dxfId="1178" priority="1125" stopIfTrue="1" operator="equal">
      <formula>"Towel"</formula>
    </cfRule>
    <cfRule type="cellIs" dxfId="1177" priority="1126" stopIfTrue="1" operator="equal">
      <formula>"Napkin Hs"</formula>
    </cfRule>
    <cfRule type="cellIs" dxfId="1176" priority="1131" stopIfTrue="1" operator="equal">
      <formula>"Towel"</formula>
    </cfRule>
    <cfRule type="cellIs" dxfId="1175" priority="1132" stopIfTrue="1" operator="equal">
      <formula>"Napkin Hs"</formula>
    </cfRule>
    <cfRule type="cellIs" dxfId="1174" priority="1141" stopIfTrue="1" operator="equal">
      <formula>"Towel"</formula>
    </cfRule>
    <cfRule type="cellIs" dxfId="1173" priority="1142" stopIfTrue="1" operator="equal">
      <formula>"Napkin Hs"</formula>
    </cfRule>
    <cfRule type="cellIs" dxfId="1172" priority="1143" stopIfTrue="1" operator="equal">
      <formula>"Towel"</formula>
    </cfRule>
    <cfRule type="cellIs" dxfId="1171" priority="1144" stopIfTrue="1" operator="equal">
      <formula>"Napkin Hs"</formula>
    </cfRule>
    <cfRule type="cellIs" dxfId="1170" priority="1149" stopIfTrue="1" operator="equal">
      <formula>"Towel"</formula>
    </cfRule>
    <cfRule type="cellIs" dxfId="1169" priority="1150" stopIfTrue="1" operator="equal">
      <formula>"Napkin Hs"</formula>
    </cfRule>
    <cfRule type="cellIs" dxfId="1168" priority="1159" stopIfTrue="1" operator="equal">
      <formula>"Towel"</formula>
    </cfRule>
    <cfRule type="cellIs" dxfId="1167" priority="1160" stopIfTrue="1" operator="equal">
      <formula>"Napkin Hs"</formula>
    </cfRule>
    <cfRule type="cellIs" dxfId="1166" priority="1161" stopIfTrue="1" operator="equal">
      <formula>"Towel"</formula>
    </cfRule>
    <cfRule type="cellIs" dxfId="1165" priority="1162" stopIfTrue="1" operator="equal">
      <formula>"Napkin Hs"</formula>
    </cfRule>
    <cfRule type="cellIs" dxfId="1164" priority="1168" stopIfTrue="1" operator="equal">
      <formula>"Napkin Hs"</formula>
    </cfRule>
  </conditionalFormatting>
  <conditionalFormatting sqref="C142:C146">
    <cfRule type="cellIs" dxfId="1163" priority="1167" stopIfTrue="1" operator="equal">
      <formula>"Towel"</formula>
    </cfRule>
  </conditionalFormatting>
  <conditionalFormatting sqref="C142:C146">
    <cfRule type="cellIs" dxfId="1162" priority="1078" stopIfTrue="1" operator="equal">
      <formula>"Napkin Hs"</formula>
    </cfRule>
    <cfRule type="cellIs" dxfId="1161" priority="1079" stopIfTrue="1" operator="equal">
      <formula>"Towel"</formula>
    </cfRule>
    <cfRule type="cellIs" dxfId="1160" priority="1080" stopIfTrue="1" operator="equal">
      <formula>"Napkin Hs"</formula>
    </cfRule>
    <cfRule type="cellIs" dxfId="1159" priority="1081" stopIfTrue="1" operator="equal">
      <formula>"Towel"</formula>
    </cfRule>
    <cfRule type="cellIs" dxfId="1158" priority="1082" stopIfTrue="1" operator="equal">
      <formula>"Napkin Hs"</formula>
    </cfRule>
    <cfRule type="cellIs" dxfId="1157" priority="1083" stopIfTrue="1" operator="equal">
      <formula>"Towel"</formula>
    </cfRule>
    <cfRule type="cellIs" dxfId="1156" priority="1084" stopIfTrue="1" operator="equal">
      <formula>"Napkin Hs"</formula>
    </cfRule>
    <cfRule type="cellIs" dxfId="1155" priority="1085" stopIfTrue="1" operator="equal">
      <formula>"Towel"</formula>
    </cfRule>
    <cfRule type="cellIs" dxfId="1154" priority="1086" stopIfTrue="1" operator="equal">
      <formula>"Napkin Hs"</formula>
    </cfRule>
    <cfRule type="cellIs" dxfId="1153" priority="1089" stopIfTrue="1" operator="equal">
      <formula>"Towel"</formula>
    </cfRule>
    <cfRule type="cellIs" dxfId="1152" priority="1090" stopIfTrue="1" operator="equal">
      <formula>"Napkin Hs"</formula>
    </cfRule>
    <cfRule type="cellIs" dxfId="1151" priority="1091" stopIfTrue="1" operator="equal">
      <formula>"Towel"</formula>
    </cfRule>
    <cfRule type="cellIs" dxfId="1150" priority="1092" stopIfTrue="1" operator="equal">
      <formula>"Napkin Hs"</formula>
    </cfRule>
    <cfRule type="cellIs" dxfId="1149" priority="1095" stopIfTrue="1" operator="equal">
      <formula>"Towel"</formula>
    </cfRule>
    <cfRule type="cellIs" dxfId="1148" priority="1096" stopIfTrue="1" operator="equal">
      <formula>"Napkin Hs"</formula>
    </cfRule>
    <cfRule type="cellIs" dxfId="1147" priority="1097" stopIfTrue="1" operator="equal">
      <formula>"Towel"</formula>
    </cfRule>
    <cfRule type="cellIs" dxfId="1146" priority="1098" stopIfTrue="1" operator="equal">
      <formula>"Napkin Hs"</formula>
    </cfRule>
    <cfRule type="cellIs" dxfId="1145" priority="1103" stopIfTrue="1" operator="equal">
      <formula>"Towel"</formula>
    </cfRule>
    <cfRule type="cellIs" dxfId="1144" priority="1104" stopIfTrue="1" operator="equal">
      <formula>"Napkin Hs"</formula>
    </cfRule>
    <cfRule type="cellIs" dxfId="1143" priority="1105" stopIfTrue="1" operator="equal">
      <formula>"Towel"</formula>
    </cfRule>
    <cfRule type="cellIs" dxfId="1142" priority="1106" stopIfTrue="1" operator="equal">
      <formula>"Napkin Hs"</formula>
    </cfRule>
    <cfRule type="cellIs" dxfId="1141" priority="1109" stopIfTrue="1" operator="equal">
      <formula>"Towel"</formula>
    </cfRule>
    <cfRule type="cellIs" dxfId="1140" priority="1110" stopIfTrue="1" operator="equal">
      <formula>"Napkin Hs"</formula>
    </cfRule>
    <cfRule type="cellIs" dxfId="1139" priority="1111" stopIfTrue="1" operator="equal">
      <formula>"Towel"</formula>
    </cfRule>
    <cfRule type="cellIs" dxfId="1138" priority="1112" stopIfTrue="1" operator="equal">
      <formula>"Napkin Hs"</formula>
    </cfRule>
    <cfRule type="cellIs" dxfId="1137" priority="1113" stopIfTrue="1" operator="equal">
      <formula>"Towel"</formula>
    </cfRule>
    <cfRule type="cellIs" dxfId="1136" priority="1114" stopIfTrue="1" operator="equal">
      <formula>"Napkin Hs"</formula>
    </cfRule>
    <cfRule type="cellIs" dxfId="1135" priority="1115" stopIfTrue="1" operator="equal">
      <formula>"Towel"</formula>
    </cfRule>
    <cfRule type="cellIs" dxfId="1134" priority="1116" stopIfTrue="1" operator="equal">
      <formula>"Napkin Hs"</formula>
    </cfRule>
    <cfRule type="cellIs" dxfId="1133" priority="1119" stopIfTrue="1" operator="equal">
      <formula>"Towel"</formula>
    </cfRule>
    <cfRule type="cellIs" dxfId="1132" priority="1120" stopIfTrue="1" operator="equal">
      <formula>"Napkin Hs"</formula>
    </cfRule>
    <cfRule type="cellIs" dxfId="1131" priority="1121" stopIfTrue="1" operator="equal">
      <formula>"Towel"</formula>
    </cfRule>
    <cfRule type="cellIs" dxfId="1130" priority="1122" stopIfTrue="1" operator="equal">
      <formula>"Napkin Hs"</formula>
    </cfRule>
    <cfRule type="cellIs" dxfId="1129" priority="1127" stopIfTrue="1" operator="equal">
      <formula>"Towel"</formula>
    </cfRule>
    <cfRule type="cellIs" dxfId="1128" priority="1128" stopIfTrue="1" operator="equal">
      <formula>"Napkin Hs"</formula>
    </cfRule>
    <cfRule type="cellIs" dxfId="1127" priority="1129" stopIfTrue="1" operator="equal">
      <formula>"Towel"</formula>
    </cfRule>
    <cfRule type="cellIs" dxfId="1126" priority="1130" stopIfTrue="1" operator="equal">
      <formula>"Napkin Hs"</formula>
    </cfRule>
    <cfRule type="cellIs" dxfId="1125" priority="1133" stopIfTrue="1" operator="equal">
      <formula>"Towel"</formula>
    </cfRule>
    <cfRule type="cellIs" dxfId="1124" priority="1134" stopIfTrue="1" operator="equal">
      <formula>"Napkin Hs"</formula>
    </cfRule>
    <cfRule type="cellIs" dxfId="1123" priority="1135" stopIfTrue="1" operator="equal">
      <formula>"Towel"</formula>
    </cfRule>
    <cfRule type="cellIs" dxfId="1122" priority="1136" stopIfTrue="1" operator="equal">
      <formula>"Napkin Hs"</formula>
    </cfRule>
    <cfRule type="cellIs" dxfId="1121" priority="1137" stopIfTrue="1" operator="equal">
      <formula>"Towel"</formula>
    </cfRule>
    <cfRule type="cellIs" dxfId="1120" priority="1138" stopIfTrue="1" operator="equal">
      <formula>"Napkin Hs"</formula>
    </cfRule>
    <cfRule type="cellIs" dxfId="1119" priority="1139" stopIfTrue="1" operator="equal">
      <formula>"Towel"</formula>
    </cfRule>
    <cfRule type="cellIs" dxfId="1118" priority="1140" stopIfTrue="1" operator="equal">
      <formula>"Napkin Hs"</formula>
    </cfRule>
    <cfRule type="cellIs" dxfId="1117" priority="1145" stopIfTrue="1" operator="equal">
      <formula>"Towel"</formula>
    </cfRule>
    <cfRule type="cellIs" dxfId="1116" priority="1146" stopIfTrue="1" operator="equal">
      <formula>"Napkin Hs"</formula>
    </cfRule>
    <cfRule type="cellIs" dxfId="1115" priority="1147" stopIfTrue="1" operator="equal">
      <formula>"Towel"</formula>
    </cfRule>
    <cfRule type="cellIs" dxfId="1114" priority="1148" stopIfTrue="1" operator="equal">
      <formula>"Napkin Hs"</formula>
    </cfRule>
    <cfRule type="cellIs" dxfId="1113" priority="1151" stopIfTrue="1" operator="equal">
      <formula>"Towel"</formula>
    </cfRule>
    <cfRule type="cellIs" dxfId="1112" priority="1152" stopIfTrue="1" operator="equal">
      <formula>"Napkin Hs"</formula>
    </cfRule>
    <cfRule type="cellIs" dxfId="1111" priority="1153" stopIfTrue="1" operator="equal">
      <formula>"Towel"</formula>
    </cfRule>
    <cfRule type="cellIs" dxfId="1110" priority="1154" stopIfTrue="1" operator="equal">
      <formula>"Napkin Hs"</formula>
    </cfRule>
    <cfRule type="cellIs" dxfId="1109" priority="1155" stopIfTrue="1" operator="equal">
      <formula>"Towel"</formula>
    </cfRule>
    <cfRule type="cellIs" dxfId="1108" priority="1156" stopIfTrue="1" operator="equal">
      <formula>"Napkin Hs"</formula>
    </cfRule>
    <cfRule type="cellIs" dxfId="1107" priority="1157" stopIfTrue="1" operator="equal">
      <formula>"Towel"</formula>
    </cfRule>
    <cfRule type="cellIs" dxfId="1106" priority="1158" stopIfTrue="1" operator="equal">
      <formula>"Napkin Hs"</formula>
    </cfRule>
    <cfRule type="cellIs" dxfId="1105" priority="1163" stopIfTrue="1" operator="equal">
      <formula>"Towel"</formula>
    </cfRule>
    <cfRule type="cellIs" dxfId="1104" priority="1164" stopIfTrue="1" operator="equal">
      <formula>"Napkin Hs"</formula>
    </cfRule>
    <cfRule type="cellIs" dxfId="1103" priority="1165" stopIfTrue="1" operator="equal">
      <formula>"Towel"</formula>
    </cfRule>
    <cfRule type="cellIs" dxfId="1102" priority="1166" stopIfTrue="1" operator="equal">
      <formula>"Napkin Hs"</formula>
    </cfRule>
    <cfRule type="cellIs" dxfId="1101" priority="1169" stopIfTrue="1" operator="equal">
      <formula>"Towel"</formula>
    </cfRule>
    <cfRule type="cellIs" dxfId="1100" priority="1170" stopIfTrue="1" operator="equal">
      <formula>"Napkin Hs"</formula>
    </cfRule>
    <cfRule type="cellIs" dxfId="1099" priority="1171" stopIfTrue="1" operator="equal">
      <formula>"Towel"</formula>
    </cfRule>
    <cfRule type="cellIs" dxfId="1098" priority="1172" stopIfTrue="1" operator="equal">
      <formula>"Napkin Hs"</formula>
    </cfRule>
  </conditionalFormatting>
  <conditionalFormatting sqref="C142:C146">
    <cfRule type="cellIs" dxfId="1097" priority="1076" stopIfTrue="1" operator="equal">
      <formula>"Napkin Hs"</formula>
    </cfRule>
  </conditionalFormatting>
  <conditionalFormatting sqref="C142:C146">
    <cfRule type="cellIs" dxfId="1096" priority="1075" stopIfTrue="1" operator="equal">
      <formula>"Napkin Hs"</formula>
    </cfRule>
  </conditionalFormatting>
  <conditionalFormatting sqref="C142:C146">
    <cfRule type="cellIs" dxfId="1095" priority="1074" stopIfTrue="1" operator="equal">
      <formula>"Napkin Hs"</formula>
    </cfRule>
  </conditionalFormatting>
  <conditionalFormatting sqref="C142:C146">
    <cfRule type="cellIs" dxfId="1094" priority="1073" stopIfTrue="1" operator="equal">
      <formula>"Napkin Hs"</formula>
    </cfRule>
  </conditionalFormatting>
  <conditionalFormatting sqref="C142:C146">
    <cfRule type="cellIs" dxfId="1093" priority="1072" stopIfTrue="1" operator="equal">
      <formula>"Napkin Hs"</formula>
    </cfRule>
  </conditionalFormatting>
  <conditionalFormatting sqref="C142:C146">
    <cfRule type="cellIs" dxfId="1092" priority="1071" stopIfTrue="1" operator="equal">
      <formula>"Napkin Hs"</formula>
    </cfRule>
  </conditionalFormatting>
  <conditionalFormatting sqref="C142:C146">
    <cfRule type="cellIs" dxfId="1091" priority="1067" stopIfTrue="1" operator="equal">
      <formula>"Towel"</formula>
    </cfRule>
    <cfRule type="cellIs" dxfId="1090" priority="1068" stopIfTrue="1" operator="equal">
      <formula>"Napkin Hs"</formula>
    </cfRule>
  </conditionalFormatting>
  <conditionalFormatting sqref="C142:C146">
    <cfRule type="cellIs" dxfId="1089" priority="1069" stopIfTrue="1" operator="equal">
      <formula>"Towel"</formula>
    </cfRule>
    <cfRule type="cellIs" dxfId="1088" priority="1070" stopIfTrue="1" operator="equal">
      <formula>"Napkin Hs"</formula>
    </cfRule>
  </conditionalFormatting>
  <conditionalFormatting sqref="C142:C146">
    <cfRule type="cellIs" dxfId="1087" priority="1063" stopIfTrue="1" operator="equal">
      <formula>"Towel"</formula>
    </cfRule>
    <cfRule type="cellIs" dxfId="1086" priority="1064" stopIfTrue="1" operator="equal">
      <formula>"Napkin Hs"</formula>
    </cfRule>
  </conditionalFormatting>
  <conditionalFormatting sqref="C142:C146">
    <cfRule type="cellIs" dxfId="1085" priority="1065" stopIfTrue="1" operator="equal">
      <formula>"Towel"</formula>
    </cfRule>
    <cfRule type="cellIs" dxfId="1084" priority="1066" stopIfTrue="1" operator="equal">
      <formula>"Napkin Hs"</formula>
    </cfRule>
  </conditionalFormatting>
  <conditionalFormatting sqref="B142:B146">
    <cfRule type="cellIs" dxfId="1083" priority="1062" stopIfTrue="1" operator="equal">
      <formula>"Napkin Hs"</formula>
    </cfRule>
  </conditionalFormatting>
  <conditionalFormatting sqref="B142:B146">
    <cfRule type="cellIs" dxfId="1082" priority="1061" stopIfTrue="1" operator="equal">
      <formula>"Napkin Hs"</formula>
    </cfRule>
  </conditionalFormatting>
  <conditionalFormatting sqref="B142:B146">
    <cfRule type="cellIs" dxfId="1081" priority="1060" stopIfTrue="1" operator="equal">
      <formula>"Napkin Hs"</formula>
    </cfRule>
  </conditionalFormatting>
  <conditionalFormatting sqref="B150:C150">
    <cfRule type="cellIs" dxfId="1080" priority="1058" stopIfTrue="1" operator="equal">
      <formula>"Towel"</formula>
    </cfRule>
    <cfRule type="cellIs" dxfId="1079" priority="1059" stopIfTrue="1" operator="equal">
      <formula>"Napkin Hs"</formula>
    </cfRule>
  </conditionalFormatting>
  <conditionalFormatting sqref="C150">
    <cfRule type="cellIs" dxfId="1078" priority="1057" stopIfTrue="1" operator="equal">
      <formula>"Napkin Hs"</formula>
    </cfRule>
  </conditionalFormatting>
  <conditionalFormatting sqref="C150">
    <cfRule type="cellIs" dxfId="1077" priority="1056" stopIfTrue="1" operator="equal">
      <formula>"Towel"</formula>
    </cfRule>
  </conditionalFormatting>
  <conditionalFormatting sqref="C150">
    <cfRule type="cellIs" dxfId="1076" priority="1054" stopIfTrue="1" operator="equal">
      <formula>"Towel"</formula>
    </cfRule>
    <cfRule type="cellIs" dxfId="1075" priority="1055" stopIfTrue="1" operator="equal">
      <formula>"Napkin Hs"</formula>
    </cfRule>
  </conditionalFormatting>
  <conditionalFormatting sqref="B149:C150">
    <cfRule type="cellIs" dxfId="1074" priority="1052" stopIfTrue="1" operator="equal">
      <formula>"Towel"</formula>
    </cfRule>
    <cfRule type="cellIs" dxfId="1073" priority="1053" stopIfTrue="1" operator="equal">
      <formula>"Napkin Hs"</formula>
    </cfRule>
  </conditionalFormatting>
  <conditionalFormatting sqref="C149:C150">
    <cfRule type="cellIs" dxfId="1072" priority="1048" stopIfTrue="1" operator="equal">
      <formula>"Towel"</formula>
    </cfRule>
    <cfRule type="cellIs" dxfId="1071" priority="1049" stopIfTrue="1" operator="equal">
      <formula>"Napkin Hs"</formula>
    </cfRule>
  </conditionalFormatting>
  <conditionalFormatting sqref="C149:C150">
    <cfRule type="cellIs" dxfId="1070" priority="1050" stopIfTrue="1" operator="equal">
      <formula>"Towel"</formula>
    </cfRule>
    <cfRule type="cellIs" dxfId="1069" priority="1051" stopIfTrue="1" operator="equal">
      <formula>"Napkin Hs"</formula>
    </cfRule>
  </conditionalFormatting>
  <conditionalFormatting sqref="B149:C150">
    <cfRule type="cellIs" dxfId="1068" priority="1046" stopIfTrue="1" operator="equal">
      <formula>"Towel"</formula>
    </cfRule>
    <cfRule type="cellIs" dxfId="1067" priority="1047" stopIfTrue="1" operator="equal">
      <formula>"Napkin Hs"</formula>
    </cfRule>
  </conditionalFormatting>
  <conditionalFormatting sqref="C149:C150">
    <cfRule type="cellIs" dxfId="1066" priority="1044" stopIfTrue="1" operator="equal">
      <formula>"Towel"</formula>
    </cfRule>
    <cfRule type="cellIs" dxfId="1065" priority="1045" stopIfTrue="1" operator="equal">
      <formula>"Napkin Hs"</formula>
    </cfRule>
  </conditionalFormatting>
  <conditionalFormatting sqref="C149:C150">
    <cfRule type="cellIs" dxfId="1064" priority="1042" stopIfTrue="1" operator="equal">
      <formula>"Towel"</formula>
    </cfRule>
    <cfRule type="cellIs" dxfId="1063" priority="1043" stopIfTrue="1" operator="equal">
      <formula>"Napkin Hs"</formula>
    </cfRule>
  </conditionalFormatting>
  <conditionalFormatting sqref="C149:C150">
    <cfRule type="cellIs" dxfId="1062" priority="1034" stopIfTrue="1" operator="equal">
      <formula>"Towel"</formula>
    </cfRule>
    <cfRule type="cellIs" dxfId="1061" priority="1035" stopIfTrue="1" operator="equal">
      <formula>"Napkin Hs"</formula>
    </cfRule>
  </conditionalFormatting>
  <conditionalFormatting sqref="B149:C150">
    <cfRule type="cellIs" dxfId="1060" priority="1036" stopIfTrue="1" operator="equal">
      <formula>"Towel"</formula>
    </cfRule>
    <cfRule type="cellIs" dxfId="1059" priority="1037" stopIfTrue="1" operator="equal">
      <formula>"Napkin Hs"</formula>
    </cfRule>
  </conditionalFormatting>
  <conditionalFormatting sqref="C149:C150">
    <cfRule type="cellIs" dxfId="1058" priority="1032" stopIfTrue="1" operator="equal">
      <formula>"Towel"</formula>
    </cfRule>
    <cfRule type="cellIs" dxfId="1057" priority="1033" stopIfTrue="1" operator="equal">
      <formula>"Napkin Hs"</formula>
    </cfRule>
  </conditionalFormatting>
  <conditionalFormatting sqref="B149:C150">
    <cfRule type="cellIs" dxfId="1056" priority="1030" stopIfTrue="1" operator="equal">
      <formula>"Towel"</formula>
    </cfRule>
    <cfRule type="cellIs" dxfId="1055" priority="1031" stopIfTrue="1" operator="equal">
      <formula>"Napkin Hs"</formula>
    </cfRule>
  </conditionalFormatting>
  <conditionalFormatting sqref="C149:C150">
    <cfRule type="cellIs" dxfId="1054" priority="1038" stopIfTrue="1" operator="equal">
      <formula>"Towel"</formula>
    </cfRule>
    <cfRule type="cellIs" dxfId="1053" priority="1039" stopIfTrue="1" operator="equal">
      <formula>"Napkin Hs"</formula>
    </cfRule>
  </conditionalFormatting>
  <conditionalFormatting sqref="C149:C150">
    <cfRule type="cellIs" dxfId="1052" priority="1040" stopIfTrue="1" operator="equal">
      <formula>"Towel"</formula>
    </cfRule>
    <cfRule type="cellIs" dxfId="1051" priority="1041" stopIfTrue="1" operator="equal">
      <formula>"Napkin Hs"</formula>
    </cfRule>
  </conditionalFormatting>
  <conditionalFormatting sqref="B149:C149">
    <cfRule type="cellIs" dxfId="1050" priority="1028" stopIfTrue="1" operator="equal">
      <formula>"Towel"</formula>
    </cfRule>
    <cfRule type="cellIs" dxfId="1049" priority="1029" stopIfTrue="1" operator="equal">
      <formula>"Napkin Hs"</formula>
    </cfRule>
  </conditionalFormatting>
  <conditionalFormatting sqref="C149">
    <cfRule type="cellIs" dxfId="1048" priority="1024" stopIfTrue="1" operator="equal">
      <formula>"Towel"</formula>
    </cfRule>
    <cfRule type="cellIs" dxfId="1047" priority="1025" stopIfTrue="1" operator="equal">
      <formula>"Napkin Hs"</formula>
    </cfRule>
  </conditionalFormatting>
  <conditionalFormatting sqref="C149">
    <cfRule type="cellIs" dxfId="1046" priority="1026" stopIfTrue="1" operator="equal">
      <formula>"Towel"</formula>
    </cfRule>
    <cfRule type="cellIs" dxfId="1045" priority="1027" stopIfTrue="1" operator="equal">
      <formula>"Napkin Hs"</formula>
    </cfRule>
  </conditionalFormatting>
  <conditionalFormatting sqref="B149:C149">
    <cfRule type="cellIs" dxfId="1044" priority="1022" stopIfTrue="1" operator="equal">
      <formula>"Towel"</formula>
    </cfRule>
    <cfRule type="cellIs" dxfId="1043" priority="1023" stopIfTrue="1" operator="equal">
      <formula>"Napkin Hs"</formula>
    </cfRule>
  </conditionalFormatting>
  <conditionalFormatting sqref="C149">
    <cfRule type="cellIs" dxfId="1042" priority="1020" stopIfTrue="1" operator="equal">
      <formula>"Towel"</formula>
    </cfRule>
    <cfRule type="cellIs" dxfId="1041" priority="1021" stopIfTrue="1" operator="equal">
      <formula>"Napkin Hs"</formula>
    </cfRule>
  </conditionalFormatting>
  <conditionalFormatting sqref="C149">
    <cfRule type="cellIs" dxfId="1040" priority="1018" stopIfTrue="1" operator="equal">
      <formula>"Towel"</formula>
    </cfRule>
    <cfRule type="cellIs" dxfId="1039" priority="1019" stopIfTrue="1" operator="equal">
      <formula>"Napkin Hs"</formula>
    </cfRule>
  </conditionalFormatting>
  <conditionalFormatting sqref="C149">
    <cfRule type="cellIs" dxfId="1038" priority="1010" stopIfTrue="1" operator="equal">
      <formula>"Towel"</formula>
    </cfRule>
    <cfRule type="cellIs" dxfId="1037" priority="1011" stopIfTrue="1" operator="equal">
      <formula>"Napkin Hs"</formula>
    </cfRule>
  </conditionalFormatting>
  <conditionalFormatting sqref="B149:C149">
    <cfRule type="cellIs" dxfId="1036" priority="1012" stopIfTrue="1" operator="equal">
      <formula>"Towel"</formula>
    </cfRule>
    <cfRule type="cellIs" dxfId="1035" priority="1013" stopIfTrue="1" operator="equal">
      <formula>"Napkin Hs"</formula>
    </cfRule>
  </conditionalFormatting>
  <conditionalFormatting sqref="C149">
    <cfRule type="cellIs" dxfId="1034" priority="1008" stopIfTrue="1" operator="equal">
      <formula>"Towel"</formula>
    </cfRule>
    <cfRule type="cellIs" dxfId="1033" priority="1009" stopIfTrue="1" operator="equal">
      <formula>"Napkin Hs"</formula>
    </cfRule>
  </conditionalFormatting>
  <conditionalFormatting sqref="B149:C149">
    <cfRule type="cellIs" dxfId="1032" priority="1006" stopIfTrue="1" operator="equal">
      <formula>"Towel"</formula>
    </cfRule>
    <cfRule type="cellIs" dxfId="1031" priority="1007" stopIfTrue="1" operator="equal">
      <formula>"Napkin Hs"</formula>
    </cfRule>
  </conditionalFormatting>
  <conditionalFormatting sqref="C149">
    <cfRule type="cellIs" dxfId="1030" priority="1014" stopIfTrue="1" operator="equal">
      <formula>"Towel"</formula>
    </cfRule>
    <cfRule type="cellIs" dxfId="1029" priority="1015" stopIfTrue="1" operator="equal">
      <formula>"Napkin Hs"</formula>
    </cfRule>
  </conditionalFormatting>
  <conditionalFormatting sqref="C149">
    <cfRule type="cellIs" dxfId="1028" priority="1016" stopIfTrue="1" operator="equal">
      <formula>"Towel"</formula>
    </cfRule>
    <cfRule type="cellIs" dxfId="1027" priority="1017" stopIfTrue="1" operator="equal">
      <formula>"Napkin Hs"</formula>
    </cfRule>
  </conditionalFormatting>
  <conditionalFormatting sqref="C150">
    <cfRule type="cellIs" dxfId="1026" priority="998" stopIfTrue="1" operator="equal">
      <formula>"Towel"</formula>
    </cfRule>
    <cfRule type="cellIs" dxfId="1025" priority="999" stopIfTrue="1" operator="equal">
      <formula>"Napkin Hs"</formula>
    </cfRule>
  </conditionalFormatting>
  <conditionalFormatting sqref="B150:C150">
    <cfRule type="cellIs" dxfId="1024" priority="1000" stopIfTrue="1" operator="equal">
      <formula>"Towel"</formula>
    </cfRule>
    <cfRule type="cellIs" dxfId="1023" priority="1001" stopIfTrue="1" operator="equal">
      <formula>"Napkin Hs"</formula>
    </cfRule>
  </conditionalFormatting>
  <conditionalFormatting sqref="C150">
    <cfRule type="cellIs" dxfId="1022" priority="996" stopIfTrue="1" operator="equal">
      <formula>"Towel"</formula>
    </cfRule>
    <cfRule type="cellIs" dxfId="1021" priority="997" stopIfTrue="1" operator="equal">
      <formula>"Napkin Hs"</formula>
    </cfRule>
  </conditionalFormatting>
  <conditionalFormatting sqref="B150:C150">
    <cfRule type="cellIs" dxfId="1020" priority="994" stopIfTrue="1" operator="equal">
      <formula>"Towel"</formula>
    </cfRule>
    <cfRule type="cellIs" dxfId="1019" priority="995" stopIfTrue="1" operator="equal">
      <formula>"Napkin Hs"</formula>
    </cfRule>
  </conditionalFormatting>
  <conditionalFormatting sqref="C150">
    <cfRule type="cellIs" dxfId="1018" priority="1002" stopIfTrue="1" operator="equal">
      <formula>"Towel"</formula>
    </cfRule>
    <cfRule type="cellIs" dxfId="1017" priority="1003" stopIfTrue="1" operator="equal">
      <formula>"Napkin Hs"</formula>
    </cfRule>
  </conditionalFormatting>
  <conditionalFormatting sqref="C150">
    <cfRule type="cellIs" dxfId="1016" priority="1004" stopIfTrue="1" operator="equal">
      <formula>"Towel"</formula>
    </cfRule>
    <cfRule type="cellIs" dxfId="1015" priority="1005" stopIfTrue="1" operator="equal">
      <formula>"Napkin Hs"</formula>
    </cfRule>
  </conditionalFormatting>
  <conditionalFormatting sqref="C150">
    <cfRule type="cellIs" dxfId="1014" priority="990" stopIfTrue="1" operator="equal">
      <formula>"Towel"</formula>
    </cfRule>
    <cfRule type="cellIs" dxfId="1013" priority="991" stopIfTrue="1" operator="equal">
      <formula>"Napkin Hs"</formula>
    </cfRule>
  </conditionalFormatting>
  <conditionalFormatting sqref="C150">
    <cfRule type="cellIs" dxfId="1012" priority="992" stopIfTrue="1" operator="equal">
      <formula>"Towel"</formula>
    </cfRule>
    <cfRule type="cellIs" dxfId="1011" priority="993" stopIfTrue="1" operator="equal">
      <formula>"Napkin Hs"</formula>
    </cfRule>
  </conditionalFormatting>
  <conditionalFormatting sqref="C150">
    <cfRule type="cellIs" dxfId="1010" priority="988" stopIfTrue="1" operator="equal">
      <formula>"Towel"</formula>
    </cfRule>
    <cfRule type="cellIs" dxfId="1009" priority="989" stopIfTrue="1" operator="equal">
      <formula>"Napkin Hs"</formula>
    </cfRule>
  </conditionalFormatting>
  <conditionalFormatting sqref="B150">
    <cfRule type="cellIs" dxfId="1008" priority="986" stopIfTrue="1" operator="equal">
      <formula>"Towel"</formula>
    </cfRule>
    <cfRule type="cellIs" dxfId="1007" priority="987" stopIfTrue="1" operator="equal">
      <formula>"Napkin Hs"</formula>
    </cfRule>
  </conditionalFormatting>
  <conditionalFormatting sqref="C150">
    <cfRule type="cellIs" dxfId="1006" priority="980" stopIfTrue="1" operator="equal">
      <formula>"Towel"</formula>
    </cfRule>
    <cfRule type="cellIs" dxfId="1005" priority="981" stopIfTrue="1" operator="equal">
      <formula>"Napkin Hs"</formula>
    </cfRule>
  </conditionalFormatting>
  <conditionalFormatting sqref="C150">
    <cfRule type="cellIs" dxfId="1004" priority="984" stopIfTrue="1" operator="equal">
      <formula>"Towel"</formula>
    </cfRule>
    <cfRule type="cellIs" dxfId="1003" priority="985" stopIfTrue="1" operator="equal">
      <formula>"Napkin Hs"</formula>
    </cfRule>
  </conditionalFormatting>
  <conditionalFormatting sqref="C150">
    <cfRule type="cellIs" dxfId="1002" priority="982" stopIfTrue="1" operator="equal">
      <formula>"Towel"</formula>
    </cfRule>
    <cfRule type="cellIs" dxfId="1001" priority="983" stopIfTrue="1" operator="equal">
      <formula>"Napkin Hs"</formula>
    </cfRule>
  </conditionalFormatting>
  <conditionalFormatting sqref="C150">
    <cfRule type="cellIs" dxfId="1000" priority="974" stopIfTrue="1" operator="equal">
      <formula>"Towel"</formula>
    </cfRule>
    <cfRule type="cellIs" dxfId="999" priority="975" stopIfTrue="1" operator="equal">
      <formula>"Napkin Hs"</formula>
    </cfRule>
  </conditionalFormatting>
  <conditionalFormatting sqref="C150">
    <cfRule type="cellIs" dxfId="998" priority="976" stopIfTrue="1" operator="equal">
      <formula>"Towel"</formula>
    </cfRule>
    <cfRule type="cellIs" dxfId="997" priority="977" stopIfTrue="1" operator="equal">
      <formula>"Napkin Hs"</formula>
    </cfRule>
  </conditionalFormatting>
  <conditionalFormatting sqref="C150">
    <cfRule type="cellIs" dxfId="996" priority="978" stopIfTrue="1" operator="equal">
      <formula>"Towel"</formula>
    </cfRule>
    <cfRule type="cellIs" dxfId="995" priority="979" stopIfTrue="1" operator="equal">
      <formula>"Napkin Hs"</formula>
    </cfRule>
  </conditionalFormatting>
  <conditionalFormatting sqref="B150:C150">
    <cfRule type="cellIs" dxfId="994" priority="972" stopIfTrue="1" operator="equal">
      <formula>"Towel"</formula>
    </cfRule>
    <cfRule type="cellIs" dxfId="993" priority="973" stopIfTrue="1" operator="equal">
      <formula>"Napkin Hs"</formula>
    </cfRule>
  </conditionalFormatting>
  <conditionalFormatting sqref="B150:C150">
    <cfRule type="cellIs" dxfId="992" priority="970" stopIfTrue="1" operator="equal">
      <formula>"Towel"</formula>
    </cfRule>
    <cfRule type="cellIs" dxfId="991" priority="971" stopIfTrue="1" operator="equal">
      <formula>"Napkin Hs"</formula>
    </cfRule>
  </conditionalFormatting>
  <conditionalFormatting sqref="B150:C150">
    <cfRule type="cellIs" dxfId="990" priority="946" stopIfTrue="1" operator="equal">
      <formula>"Towel"</formula>
    </cfRule>
  </conditionalFormatting>
  <conditionalFormatting sqref="B150:C150">
    <cfRule type="cellIs" dxfId="989" priority="947" stopIfTrue="1" operator="equal">
      <formula>"Napkin Hs"</formula>
    </cfRule>
    <cfRule type="cellIs" dxfId="988" priority="952" stopIfTrue="1" operator="equal">
      <formula>"Towel"</formula>
    </cfRule>
    <cfRule type="cellIs" dxfId="987" priority="953" stopIfTrue="1" operator="equal">
      <formula>"Napkin Hs"</formula>
    </cfRule>
    <cfRule type="cellIs" dxfId="986" priority="962" stopIfTrue="1" operator="equal">
      <formula>"Towel"</formula>
    </cfRule>
    <cfRule type="cellIs" dxfId="985" priority="963" stopIfTrue="1" operator="equal">
      <formula>"Napkin Hs"</formula>
    </cfRule>
    <cfRule type="cellIs" dxfId="984" priority="968" stopIfTrue="1" operator="equal">
      <formula>"Towel"</formula>
    </cfRule>
    <cfRule type="cellIs" dxfId="983" priority="969" stopIfTrue="1" operator="equal">
      <formula>"Napkin Hs"</formula>
    </cfRule>
  </conditionalFormatting>
  <conditionalFormatting sqref="C150">
    <cfRule type="cellIs" dxfId="982" priority="948" stopIfTrue="1" operator="equal">
      <formula>"Towel"</formula>
    </cfRule>
    <cfRule type="cellIs" dxfId="981" priority="949" stopIfTrue="1" operator="equal">
      <formula>"Napkin Hs"</formula>
    </cfRule>
    <cfRule type="cellIs" dxfId="980" priority="950" stopIfTrue="1" operator="equal">
      <formula>"Towel"</formula>
    </cfRule>
    <cfRule type="cellIs" dxfId="979" priority="951" stopIfTrue="1" operator="equal">
      <formula>"Napkin Hs"</formula>
    </cfRule>
    <cfRule type="cellIs" dxfId="978" priority="954" stopIfTrue="1" operator="equal">
      <formula>"Towel"</formula>
    </cfRule>
    <cfRule type="cellIs" dxfId="977" priority="955" stopIfTrue="1" operator="equal">
      <formula>"Napkin Hs"</formula>
    </cfRule>
    <cfRule type="cellIs" dxfId="976" priority="956" stopIfTrue="1" operator="equal">
      <formula>"Towel"</formula>
    </cfRule>
    <cfRule type="cellIs" dxfId="975" priority="957" stopIfTrue="1" operator="equal">
      <formula>"Napkin Hs"</formula>
    </cfRule>
    <cfRule type="cellIs" dxfId="974" priority="958" stopIfTrue="1" operator="equal">
      <formula>"Towel"</formula>
    </cfRule>
    <cfRule type="cellIs" dxfId="973" priority="959" stopIfTrue="1" operator="equal">
      <formula>"Napkin Hs"</formula>
    </cfRule>
    <cfRule type="cellIs" dxfId="972" priority="960" stopIfTrue="1" operator="equal">
      <formula>"Towel"</formula>
    </cfRule>
    <cfRule type="cellIs" dxfId="971" priority="961" stopIfTrue="1" operator="equal">
      <formula>"Napkin Hs"</formula>
    </cfRule>
    <cfRule type="cellIs" dxfId="970" priority="964" stopIfTrue="1" operator="equal">
      <formula>"Towel"</formula>
    </cfRule>
    <cfRule type="cellIs" dxfId="969" priority="965" stopIfTrue="1" operator="equal">
      <formula>"Napkin Hs"</formula>
    </cfRule>
    <cfRule type="cellIs" dxfId="968" priority="967" stopIfTrue="1" operator="equal">
      <formula>"Napkin Hs"</formula>
    </cfRule>
  </conditionalFormatting>
  <conditionalFormatting sqref="C150">
    <cfRule type="cellIs" dxfId="967" priority="966" stopIfTrue="1" operator="equal">
      <formula>"Towel"</formula>
    </cfRule>
  </conditionalFormatting>
  <conditionalFormatting sqref="B150:C150">
    <cfRule type="cellIs" dxfId="966" priority="944" stopIfTrue="1" operator="equal">
      <formula>"Towel"</formula>
    </cfRule>
    <cfRule type="cellIs" dxfId="965" priority="945" stopIfTrue="1" operator="equal">
      <formula>"Napkin Hs"</formula>
    </cfRule>
  </conditionalFormatting>
  <conditionalFormatting sqref="C150">
    <cfRule type="cellIs" dxfId="964" priority="943" stopIfTrue="1" operator="equal">
      <formula>"Napkin Hs"</formula>
    </cfRule>
  </conditionalFormatting>
  <conditionalFormatting sqref="C150">
    <cfRule type="cellIs" dxfId="963" priority="942" stopIfTrue="1" operator="equal">
      <formula>"Towel"</formula>
    </cfRule>
  </conditionalFormatting>
  <conditionalFormatting sqref="C150">
    <cfRule type="cellIs" dxfId="962" priority="940" stopIfTrue="1" operator="equal">
      <formula>"Towel"</formula>
    </cfRule>
  </conditionalFormatting>
  <conditionalFormatting sqref="C150">
    <cfRule type="cellIs" dxfId="961" priority="941" stopIfTrue="1" operator="equal">
      <formula>"Napkin Hs"</formula>
    </cfRule>
  </conditionalFormatting>
  <conditionalFormatting sqref="B150">
    <cfRule type="cellIs" dxfId="960" priority="844" stopIfTrue="1" operator="equal">
      <formula>"Napkin Hs"</formula>
    </cfRule>
  </conditionalFormatting>
  <conditionalFormatting sqref="B150:C150">
    <cfRule type="cellIs" dxfId="959" priority="843" stopIfTrue="1" operator="equal">
      <formula>"Towel"</formula>
    </cfRule>
  </conditionalFormatting>
  <conditionalFormatting sqref="B150:C150">
    <cfRule type="cellIs" dxfId="958" priority="854" stopIfTrue="1" operator="equal">
      <formula>"Towel"</formula>
    </cfRule>
    <cfRule type="cellIs" dxfId="957" priority="855" stopIfTrue="1" operator="equal">
      <formula>"Napkin Hs"</formula>
    </cfRule>
    <cfRule type="cellIs" dxfId="956" priority="860" stopIfTrue="1" operator="equal">
      <formula>"Towel"</formula>
    </cfRule>
    <cfRule type="cellIs" dxfId="955" priority="861" stopIfTrue="1" operator="equal">
      <formula>"Napkin Hs"</formula>
    </cfRule>
    <cfRule type="cellIs" dxfId="954" priority="866" stopIfTrue="1" operator="equal">
      <formula>"Towel"</formula>
    </cfRule>
    <cfRule type="cellIs" dxfId="953" priority="867" stopIfTrue="1" operator="equal">
      <formula>"Napkin Hs"</formula>
    </cfRule>
    <cfRule type="cellIs" dxfId="952" priority="868" stopIfTrue="1" operator="equal">
      <formula>"Towel"</formula>
    </cfRule>
    <cfRule type="cellIs" dxfId="951" priority="869" stopIfTrue="1" operator="equal">
      <formula>"Napkin Hs"</formula>
    </cfRule>
    <cfRule type="cellIs" dxfId="950" priority="874" stopIfTrue="1" operator="equal">
      <formula>"Towel"</formula>
    </cfRule>
    <cfRule type="cellIs" dxfId="949" priority="875" stopIfTrue="1" operator="equal">
      <formula>"Napkin Hs"</formula>
    </cfRule>
    <cfRule type="cellIs" dxfId="948" priority="884" stopIfTrue="1" operator="equal">
      <formula>"Towel"</formula>
    </cfRule>
    <cfRule type="cellIs" dxfId="947" priority="885" stopIfTrue="1" operator="equal">
      <formula>"Napkin Hs"</formula>
    </cfRule>
    <cfRule type="cellIs" dxfId="946" priority="890" stopIfTrue="1" operator="equal">
      <formula>"Towel"</formula>
    </cfRule>
    <cfRule type="cellIs" dxfId="945" priority="891" stopIfTrue="1" operator="equal">
      <formula>"Napkin Hs"</formula>
    </cfRule>
    <cfRule type="cellIs" dxfId="944" priority="892" stopIfTrue="1" operator="equal">
      <formula>"Towel"</formula>
    </cfRule>
    <cfRule type="cellIs" dxfId="943" priority="893" stopIfTrue="1" operator="equal">
      <formula>"Napkin Hs"</formula>
    </cfRule>
    <cfRule type="cellIs" dxfId="942" priority="898" stopIfTrue="1" operator="equal">
      <formula>"Towel"</formula>
    </cfRule>
    <cfRule type="cellIs" dxfId="941" priority="899" stopIfTrue="1" operator="equal">
      <formula>"Napkin Hs"</formula>
    </cfRule>
    <cfRule type="cellIs" dxfId="940" priority="908" stopIfTrue="1" operator="equal">
      <formula>"Towel"</formula>
    </cfRule>
    <cfRule type="cellIs" dxfId="939" priority="909" stopIfTrue="1" operator="equal">
      <formula>"Napkin Hs"</formula>
    </cfRule>
    <cfRule type="cellIs" dxfId="938" priority="910" stopIfTrue="1" operator="equal">
      <formula>"Towel"</formula>
    </cfRule>
    <cfRule type="cellIs" dxfId="937" priority="911" stopIfTrue="1" operator="equal">
      <formula>"Napkin Hs"</formula>
    </cfRule>
    <cfRule type="cellIs" dxfId="936" priority="916" stopIfTrue="1" operator="equal">
      <formula>"Towel"</formula>
    </cfRule>
    <cfRule type="cellIs" dxfId="935" priority="917" stopIfTrue="1" operator="equal">
      <formula>"Napkin Hs"</formula>
    </cfRule>
    <cfRule type="cellIs" dxfId="934" priority="926" stopIfTrue="1" operator="equal">
      <formula>"Towel"</formula>
    </cfRule>
    <cfRule type="cellIs" dxfId="933" priority="927" stopIfTrue="1" operator="equal">
      <formula>"Napkin Hs"</formula>
    </cfRule>
    <cfRule type="cellIs" dxfId="932" priority="928" stopIfTrue="1" operator="equal">
      <formula>"Towel"</formula>
    </cfRule>
    <cfRule type="cellIs" dxfId="931" priority="929" stopIfTrue="1" operator="equal">
      <formula>"Napkin Hs"</formula>
    </cfRule>
    <cfRule type="cellIs" dxfId="930" priority="935" stopIfTrue="1" operator="equal">
      <formula>"Napkin Hs"</formula>
    </cfRule>
  </conditionalFormatting>
  <conditionalFormatting sqref="B150:C150">
    <cfRule type="cellIs" dxfId="929" priority="934" stopIfTrue="1" operator="equal">
      <formula>"Towel"</formula>
    </cfRule>
  </conditionalFormatting>
  <conditionalFormatting sqref="C150">
    <cfRule type="cellIs" dxfId="928" priority="845" stopIfTrue="1" operator="equal">
      <formula>"Napkin Hs"</formula>
    </cfRule>
    <cfRule type="cellIs" dxfId="927" priority="846" stopIfTrue="1" operator="equal">
      <formula>"Towel"</formula>
    </cfRule>
    <cfRule type="cellIs" dxfId="926" priority="847" stopIfTrue="1" operator="equal">
      <formula>"Napkin Hs"</formula>
    </cfRule>
    <cfRule type="cellIs" dxfId="925" priority="848" stopIfTrue="1" operator="equal">
      <formula>"Towel"</formula>
    </cfRule>
    <cfRule type="cellIs" dxfId="924" priority="849" stopIfTrue="1" operator="equal">
      <formula>"Napkin Hs"</formula>
    </cfRule>
    <cfRule type="cellIs" dxfId="923" priority="850" stopIfTrue="1" operator="equal">
      <formula>"Towel"</formula>
    </cfRule>
    <cfRule type="cellIs" dxfId="922" priority="851" stopIfTrue="1" operator="equal">
      <formula>"Napkin Hs"</formula>
    </cfRule>
    <cfRule type="cellIs" dxfId="921" priority="852" stopIfTrue="1" operator="equal">
      <formula>"Towel"</formula>
    </cfRule>
    <cfRule type="cellIs" dxfId="920" priority="853" stopIfTrue="1" operator="equal">
      <formula>"Napkin Hs"</formula>
    </cfRule>
    <cfRule type="cellIs" dxfId="919" priority="856" stopIfTrue="1" operator="equal">
      <formula>"Towel"</formula>
    </cfRule>
    <cfRule type="cellIs" dxfId="918" priority="857" stopIfTrue="1" operator="equal">
      <formula>"Napkin Hs"</formula>
    </cfRule>
    <cfRule type="cellIs" dxfId="917" priority="858" stopIfTrue="1" operator="equal">
      <formula>"Towel"</formula>
    </cfRule>
    <cfRule type="cellIs" dxfId="916" priority="859" stopIfTrue="1" operator="equal">
      <formula>"Napkin Hs"</formula>
    </cfRule>
    <cfRule type="cellIs" dxfId="915" priority="862" stopIfTrue="1" operator="equal">
      <formula>"Towel"</formula>
    </cfRule>
    <cfRule type="cellIs" dxfId="914" priority="863" stopIfTrue="1" operator="equal">
      <formula>"Napkin Hs"</formula>
    </cfRule>
    <cfRule type="cellIs" dxfId="913" priority="864" stopIfTrue="1" operator="equal">
      <formula>"Towel"</formula>
    </cfRule>
    <cfRule type="cellIs" dxfId="912" priority="865" stopIfTrue="1" operator="equal">
      <formula>"Napkin Hs"</formula>
    </cfRule>
    <cfRule type="cellIs" dxfId="911" priority="870" stopIfTrue="1" operator="equal">
      <formula>"Towel"</formula>
    </cfRule>
    <cfRule type="cellIs" dxfId="910" priority="871" stopIfTrue="1" operator="equal">
      <formula>"Napkin Hs"</formula>
    </cfRule>
    <cfRule type="cellIs" dxfId="909" priority="872" stopIfTrue="1" operator="equal">
      <formula>"Towel"</formula>
    </cfRule>
    <cfRule type="cellIs" dxfId="908" priority="873" stopIfTrue="1" operator="equal">
      <formula>"Napkin Hs"</formula>
    </cfRule>
    <cfRule type="cellIs" dxfId="907" priority="876" stopIfTrue="1" operator="equal">
      <formula>"Towel"</formula>
    </cfRule>
    <cfRule type="cellIs" dxfId="906" priority="877" stopIfTrue="1" operator="equal">
      <formula>"Napkin Hs"</formula>
    </cfRule>
    <cfRule type="cellIs" dxfId="905" priority="878" stopIfTrue="1" operator="equal">
      <formula>"Towel"</formula>
    </cfRule>
    <cfRule type="cellIs" dxfId="904" priority="879" stopIfTrue="1" operator="equal">
      <formula>"Napkin Hs"</formula>
    </cfRule>
    <cfRule type="cellIs" dxfId="903" priority="880" stopIfTrue="1" operator="equal">
      <formula>"Towel"</formula>
    </cfRule>
    <cfRule type="cellIs" dxfId="902" priority="881" stopIfTrue="1" operator="equal">
      <formula>"Napkin Hs"</formula>
    </cfRule>
    <cfRule type="cellIs" dxfId="901" priority="882" stopIfTrue="1" operator="equal">
      <formula>"Towel"</formula>
    </cfRule>
    <cfRule type="cellIs" dxfId="900" priority="883" stopIfTrue="1" operator="equal">
      <formula>"Napkin Hs"</formula>
    </cfRule>
    <cfRule type="cellIs" dxfId="899" priority="886" stopIfTrue="1" operator="equal">
      <formula>"Towel"</formula>
    </cfRule>
    <cfRule type="cellIs" dxfId="898" priority="887" stopIfTrue="1" operator="equal">
      <formula>"Napkin Hs"</formula>
    </cfRule>
    <cfRule type="cellIs" dxfId="897" priority="888" stopIfTrue="1" operator="equal">
      <formula>"Towel"</formula>
    </cfRule>
    <cfRule type="cellIs" dxfId="896" priority="889" stopIfTrue="1" operator="equal">
      <formula>"Napkin Hs"</formula>
    </cfRule>
    <cfRule type="cellIs" dxfId="895" priority="894" stopIfTrue="1" operator="equal">
      <formula>"Towel"</formula>
    </cfRule>
    <cfRule type="cellIs" dxfId="894" priority="895" stopIfTrue="1" operator="equal">
      <formula>"Napkin Hs"</formula>
    </cfRule>
    <cfRule type="cellIs" dxfId="893" priority="896" stopIfTrue="1" operator="equal">
      <formula>"Towel"</formula>
    </cfRule>
    <cfRule type="cellIs" dxfId="892" priority="897" stopIfTrue="1" operator="equal">
      <formula>"Napkin Hs"</formula>
    </cfRule>
    <cfRule type="cellIs" dxfId="891" priority="900" stopIfTrue="1" operator="equal">
      <formula>"Towel"</formula>
    </cfRule>
    <cfRule type="cellIs" dxfId="890" priority="901" stopIfTrue="1" operator="equal">
      <formula>"Napkin Hs"</formula>
    </cfRule>
    <cfRule type="cellIs" dxfId="889" priority="902" stopIfTrue="1" operator="equal">
      <formula>"Towel"</formula>
    </cfRule>
    <cfRule type="cellIs" dxfId="888" priority="903" stopIfTrue="1" operator="equal">
      <formula>"Napkin Hs"</formula>
    </cfRule>
    <cfRule type="cellIs" dxfId="887" priority="904" stopIfTrue="1" operator="equal">
      <formula>"Towel"</formula>
    </cfRule>
    <cfRule type="cellIs" dxfId="886" priority="905" stopIfTrue="1" operator="equal">
      <formula>"Napkin Hs"</formula>
    </cfRule>
    <cfRule type="cellIs" dxfId="885" priority="906" stopIfTrue="1" operator="equal">
      <formula>"Towel"</formula>
    </cfRule>
    <cfRule type="cellIs" dxfId="884" priority="907" stopIfTrue="1" operator="equal">
      <formula>"Napkin Hs"</formula>
    </cfRule>
    <cfRule type="cellIs" dxfId="883" priority="912" stopIfTrue="1" operator="equal">
      <formula>"Towel"</formula>
    </cfRule>
    <cfRule type="cellIs" dxfId="882" priority="913" stopIfTrue="1" operator="equal">
      <formula>"Napkin Hs"</formula>
    </cfRule>
    <cfRule type="cellIs" dxfId="881" priority="914" stopIfTrue="1" operator="equal">
      <formula>"Towel"</formula>
    </cfRule>
    <cfRule type="cellIs" dxfId="880" priority="915" stopIfTrue="1" operator="equal">
      <formula>"Napkin Hs"</formula>
    </cfRule>
    <cfRule type="cellIs" dxfId="879" priority="918" stopIfTrue="1" operator="equal">
      <formula>"Towel"</formula>
    </cfRule>
    <cfRule type="cellIs" dxfId="878" priority="919" stopIfTrue="1" operator="equal">
      <formula>"Napkin Hs"</formula>
    </cfRule>
    <cfRule type="cellIs" dxfId="877" priority="920" stopIfTrue="1" operator="equal">
      <formula>"Towel"</formula>
    </cfRule>
    <cfRule type="cellIs" dxfId="876" priority="921" stopIfTrue="1" operator="equal">
      <formula>"Napkin Hs"</formula>
    </cfRule>
    <cfRule type="cellIs" dxfId="875" priority="922" stopIfTrue="1" operator="equal">
      <formula>"Towel"</formula>
    </cfRule>
    <cfRule type="cellIs" dxfId="874" priority="923" stopIfTrue="1" operator="equal">
      <formula>"Napkin Hs"</formula>
    </cfRule>
    <cfRule type="cellIs" dxfId="873" priority="924" stopIfTrue="1" operator="equal">
      <formula>"Towel"</formula>
    </cfRule>
    <cfRule type="cellIs" dxfId="872" priority="925" stopIfTrue="1" operator="equal">
      <formula>"Napkin Hs"</formula>
    </cfRule>
    <cfRule type="cellIs" dxfId="871" priority="930" stopIfTrue="1" operator="equal">
      <formula>"Towel"</formula>
    </cfRule>
    <cfRule type="cellIs" dxfId="870" priority="931" stopIfTrue="1" operator="equal">
      <formula>"Napkin Hs"</formula>
    </cfRule>
    <cfRule type="cellIs" dxfId="869" priority="932" stopIfTrue="1" operator="equal">
      <formula>"Towel"</formula>
    </cfRule>
    <cfRule type="cellIs" dxfId="868" priority="933" stopIfTrue="1" operator="equal">
      <formula>"Napkin Hs"</formula>
    </cfRule>
    <cfRule type="cellIs" dxfId="867" priority="936" stopIfTrue="1" operator="equal">
      <formula>"Towel"</formula>
    </cfRule>
    <cfRule type="cellIs" dxfId="866" priority="937" stopIfTrue="1" operator="equal">
      <formula>"Napkin Hs"</formula>
    </cfRule>
    <cfRule type="cellIs" dxfId="865" priority="938" stopIfTrue="1" operator="equal">
      <formula>"Towel"</formula>
    </cfRule>
    <cfRule type="cellIs" dxfId="864" priority="939" stopIfTrue="1" operator="equal">
      <formula>"Napkin Hs"</formula>
    </cfRule>
  </conditionalFormatting>
  <conditionalFormatting sqref="C150">
    <cfRule type="cellIs" dxfId="863" priority="842" stopIfTrue="1" operator="equal">
      <formula>"Napkin Hs"</formula>
    </cfRule>
  </conditionalFormatting>
  <conditionalFormatting sqref="C150">
    <cfRule type="cellIs" dxfId="862" priority="841" stopIfTrue="1" operator="equal">
      <formula>"Napkin Hs"</formula>
    </cfRule>
  </conditionalFormatting>
  <conditionalFormatting sqref="B150">
    <cfRule type="cellIs" dxfId="861" priority="840" stopIfTrue="1" operator="equal">
      <formula>"Napkin Hs"</formula>
    </cfRule>
  </conditionalFormatting>
  <conditionalFormatting sqref="C150">
    <cfRule type="cellIs" dxfId="860" priority="839" stopIfTrue="1" operator="equal">
      <formula>"Napkin Hs"</formula>
    </cfRule>
  </conditionalFormatting>
  <conditionalFormatting sqref="C150">
    <cfRule type="cellIs" dxfId="859" priority="838" stopIfTrue="1" operator="equal">
      <formula>"Napkin Hs"</formula>
    </cfRule>
  </conditionalFormatting>
  <conditionalFormatting sqref="C150">
    <cfRule type="cellIs" dxfId="858" priority="837" stopIfTrue="1" operator="equal">
      <formula>"Napkin Hs"</formula>
    </cfRule>
  </conditionalFormatting>
  <conditionalFormatting sqref="C150">
    <cfRule type="cellIs" dxfId="857" priority="836" stopIfTrue="1" operator="equal">
      <formula>"Napkin Hs"</formula>
    </cfRule>
  </conditionalFormatting>
  <conditionalFormatting sqref="B150">
    <cfRule type="cellIs" dxfId="856" priority="835" stopIfTrue="1" operator="equal">
      <formula>"Napkin Hs"</formula>
    </cfRule>
  </conditionalFormatting>
  <conditionalFormatting sqref="B150">
    <cfRule type="cellIs" dxfId="855" priority="834" stopIfTrue="1" operator="equal">
      <formula>"Napkin Hs"</formula>
    </cfRule>
  </conditionalFormatting>
  <conditionalFormatting sqref="C150">
    <cfRule type="cellIs" dxfId="854" priority="830" stopIfTrue="1" operator="equal">
      <formula>"Towel"</formula>
    </cfRule>
    <cfRule type="cellIs" dxfId="853" priority="831" stopIfTrue="1" operator="equal">
      <formula>"Napkin Hs"</formula>
    </cfRule>
  </conditionalFormatting>
  <conditionalFormatting sqref="C150">
    <cfRule type="cellIs" dxfId="852" priority="832" stopIfTrue="1" operator="equal">
      <formula>"Towel"</formula>
    </cfRule>
    <cfRule type="cellIs" dxfId="851" priority="833" stopIfTrue="1" operator="equal">
      <formula>"Napkin Hs"</formula>
    </cfRule>
  </conditionalFormatting>
  <conditionalFormatting sqref="C150">
    <cfRule type="cellIs" dxfId="850" priority="826" stopIfTrue="1" operator="equal">
      <formula>"Towel"</formula>
    </cfRule>
    <cfRule type="cellIs" dxfId="849" priority="827" stopIfTrue="1" operator="equal">
      <formula>"Napkin Hs"</formula>
    </cfRule>
  </conditionalFormatting>
  <conditionalFormatting sqref="C150">
    <cfRule type="cellIs" dxfId="848" priority="828" stopIfTrue="1" operator="equal">
      <formula>"Towel"</formula>
    </cfRule>
    <cfRule type="cellIs" dxfId="847" priority="829" stopIfTrue="1" operator="equal">
      <formula>"Napkin Hs"</formula>
    </cfRule>
  </conditionalFormatting>
  <conditionalFormatting sqref="C149">
    <cfRule type="cellIs" dxfId="846" priority="824" stopIfTrue="1" operator="equal">
      <formula>"Towel"</formula>
    </cfRule>
    <cfRule type="cellIs" dxfId="845" priority="825" stopIfTrue="1" operator="equal">
      <formula>"Napkin Hs"</formula>
    </cfRule>
  </conditionalFormatting>
  <conditionalFormatting sqref="C149">
    <cfRule type="cellIs" dxfId="844" priority="820" stopIfTrue="1" operator="equal">
      <formula>"Towel"</formula>
    </cfRule>
    <cfRule type="cellIs" dxfId="843" priority="821" stopIfTrue="1" operator="equal">
      <formula>"Napkin Hs"</formula>
    </cfRule>
  </conditionalFormatting>
  <conditionalFormatting sqref="C149">
    <cfRule type="cellIs" dxfId="842" priority="822" stopIfTrue="1" operator="equal">
      <formula>"Towel"</formula>
    </cfRule>
    <cfRule type="cellIs" dxfId="841" priority="823" stopIfTrue="1" operator="equal">
      <formula>"Napkin Hs"</formula>
    </cfRule>
  </conditionalFormatting>
  <conditionalFormatting sqref="C149">
    <cfRule type="cellIs" dxfId="840" priority="816" stopIfTrue="1" operator="equal">
      <formula>"Towel"</formula>
    </cfRule>
    <cfRule type="cellIs" dxfId="839" priority="817" stopIfTrue="1" operator="equal">
      <formula>"Napkin Hs"</formula>
    </cfRule>
  </conditionalFormatting>
  <conditionalFormatting sqref="C149">
    <cfRule type="cellIs" dxfId="838" priority="818" stopIfTrue="1" operator="equal">
      <formula>"Towel"</formula>
    </cfRule>
    <cfRule type="cellIs" dxfId="837" priority="819" stopIfTrue="1" operator="equal">
      <formula>"Napkin Hs"</formula>
    </cfRule>
  </conditionalFormatting>
  <conditionalFormatting sqref="C149">
    <cfRule type="cellIs" dxfId="836" priority="814" stopIfTrue="1" operator="equal">
      <formula>"Towel"</formula>
    </cfRule>
    <cfRule type="cellIs" dxfId="835" priority="815" stopIfTrue="1" operator="equal">
      <formula>"Napkin Hs"</formula>
    </cfRule>
  </conditionalFormatting>
  <conditionalFormatting sqref="C149">
    <cfRule type="cellIs" dxfId="834" priority="808" stopIfTrue="1" operator="equal">
      <formula>"Towel"</formula>
    </cfRule>
    <cfRule type="cellIs" dxfId="833" priority="809" stopIfTrue="1" operator="equal">
      <formula>"Napkin Hs"</formula>
    </cfRule>
  </conditionalFormatting>
  <conditionalFormatting sqref="C149">
    <cfRule type="cellIs" dxfId="832" priority="812" stopIfTrue="1" operator="equal">
      <formula>"Towel"</formula>
    </cfRule>
    <cfRule type="cellIs" dxfId="831" priority="813" stopIfTrue="1" operator="equal">
      <formula>"Napkin Hs"</formula>
    </cfRule>
  </conditionalFormatting>
  <conditionalFormatting sqref="C149">
    <cfRule type="cellIs" dxfId="830" priority="810" stopIfTrue="1" operator="equal">
      <formula>"Towel"</formula>
    </cfRule>
    <cfRule type="cellIs" dxfId="829" priority="811" stopIfTrue="1" operator="equal">
      <formula>"Napkin Hs"</formula>
    </cfRule>
  </conditionalFormatting>
  <conditionalFormatting sqref="C149">
    <cfRule type="cellIs" dxfId="828" priority="802" stopIfTrue="1" operator="equal">
      <formula>"Towel"</formula>
    </cfRule>
    <cfRule type="cellIs" dxfId="827" priority="803" stopIfTrue="1" operator="equal">
      <formula>"Napkin Hs"</formula>
    </cfRule>
  </conditionalFormatting>
  <conditionalFormatting sqref="C149">
    <cfRule type="cellIs" dxfId="826" priority="804" stopIfTrue="1" operator="equal">
      <formula>"Towel"</formula>
    </cfRule>
    <cfRule type="cellIs" dxfId="825" priority="805" stopIfTrue="1" operator="equal">
      <formula>"Napkin Hs"</formula>
    </cfRule>
  </conditionalFormatting>
  <conditionalFormatting sqref="C149">
    <cfRule type="cellIs" dxfId="824" priority="806" stopIfTrue="1" operator="equal">
      <formula>"Towel"</formula>
    </cfRule>
    <cfRule type="cellIs" dxfId="823" priority="807" stopIfTrue="1" operator="equal">
      <formula>"Napkin Hs"</formula>
    </cfRule>
  </conditionalFormatting>
  <conditionalFormatting sqref="C149">
    <cfRule type="cellIs" dxfId="822" priority="800" stopIfTrue="1" operator="equal">
      <formula>"Towel"</formula>
    </cfRule>
    <cfRule type="cellIs" dxfId="821" priority="801" stopIfTrue="1" operator="equal">
      <formula>"Napkin Hs"</formula>
    </cfRule>
  </conditionalFormatting>
  <conditionalFormatting sqref="C149">
    <cfRule type="cellIs" dxfId="820" priority="798" stopIfTrue="1" operator="equal">
      <formula>"Towel"</formula>
    </cfRule>
    <cfRule type="cellIs" dxfId="819" priority="799" stopIfTrue="1" operator="equal">
      <formula>"Napkin Hs"</formula>
    </cfRule>
  </conditionalFormatting>
  <conditionalFormatting sqref="C149">
    <cfRule type="cellIs" dxfId="818" priority="774" stopIfTrue="1" operator="equal">
      <formula>"Towel"</formula>
    </cfRule>
  </conditionalFormatting>
  <conditionalFormatting sqref="C149">
    <cfRule type="cellIs" dxfId="817" priority="775" stopIfTrue="1" operator="equal">
      <formula>"Napkin Hs"</formula>
    </cfRule>
    <cfRule type="cellIs" dxfId="816" priority="780" stopIfTrue="1" operator="equal">
      <formula>"Towel"</formula>
    </cfRule>
    <cfRule type="cellIs" dxfId="815" priority="781" stopIfTrue="1" operator="equal">
      <formula>"Napkin Hs"</formula>
    </cfRule>
    <cfRule type="cellIs" dxfId="814" priority="790" stopIfTrue="1" operator="equal">
      <formula>"Towel"</formula>
    </cfRule>
    <cfRule type="cellIs" dxfId="813" priority="791" stopIfTrue="1" operator="equal">
      <formula>"Napkin Hs"</formula>
    </cfRule>
    <cfRule type="cellIs" dxfId="812" priority="796" stopIfTrue="1" operator="equal">
      <formula>"Towel"</formula>
    </cfRule>
    <cfRule type="cellIs" dxfId="811" priority="797" stopIfTrue="1" operator="equal">
      <formula>"Napkin Hs"</formula>
    </cfRule>
  </conditionalFormatting>
  <conditionalFormatting sqref="C149">
    <cfRule type="cellIs" dxfId="810" priority="776" stopIfTrue="1" operator="equal">
      <formula>"Towel"</formula>
    </cfRule>
    <cfRule type="cellIs" dxfId="809" priority="777" stopIfTrue="1" operator="equal">
      <formula>"Napkin Hs"</formula>
    </cfRule>
    <cfRule type="cellIs" dxfId="808" priority="778" stopIfTrue="1" operator="equal">
      <formula>"Towel"</formula>
    </cfRule>
    <cfRule type="cellIs" dxfId="807" priority="779" stopIfTrue="1" operator="equal">
      <formula>"Napkin Hs"</formula>
    </cfRule>
    <cfRule type="cellIs" dxfId="806" priority="782" stopIfTrue="1" operator="equal">
      <formula>"Towel"</formula>
    </cfRule>
    <cfRule type="cellIs" dxfId="805" priority="783" stopIfTrue="1" operator="equal">
      <formula>"Napkin Hs"</formula>
    </cfRule>
    <cfRule type="cellIs" dxfId="804" priority="784" stopIfTrue="1" operator="equal">
      <formula>"Towel"</formula>
    </cfRule>
    <cfRule type="cellIs" dxfId="803" priority="785" stopIfTrue="1" operator="equal">
      <formula>"Napkin Hs"</formula>
    </cfRule>
    <cfRule type="cellIs" dxfId="802" priority="786" stopIfTrue="1" operator="equal">
      <formula>"Towel"</formula>
    </cfRule>
    <cfRule type="cellIs" dxfId="801" priority="787" stopIfTrue="1" operator="equal">
      <formula>"Napkin Hs"</formula>
    </cfRule>
    <cfRule type="cellIs" dxfId="800" priority="788" stopIfTrue="1" operator="equal">
      <formula>"Towel"</formula>
    </cfRule>
    <cfRule type="cellIs" dxfId="799" priority="789" stopIfTrue="1" operator="equal">
      <formula>"Napkin Hs"</formula>
    </cfRule>
    <cfRule type="cellIs" dxfId="798" priority="792" stopIfTrue="1" operator="equal">
      <formula>"Towel"</formula>
    </cfRule>
    <cfRule type="cellIs" dxfId="797" priority="793" stopIfTrue="1" operator="equal">
      <formula>"Napkin Hs"</formula>
    </cfRule>
    <cfRule type="cellIs" dxfId="796" priority="795" stopIfTrue="1" operator="equal">
      <formula>"Napkin Hs"</formula>
    </cfRule>
  </conditionalFormatting>
  <conditionalFormatting sqref="C149">
    <cfRule type="cellIs" dxfId="795" priority="794" stopIfTrue="1" operator="equal">
      <formula>"Towel"</formula>
    </cfRule>
  </conditionalFormatting>
  <conditionalFormatting sqref="C149">
    <cfRule type="cellIs" dxfId="794" priority="772" stopIfTrue="1" operator="equal">
      <formula>"Towel"</formula>
    </cfRule>
    <cfRule type="cellIs" dxfId="793" priority="773" stopIfTrue="1" operator="equal">
      <formula>"Napkin Hs"</formula>
    </cfRule>
  </conditionalFormatting>
  <conditionalFormatting sqref="C149">
    <cfRule type="cellIs" dxfId="792" priority="771" stopIfTrue="1" operator="equal">
      <formula>"Napkin Hs"</formula>
    </cfRule>
  </conditionalFormatting>
  <conditionalFormatting sqref="C149">
    <cfRule type="cellIs" dxfId="791" priority="770" stopIfTrue="1" operator="equal">
      <formula>"Towel"</formula>
    </cfRule>
  </conditionalFormatting>
  <conditionalFormatting sqref="C149">
    <cfRule type="cellIs" dxfId="790" priority="768" stopIfTrue="1" operator="equal">
      <formula>"Towel"</formula>
    </cfRule>
  </conditionalFormatting>
  <conditionalFormatting sqref="C149">
    <cfRule type="cellIs" dxfId="789" priority="769" stopIfTrue="1" operator="equal">
      <formula>"Napkin Hs"</formula>
    </cfRule>
  </conditionalFormatting>
  <conditionalFormatting sqref="C149">
    <cfRule type="cellIs" dxfId="788" priority="672" stopIfTrue="1" operator="equal">
      <formula>"Towel"</formula>
    </cfRule>
  </conditionalFormatting>
  <conditionalFormatting sqref="C149">
    <cfRule type="cellIs" dxfId="787" priority="682" stopIfTrue="1" operator="equal">
      <formula>"Towel"</formula>
    </cfRule>
    <cfRule type="cellIs" dxfId="786" priority="683" stopIfTrue="1" operator="equal">
      <formula>"Napkin Hs"</formula>
    </cfRule>
    <cfRule type="cellIs" dxfId="785" priority="688" stopIfTrue="1" operator="equal">
      <formula>"Towel"</formula>
    </cfRule>
    <cfRule type="cellIs" dxfId="784" priority="689" stopIfTrue="1" operator="equal">
      <formula>"Napkin Hs"</formula>
    </cfRule>
    <cfRule type="cellIs" dxfId="783" priority="694" stopIfTrue="1" operator="equal">
      <formula>"Towel"</formula>
    </cfRule>
    <cfRule type="cellIs" dxfId="782" priority="695" stopIfTrue="1" operator="equal">
      <formula>"Napkin Hs"</formula>
    </cfRule>
    <cfRule type="cellIs" dxfId="781" priority="696" stopIfTrue="1" operator="equal">
      <formula>"Towel"</formula>
    </cfRule>
    <cfRule type="cellIs" dxfId="780" priority="697" stopIfTrue="1" operator="equal">
      <formula>"Napkin Hs"</formula>
    </cfRule>
    <cfRule type="cellIs" dxfId="779" priority="702" stopIfTrue="1" operator="equal">
      <formula>"Towel"</formula>
    </cfRule>
    <cfRule type="cellIs" dxfId="778" priority="703" stopIfTrue="1" operator="equal">
      <formula>"Napkin Hs"</formula>
    </cfRule>
    <cfRule type="cellIs" dxfId="777" priority="712" stopIfTrue="1" operator="equal">
      <formula>"Towel"</formula>
    </cfRule>
    <cfRule type="cellIs" dxfId="776" priority="713" stopIfTrue="1" operator="equal">
      <formula>"Napkin Hs"</formula>
    </cfRule>
    <cfRule type="cellIs" dxfId="775" priority="718" stopIfTrue="1" operator="equal">
      <formula>"Towel"</formula>
    </cfRule>
    <cfRule type="cellIs" dxfId="774" priority="719" stopIfTrue="1" operator="equal">
      <formula>"Napkin Hs"</formula>
    </cfRule>
    <cfRule type="cellIs" dxfId="773" priority="720" stopIfTrue="1" operator="equal">
      <formula>"Towel"</formula>
    </cfRule>
    <cfRule type="cellIs" dxfId="772" priority="721" stopIfTrue="1" operator="equal">
      <formula>"Napkin Hs"</formula>
    </cfRule>
    <cfRule type="cellIs" dxfId="771" priority="726" stopIfTrue="1" operator="equal">
      <formula>"Towel"</formula>
    </cfRule>
    <cfRule type="cellIs" dxfId="770" priority="727" stopIfTrue="1" operator="equal">
      <formula>"Napkin Hs"</formula>
    </cfRule>
    <cfRule type="cellIs" dxfId="769" priority="736" stopIfTrue="1" operator="equal">
      <formula>"Towel"</formula>
    </cfRule>
    <cfRule type="cellIs" dxfId="768" priority="737" stopIfTrue="1" operator="equal">
      <formula>"Napkin Hs"</formula>
    </cfRule>
    <cfRule type="cellIs" dxfId="767" priority="738" stopIfTrue="1" operator="equal">
      <formula>"Towel"</formula>
    </cfRule>
    <cfRule type="cellIs" dxfId="766" priority="739" stopIfTrue="1" operator="equal">
      <formula>"Napkin Hs"</formula>
    </cfRule>
    <cfRule type="cellIs" dxfId="765" priority="744" stopIfTrue="1" operator="equal">
      <formula>"Towel"</formula>
    </cfRule>
    <cfRule type="cellIs" dxfId="764" priority="745" stopIfTrue="1" operator="equal">
      <formula>"Napkin Hs"</formula>
    </cfRule>
    <cfRule type="cellIs" dxfId="763" priority="754" stopIfTrue="1" operator="equal">
      <formula>"Towel"</formula>
    </cfRule>
    <cfRule type="cellIs" dxfId="762" priority="755" stopIfTrue="1" operator="equal">
      <formula>"Napkin Hs"</formula>
    </cfRule>
    <cfRule type="cellIs" dxfId="761" priority="756" stopIfTrue="1" operator="equal">
      <formula>"Towel"</formula>
    </cfRule>
    <cfRule type="cellIs" dxfId="760" priority="757" stopIfTrue="1" operator="equal">
      <formula>"Napkin Hs"</formula>
    </cfRule>
    <cfRule type="cellIs" dxfId="759" priority="763" stopIfTrue="1" operator="equal">
      <formula>"Napkin Hs"</formula>
    </cfRule>
  </conditionalFormatting>
  <conditionalFormatting sqref="C149">
    <cfRule type="cellIs" dxfId="758" priority="762" stopIfTrue="1" operator="equal">
      <formula>"Towel"</formula>
    </cfRule>
  </conditionalFormatting>
  <conditionalFormatting sqref="C149">
    <cfRule type="cellIs" dxfId="757" priority="673" stopIfTrue="1" operator="equal">
      <formula>"Napkin Hs"</formula>
    </cfRule>
    <cfRule type="cellIs" dxfId="756" priority="674" stopIfTrue="1" operator="equal">
      <formula>"Towel"</formula>
    </cfRule>
    <cfRule type="cellIs" dxfId="755" priority="675" stopIfTrue="1" operator="equal">
      <formula>"Napkin Hs"</formula>
    </cfRule>
    <cfRule type="cellIs" dxfId="754" priority="676" stopIfTrue="1" operator="equal">
      <formula>"Towel"</formula>
    </cfRule>
    <cfRule type="cellIs" dxfId="753" priority="677" stopIfTrue="1" operator="equal">
      <formula>"Napkin Hs"</formula>
    </cfRule>
    <cfRule type="cellIs" dxfId="752" priority="678" stopIfTrue="1" operator="equal">
      <formula>"Towel"</formula>
    </cfRule>
    <cfRule type="cellIs" dxfId="751" priority="679" stopIfTrue="1" operator="equal">
      <formula>"Napkin Hs"</formula>
    </cfRule>
    <cfRule type="cellIs" dxfId="750" priority="680" stopIfTrue="1" operator="equal">
      <formula>"Towel"</formula>
    </cfRule>
    <cfRule type="cellIs" dxfId="749" priority="681" stopIfTrue="1" operator="equal">
      <formula>"Napkin Hs"</formula>
    </cfRule>
    <cfRule type="cellIs" dxfId="748" priority="684" stopIfTrue="1" operator="equal">
      <formula>"Towel"</formula>
    </cfRule>
    <cfRule type="cellIs" dxfId="747" priority="685" stopIfTrue="1" operator="equal">
      <formula>"Napkin Hs"</formula>
    </cfRule>
    <cfRule type="cellIs" dxfId="746" priority="686" stopIfTrue="1" operator="equal">
      <formula>"Towel"</formula>
    </cfRule>
    <cfRule type="cellIs" dxfId="745" priority="687" stopIfTrue="1" operator="equal">
      <formula>"Napkin Hs"</formula>
    </cfRule>
    <cfRule type="cellIs" dxfId="744" priority="690" stopIfTrue="1" operator="equal">
      <formula>"Towel"</formula>
    </cfRule>
    <cfRule type="cellIs" dxfId="743" priority="691" stopIfTrue="1" operator="equal">
      <formula>"Napkin Hs"</formula>
    </cfRule>
    <cfRule type="cellIs" dxfId="742" priority="692" stopIfTrue="1" operator="equal">
      <formula>"Towel"</formula>
    </cfRule>
    <cfRule type="cellIs" dxfId="741" priority="693" stopIfTrue="1" operator="equal">
      <formula>"Napkin Hs"</formula>
    </cfRule>
    <cfRule type="cellIs" dxfId="740" priority="698" stopIfTrue="1" operator="equal">
      <formula>"Towel"</formula>
    </cfRule>
    <cfRule type="cellIs" dxfId="739" priority="699" stopIfTrue="1" operator="equal">
      <formula>"Napkin Hs"</formula>
    </cfRule>
    <cfRule type="cellIs" dxfId="738" priority="700" stopIfTrue="1" operator="equal">
      <formula>"Towel"</formula>
    </cfRule>
    <cfRule type="cellIs" dxfId="737" priority="701" stopIfTrue="1" operator="equal">
      <formula>"Napkin Hs"</formula>
    </cfRule>
    <cfRule type="cellIs" dxfId="736" priority="704" stopIfTrue="1" operator="equal">
      <formula>"Towel"</formula>
    </cfRule>
    <cfRule type="cellIs" dxfId="735" priority="705" stopIfTrue="1" operator="equal">
      <formula>"Napkin Hs"</formula>
    </cfRule>
    <cfRule type="cellIs" dxfId="734" priority="706" stopIfTrue="1" operator="equal">
      <formula>"Towel"</formula>
    </cfRule>
    <cfRule type="cellIs" dxfId="733" priority="707" stopIfTrue="1" operator="equal">
      <formula>"Napkin Hs"</formula>
    </cfRule>
    <cfRule type="cellIs" dxfId="732" priority="708" stopIfTrue="1" operator="equal">
      <formula>"Towel"</formula>
    </cfRule>
    <cfRule type="cellIs" dxfId="731" priority="709" stopIfTrue="1" operator="equal">
      <formula>"Napkin Hs"</formula>
    </cfRule>
    <cfRule type="cellIs" dxfId="730" priority="710" stopIfTrue="1" operator="equal">
      <formula>"Towel"</formula>
    </cfRule>
    <cfRule type="cellIs" dxfId="729" priority="711" stopIfTrue="1" operator="equal">
      <formula>"Napkin Hs"</formula>
    </cfRule>
    <cfRule type="cellIs" dxfId="728" priority="714" stopIfTrue="1" operator="equal">
      <formula>"Towel"</formula>
    </cfRule>
    <cfRule type="cellIs" dxfId="727" priority="715" stopIfTrue="1" operator="equal">
      <formula>"Napkin Hs"</formula>
    </cfRule>
    <cfRule type="cellIs" dxfId="726" priority="716" stopIfTrue="1" operator="equal">
      <formula>"Towel"</formula>
    </cfRule>
    <cfRule type="cellIs" dxfId="725" priority="717" stopIfTrue="1" operator="equal">
      <formula>"Napkin Hs"</formula>
    </cfRule>
    <cfRule type="cellIs" dxfId="724" priority="722" stopIfTrue="1" operator="equal">
      <formula>"Towel"</formula>
    </cfRule>
    <cfRule type="cellIs" dxfId="723" priority="723" stopIfTrue="1" operator="equal">
      <formula>"Napkin Hs"</formula>
    </cfRule>
    <cfRule type="cellIs" dxfId="722" priority="724" stopIfTrue="1" operator="equal">
      <formula>"Towel"</formula>
    </cfRule>
    <cfRule type="cellIs" dxfId="721" priority="725" stopIfTrue="1" operator="equal">
      <formula>"Napkin Hs"</formula>
    </cfRule>
    <cfRule type="cellIs" dxfId="720" priority="728" stopIfTrue="1" operator="equal">
      <formula>"Towel"</formula>
    </cfRule>
    <cfRule type="cellIs" dxfId="719" priority="729" stopIfTrue="1" operator="equal">
      <formula>"Napkin Hs"</formula>
    </cfRule>
    <cfRule type="cellIs" dxfId="718" priority="730" stopIfTrue="1" operator="equal">
      <formula>"Towel"</formula>
    </cfRule>
    <cfRule type="cellIs" dxfId="717" priority="731" stopIfTrue="1" operator="equal">
      <formula>"Napkin Hs"</formula>
    </cfRule>
    <cfRule type="cellIs" dxfId="716" priority="732" stopIfTrue="1" operator="equal">
      <formula>"Towel"</formula>
    </cfRule>
    <cfRule type="cellIs" dxfId="715" priority="733" stopIfTrue="1" operator="equal">
      <formula>"Napkin Hs"</formula>
    </cfRule>
    <cfRule type="cellIs" dxfId="714" priority="734" stopIfTrue="1" operator="equal">
      <formula>"Towel"</formula>
    </cfRule>
    <cfRule type="cellIs" dxfId="713" priority="735" stopIfTrue="1" operator="equal">
      <formula>"Napkin Hs"</formula>
    </cfRule>
    <cfRule type="cellIs" dxfId="712" priority="740" stopIfTrue="1" operator="equal">
      <formula>"Towel"</formula>
    </cfRule>
    <cfRule type="cellIs" dxfId="711" priority="741" stopIfTrue="1" operator="equal">
      <formula>"Napkin Hs"</formula>
    </cfRule>
    <cfRule type="cellIs" dxfId="710" priority="742" stopIfTrue="1" operator="equal">
      <formula>"Towel"</formula>
    </cfRule>
    <cfRule type="cellIs" dxfId="709" priority="743" stopIfTrue="1" operator="equal">
      <formula>"Napkin Hs"</formula>
    </cfRule>
    <cfRule type="cellIs" dxfId="708" priority="746" stopIfTrue="1" operator="equal">
      <formula>"Towel"</formula>
    </cfRule>
    <cfRule type="cellIs" dxfId="707" priority="747" stopIfTrue="1" operator="equal">
      <formula>"Napkin Hs"</formula>
    </cfRule>
    <cfRule type="cellIs" dxfId="706" priority="748" stopIfTrue="1" operator="equal">
      <formula>"Towel"</formula>
    </cfRule>
    <cfRule type="cellIs" dxfId="705" priority="749" stopIfTrue="1" operator="equal">
      <formula>"Napkin Hs"</formula>
    </cfRule>
    <cfRule type="cellIs" dxfId="704" priority="750" stopIfTrue="1" operator="equal">
      <formula>"Towel"</formula>
    </cfRule>
    <cfRule type="cellIs" dxfId="703" priority="751" stopIfTrue="1" operator="equal">
      <formula>"Napkin Hs"</formula>
    </cfRule>
    <cfRule type="cellIs" dxfId="702" priority="752" stopIfTrue="1" operator="equal">
      <formula>"Towel"</formula>
    </cfRule>
    <cfRule type="cellIs" dxfId="701" priority="753" stopIfTrue="1" operator="equal">
      <formula>"Napkin Hs"</formula>
    </cfRule>
    <cfRule type="cellIs" dxfId="700" priority="758" stopIfTrue="1" operator="equal">
      <formula>"Towel"</formula>
    </cfRule>
    <cfRule type="cellIs" dxfId="699" priority="759" stopIfTrue="1" operator="equal">
      <formula>"Napkin Hs"</formula>
    </cfRule>
    <cfRule type="cellIs" dxfId="698" priority="760" stopIfTrue="1" operator="equal">
      <formula>"Towel"</formula>
    </cfRule>
    <cfRule type="cellIs" dxfId="697" priority="761" stopIfTrue="1" operator="equal">
      <formula>"Napkin Hs"</formula>
    </cfRule>
    <cfRule type="cellIs" dxfId="696" priority="764" stopIfTrue="1" operator="equal">
      <formula>"Towel"</formula>
    </cfRule>
    <cfRule type="cellIs" dxfId="695" priority="765" stopIfTrue="1" operator="equal">
      <formula>"Napkin Hs"</formula>
    </cfRule>
    <cfRule type="cellIs" dxfId="694" priority="766" stopIfTrue="1" operator="equal">
      <formula>"Towel"</formula>
    </cfRule>
    <cfRule type="cellIs" dxfId="693" priority="767" stopIfTrue="1" operator="equal">
      <formula>"Napkin Hs"</formula>
    </cfRule>
  </conditionalFormatting>
  <conditionalFormatting sqref="C149">
    <cfRule type="cellIs" dxfId="692" priority="671" stopIfTrue="1" operator="equal">
      <formula>"Napkin Hs"</formula>
    </cfRule>
  </conditionalFormatting>
  <conditionalFormatting sqref="C149">
    <cfRule type="cellIs" dxfId="691" priority="670" stopIfTrue="1" operator="equal">
      <formula>"Napkin Hs"</formula>
    </cfRule>
  </conditionalFormatting>
  <conditionalFormatting sqref="C149">
    <cfRule type="cellIs" dxfId="690" priority="669" stopIfTrue="1" operator="equal">
      <formula>"Napkin Hs"</formula>
    </cfRule>
  </conditionalFormatting>
  <conditionalFormatting sqref="C149">
    <cfRule type="cellIs" dxfId="689" priority="668" stopIfTrue="1" operator="equal">
      <formula>"Napkin Hs"</formula>
    </cfRule>
  </conditionalFormatting>
  <conditionalFormatting sqref="C149">
    <cfRule type="cellIs" dxfId="688" priority="667" stopIfTrue="1" operator="equal">
      <formula>"Napkin Hs"</formula>
    </cfRule>
  </conditionalFormatting>
  <conditionalFormatting sqref="C149">
    <cfRule type="cellIs" dxfId="687" priority="666" stopIfTrue="1" operator="equal">
      <formula>"Napkin Hs"</formula>
    </cfRule>
  </conditionalFormatting>
  <conditionalFormatting sqref="C149">
    <cfRule type="cellIs" dxfId="686" priority="662" stopIfTrue="1" operator="equal">
      <formula>"Towel"</formula>
    </cfRule>
    <cfRule type="cellIs" dxfId="685" priority="663" stopIfTrue="1" operator="equal">
      <formula>"Napkin Hs"</formula>
    </cfRule>
  </conditionalFormatting>
  <conditionalFormatting sqref="C149">
    <cfRule type="cellIs" dxfId="684" priority="664" stopIfTrue="1" operator="equal">
      <formula>"Towel"</formula>
    </cfRule>
    <cfRule type="cellIs" dxfId="683" priority="665" stopIfTrue="1" operator="equal">
      <formula>"Napkin Hs"</formula>
    </cfRule>
  </conditionalFormatting>
  <conditionalFormatting sqref="C149">
    <cfRule type="cellIs" dxfId="682" priority="658" stopIfTrue="1" operator="equal">
      <formula>"Towel"</formula>
    </cfRule>
    <cfRule type="cellIs" dxfId="681" priority="659" stopIfTrue="1" operator="equal">
      <formula>"Napkin Hs"</formula>
    </cfRule>
  </conditionalFormatting>
  <conditionalFormatting sqref="C149">
    <cfRule type="cellIs" dxfId="680" priority="660" stopIfTrue="1" operator="equal">
      <formula>"Towel"</formula>
    </cfRule>
    <cfRule type="cellIs" dxfId="679" priority="661" stopIfTrue="1" operator="equal">
      <formula>"Napkin Hs"</formula>
    </cfRule>
  </conditionalFormatting>
  <conditionalFormatting sqref="C149:C150">
    <cfRule type="cellIs" dxfId="678" priority="656" stopIfTrue="1" operator="equal">
      <formula>"Towel"</formula>
    </cfRule>
    <cfRule type="cellIs" dxfId="677" priority="657" stopIfTrue="1" operator="equal">
      <formula>"Napkin Hs"</formula>
    </cfRule>
  </conditionalFormatting>
  <conditionalFormatting sqref="C149:C150">
    <cfRule type="cellIs" dxfId="676" priority="652" stopIfTrue="1" operator="equal">
      <formula>"Towel"</formula>
    </cfRule>
    <cfRule type="cellIs" dxfId="675" priority="653" stopIfTrue="1" operator="equal">
      <formula>"Napkin Hs"</formula>
    </cfRule>
  </conditionalFormatting>
  <conditionalFormatting sqref="C149:C150">
    <cfRule type="cellIs" dxfId="674" priority="654" stopIfTrue="1" operator="equal">
      <formula>"Towel"</formula>
    </cfRule>
    <cfRule type="cellIs" dxfId="673" priority="655" stopIfTrue="1" operator="equal">
      <formula>"Napkin Hs"</formula>
    </cfRule>
  </conditionalFormatting>
  <conditionalFormatting sqref="C149:C150">
    <cfRule type="cellIs" dxfId="672" priority="648" stopIfTrue="1" operator="equal">
      <formula>"Towel"</formula>
    </cfRule>
    <cfRule type="cellIs" dxfId="671" priority="649" stopIfTrue="1" operator="equal">
      <formula>"Napkin Hs"</formula>
    </cfRule>
  </conditionalFormatting>
  <conditionalFormatting sqref="C149:C150">
    <cfRule type="cellIs" dxfId="670" priority="650" stopIfTrue="1" operator="equal">
      <formula>"Towel"</formula>
    </cfRule>
    <cfRule type="cellIs" dxfId="669" priority="651" stopIfTrue="1" operator="equal">
      <formula>"Napkin Hs"</formula>
    </cfRule>
  </conditionalFormatting>
  <conditionalFormatting sqref="C149:C150">
    <cfRule type="cellIs" dxfId="668" priority="646" stopIfTrue="1" operator="equal">
      <formula>"Towel"</formula>
    </cfRule>
    <cfRule type="cellIs" dxfId="667" priority="647" stopIfTrue="1" operator="equal">
      <formula>"Napkin Hs"</formula>
    </cfRule>
  </conditionalFormatting>
  <conditionalFormatting sqref="C149:C150">
    <cfRule type="cellIs" dxfId="666" priority="640" stopIfTrue="1" operator="equal">
      <formula>"Towel"</formula>
    </cfRule>
    <cfRule type="cellIs" dxfId="665" priority="641" stopIfTrue="1" operator="equal">
      <formula>"Napkin Hs"</formula>
    </cfRule>
  </conditionalFormatting>
  <conditionalFormatting sqref="C149:C150">
    <cfRule type="cellIs" dxfId="664" priority="644" stopIfTrue="1" operator="equal">
      <formula>"Towel"</formula>
    </cfRule>
    <cfRule type="cellIs" dxfId="663" priority="645" stopIfTrue="1" operator="equal">
      <formula>"Napkin Hs"</formula>
    </cfRule>
  </conditionalFormatting>
  <conditionalFormatting sqref="C149:C150">
    <cfRule type="cellIs" dxfId="662" priority="642" stopIfTrue="1" operator="equal">
      <formula>"Towel"</formula>
    </cfRule>
    <cfRule type="cellIs" dxfId="661" priority="643" stopIfTrue="1" operator="equal">
      <formula>"Napkin Hs"</formula>
    </cfRule>
  </conditionalFormatting>
  <conditionalFormatting sqref="C149:C150">
    <cfRule type="cellIs" dxfId="660" priority="634" stopIfTrue="1" operator="equal">
      <formula>"Towel"</formula>
    </cfRule>
    <cfRule type="cellIs" dxfId="659" priority="635" stopIfTrue="1" operator="equal">
      <formula>"Napkin Hs"</formula>
    </cfRule>
  </conditionalFormatting>
  <conditionalFormatting sqref="C149:C150">
    <cfRule type="cellIs" dxfId="658" priority="636" stopIfTrue="1" operator="equal">
      <formula>"Towel"</formula>
    </cfRule>
    <cfRule type="cellIs" dxfId="657" priority="637" stopIfTrue="1" operator="equal">
      <formula>"Napkin Hs"</formula>
    </cfRule>
  </conditionalFormatting>
  <conditionalFormatting sqref="C149:C150">
    <cfRule type="cellIs" dxfId="656" priority="638" stopIfTrue="1" operator="equal">
      <formula>"Towel"</formula>
    </cfRule>
    <cfRule type="cellIs" dxfId="655" priority="639" stopIfTrue="1" operator="equal">
      <formula>"Napkin Hs"</formula>
    </cfRule>
  </conditionalFormatting>
  <conditionalFormatting sqref="C149:C150">
    <cfRule type="cellIs" dxfId="654" priority="632" stopIfTrue="1" operator="equal">
      <formula>"Towel"</formula>
    </cfRule>
    <cfRule type="cellIs" dxfId="653" priority="633" stopIfTrue="1" operator="equal">
      <formula>"Napkin Hs"</formula>
    </cfRule>
  </conditionalFormatting>
  <conditionalFormatting sqref="C149:C150">
    <cfRule type="cellIs" dxfId="652" priority="630" stopIfTrue="1" operator="equal">
      <formula>"Towel"</formula>
    </cfRule>
    <cfRule type="cellIs" dxfId="651" priority="631" stopIfTrue="1" operator="equal">
      <formula>"Napkin Hs"</formula>
    </cfRule>
  </conditionalFormatting>
  <conditionalFormatting sqref="C149:C150">
    <cfRule type="cellIs" dxfId="650" priority="606" stopIfTrue="1" operator="equal">
      <formula>"Towel"</formula>
    </cfRule>
  </conditionalFormatting>
  <conditionalFormatting sqref="C149:C150">
    <cfRule type="cellIs" dxfId="649" priority="607" stopIfTrue="1" operator="equal">
      <formula>"Napkin Hs"</formula>
    </cfRule>
    <cfRule type="cellIs" dxfId="648" priority="612" stopIfTrue="1" operator="equal">
      <formula>"Towel"</formula>
    </cfRule>
    <cfRule type="cellIs" dxfId="647" priority="613" stopIfTrue="1" operator="equal">
      <formula>"Napkin Hs"</formula>
    </cfRule>
    <cfRule type="cellIs" dxfId="646" priority="622" stopIfTrue="1" operator="equal">
      <formula>"Towel"</formula>
    </cfRule>
    <cfRule type="cellIs" dxfId="645" priority="623" stopIfTrue="1" operator="equal">
      <formula>"Napkin Hs"</formula>
    </cfRule>
    <cfRule type="cellIs" dxfId="644" priority="628" stopIfTrue="1" operator="equal">
      <formula>"Towel"</formula>
    </cfRule>
    <cfRule type="cellIs" dxfId="643" priority="629" stopIfTrue="1" operator="equal">
      <formula>"Napkin Hs"</formula>
    </cfRule>
  </conditionalFormatting>
  <conditionalFormatting sqref="C149:C150">
    <cfRule type="cellIs" dxfId="642" priority="608" stopIfTrue="1" operator="equal">
      <formula>"Towel"</formula>
    </cfRule>
    <cfRule type="cellIs" dxfId="641" priority="609" stopIfTrue="1" operator="equal">
      <formula>"Napkin Hs"</formula>
    </cfRule>
    <cfRule type="cellIs" dxfId="640" priority="610" stopIfTrue="1" operator="equal">
      <formula>"Towel"</formula>
    </cfRule>
    <cfRule type="cellIs" dxfId="639" priority="611" stopIfTrue="1" operator="equal">
      <formula>"Napkin Hs"</formula>
    </cfRule>
    <cfRule type="cellIs" dxfId="638" priority="614" stopIfTrue="1" operator="equal">
      <formula>"Towel"</formula>
    </cfRule>
    <cfRule type="cellIs" dxfId="637" priority="615" stopIfTrue="1" operator="equal">
      <formula>"Napkin Hs"</formula>
    </cfRule>
    <cfRule type="cellIs" dxfId="636" priority="616" stopIfTrue="1" operator="equal">
      <formula>"Towel"</formula>
    </cfRule>
    <cfRule type="cellIs" dxfId="635" priority="617" stopIfTrue="1" operator="equal">
      <formula>"Napkin Hs"</formula>
    </cfRule>
    <cfRule type="cellIs" dxfId="634" priority="618" stopIfTrue="1" operator="equal">
      <formula>"Towel"</formula>
    </cfRule>
    <cfRule type="cellIs" dxfId="633" priority="619" stopIfTrue="1" operator="equal">
      <formula>"Napkin Hs"</formula>
    </cfRule>
    <cfRule type="cellIs" dxfId="632" priority="620" stopIfTrue="1" operator="equal">
      <formula>"Towel"</formula>
    </cfRule>
    <cfRule type="cellIs" dxfId="631" priority="621" stopIfTrue="1" operator="equal">
      <formula>"Napkin Hs"</formula>
    </cfRule>
    <cfRule type="cellIs" dxfId="630" priority="624" stopIfTrue="1" operator="equal">
      <formula>"Towel"</formula>
    </cfRule>
    <cfRule type="cellIs" dxfId="629" priority="625" stopIfTrue="1" operator="equal">
      <formula>"Napkin Hs"</formula>
    </cfRule>
    <cfRule type="cellIs" dxfId="628" priority="627" stopIfTrue="1" operator="equal">
      <formula>"Napkin Hs"</formula>
    </cfRule>
  </conditionalFormatting>
  <conditionalFormatting sqref="C149:C150">
    <cfRule type="cellIs" dxfId="627" priority="626" stopIfTrue="1" operator="equal">
      <formula>"Towel"</formula>
    </cfRule>
  </conditionalFormatting>
  <conditionalFormatting sqref="C149:C150">
    <cfRule type="cellIs" dxfId="626" priority="604" stopIfTrue="1" operator="equal">
      <formula>"Towel"</formula>
    </cfRule>
    <cfRule type="cellIs" dxfId="625" priority="605" stopIfTrue="1" operator="equal">
      <formula>"Napkin Hs"</formula>
    </cfRule>
  </conditionalFormatting>
  <conditionalFormatting sqref="C149:C150">
    <cfRule type="cellIs" dxfId="624" priority="603" stopIfTrue="1" operator="equal">
      <formula>"Napkin Hs"</formula>
    </cfRule>
  </conditionalFormatting>
  <conditionalFormatting sqref="C149:C150">
    <cfRule type="cellIs" dxfId="623" priority="602" stopIfTrue="1" operator="equal">
      <formula>"Towel"</formula>
    </cfRule>
  </conditionalFormatting>
  <conditionalFormatting sqref="C149:C150">
    <cfRule type="cellIs" dxfId="622" priority="600" stopIfTrue="1" operator="equal">
      <formula>"Towel"</formula>
    </cfRule>
  </conditionalFormatting>
  <conditionalFormatting sqref="C149:C150">
    <cfRule type="cellIs" dxfId="621" priority="601" stopIfTrue="1" operator="equal">
      <formula>"Napkin Hs"</formula>
    </cfRule>
  </conditionalFormatting>
  <conditionalFormatting sqref="C149:C150">
    <cfRule type="cellIs" dxfId="620" priority="504" stopIfTrue="1" operator="equal">
      <formula>"Towel"</formula>
    </cfRule>
  </conditionalFormatting>
  <conditionalFormatting sqref="C149:C150">
    <cfRule type="cellIs" dxfId="619" priority="514" stopIfTrue="1" operator="equal">
      <formula>"Towel"</formula>
    </cfRule>
    <cfRule type="cellIs" dxfId="618" priority="515" stopIfTrue="1" operator="equal">
      <formula>"Napkin Hs"</formula>
    </cfRule>
    <cfRule type="cellIs" dxfId="617" priority="520" stopIfTrue="1" operator="equal">
      <formula>"Towel"</formula>
    </cfRule>
    <cfRule type="cellIs" dxfId="616" priority="521" stopIfTrue="1" operator="equal">
      <formula>"Napkin Hs"</formula>
    </cfRule>
    <cfRule type="cellIs" dxfId="615" priority="526" stopIfTrue="1" operator="equal">
      <formula>"Towel"</formula>
    </cfRule>
    <cfRule type="cellIs" dxfId="614" priority="527" stopIfTrue="1" operator="equal">
      <formula>"Napkin Hs"</formula>
    </cfRule>
    <cfRule type="cellIs" dxfId="613" priority="528" stopIfTrue="1" operator="equal">
      <formula>"Towel"</formula>
    </cfRule>
    <cfRule type="cellIs" dxfId="612" priority="529" stopIfTrue="1" operator="equal">
      <formula>"Napkin Hs"</formula>
    </cfRule>
    <cfRule type="cellIs" dxfId="611" priority="534" stopIfTrue="1" operator="equal">
      <formula>"Towel"</formula>
    </cfRule>
    <cfRule type="cellIs" dxfId="610" priority="535" stopIfTrue="1" operator="equal">
      <formula>"Napkin Hs"</formula>
    </cfRule>
    <cfRule type="cellIs" dxfId="609" priority="544" stopIfTrue="1" operator="equal">
      <formula>"Towel"</formula>
    </cfRule>
    <cfRule type="cellIs" dxfId="608" priority="545" stopIfTrue="1" operator="equal">
      <formula>"Napkin Hs"</formula>
    </cfRule>
    <cfRule type="cellIs" dxfId="607" priority="550" stopIfTrue="1" operator="equal">
      <formula>"Towel"</formula>
    </cfRule>
    <cfRule type="cellIs" dxfId="606" priority="551" stopIfTrue="1" operator="equal">
      <formula>"Napkin Hs"</formula>
    </cfRule>
    <cfRule type="cellIs" dxfId="605" priority="552" stopIfTrue="1" operator="equal">
      <formula>"Towel"</formula>
    </cfRule>
    <cfRule type="cellIs" dxfId="604" priority="553" stopIfTrue="1" operator="equal">
      <formula>"Napkin Hs"</formula>
    </cfRule>
    <cfRule type="cellIs" dxfId="603" priority="558" stopIfTrue="1" operator="equal">
      <formula>"Towel"</formula>
    </cfRule>
    <cfRule type="cellIs" dxfId="602" priority="559" stopIfTrue="1" operator="equal">
      <formula>"Napkin Hs"</formula>
    </cfRule>
    <cfRule type="cellIs" dxfId="601" priority="568" stopIfTrue="1" operator="equal">
      <formula>"Towel"</formula>
    </cfRule>
    <cfRule type="cellIs" dxfId="600" priority="569" stopIfTrue="1" operator="equal">
      <formula>"Napkin Hs"</formula>
    </cfRule>
    <cfRule type="cellIs" dxfId="599" priority="570" stopIfTrue="1" operator="equal">
      <formula>"Towel"</formula>
    </cfRule>
    <cfRule type="cellIs" dxfId="598" priority="571" stopIfTrue="1" operator="equal">
      <formula>"Napkin Hs"</formula>
    </cfRule>
    <cfRule type="cellIs" dxfId="597" priority="576" stopIfTrue="1" operator="equal">
      <formula>"Towel"</formula>
    </cfRule>
    <cfRule type="cellIs" dxfId="596" priority="577" stopIfTrue="1" operator="equal">
      <formula>"Napkin Hs"</formula>
    </cfRule>
    <cfRule type="cellIs" dxfId="595" priority="586" stopIfTrue="1" operator="equal">
      <formula>"Towel"</formula>
    </cfRule>
    <cfRule type="cellIs" dxfId="594" priority="587" stopIfTrue="1" operator="equal">
      <formula>"Napkin Hs"</formula>
    </cfRule>
    <cfRule type="cellIs" dxfId="593" priority="588" stopIfTrue="1" operator="equal">
      <formula>"Towel"</formula>
    </cfRule>
    <cfRule type="cellIs" dxfId="592" priority="589" stopIfTrue="1" operator="equal">
      <formula>"Napkin Hs"</formula>
    </cfRule>
    <cfRule type="cellIs" dxfId="591" priority="595" stopIfTrue="1" operator="equal">
      <formula>"Napkin Hs"</formula>
    </cfRule>
  </conditionalFormatting>
  <conditionalFormatting sqref="C149:C150">
    <cfRule type="cellIs" dxfId="590" priority="594" stopIfTrue="1" operator="equal">
      <formula>"Towel"</formula>
    </cfRule>
  </conditionalFormatting>
  <conditionalFormatting sqref="C149:C150">
    <cfRule type="cellIs" dxfId="589" priority="505" stopIfTrue="1" operator="equal">
      <formula>"Napkin Hs"</formula>
    </cfRule>
    <cfRule type="cellIs" dxfId="588" priority="506" stopIfTrue="1" operator="equal">
      <formula>"Towel"</formula>
    </cfRule>
    <cfRule type="cellIs" dxfId="587" priority="507" stopIfTrue="1" operator="equal">
      <formula>"Napkin Hs"</formula>
    </cfRule>
    <cfRule type="cellIs" dxfId="586" priority="508" stopIfTrue="1" operator="equal">
      <formula>"Towel"</formula>
    </cfRule>
    <cfRule type="cellIs" dxfId="585" priority="509" stopIfTrue="1" operator="equal">
      <formula>"Napkin Hs"</formula>
    </cfRule>
    <cfRule type="cellIs" dxfId="584" priority="510" stopIfTrue="1" operator="equal">
      <formula>"Towel"</formula>
    </cfRule>
    <cfRule type="cellIs" dxfId="583" priority="511" stopIfTrue="1" operator="equal">
      <formula>"Napkin Hs"</formula>
    </cfRule>
    <cfRule type="cellIs" dxfId="582" priority="512" stopIfTrue="1" operator="equal">
      <formula>"Towel"</formula>
    </cfRule>
    <cfRule type="cellIs" dxfId="581" priority="513" stopIfTrue="1" operator="equal">
      <formula>"Napkin Hs"</formula>
    </cfRule>
    <cfRule type="cellIs" dxfId="580" priority="516" stopIfTrue="1" operator="equal">
      <formula>"Towel"</formula>
    </cfRule>
    <cfRule type="cellIs" dxfId="579" priority="517" stopIfTrue="1" operator="equal">
      <formula>"Napkin Hs"</formula>
    </cfRule>
    <cfRule type="cellIs" dxfId="578" priority="518" stopIfTrue="1" operator="equal">
      <formula>"Towel"</formula>
    </cfRule>
    <cfRule type="cellIs" dxfId="577" priority="519" stopIfTrue="1" operator="equal">
      <formula>"Napkin Hs"</formula>
    </cfRule>
    <cfRule type="cellIs" dxfId="576" priority="522" stopIfTrue="1" operator="equal">
      <formula>"Towel"</formula>
    </cfRule>
    <cfRule type="cellIs" dxfId="575" priority="523" stopIfTrue="1" operator="equal">
      <formula>"Napkin Hs"</formula>
    </cfRule>
    <cfRule type="cellIs" dxfId="574" priority="524" stopIfTrue="1" operator="equal">
      <formula>"Towel"</formula>
    </cfRule>
    <cfRule type="cellIs" dxfId="573" priority="525" stopIfTrue="1" operator="equal">
      <formula>"Napkin Hs"</formula>
    </cfRule>
    <cfRule type="cellIs" dxfId="572" priority="530" stopIfTrue="1" operator="equal">
      <formula>"Towel"</formula>
    </cfRule>
    <cfRule type="cellIs" dxfId="571" priority="531" stopIfTrue="1" operator="equal">
      <formula>"Napkin Hs"</formula>
    </cfRule>
    <cfRule type="cellIs" dxfId="570" priority="532" stopIfTrue="1" operator="equal">
      <formula>"Towel"</formula>
    </cfRule>
    <cfRule type="cellIs" dxfId="569" priority="533" stopIfTrue="1" operator="equal">
      <formula>"Napkin Hs"</formula>
    </cfRule>
    <cfRule type="cellIs" dxfId="568" priority="536" stopIfTrue="1" operator="equal">
      <formula>"Towel"</formula>
    </cfRule>
    <cfRule type="cellIs" dxfId="567" priority="537" stopIfTrue="1" operator="equal">
      <formula>"Napkin Hs"</formula>
    </cfRule>
    <cfRule type="cellIs" dxfId="566" priority="538" stopIfTrue="1" operator="equal">
      <formula>"Towel"</formula>
    </cfRule>
    <cfRule type="cellIs" dxfId="565" priority="539" stopIfTrue="1" operator="equal">
      <formula>"Napkin Hs"</formula>
    </cfRule>
    <cfRule type="cellIs" dxfId="564" priority="540" stopIfTrue="1" operator="equal">
      <formula>"Towel"</formula>
    </cfRule>
    <cfRule type="cellIs" dxfId="563" priority="541" stopIfTrue="1" operator="equal">
      <formula>"Napkin Hs"</formula>
    </cfRule>
    <cfRule type="cellIs" dxfId="562" priority="542" stopIfTrue="1" operator="equal">
      <formula>"Towel"</formula>
    </cfRule>
    <cfRule type="cellIs" dxfId="561" priority="543" stopIfTrue="1" operator="equal">
      <formula>"Napkin Hs"</formula>
    </cfRule>
    <cfRule type="cellIs" dxfId="560" priority="546" stopIfTrue="1" operator="equal">
      <formula>"Towel"</formula>
    </cfRule>
    <cfRule type="cellIs" dxfId="559" priority="547" stopIfTrue="1" operator="equal">
      <formula>"Napkin Hs"</formula>
    </cfRule>
    <cfRule type="cellIs" dxfId="558" priority="548" stopIfTrue="1" operator="equal">
      <formula>"Towel"</formula>
    </cfRule>
    <cfRule type="cellIs" dxfId="557" priority="549" stopIfTrue="1" operator="equal">
      <formula>"Napkin Hs"</formula>
    </cfRule>
    <cfRule type="cellIs" dxfId="556" priority="554" stopIfTrue="1" operator="equal">
      <formula>"Towel"</formula>
    </cfRule>
    <cfRule type="cellIs" dxfId="555" priority="555" stopIfTrue="1" operator="equal">
      <formula>"Napkin Hs"</formula>
    </cfRule>
    <cfRule type="cellIs" dxfId="554" priority="556" stopIfTrue="1" operator="equal">
      <formula>"Towel"</formula>
    </cfRule>
    <cfRule type="cellIs" dxfId="553" priority="557" stopIfTrue="1" operator="equal">
      <formula>"Napkin Hs"</formula>
    </cfRule>
    <cfRule type="cellIs" dxfId="552" priority="560" stopIfTrue="1" operator="equal">
      <formula>"Towel"</formula>
    </cfRule>
    <cfRule type="cellIs" dxfId="551" priority="561" stopIfTrue="1" operator="equal">
      <formula>"Napkin Hs"</formula>
    </cfRule>
    <cfRule type="cellIs" dxfId="550" priority="562" stopIfTrue="1" operator="equal">
      <formula>"Towel"</formula>
    </cfRule>
    <cfRule type="cellIs" dxfId="549" priority="563" stopIfTrue="1" operator="equal">
      <formula>"Napkin Hs"</formula>
    </cfRule>
    <cfRule type="cellIs" dxfId="548" priority="564" stopIfTrue="1" operator="equal">
      <formula>"Towel"</formula>
    </cfRule>
    <cfRule type="cellIs" dxfId="547" priority="565" stopIfTrue="1" operator="equal">
      <formula>"Napkin Hs"</formula>
    </cfRule>
    <cfRule type="cellIs" dxfId="546" priority="566" stopIfTrue="1" operator="equal">
      <formula>"Towel"</formula>
    </cfRule>
    <cfRule type="cellIs" dxfId="545" priority="567" stopIfTrue="1" operator="equal">
      <formula>"Napkin Hs"</formula>
    </cfRule>
    <cfRule type="cellIs" dxfId="544" priority="572" stopIfTrue="1" operator="equal">
      <formula>"Towel"</formula>
    </cfRule>
    <cfRule type="cellIs" dxfId="543" priority="573" stopIfTrue="1" operator="equal">
      <formula>"Napkin Hs"</formula>
    </cfRule>
    <cfRule type="cellIs" dxfId="542" priority="574" stopIfTrue="1" operator="equal">
      <formula>"Towel"</formula>
    </cfRule>
    <cfRule type="cellIs" dxfId="541" priority="575" stopIfTrue="1" operator="equal">
      <formula>"Napkin Hs"</formula>
    </cfRule>
    <cfRule type="cellIs" dxfId="540" priority="578" stopIfTrue="1" operator="equal">
      <formula>"Towel"</formula>
    </cfRule>
    <cfRule type="cellIs" dxfId="539" priority="579" stopIfTrue="1" operator="equal">
      <formula>"Napkin Hs"</formula>
    </cfRule>
    <cfRule type="cellIs" dxfId="538" priority="580" stopIfTrue="1" operator="equal">
      <formula>"Towel"</formula>
    </cfRule>
    <cfRule type="cellIs" dxfId="537" priority="581" stopIfTrue="1" operator="equal">
      <formula>"Napkin Hs"</formula>
    </cfRule>
    <cfRule type="cellIs" dxfId="536" priority="582" stopIfTrue="1" operator="equal">
      <formula>"Towel"</formula>
    </cfRule>
    <cfRule type="cellIs" dxfId="535" priority="583" stopIfTrue="1" operator="equal">
      <formula>"Napkin Hs"</formula>
    </cfRule>
    <cfRule type="cellIs" dxfId="534" priority="584" stopIfTrue="1" operator="equal">
      <formula>"Towel"</formula>
    </cfRule>
    <cfRule type="cellIs" dxfId="533" priority="585" stopIfTrue="1" operator="equal">
      <formula>"Napkin Hs"</formula>
    </cfRule>
    <cfRule type="cellIs" dxfId="532" priority="590" stopIfTrue="1" operator="equal">
      <formula>"Towel"</formula>
    </cfRule>
    <cfRule type="cellIs" dxfId="531" priority="591" stopIfTrue="1" operator="equal">
      <formula>"Napkin Hs"</formula>
    </cfRule>
    <cfRule type="cellIs" dxfId="530" priority="592" stopIfTrue="1" operator="equal">
      <formula>"Towel"</formula>
    </cfRule>
    <cfRule type="cellIs" dxfId="529" priority="593" stopIfTrue="1" operator="equal">
      <formula>"Napkin Hs"</formula>
    </cfRule>
    <cfRule type="cellIs" dxfId="528" priority="596" stopIfTrue="1" operator="equal">
      <formula>"Towel"</formula>
    </cfRule>
    <cfRule type="cellIs" dxfId="527" priority="597" stopIfTrue="1" operator="equal">
      <formula>"Napkin Hs"</formula>
    </cfRule>
    <cfRule type="cellIs" dxfId="526" priority="598" stopIfTrue="1" operator="equal">
      <formula>"Towel"</formula>
    </cfRule>
    <cfRule type="cellIs" dxfId="525" priority="599" stopIfTrue="1" operator="equal">
      <formula>"Napkin Hs"</formula>
    </cfRule>
  </conditionalFormatting>
  <conditionalFormatting sqref="C149:C150">
    <cfRule type="cellIs" dxfId="524" priority="503" stopIfTrue="1" operator="equal">
      <formula>"Napkin Hs"</formula>
    </cfRule>
  </conditionalFormatting>
  <conditionalFormatting sqref="C149:C150">
    <cfRule type="cellIs" dxfId="523" priority="502" stopIfTrue="1" operator="equal">
      <formula>"Napkin Hs"</formula>
    </cfRule>
  </conditionalFormatting>
  <conditionalFormatting sqref="C149:C150">
    <cfRule type="cellIs" dxfId="522" priority="501" stopIfTrue="1" operator="equal">
      <formula>"Napkin Hs"</formula>
    </cfRule>
  </conditionalFormatting>
  <conditionalFormatting sqref="C149:C150">
    <cfRule type="cellIs" dxfId="521" priority="500" stopIfTrue="1" operator="equal">
      <formula>"Napkin Hs"</formula>
    </cfRule>
  </conditionalFormatting>
  <conditionalFormatting sqref="C149:C150">
    <cfRule type="cellIs" dxfId="520" priority="499" stopIfTrue="1" operator="equal">
      <formula>"Napkin Hs"</formula>
    </cfRule>
  </conditionalFormatting>
  <conditionalFormatting sqref="C149:C150">
    <cfRule type="cellIs" dxfId="519" priority="498" stopIfTrue="1" operator="equal">
      <formula>"Napkin Hs"</formula>
    </cfRule>
  </conditionalFormatting>
  <conditionalFormatting sqref="C149:C150">
    <cfRule type="cellIs" dxfId="518" priority="494" stopIfTrue="1" operator="equal">
      <formula>"Towel"</formula>
    </cfRule>
    <cfRule type="cellIs" dxfId="517" priority="495" stopIfTrue="1" operator="equal">
      <formula>"Napkin Hs"</formula>
    </cfRule>
  </conditionalFormatting>
  <conditionalFormatting sqref="C149:C150">
    <cfRule type="cellIs" dxfId="516" priority="496" stopIfTrue="1" operator="equal">
      <formula>"Towel"</formula>
    </cfRule>
    <cfRule type="cellIs" dxfId="515" priority="497" stopIfTrue="1" operator="equal">
      <formula>"Napkin Hs"</formula>
    </cfRule>
  </conditionalFormatting>
  <conditionalFormatting sqref="C149:C150">
    <cfRule type="cellIs" dxfId="514" priority="490" stopIfTrue="1" operator="equal">
      <formula>"Towel"</formula>
    </cfRule>
    <cfRule type="cellIs" dxfId="513" priority="491" stopIfTrue="1" operator="equal">
      <formula>"Napkin Hs"</formula>
    </cfRule>
  </conditionalFormatting>
  <conditionalFormatting sqref="C149:C150">
    <cfRule type="cellIs" dxfId="512" priority="492" stopIfTrue="1" operator="equal">
      <formula>"Towel"</formula>
    </cfRule>
    <cfRule type="cellIs" dxfId="511" priority="493" stopIfTrue="1" operator="equal">
      <formula>"Napkin Hs"</formula>
    </cfRule>
  </conditionalFormatting>
  <conditionalFormatting sqref="B149:B150">
    <cfRule type="cellIs" dxfId="510" priority="489" stopIfTrue="1" operator="equal">
      <formula>"Napkin Hs"</formula>
    </cfRule>
  </conditionalFormatting>
  <conditionalFormatting sqref="B149:B150">
    <cfRule type="cellIs" dxfId="509" priority="488" stopIfTrue="1" operator="equal">
      <formula>"Napkin Hs"</formula>
    </cfRule>
  </conditionalFormatting>
  <conditionalFormatting sqref="B149:B150">
    <cfRule type="cellIs" dxfId="508" priority="487" stopIfTrue="1" operator="equal">
      <formula>"Napkin Hs"</formula>
    </cfRule>
  </conditionalFormatting>
  <conditionalFormatting sqref="B147:C147">
    <cfRule type="cellIs" dxfId="507" priority="485" stopIfTrue="1" operator="equal">
      <formula>"Towel"</formula>
    </cfRule>
    <cfRule type="cellIs" dxfId="506" priority="486" stopIfTrue="1" operator="equal">
      <formula>"Napkin Hs"</formula>
    </cfRule>
  </conditionalFormatting>
  <conditionalFormatting sqref="C147">
    <cfRule type="cellIs" dxfId="505" priority="481" stopIfTrue="1" operator="equal">
      <formula>"Towel"</formula>
    </cfRule>
    <cfRule type="cellIs" dxfId="504" priority="482" stopIfTrue="1" operator="equal">
      <formula>"Napkin Hs"</formula>
    </cfRule>
  </conditionalFormatting>
  <conditionalFormatting sqref="C147">
    <cfRule type="cellIs" dxfId="503" priority="483" stopIfTrue="1" operator="equal">
      <formula>"Towel"</formula>
    </cfRule>
    <cfRule type="cellIs" dxfId="502" priority="484" stopIfTrue="1" operator="equal">
      <formula>"Napkin Hs"</formula>
    </cfRule>
  </conditionalFormatting>
  <conditionalFormatting sqref="B147:C147">
    <cfRule type="cellIs" dxfId="501" priority="479" stopIfTrue="1" operator="equal">
      <formula>"Towel"</formula>
    </cfRule>
    <cfRule type="cellIs" dxfId="500" priority="480" stopIfTrue="1" operator="equal">
      <formula>"Napkin Hs"</formula>
    </cfRule>
  </conditionalFormatting>
  <conditionalFormatting sqref="C147">
    <cfRule type="cellIs" dxfId="499" priority="477" stopIfTrue="1" operator="equal">
      <formula>"Towel"</formula>
    </cfRule>
    <cfRule type="cellIs" dxfId="498" priority="478" stopIfTrue="1" operator="equal">
      <formula>"Napkin Hs"</formula>
    </cfRule>
  </conditionalFormatting>
  <conditionalFormatting sqref="C147">
    <cfRule type="cellIs" dxfId="497" priority="475" stopIfTrue="1" operator="equal">
      <formula>"Towel"</formula>
    </cfRule>
    <cfRule type="cellIs" dxfId="496" priority="476" stopIfTrue="1" operator="equal">
      <formula>"Napkin Hs"</formula>
    </cfRule>
  </conditionalFormatting>
  <conditionalFormatting sqref="C147">
    <cfRule type="cellIs" dxfId="495" priority="467" stopIfTrue="1" operator="equal">
      <formula>"Towel"</formula>
    </cfRule>
    <cfRule type="cellIs" dxfId="494" priority="468" stopIfTrue="1" operator="equal">
      <formula>"Napkin Hs"</formula>
    </cfRule>
  </conditionalFormatting>
  <conditionalFormatting sqref="B147:C147">
    <cfRule type="cellIs" dxfId="493" priority="469" stopIfTrue="1" operator="equal">
      <formula>"Towel"</formula>
    </cfRule>
    <cfRule type="cellIs" dxfId="492" priority="470" stopIfTrue="1" operator="equal">
      <formula>"Napkin Hs"</formula>
    </cfRule>
  </conditionalFormatting>
  <conditionalFormatting sqref="C147">
    <cfRule type="cellIs" dxfId="491" priority="465" stopIfTrue="1" operator="equal">
      <formula>"Towel"</formula>
    </cfRule>
    <cfRule type="cellIs" dxfId="490" priority="466" stopIfTrue="1" operator="equal">
      <formula>"Napkin Hs"</formula>
    </cfRule>
  </conditionalFormatting>
  <conditionalFormatting sqref="B147:C147">
    <cfRule type="cellIs" dxfId="489" priority="463" stopIfTrue="1" operator="equal">
      <formula>"Towel"</formula>
    </cfRule>
    <cfRule type="cellIs" dxfId="488" priority="464" stopIfTrue="1" operator="equal">
      <formula>"Napkin Hs"</formula>
    </cfRule>
  </conditionalFormatting>
  <conditionalFormatting sqref="C147">
    <cfRule type="cellIs" dxfId="487" priority="471" stopIfTrue="1" operator="equal">
      <formula>"Towel"</formula>
    </cfRule>
    <cfRule type="cellIs" dxfId="486" priority="472" stopIfTrue="1" operator="equal">
      <formula>"Napkin Hs"</formula>
    </cfRule>
  </conditionalFormatting>
  <conditionalFormatting sqref="C147">
    <cfRule type="cellIs" dxfId="485" priority="473" stopIfTrue="1" operator="equal">
      <formula>"Towel"</formula>
    </cfRule>
    <cfRule type="cellIs" dxfId="484" priority="474" stopIfTrue="1" operator="equal">
      <formula>"Napkin Hs"</formula>
    </cfRule>
  </conditionalFormatting>
  <conditionalFormatting sqref="B147:C147">
    <cfRule type="cellIs" dxfId="483" priority="461" stopIfTrue="1" operator="equal">
      <formula>"Towel"</formula>
    </cfRule>
    <cfRule type="cellIs" dxfId="482" priority="462" stopIfTrue="1" operator="equal">
      <formula>"Napkin Hs"</formula>
    </cfRule>
  </conditionalFormatting>
  <conditionalFormatting sqref="C147">
    <cfRule type="cellIs" dxfId="481" priority="457" stopIfTrue="1" operator="equal">
      <formula>"Towel"</formula>
    </cfRule>
    <cfRule type="cellIs" dxfId="480" priority="458" stopIfTrue="1" operator="equal">
      <formula>"Napkin Hs"</formula>
    </cfRule>
  </conditionalFormatting>
  <conditionalFormatting sqref="C147">
    <cfRule type="cellIs" dxfId="479" priority="459" stopIfTrue="1" operator="equal">
      <formula>"Towel"</formula>
    </cfRule>
    <cfRule type="cellIs" dxfId="478" priority="460" stopIfTrue="1" operator="equal">
      <formula>"Napkin Hs"</formula>
    </cfRule>
  </conditionalFormatting>
  <conditionalFormatting sqref="B147:C147">
    <cfRule type="cellIs" dxfId="477" priority="455" stopIfTrue="1" operator="equal">
      <formula>"Towel"</formula>
    </cfRule>
    <cfRule type="cellIs" dxfId="476" priority="456" stopIfTrue="1" operator="equal">
      <formula>"Napkin Hs"</formula>
    </cfRule>
  </conditionalFormatting>
  <conditionalFormatting sqref="C147">
    <cfRule type="cellIs" dxfId="475" priority="453" stopIfTrue="1" operator="equal">
      <formula>"Towel"</formula>
    </cfRule>
    <cfRule type="cellIs" dxfId="474" priority="454" stopIfTrue="1" operator="equal">
      <formula>"Napkin Hs"</formula>
    </cfRule>
  </conditionalFormatting>
  <conditionalFormatting sqref="C147">
    <cfRule type="cellIs" dxfId="473" priority="451" stopIfTrue="1" operator="equal">
      <formula>"Towel"</formula>
    </cfRule>
    <cfRule type="cellIs" dxfId="472" priority="452" stopIfTrue="1" operator="equal">
      <formula>"Napkin Hs"</formula>
    </cfRule>
  </conditionalFormatting>
  <conditionalFormatting sqref="C147">
    <cfRule type="cellIs" dxfId="471" priority="443" stopIfTrue="1" operator="equal">
      <formula>"Towel"</formula>
    </cfRule>
    <cfRule type="cellIs" dxfId="470" priority="444" stopIfTrue="1" operator="equal">
      <formula>"Napkin Hs"</formula>
    </cfRule>
  </conditionalFormatting>
  <conditionalFormatting sqref="B147:C147">
    <cfRule type="cellIs" dxfId="469" priority="445" stopIfTrue="1" operator="equal">
      <formula>"Towel"</formula>
    </cfRule>
    <cfRule type="cellIs" dxfId="468" priority="446" stopIfTrue="1" operator="equal">
      <formula>"Napkin Hs"</formula>
    </cfRule>
  </conditionalFormatting>
  <conditionalFormatting sqref="C147">
    <cfRule type="cellIs" dxfId="467" priority="441" stopIfTrue="1" operator="equal">
      <formula>"Towel"</formula>
    </cfRule>
    <cfRule type="cellIs" dxfId="466" priority="442" stopIfTrue="1" operator="equal">
      <formula>"Napkin Hs"</formula>
    </cfRule>
  </conditionalFormatting>
  <conditionalFormatting sqref="B147:C147">
    <cfRule type="cellIs" dxfId="465" priority="439" stopIfTrue="1" operator="equal">
      <formula>"Towel"</formula>
    </cfRule>
    <cfRule type="cellIs" dxfId="464" priority="440" stopIfTrue="1" operator="equal">
      <formula>"Napkin Hs"</formula>
    </cfRule>
  </conditionalFormatting>
  <conditionalFormatting sqref="C147">
    <cfRule type="cellIs" dxfId="463" priority="447" stopIfTrue="1" operator="equal">
      <formula>"Towel"</formula>
    </cfRule>
    <cfRule type="cellIs" dxfId="462" priority="448" stopIfTrue="1" operator="equal">
      <formula>"Napkin Hs"</formula>
    </cfRule>
  </conditionalFormatting>
  <conditionalFormatting sqref="C147">
    <cfRule type="cellIs" dxfId="461" priority="449" stopIfTrue="1" operator="equal">
      <formula>"Towel"</formula>
    </cfRule>
    <cfRule type="cellIs" dxfId="460" priority="450" stopIfTrue="1" operator="equal">
      <formula>"Napkin Hs"</formula>
    </cfRule>
  </conditionalFormatting>
  <conditionalFormatting sqref="B147:C147">
    <cfRule type="cellIs" dxfId="459" priority="437" stopIfTrue="1" operator="equal">
      <formula>"Towel"</formula>
    </cfRule>
    <cfRule type="cellIs" dxfId="458" priority="438" stopIfTrue="1" operator="equal">
      <formula>"Napkin Hs"</formula>
    </cfRule>
  </conditionalFormatting>
  <conditionalFormatting sqref="C147">
    <cfRule type="cellIs" dxfId="457" priority="433" stopIfTrue="1" operator="equal">
      <formula>"Towel"</formula>
    </cfRule>
    <cfRule type="cellIs" dxfId="456" priority="434" stopIfTrue="1" operator="equal">
      <formula>"Napkin Hs"</formula>
    </cfRule>
  </conditionalFormatting>
  <conditionalFormatting sqref="C147">
    <cfRule type="cellIs" dxfId="455" priority="435" stopIfTrue="1" operator="equal">
      <formula>"Towel"</formula>
    </cfRule>
    <cfRule type="cellIs" dxfId="454" priority="436" stopIfTrue="1" operator="equal">
      <formula>"Napkin Hs"</formula>
    </cfRule>
  </conditionalFormatting>
  <conditionalFormatting sqref="B147:C147">
    <cfRule type="cellIs" dxfId="453" priority="431" stopIfTrue="1" operator="equal">
      <formula>"Towel"</formula>
    </cfRule>
    <cfRule type="cellIs" dxfId="452" priority="432" stopIfTrue="1" operator="equal">
      <formula>"Napkin Hs"</formula>
    </cfRule>
  </conditionalFormatting>
  <conditionalFormatting sqref="C147">
    <cfRule type="cellIs" dxfId="451" priority="429" stopIfTrue="1" operator="equal">
      <formula>"Towel"</formula>
    </cfRule>
    <cfRule type="cellIs" dxfId="450" priority="430" stopIfTrue="1" operator="equal">
      <formula>"Napkin Hs"</formula>
    </cfRule>
  </conditionalFormatting>
  <conditionalFormatting sqref="C147">
    <cfRule type="cellIs" dxfId="449" priority="427" stopIfTrue="1" operator="equal">
      <formula>"Towel"</formula>
    </cfRule>
    <cfRule type="cellIs" dxfId="448" priority="428" stopIfTrue="1" operator="equal">
      <formula>"Napkin Hs"</formula>
    </cfRule>
  </conditionalFormatting>
  <conditionalFormatting sqref="C147">
    <cfRule type="cellIs" dxfId="447" priority="419" stopIfTrue="1" operator="equal">
      <formula>"Towel"</formula>
    </cfRule>
    <cfRule type="cellIs" dxfId="446" priority="420" stopIfTrue="1" operator="equal">
      <formula>"Napkin Hs"</formula>
    </cfRule>
  </conditionalFormatting>
  <conditionalFormatting sqref="B147:C147">
    <cfRule type="cellIs" dxfId="445" priority="421" stopIfTrue="1" operator="equal">
      <formula>"Towel"</formula>
    </cfRule>
    <cfRule type="cellIs" dxfId="444" priority="422" stopIfTrue="1" operator="equal">
      <formula>"Napkin Hs"</formula>
    </cfRule>
  </conditionalFormatting>
  <conditionalFormatting sqref="C147">
    <cfRule type="cellIs" dxfId="443" priority="417" stopIfTrue="1" operator="equal">
      <formula>"Towel"</formula>
    </cfRule>
    <cfRule type="cellIs" dxfId="442" priority="418" stopIfTrue="1" operator="equal">
      <formula>"Napkin Hs"</formula>
    </cfRule>
  </conditionalFormatting>
  <conditionalFormatting sqref="B147:C147">
    <cfRule type="cellIs" dxfId="441" priority="415" stopIfTrue="1" operator="equal">
      <formula>"Towel"</formula>
    </cfRule>
    <cfRule type="cellIs" dxfId="440" priority="416" stopIfTrue="1" operator="equal">
      <formula>"Napkin Hs"</formula>
    </cfRule>
  </conditionalFormatting>
  <conditionalFormatting sqref="C147">
    <cfRule type="cellIs" dxfId="439" priority="423" stopIfTrue="1" operator="equal">
      <formula>"Towel"</formula>
    </cfRule>
    <cfRule type="cellIs" dxfId="438" priority="424" stopIfTrue="1" operator="equal">
      <formula>"Napkin Hs"</formula>
    </cfRule>
  </conditionalFormatting>
  <conditionalFormatting sqref="C147">
    <cfRule type="cellIs" dxfId="437" priority="425" stopIfTrue="1" operator="equal">
      <formula>"Towel"</formula>
    </cfRule>
    <cfRule type="cellIs" dxfId="436" priority="426" stopIfTrue="1" operator="equal">
      <formula>"Napkin Hs"</formula>
    </cfRule>
  </conditionalFormatting>
  <conditionalFormatting sqref="C147">
    <cfRule type="cellIs" dxfId="435" priority="413" stopIfTrue="1" operator="equal">
      <formula>"Towel"</formula>
    </cfRule>
    <cfRule type="cellIs" dxfId="434" priority="414" stopIfTrue="1" operator="equal">
      <formula>"Napkin Hs"</formula>
    </cfRule>
  </conditionalFormatting>
  <conditionalFormatting sqref="C147">
    <cfRule type="cellIs" dxfId="433" priority="409" stopIfTrue="1" operator="equal">
      <formula>"Towel"</formula>
    </cfRule>
    <cfRule type="cellIs" dxfId="432" priority="410" stopIfTrue="1" operator="equal">
      <formula>"Napkin Hs"</formula>
    </cfRule>
  </conditionalFormatting>
  <conditionalFormatting sqref="C147">
    <cfRule type="cellIs" dxfId="431" priority="411" stopIfTrue="1" operator="equal">
      <formula>"Towel"</formula>
    </cfRule>
    <cfRule type="cellIs" dxfId="430" priority="412" stopIfTrue="1" operator="equal">
      <formula>"Napkin Hs"</formula>
    </cfRule>
  </conditionalFormatting>
  <conditionalFormatting sqref="C147">
    <cfRule type="cellIs" dxfId="429" priority="405" stopIfTrue="1" operator="equal">
      <formula>"Towel"</formula>
    </cfRule>
    <cfRule type="cellIs" dxfId="428" priority="406" stopIfTrue="1" operator="equal">
      <formula>"Napkin Hs"</formula>
    </cfRule>
  </conditionalFormatting>
  <conditionalFormatting sqref="C147">
    <cfRule type="cellIs" dxfId="427" priority="407" stopIfTrue="1" operator="equal">
      <formula>"Towel"</formula>
    </cfRule>
    <cfRule type="cellIs" dxfId="426" priority="408" stopIfTrue="1" operator="equal">
      <formula>"Napkin Hs"</formula>
    </cfRule>
  </conditionalFormatting>
  <conditionalFormatting sqref="C147">
    <cfRule type="cellIs" dxfId="425" priority="403" stopIfTrue="1" operator="equal">
      <formula>"Towel"</formula>
    </cfRule>
    <cfRule type="cellIs" dxfId="424" priority="404" stopIfTrue="1" operator="equal">
      <formula>"Napkin Hs"</formula>
    </cfRule>
  </conditionalFormatting>
  <conditionalFormatting sqref="C147">
    <cfRule type="cellIs" dxfId="423" priority="397" stopIfTrue="1" operator="equal">
      <formula>"Towel"</formula>
    </cfRule>
    <cfRule type="cellIs" dxfId="422" priority="398" stopIfTrue="1" operator="equal">
      <formula>"Napkin Hs"</formula>
    </cfRule>
  </conditionalFormatting>
  <conditionalFormatting sqref="C147">
    <cfRule type="cellIs" dxfId="421" priority="401" stopIfTrue="1" operator="equal">
      <formula>"Towel"</formula>
    </cfRule>
    <cfRule type="cellIs" dxfId="420" priority="402" stopIfTrue="1" operator="equal">
      <formula>"Napkin Hs"</formula>
    </cfRule>
  </conditionalFormatting>
  <conditionalFormatting sqref="C147">
    <cfRule type="cellIs" dxfId="419" priority="399" stopIfTrue="1" operator="equal">
      <formula>"Towel"</formula>
    </cfRule>
    <cfRule type="cellIs" dxfId="418" priority="400" stopIfTrue="1" operator="equal">
      <formula>"Napkin Hs"</formula>
    </cfRule>
  </conditionalFormatting>
  <conditionalFormatting sqref="C147">
    <cfRule type="cellIs" dxfId="417" priority="391" stopIfTrue="1" operator="equal">
      <formula>"Towel"</formula>
    </cfRule>
    <cfRule type="cellIs" dxfId="416" priority="392" stopIfTrue="1" operator="equal">
      <formula>"Napkin Hs"</formula>
    </cfRule>
  </conditionalFormatting>
  <conditionalFormatting sqref="C147">
    <cfRule type="cellIs" dxfId="415" priority="393" stopIfTrue="1" operator="equal">
      <formula>"Towel"</formula>
    </cfRule>
    <cfRule type="cellIs" dxfId="414" priority="394" stopIfTrue="1" operator="equal">
      <formula>"Napkin Hs"</formula>
    </cfRule>
  </conditionalFormatting>
  <conditionalFormatting sqref="C147">
    <cfRule type="cellIs" dxfId="413" priority="395" stopIfTrue="1" operator="equal">
      <formula>"Towel"</formula>
    </cfRule>
    <cfRule type="cellIs" dxfId="412" priority="396" stopIfTrue="1" operator="equal">
      <formula>"Napkin Hs"</formula>
    </cfRule>
  </conditionalFormatting>
  <conditionalFormatting sqref="C147">
    <cfRule type="cellIs" dxfId="411" priority="389" stopIfTrue="1" operator="equal">
      <formula>"Towel"</formula>
    </cfRule>
    <cfRule type="cellIs" dxfId="410" priority="390" stopIfTrue="1" operator="equal">
      <formula>"Napkin Hs"</formula>
    </cfRule>
  </conditionalFormatting>
  <conditionalFormatting sqref="C147">
    <cfRule type="cellIs" dxfId="409" priority="387" stopIfTrue="1" operator="equal">
      <formula>"Towel"</formula>
    </cfRule>
    <cfRule type="cellIs" dxfId="408" priority="388" stopIfTrue="1" operator="equal">
      <formula>"Napkin Hs"</formula>
    </cfRule>
  </conditionalFormatting>
  <conditionalFormatting sqref="C147">
    <cfRule type="cellIs" dxfId="407" priority="363" stopIfTrue="1" operator="equal">
      <formula>"Towel"</formula>
    </cfRule>
  </conditionalFormatting>
  <conditionalFormatting sqref="C147">
    <cfRule type="cellIs" dxfId="406" priority="364" stopIfTrue="1" operator="equal">
      <formula>"Napkin Hs"</formula>
    </cfRule>
    <cfRule type="cellIs" dxfId="405" priority="369" stopIfTrue="1" operator="equal">
      <formula>"Towel"</formula>
    </cfRule>
    <cfRule type="cellIs" dxfId="404" priority="370" stopIfTrue="1" operator="equal">
      <formula>"Napkin Hs"</formula>
    </cfRule>
    <cfRule type="cellIs" dxfId="403" priority="379" stopIfTrue="1" operator="equal">
      <formula>"Towel"</formula>
    </cfRule>
    <cfRule type="cellIs" dxfId="402" priority="380" stopIfTrue="1" operator="equal">
      <formula>"Napkin Hs"</formula>
    </cfRule>
    <cfRule type="cellIs" dxfId="401" priority="385" stopIfTrue="1" operator="equal">
      <formula>"Towel"</formula>
    </cfRule>
    <cfRule type="cellIs" dxfId="400" priority="386" stopIfTrue="1" operator="equal">
      <formula>"Napkin Hs"</formula>
    </cfRule>
  </conditionalFormatting>
  <conditionalFormatting sqref="C147">
    <cfRule type="cellIs" dxfId="399" priority="365" stopIfTrue="1" operator="equal">
      <formula>"Towel"</formula>
    </cfRule>
    <cfRule type="cellIs" dxfId="398" priority="366" stopIfTrue="1" operator="equal">
      <formula>"Napkin Hs"</formula>
    </cfRule>
    <cfRule type="cellIs" dxfId="397" priority="367" stopIfTrue="1" operator="equal">
      <formula>"Towel"</formula>
    </cfRule>
    <cfRule type="cellIs" dxfId="396" priority="368" stopIfTrue="1" operator="equal">
      <formula>"Napkin Hs"</formula>
    </cfRule>
    <cfRule type="cellIs" dxfId="395" priority="371" stopIfTrue="1" operator="equal">
      <formula>"Towel"</formula>
    </cfRule>
    <cfRule type="cellIs" dxfId="394" priority="372" stopIfTrue="1" operator="equal">
      <formula>"Napkin Hs"</formula>
    </cfRule>
    <cfRule type="cellIs" dxfId="393" priority="373" stopIfTrue="1" operator="equal">
      <formula>"Towel"</formula>
    </cfRule>
    <cfRule type="cellIs" dxfId="392" priority="374" stopIfTrue="1" operator="equal">
      <formula>"Napkin Hs"</formula>
    </cfRule>
    <cfRule type="cellIs" dxfId="391" priority="375" stopIfTrue="1" operator="equal">
      <formula>"Towel"</formula>
    </cfRule>
    <cfRule type="cellIs" dxfId="390" priority="376" stopIfTrue="1" operator="equal">
      <formula>"Napkin Hs"</formula>
    </cfRule>
    <cfRule type="cellIs" dxfId="389" priority="377" stopIfTrue="1" operator="equal">
      <formula>"Towel"</formula>
    </cfRule>
    <cfRule type="cellIs" dxfId="388" priority="378" stopIfTrue="1" operator="equal">
      <formula>"Napkin Hs"</formula>
    </cfRule>
    <cfRule type="cellIs" dxfId="387" priority="381" stopIfTrue="1" operator="equal">
      <formula>"Towel"</formula>
    </cfRule>
    <cfRule type="cellIs" dxfId="386" priority="382" stopIfTrue="1" operator="equal">
      <formula>"Napkin Hs"</formula>
    </cfRule>
    <cfRule type="cellIs" dxfId="385" priority="384" stopIfTrue="1" operator="equal">
      <formula>"Napkin Hs"</formula>
    </cfRule>
  </conditionalFormatting>
  <conditionalFormatting sqref="C147">
    <cfRule type="cellIs" dxfId="384" priority="383" stopIfTrue="1" operator="equal">
      <formula>"Towel"</formula>
    </cfRule>
  </conditionalFormatting>
  <conditionalFormatting sqref="C147">
    <cfRule type="cellIs" dxfId="383" priority="361" stopIfTrue="1" operator="equal">
      <formula>"Towel"</formula>
    </cfRule>
    <cfRule type="cellIs" dxfId="382" priority="362" stopIfTrue="1" operator="equal">
      <formula>"Napkin Hs"</formula>
    </cfRule>
  </conditionalFormatting>
  <conditionalFormatting sqref="C147">
    <cfRule type="cellIs" dxfId="381" priority="360" stopIfTrue="1" operator="equal">
      <formula>"Napkin Hs"</formula>
    </cfRule>
  </conditionalFormatting>
  <conditionalFormatting sqref="C147">
    <cfRule type="cellIs" dxfId="380" priority="359" stopIfTrue="1" operator="equal">
      <formula>"Towel"</formula>
    </cfRule>
  </conditionalFormatting>
  <conditionalFormatting sqref="C147">
    <cfRule type="cellIs" dxfId="379" priority="357" stopIfTrue="1" operator="equal">
      <formula>"Towel"</formula>
    </cfRule>
  </conditionalFormatting>
  <conditionalFormatting sqref="C147">
    <cfRule type="cellIs" dxfId="378" priority="358" stopIfTrue="1" operator="equal">
      <formula>"Napkin Hs"</formula>
    </cfRule>
  </conditionalFormatting>
  <conditionalFormatting sqref="C147">
    <cfRule type="cellIs" dxfId="377" priority="261" stopIfTrue="1" operator="equal">
      <formula>"Towel"</formula>
    </cfRule>
  </conditionalFormatting>
  <conditionalFormatting sqref="C147">
    <cfRule type="cellIs" dxfId="376" priority="271" stopIfTrue="1" operator="equal">
      <formula>"Towel"</formula>
    </cfRule>
    <cfRule type="cellIs" dxfId="375" priority="272" stopIfTrue="1" operator="equal">
      <formula>"Napkin Hs"</formula>
    </cfRule>
    <cfRule type="cellIs" dxfId="374" priority="277" stopIfTrue="1" operator="equal">
      <formula>"Towel"</formula>
    </cfRule>
    <cfRule type="cellIs" dxfId="373" priority="278" stopIfTrue="1" operator="equal">
      <formula>"Napkin Hs"</formula>
    </cfRule>
    <cfRule type="cellIs" dxfId="372" priority="283" stopIfTrue="1" operator="equal">
      <formula>"Towel"</formula>
    </cfRule>
    <cfRule type="cellIs" dxfId="371" priority="284" stopIfTrue="1" operator="equal">
      <formula>"Napkin Hs"</formula>
    </cfRule>
    <cfRule type="cellIs" dxfId="370" priority="285" stopIfTrue="1" operator="equal">
      <formula>"Towel"</formula>
    </cfRule>
    <cfRule type="cellIs" dxfId="369" priority="286" stopIfTrue="1" operator="equal">
      <formula>"Napkin Hs"</formula>
    </cfRule>
    <cfRule type="cellIs" dxfId="368" priority="291" stopIfTrue="1" operator="equal">
      <formula>"Towel"</formula>
    </cfRule>
    <cfRule type="cellIs" dxfId="367" priority="292" stopIfTrue="1" operator="equal">
      <formula>"Napkin Hs"</formula>
    </cfRule>
    <cfRule type="cellIs" dxfId="366" priority="301" stopIfTrue="1" operator="equal">
      <formula>"Towel"</formula>
    </cfRule>
    <cfRule type="cellIs" dxfId="365" priority="302" stopIfTrue="1" operator="equal">
      <formula>"Napkin Hs"</formula>
    </cfRule>
    <cfRule type="cellIs" dxfId="364" priority="307" stopIfTrue="1" operator="equal">
      <formula>"Towel"</formula>
    </cfRule>
    <cfRule type="cellIs" dxfId="363" priority="308" stopIfTrue="1" operator="equal">
      <formula>"Napkin Hs"</formula>
    </cfRule>
    <cfRule type="cellIs" dxfId="362" priority="309" stopIfTrue="1" operator="equal">
      <formula>"Towel"</formula>
    </cfRule>
    <cfRule type="cellIs" dxfId="361" priority="310" stopIfTrue="1" operator="equal">
      <formula>"Napkin Hs"</formula>
    </cfRule>
    <cfRule type="cellIs" dxfId="360" priority="315" stopIfTrue="1" operator="equal">
      <formula>"Towel"</formula>
    </cfRule>
    <cfRule type="cellIs" dxfId="359" priority="316" stopIfTrue="1" operator="equal">
      <formula>"Napkin Hs"</formula>
    </cfRule>
    <cfRule type="cellIs" dxfId="358" priority="325" stopIfTrue="1" operator="equal">
      <formula>"Towel"</formula>
    </cfRule>
    <cfRule type="cellIs" dxfId="357" priority="326" stopIfTrue="1" operator="equal">
      <formula>"Napkin Hs"</formula>
    </cfRule>
    <cfRule type="cellIs" dxfId="356" priority="327" stopIfTrue="1" operator="equal">
      <formula>"Towel"</formula>
    </cfRule>
    <cfRule type="cellIs" dxfId="355" priority="328" stopIfTrue="1" operator="equal">
      <formula>"Napkin Hs"</formula>
    </cfRule>
    <cfRule type="cellIs" dxfId="354" priority="333" stopIfTrue="1" operator="equal">
      <formula>"Towel"</formula>
    </cfRule>
    <cfRule type="cellIs" dxfId="353" priority="334" stopIfTrue="1" operator="equal">
      <formula>"Napkin Hs"</formula>
    </cfRule>
    <cfRule type="cellIs" dxfId="352" priority="343" stopIfTrue="1" operator="equal">
      <formula>"Towel"</formula>
    </cfRule>
    <cfRule type="cellIs" dxfId="351" priority="344" stopIfTrue="1" operator="equal">
      <formula>"Napkin Hs"</formula>
    </cfRule>
    <cfRule type="cellIs" dxfId="350" priority="345" stopIfTrue="1" operator="equal">
      <formula>"Towel"</formula>
    </cfRule>
    <cfRule type="cellIs" dxfId="349" priority="346" stopIfTrue="1" operator="equal">
      <formula>"Napkin Hs"</formula>
    </cfRule>
    <cfRule type="cellIs" dxfId="348" priority="352" stopIfTrue="1" operator="equal">
      <formula>"Napkin Hs"</formula>
    </cfRule>
  </conditionalFormatting>
  <conditionalFormatting sqref="C147">
    <cfRule type="cellIs" dxfId="347" priority="351" stopIfTrue="1" operator="equal">
      <formula>"Towel"</formula>
    </cfRule>
  </conditionalFormatting>
  <conditionalFormatting sqref="C147">
    <cfRule type="cellIs" dxfId="346" priority="262" stopIfTrue="1" operator="equal">
      <formula>"Napkin Hs"</formula>
    </cfRule>
    <cfRule type="cellIs" dxfId="345" priority="263" stopIfTrue="1" operator="equal">
      <formula>"Towel"</formula>
    </cfRule>
    <cfRule type="cellIs" dxfId="344" priority="264" stopIfTrue="1" operator="equal">
      <formula>"Napkin Hs"</formula>
    </cfRule>
    <cfRule type="cellIs" dxfId="343" priority="265" stopIfTrue="1" operator="equal">
      <formula>"Towel"</formula>
    </cfRule>
    <cfRule type="cellIs" dxfId="342" priority="266" stopIfTrue="1" operator="equal">
      <formula>"Napkin Hs"</formula>
    </cfRule>
    <cfRule type="cellIs" dxfId="341" priority="267" stopIfTrue="1" operator="equal">
      <formula>"Towel"</formula>
    </cfRule>
    <cfRule type="cellIs" dxfId="340" priority="268" stopIfTrue="1" operator="equal">
      <formula>"Napkin Hs"</formula>
    </cfRule>
    <cfRule type="cellIs" dxfId="339" priority="269" stopIfTrue="1" operator="equal">
      <formula>"Towel"</formula>
    </cfRule>
    <cfRule type="cellIs" dxfId="338" priority="270" stopIfTrue="1" operator="equal">
      <formula>"Napkin Hs"</formula>
    </cfRule>
    <cfRule type="cellIs" dxfId="337" priority="273" stopIfTrue="1" operator="equal">
      <formula>"Towel"</formula>
    </cfRule>
    <cfRule type="cellIs" dxfId="336" priority="274" stopIfTrue="1" operator="equal">
      <formula>"Napkin Hs"</formula>
    </cfRule>
    <cfRule type="cellIs" dxfId="335" priority="275" stopIfTrue="1" operator="equal">
      <formula>"Towel"</formula>
    </cfRule>
    <cfRule type="cellIs" dxfId="334" priority="276" stopIfTrue="1" operator="equal">
      <formula>"Napkin Hs"</formula>
    </cfRule>
    <cfRule type="cellIs" dxfId="333" priority="279" stopIfTrue="1" operator="equal">
      <formula>"Towel"</formula>
    </cfRule>
    <cfRule type="cellIs" dxfId="332" priority="280" stopIfTrue="1" operator="equal">
      <formula>"Napkin Hs"</formula>
    </cfRule>
    <cfRule type="cellIs" dxfId="331" priority="281" stopIfTrue="1" operator="equal">
      <formula>"Towel"</formula>
    </cfRule>
    <cfRule type="cellIs" dxfId="330" priority="282" stopIfTrue="1" operator="equal">
      <formula>"Napkin Hs"</formula>
    </cfRule>
    <cfRule type="cellIs" dxfId="329" priority="287" stopIfTrue="1" operator="equal">
      <formula>"Towel"</formula>
    </cfRule>
    <cfRule type="cellIs" dxfId="328" priority="288" stopIfTrue="1" operator="equal">
      <formula>"Napkin Hs"</formula>
    </cfRule>
    <cfRule type="cellIs" dxfId="327" priority="289" stopIfTrue="1" operator="equal">
      <formula>"Towel"</formula>
    </cfRule>
    <cfRule type="cellIs" dxfId="326" priority="290" stopIfTrue="1" operator="equal">
      <formula>"Napkin Hs"</formula>
    </cfRule>
    <cfRule type="cellIs" dxfId="325" priority="293" stopIfTrue="1" operator="equal">
      <formula>"Towel"</formula>
    </cfRule>
    <cfRule type="cellIs" dxfId="324" priority="294" stopIfTrue="1" operator="equal">
      <formula>"Napkin Hs"</formula>
    </cfRule>
    <cfRule type="cellIs" dxfId="323" priority="295" stopIfTrue="1" operator="equal">
      <formula>"Towel"</formula>
    </cfRule>
    <cfRule type="cellIs" dxfId="322" priority="296" stopIfTrue="1" operator="equal">
      <formula>"Napkin Hs"</formula>
    </cfRule>
    <cfRule type="cellIs" dxfId="321" priority="297" stopIfTrue="1" operator="equal">
      <formula>"Towel"</formula>
    </cfRule>
    <cfRule type="cellIs" dxfId="320" priority="298" stopIfTrue="1" operator="equal">
      <formula>"Napkin Hs"</formula>
    </cfRule>
    <cfRule type="cellIs" dxfId="319" priority="299" stopIfTrue="1" operator="equal">
      <formula>"Towel"</formula>
    </cfRule>
    <cfRule type="cellIs" dxfId="318" priority="300" stopIfTrue="1" operator="equal">
      <formula>"Napkin Hs"</formula>
    </cfRule>
    <cfRule type="cellIs" dxfId="317" priority="303" stopIfTrue="1" operator="equal">
      <formula>"Towel"</formula>
    </cfRule>
    <cfRule type="cellIs" dxfId="316" priority="304" stopIfTrue="1" operator="equal">
      <formula>"Napkin Hs"</formula>
    </cfRule>
    <cfRule type="cellIs" dxfId="315" priority="305" stopIfTrue="1" operator="equal">
      <formula>"Towel"</formula>
    </cfRule>
    <cfRule type="cellIs" dxfId="314" priority="306" stopIfTrue="1" operator="equal">
      <formula>"Napkin Hs"</formula>
    </cfRule>
    <cfRule type="cellIs" dxfId="313" priority="311" stopIfTrue="1" operator="equal">
      <formula>"Towel"</formula>
    </cfRule>
    <cfRule type="cellIs" dxfId="312" priority="312" stopIfTrue="1" operator="equal">
      <formula>"Napkin Hs"</formula>
    </cfRule>
    <cfRule type="cellIs" dxfId="311" priority="313" stopIfTrue="1" operator="equal">
      <formula>"Towel"</formula>
    </cfRule>
    <cfRule type="cellIs" dxfId="310" priority="314" stopIfTrue="1" operator="equal">
      <formula>"Napkin Hs"</formula>
    </cfRule>
    <cfRule type="cellIs" dxfId="309" priority="317" stopIfTrue="1" operator="equal">
      <formula>"Towel"</formula>
    </cfRule>
    <cfRule type="cellIs" dxfId="308" priority="318" stopIfTrue="1" operator="equal">
      <formula>"Napkin Hs"</formula>
    </cfRule>
    <cfRule type="cellIs" dxfId="307" priority="319" stopIfTrue="1" operator="equal">
      <formula>"Towel"</formula>
    </cfRule>
    <cfRule type="cellIs" dxfId="306" priority="320" stopIfTrue="1" operator="equal">
      <formula>"Napkin Hs"</formula>
    </cfRule>
    <cfRule type="cellIs" dxfId="305" priority="321" stopIfTrue="1" operator="equal">
      <formula>"Towel"</formula>
    </cfRule>
    <cfRule type="cellIs" dxfId="304" priority="322" stopIfTrue="1" operator="equal">
      <formula>"Napkin Hs"</formula>
    </cfRule>
    <cfRule type="cellIs" dxfId="303" priority="323" stopIfTrue="1" operator="equal">
      <formula>"Towel"</formula>
    </cfRule>
    <cfRule type="cellIs" dxfId="302" priority="324" stopIfTrue="1" operator="equal">
      <formula>"Napkin Hs"</formula>
    </cfRule>
    <cfRule type="cellIs" dxfId="301" priority="329" stopIfTrue="1" operator="equal">
      <formula>"Towel"</formula>
    </cfRule>
    <cfRule type="cellIs" dxfId="300" priority="330" stopIfTrue="1" operator="equal">
      <formula>"Napkin Hs"</formula>
    </cfRule>
    <cfRule type="cellIs" dxfId="299" priority="331" stopIfTrue="1" operator="equal">
      <formula>"Towel"</formula>
    </cfRule>
    <cfRule type="cellIs" dxfId="298" priority="332" stopIfTrue="1" operator="equal">
      <formula>"Napkin Hs"</formula>
    </cfRule>
    <cfRule type="cellIs" dxfId="297" priority="335" stopIfTrue="1" operator="equal">
      <formula>"Towel"</formula>
    </cfRule>
    <cfRule type="cellIs" dxfId="296" priority="336" stopIfTrue="1" operator="equal">
      <formula>"Napkin Hs"</formula>
    </cfRule>
    <cfRule type="cellIs" dxfId="295" priority="337" stopIfTrue="1" operator="equal">
      <formula>"Towel"</formula>
    </cfRule>
    <cfRule type="cellIs" dxfId="294" priority="338" stopIfTrue="1" operator="equal">
      <formula>"Napkin Hs"</formula>
    </cfRule>
    <cfRule type="cellIs" dxfId="293" priority="339" stopIfTrue="1" operator="equal">
      <formula>"Towel"</formula>
    </cfRule>
    <cfRule type="cellIs" dxfId="292" priority="340" stopIfTrue="1" operator="equal">
      <formula>"Napkin Hs"</formula>
    </cfRule>
    <cfRule type="cellIs" dxfId="291" priority="341" stopIfTrue="1" operator="equal">
      <formula>"Towel"</formula>
    </cfRule>
    <cfRule type="cellIs" dxfId="290" priority="342" stopIfTrue="1" operator="equal">
      <formula>"Napkin Hs"</formula>
    </cfRule>
    <cfRule type="cellIs" dxfId="289" priority="347" stopIfTrue="1" operator="equal">
      <formula>"Towel"</formula>
    </cfRule>
    <cfRule type="cellIs" dxfId="288" priority="348" stopIfTrue="1" operator="equal">
      <formula>"Napkin Hs"</formula>
    </cfRule>
    <cfRule type="cellIs" dxfId="287" priority="349" stopIfTrue="1" operator="equal">
      <formula>"Towel"</formula>
    </cfRule>
    <cfRule type="cellIs" dxfId="286" priority="350" stopIfTrue="1" operator="equal">
      <formula>"Napkin Hs"</formula>
    </cfRule>
    <cfRule type="cellIs" dxfId="285" priority="353" stopIfTrue="1" operator="equal">
      <formula>"Towel"</formula>
    </cfRule>
    <cfRule type="cellIs" dxfId="284" priority="354" stopIfTrue="1" operator="equal">
      <formula>"Napkin Hs"</formula>
    </cfRule>
    <cfRule type="cellIs" dxfId="283" priority="355" stopIfTrue="1" operator="equal">
      <formula>"Towel"</formula>
    </cfRule>
    <cfRule type="cellIs" dxfId="282" priority="356" stopIfTrue="1" operator="equal">
      <formula>"Napkin Hs"</formula>
    </cfRule>
  </conditionalFormatting>
  <conditionalFormatting sqref="C147">
    <cfRule type="cellIs" dxfId="281" priority="260" stopIfTrue="1" operator="equal">
      <formula>"Napkin Hs"</formula>
    </cfRule>
  </conditionalFormatting>
  <conditionalFormatting sqref="C147">
    <cfRule type="cellIs" dxfId="280" priority="259" stopIfTrue="1" operator="equal">
      <formula>"Napkin Hs"</formula>
    </cfRule>
  </conditionalFormatting>
  <conditionalFormatting sqref="C147">
    <cfRule type="cellIs" dxfId="279" priority="258" stopIfTrue="1" operator="equal">
      <formula>"Napkin Hs"</formula>
    </cfRule>
  </conditionalFormatting>
  <conditionalFormatting sqref="C147">
    <cfRule type="cellIs" dxfId="278" priority="257" stopIfTrue="1" operator="equal">
      <formula>"Napkin Hs"</formula>
    </cfRule>
  </conditionalFormatting>
  <conditionalFormatting sqref="C147">
    <cfRule type="cellIs" dxfId="277" priority="256" stopIfTrue="1" operator="equal">
      <formula>"Napkin Hs"</formula>
    </cfRule>
  </conditionalFormatting>
  <conditionalFormatting sqref="C147">
    <cfRule type="cellIs" dxfId="276" priority="255" stopIfTrue="1" operator="equal">
      <formula>"Napkin Hs"</formula>
    </cfRule>
  </conditionalFormatting>
  <conditionalFormatting sqref="C147">
    <cfRule type="cellIs" dxfId="275" priority="251" stopIfTrue="1" operator="equal">
      <formula>"Towel"</formula>
    </cfRule>
    <cfRule type="cellIs" dxfId="274" priority="252" stopIfTrue="1" operator="equal">
      <formula>"Napkin Hs"</formula>
    </cfRule>
  </conditionalFormatting>
  <conditionalFormatting sqref="C147">
    <cfRule type="cellIs" dxfId="273" priority="253" stopIfTrue="1" operator="equal">
      <formula>"Towel"</formula>
    </cfRule>
    <cfRule type="cellIs" dxfId="272" priority="254" stopIfTrue="1" operator="equal">
      <formula>"Napkin Hs"</formula>
    </cfRule>
  </conditionalFormatting>
  <conditionalFormatting sqref="C147">
    <cfRule type="cellIs" dxfId="271" priority="247" stopIfTrue="1" operator="equal">
      <formula>"Towel"</formula>
    </cfRule>
    <cfRule type="cellIs" dxfId="270" priority="248" stopIfTrue="1" operator="equal">
      <formula>"Napkin Hs"</formula>
    </cfRule>
  </conditionalFormatting>
  <conditionalFormatting sqref="C147">
    <cfRule type="cellIs" dxfId="269" priority="249" stopIfTrue="1" operator="equal">
      <formula>"Towel"</formula>
    </cfRule>
    <cfRule type="cellIs" dxfId="268" priority="250" stopIfTrue="1" operator="equal">
      <formula>"Napkin Hs"</formula>
    </cfRule>
  </conditionalFormatting>
  <conditionalFormatting sqref="B147">
    <cfRule type="cellIs" dxfId="267" priority="246" stopIfTrue="1" operator="equal">
      <formula>"Napkin Hs"</formula>
    </cfRule>
  </conditionalFormatting>
  <conditionalFormatting sqref="B147">
    <cfRule type="cellIs" dxfId="266" priority="245" stopIfTrue="1" operator="equal">
      <formula>"Napkin Hs"</formula>
    </cfRule>
  </conditionalFormatting>
  <conditionalFormatting sqref="B147">
    <cfRule type="cellIs" dxfId="265" priority="244" stopIfTrue="1" operator="equal">
      <formula>"Napkin Hs"</formula>
    </cfRule>
  </conditionalFormatting>
  <conditionalFormatting sqref="B148:C148">
    <cfRule type="cellIs" dxfId="264" priority="242" stopIfTrue="1" operator="equal">
      <formula>"Towel"</formula>
    </cfRule>
    <cfRule type="cellIs" dxfId="263" priority="243" stopIfTrue="1" operator="equal">
      <formula>"Napkin Hs"</formula>
    </cfRule>
  </conditionalFormatting>
  <conditionalFormatting sqref="C148">
    <cfRule type="cellIs" dxfId="262" priority="238" stopIfTrue="1" operator="equal">
      <formula>"Towel"</formula>
    </cfRule>
    <cfRule type="cellIs" dxfId="261" priority="239" stopIfTrue="1" operator="equal">
      <formula>"Napkin Hs"</formula>
    </cfRule>
  </conditionalFormatting>
  <conditionalFormatting sqref="C148">
    <cfRule type="cellIs" dxfId="260" priority="240" stopIfTrue="1" operator="equal">
      <formula>"Towel"</formula>
    </cfRule>
    <cfRule type="cellIs" dxfId="259" priority="241" stopIfTrue="1" operator="equal">
      <formula>"Napkin Hs"</formula>
    </cfRule>
  </conditionalFormatting>
  <conditionalFormatting sqref="B148:C148">
    <cfRule type="cellIs" dxfId="258" priority="236" stopIfTrue="1" operator="equal">
      <formula>"Towel"</formula>
    </cfRule>
    <cfRule type="cellIs" dxfId="257" priority="237" stopIfTrue="1" operator="equal">
      <formula>"Napkin Hs"</formula>
    </cfRule>
  </conditionalFormatting>
  <conditionalFormatting sqref="C148">
    <cfRule type="cellIs" dxfId="256" priority="234" stopIfTrue="1" operator="equal">
      <formula>"Towel"</formula>
    </cfRule>
    <cfRule type="cellIs" dxfId="255" priority="235" stopIfTrue="1" operator="equal">
      <formula>"Napkin Hs"</formula>
    </cfRule>
  </conditionalFormatting>
  <conditionalFormatting sqref="C148">
    <cfRule type="cellIs" dxfId="254" priority="232" stopIfTrue="1" operator="equal">
      <formula>"Towel"</formula>
    </cfRule>
    <cfRule type="cellIs" dxfId="253" priority="233" stopIfTrue="1" operator="equal">
      <formula>"Napkin Hs"</formula>
    </cfRule>
  </conditionalFormatting>
  <conditionalFormatting sqref="C148">
    <cfRule type="cellIs" dxfId="252" priority="224" stopIfTrue="1" operator="equal">
      <formula>"Towel"</formula>
    </cfRule>
    <cfRule type="cellIs" dxfId="251" priority="225" stopIfTrue="1" operator="equal">
      <formula>"Napkin Hs"</formula>
    </cfRule>
  </conditionalFormatting>
  <conditionalFormatting sqref="B148:C148">
    <cfRule type="cellIs" dxfId="250" priority="226" stopIfTrue="1" operator="equal">
      <formula>"Towel"</formula>
    </cfRule>
    <cfRule type="cellIs" dxfId="249" priority="227" stopIfTrue="1" operator="equal">
      <formula>"Napkin Hs"</formula>
    </cfRule>
  </conditionalFormatting>
  <conditionalFormatting sqref="C148">
    <cfRule type="cellIs" dxfId="248" priority="222" stopIfTrue="1" operator="equal">
      <formula>"Towel"</formula>
    </cfRule>
    <cfRule type="cellIs" dxfId="247" priority="223" stopIfTrue="1" operator="equal">
      <formula>"Napkin Hs"</formula>
    </cfRule>
  </conditionalFormatting>
  <conditionalFormatting sqref="B148:C148">
    <cfRule type="cellIs" dxfId="246" priority="220" stopIfTrue="1" operator="equal">
      <formula>"Towel"</formula>
    </cfRule>
    <cfRule type="cellIs" dxfId="245" priority="221" stopIfTrue="1" operator="equal">
      <formula>"Napkin Hs"</formula>
    </cfRule>
  </conditionalFormatting>
  <conditionalFormatting sqref="C148">
    <cfRule type="cellIs" dxfId="244" priority="228" stopIfTrue="1" operator="equal">
      <formula>"Towel"</formula>
    </cfRule>
    <cfRule type="cellIs" dxfId="243" priority="229" stopIfTrue="1" operator="equal">
      <formula>"Napkin Hs"</formula>
    </cfRule>
  </conditionalFormatting>
  <conditionalFormatting sqref="C148">
    <cfRule type="cellIs" dxfId="242" priority="230" stopIfTrue="1" operator="equal">
      <formula>"Towel"</formula>
    </cfRule>
    <cfRule type="cellIs" dxfId="241" priority="231" stopIfTrue="1" operator="equal">
      <formula>"Napkin Hs"</formula>
    </cfRule>
  </conditionalFormatting>
  <conditionalFormatting sqref="B148:C148">
    <cfRule type="cellIs" dxfId="240" priority="218" stopIfTrue="1" operator="equal">
      <formula>"Towel"</formula>
    </cfRule>
    <cfRule type="cellIs" dxfId="239" priority="219" stopIfTrue="1" operator="equal">
      <formula>"Napkin Hs"</formula>
    </cfRule>
  </conditionalFormatting>
  <conditionalFormatting sqref="C148">
    <cfRule type="cellIs" dxfId="238" priority="214" stopIfTrue="1" operator="equal">
      <formula>"Towel"</formula>
    </cfRule>
    <cfRule type="cellIs" dxfId="237" priority="215" stopIfTrue="1" operator="equal">
      <formula>"Napkin Hs"</formula>
    </cfRule>
  </conditionalFormatting>
  <conditionalFormatting sqref="C148">
    <cfRule type="cellIs" dxfId="236" priority="216" stopIfTrue="1" operator="equal">
      <formula>"Towel"</formula>
    </cfRule>
    <cfRule type="cellIs" dxfId="235" priority="217" stopIfTrue="1" operator="equal">
      <formula>"Napkin Hs"</formula>
    </cfRule>
  </conditionalFormatting>
  <conditionalFormatting sqref="B148:C148">
    <cfRule type="cellIs" dxfId="234" priority="212" stopIfTrue="1" operator="equal">
      <formula>"Towel"</formula>
    </cfRule>
    <cfRule type="cellIs" dxfId="233" priority="213" stopIfTrue="1" operator="equal">
      <formula>"Napkin Hs"</formula>
    </cfRule>
  </conditionalFormatting>
  <conditionalFormatting sqref="C148">
    <cfRule type="cellIs" dxfId="232" priority="210" stopIfTrue="1" operator="equal">
      <formula>"Towel"</formula>
    </cfRule>
    <cfRule type="cellIs" dxfId="231" priority="211" stopIfTrue="1" operator="equal">
      <formula>"Napkin Hs"</formula>
    </cfRule>
  </conditionalFormatting>
  <conditionalFormatting sqref="C148">
    <cfRule type="cellIs" dxfId="230" priority="208" stopIfTrue="1" operator="equal">
      <formula>"Towel"</formula>
    </cfRule>
    <cfRule type="cellIs" dxfId="229" priority="209" stopIfTrue="1" operator="equal">
      <formula>"Napkin Hs"</formula>
    </cfRule>
  </conditionalFormatting>
  <conditionalFormatting sqref="C148">
    <cfRule type="cellIs" dxfId="228" priority="200" stopIfTrue="1" operator="equal">
      <formula>"Towel"</formula>
    </cfRule>
    <cfRule type="cellIs" dxfId="227" priority="201" stopIfTrue="1" operator="equal">
      <formula>"Napkin Hs"</formula>
    </cfRule>
  </conditionalFormatting>
  <conditionalFormatting sqref="B148:C148">
    <cfRule type="cellIs" dxfId="226" priority="202" stopIfTrue="1" operator="equal">
      <formula>"Towel"</formula>
    </cfRule>
    <cfRule type="cellIs" dxfId="225" priority="203" stopIfTrue="1" operator="equal">
      <formula>"Napkin Hs"</formula>
    </cfRule>
  </conditionalFormatting>
  <conditionalFormatting sqref="C148">
    <cfRule type="cellIs" dxfId="224" priority="198" stopIfTrue="1" operator="equal">
      <formula>"Towel"</formula>
    </cfRule>
    <cfRule type="cellIs" dxfId="223" priority="199" stopIfTrue="1" operator="equal">
      <formula>"Napkin Hs"</formula>
    </cfRule>
  </conditionalFormatting>
  <conditionalFormatting sqref="B148:C148">
    <cfRule type="cellIs" dxfId="222" priority="196" stopIfTrue="1" operator="equal">
      <formula>"Towel"</formula>
    </cfRule>
    <cfRule type="cellIs" dxfId="221" priority="197" stopIfTrue="1" operator="equal">
      <formula>"Napkin Hs"</formula>
    </cfRule>
  </conditionalFormatting>
  <conditionalFormatting sqref="C148">
    <cfRule type="cellIs" dxfId="220" priority="204" stopIfTrue="1" operator="equal">
      <formula>"Towel"</formula>
    </cfRule>
    <cfRule type="cellIs" dxfId="219" priority="205" stopIfTrue="1" operator="equal">
      <formula>"Napkin Hs"</formula>
    </cfRule>
  </conditionalFormatting>
  <conditionalFormatting sqref="C148">
    <cfRule type="cellIs" dxfId="218" priority="206" stopIfTrue="1" operator="equal">
      <formula>"Towel"</formula>
    </cfRule>
    <cfRule type="cellIs" dxfId="217" priority="207" stopIfTrue="1" operator="equal">
      <formula>"Napkin Hs"</formula>
    </cfRule>
  </conditionalFormatting>
  <conditionalFormatting sqref="B148:C148">
    <cfRule type="cellIs" dxfId="216" priority="194" stopIfTrue="1" operator="equal">
      <formula>"Towel"</formula>
    </cfRule>
    <cfRule type="cellIs" dxfId="215" priority="195" stopIfTrue="1" operator="equal">
      <formula>"Napkin Hs"</formula>
    </cfRule>
  </conditionalFormatting>
  <conditionalFormatting sqref="C148">
    <cfRule type="cellIs" dxfId="214" priority="190" stopIfTrue="1" operator="equal">
      <formula>"Towel"</formula>
    </cfRule>
    <cfRule type="cellIs" dxfId="213" priority="191" stopIfTrue="1" operator="equal">
      <formula>"Napkin Hs"</formula>
    </cfRule>
  </conditionalFormatting>
  <conditionalFormatting sqref="C148">
    <cfRule type="cellIs" dxfId="212" priority="192" stopIfTrue="1" operator="equal">
      <formula>"Towel"</formula>
    </cfRule>
    <cfRule type="cellIs" dxfId="211" priority="193" stopIfTrue="1" operator="equal">
      <formula>"Napkin Hs"</formula>
    </cfRule>
  </conditionalFormatting>
  <conditionalFormatting sqref="B148:C148">
    <cfRule type="cellIs" dxfId="210" priority="188" stopIfTrue="1" operator="equal">
      <formula>"Towel"</formula>
    </cfRule>
    <cfRule type="cellIs" dxfId="209" priority="189" stopIfTrue="1" operator="equal">
      <formula>"Napkin Hs"</formula>
    </cfRule>
  </conditionalFormatting>
  <conditionalFormatting sqref="C148">
    <cfRule type="cellIs" dxfId="208" priority="186" stopIfTrue="1" operator="equal">
      <formula>"Towel"</formula>
    </cfRule>
    <cfRule type="cellIs" dxfId="207" priority="187" stopIfTrue="1" operator="equal">
      <formula>"Napkin Hs"</formula>
    </cfRule>
  </conditionalFormatting>
  <conditionalFormatting sqref="C148">
    <cfRule type="cellIs" dxfId="206" priority="184" stopIfTrue="1" operator="equal">
      <formula>"Towel"</formula>
    </cfRule>
    <cfRule type="cellIs" dxfId="205" priority="185" stopIfTrue="1" operator="equal">
      <formula>"Napkin Hs"</formula>
    </cfRule>
  </conditionalFormatting>
  <conditionalFormatting sqref="C148">
    <cfRule type="cellIs" dxfId="204" priority="176" stopIfTrue="1" operator="equal">
      <formula>"Towel"</formula>
    </cfRule>
    <cfRule type="cellIs" dxfId="203" priority="177" stopIfTrue="1" operator="equal">
      <formula>"Napkin Hs"</formula>
    </cfRule>
  </conditionalFormatting>
  <conditionalFormatting sqref="B148:C148">
    <cfRule type="cellIs" dxfId="202" priority="178" stopIfTrue="1" operator="equal">
      <formula>"Towel"</formula>
    </cfRule>
    <cfRule type="cellIs" dxfId="201" priority="179" stopIfTrue="1" operator="equal">
      <formula>"Napkin Hs"</formula>
    </cfRule>
  </conditionalFormatting>
  <conditionalFormatting sqref="C148">
    <cfRule type="cellIs" dxfId="200" priority="174" stopIfTrue="1" operator="equal">
      <formula>"Towel"</formula>
    </cfRule>
    <cfRule type="cellIs" dxfId="199" priority="175" stopIfTrue="1" operator="equal">
      <formula>"Napkin Hs"</formula>
    </cfRule>
  </conditionalFormatting>
  <conditionalFormatting sqref="B148:C148">
    <cfRule type="cellIs" dxfId="198" priority="172" stopIfTrue="1" operator="equal">
      <formula>"Towel"</formula>
    </cfRule>
    <cfRule type="cellIs" dxfId="197" priority="173" stopIfTrue="1" operator="equal">
      <formula>"Napkin Hs"</formula>
    </cfRule>
  </conditionalFormatting>
  <conditionalFormatting sqref="C148">
    <cfRule type="cellIs" dxfId="196" priority="180" stopIfTrue="1" operator="equal">
      <formula>"Towel"</formula>
    </cfRule>
    <cfRule type="cellIs" dxfId="195" priority="181" stopIfTrue="1" operator="equal">
      <formula>"Napkin Hs"</formula>
    </cfRule>
  </conditionalFormatting>
  <conditionalFormatting sqref="C148">
    <cfRule type="cellIs" dxfId="194" priority="182" stopIfTrue="1" operator="equal">
      <formula>"Towel"</formula>
    </cfRule>
    <cfRule type="cellIs" dxfId="193" priority="183" stopIfTrue="1" operator="equal">
      <formula>"Napkin Hs"</formula>
    </cfRule>
  </conditionalFormatting>
  <conditionalFormatting sqref="C148">
    <cfRule type="cellIs" dxfId="192" priority="170" stopIfTrue="1" operator="equal">
      <formula>"Towel"</formula>
    </cfRule>
    <cfRule type="cellIs" dxfId="191" priority="171" stopIfTrue="1" operator="equal">
      <formula>"Napkin Hs"</formula>
    </cfRule>
  </conditionalFormatting>
  <conditionalFormatting sqref="C148">
    <cfRule type="cellIs" dxfId="190" priority="166" stopIfTrue="1" operator="equal">
      <formula>"Towel"</formula>
    </cfRule>
    <cfRule type="cellIs" dxfId="189" priority="167" stopIfTrue="1" operator="equal">
      <formula>"Napkin Hs"</formula>
    </cfRule>
  </conditionalFormatting>
  <conditionalFormatting sqref="C148">
    <cfRule type="cellIs" dxfId="188" priority="168" stopIfTrue="1" operator="equal">
      <formula>"Towel"</formula>
    </cfRule>
    <cfRule type="cellIs" dxfId="187" priority="169" stopIfTrue="1" operator="equal">
      <formula>"Napkin Hs"</formula>
    </cfRule>
  </conditionalFormatting>
  <conditionalFormatting sqref="C148">
    <cfRule type="cellIs" dxfId="186" priority="162" stopIfTrue="1" operator="equal">
      <formula>"Towel"</formula>
    </cfRule>
    <cfRule type="cellIs" dxfId="185" priority="163" stopIfTrue="1" operator="equal">
      <formula>"Napkin Hs"</formula>
    </cfRule>
  </conditionalFormatting>
  <conditionalFormatting sqref="C148">
    <cfRule type="cellIs" dxfId="184" priority="164" stopIfTrue="1" operator="equal">
      <formula>"Towel"</formula>
    </cfRule>
    <cfRule type="cellIs" dxfId="183" priority="165" stopIfTrue="1" operator="equal">
      <formula>"Napkin Hs"</formula>
    </cfRule>
  </conditionalFormatting>
  <conditionalFormatting sqref="C148">
    <cfRule type="cellIs" dxfId="182" priority="160" stopIfTrue="1" operator="equal">
      <formula>"Towel"</formula>
    </cfRule>
    <cfRule type="cellIs" dxfId="181" priority="161" stopIfTrue="1" operator="equal">
      <formula>"Napkin Hs"</formula>
    </cfRule>
  </conditionalFormatting>
  <conditionalFormatting sqref="C148">
    <cfRule type="cellIs" dxfId="180" priority="154" stopIfTrue="1" operator="equal">
      <formula>"Towel"</formula>
    </cfRule>
    <cfRule type="cellIs" dxfId="179" priority="155" stopIfTrue="1" operator="equal">
      <formula>"Napkin Hs"</formula>
    </cfRule>
  </conditionalFormatting>
  <conditionalFormatting sqref="C148">
    <cfRule type="cellIs" dxfId="178" priority="158" stopIfTrue="1" operator="equal">
      <formula>"Towel"</formula>
    </cfRule>
    <cfRule type="cellIs" dxfId="177" priority="159" stopIfTrue="1" operator="equal">
      <formula>"Napkin Hs"</formula>
    </cfRule>
  </conditionalFormatting>
  <conditionalFormatting sqref="C148">
    <cfRule type="cellIs" dxfId="176" priority="156" stopIfTrue="1" operator="equal">
      <formula>"Towel"</formula>
    </cfRule>
    <cfRule type="cellIs" dxfId="175" priority="157" stopIfTrue="1" operator="equal">
      <formula>"Napkin Hs"</formula>
    </cfRule>
  </conditionalFormatting>
  <conditionalFormatting sqref="C148">
    <cfRule type="cellIs" dxfId="174" priority="148" stopIfTrue="1" operator="equal">
      <formula>"Towel"</formula>
    </cfRule>
    <cfRule type="cellIs" dxfId="173" priority="149" stopIfTrue="1" operator="equal">
      <formula>"Napkin Hs"</formula>
    </cfRule>
  </conditionalFormatting>
  <conditionalFormatting sqref="C148">
    <cfRule type="cellIs" dxfId="172" priority="150" stopIfTrue="1" operator="equal">
      <formula>"Towel"</formula>
    </cfRule>
    <cfRule type="cellIs" dxfId="171" priority="151" stopIfTrue="1" operator="equal">
      <formula>"Napkin Hs"</formula>
    </cfRule>
  </conditionalFormatting>
  <conditionalFormatting sqref="C148">
    <cfRule type="cellIs" dxfId="170" priority="152" stopIfTrue="1" operator="equal">
      <formula>"Towel"</formula>
    </cfRule>
    <cfRule type="cellIs" dxfId="169" priority="153" stopIfTrue="1" operator="equal">
      <formula>"Napkin Hs"</formula>
    </cfRule>
  </conditionalFormatting>
  <conditionalFormatting sqref="C148">
    <cfRule type="cellIs" dxfId="168" priority="146" stopIfTrue="1" operator="equal">
      <formula>"Towel"</formula>
    </cfRule>
    <cfRule type="cellIs" dxfId="167" priority="147" stopIfTrue="1" operator="equal">
      <formula>"Napkin Hs"</formula>
    </cfRule>
  </conditionalFormatting>
  <conditionalFormatting sqref="C148">
    <cfRule type="cellIs" dxfId="166" priority="144" stopIfTrue="1" operator="equal">
      <formula>"Towel"</formula>
    </cfRule>
    <cfRule type="cellIs" dxfId="165" priority="145" stopIfTrue="1" operator="equal">
      <formula>"Napkin Hs"</formula>
    </cfRule>
  </conditionalFormatting>
  <conditionalFormatting sqref="C148">
    <cfRule type="cellIs" dxfId="164" priority="120" stopIfTrue="1" operator="equal">
      <formula>"Towel"</formula>
    </cfRule>
  </conditionalFormatting>
  <conditionalFormatting sqref="C148">
    <cfRule type="cellIs" dxfId="163" priority="121" stopIfTrue="1" operator="equal">
      <formula>"Napkin Hs"</formula>
    </cfRule>
    <cfRule type="cellIs" dxfId="162" priority="126" stopIfTrue="1" operator="equal">
      <formula>"Towel"</formula>
    </cfRule>
    <cfRule type="cellIs" dxfId="161" priority="127" stopIfTrue="1" operator="equal">
      <formula>"Napkin Hs"</formula>
    </cfRule>
    <cfRule type="cellIs" dxfId="160" priority="136" stopIfTrue="1" operator="equal">
      <formula>"Towel"</formula>
    </cfRule>
    <cfRule type="cellIs" dxfId="159" priority="137" stopIfTrue="1" operator="equal">
      <formula>"Napkin Hs"</formula>
    </cfRule>
    <cfRule type="cellIs" dxfId="158" priority="142" stopIfTrue="1" operator="equal">
      <formula>"Towel"</formula>
    </cfRule>
    <cfRule type="cellIs" dxfId="157" priority="143" stopIfTrue="1" operator="equal">
      <formula>"Napkin Hs"</formula>
    </cfRule>
  </conditionalFormatting>
  <conditionalFormatting sqref="C148">
    <cfRule type="cellIs" dxfId="156" priority="122" stopIfTrue="1" operator="equal">
      <formula>"Towel"</formula>
    </cfRule>
    <cfRule type="cellIs" dxfId="155" priority="123" stopIfTrue="1" operator="equal">
      <formula>"Napkin Hs"</formula>
    </cfRule>
    <cfRule type="cellIs" dxfId="154" priority="124" stopIfTrue="1" operator="equal">
      <formula>"Towel"</formula>
    </cfRule>
    <cfRule type="cellIs" dxfId="153" priority="125" stopIfTrue="1" operator="equal">
      <formula>"Napkin Hs"</formula>
    </cfRule>
    <cfRule type="cellIs" dxfId="152" priority="128" stopIfTrue="1" operator="equal">
      <formula>"Towel"</formula>
    </cfRule>
    <cfRule type="cellIs" dxfId="151" priority="129" stopIfTrue="1" operator="equal">
      <formula>"Napkin Hs"</formula>
    </cfRule>
    <cfRule type="cellIs" dxfId="150" priority="130" stopIfTrue="1" operator="equal">
      <formula>"Towel"</formula>
    </cfRule>
    <cfRule type="cellIs" dxfId="149" priority="131" stopIfTrue="1" operator="equal">
      <formula>"Napkin Hs"</formula>
    </cfRule>
    <cfRule type="cellIs" dxfId="148" priority="132" stopIfTrue="1" operator="equal">
      <formula>"Towel"</formula>
    </cfRule>
    <cfRule type="cellIs" dxfId="147" priority="133" stopIfTrue="1" operator="equal">
      <formula>"Napkin Hs"</formula>
    </cfRule>
    <cfRule type="cellIs" dxfId="146" priority="134" stopIfTrue="1" operator="equal">
      <formula>"Towel"</formula>
    </cfRule>
    <cfRule type="cellIs" dxfId="145" priority="135" stopIfTrue="1" operator="equal">
      <formula>"Napkin Hs"</formula>
    </cfRule>
    <cfRule type="cellIs" dxfId="144" priority="138" stopIfTrue="1" operator="equal">
      <formula>"Towel"</formula>
    </cfRule>
    <cfRule type="cellIs" dxfId="143" priority="139" stopIfTrue="1" operator="equal">
      <formula>"Napkin Hs"</formula>
    </cfRule>
    <cfRule type="cellIs" dxfId="142" priority="141" stopIfTrue="1" operator="equal">
      <formula>"Napkin Hs"</formula>
    </cfRule>
  </conditionalFormatting>
  <conditionalFormatting sqref="C148">
    <cfRule type="cellIs" dxfId="141" priority="140" stopIfTrue="1" operator="equal">
      <formula>"Towel"</formula>
    </cfRule>
  </conditionalFormatting>
  <conditionalFormatting sqref="C148">
    <cfRule type="cellIs" dxfId="140" priority="118" stopIfTrue="1" operator="equal">
      <formula>"Towel"</formula>
    </cfRule>
    <cfRule type="cellIs" dxfId="139" priority="119" stopIfTrue="1" operator="equal">
      <formula>"Napkin Hs"</formula>
    </cfRule>
  </conditionalFormatting>
  <conditionalFormatting sqref="C148">
    <cfRule type="cellIs" dxfId="138" priority="117" stopIfTrue="1" operator="equal">
      <formula>"Napkin Hs"</formula>
    </cfRule>
  </conditionalFormatting>
  <conditionalFormatting sqref="C148">
    <cfRule type="cellIs" dxfId="137" priority="116" stopIfTrue="1" operator="equal">
      <formula>"Towel"</formula>
    </cfRule>
  </conditionalFormatting>
  <conditionalFormatting sqref="C148">
    <cfRule type="cellIs" dxfId="136" priority="114" stopIfTrue="1" operator="equal">
      <formula>"Towel"</formula>
    </cfRule>
  </conditionalFormatting>
  <conditionalFormatting sqref="C148">
    <cfRule type="cellIs" dxfId="135" priority="115" stopIfTrue="1" operator="equal">
      <formula>"Napkin Hs"</formula>
    </cfRule>
  </conditionalFormatting>
  <conditionalFormatting sqref="C148">
    <cfRule type="cellIs" dxfId="134" priority="18" stopIfTrue="1" operator="equal">
      <formula>"Towel"</formula>
    </cfRule>
  </conditionalFormatting>
  <conditionalFormatting sqref="C148">
    <cfRule type="cellIs" dxfId="133" priority="28" stopIfTrue="1" operator="equal">
      <formula>"Towel"</formula>
    </cfRule>
    <cfRule type="cellIs" dxfId="132" priority="29" stopIfTrue="1" operator="equal">
      <formula>"Napkin Hs"</formula>
    </cfRule>
    <cfRule type="cellIs" dxfId="131" priority="34" stopIfTrue="1" operator="equal">
      <formula>"Towel"</formula>
    </cfRule>
    <cfRule type="cellIs" dxfId="130" priority="35" stopIfTrue="1" operator="equal">
      <formula>"Napkin Hs"</formula>
    </cfRule>
    <cfRule type="cellIs" dxfId="129" priority="40" stopIfTrue="1" operator="equal">
      <formula>"Towel"</formula>
    </cfRule>
    <cfRule type="cellIs" dxfId="128" priority="41" stopIfTrue="1" operator="equal">
      <formula>"Napkin Hs"</formula>
    </cfRule>
    <cfRule type="cellIs" dxfId="127" priority="42" stopIfTrue="1" operator="equal">
      <formula>"Towel"</formula>
    </cfRule>
    <cfRule type="cellIs" dxfId="126" priority="43" stopIfTrue="1" operator="equal">
      <formula>"Napkin Hs"</formula>
    </cfRule>
    <cfRule type="cellIs" dxfId="125" priority="48" stopIfTrue="1" operator="equal">
      <formula>"Towel"</formula>
    </cfRule>
    <cfRule type="cellIs" dxfId="124" priority="49" stopIfTrue="1" operator="equal">
      <formula>"Napkin Hs"</formula>
    </cfRule>
    <cfRule type="cellIs" dxfId="123" priority="58" stopIfTrue="1" operator="equal">
      <formula>"Towel"</formula>
    </cfRule>
    <cfRule type="cellIs" dxfId="122" priority="59" stopIfTrue="1" operator="equal">
      <formula>"Napkin Hs"</formula>
    </cfRule>
    <cfRule type="cellIs" dxfId="121" priority="64" stopIfTrue="1" operator="equal">
      <formula>"Towel"</formula>
    </cfRule>
    <cfRule type="cellIs" dxfId="120" priority="65" stopIfTrue="1" operator="equal">
      <formula>"Napkin Hs"</formula>
    </cfRule>
    <cfRule type="cellIs" dxfId="119" priority="66" stopIfTrue="1" operator="equal">
      <formula>"Towel"</formula>
    </cfRule>
    <cfRule type="cellIs" dxfId="118" priority="67" stopIfTrue="1" operator="equal">
      <formula>"Napkin Hs"</formula>
    </cfRule>
    <cfRule type="cellIs" dxfId="117" priority="72" stopIfTrue="1" operator="equal">
      <formula>"Towel"</formula>
    </cfRule>
    <cfRule type="cellIs" dxfId="116" priority="73" stopIfTrue="1" operator="equal">
      <formula>"Napkin Hs"</formula>
    </cfRule>
    <cfRule type="cellIs" dxfId="115" priority="82" stopIfTrue="1" operator="equal">
      <formula>"Towel"</formula>
    </cfRule>
    <cfRule type="cellIs" dxfId="114" priority="83" stopIfTrue="1" operator="equal">
      <formula>"Napkin Hs"</formula>
    </cfRule>
    <cfRule type="cellIs" dxfId="113" priority="84" stopIfTrue="1" operator="equal">
      <formula>"Towel"</formula>
    </cfRule>
    <cfRule type="cellIs" dxfId="112" priority="85" stopIfTrue="1" operator="equal">
      <formula>"Napkin Hs"</formula>
    </cfRule>
    <cfRule type="cellIs" dxfId="111" priority="90" stopIfTrue="1" operator="equal">
      <formula>"Towel"</formula>
    </cfRule>
    <cfRule type="cellIs" dxfId="110" priority="91" stopIfTrue="1" operator="equal">
      <formula>"Napkin Hs"</formula>
    </cfRule>
    <cfRule type="cellIs" dxfId="109" priority="100" stopIfTrue="1" operator="equal">
      <formula>"Towel"</formula>
    </cfRule>
    <cfRule type="cellIs" dxfId="108" priority="101" stopIfTrue="1" operator="equal">
      <formula>"Napkin Hs"</formula>
    </cfRule>
    <cfRule type="cellIs" dxfId="107" priority="102" stopIfTrue="1" operator="equal">
      <formula>"Towel"</formula>
    </cfRule>
    <cfRule type="cellIs" dxfId="106" priority="103" stopIfTrue="1" operator="equal">
      <formula>"Napkin Hs"</formula>
    </cfRule>
    <cfRule type="cellIs" dxfId="105" priority="109" stopIfTrue="1" operator="equal">
      <formula>"Napkin Hs"</formula>
    </cfRule>
  </conditionalFormatting>
  <conditionalFormatting sqref="C148">
    <cfRule type="cellIs" dxfId="104" priority="108" stopIfTrue="1" operator="equal">
      <formula>"Towel"</formula>
    </cfRule>
  </conditionalFormatting>
  <conditionalFormatting sqref="C148">
    <cfRule type="cellIs" dxfId="103" priority="19" stopIfTrue="1" operator="equal">
      <formula>"Napkin Hs"</formula>
    </cfRule>
    <cfRule type="cellIs" dxfId="102" priority="20" stopIfTrue="1" operator="equal">
      <formula>"Towel"</formula>
    </cfRule>
    <cfRule type="cellIs" dxfId="101" priority="21" stopIfTrue="1" operator="equal">
      <formula>"Napkin Hs"</formula>
    </cfRule>
    <cfRule type="cellIs" dxfId="100" priority="22" stopIfTrue="1" operator="equal">
      <formula>"Towel"</formula>
    </cfRule>
    <cfRule type="cellIs" dxfId="99" priority="23" stopIfTrue="1" operator="equal">
      <formula>"Napkin Hs"</formula>
    </cfRule>
    <cfRule type="cellIs" dxfId="98" priority="24" stopIfTrue="1" operator="equal">
      <formula>"Towel"</formula>
    </cfRule>
    <cfRule type="cellIs" dxfId="97" priority="25" stopIfTrue="1" operator="equal">
      <formula>"Napkin Hs"</formula>
    </cfRule>
    <cfRule type="cellIs" dxfId="96" priority="26" stopIfTrue="1" operator="equal">
      <formula>"Towel"</formula>
    </cfRule>
    <cfRule type="cellIs" dxfId="95" priority="27" stopIfTrue="1" operator="equal">
      <formula>"Napkin Hs"</formula>
    </cfRule>
    <cfRule type="cellIs" dxfId="94" priority="30" stopIfTrue="1" operator="equal">
      <formula>"Towel"</formula>
    </cfRule>
    <cfRule type="cellIs" dxfId="93" priority="31" stopIfTrue="1" operator="equal">
      <formula>"Napkin Hs"</formula>
    </cfRule>
    <cfRule type="cellIs" dxfId="92" priority="32" stopIfTrue="1" operator="equal">
      <formula>"Towel"</formula>
    </cfRule>
    <cfRule type="cellIs" dxfId="91" priority="33" stopIfTrue="1" operator="equal">
      <formula>"Napkin Hs"</formula>
    </cfRule>
    <cfRule type="cellIs" dxfId="90" priority="36" stopIfTrue="1" operator="equal">
      <formula>"Towel"</formula>
    </cfRule>
    <cfRule type="cellIs" dxfId="89" priority="37" stopIfTrue="1" operator="equal">
      <formula>"Napkin Hs"</formula>
    </cfRule>
    <cfRule type="cellIs" dxfId="88" priority="38" stopIfTrue="1" operator="equal">
      <formula>"Towel"</formula>
    </cfRule>
    <cfRule type="cellIs" dxfId="87" priority="39" stopIfTrue="1" operator="equal">
      <formula>"Napkin Hs"</formula>
    </cfRule>
    <cfRule type="cellIs" dxfId="86" priority="44" stopIfTrue="1" operator="equal">
      <formula>"Towel"</formula>
    </cfRule>
    <cfRule type="cellIs" dxfId="85" priority="45" stopIfTrue="1" operator="equal">
      <formula>"Napkin Hs"</formula>
    </cfRule>
    <cfRule type="cellIs" dxfId="84" priority="46" stopIfTrue="1" operator="equal">
      <formula>"Towel"</formula>
    </cfRule>
    <cfRule type="cellIs" dxfId="83" priority="47" stopIfTrue="1" operator="equal">
      <formula>"Napkin Hs"</formula>
    </cfRule>
    <cfRule type="cellIs" dxfId="82" priority="50" stopIfTrue="1" operator="equal">
      <formula>"Towel"</formula>
    </cfRule>
    <cfRule type="cellIs" dxfId="81" priority="51" stopIfTrue="1" operator="equal">
      <formula>"Napkin Hs"</formula>
    </cfRule>
    <cfRule type="cellIs" dxfId="80" priority="52" stopIfTrue="1" operator="equal">
      <formula>"Towel"</formula>
    </cfRule>
    <cfRule type="cellIs" dxfId="79" priority="53" stopIfTrue="1" operator="equal">
      <formula>"Napkin Hs"</formula>
    </cfRule>
    <cfRule type="cellIs" dxfId="78" priority="54" stopIfTrue="1" operator="equal">
      <formula>"Towel"</formula>
    </cfRule>
    <cfRule type="cellIs" dxfId="77" priority="55" stopIfTrue="1" operator="equal">
      <formula>"Napkin Hs"</formula>
    </cfRule>
    <cfRule type="cellIs" dxfId="76" priority="56" stopIfTrue="1" operator="equal">
      <formula>"Towel"</formula>
    </cfRule>
    <cfRule type="cellIs" dxfId="75" priority="57" stopIfTrue="1" operator="equal">
      <formula>"Napkin Hs"</formula>
    </cfRule>
    <cfRule type="cellIs" dxfId="74" priority="60" stopIfTrue="1" operator="equal">
      <formula>"Towel"</formula>
    </cfRule>
    <cfRule type="cellIs" dxfId="73" priority="61" stopIfTrue="1" operator="equal">
      <formula>"Napkin Hs"</formula>
    </cfRule>
    <cfRule type="cellIs" dxfId="72" priority="62" stopIfTrue="1" operator="equal">
      <formula>"Towel"</formula>
    </cfRule>
    <cfRule type="cellIs" dxfId="71" priority="63" stopIfTrue="1" operator="equal">
      <formula>"Napkin Hs"</formula>
    </cfRule>
    <cfRule type="cellIs" dxfId="70" priority="68" stopIfTrue="1" operator="equal">
      <formula>"Towel"</formula>
    </cfRule>
    <cfRule type="cellIs" dxfId="69" priority="69" stopIfTrue="1" operator="equal">
      <formula>"Napkin Hs"</formula>
    </cfRule>
    <cfRule type="cellIs" dxfId="68" priority="70" stopIfTrue="1" operator="equal">
      <formula>"Towel"</formula>
    </cfRule>
    <cfRule type="cellIs" dxfId="67" priority="71" stopIfTrue="1" operator="equal">
      <formula>"Napkin Hs"</formula>
    </cfRule>
    <cfRule type="cellIs" dxfId="66" priority="74" stopIfTrue="1" operator="equal">
      <formula>"Towel"</formula>
    </cfRule>
    <cfRule type="cellIs" dxfId="65" priority="75" stopIfTrue="1" operator="equal">
      <formula>"Napkin Hs"</formula>
    </cfRule>
    <cfRule type="cellIs" dxfId="64" priority="76" stopIfTrue="1" operator="equal">
      <formula>"Towel"</formula>
    </cfRule>
    <cfRule type="cellIs" dxfId="63" priority="77" stopIfTrue="1" operator="equal">
      <formula>"Napkin Hs"</formula>
    </cfRule>
    <cfRule type="cellIs" dxfId="62" priority="78" stopIfTrue="1" operator="equal">
      <formula>"Towel"</formula>
    </cfRule>
    <cfRule type="cellIs" dxfId="61" priority="79" stopIfTrue="1" operator="equal">
      <formula>"Napkin Hs"</formula>
    </cfRule>
    <cfRule type="cellIs" dxfId="60" priority="80" stopIfTrue="1" operator="equal">
      <formula>"Towel"</formula>
    </cfRule>
    <cfRule type="cellIs" dxfId="59" priority="81" stopIfTrue="1" operator="equal">
      <formula>"Napkin Hs"</formula>
    </cfRule>
    <cfRule type="cellIs" dxfId="58" priority="86" stopIfTrue="1" operator="equal">
      <formula>"Towel"</formula>
    </cfRule>
    <cfRule type="cellIs" dxfId="57" priority="87" stopIfTrue="1" operator="equal">
      <formula>"Napkin Hs"</formula>
    </cfRule>
    <cfRule type="cellIs" dxfId="56" priority="88" stopIfTrue="1" operator="equal">
      <formula>"Towel"</formula>
    </cfRule>
    <cfRule type="cellIs" dxfId="55" priority="89" stopIfTrue="1" operator="equal">
      <formula>"Napkin Hs"</formula>
    </cfRule>
    <cfRule type="cellIs" dxfId="54" priority="92" stopIfTrue="1" operator="equal">
      <formula>"Towel"</formula>
    </cfRule>
    <cfRule type="cellIs" dxfId="53" priority="93" stopIfTrue="1" operator="equal">
      <formula>"Napkin Hs"</formula>
    </cfRule>
    <cfRule type="cellIs" dxfId="52" priority="94" stopIfTrue="1" operator="equal">
      <formula>"Towel"</formula>
    </cfRule>
    <cfRule type="cellIs" dxfId="51" priority="95" stopIfTrue="1" operator="equal">
      <formula>"Napkin Hs"</formula>
    </cfRule>
    <cfRule type="cellIs" dxfId="50" priority="96" stopIfTrue="1" operator="equal">
      <formula>"Towel"</formula>
    </cfRule>
    <cfRule type="cellIs" dxfId="49" priority="97" stopIfTrue="1" operator="equal">
      <formula>"Napkin Hs"</formula>
    </cfRule>
    <cfRule type="cellIs" dxfId="48" priority="98" stopIfTrue="1" operator="equal">
      <formula>"Towel"</formula>
    </cfRule>
    <cfRule type="cellIs" dxfId="47" priority="99" stopIfTrue="1" operator="equal">
      <formula>"Napkin Hs"</formula>
    </cfRule>
    <cfRule type="cellIs" dxfId="46" priority="104" stopIfTrue="1" operator="equal">
      <formula>"Towel"</formula>
    </cfRule>
    <cfRule type="cellIs" dxfId="45" priority="105" stopIfTrue="1" operator="equal">
      <formula>"Napkin Hs"</formula>
    </cfRule>
    <cfRule type="cellIs" dxfId="44" priority="106" stopIfTrue="1" operator="equal">
      <formula>"Towel"</formula>
    </cfRule>
    <cfRule type="cellIs" dxfId="43" priority="107" stopIfTrue="1" operator="equal">
      <formula>"Napkin Hs"</formula>
    </cfRule>
    <cfRule type="cellIs" dxfId="42" priority="110" stopIfTrue="1" operator="equal">
      <formula>"Towel"</formula>
    </cfRule>
    <cfRule type="cellIs" dxfId="41" priority="111" stopIfTrue="1" operator="equal">
      <formula>"Napkin Hs"</formula>
    </cfRule>
    <cfRule type="cellIs" dxfId="40" priority="112" stopIfTrue="1" operator="equal">
      <formula>"Towel"</formula>
    </cfRule>
    <cfRule type="cellIs" dxfId="39" priority="113" stopIfTrue="1" operator="equal">
      <formula>"Napkin Hs"</formula>
    </cfRule>
  </conditionalFormatting>
  <conditionalFormatting sqref="C148">
    <cfRule type="cellIs" dxfId="38" priority="17" stopIfTrue="1" operator="equal">
      <formula>"Napkin Hs"</formula>
    </cfRule>
  </conditionalFormatting>
  <conditionalFormatting sqref="C148">
    <cfRule type="cellIs" dxfId="37" priority="16" stopIfTrue="1" operator="equal">
      <formula>"Napkin Hs"</formula>
    </cfRule>
  </conditionalFormatting>
  <conditionalFormatting sqref="C148">
    <cfRule type="cellIs" dxfId="36" priority="15" stopIfTrue="1" operator="equal">
      <formula>"Napkin Hs"</formula>
    </cfRule>
  </conditionalFormatting>
  <conditionalFormatting sqref="C148">
    <cfRule type="cellIs" dxfId="35" priority="14" stopIfTrue="1" operator="equal">
      <formula>"Napkin Hs"</formula>
    </cfRule>
  </conditionalFormatting>
  <conditionalFormatting sqref="C148">
    <cfRule type="cellIs" dxfId="34" priority="13" stopIfTrue="1" operator="equal">
      <formula>"Napkin Hs"</formula>
    </cfRule>
  </conditionalFormatting>
  <conditionalFormatting sqref="C148">
    <cfRule type="cellIs" dxfId="33" priority="12" stopIfTrue="1" operator="equal">
      <formula>"Napkin Hs"</formula>
    </cfRule>
  </conditionalFormatting>
  <conditionalFormatting sqref="C148">
    <cfRule type="cellIs" dxfId="32" priority="8" stopIfTrue="1" operator="equal">
      <formula>"Towel"</formula>
    </cfRule>
    <cfRule type="cellIs" dxfId="31" priority="9" stopIfTrue="1" operator="equal">
      <formula>"Napkin Hs"</formula>
    </cfRule>
  </conditionalFormatting>
  <conditionalFormatting sqref="C148">
    <cfRule type="cellIs" dxfId="30" priority="10" stopIfTrue="1" operator="equal">
      <formula>"Towel"</formula>
    </cfRule>
    <cfRule type="cellIs" dxfId="29" priority="11" stopIfTrue="1" operator="equal">
      <formula>"Napkin Hs"</formula>
    </cfRule>
  </conditionalFormatting>
  <conditionalFormatting sqref="C148">
    <cfRule type="cellIs" dxfId="28" priority="4" stopIfTrue="1" operator="equal">
      <formula>"Towel"</formula>
    </cfRule>
    <cfRule type="cellIs" dxfId="27" priority="5" stopIfTrue="1" operator="equal">
      <formula>"Napkin Hs"</formula>
    </cfRule>
  </conditionalFormatting>
  <conditionalFormatting sqref="C148">
    <cfRule type="cellIs" dxfId="26" priority="6" stopIfTrue="1" operator="equal">
      <formula>"Towel"</formula>
    </cfRule>
    <cfRule type="cellIs" dxfId="25" priority="7" stopIfTrue="1" operator="equal">
      <formula>"Napkin Hs"</formula>
    </cfRule>
  </conditionalFormatting>
  <conditionalFormatting sqref="B148">
    <cfRule type="cellIs" dxfId="24" priority="3" stopIfTrue="1" operator="equal">
      <formula>"Napkin Hs"</formula>
    </cfRule>
  </conditionalFormatting>
  <conditionalFormatting sqref="B148">
    <cfRule type="cellIs" dxfId="23" priority="2" stopIfTrue="1" operator="equal">
      <formula>"Napkin Hs"</formula>
    </cfRule>
  </conditionalFormatting>
  <conditionalFormatting sqref="B148">
    <cfRule type="cellIs" dxfId="22" priority="1" stopIfTrue="1" operator="equal">
      <formula>"Napkin Hs"</formula>
    </cfRule>
  </conditionalFormatting>
  <conditionalFormatting sqref="C144">
    <cfRule type="cellIs" dxfId="21" priority="1732" stopIfTrue="1" operator="equal">
      <formula>"Napkin Hs"</formula>
    </cfRule>
  </conditionalFormatting>
  <conditionalFormatting sqref="C144">
    <cfRule type="cellIs" dxfId="20" priority="1731" stopIfTrue="1" operator="equal">
      <formula>"Towel"</formula>
    </cfRule>
  </conditionalFormatting>
  <conditionalFormatting sqref="C146">
    <cfRule type="cellIs" dxfId="19" priority="1661" stopIfTrue="1" operator="equal">
      <formula>"Towel"</formula>
    </cfRule>
    <cfRule type="cellIs" dxfId="18" priority="1662" stopIfTrue="1" operator="equal">
      <formula>"Napkin Hs"</formula>
    </cfRule>
  </conditionalFormatting>
  <conditionalFormatting sqref="C146">
    <cfRule type="cellIs" dxfId="17" priority="1659" stopIfTrue="1" operator="equal">
      <formula>"Towel"</formula>
    </cfRule>
    <cfRule type="cellIs" dxfId="16" priority="1660" stopIfTrue="1" operator="equal">
      <formula>"Napkin Hs"</formula>
    </cfRule>
  </conditionalFormatting>
  <conditionalFormatting sqref="B146:C146">
    <cfRule type="cellIs" dxfId="15" priority="1657" stopIfTrue="1" operator="equal">
      <formula>"Towel"</formula>
    </cfRule>
    <cfRule type="cellIs" dxfId="14" priority="1658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A45"/>
  <sheetViews>
    <sheetView zoomScale="85" workbookViewId="0">
      <pane xSplit="5" ySplit="8" topLeftCell="IZ33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KR39" sqref="KR39"/>
    </sheetView>
  </sheetViews>
  <sheetFormatPr defaultColWidth="10.42578125" defaultRowHeight="15" customHeight="1"/>
  <cols>
    <col min="1" max="1" width="8.140625" style="262" customWidth="1"/>
    <col min="2" max="2" width="13.5703125" style="262" customWidth="1"/>
    <col min="3" max="3" width="12.5703125" style="263" customWidth="1"/>
    <col min="4" max="4" width="11.140625" style="263" customWidth="1"/>
    <col min="5" max="5" width="11" style="264" customWidth="1"/>
    <col min="6" max="17" width="12.42578125" style="539" customWidth="1"/>
    <col min="18" max="20" width="12.42578125" style="539" hidden="1" customWidth="1"/>
    <col min="21" max="23" width="12.42578125" style="539" customWidth="1"/>
    <col min="24" max="32" width="12.42578125" style="539" hidden="1" customWidth="1"/>
    <col min="33" max="41" width="12.42578125" style="539" customWidth="1"/>
    <col min="42" max="47" width="12.42578125" style="539" hidden="1" customWidth="1"/>
    <col min="48" max="53" width="12.42578125" style="539" customWidth="1"/>
    <col min="54" max="77" width="12.42578125" style="539" hidden="1" customWidth="1"/>
    <col min="78" max="86" width="12.42578125" style="539" customWidth="1"/>
    <col min="87" max="104" width="12.42578125" style="539" hidden="1" customWidth="1"/>
    <col min="105" max="107" width="12.42578125" style="539" customWidth="1"/>
    <col min="108" max="131" width="12.42578125" style="539" hidden="1" customWidth="1"/>
    <col min="132" max="140" width="12.42578125" style="539" customWidth="1"/>
    <col min="141" max="188" width="12.42578125" style="539" hidden="1" customWidth="1"/>
    <col min="189" max="206" width="12.42578125" style="539" customWidth="1"/>
    <col min="207" max="221" width="12.42578125" style="539" hidden="1" customWidth="1"/>
    <col min="222" max="260" width="12.42578125" style="539" customWidth="1"/>
    <col min="261" max="266" width="12.42578125" style="539" hidden="1" customWidth="1"/>
    <col min="267" max="269" width="9.28515625" style="539" customWidth="1"/>
    <col min="270" max="275" width="12.28515625" style="539" customWidth="1"/>
    <col min="276" max="281" width="12.28515625" style="539" hidden="1" customWidth="1"/>
    <col min="282" max="300" width="5.5703125" style="539" hidden="1" customWidth="1"/>
    <col min="301" max="301" width="8.7109375" style="539" hidden="1" customWidth="1"/>
    <col min="302" max="302" width="7.7109375" style="539" hidden="1" customWidth="1"/>
    <col min="303" max="303" width="21" style="539" bestFit="1" customWidth="1"/>
    <col min="304" max="304" width="19.85546875" style="539" bestFit="1" customWidth="1"/>
    <col min="305" max="16384" width="10.42578125" style="262"/>
  </cols>
  <sheetData>
    <row r="1" spans="1:305" ht="15" customHeight="1">
      <c r="A1" s="258"/>
      <c r="B1" s="259"/>
      <c r="C1" s="260"/>
      <c r="D1" s="260"/>
      <c r="E1" s="261"/>
    </row>
    <row r="2" spans="1:305" ht="15" customHeight="1">
      <c r="A2" s="258"/>
    </row>
    <row r="3" spans="1:305" ht="15" customHeight="1">
      <c r="A3" s="266"/>
    </row>
    <row r="4" spans="1:305" ht="15" customHeight="1">
      <c r="A4" s="508" t="s">
        <v>367</v>
      </c>
    </row>
    <row r="5" spans="1:305" ht="15" customHeight="1" thickBot="1">
      <c r="F5" s="722" t="s">
        <v>308</v>
      </c>
      <c r="G5" s="723"/>
      <c r="H5" s="723"/>
      <c r="I5" s="723"/>
      <c r="J5" s="723"/>
      <c r="K5" s="723"/>
      <c r="L5" s="723"/>
      <c r="M5" s="723"/>
      <c r="N5" s="723"/>
      <c r="O5" s="723"/>
      <c r="P5" s="723"/>
      <c r="Q5" s="723"/>
      <c r="R5" s="723"/>
      <c r="S5" s="723"/>
      <c r="T5" s="723"/>
      <c r="U5" s="723"/>
      <c r="V5" s="723"/>
      <c r="W5" s="723"/>
      <c r="X5" s="723"/>
      <c r="Y5" s="723"/>
      <c r="Z5" s="723"/>
      <c r="AA5" s="723"/>
      <c r="AB5" s="723"/>
      <c r="AC5" s="723"/>
      <c r="AD5" s="723"/>
      <c r="AE5" s="723"/>
      <c r="AF5" s="723"/>
      <c r="AG5" s="723"/>
      <c r="AH5" s="723"/>
      <c r="AI5" s="723"/>
      <c r="AJ5" s="723"/>
      <c r="AK5" s="723"/>
      <c r="AL5" s="723"/>
      <c r="AM5" s="723"/>
      <c r="AN5" s="723"/>
      <c r="AO5" s="723"/>
      <c r="AP5" s="723"/>
      <c r="AQ5" s="723"/>
      <c r="AR5" s="723"/>
      <c r="AS5" s="723"/>
      <c r="AT5" s="723"/>
      <c r="AU5" s="723"/>
      <c r="AV5" s="723"/>
      <c r="AW5" s="723"/>
      <c r="AX5" s="723"/>
      <c r="AY5" s="723"/>
      <c r="AZ5" s="723"/>
      <c r="BA5" s="723"/>
      <c r="BB5" s="723"/>
      <c r="BC5" s="723"/>
      <c r="BD5" s="723"/>
      <c r="BE5" s="723"/>
      <c r="BF5" s="723"/>
      <c r="BG5" s="723"/>
      <c r="BH5" s="723"/>
      <c r="BI5" s="723"/>
      <c r="BJ5" s="723"/>
      <c r="BK5" s="723"/>
      <c r="BL5" s="723"/>
      <c r="BM5" s="723"/>
      <c r="BN5" s="723"/>
      <c r="BO5" s="723"/>
      <c r="BP5" s="723"/>
      <c r="BQ5" s="723"/>
      <c r="BR5" s="723"/>
      <c r="BS5" s="723"/>
      <c r="BT5" s="723"/>
      <c r="BU5" s="723"/>
      <c r="BV5" s="723"/>
      <c r="BW5" s="723"/>
      <c r="BX5" s="723"/>
      <c r="BY5" s="723"/>
      <c r="BZ5" s="723"/>
      <c r="CA5" s="723"/>
      <c r="CB5" s="723"/>
      <c r="CC5" s="723"/>
      <c r="CD5" s="723"/>
      <c r="CE5" s="723"/>
      <c r="CF5" s="723"/>
      <c r="CG5" s="723"/>
      <c r="CH5" s="723"/>
      <c r="CI5" s="723"/>
      <c r="CJ5" s="723"/>
      <c r="CK5" s="723"/>
      <c r="CL5" s="723"/>
      <c r="CM5" s="723"/>
      <c r="CN5" s="723"/>
      <c r="CO5" s="723"/>
      <c r="CP5" s="723"/>
      <c r="CQ5" s="723"/>
      <c r="CR5" s="723"/>
      <c r="CS5" s="723"/>
      <c r="CT5" s="723"/>
      <c r="CU5" s="723"/>
      <c r="CV5" s="723"/>
      <c r="CW5" s="723"/>
      <c r="CX5" s="723"/>
      <c r="CY5" s="723"/>
      <c r="CZ5" s="723"/>
      <c r="DA5" s="723"/>
      <c r="DB5" s="723"/>
      <c r="DC5" s="723"/>
      <c r="DD5" s="723"/>
      <c r="DE5" s="723"/>
      <c r="DF5" s="723"/>
      <c r="DG5" s="723"/>
      <c r="DH5" s="723"/>
      <c r="DI5" s="723"/>
      <c r="DJ5" s="723"/>
      <c r="DK5" s="723"/>
      <c r="DL5" s="723"/>
      <c r="DM5" s="723"/>
      <c r="DN5" s="723"/>
      <c r="DO5" s="723"/>
      <c r="DP5" s="723"/>
      <c r="DQ5" s="723"/>
      <c r="DR5" s="723"/>
      <c r="DS5" s="723"/>
      <c r="DT5" s="723"/>
      <c r="DU5" s="723"/>
      <c r="DV5" s="723"/>
      <c r="DW5" s="723"/>
      <c r="DX5" s="723"/>
      <c r="DY5" s="723"/>
      <c r="DZ5" s="723"/>
      <c r="EA5" s="723"/>
      <c r="EB5" s="723"/>
      <c r="EC5" s="723"/>
      <c r="ED5" s="723"/>
      <c r="EE5" s="723"/>
      <c r="EF5" s="723"/>
      <c r="EG5" s="723"/>
      <c r="EH5" s="723"/>
      <c r="EI5" s="723"/>
      <c r="EJ5" s="723"/>
      <c r="EK5" s="723"/>
      <c r="EL5" s="723"/>
      <c r="EM5" s="723"/>
      <c r="EN5" s="723"/>
      <c r="EO5" s="723"/>
      <c r="EP5" s="723"/>
      <c r="EQ5" s="723"/>
      <c r="ER5" s="723"/>
      <c r="ES5" s="723"/>
      <c r="ET5" s="723"/>
      <c r="EU5" s="723"/>
      <c r="EV5" s="723"/>
      <c r="EW5" s="723"/>
      <c r="EX5" s="723"/>
      <c r="EY5" s="723"/>
      <c r="EZ5" s="723"/>
      <c r="FA5" s="723"/>
      <c r="FB5" s="723"/>
      <c r="FC5" s="723"/>
      <c r="FD5" s="723"/>
      <c r="FE5" s="723"/>
      <c r="FF5" s="723"/>
      <c r="FG5" s="723"/>
      <c r="FH5" s="723"/>
      <c r="FI5" s="723"/>
      <c r="FJ5" s="723"/>
      <c r="FK5" s="723"/>
      <c r="FL5" s="723"/>
      <c r="FM5" s="723"/>
      <c r="FN5" s="723"/>
      <c r="FO5" s="723"/>
      <c r="FP5" s="723"/>
      <c r="FQ5" s="723"/>
      <c r="FR5" s="723"/>
      <c r="FS5" s="723"/>
      <c r="FT5" s="723"/>
      <c r="FU5" s="723"/>
      <c r="FV5" s="723"/>
      <c r="FW5" s="723"/>
      <c r="FX5" s="723"/>
      <c r="FY5" s="723"/>
      <c r="FZ5" s="723"/>
      <c r="GA5" s="723"/>
      <c r="GB5" s="723"/>
      <c r="GC5" s="724"/>
      <c r="GD5" s="722" t="s">
        <v>309</v>
      </c>
      <c r="GE5" s="723"/>
      <c r="GF5" s="723"/>
      <c r="GG5" s="723"/>
      <c r="GH5" s="723"/>
      <c r="GI5" s="723"/>
      <c r="GJ5" s="723"/>
      <c r="GK5" s="723"/>
      <c r="GL5" s="723"/>
      <c r="GM5" s="723"/>
      <c r="GN5" s="723"/>
      <c r="GO5" s="723"/>
      <c r="GP5" s="723"/>
      <c r="GQ5" s="723"/>
      <c r="GR5" s="723"/>
      <c r="GS5" s="723"/>
      <c r="GT5" s="723"/>
      <c r="GU5" s="723"/>
      <c r="GV5" s="723"/>
      <c r="GW5" s="723"/>
      <c r="GX5" s="723"/>
      <c r="GY5" s="723"/>
      <c r="GZ5" s="723"/>
      <c r="HA5" s="723"/>
      <c r="HB5" s="723"/>
      <c r="HC5" s="723"/>
      <c r="HD5" s="723"/>
      <c r="HE5" s="723"/>
      <c r="HF5" s="723"/>
      <c r="HG5" s="723"/>
      <c r="HH5" s="723"/>
      <c r="HI5" s="723"/>
      <c r="HJ5" s="723"/>
      <c r="HK5" s="723"/>
      <c r="HL5" s="723"/>
      <c r="HM5" s="723"/>
      <c r="HN5" s="723"/>
      <c r="HO5" s="723"/>
      <c r="HP5" s="723"/>
      <c r="HQ5" s="723"/>
      <c r="HR5" s="723"/>
      <c r="HS5" s="723"/>
      <c r="HT5" s="723"/>
      <c r="HU5" s="723"/>
      <c r="HV5" s="723"/>
      <c r="HW5" s="723"/>
      <c r="HX5" s="723"/>
      <c r="HY5" s="723"/>
      <c r="HZ5" s="723"/>
      <c r="IA5" s="723"/>
      <c r="IB5" s="723"/>
      <c r="IC5" s="723"/>
      <c r="ID5" s="723"/>
      <c r="IE5" s="723"/>
      <c r="IF5" s="723"/>
      <c r="IG5" s="723"/>
      <c r="IH5" s="723"/>
      <c r="II5" s="723"/>
      <c r="IJ5" s="723"/>
      <c r="IK5" s="723"/>
      <c r="IL5" s="723"/>
      <c r="IM5" s="723"/>
      <c r="IN5" s="723"/>
      <c r="IO5" s="723"/>
      <c r="IP5" s="723"/>
      <c r="IQ5" s="723"/>
      <c r="IR5" s="723"/>
      <c r="IS5" s="723"/>
      <c r="IT5" s="723"/>
      <c r="IU5" s="723"/>
      <c r="IV5" s="723"/>
      <c r="IW5" s="723"/>
      <c r="IX5" s="723"/>
      <c r="IY5" s="723"/>
      <c r="IZ5" s="723"/>
      <c r="JA5" s="723"/>
      <c r="JB5" s="723"/>
      <c r="JC5" s="723"/>
      <c r="JD5" s="723"/>
      <c r="JE5" s="723"/>
      <c r="JF5" s="723"/>
      <c r="JG5" s="723"/>
      <c r="JH5" s="723"/>
      <c r="JI5" s="723"/>
      <c r="JJ5" s="723"/>
      <c r="JK5" s="723"/>
      <c r="JL5" s="723"/>
      <c r="JM5" s="723"/>
      <c r="JN5" s="723"/>
      <c r="JO5" s="723"/>
      <c r="JP5" s="723"/>
      <c r="JQ5" s="723"/>
      <c r="JR5" s="723"/>
      <c r="JS5" s="723"/>
      <c r="JT5" s="723"/>
      <c r="JU5" s="723"/>
      <c r="JV5" s="723"/>
      <c r="JW5" s="723"/>
      <c r="JX5" s="723"/>
      <c r="JY5" s="723"/>
      <c r="JZ5" s="723"/>
      <c r="KA5" s="723"/>
      <c r="KB5" s="723"/>
      <c r="KC5" s="723"/>
      <c r="KD5" s="723"/>
      <c r="KE5" s="723"/>
      <c r="KF5" s="723"/>
      <c r="KG5" s="723"/>
      <c r="KH5" s="723"/>
      <c r="KI5" s="723"/>
      <c r="KJ5" s="723"/>
      <c r="KK5" s="723"/>
      <c r="KL5" s="723"/>
      <c r="KM5" s="723"/>
      <c r="KN5" s="723"/>
      <c r="KO5" s="723"/>
      <c r="KP5" s="724"/>
      <c r="KQ5" s="725" t="s">
        <v>310</v>
      </c>
      <c r="KR5" s="725" t="s">
        <v>309</v>
      </c>
    </row>
    <row r="6" spans="1:305" ht="31.5" customHeight="1">
      <c r="A6" s="730" t="s">
        <v>31</v>
      </c>
      <c r="B6" s="733" t="s">
        <v>5</v>
      </c>
      <c r="C6" s="733" t="s">
        <v>6</v>
      </c>
      <c r="D6" s="739" t="s">
        <v>46</v>
      </c>
      <c r="E6" s="736" t="s">
        <v>44</v>
      </c>
      <c r="F6" s="714" t="s">
        <v>311</v>
      </c>
      <c r="G6" s="726"/>
      <c r="H6" s="715"/>
      <c r="I6" s="714" t="s">
        <v>312</v>
      </c>
      <c r="J6" s="726"/>
      <c r="K6" s="715"/>
      <c r="L6" s="714" t="s">
        <v>313</v>
      </c>
      <c r="M6" s="726"/>
      <c r="N6" s="715"/>
      <c r="O6" s="714" t="s">
        <v>314</v>
      </c>
      <c r="P6" s="726"/>
      <c r="Q6" s="715"/>
      <c r="R6" s="714" t="s">
        <v>315</v>
      </c>
      <c r="S6" s="726"/>
      <c r="T6" s="715"/>
      <c r="U6" s="714" t="s">
        <v>316</v>
      </c>
      <c r="V6" s="726"/>
      <c r="W6" s="715"/>
      <c r="X6" s="714" t="s">
        <v>317</v>
      </c>
      <c r="Y6" s="726"/>
      <c r="Z6" s="715"/>
      <c r="AA6" s="714" t="s">
        <v>318</v>
      </c>
      <c r="AB6" s="726"/>
      <c r="AC6" s="715"/>
      <c r="AD6" s="714" t="s">
        <v>319</v>
      </c>
      <c r="AE6" s="726"/>
      <c r="AF6" s="715"/>
      <c r="AG6" s="714" t="s">
        <v>320</v>
      </c>
      <c r="AH6" s="726"/>
      <c r="AI6" s="715"/>
      <c r="AJ6" s="714" t="s">
        <v>321</v>
      </c>
      <c r="AK6" s="726"/>
      <c r="AL6" s="715"/>
      <c r="AM6" s="714" t="s">
        <v>322</v>
      </c>
      <c r="AN6" s="726"/>
      <c r="AO6" s="715"/>
      <c r="AP6" s="714" t="s">
        <v>323</v>
      </c>
      <c r="AQ6" s="726"/>
      <c r="AR6" s="715"/>
      <c r="AS6" s="714" t="s">
        <v>324</v>
      </c>
      <c r="AT6" s="726"/>
      <c r="AU6" s="715"/>
      <c r="AV6" s="714" t="s">
        <v>325</v>
      </c>
      <c r="AW6" s="726"/>
      <c r="AX6" s="715"/>
      <c r="AY6" s="717" t="s">
        <v>326</v>
      </c>
      <c r="AZ6" s="718"/>
      <c r="BA6" s="718"/>
      <c r="BB6" s="717" t="s">
        <v>327</v>
      </c>
      <c r="BC6" s="718"/>
      <c r="BD6" s="719"/>
      <c r="BE6" s="717" t="s">
        <v>328</v>
      </c>
      <c r="BF6" s="718"/>
      <c r="BG6" s="718"/>
      <c r="BH6" s="717" t="s">
        <v>329</v>
      </c>
      <c r="BI6" s="718"/>
      <c r="BJ6" s="719"/>
      <c r="BK6" s="717" t="s">
        <v>330</v>
      </c>
      <c r="BL6" s="718"/>
      <c r="BM6" s="718"/>
      <c r="BN6" s="717" t="s">
        <v>331</v>
      </c>
      <c r="BO6" s="718"/>
      <c r="BP6" s="719"/>
      <c r="BQ6" s="717" t="s">
        <v>332</v>
      </c>
      <c r="BR6" s="718"/>
      <c r="BS6" s="718"/>
      <c r="BT6" s="717" t="s">
        <v>333</v>
      </c>
      <c r="BU6" s="718"/>
      <c r="BV6" s="719"/>
      <c r="BW6" s="717" t="s">
        <v>334</v>
      </c>
      <c r="BX6" s="718"/>
      <c r="BY6" s="718"/>
      <c r="BZ6" s="717" t="s">
        <v>335</v>
      </c>
      <c r="CA6" s="718"/>
      <c r="CB6" s="719"/>
      <c r="CC6" s="717" t="s">
        <v>336</v>
      </c>
      <c r="CD6" s="718"/>
      <c r="CE6" s="718"/>
      <c r="CF6" s="717" t="s">
        <v>337</v>
      </c>
      <c r="CG6" s="718"/>
      <c r="CH6" s="719"/>
      <c r="CI6" s="717" t="s">
        <v>338</v>
      </c>
      <c r="CJ6" s="718"/>
      <c r="CK6" s="718"/>
      <c r="CL6" s="717" t="s">
        <v>339</v>
      </c>
      <c r="CM6" s="718"/>
      <c r="CN6" s="719"/>
      <c r="CO6" s="717" t="s">
        <v>340</v>
      </c>
      <c r="CP6" s="718"/>
      <c r="CQ6" s="718"/>
      <c r="CR6" s="717" t="s">
        <v>341</v>
      </c>
      <c r="CS6" s="718"/>
      <c r="CT6" s="719"/>
      <c r="CU6" s="717" t="s">
        <v>232</v>
      </c>
      <c r="CV6" s="718"/>
      <c r="CW6" s="718"/>
      <c r="CX6" s="717" t="s">
        <v>342</v>
      </c>
      <c r="CY6" s="718"/>
      <c r="CZ6" s="719"/>
      <c r="DA6" s="717" t="s">
        <v>343</v>
      </c>
      <c r="DB6" s="718"/>
      <c r="DC6" s="718"/>
      <c r="DD6" s="717" t="s">
        <v>344</v>
      </c>
      <c r="DE6" s="718"/>
      <c r="DF6" s="719"/>
      <c r="DG6" s="717" t="s">
        <v>345</v>
      </c>
      <c r="DH6" s="718"/>
      <c r="DI6" s="718"/>
      <c r="DJ6" s="717" t="s">
        <v>346</v>
      </c>
      <c r="DK6" s="718"/>
      <c r="DL6" s="719"/>
      <c r="DM6" s="717" t="s">
        <v>347</v>
      </c>
      <c r="DN6" s="718"/>
      <c r="DO6" s="718"/>
      <c r="DP6" s="717" t="s">
        <v>348</v>
      </c>
      <c r="DQ6" s="718"/>
      <c r="DR6" s="719"/>
      <c r="DS6" s="717" t="s">
        <v>349</v>
      </c>
      <c r="DT6" s="718"/>
      <c r="DU6" s="718"/>
      <c r="DV6" s="717" t="s">
        <v>350</v>
      </c>
      <c r="DW6" s="718"/>
      <c r="DX6" s="719"/>
      <c r="DY6" s="717" t="s">
        <v>351</v>
      </c>
      <c r="DZ6" s="718"/>
      <c r="EA6" s="718"/>
      <c r="EB6" s="717" t="s">
        <v>373</v>
      </c>
      <c r="EC6" s="718"/>
      <c r="ED6" s="719"/>
      <c r="EE6" s="717" t="s">
        <v>424</v>
      </c>
      <c r="EF6" s="718"/>
      <c r="EG6" s="718"/>
      <c r="EH6" s="717" t="s">
        <v>462</v>
      </c>
      <c r="EI6" s="718"/>
      <c r="EJ6" s="718"/>
      <c r="EK6" s="717"/>
      <c r="EL6" s="718"/>
      <c r="EM6" s="718"/>
      <c r="EN6" s="717"/>
      <c r="EO6" s="718"/>
      <c r="EP6" s="719"/>
      <c r="EQ6" s="717"/>
      <c r="ER6" s="718"/>
      <c r="ES6" s="718"/>
      <c r="ET6" s="717"/>
      <c r="EU6" s="718"/>
      <c r="EV6" s="719"/>
      <c r="EW6" s="717"/>
      <c r="EX6" s="718"/>
      <c r="EY6" s="718"/>
      <c r="EZ6" s="717"/>
      <c r="FA6" s="718"/>
      <c r="FB6" s="719"/>
      <c r="FC6" s="717"/>
      <c r="FD6" s="718"/>
      <c r="FE6" s="718"/>
      <c r="FF6" s="717"/>
      <c r="FG6" s="718"/>
      <c r="FH6" s="719"/>
      <c r="FI6" s="717"/>
      <c r="FJ6" s="718"/>
      <c r="FK6" s="718"/>
      <c r="FL6" s="717"/>
      <c r="FM6" s="718"/>
      <c r="FN6" s="719"/>
      <c r="FO6" s="717"/>
      <c r="FP6" s="718"/>
      <c r="FQ6" s="718"/>
      <c r="FR6" s="717"/>
      <c r="FS6" s="718"/>
      <c r="FT6" s="719"/>
      <c r="FU6" s="717"/>
      <c r="FV6" s="718"/>
      <c r="FW6" s="718"/>
      <c r="FX6" s="717"/>
      <c r="FY6" s="718"/>
      <c r="FZ6" s="719"/>
      <c r="GA6" s="717"/>
      <c r="GB6" s="718"/>
      <c r="GC6" s="718"/>
      <c r="GD6" s="717" t="s">
        <v>352</v>
      </c>
      <c r="GE6" s="718"/>
      <c r="GF6" s="719"/>
      <c r="GG6" s="720" t="s">
        <v>304</v>
      </c>
      <c r="GH6" s="721"/>
      <c r="GI6" s="721"/>
      <c r="GJ6" s="717" t="s">
        <v>353</v>
      </c>
      <c r="GK6" s="718"/>
      <c r="GL6" s="719"/>
      <c r="GM6" s="717" t="s">
        <v>354</v>
      </c>
      <c r="GN6" s="718"/>
      <c r="GO6" s="718"/>
      <c r="GP6" s="717" t="s">
        <v>355</v>
      </c>
      <c r="GQ6" s="718"/>
      <c r="GR6" s="719"/>
      <c r="GS6" s="717" t="s">
        <v>356</v>
      </c>
      <c r="GT6" s="718"/>
      <c r="GU6" s="718"/>
      <c r="GV6" s="717" t="s">
        <v>357</v>
      </c>
      <c r="GW6" s="718"/>
      <c r="GX6" s="719"/>
      <c r="GY6" s="717" t="s">
        <v>358</v>
      </c>
      <c r="GZ6" s="718"/>
      <c r="HA6" s="718"/>
      <c r="HB6" s="717" t="s">
        <v>335</v>
      </c>
      <c r="HC6" s="718"/>
      <c r="HD6" s="719"/>
      <c r="HE6" s="717" t="s">
        <v>350</v>
      </c>
      <c r="HF6" s="718"/>
      <c r="HG6" s="718"/>
      <c r="HH6" s="717" t="s">
        <v>349</v>
      </c>
      <c r="HI6" s="718"/>
      <c r="HJ6" s="719"/>
      <c r="HK6" s="717" t="s">
        <v>331</v>
      </c>
      <c r="HL6" s="718"/>
      <c r="HM6" s="718"/>
      <c r="HN6" s="717" t="s">
        <v>233</v>
      </c>
      <c r="HO6" s="718"/>
      <c r="HP6" s="719"/>
      <c r="HQ6" s="717" t="s">
        <v>232</v>
      </c>
      <c r="HR6" s="718"/>
      <c r="HS6" s="718"/>
      <c r="HT6" s="717" t="s">
        <v>359</v>
      </c>
      <c r="HU6" s="718"/>
      <c r="HV6" s="719"/>
      <c r="HW6" s="717" t="s">
        <v>360</v>
      </c>
      <c r="HX6" s="718"/>
      <c r="HY6" s="718"/>
      <c r="HZ6" s="717" t="s">
        <v>361</v>
      </c>
      <c r="IA6" s="718"/>
      <c r="IB6" s="719"/>
      <c r="IC6" s="717" t="s">
        <v>362</v>
      </c>
      <c r="ID6" s="718"/>
      <c r="IE6" s="718"/>
      <c r="IF6" s="716" t="s">
        <v>337</v>
      </c>
      <c r="IG6" s="716"/>
      <c r="IH6" s="716"/>
      <c r="II6" s="717" t="s">
        <v>340</v>
      </c>
      <c r="IJ6" s="718"/>
      <c r="IK6" s="719"/>
      <c r="IL6" s="717" t="s">
        <v>341</v>
      </c>
      <c r="IM6" s="718"/>
      <c r="IN6" s="718"/>
      <c r="IO6" s="717" t="s">
        <v>336</v>
      </c>
      <c r="IP6" s="718"/>
      <c r="IQ6" s="719"/>
      <c r="IR6" s="717" t="s">
        <v>363</v>
      </c>
      <c r="IS6" s="718"/>
      <c r="IT6" s="718"/>
      <c r="IU6" s="717" t="s">
        <v>343</v>
      </c>
      <c r="IV6" s="718"/>
      <c r="IW6" s="719"/>
      <c r="IX6" s="717" t="s">
        <v>364</v>
      </c>
      <c r="IY6" s="718"/>
      <c r="IZ6" s="718"/>
      <c r="JA6" s="717" t="s">
        <v>185</v>
      </c>
      <c r="JB6" s="718"/>
      <c r="JC6" s="719"/>
      <c r="JD6" s="717" t="s">
        <v>365</v>
      </c>
      <c r="JE6" s="718"/>
      <c r="JF6" s="718"/>
      <c r="JG6" s="717" t="s">
        <v>379</v>
      </c>
      <c r="JH6" s="718"/>
      <c r="JI6" s="719"/>
      <c r="JJ6" s="717" t="s">
        <v>425</v>
      </c>
      <c r="JK6" s="718"/>
      <c r="JL6" s="718"/>
      <c r="JM6" s="717"/>
      <c r="JN6" s="718"/>
      <c r="JO6" s="718"/>
      <c r="JP6" s="717"/>
      <c r="JQ6" s="718"/>
      <c r="JR6" s="718"/>
      <c r="JS6" s="717"/>
      <c r="JT6" s="718"/>
      <c r="JU6" s="718"/>
      <c r="JV6" s="717"/>
      <c r="JW6" s="718"/>
      <c r="JX6" s="718"/>
      <c r="JY6" s="717"/>
      <c r="JZ6" s="718"/>
      <c r="KA6" s="719"/>
      <c r="KB6" s="717"/>
      <c r="KC6" s="718"/>
      <c r="KD6" s="718"/>
      <c r="KE6" s="717"/>
      <c r="KF6" s="718"/>
      <c r="KG6" s="719"/>
      <c r="KH6" s="717"/>
      <c r="KI6" s="718"/>
      <c r="KJ6" s="718"/>
      <c r="KK6" s="717"/>
      <c r="KL6" s="718"/>
      <c r="KM6" s="719"/>
      <c r="KN6" s="716"/>
      <c r="KO6" s="716"/>
      <c r="KP6" s="716"/>
      <c r="KQ6" s="725"/>
      <c r="KR6" s="725"/>
    </row>
    <row r="7" spans="1:305" ht="15" customHeight="1">
      <c r="A7" s="731"/>
      <c r="B7" s="734"/>
      <c r="C7" s="734"/>
      <c r="D7" s="740"/>
      <c r="E7" s="737"/>
      <c r="F7" s="714" t="s">
        <v>136</v>
      </c>
      <c r="G7" s="715"/>
      <c r="H7" s="540" t="s">
        <v>366</v>
      </c>
      <c r="I7" s="714" t="s">
        <v>136</v>
      </c>
      <c r="J7" s="715"/>
      <c r="K7" s="540" t="s">
        <v>366</v>
      </c>
      <c r="L7" s="714" t="s">
        <v>136</v>
      </c>
      <c r="M7" s="715"/>
      <c r="N7" s="540" t="s">
        <v>366</v>
      </c>
      <c r="O7" s="714" t="s">
        <v>136</v>
      </c>
      <c r="P7" s="715"/>
      <c r="Q7" s="540" t="s">
        <v>366</v>
      </c>
      <c r="R7" s="714" t="s">
        <v>136</v>
      </c>
      <c r="S7" s="715"/>
      <c r="T7" s="540" t="s">
        <v>366</v>
      </c>
      <c r="U7" s="714" t="s">
        <v>136</v>
      </c>
      <c r="V7" s="715"/>
      <c r="W7" s="540" t="s">
        <v>366</v>
      </c>
      <c r="X7" s="714" t="s">
        <v>136</v>
      </c>
      <c r="Y7" s="715"/>
      <c r="Z7" s="540" t="s">
        <v>366</v>
      </c>
      <c r="AA7" s="714" t="s">
        <v>136</v>
      </c>
      <c r="AB7" s="715"/>
      <c r="AC7" s="540" t="s">
        <v>366</v>
      </c>
      <c r="AD7" s="714" t="s">
        <v>136</v>
      </c>
      <c r="AE7" s="715"/>
      <c r="AF7" s="540" t="s">
        <v>366</v>
      </c>
      <c r="AG7" s="714" t="s">
        <v>136</v>
      </c>
      <c r="AH7" s="715"/>
      <c r="AI7" s="540" t="s">
        <v>366</v>
      </c>
      <c r="AJ7" s="714" t="s">
        <v>136</v>
      </c>
      <c r="AK7" s="715"/>
      <c r="AL7" s="540" t="s">
        <v>366</v>
      </c>
      <c r="AM7" s="714" t="s">
        <v>136</v>
      </c>
      <c r="AN7" s="715"/>
      <c r="AO7" s="540" t="s">
        <v>366</v>
      </c>
      <c r="AP7" s="714" t="s">
        <v>136</v>
      </c>
      <c r="AQ7" s="715"/>
      <c r="AR7" s="540" t="s">
        <v>366</v>
      </c>
      <c r="AS7" s="714" t="s">
        <v>136</v>
      </c>
      <c r="AT7" s="715"/>
      <c r="AU7" s="540" t="s">
        <v>366</v>
      </c>
      <c r="AV7" s="714" t="s">
        <v>136</v>
      </c>
      <c r="AW7" s="715"/>
      <c r="AX7" s="540" t="s">
        <v>366</v>
      </c>
      <c r="AY7" s="714" t="s">
        <v>136</v>
      </c>
      <c r="AZ7" s="715"/>
      <c r="BA7" s="540" t="s">
        <v>366</v>
      </c>
      <c r="BB7" s="714" t="s">
        <v>136</v>
      </c>
      <c r="BC7" s="715"/>
      <c r="BD7" s="540" t="s">
        <v>366</v>
      </c>
      <c r="BE7" s="714" t="s">
        <v>136</v>
      </c>
      <c r="BF7" s="715"/>
      <c r="BG7" s="540" t="s">
        <v>366</v>
      </c>
      <c r="BH7" s="714" t="s">
        <v>136</v>
      </c>
      <c r="BI7" s="715"/>
      <c r="BJ7" s="540" t="s">
        <v>366</v>
      </c>
      <c r="BK7" s="714" t="s">
        <v>136</v>
      </c>
      <c r="BL7" s="715"/>
      <c r="BM7" s="540" t="s">
        <v>366</v>
      </c>
      <c r="BN7" s="714" t="s">
        <v>136</v>
      </c>
      <c r="BO7" s="715"/>
      <c r="BP7" s="540" t="s">
        <v>366</v>
      </c>
      <c r="BQ7" s="714" t="s">
        <v>136</v>
      </c>
      <c r="BR7" s="715"/>
      <c r="BS7" s="540" t="s">
        <v>366</v>
      </c>
      <c r="BT7" s="714" t="s">
        <v>136</v>
      </c>
      <c r="BU7" s="715"/>
      <c r="BV7" s="540" t="s">
        <v>366</v>
      </c>
      <c r="BW7" s="714" t="s">
        <v>136</v>
      </c>
      <c r="BX7" s="715"/>
      <c r="BY7" s="540" t="s">
        <v>366</v>
      </c>
      <c r="BZ7" s="714" t="s">
        <v>136</v>
      </c>
      <c r="CA7" s="715"/>
      <c r="CB7" s="540" t="s">
        <v>366</v>
      </c>
      <c r="CC7" s="714" t="s">
        <v>136</v>
      </c>
      <c r="CD7" s="715"/>
      <c r="CE7" s="540" t="s">
        <v>366</v>
      </c>
      <c r="CF7" s="714" t="s">
        <v>136</v>
      </c>
      <c r="CG7" s="715"/>
      <c r="CH7" s="540" t="s">
        <v>366</v>
      </c>
      <c r="CI7" s="714" t="s">
        <v>136</v>
      </c>
      <c r="CJ7" s="715"/>
      <c r="CK7" s="540" t="s">
        <v>366</v>
      </c>
      <c r="CL7" s="714" t="s">
        <v>136</v>
      </c>
      <c r="CM7" s="715"/>
      <c r="CN7" s="540" t="s">
        <v>366</v>
      </c>
      <c r="CO7" s="714" t="s">
        <v>136</v>
      </c>
      <c r="CP7" s="715"/>
      <c r="CQ7" s="540" t="s">
        <v>366</v>
      </c>
      <c r="CR7" s="714" t="s">
        <v>136</v>
      </c>
      <c r="CS7" s="715"/>
      <c r="CT7" s="540" t="s">
        <v>366</v>
      </c>
      <c r="CU7" s="714" t="s">
        <v>136</v>
      </c>
      <c r="CV7" s="715"/>
      <c r="CW7" s="540" t="s">
        <v>366</v>
      </c>
      <c r="CX7" s="714" t="s">
        <v>136</v>
      </c>
      <c r="CY7" s="715"/>
      <c r="CZ7" s="540" t="s">
        <v>366</v>
      </c>
      <c r="DA7" s="714" t="s">
        <v>136</v>
      </c>
      <c r="DB7" s="715"/>
      <c r="DC7" s="540" t="s">
        <v>366</v>
      </c>
      <c r="DD7" s="714" t="s">
        <v>136</v>
      </c>
      <c r="DE7" s="715"/>
      <c r="DF7" s="540" t="s">
        <v>366</v>
      </c>
      <c r="DG7" s="714" t="s">
        <v>136</v>
      </c>
      <c r="DH7" s="715"/>
      <c r="DI7" s="540" t="s">
        <v>366</v>
      </c>
      <c r="DJ7" s="714" t="s">
        <v>136</v>
      </c>
      <c r="DK7" s="715"/>
      <c r="DL7" s="540" t="s">
        <v>366</v>
      </c>
      <c r="DM7" s="714" t="s">
        <v>136</v>
      </c>
      <c r="DN7" s="715"/>
      <c r="DO7" s="540" t="s">
        <v>366</v>
      </c>
      <c r="DP7" s="714" t="s">
        <v>136</v>
      </c>
      <c r="DQ7" s="715"/>
      <c r="DR7" s="540" t="s">
        <v>366</v>
      </c>
      <c r="DS7" s="714" t="s">
        <v>136</v>
      </c>
      <c r="DT7" s="715"/>
      <c r="DU7" s="540" t="s">
        <v>366</v>
      </c>
      <c r="DV7" s="714" t="s">
        <v>136</v>
      </c>
      <c r="DW7" s="715"/>
      <c r="DX7" s="540" t="s">
        <v>366</v>
      </c>
      <c r="DY7" s="714" t="s">
        <v>136</v>
      </c>
      <c r="DZ7" s="715"/>
      <c r="EA7" s="540" t="s">
        <v>366</v>
      </c>
      <c r="EB7" s="714" t="s">
        <v>136</v>
      </c>
      <c r="EC7" s="715"/>
      <c r="ED7" s="540" t="s">
        <v>366</v>
      </c>
      <c r="EE7" s="714" t="s">
        <v>136</v>
      </c>
      <c r="EF7" s="715"/>
      <c r="EG7" s="540" t="s">
        <v>366</v>
      </c>
      <c r="EH7" s="714" t="s">
        <v>136</v>
      </c>
      <c r="EI7" s="715"/>
      <c r="EJ7" s="540" t="s">
        <v>366</v>
      </c>
      <c r="EK7" s="714" t="s">
        <v>136</v>
      </c>
      <c r="EL7" s="715"/>
      <c r="EM7" s="540" t="s">
        <v>366</v>
      </c>
      <c r="EN7" s="714" t="s">
        <v>136</v>
      </c>
      <c r="EO7" s="715"/>
      <c r="EP7" s="540" t="s">
        <v>366</v>
      </c>
      <c r="EQ7" s="714" t="s">
        <v>136</v>
      </c>
      <c r="ER7" s="715"/>
      <c r="ES7" s="540" t="s">
        <v>366</v>
      </c>
      <c r="ET7" s="714" t="s">
        <v>136</v>
      </c>
      <c r="EU7" s="715"/>
      <c r="EV7" s="540" t="s">
        <v>366</v>
      </c>
      <c r="EW7" s="714" t="s">
        <v>136</v>
      </c>
      <c r="EX7" s="715"/>
      <c r="EY7" s="540" t="s">
        <v>366</v>
      </c>
      <c r="EZ7" s="714" t="s">
        <v>136</v>
      </c>
      <c r="FA7" s="715"/>
      <c r="FB7" s="540" t="s">
        <v>366</v>
      </c>
      <c r="FC7" s="714" t="s">
        <v>136</v>
      </c>
      <c r="FD7" s="715"/>
      <c r="FE7" s="540" t="s">
        <v>366</v>
      </c>
      <c r="FF7" s="714" t="s">
        <v>136</v>
      </c>
      <c r="FG7" s="715"/>
      <c r="FH7" s="540" t="s">
        <v>366</v>
      </c>
      <c r="FI7" s="714" t="s">
        <v>136</v>
      </c>
      <c r="FJ7" s="715"/>
      <c r="FK7" s="540" t="s">
        <v>366</v>
      </c>
      <c r="FL7" s="714" t="s">
        <v>136</v>
      </c>
      <c r="FM7" s="715"/>
      <c r="FN7" s="540" t="s">
        <v>366</v>
      </c>
      <c r="FO7" s="714" t="s">
        <v>136</v>
      </c>
      <c r="FP7" s="715"/>
      <c r="FQ7" s="540" t="s">
        <v>366</v>
      </c>
      <c r="FR7" s="714" t="s">
        <v>136</v>
      </c>
      <c r="FS7" s="715"/>
      <c r="FT7" s="540" t="s">
        <v>366</v>
      </c>
      <c r="FU7" s="714" t="s">
        <v>136</v>
      </c>
      <c r="FV7" s="715"/>
      <c r="FW7" s="540" t="s">
        <v>366</v>
      </c>
      <c r="FX7" s="714" t="s">
        <v>136</v>
      </c>
      <c r="FY7" s="715"/>
      <c r="FZ7" s="540" t="s">
        <v>366</v>
      </c>
      <c r="GA7" s="714" t="s">
        <v>136</v>
      </c>
      <c r="GB7" s="715"/>
      <c r="GC7" s="540" t="s">
        <v>366</v>
      </c>
      <c r="GD7" s="714" t="s">
        <v>136</v>
      </c>
      <c r="GE7" s="715"/>
      <c r="GF7" s="540" t="s">
        <v>366</v>
      </c>
      <c r="GG7" s="714" t="s">
        <v>136</v>
      </c>
      <c r="GH7" s="715"/>
      <c r="GI7" s="540" t="s">
        <v>366</v>
      </c>
      <c r="GJ7" s="714" t="s">
        <v>136</v>
      </c>
      <c r="GK7" s="715"/>
      <c r="GL7" s="540" t="s">
        <v>366</v>
      </c>
      <c r="GM7" s="714" t="s">
        <v>136</v>
      </c>
      <c r="GN7" s="715"/>
      <c r="GO7" s="540" t="s">
        <v>366</v>
      </c>
      <c r="GP7" s="714" t="s">
        <v>136</v>
      </c>
      <c r="GQ7" s="715"/>
      <c r="GR7" s="540" t="s">
        <v>366</v>
      </c>
      <c r="GS7" s="714" t="s">
        <v>136</v>
      </c>
      <c r="GT7" s="715"/>
      <c r="GU7" s="540" t="s">
        <v>366</v>
      </c>
      <c r="GV7" s="714" t="s">
        <v>136</v>
      </c>
      <c r="GW7" s="715"/>
      <c r="GX7" s="540" t="s">
        <v>366</v>
      </c>
      <c r="GY7" s="714" t="s">
        <v>136</v>
      </c>
      <c r="GZ7" s="715"/>
      <c r="HA7" s="540" t="s">
        <v>366</v>
      </c>
      <c r="HB7" s="714" t="s">
        <v>136</v>
      </c>
      <c r="HC7" s="715"/>
      <c r="HD7" s="540" t="s">
        <v>366</v>
      </c>
      <c r="HE7" s="714" t="s">
        <v>136</v>
      </c>
      <c r="HF7" s="715"/>
      <c r="HG7" s="540" t="s">
        <v>366</v>
      </c>
      <c r="HH7" s="714" t="s">
        <v>136</v>
      </c>
      <c r="HI7" s="715"/>
      <c r="HJ7" s="540" t="s">
        <v>366</v>
      </c>
      <c r="HK7" s="714" t="s">
        <v>136</v>
      </c>
      <c r="HL7" s="715"/>
      <c r="HM7" s="540" t="s">
        <v>366</v>
      </c>
      <c r="HN7" s="714" t="s">
        <v>136</v>
      </c>
      <c r="HO7" s="715"/>
      <c r="HP7" s="540" t="s">
        <v>366</v>
      </c>
      <c r="HQ7" s="714" t="s">
        <v>136</v>
      </c>
      <c r="HR7" s="715"/>
      <c r="HS7" s="540" t="s">
        <v>366</v>
      </c>
      <c r="HT7" s="714" t="s">
        <v>136</v>
      </c>
      <c r="HU7" s="715"/>
      <c r="HV7" s="540" t="s">
        <v>366</v>
      </c>
      <c r="HW7" s="714" t="s">
        <v>136</v>
      </c>
      <c r="HX7" s="715"/>
      <c r="HY7" s="540" t="s">
        <v>366</v>
      </c>
      <c r="HZ7" s="714" t="s">
        <v>136</v>
      </c>
      <c r="IA7" s="715"/>
      <c r="IB7" s="540" t="s">
        <v>366</v>
      </c>
      <c r="IC7" s="714" t="s">
        <v>136</v>
      </c>
      <c r="ID7" s="715"/>
      <c r="IE7" s="540" t="s">
        <v>366</v>
      </c>
      <c r="IF7" s="716" t="s">
        <v>136</v>
      </c>
      <c r="IG7" s="716"/>
      <c r="IH7" s="541" t="s">
        <v>366</v>
      </c>
      <c r="II7" s="714" t="s">
        <v>136</v>
      </c>
      <c r="IJ7" s="715"/>
      <c r="IK7" s="540" t="s">
        <v>366</v>
      </c>
      <c r="IL7" s="714" t="s">
        <v>136</v>
      </c>
      <c r="IM7" s="715"/>
      <c r="IN7" s="540" t="s">
        <v>366</v>
      </c>
      <c r="IO7" s="714" t="s">
        <v>136</v>
      </c>
      <c r="IP7" s="715"/>
      <c r="IQ7" s="540" t="s">
        <v>366</v>
      </c>
      <c r="IR7" s="714" t="s">
        <v>136</v>
      </c>
      <c r="IS7" s="715"/>
      <c r="IT7" s="540" t="s">
        <v>366</v>
      </c>
      <c r="IU7" s="714" t="s">
        <v>136</v>
      </c>
      <c r="IV7" s="715"/>
      <c r="IW7" s="540" t="s">
        <v>366</v>
      </c>
      <c r="IX7" s="714" t="s">
        <v>136</v>
      </c>
      <c r="IY7" s="715"/>
      <c r="IZ7" s="540" t="s">
        <v>366</v>
      </c>
      <c r="JA7" s="714" t="s">
        <v>136</v>
      </c>
      <c r="JB7" s="715"/>
      <c r="JC7" s="540" t="s">
        <v>366</v>
      </c>
      <c r="JD7" s="714" t="s">
        <v>136</v>
      </c>
      <c r="JE7" s="715"/>
      <c r="JF7" s="540" t="s">
        <v>366</v>
      </c>
      <c r="JG7" s="714" t="s">
        <v>136</v>
      </c>
      <c r="JH7" s="715"/>
      <c r="JI7" s="540" t="s">
        <v>366</v>
      </c>
      <c r="JJ7" s="714" t="s">
        <v>136</v>
      </c>
      <c r="JK7" s="715"/>
      <c r="JL7" s="540" t="s">
        <v>366</v>
      </c>
      <c r="JM7" s="714" t="s">
        <v>136</v>
      </c>
      <c r="JN7" s="715"/>
      <c r="JO7" s="540" t="s">
        <v>366</v>
      </c>
      <c r="JP7" s="714" t="s">
        <v>136</v>
      </c>
      <c r="JQ7" s="715"/>
      <c r="JR7" s="540" t="s">
        <v>366</v>
      </c>
      <c r="JS7" s="714" t="s">
        <v>136</v>
      </c>
      <c r="JT7" s="715"/>
      <c r="JU7" s="540" t="s">
        <v>366</v>
      </c>
      <c r="JV7" s="714" t="s">
        <v>136</v>
      </c>
      <c r="JW7" s="715"/>
      <c r="JX7" s="540" t="s">
        <v>366</v>
      </c>
      <c r="JY7" s="714" t="s">
        <v>136</v>
      </c>
      <c r="JZ7" s="715"/>
      <c r="KA7" s="540" t="s">
        <v>366</v>
      </c>
      <c r="KB7" s="714" t="s">
        <v>136</v>
      </c>
      <c r="KC7" s="715"/>
      <c r="KD7" s="540" t="s">
        <v>366</v>
      </c>
      <c r="KE7" s="714" t="s">
        <v>136</v>
      </c>
      <c r="KF7" s="715"/>
      <c r="KG7" s="540" t="s">
        <v>366</v>
      </c>
      <c r="KH7" s="714" t="s">
        <v>136</v>
      </c>
      <c r="KI7" s="715"/>
      <c r="KJ7" s="540" t="s">
        <v>366</v>
      </c>
      <c r="KK7" s="714" t="s">
        <v>136</v>
      </c>
      <c r="KL7" s="715"/>
      <c r="KM7" s="540" t="s">
        <v>366</v>
      </c>
      <c r="KN7" s="716" t="s">
        <v>136</v>
      </c>
      <c r="KO7" s="716"/>
      <c r="KP7" s="541" t="s">
        <v>366</v>
      </c>
      <c r="KQ7" s="725"/>
      <c r="KR7" s="725"/>
    </row>
    <row r="8" spans="1:305" ht="15" customHeight="1" thickBot="1">
      <c r="A8" s="732"/>
      <c r="B8" s="735"/>
      <c r="C8" s="735"/>
      <c r="D8" s="741"/>
      <c r="E8" s="738"/>
      <c r="F8" s="542" t="s">
        <v>137</v>
      </c>
      <c r="G8" s="542" t="s">
        <v>45</v>
      </c>
      <c r="H8" s="543"/>
      <c r="I8" s="542" t="s">
        <v>137</v>
      </c>
      <c r="J8" s="542" t="s">
        <v>45</v>
      </c>
      <c r="K8" s="543"/>
      <c r="L8" s="542" t="s">
        <v>137</v>
      </c>
      <c r="M8" s="542" t="s">
        <v>45</v>
      </c>
      <c r="N8" s="543"/>
      <c r="O8" s="542" t="s">
        <v>137</v>
      </c>
      <c r="P8" s="542" t="s">
        <v>45</v>
      </c>
      <c r="Q8" s="543"/>
      <c r="R8" s="542" t="s">
        <v>137</v>
      </c>
      <c r="S8" s="542" t="s">
        <v>45</v>
      </c>
      <c r="T8" s="543"/>
      <c r="U8" s="542" t="s">
        <v>137</v>
      </c>
      <c r="V8" s="542" t="s">
        <v>45</v>
      </c>
      <c r="W8" s="543"/>
      <c r="X8" s="542" t="s">
        <v>137</v>
      </c>
      <c r="Y8" s="542" t="s">
        <v>45</v>
      </c>
      <c r="Z8" s="543"/>
      <c r="AA8" s="542" t="s">
        <v>137</v>
      </c>
      <c r="AB8" s="542" t="s">
        <v>45</v>
      </c>
      <c r="AC8" s="543"/>
      <c r="AD8" s="542" t="s">
        <v>137</v>
      </c>
      <c r="AE8" s="542" t="s">
        <v>45</v>
      </c>
      <c r="AF8" s="543"/>
      <c r="AG8" s="542" t="s">
        <v>137</v>
      </c>
      <c r="AH8" s="542" t="s">
        <v>45</v>
      </c>
      <c r="AI8" s="543"/>
      <c r="AJ8" s="542" t="s">
        <v>137</v>
      </c>
      <c r="AK8" s="542" t="s">
        <v>45</v>
      </c>
      <c r="AL8" s="543"/>
      <c r="AM8" s="542" t="s">
        <v>137</v>
      </c>
      <c r="AN8" s="542" t="s">
        <v>45</v>
      </c>
      <c r="AO8" s="543"/>
      <c r="AP8" s="542" t="s">
        <v>137</v>
      </c>
      <c r="AQ8" s="542" t="s">
        <v>45</v>
      </c>
      <c r="AR8" s="543"/>
      <c r="AS8" s="542" t="s">
        <v>137</v>
      </c>
      <c r="AT8" s="542" t="s">
        <v>45</v>
      </c>
      <c r="AU8" s="543"/>
      <c r="AV8" s="542" t="s">
        <v>137</v>
      </c>
      <c r="AW8" s="542" t="s">
        <v>45</v>
      </c>
      <c r="AX8" s="543"/>
      <c r="AY8" s="542" t="s">
        <v>137</v>
      </c>
      <c r="AZ8" s="542" t="s">
        <v>45</v>
      </c>
      <c r="BA8" s="543"/>
      <c r="BB8" s="542" t="s">
        <v>137</v>
      </c>
      <c r="BC8" s="542" t="s">
        <v>45</v>
      </c>
      <c r="BD8" s="543"/>
      <c r="BE8" s="542" t="s">
        <v>137</v>
      </c>
      <c r="BF8" s="542" t="s">
        <v>45</v>
      </c>
      <c r="BG8" s="543"/>
      <c r="BH8" s="542" t="s">
        <v>137</v>
      </c>
      <c r="BI8" s="542" t="s">
        <v>45</v>
      </c>
      <c r="BJ8" s="543"/>
      <c r="BK8" s="542" t="s">
        <v>137</v>
      </c>
      <c r="BL8" s="542" t="s">
        <v>45</v>
      </c>
      <c r="BM8" s="543"/>
      <c r="BN8" s="542" t="s">
        <v>137</v>
      </c>
      <c r="BO8" s="542" t="s">
        <v>45</v>
      </c>
      <c r="BP8" s="543"/>
      <c r="BQ8" s="542" t="s">
        <v>137</v>
      </c>
      <c r="BR8" s="542" t="s">
        <v>45</v>
      </c>
      <c r="BS8" s="543"/>
      <c r="BT8" s="542" t="s">
        <v>137</v>
      </c>
      <c r="BU8" s="542" t="s">
        <v>45</v>
      </c>
      <c r="BV8" s="543"/>
      <c r="BW8" s="542" t="s">
        <v>137</v>
      </c>
      <c r="BX8" s="542" t="s">
        <v>45</v>
      </c>
      <c r="BY8" s="543"/>
      <c r="BZ8" s="542" t="s">
        <v>137</v>
      </c>
      <c r="CA8" s="542" t="s">
        <v>45</v>
      </c>
      <c r="CB8" s="543"/>
      <c r="CC8" s="542" t="s">
        <v>137</v>
      </c>
      <c r="CD8" s="542" t="s">
        <v>45</v>
      </c>
      <c r="CE8" s="543"/>
      <c r="CF8" s="542" t="s">
        <v>137</v>
      </c>
      <c r="CG8" s="542" t="s">
        <v>45</v>
      </c>
      <c r="CH8" s="543"/>
      <c r="CI8" s="542" t="s">
        <v>137</v>
      </c>
      <c r="CJ8" s="542" t="s">
        <v>45</v>
      </c>
      <c r="CK8" s="543"/>
      <c r="CL8" s="542" t="s">
        <v>137</v>
      </c>
      <c r="CM8" s="542" t="s">
        <v>45</v>
      </c>
      <c r="CN8" s="543"/>
      <c r="CO8" s="542" t="s">
        <v>137</v>
      </c>
      <c r="CP8" s="542" t="s">
        <v>45</v>
      </c>
      <c r="CQ8" s="543"/>
      <c r="CR8" s="542" t="s">
        <v>137</v>
      </c>
      <c r="CS8" s="542" t="s">
        <v>45</v>
      </c>
      <c r="CT8" s="543"/>
      <c r="CU8" s="542" t="s">
        <v>137</v>
      </c>
      <c r="CV8" s="542" t="s">
        <v>45</v>
      </c>
      <c r="CW8" s="543"/>
      <c r="CX8" s="542" t="s">
        <v>137</v>
      </c>
      <c r="CY8" s="542" t="s">
        <v>45</v>
      </c>
      <c r="CZ8" s="543"/>
      <c r="DA8" s="542" t="s">
        <v>137</v>
      </c>
      <c r="DB8" s="542" t="s">
        <v>45</v>
      </c>
      <c r="DC8" s="543"/>
      <c r="DD8" s="542" t="s">
        <v>137</v>
      </c>
      <c r="DE8" s="542" t="s">
        <v>45</v>
      </c>
      <c r="DF8" s="543"/>
      <c r="DG8" s="542" t="s">
        <v>137</v>
      </c>
      <c r="DH8" s="542" t="s">
        <v>45</v>
      </c>
      <c r="DI8" s="543"/>
      <c r="DJ8" s="542" t="s">
        <v>137</v>
      </c>
      <c r="DK8" s="542" t="s">
        <v>45</v>
      </c>
      <c r="DL8" s="543"/>
      <c r="DM8" s="542" t="s">
        <v>137</v>
      </c>
      <c r="DN8" s="542" t="s">
        <v>45</v>
      </c>
      <c r="DO8" s="543"/>
      <c r="DP8" s="542" t="s">
        <v>137</v>
      </c>
      <c r="DQ8" s="542" t="s">
        <v>45</v>
      </c>
      <c r="DR8" s="543"/>
      <c r="DS8" s="542" t="s">
        <v>137</v>
      </c>
      <c r="DT8" s="542" t="s">
        <v>45</v>
      </c>
      <c r="DU8" s="543"/>
      <c r="DV8" s="542" t="s">
        <v>137</v>
      </c>
      <c r="DW8" s="542" t="s">
        <v>45</v>
      </c>
      <c r="DX8" s="543"/>
      <c r="DY8" s="542" t="s">
        <v>137</v>
      </c>
      <c r="DZ8" s="542" t="s">
        <v>45</v>
      </c>
      <c r="EA8" s="543"/>
      <c r="EB8" s="542" t="s">
        <v>137</v>
      </c>
      <c r="EC8" s="542" t="s">
        <v>45</v>
      </c>
      <c r="ED8" s="540"/>
      <c r="EE8" s="542" t="s">
        <v>137</v>
      </c>
      <c r="EF8" s="542" t="s">
        <v>45</v>
      </c>
      <c r="EG8" s="543"/>
      <c r="EH8" s="542" t="s">
        <v>137</v>
      </c>
      <c r="EI8" s="542" t="s">
        <v>45</v>
      </c>
      <c r="EJ8" s="543"/>
      <c r="EK8" s="542" t="s">
        <v>137</v>
      </c>
      <c r="EL8" s="542" t="s">
        <v>45</v>
      </c>
      <c r="EM8" s="543"/>
      <c r="EN8" s="542" t="s">
        <v>137</v>
      </c>
      <c r="EO8" s="542" t="s">
        <v>45</v>
      </c>
      <c r="EP8" s="543"/>
      <c r="EQ8" s="542" t="s">
        <v>137</v>
      </c>
      <c r="ER8" s="542" t="s">
        <v>45</v>
      </c>
      <c r="ES8" s="543"/>
      <c r="ET8" s="542" t="s">
        <v>137</v>
      </c>
      <c r="EU8" s="542" t="s">
        <v>45</v>
      </c>
      <c r="EV8" s="543"/>
      <c r="EW8" s="542" t="s">
        <v>137</v>
      </c>
      <c r="EX8" s="542" t="s">
        <v>45</v>
      </c>
      <c r="EY8" s="543"/>
      <c r="EZ8" s="542" t="s">
        <v>137</v>
      </c>
      <c r="FA8" s="542" t="s">
        <v>45</v>
      </c>
      <c r="FB8" s="543"/>
      <c r="FC8" s="542" t="s">
        <v>137</v>
      </c>
      <c r="FD8" s="542" t="s">
        <v>45</v>
      </c>
      <c r="FE8" s="543"/>
      <c r="FF8" s="542" t="s">
        <v>137</v>
      </c>
      <c r="FG8" s="542" t="s">
        <v>45</v>
      </c>
      <c r="FH8" s="543"/>
      <c r="FI8" s="542" t="s">
        <v>137</v>
      </c>
      <c r="FJ8" s="542" t="s">
        <v>45</v>
      </c>
      <c r="FK8" s="543"/>
      <c r="FL8" s="542" t="s">
        <v>137</v>
      </c>
      <c r="FM8" s="542" t="s">
        <v>45</v>
      </c>
      <c r="FN8" s="543"/>
      <c r="FO8" s="542" t="s">
        <v>137</v>
      </c>
      <c r="FP8" s="542" t="s">
        <v>45</v>
      </c>
      <c r="FQ8" s="543"/>
      <c r="FR8" s="542" t="s">
        <v>137</v>
      </c>
      <c r="FS8" s="542" t="s">
        <v>45</v>
      </c>
      <c r="FT8" s="543"/>
      <c r="FU8" s="542" t="s">
        <v>137</v>
      </c>
      <c r="FV8" s="542" t="s">
        <v>45</v>
      </c>
      <c r="FW8" s="543"/>
      <c r="FX8" s="542" t="s">
        <v>137</v>
      </c>
      <c r="FY8" s="542" t="s">
        <v>45</v>
      </c>
      <c r="FZ8" s="543"/>
      <c r="GA8" s="542" t="s">
        <v>137</v>
      </c>
      <c r="GB8" s="542" t="s">
        <v>45</v>
      </c>
      <c r="GC8" s="543"/>
      <c r="GD8" s="542" t="s">
        <v>137</v>
      </c>
      <c r="GE8" s="542" t="s">
        <v>45</v>
      </c>
      <c r="GF8" s="543"/>
      <c r="GG8" s="542" t="s">
        <v>137</v>
      </c>
      <c r="GH8" s="542" t="s">
        <v>45</v>
      </c>
      <c r="GI8" s="543"/>
      <c r="GJ8" s="542" t="s">
        <v>137</v>
      </c>
      <c r="GK8" s="542" t="s">
        <v>45</v>
      </c>
      <c r="GL8" s="543"/>
      <c r="GM8" s="542" t="s">
        <v>137</v>
      </c>
      <c r="GN8" s="542" t="s">
        <v>45</v>
      </c>
      <c r="GO8" s="543"/>
      <c r="GP8" s="542" t="s">
        <v>137</v>
      </c>
      <c r="GQ8" s="542" t="s">
        <v>45</v>
      </c>
      <c r="GR8" s="543"/>
      <c r="GS8" s="542" t="s">
        <v>137</v>
      </c>
      <c r="GT8" s="542" t="s">
        <v>45</v>
      </c>
      <c r="GU8" s="543"/>
      <c r="GV8" s="542" t="s">
        <v>137</v>
      </c>
      <c r="GW8" s="542" t="s">
        <v>45</v>
      </c>
      <c r="GX8" s="543"/>
      <c r="GY8" s="542" t="s">
        <v>137</v>
      </c>
      <c r="GZ8" s="542" t="s">
        <v>45</v>
      </c>
      <c r="HA8" s="543"/>
      <c r="HB8" s="542" t="s">
        <v>137</v>
      </c>
      <c r="HC8" s="542" t="s">
        <v>45</v>
      </c>
      <c r="HD8" s="543"/>
      <c r="HE8" s="542" t="s">
        <v>137</v>
      </c>
      <c r="HF8" s="542" t="s">
        <v>45</v>
      </c>
      <c r="HG8" s="543"/>
      <c r="HH8" s="542" t="s">
        <v>137</v>
      </c>
      <c r="HI8" s="542" t="s">
        <v>45</v>
      </c>
      <c r="HJ8" s="543"/>
      <c r="HK8" s="542" t="s">
        <v>137</v>
      </c>
      <c r="HL8" s="542" t="s">
        <v>45</v>
      </c>
      <c r="HM8" s="543"/>
      <c r="HN8" s="542" t="s">
        <v>137</v>
      </c>
      <c r="HO8" s="542" t="s">
        <v>45</v>
      </c>
      <c r="HP8" s="543"/>
      <c r="HQ8" s="542" t="s">
        <v>137</v>
      </c>
      <c r="HR8" s="542" t="s">
        <v>45</v>
      </c>
      <c r="HS8" s="543"/>
      <c r="HT8" s="542" t="s">
        <v>137</v>
      </c>
      <c r="HU8" s="542" t="s">
        <v>45</v>
      </c>
      <c r="HV8" s="543"/>
      <c r="HW8" s="542" t="s">
        <v>137</v>
      </c>
      <c r="HX8" s="542" t="s">
        <v>45</v>
      </c>
      <c r="HY8" s="543"/>
      <c r="HZ8" s="542" t="s">
        <v>137</v>
      </c>
      <c r="IA8" s="542" t="s">
        <v>45</v>
      </c>
      <c r="IB8" s="543"/>
      <c r="IC8" s="542" t="s">
        <v>137</v>
      </c>
      <c r="ID8" s="542" t="s">
        <v>45</v>
      </c>
      <c r="IE8" s="543"/>
      <c r="IF8" s="542" t="s">
        <v>137</v>
      </c>
      <c r="IG8" s="542" t="s">
        <v>45</v>
      </c>
      <c r="IH8" s="543"/>
      <c r="II8" s="542" t="s">
        <v>137</v>
      </c>
      <c r="IJ8" s="542" t="s">
        <v>45</v>
      </c>
      <c r="IK8" s="543"/>
      <c r="IL8" s="542" t="s">
        <v>137</v>
      </c>
      <c r="IM8" s="542" t="s">
        <v>45</v>
      </c>
      <c r="IN8" s="543"/>
      <c r="IO8" s="542" t="s">
        <v>137</v>
      </c>
      <c r="IP8" s="542" t="s">
        <v>45</v>
      </c>
      <c r="IQ8" s="543"/>
      <c r="IR8" s="542" t="s">
        <v>137</v>
      </c>
      <c r="IS8" s="542" t="s">
        <v>45</v>
      </c>
      <c r="IT8" s="543"/>
      <c r="IU8" s="542" t="s">
        <v>137</v>
      </c>
      <c r="IV8" s="542" t="s">
        <v>45</v>
      </c>
      <c r="IW8" s="543"/>
      <c r="IX8" s="542" t="s">
        <v>137</v>
      </c>
      <c r="IY8" s="542" t="s">
        <v>45</v>
      </c>
      <c r="IZ8" s="543"/>
      <c r="JA8" s="542" t="s">
        <v>137</v>
      </c>
      <c r="JB8" s="542" t="s">
        <v>45</v>
      </c>
      <c r="JC8" s="543"/>
      <c r="JD8" s="542" t="s">
        <v>137</v>
      </c>
      <c r="JE8" s="542" t="s">
        <v>45</v>
      </c>
      <c r="JF8" s="543"/>
      <c r="JG8" s="542" t="s">
        <v>137</v>
      </c>
      <c r="JH8" s="542" t="s">
        <v>45</v>
      </c>
      <c r="JI8" s="543" t="s">
        <v>383</v>
      </c>
      <c r="JJ8" s="542" t="s">
        <v>137</v>
      </c>
      <c r="JK8" s="542" t="s">
        <v>45</v>
      </c>
      <c r="JL8" s="543" t="s">
        <v>383</v>
      </c>
      <c r="JM8" s="542" t="s">
        <v>137</v>
      </c>
      <c r="JN8" s="542" t="s">
        <v>45</v>
      </c>
      <c r="JO8" s="543" t="s">
        <v>383</v>
      </c>
      <c r="JP8" s="542" t="s">
        <v>137</v>
      </c>
      <c r="JQ8" s="542" t="s">
        <v>45</v>
      </c>
      <c r="JR8" s="543" t="s">
        <v>383</v>
      </c>
      <c r="JS8" s="542" t="s">
        <v>137</v>
      </c>
      <c r="JT8" s="542" t="s">
        <v>45</v>
      </c>
      <c r="JU8" s="543" t="s">
        <v>383</v>
      </c>
      <c r="JV8" s="542" t="s">
        <v>137</v>
      </c>
      <c r="JW8" s="542" t="s">
        <v>45</v>
      </c>
      <c r="JX8" s="543" t="s">
        <v>383</v>
      </c>
      <c r="JY8" s="542" t="s">
        <v>137</v>
      </c>
      <c r="JZ8" s="542" t="s">
        <v>45</v>
      </c>
      <c r="KA8" s="543" t="s">
        <v>383</v>
      </c>
      <c r="KB8" s="542" t="s">
        <v>137</v>
      </c>
      <c r="KC8" s="542" t="s">
        <v>45</v>
      </c>
      <c r="KD8" s="543" t="s">
        <v>383</v>
      </c>
      <c r="KE8" s="542" t="s">
        <v>137</v>
      </c>
      <c r="KF8" s="542" t="s">
        <v>45</v>
      </c>
      <c r="KG8" s="543" t="s">
        <v>383</v>
      </c>
      <c r="KH8" s="542" t="s">
        <v>137</v>
      </c>
      <c r="KI8" s="542" t="s">
        <v>45</v>
      </c>
      <c r="KJ8" s="543" t="s">
        <v>383</v>
      </c>
      <c r="KK8" s="542" t="s">
        <v>137</v>
      </c>
      <c r="KL8" s="542" t="s">
        <v>45</v>
      </c>
      <c r="KM8" s="543" t="s">
        <v>383</v>
      </c>
      <c r="KN8" s="542" t="s">
        <v>137</v>
      </c>
      <c r="KO8" s="542" t="s">
        <v>45</v>
      </c>
      <c r="KP8" s="543" t="s">
        <v>383</v>
      </c>
      <c r="KQ8" s="725"/>
      <c r="KR8" s="725"/>
    </row>
    <row r="9" spans="1:305" ht="15" customHeight="1">
      <c r="A9" s="267">
        <v>45717</v>
      </c>
      <c r="B9" s="268" t="str">
        <f>+Report1!B9</f>
        <v>Towel</v>
      </c>
      <c r="C9" s="268" t="str">
        <f>+Report1!C9</f>
        <v>38/36</v>
      </c>
      <c r="D9" s="269">
        <f>+Report1!P9</f>
        <v>81.467000000000013</v>
      </c>
      <c r="E9" s="270">
        <f>+Report1!R9</f>
        <v>80.168999999999997</v>
      </c>
      <c r="F9" s="544">
        <v>0</v>
      </c>
      <c r="G9" s="545">
        <f t="shared" ref="G9:G39" si="0">+F9/$E9</f>
        <v>0</v>
      </c>
      <c r="H9" s="546">
        <f>+F9*$H$8</f>
        <v>0</v>
      </c>
      <c r="I9" s="544"/>
      <c r="J9" s="545">
        <f t="shared" ref="J9:J39" si="1">+I9/$E9</f>
        <v>0</v>
      </c>
      <c r="K9" s="546">
        <f>+I9*$H$8</f>
        <v>0</v>
      </c>
      <c r="L9" s="544"/>
      <c r="M9" s="545">
        <f t="shared" ref="M9:M39" si="2">+L9/$E9</f>
        <v>0</v>
      </c>
      <c r="N9" s="546">
        <f>+L9*$H$8</f>
        <v>0</v>
      </c>
      <c r="O9" s="544">
        <v>3</v>
      </c>
      <c r="P9" s="545">
        <f t="shared" ref="P9:P39" si="3">+O9/$E9</f>
        <v>3.7420948246828574E-2</v>
      </c>
      <c r="Q9" s="546">
        <f>+O9*$H$8</f>
        <v>0</v>
      </c>
      <c r="R9" s="544"/>
      <c r="S9" s="545">
        <f t="shared" ref="S9:S39" si="4">+R9/$E9</f>
        <v>0</v>
      </c>
      <c r="T9" s="546">
        <f>+R9*$H$8</f>
        <v>0</v>
      </c>
      <c r="U9" s="544">
        <v>7.6875</v>
      </c>
      <c r="V9" s="545">
        <f t="shared" ref="V9:V39" si="5">+U9/$E9</f>
        <v>9.589117988249822E-2</v>
      </c>
      <c r="W9" s="546">
        <f>+U9*$H$8</f>
        <v>0</v>
      </c>
      <c r="X9" s="544"/>
      <c r="Y9" s="545">
        <f t="shared" ref="Y9:Y39" si="6">+X9/$E9</f>
        <v>0</v>
      </c>
      <c r="Z9" s="546">
        <f>+X9*$H$8</f>
        <v>0</v>
      </c>
      <c r="AA9" s="544"/>
      <c r="AB9" s="545">
        <f t="shared" ref="AB9:AB39" si="7">+AA9/$E9</f>
        <v>0</v>
      </c>
      <c r="AC9" s="546">
        <f>+AA9*$H$8</f>
        <v>0</v>
      </c>
      <c r="AD9" s="544"/>
      <c r="AE9" s="545">
        <f t="shared" ref="AE9:AE39" si="8">+AD9/$E9</f>
        <v>0</v>
      </c>
      <c r="AF9" s="546">
        <f>+AD9*$H$8</f>
        <v>0</v>
      </c>
      <c r="AG9" s="544"/>
      <c r="AH9" s="545">
        <f t="shared" ref="AH9:AH39" si="9">+AG9/$E9</f>
        <v>0</v>
      </c>
      <c r="AI9" s="546">
        <f>+AG9*$H$8</f>
        <v>0</v>
      </c>
      <c r="AJ9" s="544"/>
      <c r="AK9" s="545">
        <f t="shared" ref="AK9:AK39" si="10">+AJ9/$E9</f>
        <v>0</v>
      </c>
      <c r="AL9" s="546">
        <f>+AJ9*$H$8</f>
        <v>0</v>
      </c>
      <c r="AM9" s="544">
        <v>34.166666666666686</v>
      </c>
      <c r="AN9" s="545">
        <f t="shared" ref="AN9:AN39" si="11">+AM9/$E9</f>
        <v>0.42618302169999234</v>
      </c>
      <c r="AO9" s="546">
        <f>+AM9*$H$8</f>
        <v>0</v>
      </c>
      <c r="AP9" s="544"/>
      <c r="AQ9" s="545">
        <f t="shared" ref="AQ9:AQ39" si="12">+AP9/$E9</f>
        <v>0</v>
      </c>
      <c r="AR9" s="546">
        <f>+AP9*$H$8</f>
        <v>0</v>
      </c>
      <c r="AS9" s="544"/>
      <c r="AT9" s="545">
        <f t="shared" ref="AT9:AT39" si="13">+AS9/$E9</f>
        <v>0</v>
      </c>
      <c r="AU9" s="546">
        <f>+AS9*$H$8</f>
        <v>0</v>
      </c>
      <c r="AV9" s="544">
        <v>8.3249999999999886</v>
      </c>
      <c r="AW9" s="545">
        <f t="shared" ref="AW9:AW39" si="14">+AV9/$E9</f>
        <v>0.10384313138494916</v>
      </c>
      <c r="AX9" s="546">
        <f>+AV9*$H$8</f>
        <v>0</v>
      </c>
      <c r="AY9" s="544">
        <v>25.666666666666686</v>
      </c>
      <c r="AZ9" s="545">
        <f t="shared" ref="AZ9:AZ39" si="15">+AY9/$E9</f>
        <v>0.32015700166731137</v>
      </c>
      <c r="BA9" s="546">
        <f>+AY9*$H$8</f>
        <v>0</v>
      </c>
      <c r="BB9" s="544"/>
      <c r="BC9" s="545">
        <f t="shared" ref="BC9:BC39" si="16">+BB9/$E9</f>
        <v>0</v>
      </c>
      <c r="BD9" s="546">
        <f>+BB9*$H$8</f>
        <v>0</v>
      </c>
      <c r="BE9" s="544"/>
      <c r="BF9" s="545">
        <f t="shared" ref="BF9:BF39" si="17">+BE9/$E9</f>
        <v>0</v>
      </c>
      <c r="BG9" s="546">
        <f>+BE9*$H$8</f>
        <v>0</v>
      </c>
      <c r="BH9" s="544"/>
      <c r="BI9" s="545">
        <f t="shared" ref="BI9:BI39" si="18">+BH9/$E9</f>
        <v>0</v>
      </c>
      <c r="BJ9" s="546">
        <f>+BH9*$H$8</f>
        <v>0</v>
      </c>
      <c r="BK9" s="544"/>
      <c r="BL9" s="545">
        <f t="shared" ref="BL9:BL39" si="19">+BK9/$E9</f>
        <v>0</v>
      </c>
      <c r="BM9" s="546">
        <f>+BK9*$H$8</f>
        <v>0</v>
      </c>
      <c r="BN9" s="544"/>
      <c r="BO9" s="545">
        <f t="shared" ref="BO9:BO39" si="20">+BN9/$E9</f>
        <v>0</v>
      </c>
      <c r="BP9" s="546">
        <f>+BN9*$H$8</f>
        <v>0</v>
      </c>
      <c r="BQ9" s="544"/>
      <c r="BR9" s="545">
        <f t="shared" ref="BR9:BR39" si="21">+BQ9/$E9</f>
        <v>0</v>
      </c>
      <c r="BS9" s="546">
        <f>+BQ9*$H$8</f>
        <v>0</v>
      </c>
      <c r="BT9" s="544"/>
      <c r="BU9" s="545">
        <f t="shared" ref="BU9:BU39" si="22">+BT9/$E9</f>
        <v>0</v>
      </c>
      <c r="BV9" s="546">
        <f>+BT9*$H$8</f>
        <v>0</v>
      </c>
      <c r="BW9" s="544"/>
      <c r="BX9" s="545">
        <f t="shared" ref="BX9:BX39" si="23">+BW9/$E9</f>
        <v>0</v>
      </c>
      <c r="BY9" s="546">
        <f>+BW9*$H$8</f>
        <v>0</v>
      </c>
      <c r="BZ9" s="544">
        <v>0</v>
      </c>
      <c r="CA9" s="545">
        <f t="shared" ref="CA9:CA39" si="24">+BZ9/$E9</f>
        <v>0</v>
      </c>
      <c r="CB9" s="546">
        <f>+BZ9*$H$8</f>
        <v>0</v>
      </c>
      <c r="CC9" s="544">
        <v>0</v>
      </c>
      <c r="CD9" s="545">
        <f t="shared" ref="CD9:CD39" si="25">+CC9/$E9</f>
        <v>0</v>
      </c>
      <c r="CE9" s="546">
        <f>+CC9*$H$8</f>
        <v>0</v>
      </c>
      <c r="CF9" s="544">
        <v>2.4000000000000004</v>
      </c>
      <c r="CG9" s="545">
        <f t="shared" ref="CG9:CG39" si="26">+CF9/$E9</f>
        <v>2.9936758597462865E-2</v>
      </c>
      <c r="CH9" s="546">
        <f>+CF9*$H$8</f>
        <v>0</v>
      </c>
      <c r="CI9" s="544"/>
      <c r="CJ9" s="545">
        <f t="shared" ref="CJ9:CJ39" si="27">+CI9/$E9</f>
        <v>0</v>
      </c>
      <c r="CK9" s="546">
        <f>+CI9*$H$8</f>
        <v>0</v>
      </c>
      <c r="CL9" s="544"/>
      <c r="CM9" s="545">
        <f t="shared" ref="CM9:CM39" si="28">+CL9/$E9</f>
        <v>0</v>
      </c>
      <c r="CN9" s="546">
        <f>+CL9*$H$8</f>
        <v>0</v>
      </c>
      <c r="CO9" s="544"/>
      <c r="CP9" s="545">
        <f t="shared" ref="CP9:CP39" si="29">+CO9/$E9</f>
        <v>0</v>
      </c>
      <c r="CQ9" s="546">
        <f>+CO9*$H$8</f>
        <v>0</v>
      </c>
      <c r="CR9" s="544"/>
      <c r="CS9" s="545">
        <f t="shared" ref="CS9:CS39" si="30">+CR9/$E9</f>
        <v>0</v>
      </c>
      <c r="CT9" s="546">
        <f>+CR9*$H$8</f>
        <v>0</v>
      </c>
      <c r="CU9" s="544"/>
      <c r="CV9" s="545">
        <f t="shared" ref="CV9:CV39" si="31">+CU9/$E9</f>
        <v>0</v>
      </c>
      <c r="CW9" s="546">
        <f>+CU9*$H$8</f>
        <v>0</v>
      </c>
      <c r="CX9" s="544"/>
      <c r="CY9" s="545">
        <f t="shared" ref="CY9:CY39" si="32">+CX9/$E9</f>
        <v>0</v>
      </c>
      <c r="CZ9" s="546">
        <f>+CX9*$H$8</f>
        <v>0</v>
      </c>
      <c r="DA9" s="544">
        <v>220.58823529411757</v>
      </c>
      <c r="DB9" s="545">
        <f t="shared" ref="DB9:DB39" si="33">+DA9/$E9</f>
        <v>2.7515403122668061</v>
      </c>
      <c r="DC9" s="546">
        <f>+DA9*$H$8</f>
        <v>0</v>
      </c>
      <c r="DD9" s="544"/>
      <c r="DE9" s="545">
        <f t="shared" ref="DE9:DE39" si="34">+DD9/$E9</f>
        <v>0</v>
      </c>
      <c r="DF9" s="546">
        <f>+DD9*$H$8</f>
        <v>0</v>
      </c>
      <c r="DG9" s="544"/>
      <c r="DH9" s="545">
        <f t="shared" ref="DH9:DH39" si="35">+DG9/$E9</f>
        <v>0</v>
      </c>
      <c r="DI9" s="546">
        <v>0</v>
      </c>
      <c r="DJ9" s="544"/>
      <c r="DK9" s="545">
        <f t="shared" ref="DK9:DK39" si="36">+DJ9/$E9</f>
        <v>0</v>
      </c>
      <c r="DL9" s="546">
        <f>+DJ9*$H$8</f>
        <v>0</v>
      </c>
      <c r="DM9" s="544"/>
      <c r="DN9" s="545">
        <f t="shared" ref="DN9:DN39" si="37">+DM9/$E9</f>
        <v>0</v>
      </c>
      <c r="DO9" s="546">
        <f>+DM9*$H$8</f>
        <v>0</v>
      </c>
      <c r="DP9" s="544"/>
      <c r="DQ9" s="545">
        <f t="shared" ref="DQ9:DQ39" si="38">+DP9/$E9</f>
        <v>0</v>
      </c>
      <c r="DR9" s="546">
        <f>+DP9*$H$8</f>
        <v>0</v>
      </c>
      <c r="DS9" s="544"/>
      <c r="DT9" s="545">
        <f t="shared" ref="DT9:DT39" si="39">+DS9/$E9</f>
        <v>0</v>
      </c>
      <c r="DU9" s="546">
        <f>+DS9*$H$8</f>
        <v>0</v>
      </c>
      <c r="DV9" s="544"/>
      <c r="DW9" s="545">
        <f t="shared" ref="DW9:DW39" si="40">+DV9/$E9</f>
        <v>0</v>
      </c>
      <c r="DX9" s="546">
        <f>+DV9*$H$8</f>
        <v>0</v>
      </c>
      <c r="DY9" s="544"/>
      <c r="DZ9" s="545">
        <f t="shared" ref="DZ9:DZ39" si="41">+DY9/$E9</f>
        <v>0</v>
      </c>
      <c r="EA9" s="546">
        <f>+DY9*$H$8</f>
        <v>0</v>
      </c>
      <c r="EB9" s="544">
        <v>1588.2352941176468</v>
      </c>
      <c r="EC9" s="545">
        <f t="shared" ref="EC9:EC39" si="42">+EB9/$E9</f>
        <v>19.811090248321008</v>
      </c>
      <c r="ED9" s="546">
        <f>+EB9*$H$8</f>
        <v>0</v>
      </c>
      <c r="EE9" s="544">
        <v>11.860465116279101</v>
      </c>
      <c r="EF9" s="545">
        <f t="shared" ref="EF9:EF39" si="43">+EE9/$E9</f>
        <v>0.14794328376653199</v>
      </c>
      <c r="EG9" s="546">
        <f>+EE9*$H$8</f>
        <v>0</v>
      </c>
      <c r="EH9" s="544">
        <v>0</v>
      </c>
      <c r="EI9" s="545">
        <f t="shared" ref="EI9:EI39" si="44">+EH9/$E9</f>
        <v>0</v>
      </c>
      <c r="EJ9" s="546">
        <f>+EH9*$H$8</f>
        <v>0</v>
      </c>
      <c r="EK9" s="544"/>
      <c r="EL9" s="545">
        <f t="shared" ref="EL9:EL39" si="45">+EK9/$E9</f>
        <v>0</v>
      </c>
      <c r="EM9" s="546">
        <f>+EK9*$H$8</f>
        <v>0</v>
      </c>
      <c r="EN9" s="544"/>
      <c r="EO9" s="545">
        <f t="shared" ref="EO9:EO39" si="46">+EN9/$E9</f>
        <v>0</v>
      </c>
      <c r="EP9" s="546">
        <f>+EN9*$H$8</f>
        <v>0</v>
      </c>
      <c r="EQ9" s="544"/>
      <c r="ER9" s="545">
        <f t="shared" ref="ER9:ER39" si="47">+EQ9/$E9</f>
        <v>0</v>
      </c>
      <c r="ES9" s="546">
        <f>+EQ9*$H$8</f>
        <v>0</v>
      </c>
      <c r="ET9" s="544"/>
      <c r="EU9" s="545">
        <f t="shared" ref="EU9:EU39" si="48">+ET9/$E9</f>
        <v>0</v>
      </c>
      <c r="EV9" s="546">
        <f>+ET9*$H$8</f>
        <v>0</v>
      </c>
      <c r="EW9" s="544"/>
      <c r="EX9" s="545">
        <f t="shared" ref="EX9:EX39" si="49">+EW9/$E9</f>
        <v>0</v>
      </c>
      <c r="EY9" s="546">
        <f>+EW9*$H$8</f>
        <v>0</v>
      </c>
      <c r="EZ9" s="544"/>
      <c r="FA9" s="545">
        <f t="shared" ref="FA9:FA39" si="50">+EZ9/$E9</f>
        <v>0</v>
      </c>
      <c r="FB9" s="546">
        <f>+EZ9*$H$8</f>
        <v>0</v>
      </c>
      <c r="FC9" s="544"/>
      <c r="FD9" s="545">
        <f t="shared" ref="FD9:FD39" si="51">+FC9/$E9</f>
        <v>0</v>
      </c>
      <c r="FE9" s="546">
        <f>+FC9*$H$8</f>
        <v>0</v>
      </c>
      <c r="FF9" s="544"/>
      <c r="FG9" s="545">
        <f t="shared" ref="FG9:FG39" si="52">+FF9/$E9</f>
        <v>0</v>
      </c>
      <c r="FH9" s="546">
        <f>+FF9*$H$8</f>
        <v>0</v>
      </c>
      <c r="FI9" s="544"/>
      <c r="FJ9" s="545">
        <f t="shared" ref="FJ9:FJ39" si="53">+FI9/$E9</f>
        <v>0</v>
      </c>
      <c r="FK9" s="546">
        <f>+FI9*$H$8</f>
        <v>0</v>
      </c>
      <c r="FL9" s="544"/>
      <c r="FM9" s="545">
        <f t="shared" ref="FM9:FM39" si="54">+FL9/$E9</f>
        <v>0</v>
      </c>
      <c r="FN9" s="546">
        <f>+FL9*$H$8</f>
        <v>0</v>
      </c>
      <c r="FO9" s="544"/>
      <c r="FP9" s="545">
        <f t="shared" ref="FP9:FP39" si="55">+FO9/$E9</f>
        <v>0</v>
      </c>
      <c r="FQ9" s="546">
        <f>+FO9*$H$8</f>
        <v>0</v>
      </c>
      <c r="FR9" s="544"/>
      <c r="FS9" s="545">
        <f t="shared" ref="FS9:FS39" si="56">+FR9/$E9</f>
        <v>0</v>
      </c>
      <c r="FT9" s="546">
        <f>+FR9*$H$8</f>
        <v>0</v>
      </c>
      <c r="FU9" s="544"/>
      <c r="FV9" s="545">
        <f t="shared" ref="FV9:FV39" si="57">+FU9/$E9</f>
        <v>0</v>
      </c>
      <c r="FW9" s="546">
        <f>+FU9*$H$8</f>
        <v>0</v>
      </c>
      <c r="FX9" s="544"/>
      <c r="FY9" s="545">
        <f t="shared" ref="FY9:FY39" si="58">+FX9/$E9</f>
        <v>0</v>
      </c>
      <c r="FZ9" s="546">
        <f>+FX9*$H$8</f>
        <v>0</v>
      </c>
      <c r="GA9" s="544"/>
      <c r="GB9" s="545">
        <f t="shared" ref="GB9:GB39" si="59">+GA9/$E9</f>
        <v>0</v>
      </c>
      <c r="GC9" s="546">
        <f>+GA9*$H$8</f>
        <v>0</v>
      </c>
      <c r="GD9" s="544"/>
      <c r="GE9" s="545">
        <f t="shared" ref="GE9:GE39" si="60">+GD9/$E9</f>
        <v>0</v>
      </c>
      <c r="GF9" s="546">
        <f>+GD9*$H$8</f>
        <v>0</v>
      </c>
      <c r="GG9" s="544">
        <v>5</v>
      </c>
      <c r="GH9" s="545">
        <f t="shared" ref="GH9:GH39" si="61">+GG9/$E9</f>
        <v>6.2368247078047626E-2</v>
      </c>
      <c r="GI9" s="546">
        <f>+GG9*$H$8</f>
        <v>0</v>
      </c>
      <c r="GJ9" s="544">
        <v>5</v>
      </c>
      <c r="GK9" s="545">
        <f t="shared" ref="GK9:GK29" si="62">+GJ9/$E9</f>
        <v>6.2368247078047626E-2</v>
      </c>
      <c r="GL9" s="546">
        <f>+GJ9*$H$8</f>
        <v>0</v>
      </c>
      <c r="GM9" s="544"/>
      <c r="GN9" s="545">
        <f t="shared" ref="GN9:GN25" si="63">+GM9/$E9</f>
        <v>0</v>
      </c>
      <c r="GO9" s="546">
        <f>+GM9*$H$8</f>
        <v>0</v>
      </c>
      <c r="GP9" s="544"/>
      <c r="GQ9" s="545">
        <f t="shared" ref="GQ9:GQ25" si="64">+GP9/$E9</f>
        <v>0</v>
      </c>
      <c r="GR9" s="546">
        <f>+GP9*$H$8</f>
        <v>0</v>
      </c>
      <c r="GS9" s="544"/>
      <c r="GT9" s="545">
        <f t="shared" ref="GT9:GT25" si="65">+GS9/$E9</f>
        <v>0</v>
      </c>
      <c r="GU9" s="546">
        <f>+GS9*$H$8</f>
        <v>0</v>
      </c>
      <c r="GV9" s="544"/>
      <c r="GW9" s="545">
        <f t="shared" ref="GW9:GW28" si="66">+GV9/$E9</f>
        <v>0</v>
      </c>
      <c r="GX9" s="546">
        <f>+GV9*$H$8</f>
        <v>0</v>
      </c>
      <c r="GY9" s="544"/>
      <c r="GZ9" s="545">
        <f t="shared" ref="GZ9:GZ39" si="67">+GY9/$E9</f>
        <v>0</v>
      </c>
      <c r="HA9" s="546">
        <f>+GY9*$H$8</f>
        <v>0</v>
      </c>
      <c r="HB9" s="544"/>
      <c r="HC9" s="545">
        <f t="shared" ref="HC9:HC39" si="68">+HB9/$E9</f>
        <v>0</v>
      </c>
      <c r="HD9" s="546">
        <f>+HB9*$H$8</f>
        <v>0</v>
      </c>
      <c r="HE9" s="544"/>
      <c r="HF9" s="545">
        <f t="shared" ref="HF9:HF39" si="69">+HE9/$E9</f>
        <v>0</v>
      </c>
      <c r="HG9" s="546">
        <f>+HE9*$H$8</f>
        <v>0</v>
      </c>
      <c r="HH9" s="544"/>
      <c r="HI9" s="545">
        <f t="shared" ref="HI9:HI39" si="70">+HH9/$E9</f>
        <v>0</v>
      </c>
      <c r="HJ9" s="546">
        <f>+HH9*$H$8</f>
        <v>0</v>
      </c>
      <c r="HK9" s="544"/>
      <c r="HL9" s="545">
        <f t="shared" ref="HL9:HL39" si="71">+HK9/$E9</f>
        <v>0</v>
      </c>
      <c r="HM9" s="546">
        <f>+HK9*$H$8</f>
        <v>0</v>
      </c>
      <c r="HN9" s="544">
        <v>2210</v>
      </c>
      <c r="HO9" s="545">
        <f t="shared" ref="HO9:HO39" si="72">+HN9/$E9</f>
        <v>27.566765208497053</v>
      </c>
      <c r="HP9" s="546">
        <f>+HN9*$H$8</f>
        <v>0</v>
      </c>
      <c r="HQ9" s="544"/>
      <c r="HR9" s="545">
        <f t="shared" ref="HR9:HR39" si="73">+HQ9/$E9</f>
        <v>0</v>
      </c>
      <c r="HS9" s="546">
        <f>+HQ9*$H$8</f>
        <v>0</v>
      </c>
      <c r="HT9" s="544">
        <v>40</v>
      </c>
      <c r="HU9" s="545">
        <f t="shared" ref="HU9:HU39" si="74">+HT9/$E9</f>
        <v>0.498945976624381</v>
      </c>
      <c r="HV9" s="546">
        <f>+HT9*$H$8</f>
        <v>0</v>
      </c>
      <c r="HW9" s="544">
        <v>10</v>
      </c>
      <c r="HX9" s="545">
        <f t="shared" ref="HX9:HX39" si="75">+HW9/$E9</f>
        <v>0.12473649415609525</v>
      </c>
      <c r="HY9" s="546">
        <f>+HW9*$H$8</f>
        <v>0</v>
      </c>
      <c r="HZ9" s="544">
        <v>25</v>
      </c>
      <c r="IA9" s="545">
        <f t="shared" ref="IA9:IA39" si="76">+HZ9/$E9</f>
        <v>0.31184123539023811</v>
      </c>
      <c r="IB9" s="546">
        <f>+HZ9*$H$8</f>
        <v>0</v>
      </c>
      <c r="IC9" s="544">
        <v>25</v>
      </c>
      <c r="ID9" s="545">
        <f t="shared" ref="ID9:ID39" si="77">+IC9/$E9</f>
        <v>0.31184123539023811</v>
      </c>
      <c r="IE9" s="546">
        <f>+IC9*$H$8</f>
        <v>0</v>
      </c>
      <c r="IF9" s="544"/>
      <c r="IG9" s="545">
        <f t="shared" ref="IG9:IG39" si="78">+IF9/$E9</f>
        <v>0</v>
      </c>
      <c r="IH9" s="546">
        <f>+IF9*$H$8</f>
        <v>0</v>
      </c>
      <c r="II9" s="544"/>
      <c r="IJ9" s="545">
        <f t="shared" ref="IJ9:IJ39" si="79">+II9/$E9</f>
        <v>0</v>
      </c>
      <c r="IK9" s="546">
        <f>+II9*$H$8</f>
        <v>0</v>
      </c>
      <c r="IL9" s="544"/>
      <c r="IM9" s="545">
        <f t="shared" ref="IM9:IM39" si="80">+IL9/$E9</f>
        <v>0</v>
      </c>
      <c r="IN9" s="546">
        <f>+IL9*$H$8</f>
        <v>0</v>
      </c>
      <c r="IO9" s="544">
        <v>110</v>
      </c>
      <c r="IP9" s="545">
        <f t="shared" ref="IP9:IP39" si="81">+IO9/$E9</f>
        <v>1.3721014357170478</v>
      </c>
      <c r="IQ9" s="546">
        <f>+IO9*$H$8</f>
        <v>0</v>
      </c>
      <c r="IR9" s="544">
        <v>10</v>
      </c>
      <c r="IS9" s="545">
        <f t="shared" ref="IS9:IS39" si="82">+IR9/$E9</f>
        <v>0.12473649415609525</v>
      </c>
      <c r="IT9" s="546">
        <f>+IR9*$H$8</f>
        <v>0</v>
      </c>
      <c r="IU9" s="544"/>
      <c r="IV9" s="545">
        <f t="shared" ref="IV9:IV39" si="83">+IU9/$E9</f>
        <v>0</v>
      </c>
      <c r="IW9" s="546">
        <f>+IU9*$H$8</f>
        <v>0</v>
      </c>
      <c r="IX9" s="544">
        <v>5</v>
      </c>
      <c r="IY9" s="545">
        <f t="shared" ref="IY9:IY39" si="84">+IX9/$E9</f>
        <v>6.2368247078047626E-2</v>
      </c>
      <c r="IZ9" s="546">
        <f>+IX9*$H$8</f>
        <v>0</v>
      </c>
      <c r="JA9" s="544"/>
      <c r="JB9" s="545">
        <f t="shared" ref="JB9:JB39" si="85">+JA9/$E9</f>
        <v>0</v>
      </c>
      <c r="JC9" s="546">
        <f>+JA9*$H$8</f>
        <v>0</v>
      </c>
      <c r="JD9" s="544"/>
      <c r="JE9" s="545">
        <f t="shared" ref="JE9:JE39" si="86">+JD9/$E9</f>
        <v>0</v>
      </c>
      <c r="JF9" s="546">
        <f>+JD9*$H$8</f>
        <v>0</v>
      </c>
      <c r="JG9" s="544">
        <v>30</v>
      </c>
      <c r="JH9" s="546" t="str">
        <f t="shared" ref="JH9:JH39" si="87">IFERROR((JG9/$L9),"0")</f>
        <v>0</v>
      </c>
      <c r="JI9" s="546" t="str">
        <f t="shared" ref="JI9:JI39" si="88">IFERROR(((JG9*JI$8)/$L9),"0")</f>
        <v>0</v>
      </c>
      <c r="JJ9" s="544">
        <v>50</v>
      </c>
      <c r="JK9" s="546" t="str">
        <f t="shared" ref="JK9:JK39" si="89">IFERROR((JJ9/$L9),"0")</f>
        <v>0</v>
      </c>
      <c r="JL9" s="546" t="str">
        <f t="shared" ref="JL9:JL39" si="90">IFERROR(((JJ9*JL$8)/$L9),"0")</f>
        <v>0</v>
      </c>
      <c r="JM9" s="544"/>
      <c r="JN9" s="546" t="str">
        <f t="shared" ref="JN9:JN39" si="91">IFERROR((JM9/$L9),"0")</f>
        <v>0</v>
      </c>
      <c r="JO9" s="546" t="str">
        <f t="shared" ref="JO9:JO39" si="92">IFERROR(((JM9*JO$8)/$L9),"0")</f>
        <v>0</v>
      </c>
      <c r="JP9" s="544"/>
      <c r="JQ9" s="546" t="str">
        <f t="shared" ref="JQ9:JQ39" si="93">IFERROR((JP9/$L9),"0")</f>
        <v>0</v>
      </c>
      <c r="JR9" s="546" t="str">
        <f t="shared" ref="JR9:JR39" si="94">IFERROR(((JP9*JR$8)/$L9),"0")</f>
        <v>0</v>
      </c>
      <c r="JS9" s="544"/>
      <c r="JT9" s="546" t="str">
        <f t="shared" ref="JT9:JT39" si="95">IFERROR((JS9/$L9),"0")</f>
        <v>0</v>
      </c>
      <c r="JU9" s="546" t="str">
        <f t="shared" ref="JU9:JU39" si="96">IFERROR(((JS9*JU$8)/$L9),"0")</f>
        <v>0</v>
      </c>
      <c r="JV9" s="544"/>
      <c r="JW9" s="546" t="str">
        <f t="shared" ref="JW9:JW39" si="97">IFERROR((JV9/$L9),"0")</f>
        <v>0</v>
      </c>
      <c r="JX9" s="546" t="str">
        <f t="shared" ref="JX9:JX39" si="98">IFERROR(((JV9*JX$8)/$L9),"0")</f>
        <v>0</v>
      </c>
      <c r="JY9" s="544"/>
      <c r="JZ9" s="546" t="str">
        <f t="shared" ref="JZ9:JZ39" si="99">IFERROR((JY9/$L9),"0")</f>
        <v>0</v>
      </c>
      <c r="KA9" s="546" t="str">
        <f t="shared" ref="KA9:KA39" si="100">IFERROR(((JY9*KA$8)/$L9),"0")</f>
        <v>0</v>
      </c>
      <c r="KB9" s="544"/>
      <c r="KC9" s="546" t="str">
        <f t="shared" ref="KC9:KC39" si="101">IFERROR((KB9/$L9),"0")</f>
        <v>0</v>
      </c>
      <c r="KD9" s="546" t="str">
        <f t="shared" ref="KD9:KD39" si="102">IFERROR(((KB9*KD$8)/$L9),"0")</f>
        <v>0</v>
      </c>
      <c r="KE9" s="544"/>
      <c r="KF9" s="546" t="str">
        <f t="shared" ref="KF9:KF39" si="103">IFERROR((KE9/$L9),"0")</f>
        <v>0</v>
      </c>
      <c r="KG9" s="546" t="str">
        <f t="shared" ref="KG9:KG39" si="104">IFERROR(((KE9*KG$8)/$L9),"0")</f>
        <v>0</v>
      </c>
      <c r="KH9" s="544"/>
      <c r="KI9" s="546" t="str">
        <f t="shared" ref="KI9:KI39" si="105">IFERROR((KH9/$L9),"0")</f>
        <v>0</v>
      </c>
      <c r="KJ9" s="546" t="str">
        <f t="shared" ref="KJ9:KJ39" si="106">IFERROR(((KH9*KJ$8)/$L9),"0")</f>
        <v>0</v>
      </c>
      <c r="KK9" s="544"/>
      <c r="KL9" s="546" t="str">
        <f t="shared" ref="KL9:KL39" si="107">IFERROR((KK9/$L9),"0")</f>
        <v>0</v>
      </c>
      <c r="KM9" s="546" t="str">
        <f t="shared" ref="KM9:KM39" si="108">IFERROR(((KK9*KM$8)/$L9),"0")</f>
        <v>0</v>
      </c>
      <c r="KN9" s="544"/>
      <c r="KO9" s="546" t="str">
        <f t="shared" ref="KO9:KO39" si="109">IFERROR((KN9/$L9),"0")</f>
        <v>0</v>
      </c>
      <c r="KP9" s="546" t="str">
        <f t="shared" ref="KP9:KP39" si="110">IFERROR(((KN9*KP$8)/$L9),"0")</f>
        <v>0</v>
      </c>
      <c r="KQ9" s="546">
        <f t="shared" ref="KQ9:KQ39" si="111">H9+K9+N9+Q9+T9+W9+Z9+AC9+AF9+AI9+AL9+AO9+AR9+AU9+AX9+BA9+BD9+BG9+BJ9+BM9+BP9+BS9+BV9+BY9+CB9+CE9+CH9+CK9+CN9+CQ9+CT9+CW9+CZ9+DC9+DF9+DI9+DL9+DO9+DR9+DU9+DX9+EA9+ED9+EG9+EJ9+EM9+EP9+ES9+EV9+EY9+FB9+FE9+FH9+FK9+FN9+FQ9+FT9+FW9+FZ9+GC9</f>
        <v>0</v>
      </c>
      <c r="KR9" s="546">
        <f>GF9+GI9+GL9+GO9+GR9+GU9+GX9+HA9+HD9+HG9+HJ9+HM9+HP9+HS9+HV9+HY9+IB9+IE9+IH9+IK9+IN9+IQ9+IT9+IW9+IZ9+JC9+JF9+JI9+JL9+JO9+JR9+JU9++JX9+KA9+KD9+KG9++KJ9+KM9+KP9</f>
        <v>0</v>
      </c>
      <c r="KS9" s="265">
        <f>+F9+I9+L9+O9+R9+U9+X9+AA9+AD9+AG9+AJ9+AM9+AP9+AS9+AV9+AY9+BB9+BE9+BH9+BK9+BN9+BQ9+BT9+BW9+BZ9+CC9+CF9+CI9+CL9+CO9+CR9+CU9+CX9+DA9+DD9+DJ9+DM9+DP9+DS9+DV9+DY9+EB9+GG9+GJ9+GM9+GP9+GS9+HN9+IF9+IO9+GV9+IR9++HT9+HW9+HZ9+IC9+IX9+JG9+JJ9+HB9+EE9+GD9+EH9+JM9+JP9+JS9</f>
        <v>4426.9298278613769</v>
      </c>
    </row>
    <row r="10" spans="1:305" ht="15" customHeight="1">
      <c r="A10" s="267">
        <f>+A9+1</f>
        <v>45718</v>
      </c>
      <c r="B10" s="268" t="str">
        <f>+Report1!B10</f>
        <v>Towel/Napkin</v>
      </c>
      <c r="C10" s="268" t="str">
        <f>+Report1!C10</f>
        <v>36/34/30/20/20</v>
      </c>
      <c r="D10" s="269">
        <f>+Report1!P10</f>
        <v>70.802999999999997</v>
      </c>
      <c r="E10" s="270">
        <f>+Report1!R10</f>
        <v>68.052000000000007</v>
      </c>
      <c r="F10" s="544">
        <v>0</v>
      </c>
      <c r="G10" s="545">
        <f t="shared" si="0"/>
        <v>0</v>
      </c>
      <c r="H10" s="546">
        <f t="shared" ref="H10:H39" si="112">+F10*$H$8</f>
        <v>0</v>
      </c>
      <c r="I10" s="544"/>
      <c r="J10" s="545">
        <f t="shared" si="1"/>
        <v>0</v>
      </c>
      <c r="K10" s="546">
        <f t="shared" ref="K10:K39" si="113">+I10*$H$8</f>
        <v>0</v>
      </c>
      <c r="L10" s="544"/>
      <c r="M10" s="545">
        <f t="shared" si="2"/>
        <v>0</v>
      </c>
      <c r="N10" s="546">
        <f t="shared" ref="N10:N39" si="114">+L10*$H$8</f>
        <v>0</v>
      </c>
      <c r="O10" s="544">
        <v>4.5</v>
      </c>
      <c r="P10" s="545">
        <f t="shared" si="3"/>
        <v>6.6125903720684179E-2</v>
      </c>
      <c r="Q10" s="546">
        <f t="shared" ref="Q10:Q39" si="115">+O10*$H$8</f>
        <v>0</v>
      </c>
      <c r="R10" s="544"/>
      <c r="S10" s="545">
        <f t="shared" si="4"/>
        <v>0</v>
      </c>
      <c r="T10" s="546">
        <f t="shared" ref="T10:T39" si="116">+R10*$H$8</f>
        <v>0</v>
      </c>
      <c r="U10" s="544">
        <v>12.812499999999972</v>
      </c>
      <c r="V10" s="545">
        <f t="shared" si="5"/>
        <v>0.18827514253805869</v>
      </c>
      <c r="W10" s="546">
        <f t="shared" ref="W10:W39" si="117">+U10*$H$8</f>
        <v>0</v>
      </c>
      <c r="X10" s="544"/>
      <c r="Y10" s="545">
        <f t="shared" si="6"/>
        <v>0</v>
      </c>
      <c r="Z10" s="546">
        <f t="shared" ref="Z10:Z39" si="118">+X10*$H$8</f>
        <v>0</v>
      </c>
      <c r="AA10" s="544"/>
      <c r="AB10" s="545">
        <f t="shared" si="7"/>
        <v>0</v>
      </c>
      <c r="AC10" s="546">
        <f t="shared" ref="AC10:AC39" si="119">+AA10*$H$8</f>
        <v>0</v>
      </c>
      <c r="AD10" s="544"/>
      <c r="AE10" s="545">
        <f t="shared" si="8"/>
        <v>0</v>
      </c>
      <c r="AF10" s="546">
        <f t="shared" ref="AF10:AF39" si="120">+AD10*$H$8</f>
        <v>0</v>
      </c>
      <c r="AG10" s="544"/>
      <c r="AH10" s="545">
        <f t="shared" si="9"/>
        <v>0</v>
      </c>
      <c r="AI10" s="546">
        <f t="shared" ref="AI10:AI39" si="121">+AG10*$H$8</f>
        <v>0</v>
      </c>
      <c r="AJ10" s="544"/>
      <c r="AK10" s="545">
        <f t="shared" si="10"/>
        <v>0</v>
      </c>
      <c r="AL10" s="546">
        <f t="shared" ref="AL10:AL39" si="122">+AJ10*$H$8</f>
        <v>0</v>
      </c>
      <c r="AM10" s="544">
        <v>52.095997435897402</v>
      </c>
      <c r="AN10" s="545">
        <f t="shared" si="11"/>
        <v>0.76553220237314701</v>
      </c>
      <c r="AO10" s="546">
        <f t="shared" ref="AO10:AO39" si="123">+AM10*$H$8</f>
        <v>0</v>
      </c>
      <c r="AP10" s="544"/>
      <c r="AQ10" s="545">
        <f t="shared" si="12"/>
        <v>0</v>
      </c>
      <c r="AR10" s="546">
        <f t="shared" ref="AR10:AR39" si="124">+AP10*$H$8</f>
        <v>0</v>
      </c>
      <c r="AS10" s="544"/>
      <c r="AT10" s="545">
        <f t="shared" si="13"/>
        <v>0</v>
      </c>
      <c r="AU10" s="546">
        <f t="shared" ref="AU10:AU39" si="125">+AS10*$H$8</f>
        <v>0</v>
      </c>
      <c r="AV10" s="544">
        <v>11.009000000000015</v>
      </c>
      <c r="AW10" s="545">
        <f t="shared" si="14"/>
        <v>0.16177334979133623</v>
      </c>
      <c r="AX10" s="546">
        <f t="shared" ref="AX10:AX39" si="126">+AV10*$H$8</f>
        <v>0</v>
      </c>
      <c r="AY10" s="544">
        <v>68.71213333333327</v>
      </c>
      <c r="AZ10" s="545">
        <f t="shared" si="15"/>
        <v>1.0097004251650687</v>
      </c>
      <c r="BA10" s="546">
        <f t="shared" ref="BA10:BA39" si="127">+AY10*$H$8</f>
        <v>0</v>
      </c>
      <c r="BB10" s="544"/>
      <c r="BC10" s="545">
        <f t="shared" si="16"/>
        <v>0</v>
      </c>
      <c r="BD10" s="546">
        <f t="shared" ref="BD10:BD39" si="128">+BB10*$H$8</f>
        <v>0</v>
      </c>
      <c r="BE10" s="544"/>
      <c r="BF10" s="545">
        <f t="shared" si="17"/>
        <v>0</v>
      </c>
      <c r="BG10" s="546">
        <f t="shared" ref="BG10:BG39" si="129">+BE10*$H$8</f>
        <v>0</v>
      </c>
      <c r="BH10" s="544"/>
      <c r="BI10" s="545">
        <f t="shared" si="18"/>
        <v>0</v>
      </c>
      <c r="BJ10" s="546">
        <f t="shared" ref="BJ10:BJ39" si="130">+BH10*$H$8</f>
        <v>0</v>
      </c>
      <c r="BK10" s="544"/>
      <c r="BL10" s="545">
        <f t="shared" si="19"/>
        <v>0</v>
      </c>
      <c r="BM10" s="546">
        <f t="shared" ref="BM10:BM39" si="131">+BK10*$H$8</f>
        <v>0</v>
      </c>
      <c r="BN10" s="544"/>
      <c r="BO10" s="545">
        <f t="shared" si="20"/>
        <v>0</v>
      </c>
      <c r="BP10" s="546">
        <f t="shared" ref="BP10:BP39" si="132">+BN10*$H$8</f>
        <v>0</v>
      </c>
      <c r="BQ10" s="544"/>
      <c r="BR10" s="545">
        <f t="shared" si="21"/>
        <v>0</v>
      </c>
      <c r="BS10" s="546">
        <f t="shared" ref="BS10:BS39" si="133">+BQ10*$H$8</f>
        <v>0</v>
      </c>
      <c r="BT10" s="544"/>
      <c r="BU10" s="545">
        <f t="shared" si="22"/>
        <v>0</v>
      </c>
      <c r="BV10" s="546">
        <f t="shared" ref="BV10:BV39" si="134">+BT10*$H$8</f>
        <v>0</v>
      </c>
      <c r="BW10" s="544"/>
      <c r="BX10" s="545">
        <f t="shared" si="23"/>
        <v>0</v>
      </c>
      <c r="BY10" s="546">
        <f t="shared" ref="BY10:BY39" si="135">+BW10*$H$8</f>
        <v>0</v>
      </c>
      <c r="BZ10" s="544">
        <v>0</v>
      </c>
      <c r="CA10" s="545">
        <f t="shared" si="24"/>
        <v>0</v>
      </c>
      <c r="CB10" s="546">
        <f t="shared" ref="CB10:CB39" si="136">+BZ10*$H$8</f>
        <v>0</v>
      </c>
      <c r="CC10" s="544">
        <v>0</v>
      </c>
      <c r="CD10" s="545">
        <f t="shared" si="25"/>
        <v>0</v>
      </c>
      <c r="CE10" s="546">
        <f t="shared" ref="CE10:CE39" si="137">+CC10*$H$8</f>
        <v>0</v>
      </c>
      <c r="CF10" s="544">
        <v>2.4000000000000004</v>
      </c>
      <c r="CG10" s="545">
        <f t="shared" si="26"/>
        <v>3.5267148651031567E-2</v>
      </c>
      <c r="CH10" s="546">
        <f t="shared" ref="CH10:CH39" si="138">+CF10*$H$8</f>
        <v>0</v>
      </c>
      <c r="CI10" s="544"/>
      <c r="CJ10" s="545">
        <f t="shared" si="27"/>
        <v>0</v>
      </c>
      <c r="CK10" s="546">
        <f t="shared" ref="CK10:CK39" si="139">+CI10*$H$8</f>
        <v>0</v>
      </c>
      <c r="CL10" s="544"/>
      <c r="CM10" s="545">
        <f t="shared" si="28"/>
        <v>0</v>
      </c>
      <c r="CN10" s="546">
        <f t="shared" ref="CN10:CN39" si="140">+CL10*$H$8</f>
        <v>0</v>
      </c>
      <c r="CO10" s="544"/>
      <c r="CP10" s="545">
        <f t="shared" si="29"/>
        <v>0</v>
      </c>
      <c r="CQ10" s="546">
        <f t="shared" ref="CQ10:CQ39" si="141">+CO10*$H$8</f>
        <v>0</v>
      </c>
      <c r="CR10" s="544"/>
      <c r="CS10" s="545">
        <f t="shared" si="30"/>
        <v>0</v>
      </c>
      <c r="CT10" s="546">
        <f t="shared" ref="CT10:CT39" si="142">+CR10*$H$8</f>
        <v>0</v>
      </c>
      <c r="CU10" s="544"/>
      <c r="CV10" s="545">
        <f t="shared" si="31"/>
        <v>0</v>
      </c>
      <c r="CW10" s="546">
        <f t="shared" ref="CW10:CW39" si="143">+CU10*$H$8</f>
        <v>0</v>
      </c>
      <c r="CX10" s="544"/>
      <c r="CY10" s="545">
        <f t="shared" si="32"/>
        <v>0</v>
      </c>
      <c r="CZ10" s="546">
        <f t="shared" ref="CZ10:CZ39" si="144">+CX10*$H$8</f>
        <v>0</v>
      </c>
      <c r="DA10" s="544">
        <v>333.13105882352943</v>
      </c>
      <c r="DB10" s="545">
        <f t="shared" si="33"/>
        <v>4.8952427382520627</v>
      </c>
      <c r="DC10" s="546">
        <f t="shared" ref="DC10:DC39" si="145">+DA10*$H$8</f>
        <v>0</v>
      </c>
      <c r="DD10" s="544"/>
      <c r="DE10" s="545">
        <f t="shared" si="34"/>
        <v>0</v>
      </c>
      <c r="DF10" s="546">
        <f t="shared" ref="DF10:DF39" si="146">+DD10*$H$8</f>
        <v>0</v>
      </c>
      <c r="DG10" s="544"/>
      <c r="DH10" s="545">
        <f t="shared" si="35"/>
        <v>0</v>
      </c>
      <c r="DI10" s="546">
        <v>0</v>
      </c>
      <c r="DJ10" s="544"/>
      <c r="DK10" s="545">
        <f t="shared" si="36"/>
        <v>0</v>
      </c>
      <c r="DL10" s="546">
        <f t="shared" ref="DL10:DL39" si="147">+DJ10*$H$8</f>
        <v>0</v>
      </c>
      <c r="DM10" s="544"/>
      <c r="DN10" s="545">
        <f t="shared" si="37"/>
        <v>0</v>
      </c>
      <c r="DO10" s="546">
        <f t="shared" ref="DO10:DO39" si="148">+DM10*$H$8</f>
        <v>0</v>
      </c>
      <c r="DP10" s="544"/>
      <c r="DQ10" s="545">
        <f t="shared" si="38"/>
        <v>0</v>
      </c>
      <c r="DR10" s="546">
        <f t="shared" ref="DR10:DR39" si="149">+DP10*$H$8</f>
        <v>0</v>
      </c>
      <c r="DS10" s="544"/>
      <c r="DT10" s="545">
        <f t="shared" si="39"/>
        <v>0</v>
      </c>
      <c r="DU10" s="546">
        <f t="shared" ref="DU10:DU39" si="150">+DS10*$H$8</f>
        <v>0</v>
      </c>
      <c r="DV10" s="544"/>
      <c r="DW10" s="545">
        <f t="shared" si="40"/>
        <v>0</v>
      </c>
      <c r="DX10" s="546">
        <f t="shared" ref="DX10:DX39" si="151">+DV10*$H$8</f>
        <v>0</v>
      </c>
      <c r="DY10" s="544"/>
      <c r="DZ10" s="545">
        <f t="shared" si="41"/>
        <v>0</v>
      </c>
      <c r="EA10" s="546">
        <f t="shared" ref="EA10:EA39" si="152">+DY10*$H$8</f>
        <v>0</v>
      </c>
      <c r="EB10" s="544">
        <v>1319.5409647058823</v>
      </c>
      <c r="EC10" s="545">
        <f t="shared" si="42"/>
        <v>19.390186397253309</v>
      </c>
      <c r="ED10" s="546">
        <f t="shared" ref="ED10:ED39" si="153">+EB10*$H$8</f>
        <v>0</v>
      </c>
      <c r="EE10" s="544">
        <v>11.860465116279101</v>
      </c>
      <c r="EF10" s="545">
        <f t="shared" si="43"/>
        <v>0.17428532763591226</v>
      </c>
      <c r="EG10" s="546">
        <f t="shared" ref="EG10:EG39" si="154">+EE10*$H$8</f>
        <v>0</v>
      </c>
      <c r="EH10" s="544">
        <v>1</v>
      </c>
      <c r="EI10" s="545">
        <f t="shared" si="44"/>
        <v>1.469464527126315E-2</v>
      </c>
      <c r="EJ10" s="546">
        <f t="shared" ref="EJ10:EJ39" si="155">+EH10*$H$8</f>
        <v>0</v>
      </c>
      <c r="EK10" s="544"/>
      <c r="EL10" s="545">
        <f t="shared" si="45"/>
        <v>0</v>
      </c>
      <c r="EM10" s="546">
        <f t="shared" ref="EM10:EM39" si="156">+EK10*$H$8</f>
        <v>0</v>
      </c>
      <c r="EN10" s="544"/>
      <c r="EO10" s="545">
        <f t="shared" si="46"/>
        <v>0</v>
      </c>
      <c r="EP10" s="546">
        <f t="shared" ref="EP10:EP39" si="157">+EN10*$H$8</f>
        <v>0</v>
      </c>
      <c r="EQ10" s="544"/>
      <c r="ER10" s="545">
        <f t="shared" si="47"/>
        <v>0</v>
      </c>
      <c r="ES10" s="546">
        <f t="shared" ref="ES10:ES39" si="158">+EQ10*$H$8</f>
        <v>0</v>
      </c>
      <c r="ET10" s="544"/>
      <c r="EU10" s="545">
        <f t="shared" si="48"/>
        <v>0</v>
      </c>
      <c r="EV10" s="546">
        <f t="shared" ref="EV10:EV39" si="159">+ET10*$H$8</f>
        <v>0</v>
      </c>
      <c r="EW10" s="544"/>
      <c r="EX10" s="545">
        <f t="shared" si="49"/>
        <v>0</v>
      </c>
      <c r="EY10" s="546">
        <f t="shared" ref="EY10:EY39" si="160">+EW10*$H$8</f>
        <v>0</v>
      </c>
      <c r="EZ10" s="544"/>
      <c r="FA10" s="545">
        <f t="shared" si="50"/>
        <v>0</v>
      </c>
      <c r="FB10" s="546">
        <f t="shared" ref="FB10:FB39" si="161">+EZ10*$H$8</f>
        <v>0</v>
      </c>
      <c r="FC10" s="544"/>
      <c r="FD10" s="545">
        <f t="shared" si="51"/>
        <v>0</v>
      </c>
      <c r="FE10" s="546">
        <f t="shared" ref="FE10:FE39" si="162">+FC10*$H$8</f>
        <v>0</v>
      </c>
      <c r="FF10" s="544"/>
      <c r="FG10" s="545">
        <f t="shared" si="52"/>
        <v>0</v>
      </c>
      <c r="FH10" s="546">
        <f t="shared" ref="FH10:FH39" si="163">+FF10*$H$8</f>
        <v>0</v>
      </c>
      <c r="FI10" s="544"/>
      <c r="FJ10" s="545">
        <f t="shared" si="53"/>
        <v>0</v>
      </c>
      <c r="FK10" s="546">
        <f t="shared" ref="FK10:FK39" si="164">+FI10*$H$8</f>
        <v>0</v>
      </c>
      <c r="FL10" s="544"/>
      <c r="FM10" s="545">
        <f t="shared" si="54"/>
        <v>0</v>
      </c>
      <c r="FN10" s="546">
        <f t="shared" ref="FN10:FN39" si="165">+FL10*$H$8</f>
        <v>0</v>
      </c>
      <c r="FO10" s="544"/>
      <c r="FP10" s="545">
        <f t="shared" si="55"/>
        <v>0</v>
      </c>
      <c r="FQ10" s="546">
        <f t="shared" ref="FQ10:FQ39" si="166">+FO10*$H$8</f>
        <v>0</v>
      </c>
      <c r="FR10" s="544"/>
      <c r="FS10" s="545">
        <f t="shared" si="56"/>
        <v>0</v>
      </c>
      <c r="FT10" s="546">
        <f t="shared" ref="FT10:FT39" si="167">+FR10*$H$8</f>
        <v>0</v>
      </c>
      <c r="FU10" s="544"/>
      <c r="FV10" s="545">
        <f t="shared" si="57"/>
        <v>0</v>
      </c>
      <c r="FW10" s="546">
        <f t="shared" ref="FW10:FW39" si="168">+FU10*$H$8</f>
        <v>0</v>
      </c>
      <c r="FX10" s="544"/>
      <c r="FY10" s="545">
        <f t="shared" si="58"/>
        <v>0</v>
      </c>
      <c r="FZ10" s="546">
        <f t="shared" ref="FZ10:FZ39" si="169">+FX10*$H$8</f>
        <v>0</v>
      </c>
      <c r="GA10" s="544"/>
      <c r="GB10" s="545">
        <f t="shared" si="59"/>
        <v>0</v>
      </c>
      <c r="GC10" s="546">
        <f t="shared" ref="GC10:GC39" si="170">+GA10*$H$8</f>
        <v>0</v>
      </c>
      <c r="GD10" s="544"/>
      <c r="GE10" s="545">
        <f t="shared" si="60"/>
        <v>0</v>
      </c>
      <c r="GF10" s="546">
        <f t="shared" ref="GF10:GF39" si="171">+GD10*$H$8</f>
        <v>0</v>
      </c>
      <c r="GG10" s="544">
        <v>5</v>
      </c>
      <c r="GH10" s="545">
        <f t="shared" si="61"/>
        <v>7.3473226356315757E-2</v>
      </c>
      <c r="GI10" s="546">
        <f t="shared" ref="GI10:GI39" si="172">+GG10*$H$8</f>
        <v>0</v>
      </c>
      <c r="GJ10" s="544">
        <v>5</v>
      </c>
      <c r="GK10" s="545">
        <f t="shared" si="62"/>
        <v>7.3473226356315757E-2</v>
      </c>
      <c r="GL10" s="546">
        <f t="shared" ref="GL10:GL29" si="173">+GJ10*$H$8</f>
        <v>0</v>
      </c>
      <c r="GM10" s="544"/>
      <c r="GN10" s="545">
        <f t="shared" si="63"/>
        <v>0</v>
      </c>
      <c r="GO10" s="546">
        <f t="shared" ref="GO10:GO25" si="174">+GM10*$H$8</f>
        <v>0</v>
      </c>
      <c r="GP10" s="544"/>
      <c r="GQ10" s="545">
        <f t="shared" si="64"/>
        <v>0</v>
      </c>
      <c r="GR10" s="546">
        <f t="shared" ref="GR10:GR25" si="175">+GP10*$H$8</f>
        <v>0</v>
      </c>
      <c r="GS10" s="544"/>
      <c r="GT10" s="545">
        <f t="shared" si="65"/>
        <v>0</v>
      </c>
      <c r="GU10" s="546">
        <f t="shared" ref="GU10:GU25" si="176">+GS10*$H$8</f>
        <v>0</v>
      </c>
      <c r="GV10" s="544"/>
      <c r="GW10" s="545">
        <f t="shared" si="66"/>
        <v>0</v>
      </c>
      <c r="GX10" s="546">
        <f t="shared" ref="GX10:GX28" si="177">+GV10*$H$8</f>
        <v>0</v>
      </c>
      <c r="GY10" s="544"/>
      <c r="GZ10" s="545">
        <f t="shared" si="67"/>
        <v>0</v>
      </c>
      <c r="HA10" s="546">
        <f t="shared" ref="HA10:HA39" si="178">+GY10*$H$8</f>
        <v>0</v>
      </c>
      <c r="HB10" s="544"/>
      <c r="HC10" s="545">
        <f t="shared" si="68"/>
        <v>0</v>
      </c>
      <c r="HD10" s="546">
        <f t="shared" ref="HD10:HD39" si="179">+HB10*$H$8</f>
        <v>0</v>
      </c>
      <c r="HE10" s="544"/>
      <c r="HF10" s="545">
        <f t="shared" si="69"/>
        <v>0</v>
      </c>
      <c r="HG10" s="546">
        <f t="shared" ref="HG10:HG39" si="180">+HE10*$H$8</f>
        <v>0</v>
      </c>
      <c r="HH10" s="544"/>
      <c r="HI10" s="545">
        <f t="shared" si="70"/>
        <v>0</v>
      </c>
      <c r="HJ10" s="546">
        <f t="shared" ref="HJ10:HJ39" si="181">+HH10*$H$8</f>
        <v>0</v>
      </c>
      <c r="HK10" s="544"/>
      <c r="HL10" s="545">
        <f t="shared" si="71"/>
        <v>0</v>
      </c>
      <c r="HM10" s="546">
        <f t="shared" ref="HM10:HM39" si="182">+HK10*$H$8</f>
        <v>0</v>
      </c>
      <c r="HN10" s="544">
        <v>2310</v>
      </c>
      <c r="HO10" s="545">
        <f t="shared" si="72"/>
        <v>33.944630576617875</v>
      </c>
      <c r="HP10" s="546">
        <f t="shared" ref="HP10:HP39" si="183">+HN10*$H$8</f>
        <v>0</v>
      </c>
      <c r="HQ10" s="544"/>
      <c r="HR10" s="545">
        <f t="shared" si="73"/>
        <v>0</v>
      </c>
      <c r="HS10" s="546">
        <f t="shared" ref="HS10:HS39" si="184">+HQ10*$H$8</f>
        <v>0</v>
      </c>
      <c r="HT10" s="544">
        <v>40</v>
      </c>
      <c r="HU10" s="545">
        <f t="shared" si="74"/>
        <v>0.58778581085052606</v>
      </c>
      <c r="HV10" s="546">
        <f t="shared" ref="HV10:HV39" si="185">+HT10*$H$8</f>
        <v>0</v>
      </c>
      <c r="HW10" s="544">
        <v>10</v>
      </c>
      <c r="HX10" s="545">
        <f t="shared" si="75"/>
        <v>0.14694645271263151</v>
      </c>
      <c r="HY10" s="546">
        <f t="shared" ref="HY10:HY39" si="186">+HW10*$H$8</f>
        <v>0</v>
      </c>
      <c r="HZ10" s="544">
        <v>30</v>
      </c>
      <c r="IA10" s="545">
        <f t="shared" si="76"/>
        <v>0.44083935813789449</v>
      </c>
      <c r="IB10" s="546">
        <f t="shared" ref="IB10:IB39" si="187">+HZ10*$H$8</f>
        <v>0</v>
      </c>
      <c r="IC10" s="544">
        <v>25</v>
      </c>
      <c r="ID10" s="545">
        <f t="shared" si="77"/>
        <v>0.36736613178157873</v>
      </c>
      <c r="IE10" s="546">
        <f t="shared" ref="IE10:IE39" si="188">+IC10*$H$8</f>
        <v>0</v>
      </c>
      <c r="IF10" s="544"/>
      <c r="IG10" s="545">
        <f t="shared" si="78"/>
        <v>0</v>
      </c>
      <c r="IH10" s="546">
        <f t="shared" ref="IH10:IH39" si="189">+IF10*$H$8</f>
        <v>0</v>
      </c>
      <c r="II10" s="544"/>
      <c r="IJ10" s="545">
        <f t="shared" si="79"/>
        <v>0</v>
      </c>
      <c r="IK10" s="546">
        <f t="shared" ref="IK10:IK39" si="190">+II10*$H$8</f>
        <v>0</v>
      </c>
      <c r="IL10" s="544"/>
      <c r="IM10" s="545">
        <f t="shared" si="80"/>
        <v>0</v>
      </c>
      <c r="IN10" s="546">
        <f t="shared" ref="IN10:IN39" si="191">+IL10*$H$8</f>
        <v>0</v>
      </c>
      <c r="IO10" s="544">
        <v>120</v>
      </c>
      <c r="IP10" s="545">
        <f t="shared" si="81"/>
        <v>1.763357432551578</v>
      </c>
      <c r="IQ10" s="546">
        <f t="shared" ref="IQ10:IQ39" si="192">+IO10*$H$8</f>
        <v>0</v>
      </c>
      <c r="IR10" s="544">
        <v>10</v>
      </c>
      <c r="IS10" s="545">
        <f t="shared" si="82"/>
        <v>0.14694645271263151</v>
      </c>
      <c r="IT10" s="546">
        <f t="shared" ref="IT10:IT39" si="193">+IR10*$H$8</f>
        <v>0</v>
      </c>
      <c r="IU10" s="544"/>
      <c r="IV10" s="545">
        <f t="shared" si="83"/>
        <v>0</v>
      </c>
      <c r="IW10" s="546">
        <f t="shared" ref="IW10:IW39" si="194">+IU10*$H$8</f>
        <v>0</v>
      </c>
      <c r="IX10" s="544">
        <v>5</v>
      </c>
      <c r="IY10" s="545">
        <f t="shared" si="84"/>
        <v>7.3473226356315757E-2</v>
      </c>
      <c r="IZ10" s="546">
        <f t="shared" ref="IZ10:IZ39" si="195">+IX10*$H$8</f>
        <v>0</v>
      </c>
      <c r="JA10" s="544"/>
      <c r="JB10" s="545">
        <f t="shared" si="85"/>
        <v>0</v>
      </c>
      <c r="JC10" s="546">
        <f t="shared" ref="JC10:JC39" si="196">+JA10*$H$8</f>
        <v>0</v>
      </c>
      <c r="JD10" s="544"/>
      <c r="JE10" s="545">
        <f t="shared" si="86"/>
        <v>0</v>
      </c>
      <c r="JF10" s="546">
        <f t="shared" ref="JF10:JF39" si="197">+JD10*$H$8</f>
        <v>0</v>
      </c>
      <c r="JG10" s="544">
        <v>30</v>
      </c>
      <c r="JH10" s="546" t="str">
        <f t="shared" si="87"/>
        <v>0</v>
      </c>
      <c r="JI10" s="546" t="str">
        <f t="shared" si="88"/>
        <v>0</v>
      </c>
      <c r="JJ10" s="544">
        <v>45</v>
      </c>
      <c r="JK10" s="546" t="str">
        <f t="shared" si="89"/>
        <v>0</v>
      </c>
      <c r="JL10" s="546" t="str">
        <f t="shared" si="90"/>
        <v>0</v>
      </c>
      <c r="JM10" s="544"/>
      <c r="JN10" s="546" t="str">
        <f t="shared" si="91"/>
        <v>0</v>
      </c>
      <c r="JO10" s="546" t="str">
        <f t="shared" si="92"/>
        <v>0</v>
      </c>
      <c r="JP10" s="544"/>
      <c r="JQ10" s="546" t="str">
        <f t="shared" si="93"/>
        <v>0</v>
      </c>
      <c r="JR10" s="546" t="str">
        <f t="shared" si="94"/>
        <v>0</v>
      </c>
      <c r="JS10" s="544"/>
      <c r="JT10" s="546" t="str">
        <f t="shared" si="95"/>
        <v>0</v>
      </c>
      <c r="JU10" s="546" t="str">
        <f t="shared" si="96"/>
        <v>0</v>
      </c>
      <c r="JV10" s="544"/>
      <c r="JW10" s="546" t="str">
        <f t="shared" si="97"/>
        <v>0</v>
      </c>
      <c r="JX10" s="546" t="str">
        <f t="shared" si="98"/>
        <v>0</v>
      </c>
      <c r="JY10" s="544"/>
      <c r="JZ10" s="546" t="str">
        <f t="shared" si="99"/>
        <v>0</v>
      </c>
      <c r="KA10" s="546" t="str">
        <f t="shared" si="100"/>
        <v>0</v>
      </c>
      <c r="KB10" s="544"/>
      <c r="KC10" s="546" t="str">
        <f t="shared" si="101"/>
        <v>0</v>
      </c>
      <c r="KD10" s="546" t="str">
        <f t="shared" si="102"/>
        <v>0</v>
      </c>
      <c r="KE10" s="544"/>
      <c r="KF10" s="546" t="str">
        <f t="shared" si="103"/>
        <v>0</v>
      </c>
      <c r="KG10" s="546" t="str">
        <f t="shared" si="104"/>
        <v>0</v>
      </c>
      <c r="KH10" s="544"/>
      <c r="KI10" s="546" t="str">
        <f t="shared" si="105"/>
        <v>0</v>
      </c>
      <c r="KJ10" s="546" t="str">
        <f t="shared" si="106"/>
        <v>0</v>
      </c>
      <c r="KK10" s="544"/>
      <c r="KL10" s="546" t="str">
        <f t="shared" si="107"/>
        <v>0</v>
      </c>
      <c r="KM10" s="546" t="str">
        <f t="shared" si="108"/>
        <v>0</v>
      </c>
      <c r="KN10" s="544"/>
      <c r="KO10" s="546" t="str">
        <f t="shared" si="109"/>
        <v>0</v>
      </c>
      <c r="KP10" s="546" t="str">
        <f t="shared" si="110"/>
        <v>0</v>
      </c>
      <c r="KQ10" s="546">
        <f t="shared" si="111"/>
        <v>0</v>
      </c>
      <c r="KR10" s="546">
        <f t="shared" ref="KR10:KR41" si="198">GF10+GI10+GL10+GO10+GR10+GU10+GX10+HA10+HD10+HG10+HJ10+HM10+HP10+HS10+HV10+HY10+IB10+IE10+IH10+IK10+IN10+IQ10+IT10+IW10+IZ10+JC10+JF10+JI10+JL10+JO10+JR10+JU10++JX10+KA10+KD10+KG10++KJ10+KM10+KP10</f>
        <v>0</v>
      </c>
      <c r="KS10" s="265">
        <f t="shared" ref="KS10:KS41" si="199">+F10+I10+L10+O10+R10+U10+X10+AA10+AD10+AG10+AJ10+AM10+AP10+AS10+AV10+AY10+BB10+BE10+BH10+BK10+BN10+BQ10+BT10+BW10+BZ10+CC10+CF10+CI10+CL10+CO10+CR10+CU10+CX10+DA10+DD10+DJ10+DM10+DP10+DS10+DV10+DY10+EB10+GG10+GJ10+GM10+GP10+GS10+HN10+IF10+IO10+GV10+IR10++HT10+HW10+HZ10+IC10+IX10+JG10+JJ10+HB10+EE10+GD10+EH10+JM10+JP10+JS10</f>
        <v>4452.0621194149207</v>
      </c>
    </row>
    <row r="11" spans="1:305" ht="15" customHeight="1">
      <c r="A11" s="267">
        <f t="shared" ref="A11:A39" si="200">+A10+1</f>
        <v>45719</v>
      </c>
      <c r="B11" s="268" t="str">
        <f>+Report1!B11</f>
        <v>Napkin</v>
      </c>
      <c r="C11" s="268" t="str">
        <f>+Report1!C11</f>
        <v>20/17,5</v>
      </c>
      <c r="D11" s="269">
        <f>+Report1!P11</f>
        <v>54.210999999999999</v>
      </c>
      <c r="E11" s="270">
        <f>+Report1!R11</f>
        <v>53.136000000000003</v>
      </c>
      <c r="F11" s="544">
        <v>0</v>
      </c>
      <c r="G11" s="545">
        <f t="shared" si="0"/>
        <v>0</v>
      </c>
      <c r="H11" s="546">
        <f t="shared" si="112"/>
        <v>0</v>
      </c>
      <c r="I11" s="544"/>
      <c r="J11" s="545">
        <f t="shared" si="1"/>
        <v>0</v>
      </c>
      <c r="K11" s="546">
        <f t="shared" si="113"/>
        <v>0</v>
      </c>
      <c r="L11" s="544"/>
      <c r="M11" s="545">
        <f t="shared" si="2"/>
        <v>0</v>
      </c>
      <c r="N11" s="546">
        <f t="shared" si="114"/>
        <v>0</v>
      </c>
      <c r="O11" s="544">
        <v>3</v>
      </c>
      <c r="P11" s="545">
        <f t="shared" si="3"/>
        <v>5.6458897922312554E-2</v>
      </c>
      <c r="Q11" s="546">
        <f t="shared" si="115"/>
        <v>0</v>
      </c>
      <c r="R11" s="544"/>
      <c r="S11" s="545">
        <f t="shared" si="4"/>
        <v>0</v>
      </c>
      <c r="T11" s="546">
        <f t="shared" si="116"/>
        <v>0</v>
      </c>
      <c r="U11" s="544">
        <v>12.812500000000028</v>
      </c>
      <c r="V11" s="545">
        <f t="shared" si="5"/>
        <v>0.24112654320987706</v>
      </c>
      <c r="W11" s="546">
        <f t="shared" si="117"/>
        <v>0</v>
      </c>
      <c r="X11" s="544"/>
      <c r="Y11" s="545">
        <f t="shared" si="6"/>
        <v>0</v>
      </c>
      <c r="Z11" s="546">
        <f t="shared" si="118"/>
        <v>0</v>
      </c>
      <c r="AA11" s="544"/>
      <c r="AB11" s="545">
        <f t="shared" si="7"/>
        <v>0</v>
      </c>
      <c r="AC11" s="546">
        <f t="shared" si="119"/>
        <v>0</v>
      </c>
      <c r="AD11" s="544"/>
      <c r="AE11" s="545">
        <f t="shared" si="8"/>
        <v>0</v>
      </c>
      <c r="AF11" s="546">
        <f t="shared" si="120"/>
        <v>0</v>
      </c>
      <c r="AG11" s="544"/>
      <c r="AH11" s="545">
        <f t="shared" si="9"/>
        <v>0</v>
      </c>
      <c r="AI11" s="546">
        <f t="shared" si="121"/>
        <v>0</v>
      </c>
      <c r="AJ11" s="544"/>
      <c r="AK11" s="545">
        <f t="shared" si="10"/>
        <v>0</v>
      </c>
      <c r="AL11" s="546">
        <f t="shared" si="122"/>
        <v>0</v>
      </c>
      <c r="AM11" s="544">
        <v>39.889600000000002</v>
      </c>
      <c r="AN11" s="545">
        <f t="shared" si="11"/>
        <v>0.75070761818729292</v>
      </c>
      <c r="AO11" s="546">
        <f t="shared" si="123"/>
        <v>0</v>
      </c>
      <c r="AP11" s="544"/>
      <c r="AQ11" s="545">
        <f t="shared" si="12"/>
        <v>0</v>
      </c>
      <c r="AR11" s="546">
        <f t="shared" si="124"/>
        <v>0</v>
      </c>
      <c r="AS11" s="544"/>
      <c r="AT11" s="545">
        <f t="shared" si="13"/>
        <v>0</v>
      </c>
      <c r="AU11" s="546">
        <f t="shared" si="125"/>
        <v>0</v>
      </c>
      <c r="AV11" s="544">
        <v>8.4159999999999684</v>
      </c>
      <c r="AW11" s="545">
        <f t="shared" si="14"/>
        <v>0.15838602830472689</v>
      </c>
      <c r="AX11" s="546">
        <f t="shared" si="126"/>
        <v>0</v>
      </c>
      <c r="AY11" s="544">
        <v>52.624000000000024</v>
      </c>
      <c r="AZ11" s="545">
        <f t="shared" si="15"/>
        <v>0.99036434808792573</v>
      </c>
      <c r="BA11" s="546">
        <f t="shared" si="127"/>
        <v>0</v>
      </c>
      <c r="BB11" s="544"/>
      <c r="BC11" s="545">
        <f t="shared" si="16"/>
        <v>0</v>
      </c>
      <c r="BD11" s="546">
        <f t="shared" si="128"/>
        <v>0</v>
      </c>
      <c r="BE11" s="544"/>
      <c r="BF11" s="545">
        <f t="shared" si="17"/>
        <v>0</v>
      </c>
      <c r="BG11" s="546">
        <f t="shared" si="129"/>
        <v>0</v>
      </c>
      <c r="BH11" s="544"/>
      <c r="BI11" s="545">
        <f t="shared" si="18"/>
        <v>0</v>
      </c>
      <c r="BJ11" s="546">
        <f t="shared" si="130"/>
        <v>0</v>
      </c>
      <c r="BK11" s="544"/>
      <c r="BL11" s="545">
        <f t="shared" si="19"/>
        <v>0</v>
      </c>
      <c r="BM11" s="546">
        <f t="shared" si="131"/>
        <v>0</v>
      </c>
      <c r="BN11" s="544"/>
      <c r="BO11" s="545">
        <f t="shared" si="20"/>
        <v>0</v>
      </c>
      <c r="BP11" s="546">
        <f t="shared" si="132"/>
        <v>0</v>
      </c>
      <c r="BQ11" s="544"/>
      <c r="BR11" s="545">
        <f t="shared" si="21"/>
        <v>0</v>
      </c>
      <c r="BS11" s="546">
        <f t="shared" si="133"/>
        <v>0</v>
      </c>
      <c r="BT11" s="544"/>
      <c r="BU11" s="545">
        <f t="shared" si="22"/>
        <v>0</v>
      </c>
      <c r="BV11" s="546">
        <f t="shared" si="134"/>
        <v>0</v>
      </c>
      <c r="BW11" s="544"/>
      <c r="BX11" s="545">
        <f t="shared" si="23"/>
        <v>0</v>
      </c>
      <c r="BY11" s="546">
        <f t="shared" si="135"/>
        <v>0</v>
      </c>
      <c r="BZ11" s="544">
        <v>0</v>
      </c>
      <c r="CA11" s="545">
        <f t="shared" si="24"/>
        <v>0</v>
      </c>
      <c r="CB11" s="546">
        <f t="shared" si="136"/>
        <v>0</v>
      </c>
      <c r="CC11" s="544">
        <v>0</v>
      </c>
      <c r="CD11" s="545">
        <f t="shared" si="25"/>
        <v>0</v>
      </c>
      <c r="CE11" s="546">
        <f t="shared" si="137"/>
        <v>0</v>
      </c>
      <c r="CF11" s="544">
        <v>2.3999999999999995</v>
      </c>
      <c r="CG11" s="545">
        <f t="shared" si="26"/>
        <v>4.5167118337850032E-2</v>
      </c>
      <c r="CH11" s="546">
        <f t="shared" si="138"/>
        <v>0</v>
      </c>
      <c r="CI11" s="544"/>
      <c r="CJ11" s="545">
        <f t="shared" si="27"/>
        <v>0</v>
      </c>
      <c r="CK11" s="546">
        <f t="shared" si="139"/>
        <v>0</v>
      </c>
      <c r="CL11" s="544"/>
      <c r="CM11" s="545">
        <f t="shared" si="28"/>
        <v>0</v>
      </c>
      <c r="CN11" s="546">
        <f t="shared" si="140"/>
        <v>0</v>
      </c>
      <c r="CO11" s="544"/>
      <c r="CP11" s="545">
        <f t="shared" si="29"/>
        <v>0</v>
      </c>
      <c r="CQ11" s="546">
        <f t="shared" si="141"/>
        <v>0</v>
      </c>
      <c r="CR11" s="544"/>
      <c r="CS11" s="545">
        <f t="shared" si="30"/>
        <v>0</v>
      </c>
      <c r="CT11" s="546">
        <f t="shared" si="142"/>
        <v>0</v>
      </c>
      <c r="CU11" s="544"/>
      <c r="CV11" s="545">
        <f t="shared" si="31"/>
        <v>0</v>
      </c>
      <c r="CW11" s="546">
        <f t="shared" si="143"/>
        <v>0</v>
      </c>
      <c r="CX11" s="544"/>
      <c r="CY11" s="545">
        <f t="shared" si="32"/>
        <v>0</v>
      </c>
      <c r="CZ11" s="546">
        <f t="shared" si="144"/>
        <v>0</v>
      </c>
      <c r="DA11" s="544">
        <v>255.10423529411764</v>
      </c>
      <c r="DB11" s="545">
        <f t="shared" si="33"/>
        <v>4.8009679933400635</v>
      </c>
      <c r="DC11" s="546">
        <f t="shared" si="145"/>
        <v>0</v>
      </c>
      <c r="DD11" s="544"/>
      <c r="DE11" s="545">
        <f t="shared" si="34"/>
        <v>0</v>
      </c>
      <c r="DF11" s="546">
        <f t="shared" si="146"/>
        <v>0</v>
      </c>
      <c r="DG11" s="544"/>
      <c r="DH11" s="545">
        <f t="shared" si="35"/>
        <v>0</v>
      </c>
      <c r="DI11" s="546">
        <v>0</v>
      </c>
      <c r="DJ11" s="544"/>
      <c r="DK11" s="545">
        <f t="shared" si="36"/>
        <v>0</v>
      </c>
      <c r="DL11" s="546">
        <f t="shared" si="147"/>
        <v>0</v>
      </c>
      <c r="DM11" s="544"/>
      <c r="DN11" s="545">
        <f t="shared" si="37"/>
        <v>0</v>
      </c>
      <c r="DO11" s="546">
        <f t="shared" si="148"/>
        <v>0</v>
      </c>
      <c r="DP11" s="544"/>
      <c r="DQ11" s="545">
        <f t="shared" si="38"/>
        <v>0</v>
      </c>
      <c r="DR11" s="546">
        <f t="shared" si="149"/>
        <v>0</v>
      </c>
      <c r="DS11" s="544"/>
      <c r="DT11" s="545">
        <f t="shared" si="39"/>
        <v>0</v>
      </c>
      <c r="DU11" s="546">
        <f t="shared" si="150"/>
        <v>0</v>
      </c>
      <c r="DV11" s="544"/>
      <c r="DW11" s="545">
        <f t="shared" si="40"/>
        <v>0</v>
      </c>
      <c r="DX11" s="546">
        <f t="shared" si="151"/>
        <v>0</v>
      </c>
      <c r="DY11" s="544"/>
      <c r="DZ11" s="545">
        <f t="shared" si="41"/>
        <v>0</v>
      </c>
      <c r="EA11" s="546">
        <f t="shared" si="152"/>
        <v>0</v>
      </c>
      <c r="EB11" s="544">
        <v>1009.8708000000001</v>
      </c>
      <c r="EC11" s="545">
        <f t="shared" si="42"/>
        <v>19.005397470641373</v>
      </c>
      <c r="ED11" s="546">
        <f t="shared" si="153"/>
        <v>0</v>
      </c>
      <c r="EE11" s="544">
        <v>0</v>
      </c>
      <c r="EF11" s="545">
        <f t="shared" si="43"/>
        <v>0</v>
      </c>
      <c r="EG11" s="546">
        <f t="shared" si="154"/>
        <v>0</v>
      </c>
      <c r="EH11" s="544">
        <v>0</v>
      </c>
      <c r="EI11" s="545">
        <f t="shared" si="44"/>
        <v>0</v>
      </c>
      <c r="EJ11" s="546">
        <f t="shared" si="155"/>
        <v>0</v>
      </c>
      <c r="EK11" s="544"/>
      <c r="EL11" s="545">
        <f t="shared" si="45"/>
        <v>0</v>
      </c>
      <c r="EM11" s="546">
        <f t="shared" si="156"/>
        <v>0</v>
      </c>
      <c r="EN11" s="544"/>
      <c r="EO11" s="545">
        <f t="shared" si="46"/>
        <v>0</v>
      </c>
      <c r="EP11" s="546">
        <f t="shared" si="157"/>
        <v>0</v>
      </c>
      <c r="EQ11" s="544"/>
      <c r="ER11" s="545">
        <f t="shared" si="47"/>
        <v>0</v>
      </c>
      <c r="ES11" s="546">
        <f t="shared" si="158"/>
        <v>0</v>
      </c>
      <c r="ET11" s="544"/>
      <c r="EU11" s="545">
        <f t="shared" si="48"/>
        <v>0</v>
      </c>
      <c r="EV11" s="546">
        <f t="shared" si="159"/>
        <v>0</v>
      </c>
      <c r="EW11" s="544"/>
      <c r="EX11" s="545">
        <f t="shared" si="49"/>
        <v>0</v>
      </c>
      <c r="EY11" s="546">
        <f t="shared" si="160"/>
        <v>0</v>
      </c>
      <c r="EZ11" s="544"/>
      <c r="FA11" s="545">
        <f t="shared" si="50"/>
        <v>0</v>
      </c>
      <c r="FB11" s="546">
        <f t="shared" si="161"/>
        <v>0</v>
      </c>
      <c r="FC11" s="544"/>
      <c r="FD11" s="545">
        <f t="shared" si="51"/>
        <v>0</v>
      </c>
      <c r="FE11" s="546">
        <f t="shared" si="162"/>
        <v>0</v>
      </c>
      <c r="FF11" s="544"/>
      <c r="FG11" s="545">
        <f t="shared" si="52"/>
        <v>0</v>
      </c>
      <c r="FH11" s="546">
        <f t="shared" si="163"/>
        <v>0</v>
      </c>
      <c r="FI11" s="544"/>
      <c r="FJ11" s="545">
        <f t="shared" si="53"/>
        <v>0</v>
      </c>
      <c r="FK11" s="546">
        <f t="shared" si="164"/>
        <v>0</v>
      </c>
      <c r="FL11" s="544"/>
      <c r="FM11" s="545">
        <f t="shared" si="54"/>
        <v>0</v>
      </c>
      <c r="FN11" s="546">
        <f t="shared" si="165"/>
        <v>0</v>
      </c>
      <c r="FO11" s="544"/>
      <c r="FP11" s="545">
        <f t="shared" si="55"/>
        <v>0</v>
      </c>
      <c r="FQ11" s="546">
        <f t="shared" si="166"/>
        <v>0</v>
      </c>
      <c r="FR11" s="544"/>
      <c r="FS11" s="545">
        <f t="shared" si="56"/>
        <v>0</v>
      </c>
      <c r="FT11" s="546">
        <f t="shared" si="167"/>
        <v>0</v>
      </c>
      <c r="FU11" s="544"/>
      <c r="FV11" s="545">
        <f t="shared" si="57"/>
        <v>0</v>
      </c>
      <c r="FW11" s="546">
        <f t="shared" si="168"/>
        <v>0</v>
      </c>
      <c r="FX11" s="544"/>
      <c r="FY11" s="545">
        <f t="shared" si="58"/>
        <v>0</v>
      </c>
      <c r="FZ11" s="546">
        <f t="shared" si="169"/>
        <v>0</v>
      </c>
      <c r="GA11" s="544"/>
      <c r="GB11" s="545">
        <f t="shared" si="59"/>
        <v>0</v>
      </c>
      <c r="GC11" s="546">
        <f t="shared" si="170"/>
        <v>0</v>
      </c>
      <c r="GD11" s="544"/>
      <c r="GE11" s="545">
        <f t="shared" si="60"/>
        <v>0</v>
      </c>
      <c r="GF11" s="546">
        <f t="shared" si="171"/>
        <v>0</v>
      </c>
      <c r="GG11" s="544">
        <v>5</v>
      </c>
      <c r="GH11" s="545">
        <f t="shared" si="61"/>
        <v>9.4098163203854251E-2</v>
      </c>
      <c r="GI11" s="546">
        <f t="shared" si="172"/>
        <v>0</v>
      </c>
      <c r="GJ11" s="544">
        <v>5</v>
      </c>
      <c r="GK11" s="545">
        <f t="shared" si="62"/>
        <v>9.4098163203854251E-2</v>
      </c>
      <c r="GL11" s="546">
        <f t="shared" si="173"/>
        <v>0</v>
      </c>
      <c r="GM11" s="544"/>
      <c r="GN11" s="545">
        <f t="shared" si="63"/>
        <v>0</v>
      </c>
      <c r="GO11" s="546">
        <f t="shared" si="174"/>
        <v>0</v>
      </c>
      <c r="GP11" s="544"/>
      <c r="GQ11" s="545">
        <f t="shared" si="64"/>
        <v>0</v>
      </c>
      <c r="GR11" s="546">
        <f t="shared" si="175"/>
        <v>0</v>
      </c>
      <c r="GS11" s="544"/>
      <c r="GT11" s="545">
        <f t="shared" si="65"/>
        <v>0</v>
      </c>
      <c r="GU11" s="546">
        <f t="shared" si="176"/>
        <v>0</v>
      </c>
      <c r="GV11" s="544"/>
      <c r="GW11" s="545">
        <f t="shared" si="66"/>
        <v>0</v>
      </c>
      <c r="GX11" s="546">
        <f t="shared" si="177"/>
        <v>0</v>
      </c>
      <c r="GY11" s="544"/>
      <c r="GZ11" s="545">
        <f t="shared" si="67"/>
        <v>0</v>
      </c>
      <c r="HA11" s="546">
        <f t="shared" si="178"/>
        <v>0</v>
      </c>
      <c r="HB11" s="544"/>
      <c r="HC11" s="545">
        <f t="shared" si="68"/>
        <v>0</v>
      </c>
      <c r="HD11" s="546">
        <f t="shared" si="179"/>
        <v>0</v>
      </c>
      <c r="HE11" s="544"/>
      <c r="HF11" s="545">
        <f t="shared" si="69"/>
        <v>0</v>
      </c>
      <c r="HG11" s="546">
        <f t="shared" si="180"/>
        <v>0</v>
      </c>
      <c r="HH11" s="544"/>
      <c r="HI11" s="545">
        <f t="shared" si="70"/>
        <v>0</v>
      </c>
      <c r="HJ11" s="546">
        <f t="shared" si="181"/>
        <v>0</v>
      </c>
      <c r="HK11" s="544"/>
      <c r="HL11" s="545">
        <f t="shared" si="71"/>
        <v>0</v>
      </c>
      <c r="HM11" s="546">
        <f t="shared" si="182"/>
        <v>0</v>
      </c>
      <c r="HN11" s="544">
        <v>2210</v>
      </c>
      <c r="HO11" s="545">
        <f t="shared" si="72"/>
        <v>41.591388136103582</v>
      </c>
      <c r="HP11" s="546">
        <f t="shared" si="183"/>
        <v>0</v>
      </c>
      <c r="HQ11" s="544"/>
      <c r="HR11" s="545">
        <f t="shared" si="73"/>
        <v>0</v>
      </c>
      <c r="HS11" s="546">
        <f t="shared" si="184"/>
        <v>0</v>
      </c>
      <c r="HT11" s="544">
        <v>45</v>
      </c>
      <c r="HU11" s="545">
        <f t="shared" si="74"/>
        <v>0.84688346883468835</v>
      </c>
      <c r="HV11" s="546">
        <f t="shared" si="185"/>
        <v>0</v>
      </c>
      <c r="HW11" s="544">
        <v>10</v>
      </c>
      <c r="HX11" s="545">
        <f t="shared" si="75"/>
        <v>0.1881963264077085</v>
      </c>
      <c r="HY11" s="546">
        <f t="shared" si="186"/>
        <v>0</v>
      </c>
      <c r="HZ11" s="544">
        <v>20</v>
      </c>
      <c r="IA11" s="545">
        <f t="shared" si="76"/>
        <v>0.37639265281541701</v>
      </c>
      <c r="IB11" s="546">
        <f t="shared" si="187"/>
        <v>0</v>
      </c>
      <c r="IC11" s="544">
        <v>25</v>
      </c>
      <c r="ID11" s="545">
        <f t="shared" si="77"/>
        <v>0.47049081601927129</v>
      </c>
      <c r="IE11" s="546">
        <f t="shared" si="188"/>
        <v>0</v>
      </c>
      <c r="IF11" s="544"/>
      <c r="IG11" s="545">
        <f t="shared" si="78"/>
        <v>0</v>
      </c>
      <c r="IH11" s="546">
        <f t="shared" si="189"/>
        <v>0</v>
      </c>
      <c r="II11" s="544"/>
      <c r="IJ11" s="545">
        <f t="shared" si="79"/>
        <v>0</v>
      </c>
      <c r="IK11" s="546">
        <f t="shared" si="190"/>
        <v>0</v>
      </c>
      <c r="IL11" s="544"/>
      <c r="IM11" s="545">
        <f t="shared" si="80"/>
        <v>0</v>
      </c>
      <c r="IN11" s="546">
        <f t="shared" si="191"/>
        <v>0</v>
      </c>
      <c r="IO11" s="544">
        <v>110</v>
      </c>
      <c r="IP11" s="545">
        <f t="shared" si="81"/>
        <v>2.0701595904847938</v>
      </c>
      <c r="IQ11" s="546">
        <f t="shared" si="192"/>
        <v>0</v>
      </c>
      <c r="IR11" s="544">
        <v>10</v>
      </c>
      <c r="IS11" s="545">
        <f t="shared" si="82"/>
        <v>0.1881963264077085</v>
      </c>
      <c r="IT11" s="546">
        <f t="shared" si="193"/>
        <v>0</v>
      </c>
      <c r="IU11" s="544"/>
      <c r="IV11" s="545">
        <f t="shared" si="83"/>
        <v>0</v>
      </c>
      <c r="IW11" s="546">
        <f t="shared" si="194"/>
        <v>0</v>
      </c>
      <c r="IX11" s="544">
        <v>5</v>
      </c>
      <c r="IY11" s="545">
        <f t="shared" si="84"/>
        <v>9.4098163203854251E-2</v>
      </c>
      <c r="IZ11" s="546">
        <f t="shared" si="195"/>
        <v>0</v>
      </c>
      <c r="JA11" s="544"/>
      <c r="JB11" s="545">
        <f t="shared" si="85"/>
        <v>0</v>
      </c>
      <c r="JC11" s="546">
        <f t="shared" si="196"/>
        <v>0</v>
      </c>
      <c r="JD11" s="544"/>
      <c r="JE11" s="545">
        <f t="shared" si="86"/>
        <v>0</v>
      </c>
      <c r="JF11" s="546">
        <f t="shared" si="197"/>
        <v>0</v>
      </c>
      <c r="JG11" s="544">
        <v>30</v>
      </c>
      <c r="JH11" s="546" t="str">
        <f t="shared" si="87"/>
        <v>0</v>
      </c>
      <c r="JI11" s="546" t="str">
        <f t="shared" si="88"/>
        <v>0</v>
      </c>
      <c r="JJ11" s="544">
        <v>40</v>
      </c>
      <c r="JK11" s="546" t="str">
        <f t="shared" si="89"/>
        <v>0</v>
      </c>
      <c r="JL11" s="546" t="str">
        <f t="shared" si="90"/>
        <v>0</v>
      </c>
      <c r="JM11" s="544"/>
      <c r="JN11" s="546" t="str">
        <f t="shared" si="91"/>
        <v>0</v>
      </c>
      <c r="JO11" s="546" t="str">
        <f t="shared" si="92"/>
        <v>0</v>
      </c>
      <c r="JP11" s="544"/>
      <c r="JQ11" s="546" t="str">
        <f t="shared" si="93"/>
        <v>0</v>
      </c>
      <c r="JR11" s="546" t="str">
        <f t="shared" si="94"/>
        <v>0</v>
      </c>
      <c r="JS11" s="544"/>
      <c r="JT11" s="546" t="str">
        <f t="shared" si="95"/>
        <v>0</v>
      </c>
      <c r="JU11" s="546" t="str">
        <f t="shared" si="96"/>
        <v>0</v>
      </c>
      <c r="JV11" s="544"/>
      <c r="JW11" s="546" t="str">
        <f t="shared" si="97"/>
        <v>0</v>
      </c>
      <c r="JX11" s="546" t="str">
        <f t="shared" si="98"/>
        <v>0</v>
      </c>
      <c r="JY11" s="544"/>
      <c r="JZ11" s="546" t="str">
        <f t="shared" si="99"/>
        <v>0</v>
      </c>
      <c r="KA11" s="546" t="str">
        <f t="shared" si="100"/>
        <v>0</v>
      </c>
      <c r="KB11" s="544"/>
      <c r="KC11" s="546" t="str">
        <f t="shared" si="101"/>
        <v>0</v>
      </c>
      <c r="KD11" s="546" t="str">
        <f t="shared" si="102"/>
        <v>0</v>
      </c>
      <c r="KE11" s="544"/>
      <c r="KF11" s="546" t="str">
        <f t="shared" si="103"/>
        <v>0</v>
      </c>
      <c r="KG11" s="546" t="str">
        <f t="shared" si="104"/>
        <v>0</v>
      </c>
      <c r="KH11" s="544"/>
      <c r="KI11" s="546" t="str">
        <f t="shared" si="105"/>
        <v>0</v>
      </c>
      <c r="KJ11" s="546" t="str">
        <f t="shared" si="106"/>
        <v>0</v>
      </c>
      <c r="KK11" s="544"/>
      <c r="KL11" s="546" t="str">
        <f t="shared" si="107"/>
        <v>0</v>
      </c>
      <c r="KM11" s="546" t="str">
        <f t="shared" si="108"/>
        <v>0</v>
      </c>
      <c r="KN11" s="544"/>
      <c r="KO11" s="546" t="str">
        <f t="shared" si="109"/>
        <v>0</v>
      </c>
      <c r="KP11" s="546" t="str">
        <f t="shared" si="110"/>
        <v>0</v>
      </c>
      <c r="KQ11" s="546">
        <f t="shared" si="111"/>
        <v>0</v>
      </c>
      <c r="KR11" s="546">
        <f t="shared" si="198"/>
        <v>0</v>
      </c>
      <c r="KS11" s="265">
        <f t="shared" si="199"/>
        <v>3899.1171352941178</v>
      </c>
    </row>
    <row r="12" spans="1:305" ht="15" customHeight="1">
      <c r="A12" s="267">
        <f t="shared" si="200"/>
        <v>45720</v>
      </c>
      <c r="B12" s="268" t="str">
        <f>+Report1!B12</f>
        <v>Napkin</v>
      </c>
      <c r="C12" s="268" t="str">
        <f>+Report1!C12</f>
        <v>17,5/16/15,5</v>
      </c>
      <c r="D12" s="269">
        <f>+Report1!P12</f>
        <v>48.460999999999999</v>
      </c>
      <c r="E12" s="270">
        <f>+Report1!R12</f>
        <v>42.997999999999998</v>
      </c>
      <c r="F12" s="544">
        <v>69.767441860465169</v>
      </c>
      <c r="G12" s="545">
        <f t="shared" si="0"/>
        <v>1.6225741164813521</v>
      </c>
      <c r="H12" s="546">
        <f t="shared" si="112"/>
        <v>0</v>
      </c>
      <c r="I12" s="544"/>
      <c r="J12" s="545">
        <f t="shared" si="1"/>
        <v>0</v>
      </c>
      <c r="K12" s="546">
        <f t="shared" si="113"/>
        <v>0</v>
      </c>
      <c r="L12" s="544"/>
      <c r="M12" s="545">
        <f t="shared" si="2"/>
        <v>0</v>
      </c>
      <c r="N12" s="546">
        <f t="shared" si="114"/>
        <v>0</v>
      </c>
      <c r="O12" s="544">
        <v>4.5</v>
      </c>
      <c r="P12" s="545">
        <f t="shared" si="3"/>
        <v>0.10465603051304713</v>
      </c>
      <c r="Q12" s="546">
        <f t="shared" si="115"/>
        <v>0</v>
      </c>
      <c r="R12" s="544"/>
      <c r="S12" s="545">
        <f t="shared" si="4"/>
        <v>0</v>
      </c>
      <c r="T12" s="546">
        <f t="shared" si="116"/>
        <v>0</v>
      </c>
      <c r="U12" s="544">
        <v>10.249999999999943</v>
      </c>
      <c r="V12" s="545">
        <f t="shared" si="5"/>
        <v>0.23838318061305047</v>
      </c>
      <c r="W12" s="546">
        <f t="shared" si="117"/>
        <v>0</v>
      </c>
      <c r="X12" s="544"/>
      <c r="Y12" s="545">
        <f t="shared" si="6"/>
        <v>0</v>
      </c>
      <c r="Z12" s="546">
        <f t="shared" si="118"/>
        <v>0</v>
      </c>
      <c r="AA12" s="544"/>
      <c r="AB12" s="545">
        <f t="shared" si="7"/>
        <v>0</v>
      </c>
      <c r="AC12" s="546">
        <f t="shared" si="119"/>
        <v>0</v>
      </c>
      <c r="AD12" s="544"/>
      <c r="AE12" s="545">
        <f t="shared" si="8"/>
        <v>0</v>
      </c>
      <c r="AF12" s="546">
        <f t="shared" si="120"/>
        <v>0</v>
      </c>
      <c r="AG12" s="544"/>
      <c r="AH12" s="545">
        <f t="shared" si="9"/>
        <v>0</v>
      </c>
      <c r="AI12" s="546">
        <f t="shared" si="121"/>
        <v>0</v>
      </c>
      <c r="AJ12" s="544"/>
      <c r="AK12" s="545">
        <f t="shared" si="10"/>
        <v>0</v>
      </c>
      <c r="AL12" s="546">
        <f t="shared" si="122"/>
        <v>0</v>
      </c>
      <c r="AM12" s="544">
        <v>26.283633333333341</v>
      </c>
      <c r="AN12" s="545">
        <f t="shared" si="11"/>
        <v>0.61127571825046145</v>
      </c>
      <c r="AO12" s="546">
        <f t="shared" si="123"/>
        <v>0</v>
      </c>
      <c r="AP12" s="544"/>
      <c r="AQ12" s="545">
        <f t="shared" si="12"/>
        <v>0</v>
      </c>
      <c r="AR12" s="546">
        <f t="shared" si="124"/>
        <v>0</v>
      </c>
      <c r="AS12" s="544"/>
      <c r="AT12" s="545">
        <f t="shared" si="13"/>
        <v>0</v>
      </c>
      <c r="AU12" s="546">
        <f t="shared" si="125"/>
        <v>0</v>
      </c>
      <c r="AV12" s="544">
        <v>8.3250000000000171</v>
      </c>
      <c r="AW12" s="545">
        <f t="shared" si="14"/>
        <v>0.19361365644913758</v>
      </c>
      <c r="AX12" s="546">
        <f t="shared" si="126"/>
        <v>0</v>
      </c>
      <c r="AY12" s="544">
        <v>62.997200000000049</v>
      </c>
      <c r="AZ12" s="545">
        <f t="shared" si="15"/>
        <v>1.4651193078747862</v>
      </c>
      <c r="BA12" s="546">
        <f t="shared" si="127"/>
        <v>0</v>
      </c>
      <c r="BB12" s="544"/>
      <c r="BC12" s="545">
        <f t="shared" si="16"/>
        <v>0</v>
      </c>
      <c r="BD12" s="546">
        <f t="shared" si="128"/>
        <v>0</v>
      </c>
      <c r="BE12" s="544"/>
      <c r="BF12" s="545">
        <f t="shared" si="17"/>
        <v>0</v>
      </c>
      <c r="BG12" s="546">
        <f t="shared" si="129"/>
        <v>0</v>
      </c>
      <c r="BH12" s="544"/>
      <c r="BI12" s="545">
        <f t="shared" si="18"/>
        <v>0</v>
      </c>
      <c r="BJ12" s="546">
        <f t="shared" si="130"/>
        <v>0</v>
      </c>
      <c r="BK12" s="544"/>
      <c r="BL12" s="545">
        <f t="shared" si="19"/>
        <v>0</v>
      </c>
      <c r="BM12" s="546">
        <f t="shared" si="131"/>
        <v>0</v>
      </c>
      <c r="BN12" s="544"/>
      <c r="BO12" s="545">
        <f t="shared" si="20"/>
        <v>0</v>
      </c>
      <c r="BP12" s="546">
        <f t="shared" si="132"/>
        <v>0</v>
      </c>
      <c r="BQ12" s="544"/>
      <c r="BR12" s="545">
        <f t="shared" si="21"/>
        <v>0</v>
      </c>
      <c r="BS12" s="546">
        <f t="shared" si="133"/>
        <v>0</v>
      </c>
      <c r="BT12" s="544"/>
      <c r="BU12" s="545">
        <f t="shared" si="22"/>
        <v>0</v>
      </c>
      <c r="BV12" s="546">
        <f t="shared" si="134"/>
        <v>0</v>
      </c>
      <c r="BW12" s="544"/>
      <c r="BX12" s="545">
        <f t="shared" si="23"/>
        <v>0</v>
      </c>
      <c r="BY12" s="546">
        <f t="shared" si="135"/>
        <v>0</v>
      </c>
      <c r="BZ12" s="544">
        <v>0</v>
      </c>
      <c r="CA12" s="545">
        <f t="shared" si="24"/>
        <v>0</v>
      </c>
      <c r="CB12" s="546">
        <f t="shared" si="136"/>
        <v>0</v>
      </c>
      <c r="CC12" s="544">
        <v>0</v>
      </c>
      <c r="CD12" s="545">
        <f t="shared" si="25"/>
        <v>0</v>
      </c>
      <c r="CE12" s="546">
        <f t="shared" si="137"/>
        <v>0</v>
      </c>
      <c r="CF12" s="544">
        <v>2.4000000000000021</v>
      </c>
      <c r="CG12" s="545">
        <f t="shared" si="26"/>
        <v>5.5816549606958518E-2</v>
      </c>
      <c r="CH12" s="546">
        <f t="shared" si="138"/>
        <v>0</v>
      </c>
      <c r="CI12" s="544"/>
      <c r="CJ12" s="545">
        <f t="shared" si="27"/>
        <v>0</v>
      </c>
      <c r="CK12" s="546">
        <f t="shared" si="139"/>
        <v>0</v>
      </c>
      <c r="CL12" s="544"/>
      <c r="CM12" s="545">
        <f t="shared" si="28"/>
        <v>0</v>
      </c>
      <c r="CN12" s="546">
        <f t="shared" si="140"/>
        <v>0</v>
      </c>
      <c r="CO12" s="544"/>
      <c r="CP12" s="545">
        <f t="shared" si="29"/>
        <v>0</v>
      </c>
      <c r="CQ12" s="546">
        <f t="shared" si="141"/>
        <v>0</v>
      </c>
      <c r="CR12" s="544"/>
      <c r="CS12" s="545">
        <f t="shared" si="30"/>
        <v>0</v>
      </c>
      <c r="CT12" s="546">
        <f t="shared" si="142"/>
        <v>0</v>
      </c>
      <c r="CU12" s="544"/>
      <c r="CV12" s="545">
        <f t="shared" si="31"/>
        <v>0</v>
      </c>
      <c r="CW12" s="546">
        <f t="shared" si="143"/>
        <v>0</v>
      </c>
      <c r="CX12" s="544"/>
      <c r="CY12" s="545">
        <f t="shared" si="32"/>
        <v>0</v>
      </c>
      <c r="CZ12" s="546">
        <f t="shared" si="144"/>
        <v>0</v>
      </c>
      <c r="DA12" s="544">
        <v>161.76470588235293</v>
      </c>
      <c r="DB12" s="545">
        <f t="shared" si="33"/>
        <v>3.7621448877239159</v>
      </c>
      <c r="DC12" s="546">
        <f t="shared" si="145"/>
        <v>0</v>
      </c>
      <c r="DD12" s="544"/>
      <c r="DE12" s="545">
        <f t="shared" si="34"/>
        <v>0</v>
      </c>
      <c r="DF12" s="546">
        <f t="shared" si="146"/>
        <v>0</v>
      </c>
      <c r="DG12" s="544"/>
      <c r="DH12" s="545">
        <f t="shared" si="35"/>
        <v>0</v>
      </c>
      <c r="DI12" s="546">
        <v>0</v>
      </c>
      <c r="DJ12" s="544"/>
      <c r="DK12" s="545">
        <f t="shared" si="36"/>
        <v>0</v>
      </c>
      <c r="DL12" s="546">
        <f t="shared" si="147"/>
        <v>0</v>
      </c>
      <c r="DM12" s="544"/>
      <c r="DN12" s="545">
        <f t="shared" si="37"/>
        <v>0</v>
      </c>
      <c r="DO12" s="546">
        <f t="shared" si="148"/>
        <v>0</v>
      </c>
      <c r="DP12" s="544"/>
      <c r="DQ12" s="545">
        <f t="shared" si="38"/>
        <v>0</v>
      </c>
      <c r="DR12" s="546">
        <f t="shared" si="149"/>
        <v>0</v>
      </c>
      <c r="DS12" s="544"/>
      <c r="DT12" s="545">
        <f t="shared" si="39"/>
        <v>0</v>
      </c>
      <c r="DU12" s="546">
        <f t="shared" si="150"/>
        <v>0</v>
      </c>
      <c r="DV12" s="544"/>
      <c r="DW12" s="545">
        <f t="shared" si="40"/>
        <v>0</v>
      </c>
      <c r="DX12" s="546">
        <f t="shared" si="151"/>
        <v>0</v>
      </c>
      <c r="DY12" s="544"/>
      <c r="DZ12" s="545">
        <f t="shared" si="41"/>
        <v>0</v>
      </c>
      <c r="EA12" s="546">
        <f t="shared" si="152"/>
        <v>0</v>
      </c>
      <c r="EB12" s="544">
        <v>800</v>
      </c>
      <c r="EC12" s="545">
        <f t="shared" si="42"/>
        <v>18.605516535652821</v>
      </c>
      <c r="ED12" s="546">
        <f t="shared" si="153"/>
        <v>0</v>
      </c>
      <c r="EE12" s="544">
        <v>11.860465116279045</v>
      </c>
      <c r="EF12" s="545">
        <f t="shared" si="43"/>
        <v>0.27583759980182904</v>
      </c>
      <c r="EG12" s="546">
        <f t="shared" si="154"/>
        <v>0</v>
      </c>
      <c r="EH12" s="544">
        <v>0</v>
      </c>
      <c r="EI12" s="545">
        <f t="shared" si="44"/>
        <v>0</v>
      </c>
      <c r="EJ12" s="546">
        <f t="shared" si="155"/>
        <v>0</v>
      </c>
      <c r="EK12" s="544"/>
      <c r="EL12" s="545">
        <f t="shared" si="45"/>
        <v>0</v>
      </c>
      <c r="EM12" s="546">
        <f t="shared" si="156"/>
        <v>0</v>
      </c>
      <c r="EN12" s="544"/>
      <c r="EO12" s="545">
        <f t="shared" si="46"/>
        <v>0</v>
      </c>
      <c r="EP12" s="546">
        <f t="shared" si="157"/>
        <v>0</v>
      </c>
      <c r="EQ12" s="544"/>
      <c r="ER12" s="545">
        <f t="shared" si="47"/>
        <v>0</v>
      </c>
      <c r="ES12" s="546">
        <f t="shared" si="158"/>
        <v>0</v>
      </c>
      <c r="ET12" s="544"/>
      <c r="EU12" s="545">
        <f t="shared" si="48"/>
        <v>0</v>
      </c>
      <c r="EV12" s="546">
        <f t="shared" si="159"/>
        <v>0</v>
      </c>
      <c r="EW12" s="544"/>
      <c r="EX12" s="545">
        <f t="shared" si="49"/>
        <v>0</v>
      </c>
      <c r="EY12" s="546">
        <f t="shared" si="160"/>
        <v>0</v>
      </c>
      <c r="EZ12" s="544"/>
      <c r="FA12" s="545">
        <f t="shared" si="50"/>
        <v>0</v>
      </c>
      <c r="FB12" s="546">
        <f t="shared" si="161"/>
        <v>0</v>
      </c>
      <c r="FC12" s="544"/>
      <c r="FD12" s="545">
        <f t="shared" si="51"/>
        <v>0</v>
      </c>
      <c r="FE12" s="546">
        <f t="shared" si="162"/>
        <v>0</v>
      </c>
      <c r="FF12" s="544"/>
      <c r="FG12" s="545">
        <f t="shared" si="52"/>
        <v>0</v>
      </c>
      <c r="FH12" s="546">
        <f t="shared" si="163"/>
        <v>0</v>
      </c>
      <c r="FI12" s="544"/>
      <c r="FJ12" s="545">
        <f t="shared" si="53"/>
        <v>0</v>
      </c>
      <c r="FK12" s="546">
        <f t="shared" si="164"/>
        <v>0</v>
      </c>
      <c r="FL12" s="544"/>
      <c r="FM12" s="545">
        <f t="shared" si="54"/>
        <v>0</v>
      </c>
      <c r="FN12" s="546">
        <f t="shared" si="165"/>
        <v>0</v>
      </c>
      <c r="FO12" s="544"/>
      <c r="FP12" s="545">
        <f t="shared" si="55"/>
        <v>0</v>
      </c>
      <c r="FQ12" s="546">
        <f t="shared" si="166"/>
        <v>0</v>
      </c>
      <c r="FR12" s="544"/>
      <c r="FS12" s="545">
        <f t="shared" si="56"/>
        <v>0</v>
      </c>
      <c r="FT12" s="546">
        <f t="shared" si="167"/>
        <v>0</v>
      </c>
      <c r="FU12" s="544"/>
      <c r="FV12" s="545">
        <f t="shared" si="57"/>
        <v>0</v>
      </c>
      <c r="FW12" s="546">
        <f t="shared" si="168"/>
        <v>0</v>
      </c>
      <c r="FX12" s="544"/>
      <c r="FY12" s="545">
        <f t="shared" si="58"/>
        <v>0</v>
      </c>
      <c r="FZ12" s="546">
        <f t="shared" si="169"/>
        <v>0</v>
      </c>
      <c r="GA12" s="544"/>
      <c r="GB12" s="545">
        <f t="shared" si="59"/>
        <v>0</v>
      </c>
      <c r="GC12" s="546">
        <f t="shared" si="170"/>
        <v>0</v>
      </c>
      <c r="GD12" s="544"/>
      <c r="GE12" s="545">
        <f t="shared" si="60"/>
        <v>0</v>
      </c>
      <c r="GF12" s="546">
        <f t="shared" si="171"/>
        <v>0</v>
      </c>
      <c r="GG12" s="544">
        <v>5</v>
      </c>
      <c r="GH12" s="545">
        <f t="shared" si="61"/>
        <v>0.11628447834783014</v>
      </c>
      <c r="GI12" s="546">
        <f t="shared" si="172"/>
        <v>0</v>
      </c>
      <c r="GJ12" s="544">
        <v>5</v>
      </c>
      <c r="GK12" s="545">
        <f t="shared" si="62"/>
        <v>0.11628447834783014</v>
      </c>
      <c r="GL12" s="546">
        <f t="shared" si="173"/>
        <v>0</v>
      </c>
      <c r="GM12" s="544"/>
      <c r="GN12" s="545">
        <f t="shared" si="63"/>
        <v>0</v>
      </c>
      <c r="GO12" s="546">
        <f t="shared" si="174"/>
        <v>0</v>
      </c>
      <c r="GP12" s="544"/>
      <c r="GQ12" s="545">
        <f t="shared" si="64"/>
        <v>0</v>
      </c>
      <c r="GR12" s="546">
        <f t="shared" si="175"/>
        <v>0</v>
      </c>
      <c r="GS12" s="544"/>
      <c r="GT12" s="545">
        <f t="shared" si="65"/>
        <v>0</v>
      </c>
      <c r="GU12" s="546">
        <f t="shared" si="176"/>
        <v>0</v>
      </c>
      <c r="GV12" s="544"/>
      <c r="GW12" s="545">
        <f t="shared" si="66"/>
        <v>0</v>
      </c>
      <c r="GX12" s="546">
        <f t="shared" si="177"/>
        <v>0</v>
      </c>
      <c r="GY12" s="544"/>
      <c r="GZ12" s="545">
        <f t="shared" si="67"/>
        <v>0</v>
      </c>
      <c r="HA12" s="546">
        <f t="shared" si="178"/>
        <v>0</v>
      </c>
      <c r="HB12" s="544"/>
      <c r="HC12" s="545">
        <f t="shared" si="68"/>
        <v>0</v>
      </c>
      <c r="HD12" s="546">
        <f t="shared" si="179"/>
        <v>0</v>
      </c>
      <c r="HE12" s="544"/>
      <c r="HF12" s="545">
        <f t="shared" si="69"/>
        <v>0</v>
      </c>
      <c r="HG12" s="546">
        <f t="shared" si="180"/>
        <v>0</v>
      </c>
      <c r="HH12" s="544"/>
      <c r="HI12" s="545">
        <f t="shared" si="70"/>
        <v>0</v>
      </c>
      <c r="HJ12" s="546">
        <f t="shared" si="181"/>
        <v>0</v>
      </c>
      <c r="HK12" s="544"/>
      <c r="HL12" s="545">
        <f t="shared" si="71"/>
        <v>0</v>
      </c>
      <c r="HM12" s="546">
        <f t="shared" si="182"/>
        <v>0</v>
      </c>
      <c r="HN12" s="544">
        <v>2086</v>
      </c>
      <c r="HO12" s="545">
        <f t="shared" si="72"/>
        <v>48.513884366714734</v>
      </c>
      <c r="HP12" s="546">
        <f t="shared" si="183"/>
        <v>0</v>
      </c>
      <c r="HQ12" s="544"/>
      <c r="HR12" s="545">
        <f t="shared" si="73"/>
        <v>0</v>
      </c>
      <c r="HS12" s="546">
        <f t="shared" si="184"/>
        <v>0</v>
      </c>
      <c r="HT12" s="544">
        <v>60</v>
      </c>
      <c r="HU12" s="545">
        <f t="shared" si="74"/>
        <v>1.3954137401739617</v>
      </c>
      <c r="HV12" s="546">
        <f t="shared" si="185"/>
        <v>0</v>
      </c>
      <c r="HW12" s="544">
        <v>10</v>
      </c>
      <c r="HX12" s="545">
        <f t="shared" si="75"/>
        <v>0.23256895669566027</v>
      </c>
      <c r="HY12" s="546">
        <f t="shared" si="186"/>
        <v>0</v>
      </c>
      <c r="HZ12" s="544">
        <v>25</v>
      </c>
      <c r="IA12" s="545">
        <f t="shared" si="76"/>
        <v>0.58142239173915067</v>
      </c>
      <c r="IB12" s="546">
        <f t="shared" si="187"/>
        <v>0</v>
      </c>
      <c r="IC12" s="544">
        <v>20</v>
      </c>
      <c r="ID12" s="545">
        <f t="shared" si="77"/>
        <v>0.46513791339132055</v>
      </c>
      <c r="IE12" s="546">
        <f t="shared" si="188"/>
        <v>0</v>
      </c>
      <c r="IF12" s="544"/>
      <c r="IG12" s="545">
        <f t="shared" si="78"/>
        <v>0</v>
      </c>
      <c r="IH12" s="546">
        <f t="shared" si="189"/>
        <v>0</v>
      </c>
      <c r="II12" s="544"/>
      <c r="IJ12" s="545">
        <f t="shared" si="79"/>
        <v>0</v>
      </c>
      <c r="IK12" s="546">
        <f t="shared" si="190"/>
        <v>0</v>
      </c>
      <c r="IL12" s="544"/>
      <c r="IM12" s="545">
        <f t="shared" si="80"/>
        <v>0</v>
      </c>
      <c r="IN12" s="546">
        <f t="shared" si="191"/>
        <v>0</v>
      </c>
      <c r="IO12" s="544">
        <v>50</v>
      </c>
      <c r="IP12" s="545">
        <f t="shared" si="81"/>
        <v>1.1628447834783013</v>
      </c>
      <c r="IQ12" s="546">
        <f t="shared" si="192"/>
        <v>0</v>
      </c>
      <c r="IR12" s="544">
        <v>5</v>
      </c>
      <c r="IS12" s="545">
        <f t="shared" si="82"/>
        <v>0.11628447834783014</v>
      </c>
      <c r="IT12" s="546">
        <f t="shared" si="193"/>
        <v>0</v>
      </c>
      <c r="IU12" s="544"/>
      <c r="IV12" s="545">
        <f t="shared" si="83"/>
        <v>0</v>
      </c>
      <c r="IW12" s="546">
        <f t="shared" si="194"/>
        <v>0</v>
      </c>
      <c r="IX12" s="544">
        <v>5</v>
      </c>
      <c r="IY12" s="545">
        <f t="shared" si="84"/>
        <v>0.11628447834783014</v>
      </c>
      <c r="IZ12" s="546">
        <f t="shared" si="195"/>
        <v>0</v>
      </c>
      <c r="JA12" s="544"/>
      <c r="JB12" s="545">
        <f t="shared" si="85"/>
        <v>0</v>
      </c>
      <c r="JC12" s="546">
        <f t="shared" si="196"/>
        <v>0</v>
      </c>
      <c r="JD12" s="544"/>
      <c r="JE12" s="545">
        <f t="shared" si="86"/>
        <v>0</v>
      </c>
      <c r="JF12" s="546">
        <f t="shared" si="197"/>
        <v>0</v>
      </c>
      <c r="JG12" s="544">
        <v>15</v>
      </c>
      <c r="JH12" s="546" t="str">
        <f t="shared" si="87"/>
        <v>0</v>
      </c>
      <c r="JI12" s="546" t="str">
        <f t="shared" si="88"/>
        <v>0</v>
      </c>
      <c r="JJ12" s="544">
        <v>35</v>
      </c>
      <c r="JK12" s="546" t="str">
        <f t="shared" si="89"/>
        <v>0</v>
      </c>
      <c r="JL12" s="546" t="str">
        <f t="shared" si="90"/>
        <v>0</v>
      </c>
      <c r="JM12" s="544"/>
      <c r="JN12" s="546" t="str">
        <f t="shared" si="91"/>
        <v>0</v>
      </c>
      <c r="JO12" s="546" t="str">
        <f t="shared" si="92"/>
        <v>0</v>
      </c>
      <c r="JP12" s="544"/>
      <c r="JQ12" s="546" t="str">
        <f t="shared" si="93"/>
        <v>0</v>
      </c>
      <c r="JR12" s="546" t="str">
        <f t="shared" si="94"/>
        <v>0</v>
      </c>
      <c r="JS12" s="544"/>
      <c r="JT12" s="546" t="str">
        <f t="shared" si="95"/>
        <v>0</v>
      </c>
      <c r="JU12" s="546" t="str">
        <f t="shared" si="96"/>
        <v>0</v>
      </c>
      <c r="JV12" s="544"/>
      <c r="JW12" s="546" t="str">
        <f t="shared" si="97"/>
        <v>0</v>
      </c>
      <c r="JX12" s="546" t="str">
        <f t="shared" si="98"/>
        <v>0</v>
      </c>
      <c r="JY12" s="544"/>
      <c r="JZ12" s="546" t="str">
        <f t="shared" si="99"/>
        <v>0</v>
      </c>
      <c r="KA12" s="546" t="str">
        <f t="shared" si="100"/>
        <v>0</v>
      </c>
      <c r="KB12" s="544"/>
      <c r="KC12" s="546" t="str">
        <f t="shared" si="101"/>
        <v>0</v>
      </c>
      <c r="KD12" s="546" t="str">
        <f t="shared" si="102"/>
        <v>0</v>
      </c>
      <c r="KE12" s="544"/>
      <c r="KF12" s="546" t="str">
        <f t="shared" si="103"/>
        <v>0</v>
      </c>
      <c r="KG12" s="546" t="str">
        <f t="shared" si="104"/>
        <v>0</v>
      </c>
      <c r="KH12" s="544"/>
      <c r="KI12" s="546" t="str">
        <f t="shared" si="105"/>
        <v>0</v>
      </c>
      <c r="KJ12" s="546" t="str">
        <f t="shared" si="106"/>
        <v>0</v>
      </c>
      <c r="KK12" s="544"/>
      <c r="KL12" s="546" t="str">
        <f t="shared" si="107"/>
        <v>0</v>
      </c>
      <c r="KM12" s="546" t="str">
        <f t="shared" si="108"/>
        <v>0</v>
      </c>
      <c r="KN12" s="544"/>
      <c r="KO12" s="546" t="str">
        <f t="shared" si="109"/>
        <v>0</v>
      </c>
      <c r="KP12" s="546" t="str">
        <f t="shared" si="110"/>
        <v>0</v>
      </c>
      <c r="KQ12" s="546">
        <f t="shared" si="111"/>
        <v>0</v>
      </c>
      <c r="KR12" s="546">
        <f t="shared" si="198"/>
        <v>0</v>
      </c>
      <c r="KS12" s="265">
        <f t="shared" si="199"/>
        <v>3479.1484461924306</v>
      </c>
    </row>
    <row r="13" spans="1:305" ht="15" customHeight="1">
      <c r="A13" s="267">
        <f t="shared" si="200"/>
        <v>45721</v>
      </c>
      <c r="B13" s="268" t="str">
        <f>+Report1!B13</f>
        <v>Napkin</v>
      </c>
      <c r="C13" s="268" t="str">
        <f>+Report1!C13</f>
        <v>16/17</v>
      </c>
      <c r="D13" s="269">
        <f>+Report1!P13</f>
        <v>1.7759999999999998</v>
      </c>
      <c r="E13" s="270">
        <f>+Report1!R13</f>
        <v>2.3740000000000001</v>
      </c>
      <c r="F13" s="544">
        <v>0</v>
      </c>
      <c r="G13" s="545">
        <f t="shared" si="0"/>
        <v>0</v>
      </c>
      <c r="H13" s="546">
        <f t="shared" si="112"/>
        <v>0</v>
      </c>
      <c r="I13" s="544"/>
      <c r="J13" s="545">
        <f t="shared" si="1"/>
        <v>0</v>
      </c>
      <c r="K13" s="546">
        <f t="shared" si="113"/>
        <v>0</v>
      </c>
      <c r="L13" s="544"/>
      <c r="M13" s="545">
        <f t="shared" si="2"/>
        <v>0</v>
      </c>
      <c r="N13" s="546">
        <f t="shared" si="114"/>
        <v>0</v>
      </c>
      <c r="O13" s="544">
        <v>0</v>
      </c>
      <c r="P13" s="545">
        <f t="shared" si="3"/>
        <v>0</v>
      </c>
      <c r="Q13" s="546">
        <f t="shared" si="115"/>
        <v>0</v>
      </c>
      <c r="R13" s="544"/>
      <c r="S13" s="545">
        <f t="shared" si="4"/>
        <v>0</v>
      </c>
      <c r="T13" s="546">
        <f t="shared" si="116"/>
        <v>0</v>
      </c>
      <c r="U13" s="544">
        <v>0</v>
      </c>
      <c r="V13" s="545">
        <f t="shared" si="5"/>
        <v>0</v>
      </c>
      <c r="W13" s="546">
        <f t="shared" si="117"/>
        <v>0</v>
      </c>
      <c r="X13" s="544"/>
      <c r="Y13" s="545">
        <f t="shared" si="6"/>
        <v>0</v>
      </c>
      <c r="Z13" s="546">
        <f t="shared" si="118"/>
        <v>0</v>
      </c>
      <c r="AA13" s="544"/>
      <c r="AB13" s="545">
        <f t="shared" si="7"/>
        <v>0</v>
      </c>
      <c r="AC13" s="546">
        <f t="shared" si="119"/>
        <v>0</v>
      </c>
      <c r="AD13" s="544"/>
      <c r="AE13" s="545">
        <f t="shared" si="8"/>
        <v>0</v>
      </c>
      <c r="AF13" s="546">
        <f t="shared" si="120"/>
        <v>0</v>
      </c>
      <c r="AG13" s="544"/>
      <c r="AH13" s="545">
        <f t="shared" si="9"/>
        <v>0</v>
      </c>
      <c r="AI13" s="546">
        <f t="shared" si="121"/>
        <v>0</v>
      </c>
      <c r="AJ13" s="544"/>
      <c r="AK13" s="545">
        <f t="shared" si="10"/>
        <v>0</v>
      </c>
      <c r="AL13" s="546">
        <f t="shared" si="122"/>
        <v>0</v>
      </c>
      <c r="AM13" s="544">
        <v>0</v>
      </c>
      <c r="AN13" s="545">
        <f t="shared" si="11"/>
        <v>0</v>
      </c>
      <c r="AO13" s="546">
        <f t="shared" si="123"/>
        <v>0</v>
      </c>
      <c r="AP13" s="544"/>
      <c r="AQ13" s="545">
        <f t="shared" si="12"/>
        <v>0</v>
      </c>
      <c r="AR13" s="546">
        <f t="shared" si="124"/>
        <v>0</v>
      </c>
      <c r="AS13" s="544"/>
      <c r="AT13" s="545">
        <f t="shared" si="13"/>
        <v>0</v>
      </c>
      <c r="AU13" s="546">
        <f t="shared" si="125"/>
        <v>0</v>
      </c>
      <c r="AV13" s="544">
        <v>0</v>
      </c>
      <c r="AW13" s="545">
        <f t="shared" si="14"/>
        <v>0</v>
      </c>
      <c r="AX13" s="546">
        <f t="shared" si="126"/>
        <v>0</v>
      </c>
      <c r="AY13" s="544">
        <v>0</v>
      </c>
      <c r="AZ13" s="545">
        <f t="shared" si="15"/>
        <v>0</v>
      </c>
      <c r="BA13" s="546">
        <f t="shared" si="127"/>
        <v>0</v>
      </c>
      <c r="BB13" s="544"/>
      <c r="BC13" s="545">
        <f t="shared" si="16"/>
        <v>0</v>
      </c>
      <c r="BD13" s="546">
        <f t="shared" si="128"/>
        <v>0</v>
      </c>
      <c r="BE13" s="544"/>
      <c r="BF13" s="545">
        <f t="shared" si="17"/>
        <v>0</v>
      </c>
      <c r="BG13" s="546">
        <f t="shared" si="129"/>
        <v>0</v>
      </c>
      <c r="BH13" s="544"/>
      <c r="BI13" s="545">
        <f t="shared" si="18"/>
        <v>0</v>
      </c>
      <c r="BJ13" s="546">
        <f t="shared" si="130"/>
        <v>0</v>
      </c>
      <c r="BK13" s="544"/>
      <c r="BL13" s="545">
        <f t="shared" si="19"/>
        <v>0</v>
      </c>
      <c r="BM13" s="546">
        <f t="shared" si="131"/>
        <v>0</v>
      </c>
      <c r="BN13" s="544"/>
      <c r="BO13" s="545">
        <f t="shared" si="20"/>
        <v>0</v>
      </c>
      <c r="BP13" s="546">
        <f t="shared" si="132"/>
        <v>0</v>
      </c>
      <c r="BQ13" s="544"/>
      <c r="BR13" s="545">
        <f t="shared" si="21"/>
        <v>0</v>
      </c>
      <c r="BS13" s="546">
        <f t="shared" si="133"/>
        <v>0</v>
      </c>
      <c r="BT13" s="544"/>
      <c r="BU13" s="545">
        <f t="shared" si="22"/>
        <v>0</v>
      </c>
      <c r="BV13" s="546">
        <f t="shared" si="134"/>
        <v>0</v>
      </c>
      <c r="BW13" s="544"/>
      <c r="BX13" s="545">
        <f t="shared" si="23"/>
        <v>0</v>
      </c>
      <c r="BY13" s="546">
        <f t="shared" si="135"/>
        <v>0</v>
      </c>
      <c r="BZ13" s="544">
        <v>1550</v>
      </c>
      <c r="CA13" s="545">
        <f t="shared" si="24"/>
        <v>652.90648694187018</v>
      </c>
      <c r="CB13" s="546">
        <f t="shared" si="136"/>
        <v>0</v>
      </c>
      <c r="CC13" s="544">
        <v>0</v>
      </c>
      <c r="CD13" s="545">
        <f t="shared" si="25"/>
        <v>0</v>
      </c>
      <c r="CE13" s="546">
        <f t="shared" si="137"/>
        <v>0</v>
      </c>
      <c r="CF13" s="544">
        <v>0</v>
      </c>
      <c r="CG13" s="545">
        <f t="shared" si="26"/>
        <v>0</v>
      </c>
      <c r="CH13" s="546">
        <f t="shared" si="138"/>
        <v>0</v>
      </c>
      <c r="CI13" s="544"/>
      <c r="CJ13" s="545">
        <f t="shared" si="27"/>
        <v>0</v>
      </c>
      <c r="CK13" s="546">
        <f t="shared" si="139"/>
        <v>0</v>
      </c>
      <c r="CL13" s="544"/>
      <c r="CM13" s="545">
        <f t="shared" si="28"/>
        <v>0</v>
      </c>
      <c r="CN13" s="546">
        <f t="shared" si="140"/>
        <v>0</v>
      </c>
      <c r="CO13" s="544"/>
      <c r="CP13" s="545">
        <f t="shared" si="29"/>
        <v>0</v>
      </c>
      <c r="CQ13" s="546">
        <f t="shared" si="141"/>
        <v>0</v>
      </c>
      <c r="CR13" s="544"/>
      <c r="CS13" s="545">
        <f t="shared" si="30"/>
        <v>0</v>
      </c>
      <c r="CT13" s="546">
        <f t="shared" si="142"/>
        <v>0</v>
      </c>
      <c r="CU13" s="544"/>
      <c r="CV13" s="545">
        <f t="shared" si="31"/>
        <v>0</v>
      </c>
      <c r="CW13" s="546">
        <f t="shared" si="143"/>
        <v>0</v>
      </c>
      <c r="CX13" s="544"/>
      <c r="CY13" s="545">
        <f t="shared" si="32"/>
        <v>0</v>
      </c>
      <c r="CZ13" s="546">
        <f t="shared" si="144"/>
        <v>0</v>
      </c>
      <c r="DA13" s="544">
        <v>0</v>
      </c>
      <c r="DB13" s="545">
        <f t="shared" si="33"/>
        <v>0</v>
      </c>
      <c r="DC13" s="546">
        <f t="shared" si="145"/>
        <v>0</v>
      </c>
      <c r="DD13" s="544"/>
      <c r="DE13" s="545">
        <f t="shared" si="34"/>
        <v>0</v>
      </c>
      <c r="DF13" s="546">
        <f t="shared" si="146"/>
        <v>0</v>
      </c>
      <c r="DG13" s="544"/>
      <c r="DH13" s="545">
        <f t="shared" si="35"/>
        <v>0</v>
      </c>
      <c r="DI13" s="546">
        <v>0</v>
      </c>
      <c r="DJ13" s="544"/>
      <c r="DK13" s="545">
        <f t="shared" si="36"/>
        <v>0</v>
      </c>
      <c r="DL13" s="546">
        <f t="shared" si="147"/>
        <v>0</v>
      </c>
      <c r="DM13" s="544"/>
      <c r="DN13" s="545">
        <f t="shared" si="37"/>
        <v>0</v>
      </c>
      <c r="DO13" s="546">
        <f t="shared" si="148"/>
        <v>0</v>
      </c>
      <c r="DP13" s="544"/>
      <c r="DQ13" s="545">
        <f t="shared" si="38"/>
        <v>0</v>
      </c>
      <c r="DR13" s="546">
        <f t="shared" si="149"/>
        <v>0</v>
      </c>
      <c r="DS13" s="544"/>
      <c r="DT13" s="545">
        <f t="shared" si="39"/>
        <v>0</v>
      </c>
      <c r="DU13" s="546">
        <f t="shared" si="150"/>
        <v>0</v>
      </c>
      <c r="DV13" s="544"/>
      <c r="DW13" s="545">
        <f t="shared" si="40"/>
        <v>0</v>
      </c>
      <c r="DX13" s="546">
        <f t="shared" si="151"/>
        <v>0</v>
      </c>
      <c r="DY13" s="544"/>
      <c r="DZ13" s="545">
        <f t="shared" si="41"/>
        <v>0</v>
      </c>
      <c r="EA13" s="546">
        <f t="shared" si="152"/>
        <v>0</v>
      </c>
      <c r="EB13" s="544">
        <v>0</v>
      </c>
      <c r="EC13" s="545">
        <f t="shared" si="42"/>
        <v>0</v>
      </c>
      <c r="ED13" s="546">
        <f t="shared" si="153"/>
        <v>0</v>
      </c>
      <c r="EE13" s="544">
        <v>0</v>
      </c>
      <c r="EF13" s="545">
        <f t="shared" si="43"/>
        <v>0</v>
      </c>
      <c r="EG13" s="546">
        <f t="shared" si="154"/>
        <v>0</v>
      </c>
      <c r="EH13" s="544">
        <v>0</v>
      </c>
      <c r="EI13" s="545">
        <f t="shared" si="44"/>
        <v>0</v>
      </c>
      <c r="EJ13" s="546">
        <f t="shared" si="155"/>
        <v>0</v>
      </c>
      <c r="EK13" s="544"/>
      <c r="EL13" s="545">
        <f t="shared" si="45"/>
        <v>0</v>
      </c>
      <c r="EM13" s="546">
        <f t="shared" si="156"/>
        <v>0</v>
      </c>
      <c r="EN13" s="544"/>
      <c r="EO13" s="545">
        <f t="shared" si="46"/>
        <v>0</v>
      </c>
      <c r="EP13" s="546">
        <f t="shared" si="157"/>
        <v>0</v>
      </c>
      <c r="EQ13" s="544"/>
      <c r="ER13" s="545">
        <f t="shared" si="47"/>
        <v>0</v>
      </c>
      <c r="ES13" s="546">
        <f t="shared" si="158"/>
        <v>0</v>
      </c>
      <c r="ET13" s="544"/>
      <c r="EU13" s="545">
        <f t="shared" si="48"/>
        <v>0</v>
      </c>
      <c r="EV13" s="546">
        <f t="shared" si="159"/>
        <v>0</v>
      </c>
      <c r="EW13" s="544"/>
      <c r="EX13" s="545">
        <f t="shared" si="49"/>
        <v>0</v>
      </c>
      <c r="EY13" s="546">
        <f t="shared" si="160"/>
        <v>0</v>
      </c>
      <c r="EZ13" s="544"/>
      <c r="FA13" s="545">
        <f t="shared" si="50"/>
        <v>0</v>
      </c>
      <c r="FB13" s="546">
        <f t="shared" si="161"/>
        <v>0</v>
      </c>
      <c r="FC13" s="544"/>
      <c r="FD13" s="545">
        <f t="shared" si="51"/>
        <v>0</v>
      </c>
      <c r="FE13" s="546">
        <f t="shared" si="162"/>
        <v>0</v>
      </c>
      <c r="FF13" s="544"/>
      <c r="FG13" s="545">
        <f t="shared" si="52"/>
        <v>0</v>
      </c>
      <c r="FH13" s="546">
        <f t="shared" si="163"/>
        <v>0</v>
      </c>
      <c r="FI13" s="544"/>
      <c r="FJ13" s="545">
        <f t="shared" si="53"/>
        <v>0</v>
      </c>
      <c r="FK13" s="546">
        <f t="shared" si="164"/>
        <v>0</v>
      </c>
      <c r="FL13" s="544"/>
      <c r="FM13" s="545">
        <f t="shared" si="54"/>
        <v>0</v>
      </c>
      <c r="FN13" s="546">
        <f t="shared" si="165"/>
        <v>0</v>
      </c>
      <c r="FO13" s="544"/>
      <c r="FP13" s="545">
        <f t="shared" si="55"/>
        <v>0</v>
      </c>
      <c r="FQ13" s="546">
        <f t="shared" si="166"/>
        <v>0</v>
      </c>
      <c r="FR13" s="544"/>
      <c r="FS13" s="545">
        <f t="shared" si="56"/>
        <v>0</v>
      </c>
      <c r="FT13" s="546">
        <f t="shared" si="167"/>
        <v>0</v>
      </c>
      <c r="FU13" s="544"/>
      <c r="FV13" s="545">
        <f t="shared" si="57"/>
        <v>0</v>
      </c>
      <c r="FW13" s="546">
        <f t="shared" si="168"/>
        <v>0</v>
      </c>
      <c r="FX13" s="544"/>
      <c r="FY13" s="545">
        <f t="shared" si="58"/>
        <v>0</v>
      </c>
      <c r="FZ13" s="546">
        <f t="shared" si="169"/>
        <v>0</v>
      </c>
      <c r="GA13" s="544"/>
      <c r="GB13" s="545">
        <f t="shared" si="59"/>
        <v>0</v>
      </c>
      <c r="GC13" s="546">
        <f t="shared" si="170"/>
        <v>0</v>
      </c>
      <c r="GD13" s="544"/>
      <c r="GE13" s="545">
        <f t="shared" si="60"/>
        <v>0</v>
      </c>
      <c r="GF13" s="546">
        <f t="shared" si="171"/>
        <v>0</v>
      </c>
      <c r="GG13" s="544"/>
      <c r="GH13" s="545">
        <f t="shared" si="61"/>
        <v>0</v>
      </c>
      <c r="GI13" s="546">
        <f t="shared" si="172"/>
        <v>0</v>
      </c>
      <c r="GJ13" s="544"/>
      <c r="GK13" s="545">
        <f t="shared" si="62"/>
        <v>0</v>
      </c>
      <c r="GL13" s="546">
        <f t="shared" si="173"/>
        <v>0</v>
      </c>
      <c r="GM13" s="544"/>
      <c r="GN13" s="545">
        <f t="shared" si="63"/>
        <v>0</v>
      </c>
      <c r="GO13" s="546">
        <f t="shared" si="174"/>
        <v>0</v>
      </c>
      <c r="GP13" s="544"/>
      <c r="GQ13" s="545">
        <f t="shared" si="64"/>
        <v>0</v>
      </c>
      <c r="GR13" s="546">
        <f t="shared" si="175"/>
        <v>0</v>
      </c>
      <c r="GS13" s="544"/>
      <c r="GT13" s="545">
        <f t="shared" si="65"/>
        <v>0</v>
      </c>
      <c r="GU13" s="546">
        <f t="shared" si="176"/>
        <v>0</v>
      </c>
      <c r="GV13" s="544"/>
      <c r="GW13" s="545">
        <f t="shared" si="66"/>
        <v>0</v>
      </c>
      <c r="GX13" s="546">
        <f t="shared" si="177"/>
        <v>0</v>
      </c>
      <c r="GY13" s="544"/>
      <c r="GZ13" s="545">
        <f t="shared" si="67"/>
        <v>0</v>
      </c>
      <c r="HA13" s="546">
        <f t="shared" si="178"/>
        <v>0</v>
      </c>
      <c r="HB13" s="544"/>
      <c r="HC13" s="545">
        <f t="shared" si="68"/>
        <v>0</v>
      </c>
      <c r="HD13" s="546">
        <f t="shared" si="179"/>
        <v>0</v>
      </c>
      <c r="HE13" s="544"/>
      <c r="HF13" s="545">
        <f t="shared" si="69"/>
        <v>0</v>
      </c>
      <c r="HG13" s="546">
        <f t="shared" si="180"/>
        <v>0</v>
      </c>
      <c r="HH13" s="544"/>
      <c r="HI13" s="545">
        <f t="shared" si="70"/>
        <v>0</v>
      </c>
      <c r="HJ13" s="546">
        <f t="shared" si="181"/>
        <v>0</v>
      </c>
      <c r="HK13" s="544"/>
      <c r="HL13" s="545">
        <f t="shared" si="71"/>
        <v>0</v>
      </c>
      <c r="HM13" s="546">
        <f t="shared" si="182"/>
        <v>0</v>
      </c>
      <c r="HN13" s="544"/>
      <c r="HO13" s="545">
        <f t="shared" si="72"/>
        <v>0</v>
      </c>
      <c r="HP13" s="546">
        <f t="shared" si="183"/>
        <v>0</v>
      </c>
      <c r="HQ13" s="544"/>
      <c r="HR13" s="545">
        <f t="shared" si="73"/>
        <v>0</v>
      </c>
      <c r="HS13" s="546">
        <f t="shared" si="184"/>
        <v>0</v>
      </c>
      <c r="HT13" s="544"/>
      <c r="HU13" s="545">
        <f t="shared" si="74"/>
        <v>0</v>
      </c>
      <c r="HV13" s="546">
        <f t="shared" si="185"/>
        <v>0</v>
      </c>
      <c r="HW13" s="544"/>
      <c r="HX13" s="545">
        <f t="shared" si="75"/>
        <v>0</v>
      </c>
      <c r="HY13" s="546">
        <f t="shared" si="186"/>
        <v>0</v>
      </c>
      <c r="HZ13" s="544"/>
      <c r="IA13" s="545">
        <f t="shared" si="76"/>
        <v>0</v>
      </c>
      <c r="IB13" s="546">
        <f t="shared" si="187"/>
        <v>0</v>
      </c>
      <c r="IC13" s="544"/>
      <c r="ID13" s="545">
        <f t="shared" si="77"/>
        <v>0</v>
      </c>
      <c r="IE13" s="546">
        <f t="shared" si="188"/>
        <v>0</v>
      </c>
      <c r="IF13" s="544"/>
      <c r="IG13" s="545">
        <f t="shared" si="78"/>
        <v>0</v>
      </c>
      <c r="IH13" s="546">
        <f t="shared" si="189"/>
        <v>0</v>
      </c>
      <c r="II13" s="544"/>
      <c r="IJ13" s="545">
        <f t="shared" si="79"/>
        <v>0</v>
      </c>
      <c r="IK13" s="546">
        <f t="shared" si="190"/>
        <v>0</v>
      </c>
      <c r="IL13" s="544"/>
      <c r="IM13" s="545">
        <f t="shared" si="80"/>
        <v>0</v>
      </c>
      <c r="IN13" s="546">
        <f t="shared" si="191"/>
        <v>0</v>
      </c>
      <c r="IO13" s="544"/>
      <c r="IP13" s="545">
        <f t="shared" si="81"/>
        <v>0</v>
      </c>
      <c r="IQ13" s="546">
        <f t="shared" si="192"/>
        <v>0</v>
      </c>
      <c r="IR13" s="544"/>
      <c r="IS13" s="545">
        <f t="shared" si="82"/>
        <v>0</v>
      </c>
      <c r="IT13" s="546">
        <f t="shared" si="193"/>
        <v>0</v>
      </c>
      <c r="IU13" s="544"/>
      <c r="IV13" s="545">
        <f t="shared" si="83"/>
        <v>0</v>
      </c>
      <c r="IW13" s="546">
        <f t="shared" si="194"/>
        <v>0</v>
      </c>
      <c r="IX13" s="544"/>
      <c r="IY13" s="545">
        <f t="shared" si="84"/>
        <v>0</v>
      </c>
      <c r="IZ13" s="546">
        <f t="shared" si="195"/>
        <v>0</v>
      </c>
      <c r="JA13" s="544"/>
      <c r="JB13" s="545">
        <f t="shared" si="85"/>
        <v>0</v>
      </c>
      <c r="JC13" s="546">
        <f t="shared" si="196"/>
        <v>0</v>
      </c>
      <c r="JD13" s="544"/>
      <c r="JE13" s="545">
        <f t="shared" si="86"/>
        <v>0</v>
      </c>
      <c r="JF13" s="546">
        <f t="shared" si="197"/>
        <v>0</v>
      </c>
      <c r="JG13" s="544"/>
      <c r="JH13" s="546" t="str">
        <f t="shared" si="87"/>
        <v>0</v>
      </c>
      <c r="JI13" s="546" t="str">
        <f t="shared" si="88"/>
        <v>0</v>
      </c>
      <c r="JJ13" s="544"/>
      <c r="JK13" s="546" t="str">
        <f t="shared" si="89"/>
        <v>0</v>
      </c>
      <c r="JL13" s="546" t="str">
        <f t="shared" si="90"/>
        <v>0</v>
      </c>
      <c r="JM13" s="544"/>
      <c r="JN13" s="546" t="str">
        <f t="shared" si="91"/>
        <v>0</v>
      </c>
      <c r="JO13" s="546" t="str">
        <f t="shared" si="92"/>
        <v>0</v>
      </c>
      <c r="JP13" s="544"/>
      <c r="JQ13" s="546" t="str">
        <f t="shared" si="93"/>
        <v>0</v>
      </c>
      <c r="JR13" s="546" t="str">
        <f t="shared" si="94"/>
        <v>0</v>
      </c>
      <c r="JS13" s="544"/>
      <c r="JT13" s="546" t="str">
        <f t="shared" si="95"/>
        <v>0</v>
      </c>
      <c r="JU13" s="546" t="str">
        <f t="shared" si="96"/>
        <v>0</v>
      </c>
      <c r="JV13" s="544"/>
      <c r="JW13" s="546" t="str">
        <f t="shared" si="97"/>
        <v>0</v>
      </c>
      <c r="JX13" s="546" t="str">
        <f t="shared" si="98"/>
        <v>0</v>
      </c>
      <c r="JY13" s="544"/>
      <c r="JZ13" s="546" t="str">
        <f t="shared" si="99"/>
        <v>0</v>
      </c>
      <c r="KA13" s="546" t="str">
        <f t="shared" si="100"/>
        <v>0</v>
      </c>
      <c r="KB13" s="544"/>
      <c r="KC13" s="546" t="str">
        <f t="shared" si="101"/>
        <v>0</v>
      </c>
      <c r="KD13" s="546" t="str">
        <f t="shared" si="102"/>
        <v>0</v>
      </c>
      <c r="KE13" s="544"/>
      <c r="KF13" s="546" t="str">
        <f t="shared" si="103"/>
        <v>0</v>
      </c>
      <c r="KG13" s="546" t="str">
        <f t="shared" si="104"/>
        <v>0</v>
      </c>
      <c r="KH13" s="544"/>
      <c r="KI13" s="546" t="str">
        <f t="shared" si="105"/>
        <v>0</v>
      </c>
      <c r="KJ13" s="546" t="str">
        <f t="shared" si="106"/>
        <v>0</v>
      </c>
      <c r="KK13" s="544"/>
      <c r="KL13" s="546" t="str">
        <f t="shared" si="107"/>
        <v>0</v>
      </c>
      <c r="KM13" s="546" t="str">
        <f t="shared" si="108"/>
        <v>0</v>
      </c>
      <c r="KN13" s="544"/>
      <c r="KO13" s="546" t="str">
        <f t="shared" si="109"/>
        <v>0</v>
      </c>
      <c r="KP13" s="546" t="str">
        <f t="shared" si="110"/>
        <v>0</v>
      </c>
      <c r="KQ13" s="546">
        <f t="shared" si="111"/>
        <v>0</v>
      </c>
      <c r="KR13" s="546">
        <f t="shared" si="198"/>
        <v>0</v>
      </c>
      <c r="KS13" s="265">
        <f t="shared" si="199"/>
        <v>1550</v>
      </c>
    </row>
    <row r="14" spans="1:305" ht="15" customHeight="1">
      <c r="A14" s="267">
        <f t="shared" si="200"/>
        <v>45722</v>
      </c>
      <c r="B14" s="268" t="str">
        <f>+Report1!B14</f>
        <v>Napkin</v>
      </c>
      <c r="C14" s="268" t="str">
        <f>+Report1!C14</f>
        <v>17/16</v>
      </c>
      <c r="D14" s="269">
        <f>+Report1!P14</f>
        <v>43.224000000000004</v>
      </c>
      <c r="E14" s="270">
        <f>+Report1!R14</f>
        <v>33.033000000000001</v>
      </c>
      <c r="F14" s="544">
        <v>0</v>
      </c>
      <c r="G14" s="545">
        <f t="shared" si="0"/>
        <v>0</v>
      </c>
      <c r="H14" s="546">
        <f t="shared" si="112"/>
        <v>0</v>
      </c>
      <c r="I14" s="544"/>
      <c r="J14" s="545">
        <f t="shared" si="1"/>
        <v>0</v>
      </c>
      <c r="K14" s="546">
        <f t="shared" si="113"/>
        <v>0</v>
      </c>
      <c r="L14" s="544"/>
      <c r="M14" s="545">
        <f t="shared" si="2"/>
        <v>0</v>
      </c>
      <c r="N14" s="546">
        <f t="shared" si="114"/>
        <v>0</v>
      </c>
      <c r="O14" s="544">
        <v>12.000000000000028</v>
      </c>
      <c r="P14" s="545">
        <f t="shared" si="3"/>
        <v>0.36327309054581869</v>
      </c>
      <c r="Q14" s="546">
        <f t="shared" si="115"/>
        <v>0</v>
      </c>
      <c r="R14" s="544"/>
      <c r="S14" s="545">
        <f t="shared" si="4"/>
        <v>0</v>
      </c>
      <c r="T14" s="546">
        <f t="shared" si="116"/>
        <v>0</v>
      </c>
      <c r="U14" s="544">
        <v>10.250000000000057</v>
      </c>
      <c r="V14" s="545">
        <f t="shared" si="5"/>
        <v>0.31029576484122112</v>
      </c>
      <c r="W14" s="546">
        <f t="shared" si="117"/>
        <v>0</v>
      </c>
      <c r="X14" s="544"/>
      <c r="Y14" s="545">
        <f t="shared" si="6"/>
        <v>0</v>
      </c>
      <c r="Z14" s="546">
        <f t="shared" si="118"/>
        <v>0</v>
      </c>
      <c r="AA14" s="544"/>
      <c r="AB14" s="545">
        <f t="shared" si="7"/>
        <v>0</v>
      </c>
      <c r="AC14" s="546">
        <f t="shared" si="119"/>
        <v>0</v>
      </c>
      <c r="AD14" s="544"/>
      <c r="AE14" s="545">
        <f t="shared" si="8"/>
        <v>0</v>
      </c>
      <c r="AF14" s="546">
        <f t="shared" si="120"/>
        <v>0</v>
      </c>
      <c r="AG14" s="544"/>
      <c r="AH14" s="545">
        <f t="shared" si="9"/>
        <v>0</v>
      </c>
      <c r="AI14" s="546">
        <f t="shared" si="121"/>
        <v>0</v>
      </c>
      <c r="AJ14" s="544"/>
      <c r="AK14" s="545">
        <f t="shared" si="10"/>
        <v>0</v>
      </c>
      <c r="AL14" s="546">
        <f t="shared" si="122"/>
        <v>0</v>
      </c>
      <c r="AM14" s="544">
        <v>47.307692307692307</v>
      </c>
      <c r="AN14" s="545">
        <f t="shared" si="11"/>
        <v>1.4321342992671664</v>
      </c>
      <c r="AO14" s="546">
        <f t="shared" si="123"/>
        <v>0</v>
      </c>
      <c r="AP14" s="544"/>
      <c r="AQ14" s="545">
        <f t="shared" si="12"/>
        <v>0</v>
      </c>
      <c r="AR14" s="546">
        <f t="shared" si="124"/>
        <v>0</v>
      </c>
      <c r="AS14" s="544"/>
      <c r="AT14" s="545">
        <f t="shared" si="13"/>
        <v>0</v>
      </c>
      <c r="AU14" s="546">
        <f t="shared" si="125"/>
        <v>0</v>
      </c>
      <c r="AV14" s="544">
        <v>0</v>
      </c>
      <c r="AW14" s="545">
        <f t="shared" si="14"/>
        <v>0</v>
      </c>
      <c r="AX14" s="546">
        <f t="shared" si="126"/>
        <v>0</v>
      </c>
      <c r="AY14" s="544">
        <v>72.333333333333314</v>
      </c>
      <c r="AZ14" s="545">
        <f t="shared" si="15"/>
        <v>2.1897294624567345</v>
      </c>
      <c r="BA14" s="546">
        <f t="shared" si="127"/>
        <v>0</v>
      </c>
      <c r="BB14" s="544"/>
      <c r="BC14" s="545">
        <f t="shared" si="16"/>
        <v>0</v>
      </c>
      <c r="BD14" s="546">
        <f t="shared" si="128"/>
        <v>0</v>
      </c>
      <c r="BE14" s="544"/>
      <c r="BF14" s="545">
        <f t="shared" si="17"/>
        <v>0</v>
      </c>
      <c r="BG14" s="546">
        <f t="shared" si="129"/>
        <v>0</v>
      </c>
      <c r="BH14" s="544"/>
      <c r="BI14" s="545">
        <f t="shared" si="18"/>
        <v>0</v>
      </c>
      <c r="BJ14" s="546">
        <f t="shared" si="130"/>
        <v>0</v>
      </c>
      <c r="BK14" s="544"/>
      <c r="BL14" s="545">
        <f t="shared" si="19"/>
        <v>0</v>
      </c>
      <c r="BM14" s="546">
        <f t="shared" si="131"/>
        <v>0</v>
      </c>
      <c r="BN14" s="544"/>
      <c r="BO14" s="545">
        <f t="shared" si="20"/>
        <v>0</v>
      </c>
      <c r="BP14" s="546">
        <f t="shared" si="132"/>
        <v>0</v>
      </c>
      <c r="BQ14" s="544"/>
      <c r="BR14" s="545">
        <f t="shared" si="21"/>
        <v>0</v>
      </c>
      <c r="BS14" s="546">
        <f t="shared" si="133"/>
        <v>0</v>
      </c>
      <c r="BT14" s="544"/>
      <c r="BU14" s="545">
        <f t="shared" si="22"/>
        <v>0</v>
      </c>
      <c r="BV14" s="546">
        <f t="shared" si="134"/>
        <v>0</v>
      </c>
      <c r="BW14" s="544"/>
      <c r="BX14" s="545">
        <f t="shared" si="23"/>
        <v>0</v>
      </c>
      <c r="BY14" s="546">
        <f t="shared" si="135"/>
        <v>0</v>
      </c>
      <c r="BZ14" s="544">
        <v>773.44186046511618</v>
      </c>
      <c r="CA14" s="545">
        <f t="shared" si="24"/>
        <v>23.414217917389159</v>
      </c>
      <c r="CB14" s="546">
        <f t="shared" si="136"/>
        <v>0</v>
      </c>
      <c r="CC14" s="544">
        <v>37.5</v>
      </c>
      <c r="CD14" s="545">
        <f t="shared" si="25"/>
        <v>1.1352284079556807</v>
      </c>
      <c r="CE14" s="546">
        <f t="shared" si="137"/>
        <v>0</v>
      </c>
      <c r="CF14" s="544">
        <v>2</v>
      </c>
      <c r="CG14" s="545">
        <f t="shared" si="26"/>
        <v>6.0545515090969636E-2</v>
      </c>
      <c r="CH14" s="546">
        <f t="shared" si="138"/>
        <v>0</v>
      </c>
      <c r="CI14" s="544"/>
      <c r="CJ14" s="545">
        <f t="shared" si="27"/>
        <v>0</v>
      </c>
      <c r="CK14" s="546">
        <f t="shared" si="139"/>
        <v>0</v>
      </c>
      <c r="CL14" s="544"/>
      <c r="CM14" s="545">
        <f t="shared" si="28"/>
        <v>0</v>
      </c>
      <c r="CN14" s="546">
        <f t="shared" si="140"/>
        <v>0</v>
      </c>
      <c r="CO14" s="544"/>
      <c r="CP14" s="545">
        <f t="shared" si="29"/>
        <v>0</v>
      </c>
      <c r="CQ14" s="546">
        <f t="shared" si="141"/>
        <v>0</v>
      </c>
      <c r="CR14" s="544"/>
      <c r="CS14" s="545">
        <f t="shared" si="30"/>
        <v>0</v>
      </c>
      <c r="CT14" s="546">
        <f t="shared" si="142"/>
        <v>0</v>
      </c>
      <c r="CU14" s="544"/>
      <c r="CV14" s="545">
        <f t="shared" si="31"/>
        <v>0</v>
      </c>
      <c r="CW14" s="546">
        <f t="shared" si="143"/>
        <v>0</v>
      </c>
      <c r="CX14" s="544"/>
      <c r="CY14" s="545">
        <f t="shared" si="32"/>
        <v>0</v>
      </c>
      <c r="CZ14" s="546">
        <f t="shared" si="144"/>
        <v>0</v>
      </c>
      <c r="DA14" s="544">
        <v>0</v>
      </c>
      <c r="DB14" s="545">
        <f t="shared" si="33"/>
        <v>0</v>
      </c>
      <c r="DC14" s="546">
        <f t="shared" si="145"/>
        <v>0</v>
      </c>
      <c r="DD14" s="544"/>
      <c r="DE14" s="545">
        <f t="shared" si="34"/>
        <v>0</v>
      </c>
      <c r="DF14" s="546">
        <f t="shared" si="146"/>
        <v>0</v>
      </c>
      <c r="DG14" s="544"/>
      <c r="DH14" s="545">
        <f t="shared" si="35"/>
        <v>0</v>
      </c>
      <c r="DI14" s="546">
        <f t="shared" ref="DI14:DI39" si="201">+DG14*$H$8</f>
        <v>0</v>
      </c>
      <c r="DJ14" s="544"/>
      <c r="DK14" s="545">
        <f t="shared" si="36"/>
        <v>0</v>
      </c>
      <c r="DL14" s="546">
        <f t="shared" si="147"/>
        <v>0</v>
      </c>
      <c r="DM14" s="544"/>
      <c r="DN14" s="545">
        <f t="shared" si="37"/>
        <v>0</v>
      </c>
      <c r="DO14" s="546">
        <f t="shared" si="148"/>
        <v>0</v>
      </c>
      <c r="DP14" s="544"/>
      <c r="DQ14" s="545">
        <f t="shared" si="38"/>
        <v>0</v>
      </c>
      <c r="DR14" s="546">
        <f t="shared" si="149"/>
        <v>0</v>
      </c>
      <c r="DS14" s="544"/>
      <c r="DT14" s="545">
        <f t="shared" si="39"/>
        <v>0</v>
      </c>
      <c r="DU14" s="546">
        <f t="shared" si="150"/>
        <v>0</v>
      </c>
      <c r="DV14" s="544"/>
      <c r="DW14" s="545">
        <f t="shared" si="40"/>
        <v>0</v>
      </c>
      <c r="DX14" s="546">
        <f t="shared" si="151"/>
        <v>0</v>
      </c>
      <c r="DY14" s="544"/>
      <c r="DZ14" s="545">
        <f t="shared" si="41"/>
        <v>0</v>
      </c>
      <c r="EA14" s="546">
        <f t="shared" si="152"/>
        <v>0</v>
      </c>
      <c r="EB14" s="544">
        <v>541.17647058823536</v>
      </c>
      <c r="EC14" s="545">
        <f t="shared" si="42"/>
        <v>16.382904083438845</v>
      </c>
      <c r="ED14" s="546">
        <f t="shared" si="153"/>
        <v>0</v>
      </c>
      <c r="EE14" s="544">
        <v>11.860465116279101</v>
      </c>
      <c r="EF14" s="545">
        <f t="shared" si="43"/>
        <v>0.35904898484179765</v>
      </c>
      <c r="EG14" s="546">
        <f t="shared" si="154"/>
        <v>0</v>
      </c>
      <c r="EH14" s="544">
        <v>1</v>
      </c>
      <c r="EI14" s="545">
        <f t="shared" si="44"/>
        <v>3.0272757545484818E-2</v>
      </c>
      <c r="EJ14" s="546">
        <f t="shared" si="155"/>
        <v>0</v>
      </c>
      <c r="EK14" s="544"/>
      <c r="EL14" s="545">
        <f t="shared" si="45"/>
        <v>0</v>
      </c>
      <c r="EM14" s="546">
        <f t="shared" si="156"/>
        <v>0</v>
      </c>
      <c r="EN14" s="544"/>
      <c r="EO14" s="545">
        <f t="shared" si="46"/>
        <v>0</v>
      </c>
      <c r="EP14" s="546">
        <f t="shared" si="157"/>
        <v>0</v>
      </c>
      <c r="EQ14" s="544"/>
      <c r="ER14" s="545">
        <f t="shared" si="47"/>
        <v>0</v>
      </c>
      <c r="ES14" s="546">
        <f t="shared" si="158"/>
        <v>0</v>
      </c>
      <c r="ET14" s="544"/>
      <c r="EU14" s="545">
        <f t="shared" si="48"/>
        <v>0</v>
      </c>
      <c r="EV14" s="546">
        <f t="shared" si="159"/>
        <v>0</v>
      </c>
      <c r="EW14" s="544"/>
      <c r="EX14" s="545">
        <f t="shared" si="49"/>
        <v>0</v>
      </c>
      <c r="EY14" s="546">
        <f t="shared" si="160"/>
        <v>0</v>
      </c>
      <c r="EZ14" s="544"/>
      <c r="FA14" s="545">
        <f t="shared" si="50"/>
        <v>0</v>
      </c>
      <c r="FB14" s="546">
        <f t="shared" si="161"/>
        <v>0</v>
      </c>
      <c r="FC14" s="544"/>
      <c r="FD14" s="545">
        <f t="shared" si="51"/>
        <v>0</v>
      </c>
      <c r="FE14" s="546">
        <f t="shared" si="162"/>
        <v>0</v>
      </c>
      <c r="FF14" s="544"/>
      <c r="FG14" s="545">
        <f t="shared" si="52"/>
        <v>0</v>
      </c>
      <c r="FH14" s="546">
        <f t="shared" si="163"/>
        <v>0</v>
      </c>
      <c r="FI14" s="544"/>
      <c r="FJ14" s="545">
        <f t="shared" si="53"/>
        <v>0</v>
      </c>
      <c r="FK14" s="546">
        <f t="shared" si="164"/>
        <v>0</v>
      </c>
      <c r="FL14" s="544"/>
      <c r="FM14" s="545">
        <f t="shared" si="54"/>
        <v>0</v>
      </c>
      <c r="FN14" s="546">
        <f t="shared" si="165"/>
        <v>0</v>
      </c>
      <c r="FO14" s="544"/>
      <c r="FP14" s="545">
        <f t="shared" si="55"/>
        <v>0</v>
      </c>
      <c r="FQ14" s="546">
        <f t="shared" si="166"/>
        <v>0</v>
      </c>
      <c r="FR14" s="544"/>
      <c r="FS14" s="545">
        <f t="shared" si="56"/>
        <v>0</v>
      </c>
      <c r="FT14" s="546">
        <f t="shared" si="167"/>
        <v>0</v>
      </c>
      <c r="FU14" s="544"/>
      <c r="FV14" s="545">
        <f t="shared" si="57"/>
        <v>0</v>
      </c>
      <c r="FW14" s="546">
        <f t="shared" si="168"/>
        <v>0</v>
      </c>
      <c r="FX14" s="544"/>
      <c r="FY14" s="545">
        <f t="shared" si="58"/>
        <v>0</v>
      </c>
      <c r="FZ14" s="546">
        <f t="shared" si="169"/>
        <v>0</v>
      </c>
      <c r="GA14" s="544"/>
      <c r="GB14" s="545">
        <f t="shared" si="59"/>
        <v>0</v>
      </c>
      <c r="GC14" s="546">
        <f t="shared" si="170"/>
        <v>0</v>
      </c>
      <c r="GD14" s="544"/>
      <c r="GE14" s="545">
        <f t="shared" si="60"/>
        <v>0</v>
      </c>
      <c r="GF14" s="546">
        <f t="shared" si="171"/>
        <v>0</v>
      </c>
      <c r="GG14" s="544"/>
      <c r="GH14" s="545">
        <f t="shared" si="61"/>
        <v>0</v>
      </c>
      <c r="GI14" s="546">
        <f t="shared" si="172"/>
        <v>0</v>
      </c>
      <c r="GJ14" s="544"/>
      <c r="GK14" s="545">
        <f t="shared" si="62"/>
        <v>0</v>
      </c>
      <c r="GL14" s="546">
        <f t="shared" si="173"/>
        <v>0</v>
      </c>
      <c r="GM14" s="544"/>
      <c r="GN14" s="545">
        <f t="shared" si="63"/>
        <v>0</v>
      </c>
      <c r="GO14" s="546">
        <f t="shared" si="174"/>
        <v>0</v>
      </c>
      <c r="GP14" s="544"/>
      <c r="GQ14" s="545">
        <f t="shared" si="64"/>
        <v>0</v>
      </c>
      <c r="GR14" s="546">
        <f t="shared" si="175"/>
        <v>0</v>
      </c>
      <c r="GS14" s="544"/>
      <c r="GT14" s="545">
        <f t="shared" si="65"/>
        <v>0</v>
      </c>
      <c r="GU14" s="546">
        <f t="shared" si="176"/>
        <v>0</v>
      </c>
      <c r="GV14" s="544"/>
      <c r="GW14" s="545">
        <f t="shared" si="66"/>
        <v>0</v>
      </c>
      <c r="GX14" s="546">
        <f t="shared" si="177"/>
        <v>0</v>
      </c>
      <c r="GY14" s="544"/>
      <c r="GZ14" s="545">
        <f t="shared" si="67"/>
        <v>0</v>
      </c>
      <c r="HA14" s="546">
        <f t="shared" si="178"/>
        <v>0</v>
      </c>
      <c r="HB14" s="544"/>
      <c r="HC14" s="545">
        <f t="shared" si="68"/>
        <v>0</v>
      </c>
      <c r="HD14" s="546">
        <f t="shared" si="179"/>
        <v>0</v>
      </c>
      <c r="HE14" s="544"/>
      <c r="HF14" s="545">
        <f t="shared" si="69"/>
        <v>0</v>
      </c>
      <c r="HG14" s="546">
        <f t="shared" si="180"/>
        <v>0</v>
      </c>
      <c r="HH14" s="544"/>
      <c r="HI14" s="545">
        <f t="shared" si="70"/>
        <v>0</v>
      </c>
      <c r="HJ14" s="546">
        <f t="shared" si="181"/>
        <v>0</v>
      </c>
      <c r="HK14" s="544"/>
      <c r="HL14" s="545">
        <f t="shared" si="71"/>
        <v>0</v>
      </c>
      <c r="HM14" s="546">
        <f t="shared" si="182"/>
        <v>0</v>
      </c>
      <c r="HN14" s="544"/>
      <c r="HO14" s="545">
        <f t="shared" si="72"/>
        <v>0</v>
      </c>
      <c r="HP14" s="546">
        <f t="shared" si="183"/>
        <v>0</v>
      </c>
      <c r="HQ14" s="544"/>
      <c r="HR14" s="545">
        <f t="shared" si="73"/>
        <v>0</v>
      </c>
      <c r="HS14" s="546">
        <f t="shared" si="184"/>
        <v>0</v>
      </c>
      <c r="HT14" s="544"/>
      <c r="HU14" s="545">
        <f t="shared" si="74"/>
        <v>0</v>
      </c>
      <c r="HV14" s="546">
        <f t="shared" si="185"/>
        <v>0</v>
      </c>
      <c r="HW14" s="544"/>
      <c r="HX14" s="545">
        <f t="shared" si="75"/>
        <v>0</v>
      </c>
      <c r="HY14" s="546">
        <f t="shared" si="186"/>
        <v>0</v>
      </c>
      <c r="HZ14" s="544"/>
      <c r="IA14" s="545">
        <f t="shared" si="76"/>
        <v>0</v>
      </c>
      <c r="IB14" s="546">
        <f t="shared" si="187"/>
        <v>0</v>
      </c>
      <c r="IC14" s="544"/>
      <c r="ID14" s="545">
        <f t="shared" si="77"/>
        <v>0</v>
      </c>
      <c r="IE14" s="546">
        <f t="shared" si="188"/>
        <v>0</v>
      </c>
      <c r="IF14" s="544"/>
      <c r="IG14" s="545">
        <f t="shared" si="78"/>
        <v>0</v>
      </c>
      <c r="IH14" s="546">
        <f t="shared" si="189"/>
        <v>0</v>
      </c>
      <c r="II14" s="544"/>
      <c r="IJ14" s="545">
        <f t="shared" si="79"/>
        <v>0</v>
      </c>
      <c r="IK14" s="546">
        <f t="shared" si="190"/>
        <v>0</v>
      </c>
      <c r="IL14" s="544"/>
      <c r="IM14" s="545">
        <f t="shared" si="80"/>
        <v>0</v>
      </c>
      <c r="IN14" s="546">
        <f t="shared" si="191"/>
        <v>0</v>
      </c>
      <c r="IO14" s="544"/>
      <c r="IP14" s="545">
        <f t="shared" si="81"/>
        <v>0</v>
      </c>
      <c r="IQ14" s="546">
        <f t="shared" si="192"/>
        <v>0</v>
      </c>
      <c r="IR14" s="544"/>
      <c r="IS14" s="545">
        <f t="shared" si="82"/>
        <v>0</v>
      </c>
      <c r="IT14" s="546">
        <f t="shared" si="193"/>
        <v>0</v>
      </c>
      <c r="IU14" s="544"/>
      <c r="IV14" s="545">
        <f t="shared" si="83"/>
        <v>0</v>
      </c>
      <c r="IW14" s="546">
        <f t="shared" si="194"/>
        <v>0</v>
      </c>
      <c r="IX14" s="544"/>
      <c r="IY14" s="545">
        <f t="shared" si="84"/>
        <v>0</v>
      </c>
      <c r="IZ14" s="546">
        <f t="shared" si="195"/>
        <v>0</v>
      </c>
      <c r="JA14" s="544"/>
      <c r="JB14" s="545">
        <f t="shared" si="85"/>
        <v>0</v>
      </c>
      <c r="JC14" s="546">
        <f t="shared" si="196"/>
        <v>0</v>
      </c>
      <c r="JD14" s="544"/>
      <c r="JE14" s="545">
        <f t="shared" si="86"/>
        <v>0</v>
      </c>
      <c r="JF14" s="546">
        <f t="shared" si="197"/>
        <v>0</v>
      </c>
      <c r="JG14" s="544"/>
      <c r="JH14" s="546" t="str">
        <f t="shared" si="87"/>
        <v>0</v>
      </c>
      <c r="JI14" s="546" t="str">
        <f t="shared" si="88"/>
        <v>0</v>
      </c>
      <c r="JJ14" s="544"/>
      <c r="JK14" s="546" t="str">
        <f t="shared" si="89"/>
        <v>0</v>
      </c>
      <c r="JL14" s="546" t="str">
        <f t="shared" si="90"/>
        <v>0</v>
      </c>
      <c r="JM14" s="544"/>
      <c r="JN14" s="546" t="str">
        <f t="shared" si="91"/>
        <v>0</v>
      </c>
      <c r="JO14" s="546" t="str">
        <f t="shared" si="92"/>
        <v>0</v>
      </c>
      <c r="JP14" s="544"/>
      <c r="JQ14" s="546" t="str">
        <f t="shared" si="93"/>
        <v>0</v>
      </c>
      <c r="JR14" s="546" t="str">
        <f t="shared" si="94"/>
        <v>0</v>
      </c>
      <c r="JS14" s="544"/>
      <c r="JT14" s="546" t="str">
        <f t="shared" si="95"/>
        <v>0</v>
      </c>
      <c r="JU14" s="546" t="str">
        <f t="shared" si="96"/>
        <v>0</v>
      </c>
      <c r="JV14" s="544"/>
      <c r="JW14" s="546" t="str">
        <f t="shared" si="97"/>
        <v>0</v>
      </c>
      <c r="JX14" s="546" t="str">
        <f t="shared" si="98"/>
        <v>0</v>
      </c>
      <c r="JY14" s="544"/>
      <c r="JZ14" s="546" t="str">
        <f t="shared" si="99"/>
        <v>0</v>
      </c>
      <c r="KA14" s="546" t="str">
        <f t="shared" si="100"/>
        <v>0</v>
      </c>
      <c r="KB14" s="544"/>
      <c r="KC14" s="546" t="str">
        <f t="shared" si="101"/>
        <v>0</v>
      </c>
      <c r="KD14" s="546" t="str">
        <f t="shared" si="102"/>
        <v>0</v>
      </c>
      <c r="KE14" s="544"/>
      <c r="KF14" s="546" t="str">
        <f t="shared" si="103"/>
        <v>0</v>
      </c>
      <c r="KG14" s="546" t="str">
        <f t="shared" si="104"/>
        <v>0</v>
      </c>
      <c r="KH14" s="544"/>
      <c r="KI14" s="546" t="str">
        <f t="shared" si="105"/>
        <v>0</v>
      </c>
      <c r="KJ14" s="546" t="str">
        <f t="shared" si="106"/>
        <v>0</v>
      </c>
      <c r="KK14" s="544"/>
      <c r="KL14" s="546" t="str">
        <f t="shared" si="107"/>
        <v>0</v>
      </c>
      <c r="KM14" s="546" t="str">
        <f t="shared" si="108"/>
        <v>0</v>
      </c>
      <c r="KN14" s="544"/>
      <c r="KO14" s="546" t="str">
        <f t="shared" si="109"/>
        <v>0</v>
      </c>
      <c r="KP14" s="546" t="str">
        <f t="shared" si="110"/>
        <v>0</v>
      </c>
      <c r="KQ14" s="546">
        <f t="shared" si="111"/>
        <v>0</v>
      </c>
      <c r="KR14" s="546">
        <f t="shared" si="198"/>
        <v>0</v>
      </c>
      <c r="KS14" s="265">
        <f t="shared" si="199"/>
        <v>1508.8698218106563</v>
      </c>
    </row>
    <row r="15" spans="1:305" ht="15" customHeight="1">
      <c r="A15" s="267">
        <f t="shared" si="200"/>
        <v>45723</v>
      </c>
      <c r="B15" s="268" t="str">
        <f>+Report1!B15</f>
        <v>Napkin</v>
      </c>
      <c r="C15" s="268" t="str">
        <f>+Report1!C15</f>
        <v>16/19</v>
      </c>
      <c r="D15" s="269">
        <f>+Report1!P15</f>
        <v>34.624000000000002</v>
      </c>
      <c r="E15" s="270">
        <f>+Report1!R15</f>
        <v>31.478000000000002</v>
      </c>
      <c r="F15" s="544">
        <v>0</v>
      </c>
      <c r="G15" s="545">
        <f t="shared" si="0"/>
        <v>0</v>
      </c>
      <c r="H15" s="546">
        <f t="shared" si="112"/>
        <v>0</v>
      </c>
      <c r="I15" s="544"/>
      <c r="J15" s="545">
        <f t="shared" si="1"/>
        <v>0</v>
      </c>
      <c r="K15" s="546">
        <f t="shared" si="113"/>
        <v>0</v>
      </c>
      <c r="L15" s="544"/>
      <c r="M15" s="545">
        <f t="shared" si="2"/>
        <v>0</v>
      </c>
      <c r="N15" s="546">
        <f t="shared" si="114"/>
        <v>0</v>
      </c>
      <c r="O15" s="544">
        <v>12</v>
      </c>
      <c r="P15" s="545">
        <f t="shared" si="3"/>
        <v>0.38121862888366476</v>
      </c>
      <c r="Q15" s="546">
        <f t="shared" si="115"/>
        <v>0</v>
      </c>
      <c r="R15" s="544"/>
      <c r="S15" s="545">
        <f t="shared" si="4"/>
        <v>0</v>
      </c>
      <c r="T15" s="546">
        <f t="shared" si="116"/>
        <v>0</v>
      </c>
      <c r="U15" s="544">
        <v>10.25</v>
      </c>
      <c r="V15" s="545">
        <f t="shared" si="5"/>
        <v>0.32562424550479696</v>
      </c>
      <c r="W15" s="546">
        <f t="shared" si="117"/>
        <v>0</v>
      </c>
      <c r="X15" s="544"/>
      <c r="Y15" s="545">
        <f t="shared" si="6"/>
        <v>0</v>
      </c>
      <c r="Z15" s="546">
        <f t="shared" si="118"/>
        <v>0</v>
      </c>
      <c r="AA15" s="544"/>
      <c r="AB15" s="545">
        <f t="shared" si="7"/>
        <v>0</v>
      </c>
      <c r="AC15" s="546">
        <f t="shared" si="119"/>
        <v>0</v>
      </c>
      <c r="AD15" s="544"/>
      <c r="AE15" s="545">
        <f t="shared" si="8"/>
        <v>0</v>
      </c>
      <c r="AF15" s="546">
        <f t="shared" si="120"/>
        <v>0</v>
      </c>
      <c r="AG15" s="544"/>
      <c r="AH15" s="545">
        <f t="shared" si="9"/>
        <v>0</v>
      </c>
      <c r="AI15" s="546">
        <f t="shared" si="121"/>
        <v>0</v>
      </c>
      <c r="AJ15" s="544"/>
      <c r="AK15" s="545">
        <f t="shared" si="10"/>
        <v>0</v>
      </c>
      <c r="AL15" s="546">
        <f t="shared" si="122"/>
        <v>0</v>
      </c>
      <c r="AM15" s="544">
        <v>28.910256410256466</v>
      </c>
      <c r="AN15" s="545">
        <f t="shared" si="11"/>
        <v>0.91842735911609585</v>
      </c>
      <c r="AO15" s="546">
        <f t="shared" si="123"/>
        <v>0</v>
      </c>
      <c r="AP15" s="544"/>
      <c r="AQ15" s="545">
        <f t="shared" si="12"/>
        <v>0</v>
      </c>
      <c r="AR15" s="546">
        <f t="shared" si="124"/>
        <v>0</v>
      </c>
      <c r="AS15" s="544"/>
      <c r="AT15" s="545">
        <f t="shared" si="13"/>
        <v>0</v>
      </c>
      <c r="AU15" s="546">
        <f t="shared" si="125"/>
        <v>0</v>
      </c>
      <c r="AV15" s="544">
        <v>5.5499999999999972</v>
      </c>
      <c r="AW15" s="545">
        <f t="shared" si="14"/>
        <v>0.17631361585869487</v>
      </c>
      <c r="AX15" s="546">
        <f t="shared" si="126"/>
        <v>0</v>
      </c>
      <c r="AY15" s="544">
        <v>44.333333333333314</v>
      </c>
      <c r="AZ15" s="545">
        <f t="shared" si="15"/>
        <v>1.4083910455979831</v>
      </c>
      <c r="BA15" s="546">
        <f t="shared" si="127"/>
        <v>0</v>
      </c>
      <c r="BB15" s="544"/>
      <c r="BC15" s="545">
        <f t="shared" si="16"/>
        <v>0</v>
      </c>
      <c r="BD15" s="546">
        <f t="shared" si="128"/>
        <v>0</v>
      </c>
      <c r="BE15" s="544"/>
      <c r="BF15" s="545">
        <f t="shared" si="17"/>
        <v>0</v>
      </c>
      <c r="BG15" s="546">
        <f t="shared" si="129"/>
        <v>0</v>
      </c>
      <c r="BH15" s="544"/>
      <c r="BI15" s="545">
        <f t="shared" si="18"/>
        <v>0</v>
      </c>
      <c r="BJ15" s="546">
        <f t="shared" si="130"/>
        <v>0</v>
      </c>
      <c r="BK15" s="544"/>
      <c r="BL15" s="545">
        <f t="shared" si="19"/>
        <v>0</v>
      </c>
      <c r="BM15" s="546">
        <f t="shared" si="131"/>
        <v>0</v>
      </c>
      <c r="BN15" s="544"/>
      <c r="BO15" s="545">
        <f t="shared" si="20"/>
        <v>0</v>
      </c>
      <c r="BP15" s="546">
        <f t="shared" si="132"/>
        <v>0</v>
      </c>
      <c r="BQ15" s="544"/>
      <c r="BR15" s="545">
        <f t="shared" si="21"/>
        <v>0</v>
      </c>
      <c r="BS15" s="546">
        <f t="shared" si="133"/>
        <v>0</v>
      </c>
      <c r="BT15" s="544"/>
      <c r="BU15" s="545">
        <f t="shared" si="22"/>
        <v>0</v>
      </c>
      <c r="BV15" s="546">
        <f t="shared" si="134"/>
        <v>0</v>
      </c>
      <c r="BW15" s="544"/>
      <c r="BX15" s="545">
        <f t="shared" si="23"/>
        <v>0</v>
      </c>
      <c r="BY15" s="546">
        <f t="shared" si="135"/>
        <v>0</v>
      </c>
      <c r="BZ15" s="544">
        <v>0</v>
      </c>
      <c r="CA15" s="545">
        <f t="shared" si="24"/>
        <v>0</v>
      </c>
      <c r="CB15" s="546">
        <f t="shared" si="136"/>
        <v>0</v>
      </c>
      <c r="CC15" s="544">
        <v>37.5</v>
      </c>
      <c r="CD15" s="545">
        <f t="shared" si="25"/>
        <v>1.1913082152614525</v>
      </c>
      <c r="CE15" s="546">
        <f t="shared" si="137"/>
        <v>0</v>
      </c>
      <c r="CF15" s="544">
        <v>2</v>
      </c>
      <c r="CG15" s="545">
        <f t="shared" si="26"/>
        <v>6.3536438147277455E-2</v>
      </c>
      <c r="CH15" s="546">
        <f t="shared" si="138"/>
        <v>0</v>
      </c>
      <c r="CI15" s="544"/>
      <c r="CJ15" s="545">
        <f t="shared" si="27"/>
        <v>0</v>
      </c>
      <c r="CK15" s="546">
        <f t="shared" si="139"/>
        <v>0</v>
      </c>
      <c r="CL15" s="544"/>
      <c r="CM15" s="545">
        <f t="shared" si="28"/>
        <v>0</v>
      </c>
      <c r="CN15" s="546">
        <f t="shared" si="140"/>
        <v>0</v>
      </c>
      <c r="CO15" s="544"/>
      <c r="CP15" s="545">
        <f t="shared" si="29"/>
        <v>0</v>
      </c>
      <c r="CQ15" s="546">
        <f t="shared" si="141"/>
        <v>0</v>
      </c>
      <c r="CR15" s="544"/>
      <c r="CS15" s="545">
        <f t="shared" si="30"/>
        <v>0</v>
      </c>
      <c r="CT15" s="546">
        <f t="shared" si="142"/>
        <v>0</v>
      </c>
      <c r="CU15" s="544"/>
      <c r="CV15" s="545">
        <f t="shared" si="31"/>
        <v>0</v>
      </c>
      <c r="CW15" s="546">
        <f t="shared" si="143"/>
        <v>0</v>
      </c>
      <c r="CX15" s="544"/>
      <c r="CY15" s="545">
        <f t="shared" si="32"/>
        <v>0</v>
      </c>
      <c r="CZ15" s="546">
        <f t="shared" si="144"/>
        <v>0</v>
      </c>
      <c r="DA15" s="544">
        <v>0</v>
      </c>
      <c r="DB15" s="545">
        <f t="shared" si="33"/>
        <v>0</v>
      </c>
      <c r="DC15" s="546">
        <f t="shared" si="145"/>
        <v>0</v>
      </c>
      <c r="DD15" s="544"/>
      <c r="DE15" s="545">
        <f t="shared" si="34"/>
        <v>0</v>
      </c>
      <c r="DF15" s="546">
        <f t="shared" si="146"/>
        <v>0</v>
      </c>
      <c r="DG15" s="544"/>
      <c r="DH15" s="545">
        <f t="shared" si="35"/>
        <v>0</v>
      </c>
      <c r="DI15" s="546">
        <f t="shared" si="201"/>
        <v>0</v>
      </c>
      <c r="DJ15" s="544"/>
      <c r="DK15" s="545">
        <f t="shared" si="36"/>
        <v>0</v>
      </c>
      <c r="DL15" s="546">
        <f t="shared" si="147"/>
        <v>0</v>
      </c>
      <c r="DM15" s="544"/>
      <c r="DN15" s="545">
        <f t="shared" si="37"/>
        <v>0</v>
      </c>
      <c r="DO15" s="546">
        <f t="shared" si="148"/>
        <v>0</v>
      </c>
      <c r="DP15" s="544"/>
      <c r="DQ15" s="545">
        <f t="shared" si="38"/>
        <v>0</v>
      </c>
      <c r="DR15" s="546">
        <f t="shared" si="149"/>
        <v>0</v>
      </c>
      <c r="DS15" s="544"/>
      <c r="DT15" s="545">
        <f t="shared" si="39"/>
        <v>0</v>
      </c>
      <c r="DU15" s="546">
        <f t="shared" si="150"/>
        <v>0</v>
      </c>
      <c r="DV15" s="544"/>
      <c r="DW15" s="545">
        <f t="shared" si="40"/>
        <v>0</v>
      </c>
      <c r="DX15" s="546">
        <f t="shared" si="151"/>
        <v>0</v>
      </c>
      <c r="DY15" s="544"/>
      <c r="DZ15" s="545">
        <f t="shared" si="41"/>
        <v>0</v>
      </c>
      <c r="EA15" s="546">
        <f t="shared" si="152"/>
        <v>0</v>
      </c>
      <c r="EB15" s="544">
        <v>376.47058823529392</v>
      </c>
      <c r="EC15" s="545">
        <f t="shared" si="42"/>
        <v>11.959800121840457</v>
      </c>
      <c r="ED15" s="546">
        <f t="shared" si="153"/>
        <v>0</v>
      </c>
      <c r="EE15" s="544">
        <v>0</v>
      </c>
      <c r="EF15" s="545">
        <f t="shared" si="43"/>
        <v>0</v>
      </c>
      <c r="EG15" s="546">
        <f t="shared" si="154"/>
        <v>0</v>
      </c>
      <c r="EH15" s="544">
        <v>0</v>
      </c>
      <c r="EI15" s="545">
        <f t="shared" si="44"/>
        <v>0</v>
      </c>
      <c r="EJ15" s="546">
        <f t="shared" si="155"/>
        <v>0</v>
      </c>
      <c r="EK15" s="544"/>
      <c r="EL15" s="545">
        <f t="shared" si="45"/>
        <v>0</v>
      </c>
      <c r="EM15" s="546">
        <f t="shared" si="156"/>
        <v>0</v>
      </c>
      <c r="EN15" s="544"/>
      <c r="EO15" s="545">
        <f t="shared" si="46"/>
        <v>0</v>
      </c>
      <c r="EP15" s="546">
        <f t="shared" si="157"/>
        <v>0</v>
      </c>
      <c r="EQ15" s="544"/>
      <c r="ER15" s="545">
        <f t="shared" si="47"/>
        <v>0</v>
      </c>
      <c r="ES15" s="546">
        <f t="shared" si="158"/>
        <v>0</v>
      </c>
      <c r="ET15" s="544"/>
      <c r="EU15" s="545">
        <f t="shared" si="48"/>
        <v>0</v>
      </c>
      <c r="EV15" s="546">
        <f t="shared" si="159"/>
        <v>0</v>
      </c>
      <c r="EW15" s="544"/>
      <c r="EX15" s="545">
        <f t="shared" si="49"/>
        <v>0</v>
      </c>
      <c r="EY15" s="546">
        <f t="shared" si="160"/>
        <v>0</v>
      </c>
      <c r="EZ15" s="544"/>
      <c r="FA15" s="545">
        <f t="shared" si="50"/>
        <v>0</v>
      </c>
      <c r="FB15" s="546">
        <f t="shared" si="161"/>
        <v>0</v>
      </c>
      <c r="FC15" s="544"/>
      <c r="FD15" s="545">
        <f t="shared" si="51"/>
        <v>0</v>
      </c>
      <c r="FE15" s="546">
        <f t="shared" si="162"/>
        <v>0</v>
      </c>
      <c r="FF15" s="544"/>
      <c r="FG15" s="545">
        <f t="shared" si="52"/>
        <v>0</v>
      </c>
      <c r="FH15" s="546">
        <f t="shared" si="163"/>
        <v>0</v>
      </c>
      <c r="FI15" s="544"/>
      <c r="FJ15" s="545">
        <f t="shared" si="53"/>
        <v>0</v>
      </c>
      <c r="FK15" s="546">
        <f t="shared" si="164"/>
        <v>0</v>
      </c>
      <c r="FL15" s="544"/>
      <c r="FM15" s="545">
        <f t="shared" si="54"/>
        <v>0</v>
      </c>
      <c r="FN15" s="546">
        <f t="shared" si="165"/>
        <v>0</v>
      </c>
      <c r="FO15" s="544"/>
      <c r="FP15" s="545">
        <f t="shared" si="55"/>
        <v>0</v>
      </c>
      <c r="FQ15" s="546">
        <f t="shared" si="166"/>
        <v>0</v>
      </c>
      <c r="FR15" s="544"/>
      <c r="FS15" s="545">
        <f t="shared" si="56"/>
        <v>0</v>
      </c>
      <c r="FT15" s="546">
        <f t="shared" si="167"/>
        <v>0</v>
      </c>
      <c r="FU15" s="544"/>
      <c r="FV15" s="545">
        <f t="shared" si="57"/>
        <v>0</v>
      </c>
      <c r="FW15" s="546">
        <f t="shared" si="168"/>
        <v>0</v>
      </c>
      <c r="FX15" s="544"/>
      <c r="FY15" s="545">
        <f t="shared" si="58"/>
        <v>0</v>
      </c>
      <c r="FZ15" s="546">
        <f t="shared" si="169"/>
        <v>0</v>
      </c>
      <c r="GA15" s="544"/>
      <c r="GB15" s="545">
        <f t="shared" si="59"/>
        <v>0</v>
      </c>
      <c r="GC15" s="546">
        <f t="shared" si="170"/>
        <v>0</v>
      </c>
      <c r="GD15" s="544"/>
      <c r="GE15" s="545">
        <f t="shared" si="60"/>
        <v>0</v>
      </c>
      <c r="GF15" s="546">
        <f t="shared" si="171"/>
        <v>0</v>
      </c>
      <c r="GG15" s="544"/>
      <c r="GH15" s="545">
        <f t="shared" si="61"/>
        <v>0</v>
      </c>
      <c r="GI15" s="546">
        <f t="shared" si="172"/>
        <v>0</v>
      </c>
      <c r="GJ15" s="544"/>
      <c r="GK15" s="545">
        <f t="shared" si="62"/>
        <v>0</v>
      </c>
      <c r="GL15" s="546">
        <f t="shared" si="173"/>
        <v>0</v>
      </c>
      <c r="GM15" s="544"/>
      <c r="GN15" s="545">
        <f t="shared" si="63"/>
        <v>0</v>
      </c>
      <c r="GO15" s="546">
        <f t="shared" si="174"/>
        <v>0</v>
      </c>
      <c r="GP15" s="544"/>
      <c r="GQ15" s="545">
        <f t="shared" si="64"/>
        <v>0</v>
      </c>
      <c r="GR15" s="546">
        <f t="shared" si="175"/>
        <v>0</v>
      </c>
      <c r="GS15" s="544"/>
      <c r="GT15" s="545">
        <f t="shared" si="65"/>
        <v>0</v>
      </c>
      <c r="GU15" s="546">
        <f t="shared" si="176"/>
        <v>0</v>
      </c>
      <c r="GV15" s="544"/>
      <c r="GW15" s="545">
        <f t="shared" si="66"/>
        <v>0</v>
      </c>
      <c r="GX15" s="546">
        <f t="shared" si="177"/>
        <v>0</v>
      </c>
      <c r="GY15" s="544"/>
      <c r="GZ15" s="545">
        <f t="shared" si="67"/>
        <v>0</v>
      </c>
      <c r="HA15" s="546">
        <f t="shared" si="178"/>
        <v>0</v>
      </c>
      <c r="HB15" s="544"/>
      <c r="HC15" s="545">
        <f t="shared" si="68"/>
        <v>0</v>
      </c>
      <c r="HD15" s="546">
        <f t="shared" si="179"/>
        <v>0</v>
      </c>
      <c r="HE15" s="544"/>
      <c r="HF15" s="545">
        <f t="shared" si="69"/>
        <v>0</v>
      </c>
      <c r="HG15" s="546">
        <f t="shared" si="180"/>
        <v>0</v>
      </c>
      <c r="HH15" s="544"/>
      <c r="HI15" s="545">
        <f t="shared" si="70"/>
        <v>0</v>
      </c>
      <c r="HJ15" s="546">
        <f t="shared" si="181"/>
        <v>0</v>
      </c>
      <c r="HK15" s="544"/>
      <c r="HL15" s="545">
        <f t="shared" si="71"/>
        <v>0</v>
      </c>
      <c r="HM15" s="546">
        <f t="shared" si="182"/>
        <v>0</v>
      </c>
      <c r="HN15" s="544"/>
      <c r="HO15" s="545">
        <f t="shared" si="72"/>
        <v>0</v>
      </c>
      <c r="HP15" s="546">
        <f t="shared" si="183"/>
        <v>0</v>
      </c>
      <c r="HQ15" s="544"/>
      <c r="HR15" s="545">
        <f t="shared" si="73"/>
        <v>0</v>
      </c>
      <c r="HS15" s="546">
        <f t="shared" si="184"/>
        <v>0</v>
      </c>
      <c r="HT15" s="544"/>
      <c r="HU15" s="545">
        <f t="shared" si="74"/>
        <v>0</v>
      </c>
      <c r="HV15" s="546">
        <f t="shared" si="185"/>
        <v>0</v>
      </c>
      <c r="HW15" s="544"/>
      <c r="HX15" s="545">
        <f t="shared" si="75"/>
        <v>0</v>
      </c>
      <c r="HY15" s="546">
        <f t="shared" si="186"/>
        <v>0</v>
      </c>
      <c r="HZ15" s="544"/>
      <c r="IA15" s="545">
        <f t="shared" si="76"/>
        <v>0</v>
      </c>
      <c r="IB15" s="546">
        <f t="shared" si="187"/>
        <v>0</v>
      </c>
      <c r="IC15" s="544"/>
      <c r="ID15" s="545">
        <f t="shared" si="77"/>
        <v>0</v>
      </c>
      <c r="IE15" s="546">
        <f t="shared" si="188"/>
        <v>0</v>
      </c>
      <c r="IF15" s="544"/>
      <c r="IG15" s="545">
        <f t="shared" si="78"/>
        <v>0</v>
      </c>
      <c r="IH15" s="546">
        <f t="shared" si="189"/>
        <v>0</v>
      </c>
      <c r="II15" s="544"/>
      <c r="IJ15" s="545">
        <f t="shared" si="79"/>
        <v>0</v>
      </c>
      <c r="IK15" s="546">
        <f t="shared" si="190"/>
        <v>0</v>
      </c>
      <c r="IL15" s="544"/>
      <c r="IM15" s="545">
        <f t="shared" si="80"/>
        <v>0</v>
      </c>
      <c r="IN15" s="546">
        <f t="shared" si="191"/>
        <v>0</v>
      </c>
      <c r="IO15" s="544"/>
      <c r="IP15" s="545">
        <f t="shared" si="81"/>
        <v>0</v>
      </c>
      <c r="IQ15" s="546">
        <f t="shared" si="192"/>
        <v>0</v>
      </c>
      <c r="IR15" s="544"/>
      <c r="IS15" s="545">
        <f t="shared" si="82"/>
        <v>0</v>
      </c>
      <c r="IT15" s="546">
        <f t="shared" si="193"/>
        <v>0</v>
      </c>
      <c r="IU15" s="544"/>
      <c r="IV15" s="545">
        <f t="shared" si="83"/>
        <v>0</v>
      </c>
      <c r="IW15" s="546">
        <f t="shared" si="194"/>
        <v>0</v>
      </c>
      <c r="IX15" s="544"/>
      <c r="IY15" s="545">
        <f t="shared" si="84"/>
        <v>0</v>
      </c>
      <c r="IZ15" s="546">
        <f t="shared" si="195"/>
        <v>0</v>
      </c>
      <c r="JA15" s="544"/>
      <c r="JB15" s="545">
        <f t="shared" si="85"/>
        <v>0</v>
      </c>
      <c r="JC15" s="546">
        <f t="shared" si="196"/>
        <v>0</v>
      </c>
      <c r="JD15" s="544"/>
      <c r="JE15" s="545">
        <f t="shared" si="86"/>
        <v>0</v>
      </c>
      <c r="JF15" s="546">
        <f t="shared" si="197"/>
        <v>0</v>
      </c>
      <c r="JG15" s="544"/>
      <c r="JH15" s="546" t="str">
        <f t="shared" si="87"/>
        <v>0</v>
      </c>
      <c r="JI15" s="546" t="str">
        <f t="shared" si="88"/>
        <v>0</v>
      </c>
      <c r="JJ15" s="544"/>
      <c r="JK15" s="546" t="str">
        <f t="shared" si="89"/>
        <v>0</v>
      </c>
      <c r="JL15" s="546" t="str">
        <f t="shared" si="90"/>
        <v>0</v>
      </c>
      <c r="JM15" s="544"/>
      <c r="JN15" s="546" t="str">
        <f t="shared" si="91"/>
        <v>0</v>
      </c>
      <c r="JO15" s="546" t="str">
        <f t="shared" si="92"/>
        <v>0</v>
      </c>
      <c r="JP15" s="544"/>
      <c r="JQ15" s="546" t="str">
        <f t="shared" si="93"/>
        <v>0</v>
      </c>
      <c r="JR15" s="546" t="str">
        <f t="shared" si="94"/>
        <v>0</v>
      </c>
      <c r="JS15" s="544"/>
      <c r="JT15" s="546" t="str">
        <f t="shared" si="95"/>
        <v>0</v>
      </c>
      <c r="JU15" s="546" t="str">
        <f t="shared" si="96"/>
        <v>0</v>
      </c>
      <c r="JV15" s="544"/>
      <c r="JW15" s="546" t="str">
        <f t="shared" si="97"/>
        <v>0</v>
      </c>
      <c r="JX15" s="546" t="str">
        <f t="shared" si="98"/>
        <v>0</v>
      </c>
      <c r="JY15" s="544"/>
      <c r="JZ15" s="546" t="str">
        <f t="shared" si="99"/>
        <v>0</v>
      </c>
      <c r="KA15" s="546" t="str">
        <f t="shared" si="100"/>
        <v>0</v>
      </c>
      <c r="KB15" s="544"/>
      <c r="KC15" s="546" t="str">
        <f t="shared" si="101"/>
        <v>0</v>
      </c>
      <c r="KD15" s="546" t="str">
        <f t="shared" si="102"/>
        <v>0</v>
      </c>
      <c r="KE15" s="544"/>
      <c r="KF15" s="546" t="str">
        <f t="shared" si="103"/>
        <v>0</v>
      </c>
      <c r="KG15" s="546" t="str">
        <f t="shared" si="104"/>
        <v>0</v>
      </c>
      <c r="KH15" s="544"/>
      <c r="KI15" s="546" t="str">
        <f t="shared" si="105"/>
        <v>0</v>
      </c>
      <c r="KJ15" s="546" t="str">
        <f t="shared" si="106"/>
        <v>0</v>
      </c>
      <c r="KK15" s="544"/>
      <c r="KL15" s="546" t="str">
        <f t="shared" si="107"/>
        <v>0</v>
      </c>
      <c r="KM15" s="546" t="str">
        <f t="shared" si="108"/>
        <v>0</v>
      </c>
      <c r="KN15" s="544"/>
      <c r="KO15" s="546" t="str">
        <f t="shared" si="109"/>
        <v>0</v>
      </c>
      <c r="KP15" s="546" t="str">
        <f t="shared" si="110"/>
        <v>0</v>
      </c>
      <c r="KQ15" s="546">
        <f t="shared" si="111"/>
        <v>0</v>
      </c>
      <c r="KR15" s="546">
        <f t="shared" si="198"/>
        <v>0</v>
      </c>
      <c r="KS15" s="265">
        <f t="shared" si="199"/>
        <v>517.01417797888371</v>
      </c>
    </row>
    <row r="16" spans="1:305" ht="15" customHeight="1">
      <c r="A16" s="267">
        <f t="shared" si="200"/>
        <v>45724</v>
      </c>
      <c r="B16" s="268" t="str">
        <f>+Report1!B16</f>
        <v>Napkin</v>
      </c>
      <c r="C16" s="268" t="str">
        <f>+Report1!C16</f>
        <v>19/25</v>
      </c>
      <c r="D16" s="269">
        <f>+Report1!P16</f>
        <v>69.406999999999996</v>
      </c>
      <c r="E16" s="270">
        <f>+Report1!R16</f>
        <v>68.77</v>
      </c>
      <c r="F16" s="544"/>
      <c r="G16" s="545">
        <f t="shared" si="0"/>
        <v>0</v>
      </c>
      <c r="H16" s="546">
        <f t="shared" si="112"/>
        <v>0</v>
      </c>
      <c r="I16" s="544"/>
      <c r="J16" s="545">
        <f t="shared" si="1"/>
        <v>0</v>
      </c>
      <c r="K16" s="546">
        <f t="shared" si="113"/>
        <v>0</v>
      </c>
      <c r="L16" s="544"/>
      <c r="M16" s="545">
        <f t="shared" si="2"/>
        <v>0</v>
      </c>
      <c r="N16" s="546">
        <f t="shared" si="114"/>
        <v>0</v>
      </c>
      <c r="O16" s="544">
        <v>5.9999999999999716</v>
      </c>
      <c r="P16" s="545">
        <f t="shared" si="3"/>
        <v>8.7247346226551864E-2</v>
      </c>
      <c r="Q16" s="546">
        <f t="shared" si="115"/>
        <v>0</v>
      </c>
      <c r="R16" s="544"/>
      <c r="S16" s="545">
        <f t="shared" si="4"/>
        <v>0</v>
      </c>
      <c r="T16" s="546">
        <f t="shared" si="116"/>
        <v>0</v>
      </c>
      <c r="U16" s="544">
        <v>10.249999999999943</v>
      </c>
      <c r="V16" s="545">
        <f t="shared" si="5"/>
        <v>0.14904754980369264</v>
      </c>
      <c r="W16" s="546">
        <f t="shared" si="117"/>
        <v>0</v>
      </c>
      <c r="X16" s="544"/>
      <c r="Y16" s="545">
        <f t="shared" si="6"/>
        <v>0</v>
      </c>
      <c r="Z16" s="546">
        <f t="shared" si="118"/>
        <v>0</v>
      </c>
      <c r="AA16" s="544"/>
      <c r="AB16" s="545">
        <f t="shared" si="7"/>
        <v>0</v>
      </c>
      <c r="AC16" s="546">
        <f t="shared" si="119"/>
        <v>0</v>
      </c>
      <c r="AD16" s="544"/>
      <c r="AE16" s="545">
        <f t="shared" si="8"/>
        <v>0</v>
      </c>
      <c r="AF16" s="546">
        <f t="shared" si="120"/>
        <v>0</v>
      </c>
      <c r="AG16" s="544"/>
      <c r="AH16" s="545">
        <f t="shared" si="9"/>
        <v>0</v>
      </c>
      <c r="AI16" s="546">
        <f t="shared" si="121"/>
        <v>0</v>
      </c>
      <c r="AJ16" s="544"/>
      <c r="AK16" s="545">
        <f t="shared" si="10"/>
        <v>0</v>
      </c>
      <c r="AL16" s="546">
        <f t="shared" si="122"/>
        <v>0</v>
      </c>
      <c r="AM16" s="544">
        <v>49.935897435897431</v>
      </c>
      <c r="AN16" s="545">
        <f t="shared" si="11"/>
        <v>0.7261290887872246</v>
      </c>
      <c r="AO16" s="546">
        <f t="shared" si="123"/>
        <v>0</v>
      </c>
      <c r="AP16" s="544"/>
      <c r="AQ16" s="545">
        <f t="shared" si="12"/>
        <v>0</v>
      </c>
      <c r="AR16" s="546">
        <f t="shared" si="124"/>
        <v>0</v>
      </c>
      <c r="AS16" s="544"/>
      <c r="AT16" s="545">
        <f t="shared" si="13"/>
        <v>0</v>
      </c>
      <c r="AU16" s="546">
        <f t="shared" si="125"/>
        <v>0</v>
      </c>
      <c r="AV16" s="544">
        <v>8.3250000000000028</v>
      </c>
      <c r="AW16" s="545">
        <f t="shared" si="14"/>
        <v>0.12105569288934133</v>
      </c>
      <c r="AX16" s="546">
        <f t="shared" si="126"/>
        <v>0</v>
      </c>
      <c r="AY16" s="544">
        <v>42</v>
      </c>
      <c r="AZ16" s="545">
        <f t="shared" si="15"/>
        <v>0.61073142358586596</v>
      </c>
      <c r="BA16" s="546">
        <f t="shared" si="127"/>
        <v>0</v>
      </c>
      <c r="BB16" s="544"/>
      <c r="BC16" s="545">
        <f t="shared" si="16"/>
        <v>0</v>
      </c>
      <c r="BD16" s="546">
        <f t="shared" si="128"/>
        <v>0</v>
      </c>
      <c r="BE16" s="544"/>
      <c r="BF16" s="545">
        <f t="shared" si="17"/>
        <v>0</v>
      </c>
      <c r="BG16" s="546">
        <f t="shared" si="129"/>
        <v>0</v>
      </c>
      <c r="BH16" s="544"/>
      <c r="BI16" s="545">
        <f t="shared" si="18"/>
        <v>0</v>
      </c>
      <c r="BJ16" s="546">
        <f t="shared" si="130"/>
        <v>0</v>
      </c>
      <c r="BK16" s="544"/>
      <c r="BL16" s="545">
        <f t="shared" si="19"/>
        <v>0</v>
      </c>
      <c r="BM16" s="546">
        <f t="shared" si="131"/>
        <v>0</v>
      </c>
      <c r="BN16" s="544"/>
      <c r="BO16" s="545">
        <f t="shared" si="20"/>
        <v>0</v>
      </c>
      <c r="BP16" s="546">
        <f t="shared" si="132"/>
        <v>0</v>
      </c>
      <c r="BQ16" s="544"/>
      <c r="BR16" s="545">
        <f t="shared" si="21"/>
        <v>0</v>
      </c>
      <c r="BS16" s="546">
        <f t="shared" si="133"/>
        <v>0</v>
      </c>
      <c r="BT16" s="544"/>
      <c r="BU16" s="545">
        <f t="shared" si="22"/>
        <v>0</v>
      </c>
      <c r="BV16" s="546">
        <f t="shared" si="134"/>
        <v>0</v>
      </c>
      <c r="BW16" s="544"/>
      <c r="BX16" s="545">
        <f t="shared" si="23"/>
        <v>0</v>
      </c>
      <c r="BY16" s="546">
        <f t="shared" si="135"/>
        <v>0</v>
      </c>
      <c r="BZ16" s="544"/>
      <c r="CA16" s="545">
        <f t="shared" si="24"/>
        <v>0</v>
      </c>
      <c r="CB16" s="546">
        <f t="shared" si="136"/>
        <v>0</v>
      </c>
      <c r="CC16" s="544">
        <v>50</v>
      </c>
      <c r="CD16" s="545">
        <f t="shared" si="25"/>
        <v>0.72706121855460237</v>
      </c>
      <c r="CE16" s="546">
        <f t="shared" si="137"/>
        <v>0</v>
      </c>
      <c r="CF16" s="544">
        <v>0.89999999999999858</v>
      </c>
      <c r="CG16" s="545">
        <f t="shared" si="26"/>
        <v>1.3087101933982822E-2</v>
      </c>
      <c r="CH16" s="546">
        <f t="shared" si="138"/>
        <v>0</v>
      </c>
      <c r="CI16" s="544"/>
      <c r="CJ16" s="545">
        <f t="shared" si="27"/>
        <v>0</v>
      </c>
      <c r="CK16" s="546">
        <f t="shared" si="139"/>
        <v>0</v>
      </c>
      <c r="CL16" s="544"/>
      <c r="CM16" s="545">
        <f t="shared" si="28"/>
        <v>0</v>
      </c>
      <c r="CN16" s="546">
        <f t="shared" si="140"/>
        <v>0</v>
      </c>
      <c r="CO16" s="544"/>
      <c r="CP16" s="545">
        <f t="shared" si="29"/>
        <v>0</v>
      </c>
      <c r="CQ16" s="546">
        <f t="shared" si="141"/>
        <v>0</v>
      </c>
      <c r="CR16" s="544"/>
      <c r="CS16" s="545">
        <f t="shared" si="30"/>
        <v>0</v>
      </c>
      <c r="CT16" s="546">
        <f t="shared" si="142"/>
        <v>0</v>
      </c>
      <c r="CU16" s="544"/>
      <c r="CV16" s="545">
        <f t="shared" si="31"/>
        <v>0</v>
      </c>
      <c r="CW16" s="546">
        <f t="shared" si="143"/>
        <v>0</v>
      </c>
      <c r="CX16" s="544"/>
      <c r="CY16" s="545">
        <f t="shared" si="32"/>
        <v>0</v>
      </c>
      <c r="CZ16" s="546">
        <f t="shared" si="144"/>
        <v>0</v>
      </c>
      <c r="DA16" s="544"/>
      <c r="DB16" s="545">
        <f t="shared" si="33"/>
        <v>0</v>
      </c>
      <c r="DC16" s="546">
        <f t="shared" si="145"/>
        <v>0</v>
      </c>
      <c r="DD16" s="544"/>
      <c r="DE16" s="545">
        <f t="shared" si="34"/>
        <v>0</v>
      </c>
      <c r="DF16" s="546">
        <f t="shared" si="146"/>
        <v>0</v>
      </c>
      <c r="DG16" s="544"/>
      <c r="DH16" s="545">
        <f t="shared" si="35"/>
        <v>0</v>
      </c>
      <c r="DI16" s="546">
        <f t="shared" si="201"/>
        <v>0</v>
      </c>
      <c r="DJ16" s="544"/>
      <c r="DK16" s="545">
        <f t="shared" si="36"/>
        <v>0</v>
      </c>
      <c r="DL16" s="546">
        <f t="shared" si="147"/>
        <v>0</v>
      </c>
      <c r="DM16" s="544"/>
      <c r="DN16" s="545">
        <f t="shared" si="37"/>
        <v>0</v>
      </c>
      <c r="DO16" s="546">
        <f t="shared" si="148"/>
        <v>0</v>
      </c>
      <c r="DP16" s="544"/>
      <c r="DQ16" s="545">
        <f t="shared" si="38"/>
        <v>0</v>
      </c>
      <c r="DR16" s="546">
        <f t="shared" si="149"/>
        <v>0</v>
      </c>
      <c r="DS16" s="544"/>
      <c r="DT16" s="545">
        <f t="shared" si="39"/>
        <v>0</v>
      </c>
      <c r="DU16" s="546">
        <f t="shared" si="150"/>
        <v>0</v>
      </c>
      <c r="DV16" s="544"/>
      <c r="DW16" s="545">
        <f t="shared" si="40"/>
        <v>0</v>
      </c>
      <c r="DX16" s="546">
        <f t="shared" si="151"/>
        <v>0</v>
      </c>
      <c r="DY16" s="544"/>
      <c r="DZ16" s="545">
        <f t="shared" si="41"/>
        <v>0</v>
      </c>
      <c r="EA16" s="546">
        <f t="shared" si="152"/>
        <v>0</v>
      </c>
      <c r="EB16" s="544">
        <v>529.41176470588266</v>
      </c>
      <c r="EC16" s="545">
        <f t="shared" si="42"/>
        <v>7.6982952552840294</v>
      </c>
      <c r="ED16" s="546">
        <f t="shared" si="153"/>
        <v>0</v>
      </c>
      <c r="EE16" s="544">
        <v>0</v>
      </c>
      <c r="EF16" s="545">
        <f t="shared" si="43"/>
        <v>0</v>
      </c>
      <c r="EG16" s="546">
        <f t="shared" si="154"/>
        <v>0</v>
      </c>
      <c r="EH16" s="544">
        <v>0</v>
      </c>
      <c r="EI16" s="545">
        <f t="shared" si="44"/>
        <v>0</v>
      </c>
      <c r="EJ16" s="546">
        <f t="shared" si="155"/>
        <v>0</v>
      </c>
      <c r="EK16" s="544"/>
      <c r="EL16" s="545">
        <f t="shared" si="45"/>
        <v>0</v>
      </c>
      <c r="EM16" s="546">
        <f t="shared" si="156"/>
        <v>0</v>
      </c>
      <c r="EN16" s="544"/>
      <c r="EO16" s="545">
        <f t="shared" si="46"/>
        <v>0</v>
      </c>
      <c r="EP16" s="546">
        <f t="shared" si="157"/>
        <v>0</v>
      </c>
      <c r="EQ16" s="544"/>
      <c r="ER16" s="545">
        <f t="shared" si="47"/>
        <v>0</v>
      </c>
      <c r="ES16" s="546">
        <f t="shared" si="158"/>
        <v>0</v>
      </c>
      <c r="ET16" s="544"/>
      <c r="EU16" s="545">
        <f t="shared" si="48"/>
        <v>0</v>
      </c>
      <c r="EV16" s="546">
        <f t="shared" si="159"/>
        <v>0</v>
      </c>
      <c r="EW16" s="544"/>
      <c r="EX16" s="545">
        <f t="shared" si="49"/>
        <v>0</v>
      </c>
      <c r="EY16" s="546">
        <f t="shared" si="160"/>
        <v>0</v>
      </c>
      <c r="EZ16" s="544"/>
      <c r="FA16" s="545">
        <f t="shared" si="50"/>
        <v>0</v>
      </c>
      <c r="FB16" s="546">
        <f t="shared" si="161"/>
        <v>0</v>
      </c>
      <c r="FC16" s="544"/>
      <c r="FD16" s="545">
        <f t="shared" si="51"/>
        <v>0</v>
      </c>
      <c r="FE16" s="546">
        <f t="shared" si="162"/>
        <v>0</v>
      </c>
      <c r="FF16" s="544"/>
      <c r="FG16" s="545">
        <f t="shared" si="52"/>
        <v>0</v>
      </c>
      <c r="FH16" s="546">
        <f t="shared" si="163"/>
        <v>0</v>
      </c>
      <c r="FI16" s="544"/>
      <c r="FJ16" s="545">
        <f t="shared" si="53"/>
        <v>0</v>
      </c>
      <c r="FK16" s="546">
        <f t="shared" si="164"/>
        <v>0</v>
      </c>
      <c r="FL16" s="544"/>
      <c r="FM16" s="545">
        <f t="shared" si="54"/>
        <v>0</v>
      </c>
      <c r="FN16" s="546">
        <f t="shared" si="165"/>
        <v>0</v>
      </c>
      <c r="FO16" s="544"/>
      <c r="FP16" s="545">
        <f t="shared" si="55"/>
        <v>0</v>
      </c>
      <c r="FQ16" s="546">
        <f t="shared" si="166"/>
        <v>0</v>
      </c>
      <c r="FR16" s="544"/>
      <c r="FS16" s="545">
        <f t="shared" si="56"/>
        <v>0</v>
      </c>
      <c r="FT16" s="546">
        <f t="shared" si="167"/>
        <v>0</v>
      </c>
      <c r="FU16" s="544"/>
      <c r="FV16" s="545">
        <f t="shared" si="57"/>
        <v>0</v>
      </c>
      <c r="FW16" s="546">
        <f t="shared" si="168"/>
        <v>0</v>
      </c>
      <c r="FX16" s="544"/>
      <c r="FY16" s="545">
        <f t="shared" si="58"/>
        <v>0</v>
      </c>
      <c r="FZ16" s="546">
        <f t="shared" si="169"/>
        <v>0</v>
      </c>
      <c r="GA16" s="544"/>
      <c r="GB16" s="545">
        <f t="shared" si="59"/>
        <v>0</v>
      </c>
      <c r="GC16" s="546">
        <f t="shared" si="170"/>
        <v>0</v>
      </c>
      <c r="GD16" s="544"/>
      <c r="GE16" s="545">
        <f t="shared" si="60"/>
        <v>0</v>
      </c>
      <c r="GF16" s="546">
        <f t="shared" si="171"/>
        <v>0</v>
      </c>
      <c r="GG16" s="544"/>
      <c r="GH16" s="545">
        <f t="shared" si="61"/>
        <v>0</v>
      </c>
      <c r="GI16" s="546">
        <f t="shared" si="172"/>
        <v>0</v>
      </c>
      <c r="GJ16" s="544"/>
      <c r="GK16" s="545">
        <f t="shared" si="62"/>
        <v>0</v>
      </c>
      <c r="GL16" s="546">
        <f t="shared" si="173"/>
        <v>0</v>
      </c>
      <c r="GM16" s="544"/>
      <c r="GN16" s="545">
        <f t="shared" si="63"/>
        <v>0</v>
      </c>
      <c r="GO16" s="546">
        <f t="shared" si="174"/>
        <v>0</v>
      </c>
      <c r="GP16" s="544"/>
      <c r="GQ16" s="545">
        <f t="shared" si="64"/>
        <v>0</v>
      </c>
      <c r="GR16" s="546">
        <f t="shared" si="175"/>
        <v>0</v>
      </c>
      <c r="GS16" s="544"/>
      <c r="GT16" s="545">
        <f t="shared" si="65"/>
        <v>0</v>
      </c>
      <c r="GU16" s="546">
        <f t="shared" si="176"/>
        <v>0</v>
      </c>
      <c r="GV16" s="544"/>
      <c r="GW16" s="545">
        <f t="shared" si="66"/>
        <v>0</v>
      </c>
      <c r="GX16" s="546">
        <f t="shared" si="177"/>
        <v>0</v>
      </c>
      <c r="GY16" s="544"/>
      <c r="GZ16" s="545">
        <f t="shared" si="67"/>
        <v>0</v>
      </c>
      <c r="HA16" s="546">
        <f t="shared" si="178"/>
        <v>0</v>
      </c>
      <c r="HB16" s="544"/>
      <c r="HC16" s="545">
        <f t="shared" si="68"/>
        <v>0</v>
      </c>
      <c r="HD16" s="546">
        <f t="shared" si="179"/>
        <v>0</v>
      </c>
      <c r="HE16" s="544"/>
      <c r="HF16" s="545">
        <f t="shared" si="69"/>
        <v>0</v>
      </c>
      <c r="HG16" s="546">
        <f t="shared" si="180"/>
        <v>0</v>
      </c>
      <c r="HH16" s="544"/>
      <c r="HI16" s="545">
        <f t="shared" si="70"/>
        <v>0</v>
      </c>
      <c r="HJ16" s="546">
        <f t="shared" si="181"/>
        <v>0</v>
      </c>
      <c r="HK16" s="544"/>
      <c r="HL16" s="545">
        <f t="shared" si="71"/>
        <v>0</v>
      </c>
      <c r="HM16" s="546">
        <f t="shared" si="182"/>
        <v>0</v>
      </c>
      <c r="HN16" s="544"/>
      <c r="HO16" s="545">
        <f t="shared" si="72"/>
        <v>0</v>
      </c>
      <c r="HP16" s="546">
        <f t="shared" si="183"/>
        <v>0</v>
      </c>
      <c r="HQ16" s="544"/>
      <c r="HR16" s="545">
        <f t="shared" si="73"/>
        <v>0</v>
      </c>
      <c r="HS16" s="546">
        <f t="shared" si="184"/>
        <v>0</v>
      </c>
      <c r="HT16" s="544"/>
      <c r="HU16" s="545">
        <f t="shared" si="74"/>
        <v>0</v>
      </c>
      <c r="HV16" s="546">
        <f t="shared" si="185"/>
        <v>0</v>
      </c>
      <c r="HW16" s="544"/>
      <c r="HX16" s="545">
        <f t="shared" si="75"/>
        <v>0</v>
      </c>
      <c r="HY16" s="546">
        <f t="shared" si="186"/>
        <v>0</v>
      </c>
      <c r="HZ16" s="544"/>
      <c r="IA16" s="545">
        <f t="shared" si="76"/>
        <v>0</v>
      </c>
      <c r="IB16" s="546">
        <f t="shared" si="187"/>
        <v>0</v>
      </c>
      <c r="IC16" s="544"/>
      <c r="ID16" s="545">
        <f t="shared" si="77"/>
        <v>0</v>
      </c>
      <c r="IE16" s="546">
        <f t="shared" si="188"/>
        <v>0</v>
      </c>
      <c r="IF16" s="544"/>
      <c r="IG16" s="545">
        <f t="shared" si="78"/>
        <v>0</v>
      </c>
      <c r="IH16" s="546">
        <f t="shared" si="189"/>
        <v>0</v>
      </c>
      <c r="II16" s="544"/>
      <c r="IJ16" s="545">
        <f t="shared" si="79"/>
        <v>0</v>
      </c>
      <c r="IK16" s="546">
        <f t="shared" si="190"/>
        <v>0</v>
      </c>
      <c r="IL16" s="544"/>
      <c r="IM16" s="545">
        <f t="shared" si="80"/>
        <v>0</v>
      </c>
      <c r="IN16" s="546">
        <f t="shared" si="191"/>
        <v>0</v>
      </c>
      <c r="IO16" s="544"/>
      <c r="IP16" s="545">
        <f t="shared" si="81"/>
        <v>0</v>
      </c>
      <c r="IQ16" s="546">
        <f t="shared" si="192"/>
        <v>0</v>
      </c>
      <c r="IR16" s="544"/>
      <c r="IS16" s="545">
        <f t="shared" si="82"/>
        <v>0</v>
      </c>
      <c r="IT16" s="546">
        <f t="shared" si="193"/>
        <v>0</v>
      </c>
      <c r="IU16" s="544"/>
      <c r="IV16" s="545">
        <f t="shared" si="83"/>
        <v>0</v>
      </c>
      <c r="IW16" s="546">
        <f t="shared" si="194"/>
        <v>0</v>
      </c>
      <c r="IX16" s="544"/>
      <c r="IY16" s="545">
        <f t="shared" si="84"/>
        <v>0</v>
      </c>
      <c r="IZ16" s="546">
        <f t="shared" si="195"/>
        <v>0</v>
      </c>
      <c r="JA16" s="544"/>
      <c r="JB16" s="545">
        <f t="shared" si="85"/>
        <v>0</v>
      </c>
      <c r="JC16" s="546">
        <f t="shared" si="196"/>
        <v>0</v>
      </c>
      <c r="JD16" s="544"/>
      <c r="JE16" s="545">
        <f t="shared" si="86"/>
        <v>0</v>
      </c>
      <c r="JF16" s="546">
        <f t="shared" si="197"/>
        <v>0</v>
      </c>
      <c r="JG16" s="544"/>
      <c r="JH16" s="546" t="str">
        <f t="shared" si="87"/>
        <v>0</v>
      </c>
      <c r="JI16" s="546" t="str">
        <f t="shared" si="88"/>
        <v>0</v>
      </c>
      <c r="JJ16" s="544"/>
      <c r="JK16" s="546" t="str">
        <f t="shared" si="89"/>
        <v>0</v>
      </c>
      <c r="JL16" s="546" t="str">
        <f t="shared" si="90"/>
        <v>0</v>
      </c>
      <c r="JM16" s="544"/>
      <c r="JN16" s="546" t="str">
        <f t="shared" si="91"/>
        <v>0</v>
      </c>
      <c r="JO16" s="546" t="str">
        <f t="shared" si="92"/>
        <v>0</v>
      </c>
      <c r="JP16" s="544"/>
      <c r="JQ16" s="546" t="str">
        <f t="shared" si="93"/>
        <v>0</v>
      </c>
      <c r="JR16" s="546" t="str">
        <f t="shared" si="94"/>
        <v>0</v>
      </c>
      <c r="JS16" s="544"/>
      <c r="JT16" s="546" t="str">
        <f t="shared" si="95"/>
        <v>0</v>
      </c>
      <c r="JU16" s="546" t="str">
        <f t="shared" si="96"/>
        <v>0</v>
      </c>
      <c r="JV16" s="544"/>
      <c r="JW16" s="546" t="str">
        <f t="shared" si="97"/>
        <v>0</v>
      </c>
      <c r="JX16" s="546" t="str">
        <f t="shared" si="98"/>
        <v>0</v>
      </c>
      <c r="JY16" s="544"/>
      <c r="JZ16" s="546" t="str">
        <f t="shared" si="99"/>
        <v>0</v>
      </c>
      <c r="KA16" s="546" t="str">
        <f t="shared" si="100"/>
        <v>0</v>
      </c>
      <c r="KB16" s="544"/>
      <c r="KC16" s="546" t="str">
        <f t="shared" si="101"/>
        <v>0</v>
      </c>
      <c r="KD16" s="546" t="str">
        <f t="shared" si="102"/>
        <v>0</v>
      </c>
      <c r="KE16" s="544"/>
      <c r="KF16" s="546" t="str">
        <f t="shared" si="103"/>
        <v>0</v>
      </c>
      <c r="KG16" s="546" t="str">
        <f t="shared" si="104"/>
        <v>0</v>
      </c>
      <c r="KH16" s="544"/>
      <c r="KI16" s="546" t="str">
        <f t="shared" si="105"/>
        <v>0</v>
      </c>
      <c r="KJ16" s="546" t="str">
        <f t="shared" si="106"/>
        <v>0</v>
      </c>
      <c r="KK16" s="544"/>
      <c r="KL16" s="546" t="str">
        <f t="shared" si="107"/>
        <v>0</v>
      </c>
      <c r="KM16" s="546" t="str">
        <f t="shared" si="108"/>
        <v>0</v>
      </c>
      <c r="KN16" s="544"/>
      <c r="KO16" s="546" t="str">
        <f t="shared" si="109"/>
        <v>0</v>
      </c>
      <c r="KP16" s="546" t="str">
        <f t="shared" si="110"/>
        <v>0</v>
      </c>
      <c r="KQ16" s="546">
        <f t="shared" si="111"/>
        <v>0</v>
      </c>
      <c r="KR16" s="546">
        <f t="shared" si="198"/>
        <v>0</v>
      </c>
      <c r="KS16" s="265">
        <f t="shared" si="199"/>
        <v>696.82266214178003</v>
      </c>
    </row>
    <row r="17" spans="1:305" ht="15" customHeight="1">
      <c r="A17" s="267">
        <f t="shared" si="200"/>
        <v>45725</v>
      </c>
      <c r="B17" s="268" t="str">
        <f>+Report1!B17</f>
        <v>Napkin</v>
      </c>
      <c r="C17" s="268" t="str">
        <f>+Report1!C17</f>
        <v>25/23</v>
      </c>
      <c r="D17" s="269">
        <f>+Report1!P17</f>
        <v>70.388999999999996</v>
      </c>
      <c r="E17" s="270">
        <f>+Report1!R17</f>
        <v>67.869</v>
      </c>
      <c r="F17" s="544"/>
      <c r="G17" s="545">
        <f t="shared" si="0"/>
        <v>0</v>
      </c>
      <c r="H17" s="546">
        <f t="shared" si="112"/>
        <v>0</v>
      </c>
      <c r="I17" s="544"/>
      <c r="J17" s="545">
        <f t="shared" si="1"/>
        <v>0</v>
      </c>
      <c r="K17" s="546">
        <f t="shared" si="113"/>
        <v>0</v>
      </c>
      <c r="L17" s="544"/>
      <c r="M17" s="545">
        <f t="shared" si="2"/>
        <v>0</v>
      </c>
      <c r="N17" s="546">
        <f t="shared" si="114"/>
        <v>0</v>
      </c>
      <c r="O17" s="544">
        <v>11.690799999999996</v>
      </c>
      <c r="P17" s="545">
        <f t="shared" si="3"/>
        <v>0.17225537432406543</v>
      </c>
      <c r="Q17" s="546">
        <f t="shared" si="115"/>
        <v>0</v>
      </c>
      <c r="R17" s="544"/>
      <c r="S17" s="545">
        <f t="shared" si="4"/>
        <v>0</v>
      </c>
      <c r="T17" s="546">
        <f t="shared" si="116"/>
        <v>0</v>
      </c>
      <c r="U17" s="544">
        <v>9.9926000000000386</v>
      </c>
      <c r="V17" s="545">
        <f t="shared" si="5"/>
        <v>0.14723364127952435</v>
      </c>
      <c r="W17" s="546">
        <f t="shared" si="117"/>
        <v>0</v>
      </c>
      <c r="X17" s="544"/>
      <c r="Y17" s="545">
        <f t="shared" si="6"/>
        <v>0</v>
      </c>
      <c r="Z17" s="546">
        <f t="shared" si="118"/>
        <v>0</v>
      </c>
      <c r="AA17" s="544"/>
      <c r="AB17" s="545">
        <f t="shared" si="7"/>
        <v>0</v>
      </c>
      <c r="AC17" s="546">
        <f t="shared" si="119"/>
        <v>0</v>
      </c>
      <c r="AD17" s="544"/>
      <c r="AE17" s="545">
        <f t="shared" si="8"/>
        <v>0</v>
      </c>
      <c r="AF17" s="546">
        <f t="shared" si="120"/>
        <v>0</v>
      </c>
      <c r="AG17" s="544"/>
      <c r="AH17" s="545">
        <f t="shared" si="9"/>
        <v>0</v>
      </c>
      <c r="AI17" s="546">
        <f t="shared" si="121"/>
        <v>0</v>
      </c>
      <c r="AJ17" s="544"/>
      <c r="AK17" s="545">
        <f t="shared" si="10"/>
        <v>0</v>
      </c>
      <c r="AL17" s="546">
        <f t="shared" si="122"/>
        <v>0</v>
      </c>
      <c r="AM17" s="544">
        <v>44.835820512820476</v>
      </c>
      <c r="AN17" s="545">
        <f t="shared" si="11"/>
        <v>0.66062297238533763</v>
      </c>
      <c r="AO17" s="546">
        <f t="shared" si="123"/>
        <v>0</v>
      </c>
      <c r="AP17" s="544"/>
      <c r="AQ17" s="545">
        <f t="shared" si="12"/>
        <v>0</v>
      </c>
      <c r="AR17" s="546">
        <f t="shared" si="124"/>
        <v>0</v>
      </c>
      <c r="AS17" s="544"/>
      <c r="AT17" s="545">
        <f t="shared" si="13"/>
        <v>0</v>
      </c>
      <c r="AU17" s="546">
        <f t="shared" si="125"/>
        <v>0</v>
      </c>
      <c r="AV17" s="544">
        <v>5.4020000000000294</v>
      </c>
      <c r="AW17" s="545">
        <f t="shared" si="14"/>
        <v>7.9594512958788693E-2</v>
      </c>
      <c r="AX17" s="546">
        <f t="shared" si="126"/>
        <v>0</v>
      </c>
      <c r="AY17" s="544">
        <v>63.679733333333331</v>
      </c>
      <c r="AZ17" s="545">
        <f t="shared" si="15"/>
        <v>0.93827422436360242</v>
      </c>
      <c r="BA17" s="546">
        <f t="shared" si="127"/>
        <v>0</v>
      </c>
      <c r="BB17" s="544"/>
      <c r="BC17" s="545">
        <f t="shared" si="16"/>
        <v>0</v>
      </c>
      <c r="BD17" s="546">
        <f t="shared" si="128"/>
        <v>0</v>
      </c>
      <c r="BE17" s="544"/>
      <c r="BF17" s="545">
        <f t="shared" si="17"/>
        <v>0</v>
      </c>
      <c r="BG17" s="546">
        <f t="shared" si="129"/>
        <v>0</v>
      </c>
      <c r="BH17" s="544"/>
      <c r="BI17" s="545">
        <f t="shared" si="18"/>
        <v>0</v>
      </c>
      <c r="BJ17" s="546">
        <f t="shared" si="130"/>
        <v>0</v>
      </c>
      <c r="BK17" s="544"/>
      <c r="BL17" s="545">
        <f t="shared" si="19"/>
        <v>0</v>
      </c>
      <c r="BM17" s="546">
        <f t="shared" si="131"/>
        <v>0</v>
      </c>
      <c r="BN17" s="544"/>
      <c r="BO17" s="545">
        <f t="shared" si="20"/>
        <v>0</v>
      </c>
      <c r="BP17" s="546">
        <f t="shared" si="132"/>
        <v>0</v>
      </c>
      <c r="BQ17" s="544"/>
      <c r="BR17" s="545">
        <f t="shared" si="21"/>
        <v>0</v>
      </c>
      <c r="BS17" s="546">
        <f t="shared" si="133"/>
        <v>0</v>
      </c>
      <c r="BT17" s="544"/>
      <c r="BU17" s="545">
        <f t="shared" si="22"/>
        <v>0</v>
      </c>
      <c r="BV17" s="546">
        <f t="shared" si="134"/>
        <v>0</v>
      </c>
      <c r="BW17" s="544"/>
      <c r="BX17" s="545">
        <f t="shared" si="23"/>
        <v>0</v>
      </c>
      <c r="BY17" s="546">
        <f t="shared" si="135"/>
        <v>0</v>
      </c>
      <c r="BZ17" s="544"/>
      <c r="CA17" s="545">
        <f t="shared" si="24"/>
        <v>0</v>
      </c>
      <c r="CB17" s="546">
        <f t="shared" si="136"/>
        <v>0</v>
      </c>
      <c r="CC17" s="544">
        <v>18.75</v>
      </c>
      <c r="CD17" s="545">
        <f t="shared" si="25"/>
        <v>0.27626751536047384</v>
      </c>
      <c r="CE17" s="546">
        <f t="shared" si="137"/>
        <v>0</v>
      </c>
      <c r="CF17" s="544">
        <v>0.59999999999999964</v>
      </c>
      <c r="CG17" s="545">
        <f t="shared" si="26"/>
        <v>8.8405604915351588E-3</v>
      </c>
      <c r="CH17" s="546">
        <f t="shared" si="138"/>
        <v>0</v>
      </c>
      <c r="CI17" s="544"/>
      <c r="CJ17" s="545">
        <f t="shared" si="27"/>
        <v>0</v>
      </c>
      <c r="CK17" s="546">
        <f t="shared" si="139"/>
        <v>0</v>
      </c>
      <c r="CL17" s="544"/>
      <c r="CM17" s="545">
        <f t="shared" si="28"/>
        <v>0</v>
      </c>
      <c r="CN17" s="546">
        <f t="shared" si="140"/>
        <v>0</v>
      </c>
      <c r="CO17" s="544"/>
      <c r="CP17" s="545">
        <f t="shared" si="29"/>
        <v>0</v>
      </c>
      <c r="CQ17" s="546">
        <f t="shared" si="141"/>
        <v>0</v>
      </c>
      <c r="CR17" s="544"/>
      <c r="CS17" s="545">
        <f t="shared" si="30"/>
        <v>0</v>
      </c>
      <c r="CT17" s="546">
        <f t="shared" si="142"/>
        <v>0</v>
      </c>
      <c r="CU17" s="544"/>
      <c r="CV17" s="545">
        <f t="shared" si="31"/>
        <v>0</v>
      </c>
      <c r="CW17" s="546">
        <f t="shared" si="143"/>
        <v>0</v>
      </c>
      <c r="CX17" s="544"/>
      <c r="CY17" s="545">
        <f t="shared" si="32"/>
        <v>0</v>
      </c>
      <c r="CZ17" s="546">
        <f t="shared" si="144"/>
        <v>0</v>
      </c>
      <c r="DA17" s="544"/>
      <c r="DB17" s="545">
        <f t="shared" si="33"/>
        <v>0</v>
      </c>
      <c r="DC17" s="546">
        <f t="shared" si="145"/>
        <v>0</v>
      </c>
      <c r="DD17" s="544"/>
      <c r="DE17" s="545">
        <f t="shared" si="34"/>
        <v>0</v>
      </c>
      <c r="DF17" s="546">
        <f t="shared" si="146"/>
        <v>0</v>
      </c>
      <c r="DG17" s="544"/>
      <c r="DH17" s="545">
        <f t="shared" si="35"/>
        <v>0</v>
      </c>
      <c r="DI17" s="546">
        <f t="shared" si="201"/>
        <v>0</v>
      </c>
      <c r="DJ17" s="544"/>
      <c r="DK17" s="545">
        <f t="shared" si="36"/>
        <v>0</v>
      </c>
      <c r="DL17" s="546">
        <f t="shared" si="147"/>
        <v>0</v>
      </c>
      <c r="DM17" s="544"/>
      <c r="DN17" s="545">
        <f t="shared" si="37"/>
        <v>0</v>
      </c>
      <c r="DO17" s="546">
        <f t="shared" si="148"/>
        <v>0</v>
      </c>
      <c r="DP17" s="544"/>
      <c r="DQ17" s="545">
        <f t="shared" si="38"/>
        <v>0</v>
      </c>
      <c r="DR17" s="546">
        <f t="shared" si="149"/>
        <v>0</v>
      </c>
      <c r="DS17" s="544"/>
      <c r="DT17" s="545">
        <f t="shared" si="39"/>
        <v>0</v>
      </c>
      <c r="DU17" s="546">
        <f t="shared" si="150"/>
        <v>0</v>
      </c>
      <c r="DV17" s="544"/>
      <c r="DW17" s="545">
        <f t="shared" si="40"/>
        <v>0</v>
      </c>
      <c r="DX17" s="546">
        <f t="shared" si="151"/>
        <v>0</v>
      </c>
      <c r="DY17" s="544"/>
      <c r="DZ17" s="545">
        <f t="shared" si="41"/>
        <v>0</v>
      </c>
      <c r="EA17" s="546">
        <f t="shared" si="152"/>
        <v>0</v>
      </c>
      <c r="EB17" s="544">
        <v>745.34497647058834</v>
      </c>
      <c r="EC17" s="545">
        <f t="shared" si="42"/>
        <v>10.982112252583482</v>
      </c>
      <c r="ED17" s="546">
        <f t="shared" si="153"/>
        <v>0</v>
      </c>
      <c r="EE17" s="544">
        <v>0</v>
      </c>
      <c r="EF17" s="545">
        <f t="shared" si="43"/>
        <v>0</v>
      </c>
      <c r="EG17" s="546">
        <f t="shared" si="154"/>
        <v>0</v>
      </c>
      <c r="EH17" s="544">
        <v>2</v>
      </c>
      <c r="EI17" s="545">
        <f t="shared" si="44"/>
        <v>2.9468534971783877E-2</v>
      </c>
      <c r="EJ17" s="546">
        <f t="shared" si="155"/>
        <v>0</v>
      </c>
      <c r="EK17" s="544"/>
      <c r="EL17" s="545">
        <f t="shared" si="45"/>
        <v>0</v>
      </c>
      <c r="EM17" s="546">
        <f t="shared" si="156"/>
        <v>0</v>
      </c>
      <c r="EN17" s="544"/>
      <c r="EO17" s="545">
        <f t="shared" si="46"/>
        <v>0</v>
      </c>
      <c r="EP17" s="546">
        <f t="shared" si="157"/>
        <v>0</v>
      </c>
      <c r="EQ17" s="544"/>
      <c r="ER17" s="545">
        <f t="shared" si="47"/>
        <v>0</v>
      </c>
      <c r="ES17" s="546">
        <f t="shared" si="158"/>
        <v>0</v>
      </c>
      <c r="ET17" s="544"/>
      <c r="EU17" s="545">
        <f t="shared" si="48"/>
        <v>0</v>
      </c>
      <c r="EV17" s="546">
        <f t="shared" si="159"/>
        <v>0</v>
      </c>
      <c r="EW17" s="544"/>
      <c r="EX17" s="545">
        <f t="shared" si="49"/>
        <v>0</v>
      </c>
      <c r="EY17" s="546">
        <f t="shared" si="160"/>
        <v>0</v>
      </c>
      <c r="EZ17" s="544"/>
      <c r="FA17" s="545">
        <f t="shared" si="50"/>
        <v>0</v>
      </c>
      <c r="FB17" s="546">
        <f t="shared" si="161"/>
        <v>0</v>
      </c>
      <c r="FC17" s="544"/>
      <c r="FD17" s="545">
        <f t="shared" si="51"/>
        <v>0</v>
      </c>
      <c r="FE17" s="546">
        <f t="shared" si="162"/>
        <v>0</v>
      </c>
      <c r="FF17" s="544"/>
      <c r="FG17" s="545">
        <f t="shared" si="52"/>
        <v>0</v>
      </c>
      <c r="FH17" s="546">
        <f t="shared" si="163"/>
        <v>0</v>
      </c>
      <c r="FI17" s="544"/>
      <c r="FJ17" s="545">
        <f t="shared" si="53"/>
        <v>0</v>
      </c>
      <c r="FK17" s="546">
        <f t="shared" si="164"/>
        <v>0</v>
      </c>
      <c r="FL17" s="544"/>
      <c r="FM17" s="545">
        <f t="shared" si="54"/>
        <v>0</v>
      </c>
      <c r="FN17" s="546">
        <f t="shared" si="165"/>
        <v>0</v>
      </c>
      <c r="FO17" s="544"/>
      <c r="FP17" s="545">
        <f t="shared" si="55"/>
        <v>0</v>
      </c>
      <c r="FQ17" s="546">
        <f t="shared" si="166"/>
        <v>0</v>
      </c>
      <c r="FR17" s="544"/>
      <c r="FS17" s="545">
        <f t="shared" si="56"/>
        <v>0</v>
      </c>
      <c r="FT17" s="546">
        <f t="shared" si="167"/>
        <v>0</v>
      </c>
      <c r="FU17" s="544"/>
      <c r="FV17" s="545">
        <f t="shared" si="57"/>
        <v>0</v>
      </c>
      <c r="FW17" s="546">
        <f t="shared" si="168"/>
        <v>0</v>
      </c>
      <c r="FX17" s="544"/>
      <c r="FY17" s="545">
        <f t="shared" si="58"/>
        <v>0</v>
      </c>
      <c r="FZ17" s="546">
        <f t="shared" si="169"/>
        <v>0</v>
      </c>
      <c r="GA17" s="544"/>
      <c r="GB17" s="545">
        <f t="shared" si="59"/>
        <v>0</v>
      </c>
      <c r="GC17" s="546">
        <f t="shared" si="170"/>
        <v>0</v>
      </c>
      <c r="GD17" s="544"/>
      <c r="GE17" s="545">
        <f t="shared" si="60"/>
        <v>0</v>
      </c>
      <c r="GF17" s="546">
        <f t="shared" si="171"/>
        <v>0</v>
      </c>
      <c r="GG17" s="544"/>
      <c r="GH17" s="545">
        <f t="shared" si="61"/>
        <v>0</v>
      </c>
      <c r="GI17" s="546">
        <f t="shared" si="172"/>
        <v>0</v>
      </c>
      <c r="GJ17" s="544"/>
      <c r="GK17" s="545">
        <f t="shared" si="62"/>
        <v>0</v>
      </c>
      <c r="GL17" s="546">
        <f t="shared" si="173"/>
        <v>0</v>
      </c>
      <c r="GM17" s="544"/>
      <c r="GN17" s="545">
        <f t="shared" si="63"/>
        <v>0</v>
      </c>
      <c r="GO17" s="546">
        <f t="shared" si="174"/>
        <v>0</v>
      </c>
      <c r="GP17" s="544"/>
      <c r="GQ17" s="545">
        <f t="shared" si="64"/>
        <v>0</v>
      </c>
      <c r="GR17" s="546">
        <f t="shared" si="175"/>
        <v>0</v>
      </c>
      <c r="GS17" s="544"/>
      <c r="GT17" s="545">
        <f t="shared" si="65"/>
        <v>0</v>
      </c>
      <c r="GU17" s="546">
        <f t="shared" si="176"/>
        <v>0</v>
      </c>
      <c r="GV17" s="544"/>
      <c r="GW17" s="545">
        <f t="shared" si="66"/>
        <v>0</v>
      </c>
      <c r="GX17" s="546">
        <f t="shared" si="177"/>
        <v>0</v>
      </c>
      <c r="GY17" s="544"/>
      <c r="GZ17" s="545">
        <f t="shared" si="67"/>
        <v>0</v>
      </c>
      <c r="HA17" s="546">
        <f t="shared" si="178"/>
        <v>0</v>
      </c>
      <c r="HB17" s="544"/>
      <c r="HC17" s="545">
        <f t="shared" si="68"/>
        <v>0</v>
      </c>
      <c r="HD17" s="546">
        <f t="shared" si="179"/>
        <v>0</v>
      </c>
      <c r="HE17" s="544"/>
      <c r="HF17" s="545">
        <f t="shared" si="69"/>
        <v>0</v>
      </c>
      <c r="HG17" s="546">
        <f t="shared" si="180"/>
        <v>0</v>
      </c>
      <c r="HH17" s="544"/>
      <c r="HI17" s="545">
        <f t="shared" si="70"/>
        <v>0</v>
      </c>
      <c r="HJ17" s="546">
        <f t="shared" si="181"/>
        <v>0</v>
      </c>
      <c r="HK17" s="544"/>
      <c r="HL17" s="545">
        <f t="shared" si="71"/>
        <v>0</v>
      </c>
      <c r="HM17" s="546">
        <f t="shared" si="182"/>
        <v>0</v>
      </c>
      <c r="HN17" s="544"/>
      <c r="HO17" s="545">
        <f t="shared" si="72"/>
        <v>0</v>
      </c>
      <c r="HP17" s="546">
        <f t="shared" si="183"/>
        <v>0</v>
      </c>
      <c r="HQ17" s="544"/>
      <c r="HR17" s="545">
        <f t="shared" si="73"/>
        <v>0</v>
      </c>
      <c r="HS17" s="546">
        <f t="shared" si="184"/>
        <v>0</v>
      </c>
      <c r="HT17" s="544"/>
      <c r="HU17" s="545">
        <f t="shared" si="74"/>
        <v>0</v>
      </c>
      <c r="HV17" s="546">
        <f t="shared" si="185"/>
        <v>0</v>
      </c>
      <c r="HW17" s="544"/>
      <c r="HX17" s="545">
        <f t="shared" si="75"/>
        <v>0</v>
      </c>
      <c r="HY17" s="546">
        <f t="shared" si="186"/>
        <v>0</v>
      </c>
      <c r="HZ17" s="544"/>
      <c r="IA17" s="545">
        <f t="shared" si="76"/>
        <v>0</v>
      </c>
      <c r="IB17" s="546">
        <f t="shared" si="187"/>
        <v>0</v>
      </c>
      <c r="IC17" s="544"/>
      <c r="ID17" s="545">
        <f t="shared" si="77"/>
        <v>0</v>
      </c>
      <c r="IE17" s="546">
        <f t="shared" si="188"/>
        <v>0</v>
      </c>
      <c r="IF17" s="544"/>
      <c r="IG17" s="545">
        <f t="shared" si="78"/>
        <v>0</v>
      </c>
      <c r="IH17" s="546">
        <f t="shared" si="189"/>
        <v>0</v>
      </c>
      <c r="II17" s="544"/>
      <c r="IJ17" s="545">
        <f t="shared" si="79"/>
        <v>0</v>
      </c>
      <c r="IK17" s="546">
        <f t="shared" si="190"/>
        <v>0</v>
      </c>
      <c r="IL17" s="544"/>
      <c r="IM17" s="545">
        <f t="shared" si="80"/>
        <v>0</v>
      </c>
      <c r="IN17" s="546">
        <f t="shared" si="191"/>
        <v>0</v>
      </c>
      <c r="IO17" s="544"/>
      <c r="IP17" s="545">
        <f t="shared" si="81"/>
        <v>0</v>
      </c>
      <c r="IQ17" s="546">
        <f t="shared" si="192"/>
        <v>0</v>
      </c>
      <c r="IR17" s="544"/>
      <c r="IS17" s="545">
        <f t="shared" si="82"/>
        <v>0</v>
      </c>
      <c r="IT17" s="546">
        <f t="shared" si="193"/>
        <v>0</v>
      </c>
      <c r="IU17" s="544"/>
      <c r="IV17" s="545">
        <f t="shared" si="83"/>
        <v>0</v>
      </c>
      <c r="IW17" s="546">
        <f t="shared" si="194"/>
        <v>0</v>
      </c>
      <c r="IX17" s="544"/>
      <c r="IY17" s="545">
        <f t="shared" si="84"/>
        <v>0</v>
      </c>
      <c r="IZ17" s="546">
        <f t="shared" si="195"/>
        <v>0</v>
      </c>
      <c r="JA17" s="544"/>
      <c r="JB17" s="545">
        <f t="shared" si="85"/>
        <v>0</v>
      </c>
      <c r="JC17" s="546">
        <f t="shared" si="196"/>
        <v>0</v>
      </c>
      <c r="JD17" s="544"/>
      <c r="JE17" s="545">
        <f t="shared" si="86"/>
        <v>0</v>
      </c>
      <c r="JF17" s="546">
        <f t="shared" si="197"/>
        <v>0</v>
      </c>
      <c r="JG17" s="544"/>
      <c r="JH17" s="546" t="str">
        <f t="shared" si="87"/>
        <v>0</v>
      </c>
      <c r="JI17" s="546" t="str">
        <f t="shared" si="88"/>
        <v>0</v>
      </c>
      <c r="JJ17" s="544"/>
      <c r="JK17" s="546" t="str">
        <f t="shared" si="89"/>
        <v>0</v>
      </c>
      <c r="JL17" s="546" t="str">
        <f t="shared" si="90"/>
        <v>0</v>
      </c>
      <c r="JM17" s="544"/>
      <c r="JN17" s="546" t="str">
        <f t="shared" si="91"/>
        <v>0</v>
      </c>
      <c r="JO17" s="546" t="str">
        <f t="shared" si="92"/>
        <v>0</v>
      </c>
      <c r="JP17" s="544"/>
      <c r="JQ17" s="546" t="str">
        <f t="shared" si="93"/>
        <v>0</v>
      </c>
      <c r="JR17" s="546" t="str">
        <f t="shared" si="94"/>
        <v>0</v>
      </c>
      <c r="JS17" s="544"/>
      <c r="JT17" s="546" t="str">
        <f t="shared" si="95"/>
        <v>0</v>
      </c>
      <c r="JU17" s="546" t="str">
        <f t="shared" si="96"/>
        <v>0</v>
      </c>
      <c r="JV17" s="544"/>
      <c r="JW17" s="546" t="str">
        <f t="shared" si="97"/>
        <v>0</v>
      </c>
      <c r="JX17" s="546" t="str">
        <f t="shared" si="98"/>
        <v>0</v>
      </c>
      <c r="JY17" s="544"/>
      <c r="JZ17" s="546" t="str">
        <f t="shared" si="99"/>
        <v>0</v>
      </c>
      <c r="KA17" s="546" t="str">
        <f t="shared" si="100"/>
        <v>0</v>
      </c>
      <c r="KB17" s="544"/>
      <c r="KC17" s="546" t="str">
        <f t="shared" si="101"/>
        <v>0</v>
      </c>
      <c r="KD17" s="546" t="str">
        <f t="shared" si="102"/>
        <v>0</v>
      </c>
      <c r="KE17" s="544"/>
      <c r="KF17" s="546" t="str">
        <f t="shared" si="103"/>
        <v>0</v>
      </c>
      <c r="KG17" s="546" t="str">
        <f t="shared" si="104"/>
        <v>0</v>
      </c>
      <c r="KH17" s="544"/>
      <c r="KI17" s="546" t="str">
        <f t="shared" si="105"/>
        <v>0</v>
      </c>
      <c r="KJ17" s="546" t="str">
        <f t="shared" si="106"/>
        <v>0</v>
      </c>
      <c r="KK17" s="544"/>
      <c r="KL17" s="546" t="str">
        <f t="shared" si="107"/>
        <v>0</v>
      </c>
      <c r="KM17" s="546" t="str">
        <f t="shared" si="108"/>
        <v>0</v>
      </c>
      <c r="KN17" s="544"/>
      <c r="KO17" s="546" t="str">
        <f t="shared" si="109"/>
        <v>0</v>
      </c>
      <c r="KP17" s="546" t="str">
        <f t="shared" si="110"/>
        <v>0</v>
      </c>
      <c r="KQ17" s="546">
        <f t="shared" si="111"/>
        <v>0</v>
      </c>
      <c r="KR17" s="546">
        <f t="shared" si="198"/>
        <v>0</v>
      </c>
      <c r="KS17" s="265">
        <f t="shared" si="199"/>
        <v>902.29593031674221</v>
      </c>
    </row>
    <row r="18" spans="1:305" ht="15" customHeight="1">
      <c r="A18" s="267">
        <f t="shared" si="200"/>
        <v>45726</v>
      </c>
      <c r="B18" s="268" t="str">
        <f>+Report1!B18</f>
        <v>Napkin/Towel</v>
      </c>
      <c r="C18" s="268" t="str">
        <f>+Report1!C18</f>
        <v>23/23/17</v>
      </c>
      <c r="D18" s="269">
        <f>+Report1!P18</f>
        <v>74.045000000000002</v>
      </c>
      <c r="E18" s="270">
        <f>+Report1!R18</f>
        <v>75.066999999999993</v>
      </c>
      <c r="F18" s="544"/>
      <c r="G18" s="545">
        <f t="shared" si="0"/>
        <v>0</v>
      </c>
      <c r="H18" s="546">
        <f t="shared" si="112"/>
        <v>0</v>
      </c>
      <c r="I18" s="544"/>
      <c r="J18" s="545">
        <f t="shared" si="1"/>
        <v>0</v>
      </c>
      <c r="K18" s="546">
        <f t="shared" si="113"/>
        <v>0</v>
      </c>
      <c r="L18" s="544"/>
      <c r="M18" s="545">
        <f t="shared" si="2"/>
        <v>0</v>
      </c>
      <c r="N18" s="546">
        <f t="shared" si="114"/>
        <v>0</v>
      </c>
      <c r="O18" s="544">
        <v>12.307600000000036</v>
      </c>
      <c r="P18" s="545">
        <f t="shared" si="3"/>
        <v>0.16395486698549347</v>
      </c>
      <c r="Q18" s="546">
        <f t="shared" si="115"/>
        <v>0</v>
      </c>
      <c r="R18" s="544"/>
      <c r="S18" s="545">
        <f t="shared" si="4"/>
        <v>0</v>
      </c>
      <c r="T18" s="546">
        <f t="shared" si="116"/>
        <v>0</v>
      </c>
      <c r="U18" s="544">
        <v>10.506000000000029</v>
      </c>
      <c r="V18" s="545">
        <f t="shared" si="5"/>
        <v>0.13995497355695619</v>
      </c>
      <c r="W18" s="546">
        <f t="shared" si="117"/>
        <v>0</v>
      </c>
      <c r="X18" s="544"/>
      <c r="Y18" s="545">
        <f t="shared" si="6"/>
        <v>0</v>
      </c>
      <c r="Z18" s="546">
        <f t="shared" si="118"/>
        <v>0</v>
      </c>
      <c r="AA18" s="544"/>
      <c r="AB18" s="545">
        <f t="shared" si="7"/>
        <v>0</v>
      </c>
      <c r="AC18" s="546">
        <f t="shared" si="119"/>
        <v>0</v>
      </c>
      <c r="AD18" s="544"/>
      <c r="AE18" s="545">
        <f t="shared" si="8"/>
        <v>0</v>
      </c>
      <c r="AF18" s="546">
        <f t="shared" si="120"/>
        <v>0</v>
      </c>
      <c r="AG18" s="544"/>
      <c r="AH18" s="545">
        <f t="shared" si="9"/>
        <v>0</v>
      </c>
      <c r="AI18" s="546">
        <f t="shared" si="121"/>
        <v>0</v>
      </c>
      <c r="AJ18" s="544"/>
      <c r="AK18" s="545">
        <f t="shared" si="10"/>
        <v>0</v>
      </c>
      <c r="AL18" s="546">
        <f t="shared" si="122"/>
        <v>0</v>
      </c>
      <c r="AM18" s="544">
        <v>47.154899999999998</v>
      </c>
      <c r="AN18" s="545">
        <f t="shared" si="11"/>
        <v>0.62817083405491092</v>
      </c>
      <c r="AO18" s="546">
        <f t="shared" si="123"/>
        <v>0</v>
      </c>
      <c r="AP18" s="544"/>
      <c r="AQ18" s="545">
        <f t="shared" si="12"/>
        <v>0</v>
      </c>
      <c r="AR18" s="546">
        <f t="shared" si="124"/>
        <v>0</v>
      </c>
      <c r="AS18" s="544"/>
      <c r="AT18" s="545">
        <f t="shared" si="13"/>
        <v>0</v>
      </c>
      <c r="AU18" s="546">
        <f t="shared" si="125"/>
        <v>0</v>
      </c>
      <c r="AV18" s="544">
        <v>5.6924999999999955</v>
      </c>
      <c r="AW18" s="545">
        <f t="shared" si="14"/>
        <v>7.5832256517510965E-2</v>
      </c>
      <c r="AX18" s="546">
        <f t="shared" si="126"/>
        <v>0</v>
      </c>
      <c r="AY18" s="544">
        <v>66.985199999999978</v>
      </c>
      <c r="AZ18" s="545">
        <f t="shared" si="15"/>
        <v>0.89233884396605678</v>
      </c>
      <c r="BA18" s="546">
        <f t="shared" si="127"/>
        <v>0</v>
      </c>
      <c r="BB18" s="544"/>
      <c r="BC18" s="545">
        <f t="shared" si="16"/>
        <v>0</v>
      </c>
      <c r="BD18" s="546">
        <f t="shared" si="128"/>
        <v>0</v>
      </c>
      <c r="BE18" s="544"/>
      <c r="BF18" s="545">
        <f t="shared" si="17"/>
        <v>0</v>
      </c>
      <c r="BG18" s="546">
        <f t="shared" si="129"/>
        <v>0</v>
      </c>
      <c r="BH18" s="544"/>
      <c r="BI18" s="545">
        <f t="shared" si="18"/>
        <v>0</v>
      </c>
      <c r="BJ18" s="546">
        <f t="shared" si="130"/>
        <v>0</v>
      </c>
      <c r="BK18" s="544"/>
      <c r="BL18" s="545">
        <f t="shared" si="19"/>
        <v>0</v>
      </c>
      <c r="BM18" s="546">
        <f t="shared" si="131"/>
        <v>0</v>
      </c>
      <c r="BN18" s="544"/>
      <c r="BO18" s="545">
        <f t="shared" si="20"/>
        <v>0</v>
      </c>
      <c r="BP18" s="546">
        <f t="shared" si="132"/>
        <v>0</v>
      </c>
      <c r="BQ18" s="544"/>
      <c r="BR18" s="545">
        <f t="shared" si="21"/>
        <v>0</v>
      </c>
      <c r="BS18" s="546">
        <f t="shared" si="133"/>
        <v>0</v>
      </c>
      <c r="BT18" s="544"/>
      <c r="BU18" s="545">
        <f t="shared" si="22"/>
        <v>0</v>
      </c>
      <c r="BV18" s="546">
        <f t="shared" si="134"/>
        <v>0</v>
      </c>
      <c r="BW18" s="544"/>
      <c r="BX18" s="545">
        <f t="shared" si="23"/>
        <v>0</v>
      </c>
      <c r="BY18" s="546">
        <f t="shared" si="135"/>
        <v>0</v>
      </c>
      <c r="BZ18" s="544"/>
      <c r="CA18" s="545">
        <f t="shared" si="24"/>
        <v>0</v>
      </c>
      <c r="CB18" s="546">
        <f t="shared" si="136"/>
        <v>0</v>
      </c>
      <c r="CC18" s="544">
        <v>18.75</v>
      </c>
      <c r="CD18" s="545">
        <f t="shared" si="25"/>
        <v>0.24977686599970694</v>
      </c>
      <c r="CE18" s="546">
        <f t="shared" si="137"/>
        <v>0</v>
      </c>
      <c r="CF18" s="544">
        <v>0.59999999999999964</v>
      </c>
      <c r="CG18" s="545">
        <f t="shared" si="26"/>
        <v>7.9928597119906172E-3</v>
      </c>
      <c r="CH18" s="546">
        <f t="shared" si="138"/>
        <v>0</v>
      </c>
      <c r="CI18" s="544"/>
      <c r="CJ18" s="545">
        <f t="shared" si="27"/>
        <v>0</v>
      </c>
      <c r="CK18" s="546">
        <f t="shared" si="139"/>
        <v>0</v>
      </c>
      <c r="CL18" s="544"/>
      <c r="CM18" s="545">
        <f t="shared" si="28"/>
        <v>0</v>
      </c>
      <c r="CN18" s="546">
        <f t="shared" si="140"/>
        <v>0</v>
      </c>
      <c r="CO18" s="544"/>
      <c r="CP18" s="545">
        <f t="shared" si="29"/>
        <v>0</v>
      </c>
      <c r="CQ18" s="546">
        <f t="shared" si="141"/>
        <v>0</v>
      </c>
      <c r="CR18" s="544"/>
      <c r="CS18" s="545">
        <f t="shared" si="30"/>
        <v>0</v>
      </c>
      <c r="CT18" s="546">
        <f t="shared" si="142"/>
        <v>0</v>
      </c>
      <c r="CU18" s="544"/>
      <c r="CV18" s="545">
        <f t="shared" si="31"/>
        <v>0</v>
      </c>
      <c r="CW18" s="546">
        <f t="shared" si="143"/>
        <v>0</v>
      </c>
      <c r="CX18" s="544"/>
      <c r="CY18" s="545">
        <f t="shared" si="32"/>
        <v>0</v>
      </c>
      <c r="CZ18" s="546">
        <f t="shared" si="144"/>
        <v>0</v>
      </c>
      <c r="DA18" s="544"/>
      <c r="DB18" s="545">
        <f t="shared" si="33"/>
        <v>0</v>
      </c>
      <c r="DC18" s="546">
        <f t="shared" si="145"/>
        <v>0</v>
      </c>
      <c r="DD18" s="544"/>
      <c r="DE18" s="545">
        <f t="shared" si="34"/>
        <v>0</v>
      </c>
      <c r="DF18" s="546">
        <f t="shared" si="146"/>
        <v>0</v>
      </c>
      <c r="DG18" s="544"/>
      <c r="DH18" s="545">
        <f t="shared" si="35"/>
        <v>0</v>
      </c>
      <c r="DI18" s="546">
        <f t="shared" si="201"/>
        <v>0</v>
      </c>
      <c r="DJ18" s="544"/>
      <c r="DK18" s="545">
        <f t="shared" si="36"/>
        <v>0</v>
      </c>
      <c r="DL18" s="546">
        <f t="shared" si="147"/>
        <v>0</v>
      </c>
      <c r="DM18" s="544"/>
      <c r="DN18" s="545">
        <f t="shared" si="37"/>
        <v>0</v>
      </c>
      <c r="DO18" s="546">
        <f t="shared" si="148"/>
        <v>0</v>
      </c>
      <c r="DP18" s="544"/>
      <c r="DQ18" s="545">
        <f t="shared" si="38"/>
        <v>0</v>
      </c>
      <c r="DR18" s="546">
        <f t="shared" si="149"/>
        <v>0</v>
      </c>
      <c r="DS18" s="544"/>
      <c r="DT18" s="545">
        <f t="shared" si="39"/>
        <v>0</v>
      </c>
      <c r="DU18" s="546">
        <f t="shared" si="150"/>
        <v>0</v>
      </c>
      <c r="DV18" s="544"/>
      <c r="DW18" s="545">
        <f t="shared" si="40"/>
        <v>0</v>
      </c>
      <c r="DX18" s="546">
        <f t="shared" si="151"/>
        <v>0</v>
      </c>
      <c r="DY18" s="544"/>
      <c r="DZ18" s="545">
        <f t="shared" si="41"/>
        <v>0</v>
      </c>
      <c r="EA18" s="546">
        <f t="shared" si="152"/>
        <v>0</v>
      </c>
      <c r="EB18" s="544">
        <v>784.06380000000013</v>
      </c>
      <c r="EC18" s="545">
        <f t="shared" si="42"/>
        <v>10.444853264417123</v>
      </c>
      <c r="ED18" s="546">
        <f t="shared" si="153"/>
        <v>0</v>
      </c>
      <c r="EE18" s="544">
        <v>0</v>
      </c>
      <c r="EF18" s="545">
        <f t="shared" si="43"/>
        <v>0</v>
      </c>
      <c r="EG18" s="546">
        <f t="shared" si="154"/>
        <v>0</v>
      </c>
      <c r="EH18" s="544">
        <v>2</v>
      </c>
      <c r="EI18" s="545">
        <f t="shared" si="44"/>
        <v>2.6642865706635408E-2</v>
      </c>
      <c r="EJ18" s="546">
        <f t="shared" si="155"/>
        <v>0</v>
      </c>
      <c r="EK18" s="544"/>
      <c r="EL18" s="545">
        <f t="shared" si="45"/>
        <v>0</v>
      </c>
      <c r="EM18" s="546">
        <f t="shared" si="156"/>
        <v>0</v>
      </c>
      <c r="EN18" s="544"/>
      <c r="EO18" s="545">
        <f t="shared" si="46"/>
        <v>0</v>
      </c>
      <c r="EP18" s="546">
        <f t="shared" si="157"/>
        <v>0</v>
      </c>
      <c r="EQ18" s="544"/>
      <c r="ER18" s="545">
        <f t="shared" si="47"/>
        <v>0</v>
      </c>
      <c r="ES18" s="546">
        <f t="shared" si="158"/>
        <v>0</v>
      </c>
      <c r="ET18" s="544"/>
      <c r="EU18" s="545">
        <f t="shared" si="48"/>
        <v>0</v>
      </c>
      <c r="EV18" s="546">
        <f t="shared" si="159"/>
        <v>0</v>
      </c>
      <c r="EW18" s="544"/>
      <c r="EX18" s="545">
        <f t="shared" si="49"/>
        <v>0</v>
      </c>
      <c r="EY18" s="546">
        <f t="shared" si="160"/>
        <v>0</v>
      </c>
      <c r="EZ18" s="544"/>
      <c r="FA18" s="545">
        <f t="shared" si="50"/>
        <v>0</v>
      </c>
      <c r="FB18" s="546">
        <f t="shared" si="161"/>
        <v>0</v>
      </c>
      <c r="FC18" s="544"/>
      <c r="FD18" s="545">
        <f t="shared" si="51"/>
        <v>0</v>
      </c>
      <c r="FE18" s="546">
        <f t="shared" si="162"/>
        <v>0</v>
      </c>
      <c r="FF18" s="544"/>
      <c r="FG18" s="545">
        <f t="shared" si="52"/>
        <v>0</v>
      </c>
      <c r="FH18" s="546">
        <f t="shared" si="163"/>
        <v>0</v>
      </c>
      <c r="FI18" s="544"/>
      <c r="FJ18" s="545">
        <f t="shared" si="53"/>
        <v>0</v>
      </c>
      <c r="FK18" s="546">
        <f t="shared" si="164"/>
        <v>0</v>
      </c>
      <c r="FL18" s="544"/>
      <c r="FM18" s="545">
        <f t="shared" si="54"/>
        <v>0</v>
      </c>
      <c r="FN18" s="546">
        <f t="shared" si="165"/>
        <v>0</v>
      </c>
      <c r="FO18" s="544"/>
      <c r="FP18" s="545">
        <f t="shared" si="55"/>
        <v>0</v>
      </c>
      <c r="FQ18" s="546">
        <f t="shared" si="166"/>
        <v>0</v>
      </c>
      <c r="FR18" s="544"/>
      <c r="FS18" s="545">
        <f t="shared" si="56"/>
        <v>0</v>
      </c>
      <c r="FT18" s="546">
        <f t="shared" si="167"/>
        <v>0</v>
      </c>
      <c r="FU18" s="544"/>
      <c r="FV18" s="545">
        <f t="shared" si="57"/>
        <v>0</v>
      </c>
      <c r="FW18" s="546">
        <f t="shared" si="168"/>
        <v>0</v>
      </c>
      <c r="FX18" s="544"/>
      <c r="FY18" s="545">
        <f t="shared" si="58"/>
        <v>0</v>
      </c>
      <c r="FZ18" s="546">
        <f t="shared" si="169"/>
        <v>0</v>
      </c>
      <c r="GA18" s="544"/>
      <c r="GB18" s="545">
        <f t="shared" si="59"/>
        <v>0</v>
      </c>
      <c r="GC18" s="546">
        <f t="shared" si="170"/>
        <v>0</v>
      </c>
      <c r="GD18" s="544"/>
      <c r="GE18" s="545">
        <f t="shared" si="60"/>
        <v>0</v>
      </c>
      <c r="GF18" s="546">
        <f t="shared" si="171"/>
        <v>0</v>
      </c>
      <c r="GG18" s="544"/>
      <c r="GH18" s="545">
        <f t="shared" si="61"/>
        <v>0</v>
      </c>
      <c r="GI18" s="546">
        <f t="shared" si="172"/>
        <v>0</v>
      </c>
      <c r="GJ18" s="544"/>
      <c r="GK18" s="545">
        <f t="shared" si="62"/>
        <v>0</v>
      </c>
      <c r="GL18" s="546">
        <f t="shared" si="173"/>
        <v>0</v>
      </c>
      <c r="GM18" s="544"/>
      <c r="GN18" s="545">
        <f t="shared" si="63"/>
        <v>0</v>
      </c>
      <c r="GO18" s="546">
        <f t="shared" si="174"/>
        <v>0</v>
      </c>
      <c r="GP18" s="544"/>
      <c r="GQ18" s="545">
        <f t="shared" si="64"/>
        <v>0</v>
      </c>
      <c r="GR18" s="546">
        <f t="shared" si="175"/>
        <v>0</v>
      </c>
      <c r="GS18" s="544"/>
      <c r="GT18" s="545">
        <f t="shared" si="65"/>
        <v>0</v>
      </c>
      <c r="GU18" s="546">
        <f t="shared" si="176"/>
        <v>0</v>
      </c>
      <c r="GV18" s="544"/>
      <c r="GW18" s="545">
        <f t="shared" si="66"/>
        <v>0</v>
      </c>
      <c r="GX18" s="546">
        <f t="shared" si="177"/>
        <v>0</v>
      </c>
      <c r="GY18" s="544"/>
      <c r="GZ18" s="545">
        <f t="shared" si="67"/>
        <v>0</v>
      </c>
      <c r="HA18" s="546">
        <f t="shared" si="178"/>
        <v>0</v>
      </c>
      <c r="HB18" s="544"/>
      <c r="HC18" s="545">
        <f t="shared" si="68"/>
        <v>0</v>
      </c>
      <c r="HD18" s="546">
        <f t="shared" si="179"/>
        <v>0</v>
      </c>
      <c r="HE18" s="544"/>
      <c r="HF18" s="545">
        <f t="shared" si="69"/>
        <v>0</v>
      </c>
      <c r="HG18" s="546">
        <f t="shared" si="180"/>
        <v>0</v>
      </c>
      <c r="HH18" s="544"/>
      <c r="HI18" s="545">
        <f t="shared" si="70"/>
        <v>0</v>
      </c>
      <c r="HJ18" s="546">
        <f t="shared" si="181"/>
        <v>0</v>
      </c>
      <c r="HK18" s="544"/>
      <c r="HL18" s="545">
        <f t="shared" si="71"/>
        <v>0</v>
      </c>
      <c r="HM18" s="546">
        <f t="shared" si="182"/>
        <v>0</v>
      </c>
      <c r="HN18" s="544"/>
      <c r="HO18" s="545">
        <f t="shared" si="72"/>
        <v>0</v>
      </c>
      <c r="HP18" s="546">
        <f t="shared" si="183"/>
        <v>0</v>
      </c>
      <c r="HQ18" s="544"/>
      <c r="HR18" s="545">
        <f t="shared" si="73"/>
        <v>0</v>
      </c>
      <c r="HS18" s="546">
        <f t="shared" si="184"/>
        <v>0</v>
      </c>
      <c r="HT18" s="544"/>
      <c r="HU18" s="545">
        <f t="shared" si="74"/>
        <v>0</v>
      </c>
      <c r="HV18" s="546">
        <f t="shared" si="185"/>
        <v>0</v>
      </c>
      <c r="HW18" s="544"/>
      <c r="HX18" s="545">
        <f t="shared" si="75"/>
        <v>0</v>
      </c>
      <c r="HY18" s="546">
        <f t="shared" si="186"/>
        <v>0</v>
      </c>
      <c r="HZ18" s="544"/>
      <c r="IA18" s="545">
        <f t="shared" si="76"/>
        <v>0</v>
      </c>
      <c r="IB18" s="546">
        <f t="shared" si="187"/>
        <v>0</v>
      </c>
      <c r="IC18" s="544"/>
      <c r="ID18" s="545">
        <f t="shared" si="77"/>
        <v>0</v>
      </c>
      <c r="IE18" s="546">
        <f t="shared" si="188"/>
        <v>0</v>
      </c>
      <c r="IF18" s="544"/>
      <c r="IG18" s="545">
        <f t="shared" si="78"/>
        <v>0</v>
      </c>
      <c r="IH18" s="546">
        <f t="shared" si="189"/>
        <v>0</v>
      </c>
      <c r="II18" s="544"/>
      <c r="IJ18" s="545">
        <f t="shared" si="79"/>
        <v>0</v>
      </c>
      <c r="IK18" s="546">
        <f t="shared" si="190"/>
        <v>0</v>
      </c>
      <c r="IL18" s="544"/>
      <c r="IM18" s="545">
        <f t="shared" si="80"/>
        <v>0</v>
      </c>
      <c r="IN18" s="546">
        <f t="shared" si="191"/>
        <v>0</v>
      </c>
      <c r="IO18" s="544"/>
      <c r="IP18" s="545">
        <f t="shared" si="81"/>
        <v>0</v>
      </c>
      <c r="IQ18" s="546">
        <f t="shared" si="192"/>
        <v>0</v>
      </c>
      <c r="IR18" s="544"/>
      <c r="IS18" s="545">
        <f t="shared" si="82"/>
        <v>0</v>
      </c>
      <c r="IT18" s="546">
        <f t="shared" si="193"/>
        <v>0</v>
      </c>
      <c r="IU18" s="544"/>
      <c r="IV18" s="545">
        <f t="shared" si="83"/>
        <v>0</v>
      </c>
      <c r="IW18" s="546">
        <f t="shared" si="194"/>
        <v>0</v>
      </c>
      <c r="IX18" s="544"/>
      <c r="IY18" s="545">
        <f t="shared" si="84"/>
        <v>0</v>
      </c>
      <c r="IZ18" s="546">
        <f t="shared" si="195"/>
        <v>0</v>
      </c>
      <c r="JA18" s="544"/>
      <c r="JB18" s="545">
        <f t="shared" si="85"/>
        <v>0</v>
      </c>
      <c r="JC18" s="546">
        <f t="shared" si="196"/>
        <v>0</v>
      </c>
      <c r="JD18" s="544"/>
      <c r="JE18" s="545">
        <f t="shared" si="86"/>
        <v>0</v>
      </c>
      <c r="JF18" s="546">
        <f t="shared" si="197"/>
        <v>0</v>
      </c>
      <c r="JG18" s="544"/>
      <c r="JH18" s="546" t="str">
        <f t="shared" si="87"/>
        <v>0</v>
      </c>
      <c r="JI18" s="546" t="str">
        <f t="shared" si="88"/>
        <v>0</v>
      </c>
      <c r="JJ18" s="544"/>
      <c r="JK18" s="546" t="str">
        <f t="shared" si="89"/>
        <v>0</v>
      </c>
      <c r="JL18" s="546" t="str">
        <f t="shared" si="90"/>
        <v>0</v>
      </c>
      <c r="JM18" s="544"/>
      <c r="JN18" s="546" t="str">
        <f t="shared" si="91"/>
        <v>0</v>
      </c>
      <c r="JO18" s="546" t="str">
        <f t="shared" si="92"/>
        <v>0</v>
      </c>
      <c r="JP18" s="544"/>
      <c r="JQ18" s="546" t="str">
        <f t="shared" si="93"/>
        <v>0</v>
      </c>
      <c r="JR18" s="546" t="str">
        <f t="shared" si="94"/>
        <v>0</v>
      </c>
      <c r="JS18" s="544"/>
      <c r="JT18" s="546" t="str">
        <f t="shared" si="95"/>
        <v>0</v>
      </c>
      <c r="JU18" s="546" t="str">
        <f t="shared" si="96"/>
        <v>0</v>
      </c>
      <c r="JV18" s="544"/>
      <c r="JW18" s="546" t="str">
        <f t="shared" si="97"/>
        <v>0</v>
      </c>
      <c r="JX18" s="546" t="str">
        <f t="shared" si="98"/>
        <v>0</v>
      </c>
      <c r="JY18" s="544"/>
      <c r="JZ18" s="546" t="str">
        <f t="shared" si="99"/>
        <v>0</v>
      </c>
      <c r="KA18" s="546" t="str">
        <f t="shared" si="100"/>
        <v>0</v>
      </c>
      <c r="KB18" s="544"/>
      <c r="KC18" s="546" t="str">
        <f t="shared" si="101"/>
        <v>0</v>
      </c>
      <c r="KD18" s="546" t="str">
        <f t="shared" si="102"/>
        <v>0</v>
      </c>
      <c r="KE18" s="544"/>
      <c r="KF18" s="546" t="str">
        <f t="shared" si="103"/>
        <v>0</v>
      </c>
      <c r="KG18" s="546" t="str">
        <f t="shared" si="104"/>
        <v>0</v>
      </c>
      <c r="KH18" s="544"/>
      <c r="KI18" s="546" t="str">
        <f t="shared" si="105"/>
        <v>0</v>
      </c>
      <c r="KJ18" s="546" t="str">
        <f t="shared" si="106"/>
        <v>0</v>
      </c>
      <c r="KK18" s="544"/>
      <c r="KL18" s="546" t="str">
        <f t="shared" si="107"/>
        <v>0</v>
      </c>
      <c r="KM18" s="546" t="str">
        <f t="shared" si="108"/>
        <v>0</v>
      </c>
      <c r="KN18" s="544"/>
      <c r="KO18" s="546" t="str">
        <f t="shared" si="109"/>
        <v>0</v>
      </c>
      <c r="KP18" s="546" t="str">
        <f t="shared" si="110"/>
        <v>0</v>
      </c>
      <c r="KQ18" s="546">
        <f t="shared" si="111"/>
        <v>0</v>
      </c>
      <c r="KR18" s="546">
        <f t="shared" si="198"/>
        <v>0</v>
      </c>
      <c r="KS18" s="265">
        <f t="shared" si="199"/>
        <v>948.06000000000017</v>
      </c>
    </row>
    <row r="19" spans="1:305" ht="15" customHeight="1">
      <c r="A19" s="267">
        <f t="shared" si="200"/>
        <v>45727</v>
      </c>
      <c r="B19" s="268" t="str">
        <f>+Report1!B19</f>
        <v>Napkin</v>
      </c>
      <c r="C19" s="268" t="str">
        <f>+Report1!C19</f>
        <v>17</v>
      </c>
      <c r="D19" s="269">
        <f>+Report1!P19</f>
        <v>49.765999999999998</v>
      </c>
      <c r="E19" s="270">
        <f>+Report1!R19</f>
        <v>47.152999999999999</v>
      </c>
      <c r="F19" s="544"/>
      <c r="G19" s="545">
        <f t="shared" si="0"/>
        <v>0</v>
      </c>
      <c r="H19" s="546">
        <f t="shared" si="112"/>
        <v>0</v>
      </c>
      <c r="I19" s="544"/>
      <c r="J19" s="545">
        <f t="shared" si="1"/>
        <v>0</v>
      </c>
      <c r="K19" s="546">
        <f t="shared" si="113"/>
        <v>0</v>
      </c>
      <c r="L19" s="544"/>
      <c r="M19" s="545">
        <f t="shared" si="2"/>
        <v>0</v>
      </c>
      <c r="N19" s="546">
        <f t="shared" si="114"/>
        <v>0</v>
      </c>
      <c r="O19" s="544">
        <v>12.001599999999968</v>
      </c>
      <c r="P19" s="545">
        <f t="shared" si="3"/>
        <v>0.2545246325790505</v>
      </c>
      <c r="Q19" s="546">
        <f t="shared" si="115"/>
        <v>0</v>
      </c>
      <c r="R19" s="544"/>
      <c r="S19" s="545">
        <f t="shared" si="4"/>
        <v>0</v>
      </c>
      <c r="T19" s="546">
        <f t="shared" si="116"/>
        <v>0</v>
      </c>
      <c r="U19" s="544">
        <v>10.25139999999999</v>
      </c>
      <c r="V19" s="545">
        <f t="shared" si="5"/>
        <v>0.21740716391321846</v>
      </c>
      <c r="W19" s="546">
        <f t="shared" si="117"/>
        <v>0</v>
      </c>
      <c r="X19" s="544"/>
      <c r="Y19" s="545">
        <f t="shared" si="6"/>
        <v>0</v>
      </c>
      <c r="Z19" s="546">
        <f t="shared" si="118"/>
        <v>0</v>
      </c>
      <c r="AA19" s="544"/>
      <c r="AB19" s="545">
        <f t="shared" si="7"/>
        <v>0</v>
      </c>
      <c r="AC19" s="546">
        <f t="shared" si="119"/>
        <v>0</v>
      </c>
      <c r="AD19" s="544"/>
      <c r="AE19" s="545">
        <f t="shared" si="8"/>
        <v>0</v>
      </c>
      <c r="AF19" s="546">
        <f t="shared" si="120"/>
        <v>0</v>
      </c>
      <c r="AG19" s="544"/>
      <c r="AH19" s="545">
        <f t="shared" si="9"/>
        <v>0</v>
      </c>
      <c r="AI19" s="546">
        <f t="shared" si="121"/>
        <v>0</v>
      </c>
      <c r="AJ19" s="544"/>
      <c r="AK19" s="545">
        <f t="shared" si="10"/>
        <v>0</v>
      </c>
      <c r="AL19" s="546">
        <f t="shared" si="122"/>
        <v>0</v>
      </c>
      <c r="AM19" s="544">
        <v>36.79133076923074</v>
      </c>
      <c r="AN19" s="545">
        <f t="shared" si="11"/>
        <v>0.7802542949384077</v>
      </c>
      <c r="AO19" s="546">
        <f t="shared" si="123"/>
        <v>0</v>
      </c>
      <c r="AP19" s="544"/>
      <c r="AQ19" s="545">
        <f t="shared" si="12"/>
        <v>0</v>
      </c>
      <c r="AR19" s="546">
        <f t="shared" si="124"/>
        <v>0</v>
      </c>
      <c r="AS19" s="544"/>
      <c r="AT19" s="545">
        <f t="shared" si="13"/>
        <v>0</v>
      </c>
      <c r="AU19" s="546">
        <f t="shared" si="125"/>
        <v>0</v>
      </c>
      <c r="AV19" s="544">
        <v>2.7804999999999751</v>
      </c>
      <c r="AW19" s="545">
        <f t="shared" si="14"/>
        <v>5.8967616058362676E-2</v>
      </c>
      <c r="AX19" s="546">
        <f t="shared" si="126"/>
        <v>0</v>
      </c>
      <c r="AY19" s="544">
        <v>72.335066666666705</v>
      </c>
      <c r="AZ19" s="545">
        <f t="shared" si="15"/>
        <v>1.5340501488063687</v>
      </c>
      <c r="BA19" s="546">
        <f t="shared" si="127"/>
        <v>0</v>
      </c>
      <c r="BB19" s="544"/>
      <c r="BC19" s="545">
        <f t="shared" si="16"/>
        <v>0</v>
      </c>
      <c r="BD19" s="546">
        <f t="shared" si="128"/>
        <v>0</v>
      </c>
      <c r="BE19" s="544"/>
      <c r="BF19" s="545">
        <f t="shared" si="17"/>
        <v>0</v>
      </c>
      <c r="BG19" s="546">
        <f t="shared" si="129"/>
        <v>0</v>
      </c>
      <c r="BH19" s="544"/>
      <c r="BI19" s="545">
        <f t="shared" si="18"/>
        <v>0</v>
      </c>
      <c r="BJ19" s="546">
        <f t="shared" si="130"/>
        <v>0</v>
      </c>
      <c r="BK19" s="544"/>
      <c r="BL19" s="545">
        <f t="shared" si="19"/>
        <v>0</v>
      </c>
      <c r="BM19" s="546">
        <f t="shared" si="131"/>
        <v>0</v>
      </c>
      <c r="BN19" s="544"/>
      <c r="BO19" s="545">
        <f t="shared" si="20"/>
        <v>0</v>
      </c>
      <c r="BP19" s="546">
        <f t="shared" si="132"/>
        <v>0</v>
      </c>
      <c r="BQ19" s="544"/>
      <c r="BR19" s="545">
        <f t="shared" si="21"/>
        <v>0</v>
      </c>
      <c r="BS19" s="546">
        <f t="shared" si="133"/>
        <v>0</v>
      </c>
      <c r="BT19" s="544"/>
      <c r="BU19" s="545">
        <f t="shared" si="22"/>
        <v>0</v>
      </c>
      <c r="BV19" s="546">
        <f t="shared" si="134"/>
        <v>0</v>
      </c>
      <c r="BW19" s="544"/>
      <c r="BX19" s="545">
        <f t="shared" si="23"/>
        <v>0</v>
      </c>
      <c r="BY19" s="546">
        <f t="shared" si="135"/>
        <v>0</v>
      </c>
      <c r="BZ19" s="544"/>
      <c r="CA19" s="545">
        <f t="shared" si="24"/>
        <v>0</v>
      </c>
      <c r="CB19" s="546">
        <f t="shared" si="136"/>
        <v>0</v>
      </c>
      <c r="CC19" s="544">
        <v>56.25</v>
      </c>
      <c r="CD19" s="545">
        <f t="shared" si="25"/>
        <v>1.1929251585264988</v>
      </c>
      <c r="CE19" s="546">
        <f t="shared" si="137"/>
        <v>0</v>
      </c>
      <c r="CF19" s="544">
        <v>1.1999999999999993</v>
      </c>
      <c r="CG19" s="545">
        <f t="shared" si="26"/>
        <v>2.5449070048565295E-2</v>
      </c>
      <c r="CH19" s="546">
        <f t="shared" si="138"/>
        <v>0</v>
      </c>
      <c r="CI19" s="544"/>
      <c r="CJ19" s="545">
        <f t="shared" si="27"/>
        <v>0</v>
      </c>
      <c r="CK19" s="546">
        <f t="shared" si="139"/>
        <v>0</v>
      </c>
      <c r="CL19" s="544"/>
      <c r="CM19" s="545">
        <f t="shared" si="28"/>
        <v>0</v>
      </c>
      <c r="CN19" s="546">
        <f t="shared" si="140"/>
        <v>0</v>
      </c>
      <c r="CO19" s="544"/>
      <c r="CP19" s="545">
        <f t="shared" si="29"/>
        <v>0</v>
      </c>
      <c r="CQ19" s="546">
        <f t="shared" si="141"/>
        <v>0</v>
      </c>
      <c r="CR19" s="544"/>
      <c r="CS19" s="545">
        <f t="shared" si="30"/>
        <v>0</v>
      </c>
      <c r="CT19" s="546">
        <f t="shared" si="142"/>
        <v>0</v>
      </c>
      <c r="CU19" s="544"/>
      <c r="CV19" s="545">
        <f t="shared" si="31"/>
        <v>0</v>
      </c>
      <c r="CW19" s="546">
        <f t="shared" si="143"/>
        <v>0</v>
      </c>
      <c r="CX19" s="544"/>
      <c r="CY19" s="545">
        <f t="shared" si="32"/>
        <v>0</v>
      </c>
      <c r="CZ19" s="546">
        <f t="shared" si="144"/>
        <v>0</v>
      </c>
      <c r="DA19" s="544"/>
      <c r="DB19" s="545">
        <f t="shared" si="33"/>
        <v>0</v>
      </c>
      <c r="DC19" s="546">
        <f t="shared" si="145"/>
        <v>0</v>
      </c>
      <c r="DD19" s="544"/>
      <c r="DE19" s="545">
        <f t="shared" si="34"/>
        <v>0</v>
      </c>
      <c r="DF19" s="546">
        <f t="shared" si="146"/>
        <v>0</v>
      </c>
      <c r="DG19" s="544"/>
      <c r="DH19" s="545">
        <f t="shared" si="35"/>
        <v>0</v>
      </c>
      <c r="DI19" s="546">
        <f t="shared" si="201"/>
        <v>0</v>
      </c>
      <c r="DJ19" s="544"/>
      <c r="DK19" s="545">
        <f t="shared" si="36"/>
        <v>0</v>
      </c>
      <c r="DL19" s="546">
        <f t="shared" si="147"/>
        <v>0</v>
      </c>
      <c r="DM19" s="544"/>
      <c r="DN19" s="545">
        <f t="shared" si="37"/>
        <v>0</v>
      </c>
      <c r="DO19" s="546">
        <f t="shared" si="148"/>
        <v>0</v>
      </c>
      <c r="DP19" s="544"/>
      <c r="DQ19" s="545">
        <f t="shared" si="38"/>
        <v>0</v>
      </c>
      <c r="DR19" s="546">
        <f t="shared" si="149"/>
        <v>0</v>
      </c>
      <c r="DS19" s="544"/>
      <c r="DT19" s="545">
        <f t="shared" si="39"/>
        <v>0</v>
      </c>
      <c r="DU19" s="546">
        <f t="shared" si="150"/>
        <v>0</v>
      </c>
      <c r="DV19" s="544"/>
      <c r="DW19" s="545">
        <f t="shared" si="40"/>
        <v>0</v>
      </c>
      <c r="DX19" s="546">
        <f t="shared" si="151"/>
        <v>0</v>
      </c>
      <c r="DY19" s="544"/>
      <c r="DZ19" s="545">
        <f t="shared" si="41"/>
        <v>0</v>
      </c>
      <c r="EA19" s="546">
        <f t="shared" si="152"/>
        <v>0</v>
      </c>
      <c r="EB19" s="544">
        <v>352.94416470588249</v>
      </c>
      <c r="EC19" s="545">
        <f t="shared" si="42"/>
        <v>7.4850839756936463</v>
      </c>
      <c r="ED19" s="546">
        <f t="shared" si="153"/>
        <v>0</v>
      </c>
      <c r="EE19" s="544">
        <v>0</v>
      </c>
      <c r="EF19" s="545">
        <f t="shared" si="43"/>
        <v>0</v>
      </c>
      <c r="EG19" s="546">
        <f t="shared" si="154"/>
        <v>0</v>
      </c>
      <c r="EH19" s="544">
        <v>2</v>
      </c>
      <c r="EI19" s="545">
        <f t="shared" si="44"/>
        <v>4.2415116747608846E-2</v>
      </c>
      <c r="EJ19" s="546">
        <f t="shared" si="155"/>
        <v>0</v>
      </c>
      <c r="EK19" s="544"/>
      <c r="EL19" s="545">
        <f t="shared" si="45"/>
        <v>0</v>
      </c>
      <c r="EM19" s="546">
        <f t="shared" si="156"/>
        <v>0</v>
      </c>
      <c r="EN19" s="544"/>
      <c r="EO19" s="545">
        <f t="shared" si="46"/>
        <v>0</v>
      </c>
      <c r="EP19" s="546">
        <f t="shared" si="157"/>
        <v>0</v>
      </c>
      <c r="EQ19" s="544"/>
      <c r="ER19" s="545">
        <f t="shared" si="47"/>
        <v>0</v>
      </c>
      <c r="ES19" s="546">
        <f t="shared" si="158"/>
        <v>0</v>
      </c>
      <c r="ET19" s="544"/>
      <c r="EU19" s="545">
        <f t="shared" si="48"/>
        <v>0</v>
      </c>
      <c r="EV19" s="546">
        <f t="shared" si="159"/>
        <v>0</v>
      </c>
      <c r="EW19" s="544"/>
      <c r="EX19" s="545">
        <f t="shared" si="49"/>
        <v>0</v>
      </c>
      <c r="EY19" s="546">
        <f t="shared" si="160"/>
        <v>0</v>
      </c>
      <c r="EZ19" s="544"/>
      <c r="FA19" s="545">
        <f t="shared" si="50"/>
        <v>0</v>
      </c>
      <c r="FB19" s="546">
        <f t="shared" si="161"/>
        <v>0</v>
      </c>
      <c r="FC19" s="544"/>
      <c r="FD19" s="545">
        <f t="shared" si="51"/>
        <v>0</v>
      </c>
      <c r="FE19" s="546">
        <f t="shared" si="162"/>
        <v>0</v>
      </c>
      <c r="FF19" s="544"/>
      <c r="FG19" s="545">
        <f t="shared" si="52"/>
        <v>0</v>
      </c>
      <c r="FH19" s="546">
        <f t="shared" si="163"/>
        <v>0</v>
      </c>
      <c r="FI19" s="544"/>
      <c r="FJ19" s="545">
        <f t="shared" si="53"/>
        <v>0</v>
      </c>
      <c r="FK19" s="546">
        <f t="shared" si="164"/>
        <v>0</v>
      </c>
      <c r="FL19" s="544"/>
      <c r="FM19" s="545">
        <f t="shared" si="54"/>
        <v>0</v>
      </c>
      <c r="FN19" s="546">
        <f t="shared" si="165"/>
        <v>0</v>
      </c>
      <c r="FO19" s="544"/>
      <c r="FP19" s="545">
        <f t="shared" si="55"/>
        <v>0</v>
      </c>
      <c r="FQ19" s="546">
        <f t="shared" si="166"/>
        <v>0</v>
      </c>
      <c r="FR19" s="544"/>
      <c r="FS19" s="545">
        <f t="shared" si="56"/>
        <v>0</v>
      </c>
      <c r="FT19" s="546">
        <f t="shared" si="167"/>
        <v>0</v>
      </c>
      <c r="FU19" s="544"/>
      <c r="FV19" s="545">
        <f t="shared" si="57"/>
        <v>0</v>
      </c>
      <c r="FW19" s="546">
        <f t="shared" si="168"/>
        <v>0</v>
      </c>
      <c r="FX19" s="544"/>
      <c r="FY19" s="545">
        <f t="shared" si="58"/>
        <v>0</v>
      </c>
      <c r="FZ19" s="546">
        <f t="shared" si="169"/>
        <v>0</v>
      </c>
      <c r="GA19" s="544"/>
      <c r="GB19" s="545">
        <f t="shared" si="59"/>
        <v>0</v>
      </c>
      <c r="GC19" s="546">
        <f t="shared" si="170"/>
        <v>0</v>
      </c>
      <c r="GD19" s="544"/>
      <c r="GE19" s="545">
        <f t="shared" si="60"/>
        <v>0</v>
      </c>
      <c r="GF19" s="546">
        <f t="shared" si="171"/>
        <v>0</v>
      </c>
      <c r="GG19" s="544"/>
      <c r="GH19" s="545">
        <f t="shared" si="61"/>
        <v>0</v>
      </c>
      <c r="GI19" s="546">
        <f t="shared" si="172"/>
        <v>0</v>
      </c>
      <c r="GJ19" s="544"/>
      <c r="GK19" s="545">
        <f t="shared" si="62"/>
        <v>0</v>
      </c>
      <c r="GL19" s="546">
        <f t="shared" si="173"/>
        <v>0</v>
      </c>
      <c r="GM19" s="544"/>
      <c r="GN19" s="545">
        <f t="shared" si="63"/>
        <v>0</v>
      </c>
      <c r="GO19" s="546">
        <f t="shared" si="174"/>
        <v>0</v>
      </c>
      <c r="GP19" s="544"/>
      <c r="GQ19" s="545">
        <f t="shared" si="64"/>
        <v>0</v>
      </c>
      <c r="GR19" s="546">
        <f t="shared" si="175"/>
        <v>0</v>
      </c>
      <c r="GS19" s="544"/>
      <c r="GT19" s="545">
        <f t="shared" si="65"/>
        <v>0</v>
      </c>
      <c r="GU19" s="546">
        <f t="shared" si="176"/>
        <v>0</v>
      </c>
      <c r="GV19" s="544"/>
      <c r="GW19" s="545">
        <f t="shared" si="66"/>
        <v>0</v>
      </c>
      <c r="GX19" s="546">
        <f t="shared" si="177"/>
        <v>0</v>
      </c>
      <c r="GY19" s="544"/>
      <c r="GZ19" s="545">
        <f t="shared" si="67"/>
        <v>0</v>
      </c>
      <c r="HA19" s="546">
        <f t="shared" si="178"/>
        <v>0</v>
      </c>
      <c r="HB19" s="544"/>
      <c r="HC19" s="545">
        <f t="shared" si="68"/>
        <v>0</v>
      </c>
      <c r="HD19" s="546">
        <f t="shared" si="179"/>
        <v>0</v>
      </c>
      <c r="HE19" s="544"/>
      <c r="HF19" s="545">
        <f t="shared" si="69"/>
        <v>0</v>
      </c>
      <c r="HG19" s="546">
        <f t="shared" si="180"/>
        <v>0</v>
      </c>
      <c r="HH19" s="544"/>
      <c r="HI19" s="545">
        <f t="shared" si="70"/>
        <v>0</v>
      </c>
      <c r="HJ19" s="546">
        <f t="shared" si="181"/>
        <v>0</v>
      </c>
      <c r="HK19" s="544"/>
      <c r="HL19" s="545">
        <f t="shared" si="71"/>
        <v>0</v>
      </c>
      <c r="HM19" s="546">
        <f t="shared" si="182"/>
        <v>0</v>
      </c>
      <c r="HN19" s="544"/>
      <c r="HO19" s="545">
        <f t="shared" si="72"/>
        <v>0</v>
      </c>
      <c r="HP19" s="546">
        <f t="shared" si="183"/>
        <v>0</v>
      </c>
      <c r="HQ19" s="544"/>
      <c r="HR19" s="545">
        <f t="shared" si="73"/>
        <v>0</v>
      </c>
      <c r="HS19" s="546">
        <f t="shared" si="184"/>
        <v>0</v>
      </c>
      <c r="HT19" s="544"/>
      <c r="HU19" s="545">
        <f t="shared" si="74"/>
        <v>0</v>
      </c>
      <c r="HV19" s="546">
        <f t="shared" si="185"/>
        <v>0</v>
      </c>
      <c r="HW19" s="544"/>
      <c r="HX19" s="545">
        <f t="shared" si="75"/>
        <v>0</v>
      </c>
      <c r="HY19" s="546">
        <f t="shared" si="186"/>
        <v>0</v>
      </c>
      <c r="HZ19" s="544"/>
      <c r="IA19" s="545">
        <f t="shared" si="76"/>
        <v>0</v>
      </c>
      <c r="IB19" s="546">
        <f t="shared" si="187"/>
        <v>0</v>
      </c>
      <c r="IC19" s="544"/>
      <c r="ID19" s="545">
        <f t="shared" si="77"/>
        <v>0</v>
      </c>
      <c r="IE19" s="546">
        <f t="shared" si="188"/>
        <v>0</v>
      </c>
      <c r="IF19" s="544"/>
      <c r="IG19" s="545">
        <f t="shared" si="78"/>
        <v>0</v>
      </c>
      <c r="IH19" s="546">
        <f t="shared" si="189"/>
        <v>0</v>
      </c>
      <c r="II19" s="544"/>
      <c r="IJ19" s="545">
        <f t="shared" si="79"/>
        <v>0</v>
      </c>
      <c r="IK19" s="546">
        <f t="shared" si="190"/>
        <v>0</v>
      </c>
      <c r="IL19" s="544"/>
      <c r="IM19" s="545">
        <f t="shared" si="80"/>
        <v>0</v>
      </c>
      <c r="IN19" s="546">
        <f t="shared" si="191"/>
        <v>0</v>
      </c>
      <c r="IO19" s="544"/>
      <c r="IP19" s="545">
        <f t="shared" si="81"/>
        <v>0</v>
      </c>
      <c r="IQ19" s="546">
        <f t="shared" si="192"/>
        <v>0</v>
      </c>
      <c r="IR19" s="544"/>
      <c r="IS19" s="545">
        <f t="shared" si="82"/>
        <v>0</v>
      </c>
      <c r="IT19" s="546">
        <f t="shared" si="193"/>
        <v>0</v>
      </c>
      <c r="IU19" s="544"/>
      <c r="IV19" s="545">
        <f t="shared" si="83"/>
        <v>0</v>
      </c>
      <c r="IW19" s="546">
        <f t="shared" si="194"/>
        <v>0</v>
      </c>
      <c r="IX19" s="544"/>
      <c r="IY19" s="545">
        <f t="shared" si="84"/>
        <v>0</v>
      </c>
      <c r="IZ19" s="546">
        <f t="shared" si="195"/>
        <v>0</v>
      </c>
      <c r="JA19" s="544"/>
      <c r="JB19" s="545">
        <f t="shared" si="85"/>
        <v>0</v>
      </c>
      <c r="JC19" s="546">
        <f t="shared" si="196"/>
        <v>0</v>
      </c>
      <c r="JD19" s="544"/>
      <c r="JE19" s="545">
        <f t="shared" si="86"/>
        <v>0</v>
      </c>
      <c r="JF19" s="546">
        <f t="shared" si="197"/>
        <v>0</v>
      </c>
      <c r="JG19" s="544"/>
      <c r="JH19" s="546" t="str">
        <f t="shared" si="87"/>
        <v>0</v>
      </c>
      <c r="JI19" s="546" t="str">
        <f t="shared" si="88"/>
        <v>0</v>
      </c>
      <c r="JJ19" s="544"/>
      <c r="JK19" s="546" t="str">
        <f t="shared" si="89"/>
        <v>0</v>
      </c>
      <c r="JL19" s="546" t="str">
        <f t="shared" si="90"/>
        <v>0</v>
      </c>
      <c r="JM19" s="544"/>
      <c r="JN19" s="546" t="str">
        <f t="shared" si="91"/>
        <v>0</v>
      </c>
      <c r="JO19" s="546" t="str">
        <f t="shared" si="92"/>
        <v>0</v>
      </c>
      <c r="JP19" s="544"/>
      <c r="JQ19" s="546" t="str">
        <f t="shared" si="93"/>
        <v>0</v>
      </c>
      <c r="JR19" s="546" t="str">
        <f t="shared" si="94"/>
        <v>0</v>
      </c>
      <c r="JS19" s="544"/>
      <c r="JT19" s="546" t="str">
        <f t="shared" si="95"/>
        <v>0</v>
      </c>
      <c r="JU19" s="546" t="str">
        <f t="shared" si="96"/>
        <v>0</v>
      </c>
      <c r="JV19" s="544"/>
      <c r="JW19" s="546" t="str">
        <f t="shared" si="97"/>
        <v>0</v>
      </c>
      <c r="JX19" s="546" t="str">
        <f t="shared" si="98"/>
        <v>0</v>
      </c>
      <c r="JY19" s="544"/>
      <c r="JZ19" s="546" t="str">
        <f t="shared" si="99"/>
        <v>0</v>
      </c>
      <c r="KA19" s="546" t="str">
        <f t="shared" si="100"/>
        <v>0</v>
      </c>
      <c r="KB19" s="544"/>
      <c r="KC19" s="546" t="str">
        <f t="shared" si="101"/>
        <v>0</v>
      </c>
      <c r="KD19" s="546" t="str">
        <f t="shared" si="102"/>
        <v>0</v>
      </c>
      <c r="KE19" s="544"/>
      <c r="KF19" s="546" t="str">
        <f t="shared" si="103"/>
        <v>0</v>
      </c>
      <c r="KG19" s="546" t="str">
        <f t="shared" si="104"/>
        <v>0</v>
      </c>
      <c r="KH19" s="544"/>
      <c r="KI19" s="546" t="str">
        <f t="shared" si="105"/>
        <v>0</v>
      </c>
      <c r="KJ19" s="546" t="str">
        <f t="shared" si="106"/>
        <v>0</v>
      </c>
      <c r="KK19" s="544"/>
      <c r="KL19" s="546" t="str">
        <f t="shared" si="107"/>
        <v>0</v>
      </c>
      <c r="KM19" s="546" t="str">
        <f t="shared" si="108"/>
        <v>0</v>
      </c>
      <c r="KN19" s="544"/>
      <c r="KO19" s="546" t="str">
        <f t="shared" si="109"/>
        <v>0</v>
      </c>
      <c r="KP19" s="546" t="str">
        <f t="shared" si="110"/>
        <v>0</v>
      </c>
      <c r="KQ19" s="546">
        <f t="shared" si="111"/>
        <v>0</v>
      </c>
      <c r="KR19" s="546">
        <f t="shared" si="198"/>
        <v>0</v>
      </c>
      <c r="KS19" s="265">
        <f t="shared" si="199"/>
        <v>546.55406214177992</v>
      </c>
    </row>
    <row r="20" spans="1:305" ht="15" customHeight="1">
      <c r="A20" s="267">
        <f t="shared" si="200"/>
        <v>45728</v>
      </c>
      <c r="B20" s="268" t="str">
        <f>+Report1!B20</f>
        <v>Napkin</v>
      </c>
      <c r="C20" s="268" t="str">
        <f>+Report1!C20</f>
        <v>17</v>
      </c>
      <c r="D20" s="269">
        <f>+Report1!P20</f>
        <v>50.506999999999998</v>
      </c>
      <c r="E20" s="270">
        <f>+Report1!R20</f>
        <v>49.026000000000003</v>
      </c>
      <c r="F20" s="544"/>
      <c r="G20" s="545">
        <f t="shared" si="0"/>
        <v>0</v>
      </c>
      <c r="H20" s="546">
        <f t="shared" si="112"/>
        <v>0</v>
      </c>
      <c r="I20" s="544"/>
      <c r="J20" s="545">
        <f t="shared" si="1"/>
        <v>0</v>
      </c>
      <c r="K20" s="546">
        <f t="shared" si="113"/>
        <v>0</v>
      </c>
      <c r="L20" s="544"/>
      <c r="M20" s="545">
        <f t="shared" si="2"/>
        <v>0</v>
      </c>
      <c r="N20" s="546">
        <f t="shared" si="114"/>
        <v>0</v>
      </c>
      <c r="O20" s="544">
        <v>12</v>
      </c>
      <c r="P20" s="545">
        <f t="shared" si="3"/>
        <v>0.24476808224207561</v>
      </c>
      <c r="Q20" s="546">
        <f t="shared" si="115"/>
        <v>0</v>
      </c>
      <c r="R20" s="544"/>
      <c r="S20" s="545">
        <f t="shared" si="4"/>
        <v>0</v>
      </c>
      <c r="T20" s="546">
        <f t="shared" si="116"/>
        <v>0</v>
      </c>
      <c r="U20" s="544">
        <v>10.25</v>
      </c>
      <c r="V20" s="545">
        <f t="shared" si="5"/>
        <v>0.20907273691510625</v>
      </c>
      <c r="W20" s="546">
        <f t="shared" si="117"/>
        <v>0</v>
      </c>
      <c r="X20" s="544"/>
      <c r="Y20" s="545">
        <f t="shared" si="6"/>
        <v>0</v>
      </c>
      <c r="Z20" s="546">
        <f t="shared" si="118"/>
        <v>0</v>
      </c>
      <c r="AA20" s="544"/>
      <c r="AB20" s="545">
        <f t="shared" si="7"/>
        <v>0</v>
      </c>
      <c r="AC20" s="546">
        <f t="shared" si="119"/>
        <v>0</v>
      </c>
      <c r="AD20" s="544"/>
      <c r="AE20" s="545">
        <f t="shared" si="8"/>
        <v>0</v>
      </c>
      <c r="AF20" s="546">
        <f t="shared" si="120"/>
        <v>0</v>
      </c>
      <c r="AG20" s="544"/>
      <c r="AH20" s="545">
        <f t="shared" si="9"/>
        <v>0</v>
      </c>
      <c r="AI20" s="546">
        <f t="shared" si="121"/>
        <v>0</v>
      </c>
      <c r="AJ20" s="544"/>
      <c r="AK20" s="545">
        <f t="shared" si="10"/>
        <v>0</v>
      </c>
      <c r="AL20" s="546">
        <f t="shared" si="122"/>
        <v>0</v>
      </c>
      <c r="AM20" s="544">
        <v>55.192307692307736</v>
      </c>
      <c r="AN20" s="545">
        <f t="shared" si="11"/>
        <v>1.1257762756967269</v>
      </c>
      <c r="AO20" s="546">
        <f t="shared" si="123"/>
        <v>0</v>
      </c>
      <c r="AP20" s="544"/>
      <c r="AQ20" s="545">
        <f t="shared" si="12"/>
        <v>0</v>
      </c>
      <c r="AR20" s="546">
        <f t="shared" si="124"/>
        <v>0</v>
      </c>
      <c r="AS20" s="544"/>
      <c r="AT20" s="545">
        <f t="shared" si="13"/>
        <v>0</v>
      </c>
      <c r="AU20" s="546">
        <f t="shared" si="125"/>
        <v>0</v>
      </c>
      <c r="AV20" s="544">
        <v>5.5500000000000114</v>
      </c>
      <c r="AW20" s="545">
        <f t="shared" si="14"/>
        <v>0.1132052380369602</v>
      </c>
      <c r="AX20" s="546">
        <f t="shared" si="126"/>
        <v>0</v>
      </c>
      <c r="AY20" s="544">
        <v>65.333333333333314</v>
      </c>
      <c r="AZ20" s="545">
        <f t="shared" si="15"/>
        <v>1.3326262255401891</v>
      </c>
      <c r="BA20" s="546">
        <f t="shared" si="127"/>
        <v>0</v>
      </c>
      <c r="BB20" s="544"/>
      <c r="BC20" s="545">
        <f t="shared" si="16"/>
        <v>0</v>
      </c>
      <c r="BD20" s="546">
        <f t="shared" si="128"/>
        <v>0</v>
      </c>
      <c r="BE20" s="544"/>
      <c r="BF20" s="545">
        <f t="shared" si="17"/>
        <v>0</v>
      </c>
      <c r="BG20" s="546">
        <f t="shared" si="129"/>
        <v>0</v>
      </c>
      <c r="BH20" s="544"/>
      <c r="BI20" s="545">
        <f t="shared" si="18"/>
        <v>0</v>
      </c>
      <c r="BJ20" s="546">
        <f t="shared" si="130"/>
        <v>0</v>
      </c>
      <c r="BK20" s="544"/>
      <c r="BL20" s="545">
        <f t="shared" si="19"/>
        <v>0</v>
      </c>
      <c r="BM20" s="546">
        <f t="shared" si="131"/>
        <v>0</v>
      </c>
      <c r="BN20" s="544"/>
      <c r="BO20" s="545">
        <f t="shared" si="20"/>
        <v>0</v>
      </c>
      <c r="BP20" s="546">
        <f t="shared" si="132"/>
        <v>0</v>
      </c>
      <c r="BQ20" s="544"/>
      <c r="BR20" s="545">
        <f t="shared" si="21"/>
        <v>0</v>
      </c>
      <c r="BS20" s="546">
        <f t="shared" si="133"/>
        <v>0</v>
      </c>
      <c r="BT20" s="544"/>
      <c r="BU20" s="545">
        <f t="shared" si="22"/>
        <v>0</v>
      </c>
      <c r="BV20" s="546">
        <f t="shared" si="134"/>
        <v>0</v>
      </c>
      <c r="BW20" s="544"/>
      <c r="BX20" s="545">
        <f t="shared" si="23"/>
        <v>0</v>
      </c>
      <c r="BY20" s="546">
        <f t="shared" si="135"/>
        <v>0</v>
      </c>
      <c r="BZ20" s="544"/>
      <c r="CA20" s="545">
        <f t="shared" si="24"/>
        <v>0</v>
      </c>
      <c r="CB20" s="546">
        <f t="shared" si="136"/>
        <v>0</v>
      </c>
      <c r="CC20" s="544">
        <v>75</v>
      </c>
      <c r="CD20" s="545">
        <f t="shared" si="25"/>
        <v>1.5298005140129727</v>
      </c>
      <c r="CE20" s="546">
        <f t="shared" si="137"/>
        <v>0</v>
      </c>
      <c r="CF20" s="544">
        <v>1.2000000000000028</v>
      </c>
      <c r="CG20" s="545">
        <f t="shared" si="26"/>
        <v>2.447680822420762E-2</v>
      </c>
      <c r="CH20" s="546">
        <f t="shared" si="138"/>
        <v>0</v>
      </c>
      <c r="CI20" s="544"/>
      <c r="CJ20" s="545">
        <f t="shared" si="27"/>
        <v>0</v>
      </c>
      <c r="CK20" s="546">
        <f t="shared" si="139"/>
        <v>0</v>
      </c>
      <c r="CL20" s="544"/>
      <c r="CM20" s="545">
        <f t="shared" si="28"/>
        <v>0</v>
      </c>
      <c r="CN20" s="546">
        <f t="shared" si="140"/>
        <v>0</v>
      </c>
      <c r="CO20" s="544"/>
      <c r="CP20" s="545">
        <f t="shared" si="29"/>
        <v>0</v>
      </c>
      <c r="CQ20" s="546">
        <f t="shared" si="141"/>
        <v>0</v>
      </c>
      <c r="CR20" s="544"/>
      <c r="CS20" s="545">
        <f t="shared" si="30"/>
        <v>0</v>
      </c>
      <c r="CT20" s="546">
        <f t="shared" si="142"/>
        <v>0</v>
      </c>
      <c r="CU20" s="544"/>
      <c r="CV20" s="545">
        <f t="shared" si="31"/>
        <v>0</v>
      </c>
      <c r="CW20" s="546">
        <f t="shared" si="143"/>
        <v>0</v>
      </c>
      <c r="CX20" s="544"/>
      <c r="CY20" s="545">
        <f t="shared" si="32"/>
        <v>0</v>
      </c>
      <c r="CZ20" s="546">
        <f t="shared" si="144"/>
        <v>0</v>
      </c>
      <c r="DA20" s="544"/>
      <c r="DB20" s="545">
        <f t="shared" si="33"/>
        <v>0</v>
      </c>
      <c r="DC20" s="546">
        <f t="shared" si="145"/>
        <v>0</v>
      </c>
      <c r="DD20" s="544"/>
      <c r="DE20" s="545">
        <f t="shared" si="34"/>
        <v>0</v>
      </c>
      <c r="DF20" s="546">
        <f t="shared" si="146"/>
        <v>0</v>
      </c>
      <c r="DG20" s="544"/>
      <c r="DH20" s="545">
        <f t="shared" si="35"/>
        <v>0</v>
      </c>
      <c r="DI20" s="546">
        <f t="shared" si="201"/>
        <v>0</v>
      </c>
      <c r="DJ20" s="544"/>
      <c r="DK20" s="545">
        <f t="shared" si="36"/>
        <v>0</v>
      </c>
      <c r="DL20" s="546">
        <f t="shared" si="147"/>
        <v>0</v>
      </c>
      <c r="DM20" s="544"/>
      <c r="DN20" s="545">
        <f t="shared" si="37"/>
        <v>0</v>
      </c>
      <c r="DO20" s="546">
        <f t="shared" si="148"/>
        <v>0</v>
      </c>
      <c r="DP20" s="544"/>
      <c r="DQ20" s="545">
        <f t="shared" si="38"/>
        <v>0</v>
      </c>
      <c r="DR20" s="546">
        <f t="shared" si="149"/>
        <v>0</v>
      </c>
      <c r="DS20" s="544"/>
      <c r="DT20" s="545">
        <f t="shared" si="39"/>
        <v>0</v>
      </c>
      <c r="DU20" s="546">
        <f t="shared" si="150"/>
        <v>0</v>
      </c>
      <c r="DV20" s="544"/>
      <c r="DW20" s="545">
        <f t="shared" si="40"/>
        <v>0</v>
      </c>
      <c r="DX20" s="546">
        <f t="shared" si="151"/>
        <v>0</v>
      </c>
      <c r="DY20" s="544"/>
      <c r="DZ20" s="545">
        <f t="shared" si="41"/>
        <v>0</v>
      </c>
      <c r="EA20" s="546">
        <f t="shared" si="152"/>
        <v>0</v>
      </c>
      <c r="EB20" s="544">
        <v>529.41176470588221</v>
      </c>
      <c r="EC20" s="545">
        <f t="shared" si="42"/>
        <v>10.798591863620979</v>
      </c>
      <c r="ED20" s="546">
        <f t="shared" si="153"/>
        <v>0</v>
      </c>
      <c r="EE20" s="544">
        <v>0</v>
      </c>
      <c r="EF20" s="545">
        <f t="shared" si="43"/>
        <v>0</v>
      </c>
      <c r="EG20" s="546">
        <f t="shared" si="154"/>
        <v>0</v>
      </c>
      <c r="EH20" s="544">
        <v>2</v>
      </c>
      <c r="EI20" s="545">
        <f t="shared" si="44"/>
        <v>4.0794680373679268E-2</v>
      </c>
      <c r="EJ20" s="546">
        <f t="shared" si="155"/>
        <v>0</v>
      </c>
      <c r="EK20" s="544"/>
      <c r="EL20" s="545">
        <f t="shared" si="45"/>
        <v>0</v>
      </c>
      <c r="EM20" s="546">
        <f t="shared" si="156"/>
        <v>0</v>
      </c>
      <c r="EN20" s="544"/>
      <c r="EO20" s="545">
        <f t="shared" si="46"/>
        <v>0</v>
      </c>
      <c r="EP20" s="546">
        <f t="shared" si="157"/>
        <v>0</v>
      </c>
      <c r="EQ20" s="544"/>
      <c r="ER20" s="545">
        <f t="shared" si="47"/>
        <v>0</v>
      </c>
      <c r="ES20" s="546">
        <f t="shared" si="158"/>
        <v>0</v>
      </c>
      <c r="ET20" s="544"/>
      <c r="EU20" s="545">
        <f t="shared" si="48"/>
        <v>0</v>
      </c>
      <c r="EV20" s="546">
        <f t="shared" si="159"/>
        <v>0</v>
      </c>
      <c r="EW20" s="544"/>
      <c r="EX20" s="545">
        <f t="shared" si="49"/>
        <v>0</v>
      </c>
      <c r="EY20" s="546">
        <f t="shared" si="160"/>
        <v>0</v>
      </c>
      <c r="EZ20" s="544"/>
      <c r="FA20" s="545">
        <f t="shared" si="50"/>
        <v>0</v>
      </c>
      <c r="FB20" s="546">
        <f t="shared" si="161"/>
        <v>0</v>
      </c>
      <c r="FC20" s="544"/>
      <c r="FD20" s="545">
        <f t="shared" si="51"/>
        <v>0</v>
      </c>
      <c r="FE20" s="546">
        <f t="shared" si="162"/>
        <v>0</v>
      </c>
      <c r="FF20" s="544"/>
      <c r="FG20" s="545">
        <f t="shared" si="52"/>
        <v>0</v>
      </c>
      <c r="FH20" s="546">
        <f t="shared" si="163"/>
        <v>0</v>
      </c>
      <c r="FI20" s="544"/>
      <c r="FJ20" s="545">
        <f t="shared" si="53"/>
        <v>0</v>
      </c>
      <c r="FK20" s="546">
        <f t="shared" si="164"/>
        <v>0</v>
      </c>
      <c r="FL20" s="544"/>
      <c r="FM20" s="545">
        <f t="shared" si="54"/>
        <v>0</v>
      </c>
      <c r="FN20" s="546">
        <f t="shared" si="165"/>
        <v>0</v>
      </c>
      <c r="FO20" s="544"/>
      <c r="FP20" s="545">
        <f t="shared" si="55"/>
        <v>0</v>
      </c>
      <c r="FQ20" s="546">
        <f t="shared" si="166"/>
        <v>0</v>
      </c>
      <c r="FR20" s="544"/>
      <c r="FS20" s="545">
        <f t="shared" si="56"/>
        <v>0</v>
      </c>
      <c r="FT20" s="546">
        <f t="shared" si="167"/>
        <v>0</v>
      </c>
      <c r="FU20" s="544"/>
      <c r="FV20" s="545">
        <f t="shared" si="57"/>
        <v>0</v>
      </c>
      <c r="FW20" s="546">
        <f t="shared" si="168"/>
        <v>0</v>
      </c>
      <c r="FX20" s="544"/>
      <c r="FY20" s="545">
        <f t="shared" si="58"/>
        <v>0</v>
      </c>
      <c r="FZ20" s="546">
        <f t="shared" si="169"/>
        <v>0</v>
      </c>
      <c r="GA20" s="544"/>
      <c r="GB20" s="545">
        <f t="shared" si="59"/>
        <v>0</v>
      </c>
      <c r="GC20" s="546">
        <f t="shared" si="170"/>
        <v>0</v>
      </c>
      <c r="GD20" s="544"/>
      <c r="GE20" s="545">
        <f t="shared" si="60"/>
        <v>0</v>
      </c>
      <c r="GF20" s="546">
        <f t="shared" si="171"/>
        <v>0</v>
      </c>
      <c r="GG20" s="544"/>
      <c r="GH20" s="545">
        <f t="shared" si="61"/>
        <v>0</v>
      </c>
      <c r="GI20" s="546">
        <f t="shared" si="172"/>
        <v>0</v>
      </c>
      <c r="GJ20" s="544"/>
      <c r="GK20" s="545">
        <f t="shared" si="62"/>
        <v>0</v>
      </c>
      <c r="GL20" s="546">
        <f t="shared" si="173"/>
        <v>0</v>
      </c>
      <c r="GM20" s="544"/>
      <c r="GN20" s="545">
        <f t="shared" si="63"/>
        <v>0</v>
      </c>
      <c r="GO20" s="546">
        <f t="shared" si="174"/>
        <v>0</v>
      </c>
      <c r="GP20" s="544"/>
      <c r="GQ20" s="545">
        <f t="shared" si="64"/>
        <v>0</v>
      </c>
      <c r="GR20" s="546">
        <f t="shared" si="175"/>
        <v>0</v>
      </c>
      <c r="GS20" s="544"/>
      <c r="GT20" s="545">
        <f t="shared" si="65"/>
        <v>0</v>
      </c>
      <c r="GU20" s="546">
        <f t="shared" si="176"/>
        <v>0</v>
      </c>
      <c r="GV20" s="544"/>
      <c r="GW20" s="545">
        <f t="shared" si="66"/>
        <v>0</v>
      </c>
      <c r="GX20" s="546">
        <f t="shared" si="177"/>
        <v>0</v>
      </c>
      <c r="GY20" s="544"/>
      <c r="GZ20" s="545">
        <f t="shared" si="67"/>
        <v>0</v>
      </c>
      <c r="HA20" s="546">
        <f t="shared" si="178"/>
        <v>0</v>
      </c>
      <c r="HB20" s="544"/>
      <c r="HC20" s="545">
        <f t="shared" si="68"/>
        <v>0</v>
      </c>
      <c r="HD20" s="546">
        <f t="shared" si="179"/>
        <v>0</v>
      </c>
      <c r="HE20" s="544"/>
      <c r="HF20" s="545">
        <f t="shared" si="69"/>
        <v>0</v>
      </c>
      <c r="HG20" s="546">
        <f t="shared" si="180"/>
        <v>0</v>
      </c>
      <c r="HH20" s="544"/>
      <c r="HI20" s="545">
        <f t="shared" si="70"/>
        <v>0</v>
      </c>
      <c r="HJ20" s="546">
        <f t="shared" si="181"/>
        <v>0</v>
      </c>
      <c r="HK20" s="544"/>
      <c r="HL20" s="545">
        <f t="shared" si="71"/>
        <v>0</v>
      </c>
      <c r="HM20" s="546">
        <f t="shared" si="182"/>
        <v>0</v>
      </c>
      <c r="HN20" s="544"/>
      <c r="HO20" s="545">
        <f t="shared" si="72"/>
        <v>0</v>
      </c>
      <c r="HP20" s="546">
        <f t="shared" si="183"/>
        <v>0</v>
      </c>
      <c r="HQ20" s="544"/>
      <c r="HR20" s="545">
        <f t="shared" si="73"/>
        <v>0</v>
      </c>
      <c r="HS20" s="546">
        <f t="shared" si="184"/>
        <v>0</v>
      </c>
      <c r="HT20" s="544"/>
      <c r="HU20" s="545">
        <f t="shared" si="74"/>
        <v>0</v>
      </c>
      <c r="HV20" s="546">
        <f t="shared" si="185"/>
        <v>0</v>
      </c>
      <c r="HW20" s="544"/>
      <c r="HX20" s="545">
        <f t="shared" si="75"/>
        <v>0</v>
      </c>
      <c r="HY20" s="546">
        <f t="shared" si="186"/>
        <v>0</v>
      </c>
      <c r="HZ20" s="544"/>
      <c r="IA20" s="545">
        <f t="shared" si="76"/>
        <v>0</v>
      </c>
      <c r="IB20" s="546">
        <f t="shared" si="187"/>
        <v>0</v>
      </c>
      <c r="IC20" s="544"/>
      <c r="ID20" s="545">
        <f t="shared" si="77"/>
        <v>0</v>
      </c>
      <c r="IE20" s="546">
        <f t="shared" si="188"/>
        <v>0</v>
      </c>
      <c r="IF20" s="544"/>
      <c r="IG20" s="545">
        <f t="shared" si="78"/>
        <v>0</v>
      </c>
      <c r="IH20" s="546">
        <f t="shared" si="189"/>
        <v>0</v>
      </c>
      <c r="II20" s="544"/>
      <c r="IJ20" s="545">
        <f t="shared" si="79"/>
        <v>0</v>
      </c>
      <c r="IK20" s="546">
        <f t="shared" si="190"/>
        <v>0</v>
      </c>
      <c r="IL20" s="544"/>
      <c r="IM20" s="545">
        <f t="shared" si="80"/>
        <v>0</v>
      </c>
      <c r="IN20" s="546">
        <f t="shared" si="191"/>
        <v>0</v>
      </c>
      <c r="IO20" s="544"/>
      <c r="IP20" s="545">
        <f t="shared" si="81"/>
        <v>0</v>
      </c>
      <c r="IQ20" s="546">
        <f t="shared" si="192"/>
        <v>0</v>
      </c>
      <c r="IR20" s="544"/>
      <c r="IS20" s="545">
        <f t="shared" si="82"/>
        <v>0</v>
      </c>
      <c r="IT20" s="546">
        <f t="shared" si="193"/>
        <v>0</v>
      </c>
      <c r="IU20" s="544"/>
      <c r="IV20" s="545">
        <f t="shared" si="83"/>
        <v>0</v>
      </c>
      <c r="IW20" s="546">
        <f t="shared" si="194"/>
        <v>0</v>
      </c>
      <c r="IX20" s="544"/>
      <c r="IY20" s="545">
        <f t="shared" si="84"/>
        <v>0</v>
      </c>
      <c r="IZ20" s="546">
        <f t="shared" si="195"/>
        <v>0</v>
      </c>
      <c r="JA20" s="544"/>
      <c r="JB20" s="545">
        <f t="shared" si="85"/>
        <v>0</v>
      </c>
      <c r="JC20" s="546">
        <f t="shared" si="196"/>
        <v>0</v>
      </c>
      <c r="JD20" s="544"/>
      <c r="JE20" s="545">
        <f t="shared" si="86"/>
        <v>0</v>
      </c>
      <c r="JF20" s="546">
        <f t="shared" si="197"/>
        <v>0</v>
      </c>
      <c r="JG20" s="544"/>
      <c r="JH20" s="546" t="str">
        <f t="shared" si="87"/>
        <v>0</v>
      </c>
      <c r="JI20" s="546" t="str">
        <f t="shared" si="88"/>
        <v>0</v>
      </c>
      <c r="JJ20" s="544"/>
      <c r="JK20" s="546" t="str">
        <f t="shared" si="89"/>
        <v>0</v>
      </c>
      <c r="JL20" s="546" t="str">
        <f t="shared" si="90"/>
        <v>0</v>
      </c>
      <c r="JM20" s="544"/>
      <c r="JN20" s="546" t="str">
        <f t="shared" si="91"/>
        <v>0</v>
      </c>
      <c r="JO20" s="546" t="str">
        <f t="shared" si="92"/>
        <v>0</v>
      </c>
      <c r="JP20" s="544"/>
      <c r="JQ20" s="546" t="str">
        <f t="shared" si="93"/>
        <v>0</v>
      </c>
      <c r="JR20" s="546" t="str">
        <f t="shared" si="94"/>
        <v>0</v>
      </c>
      <c r="JS20" s="544"/>
      <c r="JT20" s="546" t="str">
        <f t="shared" si="95"/>
        <v>0</v>
      </c>
      <c r="JU20" s="546" t="str">
        <f t="shared" si="96"/>
        <v>0</v>
      </c>
      <c r="JV20" s="544"/>
      <c r="JW20" s="546" t="str">
        <f t="shared" si="97"/>
        <v>0</v>
      </c>
      <c r="JX20" s="546" t="str">
        <f t="shared" si="98"/>
        <v>0</v>
      </c>
      <c r="JY20" s="544"/>
      <c r="JZ20" s="546" t="str">
        <f t="shared" si="99"/>
        <v>0</v>
      </c>
      <c r="KA20" s="546" t="str">
        <f t="shared" si="100"/>
        <v>0</v>
      </c>
      <c r="KB20" s="544"/>
      <c r="KC20" s="546" t="str">
        <f t="shared" si="101"/>
        <v>0</v>
      </c>
      <c r="KD20" s="546" t="str">
        <f t="shared" si="102"/>
        <v>0</v>
      </c>
      <c r="KE20" s="544"/>
      <c r="KF20" s="546" t="str">
        <f t="shared" si="103"/>
        <v>0</v>
      </c>
      <c r="KG20" s="546" t="str">
        <f t="shared" si="104"/>
        <v>0</v>
      </c>
      <c r="KH20" s="544"/>
      <c r="KI20" s="546" t="str">
        <f t="shared" si="105"/>
        <v>0</v>
      </c>
      <c r="KJ20" s="546" t="str">
        <f t="shared" si="106"/>
        <v>0</v>
      </c>
      <c r="KK20" s="544"/>
      <c r="KL20" s="546" t="str">
        <f t="shared" si="107"/>
        <v>0</v>
      </c>
      <c r="KM20" s="546" t="str">
        <f t="shared" si="108"/>
        <v>0</v>
      </c>
      <c r="KN20" s="544"/>
      <c r="KO20" s="546" t="str">
        <f t="shared" si="109"/>
        <v>0</v>
      </c>
      <c r="KP20" s="546" t="str">
        <f t="shared" si="110"/>
        <v>0</v>
      </c>
      <c r="KQ20" s="546">
        <f t="shared" si="111"/>
        <v>0</v>
      </c>
      <c r="KR20" s="546">
        <f t="shared" si="198"/>
        <v>0</v>
      </c>
      <c r="KS20" s="265">
        <f t="shared" si="199"/>
        <v>755.93740573152331</v>
      </c>
    </row>
    <row r="21" spans="1:305" ht="15" customHeight="1">
      <c r="A21" s="267">
        <f t="shared" si="200"/>
        <v>45729</v>
      </c>
      <c r="B21" s="268" t="str">
        <f>+Report1!B21</f>
        <v>Napkin</v>
      </c>
      <c r="C21" s="268" t="str">
        <f>+Report1!C21</f>
        <v>17/16</v>
      </c>
      <c r="D21" s="269">
        <f>+Report1!P21</f>
        <v>47.524999999999999</v>
      </c>
      <c r="E21" s="270">
        <f>+Report1!R21</f>
        <v>43.253999999999998</v>
      </c>
      <c r="F21" s="544"/>
      <c r="G21" s="545">
        <f t="shared" si="0"/>
        <v>0</v>
      </c>
      <c r="H21" s="546">
        <f t="shared" si="112"/>
        <v>0</v>
      </c>
      <c r="I21" s="544"/>
      <c r="J21" s="545">
        <f t="shared" si="1"/>
        <v>0</v>
      </c>
      <c r="K21" s="546">
        <f t="shared" si="113"/>
        <v>0</v>
      </c>
      <c r="L21" s="544"/>
      <c r="M21" s="545">
        <f t="shared" si="2"/>
        <v>0</v>
      </c>
      <c r="N21" s="546">
        <f t="shared" si="114"/>
        <v>0</v>
      </c>
      <c r="O21" s="544">
        <v>12</v>
      </c>
      <c r="P21" s="545">
        <f t="shared" si="3"/>
        <v>0.27743098904147595</v>
      </c>
      <c r="Q21" s="546">
        <f t="shared" si="115"/>
        <v>0</v>
      </c>
      <c r="R21" s="544"/>
      <c r="S21" s="545">
        <f t="shared" si="4"/>
        <v>0</v>
      </c>
      <c r="T21" s="546">
        <f t="shared" si="116"/>
        <v>0</v>
      </c>
      <c r="U21" s="544">
        <v>10.25</v>
      </c>
      <c r="V21" s="545">
        <f t="shared" si="5"/>
        <v>0.23697230313959403</v>
      </c>
      <c r="W21" s="546">
        <f t="shared" si="117"/>
        <v>0</v>
      </c>
      <c r="X21" s="544"/>
      <c r="Y21" s="545">
        <f t="shared" si="6"/>
        <v>0</v>
      </c>
      <c r="Z21" s="546">
        <f t="shared" si="118"/>
        <v>0</v>
      </c>
      <c r="AA21" s="544"/>
      <c r="AB21" s="545">
        <f t="shared" si="7"/>
        <v>0</v>
      </c>
      <c r="AC21" s="546">
        <f t="shared" si="119"/>
        <v>0</v>
      </c>
      <c r="AD21" s="544"/>
      <c r="AE21" s="545">
        <f t="shared" si="8"/>
        <v>0</v>
      </c>
      <c r="AF21" s="546">
        <f t="shared" si="120"/>
        <v>0</v>
      </c>
      <c r="AG21" s="544"/>
      <c r="AH21" s="545">
        <f t="shared" si="9"/>
        <v>0</v>
      </c>
      <c r="AI21" s="546">
        <f t="shared" si="121"/>
        <v>0</v>
      </c>
      <c r="AJ21" s="544"/>
      <c r="AK21" s="545">
        <f t="shared" si="10"/>
        <v>0</v>
      </c>
      <c r="AL21" s="546">
        <f t="shared" si="122"/>
        <v>0</v>
      </c>
      <c r="AM21" s="544">
        <v>47.307692307692264</v>
      </c>
      <c r="AN21" s="545">
        <f t="shared" si="11"/>
        <v>1.0937183221827407</v>
      </c>
      <c r="AO21" s="546">
        <f t="shared" si="123"/>
        <v>0</v>
      </c>
      <c r="AP21" s="544"/>
      <c r="AQ21" s="545">
        <f t="shared" si="12"/>
        <v>0</v>
      </c>
      <c r="AR21" s="546">
        <f t="shared" si="124"/>
        <v>0</v>
      </c>
      <c r="AS21" s="544"/>
      <c r="AT21" s="545">
        <f t="shared" si="13"/>
        <v>0</v>
      </c>
      <c r="AU21" s="546">
        <f t="shared" si="125"/>
        <v>0</v>
      </c>
      <c r="AV21" s="544">
        <v>2.7749999999999915</v>
      </c>
      <c r="AW21" s="545">
        <f t="shared" si="14"/>
        <v>6.4155916215841116E-2</v>
      </c>
      <c r="AX21" s="546">
        <f t="shared" si="126"/>
        <v>0</v>
      </c>
      <c r="AY21" s="544">
        <v>86.333333333333343</v>
      </c>
      <c r="AZ21" s="545">
        <f t="shared" si="15"/>
        <v>1.9959618378261743</v>
      </c>
      <c r="BA21" s="546">
        <f t="shared" si="127"/>
        <v>0</v>
      </c>
      <c r="BB21" s="544"/>
      <c r="BC21" s="545">
        <f t="shared" si="16"/>
        <v>0</v>
      </c>
      <c r="BD21" s="546">
        <f t="shared" si="128"/>
        <v>0</v>
      </c>
      <c r="BE21" s="544"/>
      <c r="BF21" s="545">
        <f t="shared" si="17"/>
        <v>0</v>
      </c>
      <c r="BG21" s="546">
        <f t="shared" si="129"/>
        <v>0</v>
      </c>
      <c r="BH21" s="544"/>
      <c r="BI21" s="545">
        <f t="shared" si="18"/>
        <v>0</v>
      </c>
      <c r="BJ21" s="546">
        <f t="shared" si="130"/>
        <v>0</v>
      </c>
      <c r="BK21" s="544"/>
      <c r="BL21" s="545">
        <f t="shared" si="19"/>
        <v>0</v>
      </c>
      <c r="BM21" s="546">
        <f t="shared" si="131"/>
        <v>0</v>
      </c>
      <c r="BN21" s="544"/>
      <c r="BO21" s="545">
        <f t="shared" si="20"/>
        <v>0</v>
      </c>
      <c r="BP21" s="546">
        <f t="shared" si="132"/>
        <v>0</v>
      </c>
      <c r="BQ21" s="544"/>
      <c r="BR21" s="545">
        <f t="shared" si="21"/>
        <v>0</v>
      </c>
      <c r="BS21" s="546">
        <f t="shared" si="133"/>
        <v>0</v>
      </c>
      <c r="BT21" s="544"/>
      <c r="BU21" s="545">
        <f t="shared" si="22"/>
        <v>0</v>
      </c>
      <c r="BV21" s="546">
        <f t="shared" si="134"/>
        <v>0</v>
      </c>
      <c r="BW21" s="544"/>
      <c r="BX21" s="545">
        <f t="shared" si="23"/>
        <v>0</v>
      </c>
      <c r="BY21" s="546">
        <f t="shared" si="135"/>
        <v>0</v>
      </c>
      <c r="BZ21" s="544"/>
      <c r="CA21" s="545">
        <f t="shared" si="24"/>
        <v>0</v>
      </c>
      <c r="CB21" s="546">
        <f t="shared" si="136"/>
        <v>0</v>
      </c>
      <c r="CC21" s="544">
        <v>56.25</v>
      </c>
      <c r="CD21" s="545">
        <f t="shared" si="25"/>
        <v>1.3004577611319186</v>
      </c>
      <c r="CE21" s="546">
        <f t="shared" si="137"/>
        <v>0</v>
      </c>
      <c r="CF21" s="544">
        <v>1.1999999999999993</v>
      </c>
      <c r="CG21" s="545">
        <f t="shared" si="26"/>
        <v>2.7743098904147577E-2</v>
      </c>
      <c r="CH21" s="546">
        <f t="shared" si="138"/>
        <v>0</v>
      </c>
      <c r="CI21" s="544"/>
      <c r="CJ21" s="545">
        <f t="shared" si="27"/>
        <v>0</v>
      </c>
      <c r="CK21" s="546">
        <f t="shared" si="139"/>
        <v>0</v>
      </c>
      <c r="CL21" s="544"/>
      <c r="CM21" s="545">
        <f t="shared" si="28"/>
        <v>0</v>
      </c>
      <c r="CN21" s="546">
        <f t="shared" si="140"/>
        <v>0</v>
      </c>
      <c r="CO21" s="544"/>
      <c r="CP21" s="545">
        <f t="shared" si="29"/>
        <v>0</v>
      </c>
      <c r="CQ21" s="546">
        <f t="shared" si="141"/>
        <v>0</v>
      </c>
      <c r="CR21" s="544"/>
      <c r="CS21" s="545">
        <f t="shared" si="30"/>
        <v>0</v>
      </c>
      <c r="CT21" s="546">
        <f t="shared" si="142"/>
        <v>0</v>
      </c>
      <c r="CU21" s="544"/>
      <c r="CV21" s="545">
        <f t="shared" si="31"/>
        <v>0</v>
      </c>
      <c r="CW21" s="546">
        <f t="shared" si="143"/>
        <v>0</v>
      </c>
      <c r="CX21" s="544"/>
      <c r="CY21" s="545">
        <f t="shared" si="32"/>
        <v>0</v>
      </c>
      <c r="CZ21" s="546">
        <f t="shared" si="144"/>
        <v>0</v>
      </c>
      <c r="DA21" s="544"/>
      <c r="DB21" s="545">
        <f t="shared" si="33"/>
        <v>0</v>
      </c>
      <c r="DC21" s="546">
        <f t="shared" si="145"/>
        <v>0</v>
      </c>
      <c r="DD21" s="544"/>
      <c r="DE21" s="545">
        <f t="shared" si="34"/>
        <v>0</v>
      </c>
      <c r="DF21" s="546">
        <f t="shared" si="146"/>
        <v>0</v>
      </c>
      <c r="DG21" s="544"/>
      <c r="DH21" s="545">
        <f t="shared" si="35"/>
        <v>0</v>
      </c>
      <c r="DI21" s="546">
        <f t="shared" si="201"/>
        <v>0</v>
      </c>
      <c r="DJ21" s="544"/>
      <c r="DK21" s="545">
        <f t="shared" si="36"/>
        <v>0</v>
      </c>
      <c r="DL21" s="546">
        <f t="shared" si="147"/>
        <v>0</v>
      </c>
      <c r="DM21" s="544"/>
      <c r="DN21" s="545">
        <f t="shared" si="37"/>
        <v>0</v>
      </c>
      <c r="DO21" s="546">
        <f t="shared" si="148"/>
        <v>0</v>
      </c>
      <c r="DP21" s="544"/>
      <c r="DQ21" s="545">
        <f t="shared" si="38"/>
        <v>0</v>
      </c>
      <c r="DR21" s="546">
        <f t="shared" si="149"/>
        <v>0</v>
      </c>
      <c r="DS21" s="544"/>
      <c r="DT21" s="545">
        <f t="shared" si="39"/>
        <v>0</v>
      </c>
      <c r="DU21" s="546">
        <f t="shared" si="150"/>
        <v>0</v>
      </c>
      <c r="DV21" s="544"/>
      <c r="DW21" s="545">
        <f t="shared" si="40"/>
        <v>0</v>
      </c>
      <c r="DX21" s="546">
        <f t="shared" si="151"/>
        <v>0</v>
      </c>
      <c r="DY21" s="544"/>
      <c r="DZ21" s="545">
        <f t="shared" si="41"/>
        <v>0</v>
      </c>
      <c r="EA21" s="546">
        <f t="shared" si="152"/>
        <v>0</v>
      </c>
      <c r="EB21" s="544">
        <v>517.64705882352928</v>
      </c>
      <c r="EC21" s="545">
        <f t="shared" si="42"/>
        <v>11.967611291985234</v>
      </c>
      <c r="ED21" s="546">
        <f t="shared" si="153"/>
        <v>0</v>
      </c>
      <c r="EE21" s="544">
        <v>0</v>
      </c>
      <c r="EF21" s="545">
        <f t="shared" si="43"/>
        <v>0</v>
      </c>
      <c r="EG21" s="546">
        <f t="shared" si="154"/>
        <v>0</v>
      </c>
      <c r="EH21" s="544">
        <v>2</v>
      </c>
      <c r="EI21" s="545">
        <f t="shared" si="44"/>
        <v>4.6238498173579327E-2</v>
      </c>
      <c r="EJ21" s="546">
        <f t="shared" si="155"/>
        <v>0</v>
      </c>
      <c r="EK21" s="544"/>
      <c r="EL21" s="545">
        <f t="shared" si="45"/>
        <v>0</v>
      </c>
      <c r="EM21" s="546">
        <f t="shared" si="156"/>
        <v>0</v>
      </c>
      <c r="EN21" s="544"/>
      <c r="EO21" s="545">
        <f t="shared" si="46"/>
        <v>0</v>
      </c>
      <c r="EP21" s="546">
        <f t="shared" si="157"/>
        <v>0</v>
      </c>
      <c r="EQ21" s="544"/>
      <c r="ER21" s="545">
        <f t="shared" si="47"/>
        <v>0</v>
      </c>
      <c r="ES21" s="546">
        <f t="shared" si="158"/>
        <v>0</v>
      </c>
      <c r="ET21" s="544"/>
      <c r="EU21" s="545">
        <f t="shared" si="48"/>
        <v>0</v>
      </c>
      <c r="EV21" s="546">
        <f t="shared" si="159"/>
        <v>0</v>
      </c>
      <c r="EW21" s="544"/>
      <c r="EX21" s="545">
        <f t="shared" si="49"/>
        <v>0</v>
      </c>
      <c r="EY21" s="546">
        <f t="shared" si="160"/>
        <v>0</v>
      </c>
      <c r="EZ21" s="544"/>
      <c r="FA21" s="545">
        <f t="shared" si="50"/>
        <v>0</v>
      </c>
      <c r="FB21" s="546">
        <f t="shared" si="161"/>
        <v>0</v>
      </c>
      <c r="FC21" s="544"/>
      <c r="FD21" s="545">
        <f t="shared" si="51"/>
        <v>0</v>
      </c>
      <c r="FE21" s="546">
        <f t="shared" si="162"/>
        <v>0</v>
      </c>
      <c r="FF21" s="544"/>
      <c r="FG21" s="545">
        <f t="shared" si="52"/>
        <v>0</v>
      </c>
      <c r="FH21" s="546">
        <f t="shared" si="163"/>
        <v>0</v>
      </c>
      <c r="FI21" s="544"/>
      <c r="FJ21" s="545">
        <f t="shared" si="53"/>
        <v>0</v>
      </c>
      <c r="FK21" s="546">
        <f t="shared" si="164"/>
        <v>0</v>
      </c>
      <c r="FL21" s="544"/>
      <c r="FM21" s="545">
        <f t="shared" si="54"/>
        <v>0</v>
      </c>
      <c r="FN21" s="546">
        <f t="shared" si="165"/>
        <v>0</v>
      </c>
      <c r="FO21" s="544"/>
      <c r="FP21" s="545">
        <f t="shared" si="55"/>
        <v>0</v>
      </c>
      <c r="FQ21" s="546">
        <f t="shared" si="166"/>
        <v>0</v>
      </c>
      <c r="FR21" s="544"/>
      <c r="FS21" s="545">
        <f t="shared" si="56"/>
        <v>0</v>
      </c>
      <c r="FT21" s="546">
        <f t="shared" si="167"/>
        <v>0</v>
      </c>
      <c r="FU21" s="544"/>
      <c r="FV21" s="545">
        <f t="shared" si="57"/>
        <v>0</v>
      </c>
      <c r="FW21" s="546">
        <f t="shared" si="168"/>
        <v>0</v>
      </c>
      <c r="FX21" s="544"/>
      <c r="FY21" s="545">
        <f t="shared" si="58"/>
        <v>0</v>
      </c>
      <c r="FZ21" s="546">
        <f t="shared" si="169"/>
        <v>0</v>
      </c>
      <c r="GA21" s="544"/>
      <c r="GB21" s="545">
        <f t="shared" si="59"/>
        <v>0</v>
      </c>
      <c r="GC21" s="546">
        <f t="shared" si="170"/>
        <v>0</v>
      </c>
      <c r="GD21" s="544"/>
      <c r="GE21" s="545">
        <f t="shared" si="60"/>
        <v>0</v>
      </c>
      <c r="GF21" s="546">
        <f t="shared" si="171"/>
        <v>0</v>
      </c>
      <c r="GG21" s="544"/>
      <c r="GH21" s="545">
        <f t="shared" si="61"/>
        <v>0</v>
      </c>
      <c r="GI21" s="546">
        <f t="shared" si="172"/>
        <v>0</v>
      </c>
      <c r="GJ21" s="544"/>
      <c r="GK21" s="545">
        <f t="shared" si="62"/>
        <v>0</v>
      </c>
      <c r="GL21" s="546">
        <f t="shared" si="173"/>
        <v>0</v>
      </c>
      <c r="GM21" s="544"/>
      <c r="GN21" s="545">
        <f t="shared" si="63"/>
        <v>0</v>
      </c>
      <c r="GO21" s="546">
        <f t="shared" si="174"/>
        <v>0</v>
      </c>
      <c r="GP21" s="544"/>
      <c r="GQ21" s="545">
        <f t="shared" si="64"/>
        <v>0</v>
      </c>
      <c r="GR21" s="546">
        <f t="shared" si="175"/>
        <v>0</v>
      </c>
      <c r="GS21" s="544"/>
      <c r="GT21" s="545">
        <f t="shared" si="65"/>
        <v>0</v>
      </c>
      <c r="GU21" s="546">
        <f t="shared" si="176"/>
        <v>0</v>
      </c>
      <c r="GV21" s="544"/>
      <c r="GW21" s="545">
        <f t="shared" si="66"/>
        <v>0</v>
      </c>
      <c r="GX21" s="546">
        <f t="shared" si="177"/>
        <v>0</v>
      </c>
      <c r="GY21" s="544"/>
      <c r="GZ21" s="545">
        <f t="shared" si="67"/>
        <v>0</v>
      </c>
      <c r="HA21" s="546">
        <f t="shared" si="178"/>
        <v>0</v>
      </c>
      <c r="HB21" s="544"/>
      <c r="HC21" s="545">
        <f t="shared" si="68"/>
        <v>0</v>
      </c>
      <c r="HD21" s="546">
        <f t="shared" si="179"/>
        <v>0</v>
      </c>
      <c r="HE21" s="544"/>
      <c r="HF21" s="545">
        <f t="shared" si="69"/>
        <v>0</v>
      </c>
      <c r="HG21" s="546">
        <f t="shared" si="180"/>
        <v>0</v>
      </c>
      <c r="HH21" s="544"/>
      <c r="HI21" s="545">
        <f t="shared" si="70"/>
        <v>0</v>
      </c>
      <c r="HJ21" s="546">
        <f t="shared" si="181"/>
        <v>0</v>
      </c>
      <c r="HK21" s="544"/>
      <c r="HL21" s="545">
        <f t="shared" si="71"/>
        <v>0</v>
      </c>
      <c r="HM21" s="546">
        <f t="shared" si="182"/>
        <v>0</v>
      </c>
      <c r="HN21" s="544"/>
      <c r="HO21" s="545">
        <f t="shared" si="72"/>
        <v>0</v>
      </c>
      <c r="HP21" s="546">
        <f t="shared" si="183"/>
        <v>0</v>
      </c>
      <c r="HQ21" s="544"/>
      <c r="HR21" s="545">
        <f t="shared" si="73"/>
        <v>0</v>
      </c>
      <c r="HS21" s="546">
        <f t="shared" si="184"/>
        <v>0</v>
      </c>
      <c r="HT21" s="544"/>
      <c r="HU21" s="545">
        <f t="shared" si="74"/>
        <v>0</v>
      </c>
      <c r="HV21" s="546">
        <f t="shared" si="185"/>
        <v>0</v>
      </c>
      <c r="HW21" s="544"/>
      <c r="HX21" s="545">
        <f t="shared" si="75"/>
        <v>0</v>
      </c>
      <c r="HY21" s="546">
        <f t="shared" si="186"/>
        <v>0</v>
      </c>
      <c r="HZ21" s="544"/>
      <c r="IA21" s="545">
        <f t="shared" si="76"/>
        <v>0</v>
      </c>
      <c r="IB21" s="546">
        <f t="shared" si="187"/>
        <v>0</v>
      </c>
      <c r="IC21" s="544"/>
      <c r="ID21" s="545">
        <f t="shared" si="77"/>
        <v>0</v>
      </c>
      <c r="IE21" s="546">
        <f t="shared" si="188"/>
        <v>0</v>
      </c>
      <c r="IF21" s="544"/>
      <c r="IG21" s="545">
        <f t="shared" si="78"/>
        <v>0</v>
      </c>
      <c r="IH21" s="546">
        <f t="shared" si="189"/>
        <v>0</v>
      </c>
      <c r="II21" s="544"/>
      <c r="IJ21" s="545">
        <f t="shared" si="79"/>
        <v>0</v>
      </c>
      <c r="IK21" s="546">
        <f t="shared" si="190"/>
        <v>0</v>
      </c>
      <c r="IL21" s="544"/>
      <c r="IM21" s="545">
        <f t="shared" si="80"/>
        <v>0</v>
      </c>
      <c r="IN21" s="546">
        <f t="shared" si="191"/>
        <v>0</v>
      </c>
      <c r="IO21" s="544"/>
      <c r="IP21" s="545">
        <f t="shared" si="81"/>
        <v>0</v>
      </c>
      <c r="IQ21" s="546">
        <f t="shared" si="192"/>
        <v>0</v>
      </c>
      <c r="IR21" s="544"/>
      <c r="IS21" s="545">
        <f t="shared" si="82"/>
        <v>0</v>
      </c>
      <c r="IT21" s="546">
        <f t="shared" si="193"/>
        <v>0</v>
      </c>
      <c r="IU21" s="544"/>
      <c r="IV21" s="545">
        <f t="shared" si="83"/>
        <v>0</v>
      </c>
      <c r="IW21" s="546">
        <f t="shared" si="194"/>
        <v>0</v>
      </c>
      <c r="IX21" s="544"/>
      <c r="IY21" s="545">
        <f t="shared" si="84"/>
        <v>0</v>
      </c>
      <c r="IZ21" s="546">
        <f t="shared" si="195"/>
        <v>0</v>
      </c>
      <c r="JA21" s="544"/>
      <c r="JB21" s="545">
        <f t="shared" si="85"/>
        <v>0</v>
      </c>
      <c r="JC21" s="546">
        <f t="shared" si="196"/>
        <v>0</v>
      </c>
      <c r="JD21" s="544"/>
      <c r="JE21" s="545">
        <f t="shared" si="86"/>
        <v>0</v>
      </c>
      <c r="JF21" s="546">
        <f t="shared" si="197"/>
        <v>0</v>
      </c>
      <c r="JG21" s="544"/>
      <c r="JH21" s="546" t="str">
        <f t="shared" si="87"/>
        <v>0</v>
      </c>
      <c r="JI21" s="546" t="str">
        <f t="shared" si="88"/>
        <v>0</v>
      </c>
      <c r="JJ21" s="544"/>
      <c r="JK21" s="546" t="str">
        <f t="shared" si="89"/>
        <v>0</v>
      </c>
      <c r="JL21" s="546" t="str">
        <f t="shared" si="90"/>
        <v>0</v>
      </c>
      <c r="JM21" s="544"/>
      <c r="JN21" s="546" t="str">
        <f t="shared" si="91"/>
        <v>0</v>
      </c>
      <c r="JO21" s="546" t="str">
        <f t="shared" si="92"/>
        <v>0</v>
      </c>
      <c r="JP21" s="544"/>
      <c r="JQ21" s="546" t="str">
        <f t="shared" si="93"/>
        <v>0</v>
      </c>
      <c r="JR21" s="546" t="str">
        <f t="shared" si="94"/>
        <v>0</v>
      </c>
      <c r="JS21" s="544"/>
      <c r="JT21" s="546" t="str">
        <f t="shared" si="95"/>
        <v>0</v>
      </c>
      <c r="JU21" s="546" t="str">
        <f t="shared" si="96"/>
        <v>0</v>
      </c>
      <c r="JV21" s="544"/>
      <c r="JW21" s="546" t="str">
        <f t="shared" si="97"/>
        <v>0</v>
      </c>
      <c r="JX21" s="546" t="str">
        <f t="shared" si="98"/>
        <v>0</v>
      </c>
      <c r="JY21" s="544"/>
      <c r="JZ21" s="546" t="str">
        <f t="shared" si="99"/>
        <v>0</v>
      </c>
      <c r="KA21" s="546" t="str">
        <f t="shared" si="100"/>
        <v>0</v>
      </c>
      <c r="KB21" s="544"/>
      <c r="KC21" s="546" t="str">
        <f t="shared" si="101"/>
        <v>0</v>
      </c>
      <c r="KD21" s="546" t="str">
        <f t="shared" si="102"/>
        <v>0</v>
      </c>
      <c r="KE21" s="544"/>
      <c r="KF21" s="546" t="str">
        <f t="shared" si="103"/>
        <v>0</v>
      </c>
      <c r="KG21" s="546" t="str">
        <f t="shared" si="104"/>
        <v>0</v>
      </c>
      <c r="KH21" s="544"/>
      <c r="KI21" s="546" t="str">
        <f t="shared" si="105"/>
        <v>0</v>
      </c>
      <c r="KJ21" s="546" t="str">
        <f t="shared" si="106"/>
        <v>0</v>
      </c>
      <c r="KK21" s="544"/>
      <c r="KL21" s="546" t="str">
        <f t="shared" si="107"/>
        <v>0</v>
      </c>
      <c r="KM21" s="546" t="str">
        <f t="shared" si="108"/>
        <v>0</v>
      </c>
      <c r="KN21" s="544"/>
      <c r="KO21" s="546" t="str">
        <f t="shared" si="109"/>
        <v>0</v>
      </c>
      <c r="KP21" s="546" t="str">
        <f t="shared" si="110"/>
        <v>0</v>
      </c>
      <c r="KQ21" s="546">
        <f t="shared" si="111"/>
        <v>0</v>
      </c>
      <c r="KR21" s="546">
        <f t="shared" si="198"/>
        <v>0</v>
      </c>
      <c r="KS21" s="265">
        <f t="shared" si="199"/>
        <v>735.76308446455482</v>
      </c>
    </row>
    <row r="22" spans="1:305" ht="15" customHeight="1">
      <c r="A22" s="267">
        <f t="shared" si="200"/>
        <v>45730</v>
      </c>
      <c r="B22" s="268" t="str">
        <f>+Report1!B22</f>
        <v>Napkin</v>
      </c>
      <c r="C22" s="268" t="str">
        <f>+Report1!C22</f>
        <v>16</v>
      </c>
      <c r="D22" s="269">
        <f>+Report1!P22</f>
        <v>48.076000000000001</v>
      </c>
      <c r="E22" s="270">
        <f>+Report1!R22</f>
        <v>45.267000000000003</v>
      </c>
      <c r="F22" s="544"/>
      <c r="G22" s="545">
        <f t="shared" si="0"/>
        <v>0</v>
      </c>
      <c r="H22" s="546">
        <f t="shared" si="112"/>
        <v>0</v>
      </c>
      <c r="I22" s="544"/>
      <c r="J22" s="545">
        <f t="shared" si="1"/>
        <v>0</v>
      </c>
      <c r="K22" s="546">
        <f t="shared" si="113"/>
        <v>0</v>
      </c>
      <c r="L22" s="544"/>
      <c r="M22" s="545">
        <f t="shared" si="2"/>
        <v>0</v>
      </c>
      <c r="N22" s="546">
        <f t="shared" si="114"/>
        <v>0</v>
      </c>
      <c r="O22" s="544">
        <v>12</v>
      </c>
      <c r="P22" s="545">
        <f t="shared" si="3"/>
        <v>0.26509377692358671</v>
      </c>
      <c r="Q22" s="546">
        <f t="shared" si="115"/>
        <v>0</v>
      </c>
      <c r="R22" s="544"/>
      <c r="S22" s="545">
        <f t="shared" si="4"/>
        <v>0</v>
      </c>
      <c r="T22" s="546">
        <f t="shared" si="116"/>
        <v>0</v>
      </c>
      <c r="U22" s="544">
        <v>10.25</v>
      </c>
      <c r="V22" s="545">
        <f t="shared" si="5"/>
        <v>0.22643426778889697</v>
      </c>
      <c r="W22" s="546">
        <f t="shared" si="117"/>
        <v>0</v>
      </c>
      <c r="X22" s="544"/>
      <c r="Y22" s="545">
        <f t="shared" si="6"/>
        <v>0</v>
      </c>
      <c r="Z22" s="546">
        <f t="shared" si="118"/>
        <v>0</v>
      </c>
      <c r="AA22" s="544"/>
      <c r="AB22" s="545">
        <f t="shared" si="7"/>
        <v>0</v>
      </c>
      <c r="AC22" s="546">
        <f t="shared" si="119"/>
        <v>0</v>
      </c>
      <c r="AD22" s="544"/>
      <c r="AE22" s="545">
        <f t="shared" si="8"/>
        <v>0</v>
      </c>
      <c r="AF22" s="546">
        <f t="shared" si="120"/>
        <v>0</v>
      </c>
      <c r="AG22" s="544"/>
      <c r="AH22" s="545">
        <f t="shared" si="9"/>
        <v>0</v>
      </c>
      <c r="AI22" s="546">
        <f t="shared" si="121"/>
        <v>0</v>
      </c>
      <c r="AJ22" s="544"/>
      <c r="AK22" s="545">
        <f t="shared" si="10"/>
        <v>0</v>
      </c>
      <c r="AL22" s="546">
        <f t="shared" si="122"/>
        <v>0</v>
      </c>
      <c r="AM22" s="544">
        <v>42.051282051282215</v>
      </c>
      <c r="AN22" s="545">
        <f t="shared" si="11"/>
        <v>0.92896109862111942</v>
      </c>
      <c r="AO22" s="546">
        <f t="shared" si="123"/>
        <v>0</v>
      </c>
      <c r="AP22" s="544"/>
      <c r="AQ22" s="545">
        <f t="shared" si="12"/>
        <v>0</v>
      </c>
      <c r="AR22" s="546">
        <f t="shared" si="124"/>
        <v>0</v>
      </c>
      <c r="AS22" s="544"/>
      <c r="AT22" s="545">
        <f t="shared" si="13"/>
        <v>0</v>
      </c>
      <c r="AU22" s="546">
        <f t="shared" si="125"/>
        <v>0</v>
      </c>
      <c r="AV22" s="544">
        <v>2.7749999999999986</v>
      </c>
      <c r="AW22" s="545">
        <f t="shared" si="14"/>
        <v>6.1302935913579396E-2</v>
      </c>
      <c r="AX22" s="546">
        <f t="shared" si="126"/>
        <v>0</v>
      </c>
      <c r="AY22" s="544">
        <v>86.333333333333314</v>
      </c>
      <c r="AZ22" s="545">
        <f t="shared" si="15"/>
        <v>1.9072024506446927</v>
      </c>
      <c r="BA22" s="546">
        <f t="shared" si="127"/>
        <v>0</v>
      </c>
      <c r="BB22" s="544"/>
      <c r="BC22" s="545">
        <f t="shared" si="16"/>
        <v>0</v>
      </c>
      <c r="BD22" s="546">
        <f t="shared" si="128"/>
        <v>0</v>
      </c>
      <c r="BE22" s="544"/>
      <c r="BF22" s="545">
        <f t="shared" si="17"/>
        <v>0</v>
      </c>
      <c r="BG22" s="546">
        <f t="shared" si="129"/>
        <v>0</v>
      </c>
      <c r="BH22" s="544"/>
      <c r="BI22" s="545">
        <f t="shared" si="18"/>
        <v>0</v>
      </c>
      <c r="BJ22" s="546">
        <f t="shared" si="130"/>
        <v>0</v>
      </c>
      <c r="BK22" s="544"/>
      <c r="BL22" s="545">
        <f t="shared" si="19"/>
        <v>0</v>
      </c>
      <c r="BM22" s="546">
        <f t="shared" si="131"/>
        <v>0</v>
      </c>
      <c r="BN22" s="544"/>
      <c r="BO22" s="545">
        <f t="shared" si="20"/>
        <v>0</v>
      </c>
      <c r="BP22" s="546">
        <f t="shared" si="132"/>
        <v>0</v>
      </c>
      <c r="BQ22" s="544"/>
      <c r="BR22" s="545">
        <f t="shared" si="21"/>
        <v>0</v>
      </c>
      <c r="BS22" s="546">
        <f t="shared" si="133"/>
        <v>0</v>
      </c>
      <c r="BT22" s="544"/>
      <c r="BU22" s="545">
        <f t="shared" si="22"/>
        <v>0</v>
      </c>
      <c r="BV22" s="546">
        <f t="shared" si="134"/>
        <v>0</v>
      </c>
      <c r="BW22" s="544"/>
      <c r="BX22" s="545">
        <f t="shared" si="23"/>
        <v>0</v>
      </c>
      <c r="BY22" s="546">
        <f t="shared" si="135"/>
        <v>0</v>
      </c>
      <c r="BZ22" s="544"/>
      <c r="CA22" s="545">
        <f t="shared" si="24"/>
        <v>0</v>
      </c>
      <c r="CB22" s="546">
        <f t="shared" si="136"/>
        <v>0</v>
      </c>
      <c r="CC22" s="544">
        <v>62.5</v>
      </c>
      <c r="CD22" s="545">
        <f t="shared" si="25"/>
        <v>1.3806967548103475</v>
      </c>
      <c r="CE22" s="546">
        <f t="shared" si="137"/>
        <v>0</v>
      </c>
      <c r="CF22" s="544">
        <v>1.1999999999999993</v>
      </c>
      <c r="CG22" s="545">
        <f t="shared" si="26"/>
        <v>2.6509377692358654E-2</v>
      </c>
      <c r="CH22" s="546">
        <f t="shared" si="138"/>
        <v>0</v>
      </c>
      <c r="CI22" s="544"/>
      <c r="CJ22" s="545">
        <f t="shared" si="27"/>
        <v>0</v>
      </c>
      <c r="CK22" s="546">
        <f t="shared" si="139"/>
        <v>0</v>
      </c>
      <c r="CL22" s="544"/>
      <c r="CM22" s="545">
        <f t="shared" si="28"/>
        <v>0</v>
      </c>
      <c r="CN22" s="546">
        <f t="shared" si="140"/>
        <v>0</v>
      </c>
      <c r="CO22" s="544"/>
      <c r="CP22" s="545">
        <f t="shared" si="29"/>
        <v>0</v>
      </c>
      <c r="CQ22" s="546">
        <f t="shared" si="141"/>
        <v>0</v>
      </c>
      <c r="CR22" s="544"/>
      <c r="CS22" s="545">
        <f t="shared" si="30"/>
        <v>0</v>
      </c>
      <c r="CT22" s="546">
        <f t="shared" si="142"/>
        <v>0</v>
      </c>
      <c r="CU22" s="544"/>
      <c r="CV22" s="545">
        <f t="shared" si="31"/>
        <v>0</v>
      </c>
      <c r="CW22" s="546">
        <f t="shared" si="143"/>
        <v>0</v>
      </c>
      <c r="CX22" s="544"/>
      <c r="CY22" s="545">
        <f t="shared" si="32"/>
        <v>0</v>
      </c>
      <c r="CZ22" s="546">
        <f t="shared" si="144"/>
        <v>0</v>
      </c>
      <c r="DA22" s="544"/>
      <c r="DB22" s="545">
        <f t="shared" si="33"/>
        <v>0</v>
      </c>
      <c r="DC22" s="546">
        <f t="shared" si="145"/>
        <v>0</v>
      </c>
      <c r="DD22" s="544"/>
      <c r="DE22" s="545">
        <f t="shared" si="34"/>
        <v>0</v>
      </c>
      <c r="DF22" s="546">
        <f t="shared" si="146"/>
        <v>0</v>
      </c>
      <c r="DG22" s="544"/>
      <c r="DH22" s="545">
        <f t="shared" si="35"/>
        <v>0</v>
      </c>
      <c r="DI22" s="546">
        <f t="shared" si="201"/>
        <v>0</v>
      </c>
      <c r="DJ22" s="544"/>
      <c r="DK22" s="545">
        <f t="shared" si="36"/>
        <v>0</v>
      </c>
      <c r="DL22" s="546">
        <f t="shared" si="147"/>
        <v>0</v>
      </c>
      <c r="DM22" s="544"/>
      <c r="DN22" s="545">
        <f t="shared" si="37"/>
        <v>0</v>
      </c>
      <c r="DO22" s="546">
        <f t="shared" si="148"/>
        <v>0</v>
      </c>
      <c r="DP22" s="544"/>
      <c r="DQ22" s="545">
        <f t="shared" si="38"/>
        <v>0</v>
      </c>
      <c r="DR22" s="546">
        <f t="shared" si="149"/>
        <v>0</v>
      </c>
      <c r="DS22" s="544"/>
      <c r="DT22" s="545">
        <f t="shared" si="39"/>
        <v>0</v>
      </c>
      <c r="DU22" s="546">
        <f t="shared" si="150"/>
        <v>0</v>
      </c>
      <c r="DV22" s="544"/>
      <c r="DW22" s="545">
        <f t="shared" si="40"/>
        <v>0</v>
      </c>
      <c r="DX22" s="546">
        <f t="shared" si="151"/>
        <v>0</v>
      </c>
      <c r="DY22" s="544"/>
      <c r="DZ22" s="545">
        <f t="shared" si="41"/>
        <v>0</v>
      </c>
      <c r="EA22" s="546">
        <f t="shared" si="152"/>
        <v>0</v>
      </c>
      <c r="EB22" s="544">
        <v>588.23529411764707</v>
      </c>
      <c r="EC22" s="545">
        <f t="shared" si="42"/>
        <v>12.994792986450328</v>
      </c>
      <c r="ED22" s="546">
        <f t="shared" si="153"/>
        <v>0</v>
      </c>
      <c r="EE22" s="544">
        <v>0</v>
      </c>
      <c r="EF22" s="545">
        <f t="shared" si="43"/>
        <v>0</v>
      </c>
      <c r="EG22" s="546">
        <f t="shared" si="154"/>
        <v>0</v>
      </c>
      <c r="EH22" s="544">
        <v>2</v>
      </c>
      <c r="EI22" s="545">
        <f t="shared" si="44"/>
        <v>4.4182296153931114E-2</v>
      </c>
      <c r="EJ22" s="546">
        <f t="shared" si="155"/>
        <v>0</v>
      </c>
      <c r="EK22" s="544"/>
      <c r="EL22" s="545">
        <f t="shared" si="45"/>
        <v>0</v>
      </c>
      <c r="EM22" s="546">
        <f t="shared" si="156"/>
        <v>0</v>
      </c>
      <c r="EN22" s="544"/>
      <c r="EO22" s="545">
        <f t="shared" si="46"/>
        <v>0</v>
      </c>
      <c r="EP22" s="546">
        <f t="shared" si="157"/>
        <v>0</v>
      </c>
      <c r="EQ22" s="544"/>
      <c r="ER22" s="545">
        <f t="shared" si="47"/>
        <v>0</v>
      </c>
      <c r="ES22" s="546">
        <f t="shared" si="158"/>
        <v>0</v>
      </c>
      <c r="ET22" s="544"/>
      <c r="EU22" s="545">
        <f t="shared" si="48"/>
        <v>0</v>
      </c>
      <c r="EV22" s="546">
        <f t="shared" si="159"/>
        <v>0</v>
      </c>
      <c r="EW22" s="544"/>
      <c r="EX22" s="545">
        <f t="shared" si="49"/>
        <v>0</v>
      </c>
      <c r="EY22" s="546">
        <f t="shared" si="160"/>
        <v>0</v>
      </c>
      <c r="EZ22" s="544"/>
      <c r="FA22" s="545">
        <f t="shared" si="50"/>
        <v>0</v>
      </c>
      <c r="FB22" s="546">
        <f t="shared" si="161"/>
        <v>0</v>
      </c>
      <c r="FC22" s="544"/>
      <c r="FD22" s="545">
        <f t="shared" si="51"/>
        <v>0</v>
      </c>
      <c r="FE22" s="546">
        <f t="shared" si="162"/>
        <v>0</v>
      </c>
      <c r="FF22" s="544"/>
      <c r="FG22" s="545">
        <f t="shared" si="52"/>
        <v>0</v>
      </c>
      <c r="FH22" s="546">
        <f t="shared" si="163"/>
        <v>0</v>
      </c>
      <c r="FI22" s="544"/>
      <c r="FJ22" s="545">
        <f t="shared" si="53"/>
        <v>0</v>
      </c>
      <c r="FK22" s="546">
        <f t="shared" si="164"/>
        <v>0</v>
      </c>
      <c r="FL22" s="544"/>
      <c r="FM22" s="545">
        <f t="shared" si="54"/>
        <v>0</v>
      </c>
      <c r="FN22" s="546">
        <f t="shared" si="165"/>
        <v>0</v>
      </c>
      <c r="FO22" s="544"/>
      <c r="FP22" s="545">
        <f t="shared" si="55"/>
        <v>0</v>
      </c>
      <c r="FQ22" s="546">
        <f t="shared" si="166"/>
        <v>0</v>
      </c>
      <c r="FR22" s="544"/>
      <c r="FS22" s="545">
        <f t="shared" si="56"/>
        <v>0</v>
      </c>
      <c r="FT22" s="546">
        <f t="shared" si="167"/>
        <v>0</v>
      </c>
      <c r="FU22" s="544"/>
      <c r="FV22" s="545">
        <f t="shared" si="57"/>
        <v>0</v>
      </c>
      <c r="FW22" s="546">
        <f t="shared" si="168"/>
        <v>0</v>
      </c>
      <c r="FX22" s="544"/>
      <c r="FY22" s="545">
        <f t="shared" si="58"/>
        <v>0</v>
      </c>
      <c r="FZ22" s="546">
        <f t="shared" si="169"/>
        <v>0</v>
      </c>
      <c r="GA22" s="544"/>
      <c r="GB22" s="545">
        <f t="shared" si="59"/>
        <v>0</v>
      </c>
      <c r="GC22" s="546">
        <f t="shared" si="170"/>
        <v>0</v>
      </c>
      <c r="GD22" s="544"/>
      <c r="GE22" s="545">
        <f t="shared" si="60"/>
        <v>0</v>
      </c>
      <c r="GF22" s="546">
        <f t="shared" si="171"/>
        <v>0</v>
      </c>
      <c r="GG22" s="544"/>
      <c r="GH22" s="545">
        <f t="shared" si="61"/>
        <v>0</v>
      </c>
      <c r="GI22" s="546">
        <f t="shared" si="172"/>
        <v>0</v>
      </c>
      <c r="GJ22" s="544"/>
      <c r="GK22" s="545">
        <f t="shared" si="62"/>
        <v>0</v>
      </c>
      <c r="GL22" s="546">
        <f t="shared" si="173"/>
        <v>0</v>
      </c>
      <c r="GM22" s="544"/>
      <c r="GN22" s="545">
        <f t="shared" si="63"/>
        <v>0</v>
      </c>
      <c r="GO22" s="546">
        <f t="shared" si="174"/>
        <v>0</v>
      </c>
      <c r="GP22" s="544"/>
      <c r="GQ22" s="545">
        <f t="shared" si="64"/>
        <v>0</v>
      </c>
      <c r="GR22" s="546">
        <f t="shared" si="175"/>
        <v>0</v>
      </c>
      <c r="GS22" s="544"/>
      <c r="GT22" s="545">
        <f t="shared" si="65"/>
        <v>0</v>
      </c>
      <c r="GU22" s="546">
        <f t="shared" si="176"/>
        <v>0</v>
      </c>
      <c r="GV22" s="544"/>
      <c r="GW22" s="545">
        <f t="shared" si="66"/>
        <v>0</v>
      </c>
      <c r="GX22" s="546">
        <f t="shared" si="177"/>
        <v>0</v>
      </c>
      <c r="GY22" s="544"/>
      <c r="GZ22" s="545">
        <f t="shared" si="67"/>
        <v>0</v>
      </c>
      <c r="HA22" s="546">
        <f t="shared" si="178"/>
        <v>0</v>
      </c>
      <c r="HB22" s="544"/>
      <c r="HC22" s="545">
        <f t="shared" si="68"/>
        <v>0</v>
      </c>
      <c r="HD22" s="546">
        <f t="shared" si="179"/>
        <v>0</v>
      </c>
      <c r="HE22" s="544"/>
      <c r="HF22" s="545">
        <f t="shared" si="69"/>
        <v>0</v>
      </c>
      <c r="HG22" s="546">
        <f t="shared" si="180"/>
        <v>0</v>
      </c>
      <c r="HH22" s="544"/>
      <c r="HI22" s="545">
        <f t="shared" si="70"/>
        <v>0</v>
      </c>
      <c r="HJ22" s="546">
        <f t="shared" si="181"/>
        <v>0</v>
      </c>
      <c r="HK22" s="544"/>
      <c r="HL22" s="545">
        <f t="shared" si="71"/>
        <v>0</v>
      </c>
      <c r="HM22" s="546">
        <f t="shared" si="182"/>
        <v>0</v>
      </c>
      <c r="HN22" s="544"/>
      <c r="HO22" s="545">
        <f t="shared" si="72"/>
        <v>0</v>
      </c>
      <c r="HP22" s="546">
        <f t="shared" si="183"/>
        <v>0</v>
      </c>
      <c r="HQ22" s="544"/>
      <c r="HR22" s="545">
        <f t="shared" si="73"/>
        <v>0</v>
      </c>
      <c r="HS22" s="546">
        <f t="shared" si="184"/>
        <v>0</v>
      </c>
      <c r="HT22" s="544"/>
      <c r="HU22" s="545">
        <f t="shared" si="74"/>
        <v>0</v>
      </c>
      <c r="HV22" s="546">
        <f t="shared" si="185"/>
        <v>0</v>
      </c>
      <c r="HW22" s="544"/>
      <c r="HX22" s="545">
        <f t="shared" si="75"/>
        <v>0</v>
      </c>
      <c r="HY22" s="546">
        <f t="shared" si="186"/>
        <v>0</v>
      </c>
      <c r="HZ22" s="544"/>
      <c r="IA22" s="545">
        <f t="shared" si="76"/>
        <v>0</v>
      </c>
      <c r="IB22" s="546">
        <f t="shared" si="187"/>
        <v>0</v>
      </c>
      <c r="IC22" s="544"/>
      <c r="ID22" s="545">
        <f t="shared" si="77"/>
        <v>0</v>
      </c>
      <c r="IE22" s="546">
        <f t="shared" si="188"/>
        <v>0</v>
      </c>
      <c r="IF22" s="544"/>
      <c r="IG22" s="545">
        <f t="shared" si="78"/>
        <v>0</v>
      </c>
      <c r="IH22" s="546">
        <f t="shared" si="189"/>
        <v>0</v>
      </c>
      <c r="II22" s="544"/>
      <c r="IJ22" s="545">
        <f t="shared" si="79"/>
        <v>0</v>
      </c>
      <c r="IK22" s="546">
        <f t="shared" si="190"/>
        <v>0</v>
      </c>
      <c r="IL22" s="544"/>
      <c r="IM22" s="545">
        <f t="shared" si="80"/>
        <v>0</v>
      </c>
      <c r="IN22" s="546">
        <f t="shared" si="191"/>
        <v>0</v>
      </c>
      <c r="IO22" s="544"/>
      <c r="IP22" s="545">
        <f t="shared" si="81"/>
        <v>0</v>
      </c>
      <c r="IQ22" s="546">
        <f t="shared" si="192"/>
        <v>0</v>
      </c>
      <c r="IR22" s="544"/>
      <c r="IS22" s="545">
        <f t="shared" si="82"/>
        <v>0</v>
      </c>
      <c r="IT22" s="546">
        <f t="shared" si="193"/>
        <v>0</v>
      </c>
      <c r="IU22" s="544"/>
      <c r="IV22" s="545">
        <f t="shared" si="83"/>
        <v>0</v>
      </c>
      <c r="IW22" s="546">
        <f t="shared" si="194"/>
        <v>0</v>
      </c>
      <c r="IX22" s="544"/>
      <c r="IY22" s="545">
        <f t="shared" si="84"/>
        <v>0</v>
      </c>
      <c r="IZ22" s="546">
        <f t="shared" si="195"/>
        <v>0</v>
      </c>
      <c r="JA22" s="544"/>
      <c r="JB22" s="545">
        <f t="shared" si="85"/>
        <v>0</v>
      </c>
      <c r="JC22" s="546">
        <f t="shared" si="196"/>
        <v>0</v>
      </c>
      <c r="JD22" s="544"/>
      <c r="JE22" s="545">
        <f t="shared" si="86"/>
        <v>0</v>
      </c>
      <c r="JF22" s="546">
        <f t="shared" si="197"/>
        <v>0</v>
      </c>
      <c r="JG22" s="544"/>
      <c r="JH22" s="546" t="str">
        <f t="shared" si="87"/>
        <v>0</v>
      </c>
      <c r="JI22" s="546" t="str">
        <f t="shared" si="88"/>
        <v>0</v>
      </c>
      <c r="JJ22" s="544"/>
      <c r="JK22" s="546" t="str">
        <f t="shared" si="89"/>
        <v>0</v>
      </c>
      <c r="JL22" s="546" t="str">
        <f t="shared" si="90"/>
        <v>0</v>
      </c>
      <c r="JM22" s="544"/>
      <c r="JN22" s="546" t="str">
        <f t="shared" si="91"/>
        <v>0</v>
      </c>
      <c r="JO22" s="546" t="str">
        <f t="shared" si="92"/>
        <v>0</v>
      </c>
      <c r="JP22" s="544"/>
      <c r="JQ22" s="546" t="str">
        <f t="shared" si="93"/>
        <v>0</v>
      </c>
      <c r="JR22" s="546" t="str">
        <f t="shared" si="94"/>
        <v>0</v>
      </c>
      <c r="JS22" s="544"/>
      <c r="JT22" s="546" t="str">
        <f t="shared" si="95"/>
        <v>0</v>
      </c>
      <c r="JU22" s="546" t="str">
        <f t="shared" si="96"/>
        <v>0</v>
      </c>
      <c r="JV22" s="544"/>
      <c r="JW22" s="546" t="str">
        <f t="shared" si="97"/>
        <v>0</v>
      </c>
      <c r="JX22" s="546" t="str">
        <f t="shared" si="98"/>
        <v>0</v>
      </c>
      <c r="JY22" s="544"/>
      <c r="JZ22" s="546" t="str">
        <f t="shared" si="99"/>
        <v>0</v>
      </c>
      <c r="KA22" s="546" t="str">
        <f t="shared" si="100"/>
        <v>0</v>
      </c>
      <c r="KB22" s="544"/>
      <c r="KC22" s="546" t="str">
        <f t="shared" si="101"/>
        <v>0</v>
      </c>
      <c r="KD22" s="546" t="str">
        <f t="shared" si="102"/>
        <v>0</v>
      </c>
      <c r="KE22" s="544"/>
      <c r="KF22" s="546" t="str">
        <f t="shared" si="103"/>
        <v>0</v>
      </c>
      <c r="KG22" s="546" t="str">
        <f t="shared" si="104"/>
        <v>0</v>
      </c>
      <c r="KH22" s="544"/>
      <c r="KI22" s="546" t="str">
        <f t="shared" si="105"/>
        <v>0</v>
      </c>
      <c r="KJ22" s="546" t="str">
        <f t="shared" si="106"/>
        <v>0</v>
      </c>
      <c r="KK22" s="544"/>
      <c r="KL22" s="546" t="str">
        <f t="shared" si="107"/>
        <v>0</v>
      </c>
      <c r="KM22" s="546" t="str">
        <f t="shared" si="108"/>
        <v>0</v>
      </c>
      <c r="KN22" s="544"/>
      <c r="KO22" s="546" t="str">
        <f t="shared" si="109"/>
        <v>0</v>
      </c>
      <c r="KP22" s="546" t="str">
        <f t="shared" si="110"/>
        <v>0</v>
      </c>
      <c r="KQ22" s="546">
        <f t="shared" si="111"/>
        <v>0</v>
      </c>
      <c r="KR22" s="546">
        <f t="shared" si="198"/>
        <v>0</v>
      </c>
      <c r="KS22" s="265">
        <f t="shared" si="199"/>
        <v>807.34490950226257</v>
      </c>
    </row>
    <row r="23" spans="1:305" ht="15" customHeight="1">
      <c r="A23" s="267">
        <f t="shared" si="200"/>
        <v>45731</v>
      </c>
      <c r="B23" s="268" t="str">
        <f>+Report1!B23</f>
        <v>Napkin</v>
      </c>
      <c r="C23" s="268" t="str">
        <f>+Report1!C23</f>
        <v>16</v>
      </c>
      <c r="D23" s="269">
        <f>+Report1!P23</f>
        <v>48.972999999999999</v>
      </c>
      <c r="E23" s="270">
        <f>+Report1!R23</f>
        <v>48.418999999999997</v>
      </c>
      <c r="F23" s="544"/>
      <c r="G23" s="545">
        <f t="shared" si="0"/>
        <v>0</v>
      </c>
      <c r="H23" s="546">
        <f t="shared" si="112"/>
        <v>0</v>
      </c>
      <c r="I23" s="544"/>
      <c r="J23" s="545">
        <f t="shared" si="1"/>
        <v>0</v>
      </c>
      <c r="K23" s="546">
        <f t="shared" si="113"/>
        <v>0</v>
      </c>
      <c r="L23" s="544"/>
      <c r="M23" s="545">
        <f t="shared" si="2"/>
        <v>0</v>
      </c>
      <c r="N23" s="546">
        <f t="shared" si="114"/>
        <v>0</v>
      </c>
      <c r="O23" s="544">
        <v>12</v>
      </c>
      <c r="P23" s="545">
        <f t="shared" si="3"/>
        <v>0.24783659307296724</v>
      </c>
      <c r="Q23" s="546">
        <f t="shared" si="115"/>
        <v>0</v>
      </c>
      <c r="R23" s="544"/>
      <c r="S23" s="545">
        <f t="shared" si="4"/>
        <v>0</v>
      </c>
      <c r="T23" s="546">
        <f t="shared" si="116"/>
        <v>0</v>
      </c>
      <c r="U23" s="544">
        <v>10.25</v>
      </c>
      <c r="V23" s="545">
        <f t="shared" si="5"/>
        <v>0.2116937565831595</v>
      </c>
      <c r="W23" s="546">
        <f t="shared" si="117"/>
        <v>0</v>
      </c>
      <c r="X23" s="544"/>
      <c r="Y23" s="545">
        <f t="shared" si="6"/>
        <v>0</v>
      </c>
      <c r="Z23" s="546">
        <f t="shared" si="118"/>
        <v>0</v>
      </c>
      <c r="AA23" s="544"/>
      <c r="AB23" s="545">
        <f t="shared" si="7"/>
        <v>0</v>
      </c>
      <c r="AC23" s="546">
        <f t="shared" si="119"/>
        <v>0</v>
      </c>
      <c r="AD23" s="544"/>
      <c r="AE23" s="545">
        <f t="shared" si="8"/>
        <v>0</v>
      </c>
      <c r="AF23" s="546">
        <f t="shared" si="120"/>
        <v>0</v>
      </c>
      <c r="AG23" s="544"/>
      <c r="AH23" s="545">
        <f t="shared" si="9"/>
        <v>0</v>
      </c>
      <c r="AI23" s="546">
        <f t="shared" si="121"/>
        <v>0</v>
      </c>
      <c r="AJ23" s="544"/>
      <c r="AK23" s="545">
        <f t="shared" si="10"/>
        <v>0</v>
      </c>
      <c r="AL23" s="546">
        <f t="shared" si="122"/>
        <v>0</v>
      </c>
      <c r="AM23" s="544">
        <v>36.79487179487171</v>
      </c>
      <c r="AN23" s="545">
        <f t="shared" si="11"/>
        <v>0.75992630568313502</v>
      </c>
      <c r="AO23" s="546">
        <f t="shared" si="123"/>
        <v>0</v>
      </c>
      <c r="AP23" s="544"/>
      <c r="AQ23" s="545">
        <f t="shared" si="12"/>
        <v>0</v>
      </c>
      <c r="AR23" s="546">
        <f t="shared" si="124"/>
        <v>0</v>
      </c>
      <c r="AS23" s="544"/>
      <c r="AT23" s="545">
        <f t="shared" si="13"/>
        <v>0</v>
      </c>
      <c r="AU23" s="546">
        <f t="shared" si="125"/>
        <v>0</v>
      </c>
      <c r="AV23" s="544">
        <v>8.3249999999999957</v>
      </c>
      <c r="AW23" s="545">
        <f t="shared" si="14"/>
        <v>0.17193663644437093</v>
      </c>
      <c r="AX23" s="546">
        <f t="shared" si="126"/>
        <v>0</v>
      </c>
      <c r="AY23" s="544">
        <v>63</v>
      </c>
      <c r="AZ23" s="545">
        <f t="shared" si="15"/>
        <v>1.3011421136330781</v>
      </c>
      <c r="BA23" s="546">
        <f t="shared" si="127"/>
        <v>0</v>
      </c>
      <c r="BB23" s="544"/>
      <c r="BC23" s="545">
        <f t="shared" si="16"/>
        <v>0</v>
      </c>
      <c r="BD23" s="546">
        <f t="shared" si="128"/>
        <v>0</v>
      </c>
      <c r="BE23" s="544"/>
      <c r="BF23" s="545">
        <f t="shared" si="17"/>
        <v>0</v>
      </c>
      <c r="BG23" s="546">
        <f t="shared" si="129"/>
        <v>0</v>
      </c>
      <c r="BH23" s="544"/>
      <c r="BI23" s="545">
        <f t="shared" si="18"/>
        <v>0</v>
      </c>
      <c r="BJ23" s="546">
        <f t="shared" si="130"/>
        <v>0</v>
      </c>
      <c r="BK23" s="544"/>
      <c r="BL23" s="545">
        <f t="shared" si="19"/>
        <v>0</v>
      </c>
      <c r="BM23" s="546">
        <f t="shared" si="131"/>
        <v>0</v>
      </c>
      <c r="BN23" s="544"/>
      <c r="BO23" s="545">
        <f t="shared" si="20"/>
        <v>0</v>
      </c>
      <c r="BP23" s="546">
        <f t="shared" si="132"/>
        <v>0</v>
      </c>
      <c r="BQ23" s="544"/>
      <c r="BR23" s="545">
        <f t="shared" si="21"/>
        <v>0</v>
      </c>
      <c r="BS23" s="546">
        <f t="shared" si="133"/>
        <v>0</v>
      </c>
      <c r="BT23" s="544"/>
      <c r="BU23" s="545">
        <f t="shared" si="22"/>
        <v>0</v>
      </c>
      <c r="BV23" s="546">
        <f t="shared" si="134"/>
        <v>0</v>
      </c>
      <c r="BW23" s="544"/>
      <c r="BX23" s="545">
        <f t="shared" si="23"/>
        <v>0</v>
      </c>
      <c r="BY23" s="546">
        <f t="shared" si="135"/>
        <v>0</v>
      </c>
      <c r="BZ23" s="544"/>
      <c r="CA23" s="545">
        <f t="shared" si="24"/>
        <v>0</v>
      </c>
      <c r="CB23" s="546">
        <f t="shared" si="136"/>
        <v>0</v>
      </c>
      <c r="CC23" s="544">
        <v>25</v>
      </c>
      <c r="CD23" s="545">
        <f t="shared" si="25"/>
        <v>0.51632623556868174</v>
      </c>
      <c r="CE23" s="546">
        <f t="shared" si="137"/>
        <v>0</v>
      </c>
      <c r="CF23" s="544">
        <v>0.59999999999999964</v>
      </c>
      <c r="CG23" s="545">
        <f t="shared" si="26"/>
        <v>1.2391829653648354E-2</v>
      </c>
      <c r="CH23" s="546">
        <f t="shared" si="138"/>
        <v>0</v>
      </c>
      <c r="CI23" s="544"/>
      <c r="CJ23" s="545">
        <f t="shared" si="27"/>
        <v>0</v>
      </c>
      <c r="CK23" s="546">
        <f t="shared" si="139"/>
        <v>0</v>
      </c>
      <c r="CL23" s="544"/>
      <c r="CM23" s="545">
        <f t="shared" si="28"/>
        <v>0</v>
      </c>
      <c r="CN23" s="546">
        <f t="shared" si="140"/>
        <v>0</v>
      </c>
      <c r="CO23" s="544"/>
      <c r="CP23" s="545">
        <f t="shared" si="29"/>
        <v>0</v>
      </c>
      <c r="CQ23" s="546">
        <f t="shared" si="141"/>
        <v>0</v>
      </c>
      <c r="CR23" s="544"/>
      <c r="CS23" s="545">
        <f t="shared" si="30"/>
        <v>0</v>
      </c>
      <c r="CT23" s="546">
        <f t="shared" si="142"/>
        <v>0</v>
      </c>
      <c r="CU23" s="544"/>
      <c r="CV23" s="545">
        <f t="shared" si="31"/>
        <v>0</v>
      </c>
      <c r="CW23" s="546">
        <f t="shared" si="143"/>
        <v>0</v>
      </c>
      <c r="CX23" s="544"/>
      <c r="CY23" s="545">
        <f t="shared" si="32"/>
        <v>0</v>
      </c>
      <c r="CZ23" s="546">
        <f t="shared" si="144"/>
        <v>0</v>
      </c>
      <c r="DA23" s="544"/>
      <c r="DB23" s="545">
        <f t="shared" si="33"/>
        <v>0</v>
      </c>
      <c r="DC23" s="546">
        <f t="shared" si="145"/>
        <v>0</v>
      </c>
      <c r="DD23" s="544"/>
      <c r="DE23" s="545">
        <f t="shared" si="34"/>
        <v>0</v>
      </c>
      <c r="DF23" s="546">
        <f t="shared" si="146"/>
        <v>0</v>
      </c>
      <c r="DG23" s="544"/>
      <c r="DH23" s="545">
        <f t="shared" si="35"/>
        <v>0</v>
      </c>
      <c r="DI23" s="546">
        <f t="shared" si="201"/>
        <v>0</v>
      </c>
      <c r="DJ23" s="544"/>
      <c r="DK23" s="545">
        <f t="shared" si="36"/>
        <v>0</v>
      </c>
      <c r="DL23" s="546">
        <f t="shared" si="147"/>
        <v>0</v>
      </c>
      <c r="DM23" s="544"/>
      <c r="DN23" s="545">
        <f t="shared" si="37"/>
        <v>0</v>
      </c>
      <c r="DO23" s="546">
        <f t="shared" si="148"/>
        <v>0</v>
      </c>
      <c r="DP23" s="544"/>
      <c r="DQ23" s="545">
        <f t="shared" si="38"/>
        <v>0</v>
      </c>
      <c r="DR23" s="546">
        <f t="shared" si="149"/>
        <v>0</v>
      </c>
      <c r="DS23" s="544"/>
      <c r="DT23" s="545">
        <f t="shared" si="39"/>
        <v>0</v>
      </c>
      <c r="DU23" s="546">
        <f t="shared" si="150"/>
        <v>0</v>
      </c>
      <c r="DV23" s="544"/>
      <c r="DW23" s="545">
        <f t="shared" si="40"/>
        <v>0</v>
      </c>
      <c r="DX23" s="546">
        <f t="shared" si="151"/>
        <v>0</v>
      </c>
      <c r="DY23" s="544"/>
      <c r="DZ23" s="545">
        <f t="shared" si="41"/>
        <v>0</v>
      </c>
      <c r="EA23" s="546">
        <f t="shared" si="152"/>
        <v>0</v>
      </c>
      <c r="EB23" s="544">
        <v>541.17647058823513</v>
      </c>
      <c r="EC23" s="545">
        <f t="shared" si="42"/>
        <v>11.176944393486755</v>
      </c>
      <c r="ED23" s="546">
        <f t="shared" si="153"/>
        <v>0</v>
      </c>
      <c r="EE23" s="544">
        <v>0</v>
      </c>
      <c r="EF23" s="545">
        <f t="shared" si="43"/>
        <v>0</v>
      </c>
      <c r="EG23" s="546">
        <f t="shared" si="154"/>
        <v>0</v>
      </c>
      <c r="EH23" s="544">
        <v>2</v>
      </c>
      <c r="EI23" s="545">
        <f t="shared" si="44"/>
        <v>4.1306098845494542E-2</v>
      </c>
      <c r="EJ23" s="546">
        <f t="shared" si="155"/>
        <v>0</v>
      </c>
      <c r="EK23" s="544"/>
      <c r="EL23" s="545">
        <f t="shared" si="45"/>
        <v>0</v>
      </c>
      <c r="EM23" s="546">
        <f t="shared" si="156"/>
        <v>0</v>
      </c>
      <c r="EN23" s="544"/>
      <c r="EO23" s="545">
        <f t="shared" si="46"/>
        <v>0</v>
      </c>
      <c r="EP23" s="546">
        <f t="shared" si="157"/>
        <v>0</v>
      </c>
      <c r="EQ23" s="544"/>
      <c r="ER23" s="545">
        <f t="shared" si="47"/>
        <v>0</v>
      </c>
      <c r="ES23" s="546">
        <f t="shared" si="158"/>
        <v>0</v>
      </c>
      <c r="ET23" s="544"/>
      <c r="EU23" s="545">
        <f t="shared" si="48"/>
        <v>0</v>
      </c>
      <c r="EV23" s="546">
        <f t="shared" si="159"/>
        <v>0</v>
      </c>
      <c r="EW23" s="544"/>
      <c r="EX23" s="545">
        <f t="shared" si="49"/>
        <v>0</v>
      </c>
      <c r="EY23" s="546">
        <f t="shared" si="160"/>
        <v>0</v>
      </c>
      <c r="EZ23" s="544"/>
      <c r="FA23" s="545">
        <f t="shared" si="50"/>
        <v>0</v>
      </c>
      <c r="FB23" s="546">
        <f t="shared" si="161"/>
        <v>0</v>
      </c>
      <c r="FC23" s="544"/>
      <c r="FD23" s="545">
        <f t="shared" si="51"/>
        <v>0</v>
      </c>
      <c r="FE23" s="546">
        <f t="shared" si="162"/>
        <v>0</v>
      </c>
      <c r="FF23" s="544"/>
      <c r="FG23" s="545">
        <f t="shared" si="52"/>
        <v>0</v>
      </c>
      <c r="FH23" s="546">
        <f t="shared" si="163"/>
        <v>0</v>
      </c>
      <c r="FI23" s="544"/>
      <c r="FJ23" s="545">
        <f t="shared" si="53"/>
        <v>0</v>
      </c>
      <c r="FK23" s="546">
        <f t="shared" si="164"/>
        <v>0</v>
      </c>
      <c r="FL23" s="544"/>
      <c r="FM23" s="545">
        <f t="shared" si="54"/>
        <v>0</v>
      </c>
      <c r="FN23" s="546">
        <f t="shared" si="165"/>
        <v>0</v>
      </c>
      <c r="FO23" s="544"/>
      <c r="FP23" s="545">
        <f t="shared" si="55"/>
        <v>0</v>
      </c>
      <c r="FQ23" s="546">
        <f t="shared" si="166"/>
        <v>0</v>
      </c>
      <c r="FR23" s="544"/>
      <c r="FS23" s="545">
        <f t="shared" si="56"/>
        <v>0</v>
      </c>
      <c r="FT23" s="546">
        <f t="shared" si="167"/>
        <v>0</v>
      </c>
      <c r="FU23" s="544"/>
      <c r="FV23" s="545">
        <f t="shared" si="57"/>
        <v>0</v>
      </c>
      <c r="FW23" s="546">
        <f t="shared" si="168"/>
        <v>0</v>
      </c>
      <c r="FX23" s="544"/>
      <c r="FY23" s="545">
        <f t="shared" si="58"/>
        <v>0</v>
      </c>
      <c r="FZ23" s="546">
        <f t="shared" si="169"/>
        <v>0</v>
      </c>
      <c r="GA23" s="544"/>
      <c r="GB23" s="545">
        <f t="shared" si="59"/>
        <v>0</v>
      </c>
      <c r="GC23" s="546">
        <f t="shared" si="170"/>
        <v>0</v>
      </c>
      <c r="GD23" s="544"/>
      <c r="GE23" s="545">
        <f t="shared" si="60"/>
        <v>0</v>
      </c>
      <c r="GF23" s="546">
        <f t="shared" si="171"/>
        <v>0</v>
      </c>
      <c r="GG23" s="544"/>
      <c r="GH23" s="545">
        <f t="shared" si="61"/>
        <v>0</v>
      </c>
      <c r="GI23" s="546">
        <f t="shared" si="172"/>
        <v>0</v>
      </c>
      <c r="GJ23" s="544"/>
      <c r="GK23" s="545">
        <f t="shared" si="62"/>
        <v>0</v>
      </c>
      <c r="GL23" s="546">
        <f t="shared" si="173"/>
        <v>0</v>
      </c>
      <c r="GM23" s="544"/>
      <c r="GN23" s="545">
        <f t="shared" si="63"/>
        <v>0</v>
      </c>
      <c r="GO23" s="546">
        <f t="shared" si="174"/>
        <v>0</v>
      </c>
      <c r="GP23" s="544"/>
      <c r="GQ23" s="545">
        <f t="shared" si="64"/>
        <v>0</v>
      </c>
      <c r="GR23" s="546">
        <f t="shared" si="175"/>
        <v>0</v>
      </c>
      <c r="GS23" s="544"/>
      <c r="GT23" s="545">
        <f t="shared" si="65"/>
        <v>0</v>
      </c>
      <c r="GU23" s="546">
        <f t="shared" si="176"/>
        <v>0</v>
      </c>
      <c r="GV23" s="544"/>
      <c r="GW23" s="545">
        <f t="shared" si="66"/>
        <v>0</v>
      </c>
      <c r="GX23" s="546">
        <f t="shared" si="177"/>
        <v>0</v>
      </c>
      <c r="GY23" s="544"/>
      <c r="GZ23" s="545">
        <f t="shared" si="67"/>
        <v>0</v>
      </c>
      <c r="HA23" s="546">
        <f t="shared" si="178"/>
        <v>0</v>
      </c>
      <c r="HB23" s="544"/>
      <c r="HC23" s="545">
        <f t="shared" si="68"/>
        <v>0</v>
      </c>
      <c r="HD23" s="546">
        <f t="shared" si="179"/>
        <v>0</v>
      </c>
      <c r="HE23" s="544"/>
      <c r="HF23" s="545">
        <f t="shared" si="69"/>
        <v>0</v>
      </c>
      <c r="HG23" s="546">
        <f t="shared" si="180"/>
        <v>0</v>
      </c>
      <c r="HH23" s="544"/>
      <c r="HI23" s="545">
        <f t="shared" si="70"/>
        <v>0</v>
      </c>
      <c r="HJ23" s="546">
        <f t="shared" si="181"/>
        <v>0</v>
      </c>
      <c r="HK23" s="544"/>
      <c r="HL23" s="545">
        <f t="shared" si="71"/>
        <v>0</v>
      </c>
      <c r="HM23" s="546">
        <f t="shared" si="182"/>
        <v>0</v>
      </c>
      <c r="HN23" s="544"/>
      <c r="HO23" s="545">
        <f t="shared" si="72"/>
        <v>0</v>
      </c>
      <c r="HP23" s="546">
        <f t="shared" si="183"/>
        <v>0</v>
      </c>
      <c r="HQ23" s="544"/>
      <c r="HR23" s="545">
        <f t="shared" si="73"/>
        <v>0</v>
      </c>
      <c r="HS23" s="546">
        <f t="shared" si="184"/>
        <v>0</v>
      </c>
      <c r="HT23" s="544"/>
      <c r="HU23" s="545">
        <f t="shared" si="74"/>
        <v>0</v>
      </c>
      <c r="HV23" s="546">
        <f t="shared" si="185"/>
        <v>0</v>
      </c>
      <c r="HW23" s="544"/>
      <c r="HX23" s="545">
        <f t="shared" si="75"/>
        <v>0</v>
      </c>
      <c r="HY23" s="546">
        <f t="shared" si="186"/>
        <v>0</v>
      </c>
      <c r="HZ23" s="544"/>
      <c r="IA23" s="545">
        <f t="shared" si="76"/>
        <v>0</v>
      </c>
      <c r="IB23" s="546">
        <f t="shared" si="187"/>
        <v>0</v>
      </c>
      <c r="IC23" s="544"/>
      <c r="ID23" s="545">
        <f t="shared" si="77"/>
        <v>0</v>
      </c>
      <c r="IE23" s="546">
        <f t="shared" si="188"/>
        <v>0</v>
      </c>
      <c r="IF23" s="544"/>
      <c r="IG23" s="545">
        <f t="shared" si="78"/>
        <v>0</v>
      </c>
      <c r="IH23" s="546">
        <f t="shared" si="189"/>
        <v>0</v>
      </c>
      <c r="II23" s="544"/>
      <c r="IJ23" s="545">
        <f t="shared" si="79"/>
        <v>0</v>
      </c>
      <c r="IK23" s="546">
        <f t="shared" si="190"/>
        <v>0</v>
      </c>
      <c r="IL23" s="544"/>
      <c r="IM23" s="545">
        <f t="shared" si="80"/>
        <v>0</v>
      </c>
      <c r="IN23" s="546">
        <f t="shared" si="191"/>
        <v>0</v>
      </c>
      <c r="IO23" s="544"/>
      <c r="IP23" s="545">
        <f t="shared" si="81"/>
        <v>0</v>
      </c>
      <c r="IQ23" s="546">
        <f t="shared" si="192"/>
        <v>0</v>
      </c>
      <c r="IR23" s="544"/>
      <c r="IS23" s="545">
        <f t="shared" si="82"/>
        <v>0</v>
      </c>
      <c r="IT23" s="546">
        <f t="shared" si="193"/>
        <v>0</v>
      </c>
      <c r="IU23" s="544"/>
      <c r="IV23" s="545">
        <f t="shared" si="83"/>
        <v>0</v>
      </c>
      <c r="IW23" s="546">
        <f t="shared" si="194"/>
        <v>0</v>
      </c>
      <c r="IX23" s="544"/>
      <c r="IY23" s="545">
        <f t="shared" si="84"/>
        <v>0</v>
      </c>
      <c r="IZ23" s="546">
        <f t="shared" si="195"/>
        <v>0</v>
      </c>
      <c r="JA23" s="544"/>
      <c r="JB23" s="545">
        <f t="shared" si="85"/>
        <v>0</v>
      </c>
      <c r="JC23" s="546">
        <f t="shared" si="196"/>
        <v>0</v>
      </c>
      <c r="JD23" s="544"/>
      <c r="JE23" s="545">
        <f t="shared" si="86"/>
        <v>0</v>
      </c>
      <c r="JF23" s="546">
        <f t="shared" si="197"/>
        <v>0</v>
      </c>
      <c r="JG23" s="544"/>
      <c r="JH23" s="546" t="str">
        <f t="shared" si="87"/>
        <v>0</v>
      </c>
      <c r="JI23" s="546" t="str">
        <f t="shared" si="88"/>
        <v>0</v>
      </c>
      <c r="JJ23" s="544"/>
      <c r="JK23" s="546" t="str">
        <f t="shared" si="89"/>
        <v>0</v>
      </c>
      <c r="JL23" s="546" t="str">
        <f t="shared" si="90"/>
        <v>0</v>
      </c>
      <c r="JM23" s="544"/>
      <c r="JN23" s="546" t="str">
        <f t="shared" si="91"/>
        <v>0</v>
      </c>
      <c r="JO23" s="546" t="str">
        <f t="shared" si="92"/>
        <v>0</v>
      </c>
      <c r="JP23" s="544"/>
      <c r="JQ23" s="546" t="str">
        <f t="shared" si="93"/>
        <v>0</v>
      </c>
      <c r="JR23" s="546" t="str">
        <f t="shared" si="94"/>
        <v>0</v>
      </c>
      <c r="JS23" s="544"/>
      <c r="JT23" s="546" t="str">
        <f t="shared" si="95"/>
        <v>0</v>
      </c>
      <c r="JU23" s="546" t="str">
        <f t="shared" si="96"/>
        <v>0</v>
      </c>
      <c r="JV23" s="544"/>
      <c r="JW23" s="546" t="str">
        <f t="shared" si="97"/>
        <v>0</v>
      </c>
      <c r="JX23" s="546" t="str">
        <f t="shared" si="98"/>
        <v>0</v>
      </c>
      <c r="JY23" s="544"/>
      <c r="JZ23" s="546" t="str">
        <f t="shared" si="99"/>
        <v>0</v>
      </c>
      <c r="KA23" s="546" t="str">
        <f t="shared" si="100"/>
        <v>0</v>
      </c>
      <c r="KB23" s="544"/>
      <c r="KC23" s="546" t="str">
        <f t="shared" si="101"/>
        <v>0</v>
      </c>
      <c r="KD23" s="546" t="str">
        <f t="shared" si="102"/>
        <v>0</v>
      </c>
      <c r="KE23" s="544"/>
      <c r="KF23" s="546" t="str">
        <f t="shared" si="103"/>
        <v>0</v>
      </c>
      <c r="KG23" s="546" t="str">
        <f t="shared" si="104"/>
        <v>0</v>
      </c>
      <c r="KH23" s="544"/>
      <c r="KI23" s="546" t="str">
        <f t="shared" si="105"/>
        <v>0</v>
      </c>
      <c r="KJ23" s="546" t="str">
        <f t="shared" si="106"/>
        <v>0</v>
      </c>
      <c r="KK23" s="544"/>
      <c r="KL23" s="546" t="str">
        <f t="shared" si="107"/>
        <v>0</v>
      </c>
      <c r="KM23" s="546" t="str">
        <f t="shared" si="108"/>
        <v>0</v>
      </c>
      <c r="KN23" s="544"/>
      <c r="KO23" s="546" t="str">
        <f t="shared" si="109"/>
        <v>0</v>
      </c>
      <c r="KP23" s="546" t="str">
        <f t="shared" si="110"/>
        <v>0</v>
      </c>
      <c r="KQ23" s="546">
        <f t="shared" si="111"/>
        <v>0</v>
      </c>
      <c r="KR23" s="546">
        <f t="shared" si="198"/>
        <v>0</v>
      </c>
      <c r="KS23" s="265">
        <f t="shared" si="199"/>
        <v>699.1463423831068</v>
      </c>
    </row>
    <row r="24" spans="1:305" ht="15" customHeight="1">
      <c r="A24" s="267">
        <f t="shared" si="200"/>
        <v>45732</v>
      </c>
      <c r="B24" s="268" t="str">
        <f>+Report1!B24</f>
        <v>Napkin</v>
      </c>
      <c r="C24" s="268" t="str">
        <f>+Report1!C24</f>
        <v>16</v>
      </c>
      <c r="D24" s="269">
        <f>+Report1!P24</f>
        <v>48.844999999999999</v>
      </c>
      <c r="E24" s="270">
        <f>+Report1!R24</f>
        <v>48.912999999999997</v>
      </c>
      <c r="F24" s="544"/>
      <c r="G24" s="545">
        <f t="shared" si="0"/>
        <v>0</v>
      </c>
      <c r="H24" s="546">
        <f t="shared" si="112"/>
        <v>0</v>
      </c>
      <c r="I24" s="544"/>
      <c r="J24" s="545">
        <f t="shared" si="1"/>
        <v>0</v>
      </c>
      <c r="K24" s="546">
        <f t="shared" si="113"/>
        <v>0</v>
      </c>
      <c r="L24" s="544"/>
      <c r="M24" s="545">
        <f t="shared" si="2"/>
        <v>0</v>
      </c>
      <c r="N24" s="546">
        <f t="shared" si="114"/>
        <v>0</v>
      </c>
      <c r="O24" s="544">
        <v>12</v>
      </c>
      <c r="P24" s="545">
        <f t="shared" si="3"/>
        <v>0.24533355140760127</v>
      </c>
      <c r="Q24" s="546">
        <f t="shared" si="115"/>
        <v>0</v>
      </c>
      <c r="R24" s="544"/>
      <c r="S24" s="545">
        <f t="shared" si="4"/>
        <v>0</v>
      </c>
      <c r="T24" s="546">
        <f t="shared" si="116"/>
        <v>0</v>
      </c>
      <c r="U24" s="544">
        <v>10.249999999999972</v>
      </c>
      <c r="V24" s="545">
        <f t="shared" si="5"/>
        <v>0.2095557418273255</v>
      </c>
      <c r="W24" s="546">
        <f t="shared" si="117"/>
        <v>0</v>
      </c>
      <c r="X24" s="544"/>
      <c r="Y24" s="545">
        <f t="shared" si="6"/>
        <v>0</v>
      </c>
      <c r="Z24" s="546">
        <f t="shared" si="118"/>
        <v>0</v>
      </c>
      <c r="AA24" s="544"/>
      <c r="AB24" s="545">
        <f t="shared" si="7"/>
        <v>0</v>
      </c>
      <c r="AC24" s="546">
        <f t="shared" si="119"/>
        <v>0</v>
      </c>
      <c r="AD24" s="544"/>
      <c r="AE24" s="545">
        <f t="shared" si="8"/>
        <v>0</v>
      </c>
      <c r="AF24" s="546">
        <f t="shared" si="120"/>
        <v>0</v>
      </c>
      <c r="AG24" s="544"/>
      <c r="AH24" s="545">
        <f t="shared" si="9"/>
        <v>0</v>
      </c>
      <c r="AI24" s="546">
        <f t="shared" si="121"/>
        <v>0</v>
      </c>
      <c r="AJ24" s="544"/>
      <c r="AK24" s="545">
        <f t="shared" si="10"/>
        <v>0</v>
      </c>
      <c r="AL24" s="546">
        <f t="shared" si="122"/>
        <v>0</v>
      </c>
      <c r="AM24" s="544">
        <v>46.139215384615284</v>
      </c>
      <c r="AN24" s="545">
        <f t="shared" si="11"/>
        <v>0.94329146412232512</v>
      </c>
      <c r="AO24" s="546">
        <f t="shared" si="123"/>
        <v>0</v>
      </c>
      <c r="AP24" s="544"/>
      <c r="AQ24" s="545">
        <f t="shared" si="12"/>
        <v>0</v>
      </c>
      <c r="AR24" s="546">
        <f t="shared" si="124"/>
        <v>0</v>
      </c>
      <c r="AS24" s="544"/>
      <c r="AT24" s="545">
        <f t="shared" si="13"/>
        <v>0</v>
      </c>
      <c r="AU24" s="546">
        <f t="shared" si="125"/>
        <v>0</v>
      </c>
      <c r="AV24" s="544">
        <v>4.1625000000000085</v>
      </c>
      <c r="AW24" s="545">
        <f t="shared" si="14"/>
        <v>8.5100075644511858E-2</v>
      </c>
      <c r="AX24" s="546">
        <f t="shared" si="126"/>
        <v>0</v>
      </c>
      <c r="AY24" s="544">
        <v>70.219333333333282</v>
      </c>
      <c r="AZ24" s="545">
        <f t="shared" si="15"/>
        <v>1.4355965353450675</v>
      </c>
      <c r="BA24" s="546">
        <f t="shared" si="127"/>
        <v>0</v>
      </c>
      <c r="BB24" s="544"/>
      <c r="BC24" s="545">
        <f t="shared" si="16"/>
        <v>0</v>
      </c>
      <c r="BD24" s="546">
        <f t="shared" si="128"/>
        <v>0</v>
      </c>
      <c r="BE24" s="544"/>
      <c r="BF24" s="545">
        <f t="shared" si="17"/>
        <v>0</v>
      </c>
      <c r="BG24" s="546">
        <f t="shared" si="129"/>
        <v>0</v>
      </c>
      <c r="BH24" s="544"/>
      <c r="BI24" s="545">
        <f t="shared" si="18"/>
        <v>0</v>
      </c>
      <c r="BJ24" s="546">
        <f t="shared" si="130"/>
        <v>0</v>
      </c>
      <c r="BK24" s="544"/>
      <c r="BL24" s="545">
        <f t="shared" si="19"/>
        <v>0</v>
      </c>
      <c r="BM24" s="546">
        <f t="shared" si="131"/>
        <v>0</v>
      </c>
      <c r="BN24" s="544"/>
      <c r="BO24" s="545">
        <f t="shared" si="20"/>
        <v>0</v>
      </c>
      <c r="BP24" s="546">
        <f t="shared" si="132"/>
        <v>0</v>
      </c>
      <c r="BQ24" s="544"/>
      <c r="BR24" s="545">
        <f t="shared" si="21"/>
        <v>0</v>
      </c>
      <c r="BS24" s="546">
        <f t="shared" si="133"/>
        <v>0</v>
      </c>
      <c r="BT24" s="544"/>
      <c r="BU24" s="545">
        <f t="shared" si="22"/>
        <v>0</v>
      </c>
      <c r="BV24" s="546">
        <f t="shared" si="134"/>
        <v>0</v>
      </c>
      <c r="BW24" s="544"/>
      <c r="BX24" s="545">
        <f t="shared" si="23"/>
        <v>0</v>
      </c>
      <c r="BY24" s="546">
        <f t="shared" si="135"/>
        <v>0</v>
      </c>
      <c r="BZ24" s="544"/>
      <c r="CA24" s="545">
        <f t="shared" si="24"/>
        <v>0</v>
      </c>
      <c r="CB24" s="546">
        <f t="shared" si="136"/>
        <v>0</v>
      </c>
      <c r="CC24" s="544">
        <v>47.5</v>
      </c>
      <c r="CD24" s="545">
        <f t="shared" si="25"/>
        <v>0.971111974321755</v>
      </c>
      <c r="CE24" s="546">
        <f t="shared" si="137"/>
        <v>0</v>
      </c>
      <c r="CF24" s="544">
        <v>0.60000000000000142</v>
      </c>
      <c r="CG24" s="545">
        <f t="shared" si="26"/>
        <v>1.2266677570380092E-2</v>
      </c>
      <c r="CH24" s="546">
        <f t="shared" si="138"/>
        <v>0</v>
      </c>
      <c r="CI24" s="544"/>
      <c r="CJ24" s="545">
        <f t="shared" si="27"/>
        <v>0</v>
      </c>
      <c r="CK24" s="546">
        <f t="shared" si="139"/>
        <v>0</v>
      </c>
      <c r="CL24" s="544"/>
      <c r="CM24" s="545">
        <f t="shared" si="28"/>
        <v>0</v>
      </c>
      <c r="CN24" s="546">
        <f t="shared" si="140"/>
        <v>0</v>
      </c>
      <c r="CO24" s="544"/>
      <c r="CP24" s="545">
        <f t="shared" si="29"/>
        <v>0</v>
      </c>
      <c r="CQ24" s="546">
        <f t="shared" si="141"/>
        <v>0</v>
      </c>
      <c r="CR24" s="544"/>
      <c r="CS24" s="545">
        <f t="shared" si="30"/>
        <v>0</v>
      </c>
      <c r="CT24" s="546">
        <f t="shared" si="142"/>
        <v>0</v>
      </c>
      <c r="CU24" s="544"/>
      <c r="CV24" s="545">
        <f t="shared" si="31"/>
        <v>0</v>
      </c>
      <c r="CW24" s="546">
        <f t="shared" si="143"/>
        <v>0</v>
      </c>
      <c r="CX24" s="544"/>
      <c r="CY24" s="545">
        <f t="shared" si="32"/>
        <v>0</v>
      </c>
      <c r="CZ24" s="546">
        <f t="shared" si="144"/>
        <v>0</v>
      </c>
      <c r="DA24" s="544"/>
      <c r="DB24" s="545">
        <f t="shared" si="33"/>
        <v>0</v>
      </c>
      <c r="DC24" s="546">
        <f t="shared" si="145"/>
        <v>0</v>
      </c>
      <c r="DD24" s="544"/>
      <c r="DE24" s="545">
        <f t="shared" si="34"/>
        <v>0</v>
      </c>
      <c r="DF24" s="546">
        <f t="shared" si="146"/>
        <v>0</v>
      </c>
      <c r="DG24" s="544"/>
      <c r="DH24" s="545">
        <f t="shared" si="35"/>
        <v>0</v>
      </c>
      <c r="DI24" s="546">
        <f t="shared" si="201"/>
        <v>0</v>
      </c>
      <c r="DJ24" s="544"/>
      <c r="DK24" s="545">
        <f t="shared" si="36"/>
        <v>0</v>
      </c>
      <c r="DL24" s="546">
        <f t="shared" si="147"/>
        <v>0</v>
      </c>
      <c r="DM24" s="544"/>
      <c r="DN24" s="545">
        <f t="shared" si="37"/>
        <v>0</v>
      </c>
      <c r="DO24" s="546">
        <f t="shared" si="148"/>
        <v>0</v>
      </c>
      <c r="DP24" s="544"/>
      <c r="DQ24" s="545">
        <f t="shared" si="38"/>
        <v>0</v>
      </c>
      <c r="DR24" s="546">
        <f t="shared" si="149"/>
        <v>0</v>
      </c>
      <c r="DS24" s="544"/>
      <c r="DT24" s="545">
        <f t="shared" si="39"/>
        <v>0</v>
      </c>
      <c r="DU24" s="546">
        <f t="shared" si="150"/>
        <v>0</v>
      </c>
      <c r="DV24" s="544"/>
      <c r="DW24" s="545">
        <f t="shared" si="40"/>
        <v>0</v>
      </c>
      <c r="DX24" s="546">
        <f t="shared" si="151"/>
        <v>0</v>
      </c>
      <c r="DY24" s="544"/>
      <c r="DZ24" s="545">
        <f t="shared" si="41"/>
        <v>0</v>
      </c>
      <c r="EA24" s="546">
        <f t="shared" si="152"/>
        <v>0</v>
      </c>
      <c r="EB24" s="544">
        <v>489.80424705882342</v>
      </c>
      <c r="EC24" s="545">
        <f t="shared" si="42"/>
        <v>10.013784618788941</v>
      </c>
      <c r="ED24" s="546">
        <f t="shared" si="153"/>
        <v>0</v>
      </c>
      <c r="EE24" s="544">
        <v>0</v>
      </c>
      <c r="EF24" s="545">
        <f t="shared" si="43"/>
        <v>0</v>
      </c>
      <c r="EG24" s="546">
        <f t="shared" si="154"/>
        <v>0</v>
      </c>
      <c r="EH24" s="544">
        <v>2</v>
      </c>
      <c r="EI24" s="545">
        <f t="shared" si="44"/>
        <v>4.0888925234600214E-2</v>
      </c>
      <c r="EJ24" s="546">
        <f t="shared" si="155"/>
        <v>0</v>
      </c>
      <c r="EK24" s="544"/>
      <c r="EL24" s="545">
        <f t="shared" si="45"/>
        <v>0</v>
      </c>
      <c r="EM24" s="546">
        <f t="shared" si="156"/>
        <v>0</v>
      </c>
      <c r="EN24" s="544"/>
      <c r="EO24" s="545">
        <f t="shared" si="46"/>
        <v>0</v>
      </c>
      <c r="EP24" s="546">
        <f t="shared" si="157"/>
        <v>0</v>
      </c>
      <c r="EQ24" s="544"/>
      <c r="ER24" s="545">
        <f t="shared" si="47"/>
        <v>0</v>
      </c>
      <c r="ES24" s="546">
        <f t="shared" si="158"/>
        <v>0</v>
      </c>
      <c r="ET24" s="544"/>
      <c r="EU24" s="545">
        <f t="shared" si="48"/>
        <v>0</v>
      </c>
      <c r="EV24" s="546">
        <f t="shared" si="159"/>
        <v>0</v>
      </c>
      <c r="EW24" s="544"/>
      <c r="EX24" s="545">
        <f t="shared" si="49"/>
        <v>0</v>
      </c>
      <c r="EY24" s="546">
        <f t="shared" si="160"/>
        <v>0</v>
      </c>
      <c r="EZ24" s="544"/>
      <c r="FA24" s="545">
        <f t="shared" si="50"/>
        <v>0</v>
      </c>
      <c r="FB24" s="546">
        <f t="shared" si="161"/>
        <v>0</v>
      </c>
      <c r="FC24" s="544"/>
      <c r="FD24" s="545">
        <f t="shared" si="51"/>
        <v>0</v>
      </c>
      <c r="FE24" s="546">
        <f t="shared" si="162"/>
        <v>0</v>
      </c>
      <c r="FF24" s="544"/>
      <c r="FG24" s="545">
        <f t="shared" si="52"/>
        <v>0</v>
      </c>
      <c r="FH24" s="546">
        <f t="shared" si="163"/>
        <v>0</v>
      </c>
      <c r="FI24" s="544"/>
      <c r="FJ24" s="545">
        <f t="shared" si="53"/>
        <v>0</v>
      </c>
      <c r="FK24" s="546">
        <f t="shared" si="164"/>
        <v>0</v>
      </c>
      <c r="FL24" s="544"/>
      <c r="FM24" s="545">
        <f t="shared" si="54"/>
        <v>0</v>
      </c>
      <c r="FN24" s="546">
        <f t="shared" si="165"/>
        <v>0</v>
      </c>
      <c r="FO24" s="544"/>
      <c r="FP24" s="545">
        <f t="shared" si="55"/>
        <v>0</v>
      </c>
      <c r="FQ24" s="546">
        <f t="shared" si="166"/>
        <v>0</v>
      </c>
      <c r="FR24" s="544"/>
      <c r="FS24" s="545">
        <f t="shared" si="56"/>
        <v>0</v>
      </c>
      <c r="FT24" s="546">
        <f t="shared" si="167"/>
        <v>0</v>
      </c>
      <c r="FU24" s="544"/>
      <c r="FV24" s="545">
        <f t="shared" si="57"/>
        <v>0</v>
      </c>
      <c r="FW24" s="546">
        <f t="shared" si="168"/>
        <v>0</v>
      </c>
      <c r="FX24" s="544"/>
      <c r="FY24" s="545">
        <f t="shared" si="58"/>
        <v>0</v>
      </c>
      <c r="FZ24" s="546">
        <f t="shared" si="169"/>
        <v>0</v>
      </c>
      <c r="GA24" s="544"/>
      <c r="GB24" s="545">
        <f t="shared" si="59"/>
        <v>0</v>
      </c>
      <c r="GC24" s="546">
        <f t="shared" si="170"/>
        <v>0</v>
      </c>
      <c r="GD24" s="544"/>
      <c r="GE24" s="545">
        <f t="shared" si="60"/>
        <v>0</v>
      </c>
      <c r="GF24" s="546">
        <f t="shared" si="171"/>
        <v>0</v>
      </c>
      <c r="GG24" s="544"/>
      <c r="GH24" s="545">
        <f t="shared" si="61"/>
        <v>0</v>
      </c>
      <c r="GI24" s="546">
        <f t="shared" si="172"/>
        <v>0</v>
      </c>
      <c r="GJ24" s="544"/>
      <c r="GK24" s="545">
        <f t="shared" si="62"/>
        <v>0</v>
      </c>
      <c r="GL24" s="546">
        <f t="shared" si="173"/>
        <v>0</v>
      </c>
      <c r="GM24" s="544"/>
      <c r="GN24" s="545">
        <f t="shared" si="63"/>
        <v>0</v>
      </c>
      <c r="GO24" s="546">
        <f t="shared" si="174"/>
        <v>0</v>
      </c>
      <c r="GP24" s="544"/>
      <c r="GQ24" s="545">
        <f t="shared" si="64"/>
        <v>0</v>
      </c>
      <c r="GR24" s="546">
        <f t="shared" si="175"/>
        <v>0</v>
      </c>
      <c r="GS24" s="544"/>
      <c r="GT24" s="545">
        <f t="shared" si="65"/>
        <v>0</v>
      </c>
      <c r="GU24" s="546">
        <f t="shared" si="176"/>
        <v>0</v>
      </c>
      <c r="GV24" s="544"/>
      <c r="GW24" s="545">
        <f t="shared" si="66"/>
        <v>0</v>
      </c>
      <c r="GX24" s="546">
        <f t="shared" si="177"/>
        <v>0</v>
      </c>
      <c r="GY24" s="544"/>
      <c r="GZ24" s="545">
        <f t="shared" si="67"/>
        <v>0</v>
      </c>
      <c r="HA24" s="546">
        <f t="shared" si="178"/>
        <v>0</v>
      </c>
      <c r="HB24" s="544"/>
      <c r="HC24" s="545">
        <f t="shared" si="68"/>
        <v>0</v>
      </c>
      <c r="HD24" s="546">
        <f t="shared" si="179"/>
        <v>0</v>
      </c>
      <c r="HE24" s="544"/>
      <c r="HF24" s="545">
        <f t="shared" si="69"/>
        <v>0</v>
      </c>
      <c r="HG24" s="546">
        <f t="shared" si="180"/>
        <v>0</v>
      </c>
      <c r="HH24" s="544"/>
      <c r="HI24" s="545">
        <f t="shared" si="70"/>
        <v>0</v>
      </c>
      <c r="HJ24" s="546">
        <f t="shared" si="181"/>
        <v>0</v>
      </c>
      <c r="HK24" s="544"/>
      <c r="HL24" s="545">
        <f t="shared" si="71"/>
        <v>0</v>
      </c>
      <c r="HM24" s="546">
        <f t="shared" si="182"/>
        <v>0</v>
      </c>
      <c r="HN24" s="544"/>
      <c r="HO24" s="545">
        <f t="shared" si="72"/>
        <v>0</v>
      </c>
      <c r="HP24" s="546">
        <f t="shared" si="183"/>
        <v>0</v>
      </c>
      <c r="HQ24" s="544"/>
      <c r="HR24" s="545">
        <f t="shared" si="73"/>
        <v>0</v>
      </c>
      <c r="HS24" s="546">
        <f t="shared" si="184"/>
        <v>0</v>
      </c>
      <c r="HT24" s="544"/>
      <c r="HU24" s="545">
        <f t="shared" si="74"/>
        <v>0</v>
      </c>
      <c r="HV24" s="546">
        <f t="shared" si="185"/>
        <v>0</v>
      </c>
      <c r="HW24" s="544"/>
      <c r="HX24" s="545">
        <f t="shared" si="75"/>
        <v>0</v>
      </c>
      <c r="HY24" s="546">
        <f t="shared" si="186"/>
        <v>0</v>
      </c>
      <c r="HZ24" s="544"/>
      <c r="IA24" s="545">
        <f t="shared" si="76"/>
        <v>0</v>
      </c>
      <c r="IB24" s="546">
        <f t="shared" si="187"/>
        <v>0</v>
      </c>
      <c r="IC24" s="544"/>
      <c r="ID24" s="545">
        <f t="shared" si="77"/>
        <v>0</v>
      </c>
      <c r="IE24" s="546">
        <f t="shared" si="188"/>
        <v>0</v>
      </c>
      <c r="IF24" s="544"/>
      <c r="IG24" s="545">
        <f t="shared" si="78"/>
        <v>0</v>
      </c>
      <c r="IH24" s="546">
        <f t="shared" si="189"/>
        <v>0</v>
      </c>
      <c r="II24" s="544"/>
      <c r="IJ24" s="545">
        <f t="shared" si="79"/>
        <v>0</v>
      </c>
      <c r="IK24" s="546">
        <f t="shared" si="190"/>
        <v>0</v>
      </c>
      <c r="IL24" s="544"/>
      <c r="IM24" s="545">
        <f t="shared" si="80"/>
        <v>0</v>
      </c>
      <c r="IN24" s="546">
        <f t="shared" si="191"/>
        <v>0</v>
      </c>
      <c r="IO24" s="544"/>
      <c r="IP24" s="545">
        <f t="shared" si="81"/>
        <v>0</v>
      </c>
      <c r="IQ24" s="546">
        <f t="shared" si="192"/>
        <v>0</v>
      </c>
      <c r="IR24" s="544"/>
      <c r="IS24" s="545">
        <f t="shared" si="82"/>
        <v>0</v>
      </c>
      <c r="IT24" s="546">
        <f t="shared" si="193"/>
        <v>0</v>
      </c>
      <c r="IU24" s="544"/>
      <c r="IV24" s="545">
        <f t="shared" si="83"/>
        <v>0</v>
      </c>
      <c r="IW24" s="546">
        <f t="shared" si="194"/>
        <v>0</v>
      </c>
      <c r="IX24" s="544"/>
      <c r="IY24" s="545">
        <f t="shared" si="84"/>
        <v>0</v>
      </c>
      <c r="IZ24" s="546">
        <f t="shared" si="195"/>
        <v>0</v>
      </c>
      <c r="JA24" s="544"/>
      <c r="JB24" s="545">
        <f t="shared" si="85"/>
        <v>0</v>
      </c>
      <c r="JC24" s="546">
        <f t="shared" si="196"/>
        <v>0</v>
      </c>
      <c r="JD24" s="544"/>
      <c r="JE24" s="545">
        <f t="shared" si="86"/>
        <v>0</v>
      </c>
      <c r="JF24" s="546">
        <f t="shared" si="197"/>
        <v>0</v>
      </c>
      <c r="JG24" s="544"/>
      <c r="JH24" s="546" t="str">
        <f t="shared" si="87"/>
        <v>0</v>
      </c>
      <c r="JI24" s="546" t="str">
        <f t="shared" si="88"/>
        <v>0</v>
      </c>
      <c r="JJ24" s="544"/>
      <c r="JK24" s="546" t="str">
        <f t="shared" si="89"/>
        <v>0</v>
      </c>
      <c r="JL24" s="546" t="str">
        <f t="shared" si="90"/>
        <v>0</v>
      </c>
      <c r="JM24" s="544"/>
      <c r="JN24" s="546" t="str">
        <f t="shared" si="91"/>
        <v>0</v>
      </c>
      <c r="JO24" s="546" t="str">
        <f t="shared" si="92"/>
        <v>0</v>
      </c>
      <c r="JP24" s="544"/>
      <c r="JQ24" s="546" t="str">
        <f t="shared" si="93"/>
        <v>0</v>
      </c>
      <c r="JR24" s="546" t="str">
        <f t="shared" si="94"/>
        <v>0</v>
      </c>
      <c r="JS24" s="544"/>
      <c r="JT24" s="546" t="str">
        <f t="shared" si="95"/>
        <v>0</v>
      </c>
      <c r="JU24" s="546" t="str">
        <f t="shared" si="96"/>
        <v>0</v>
      </c>
      <c r="JV24" s="544"/>
      <c r="JW24" s="546" t="str">
        <f t="shared" si="97"/>
        <v>0</v>
      </c>
      <c r="JX24" s="546" t="str">
        <f t="shared" si="98"/>
        <v>0</v>
      </c>
      <c r="JY24" s="544"/>
      <c r="JZ24" s="546" t="str">
        <f t="shared" si="99"/>
        <v>0</v>
      </c>
      <c r="KA24" s="546" t="str">
        <f t="shared" si="100"/>
        <v>0</v>
      </c>
      <c r="KB24" s="544"/>
      <c r="KC24" s="546" t="str">
        <f t="shared" si="101"/>
        <v>0</v>
      </c>
      <c r="KD24" s="546" t="str">
        <f t="shared" si="102"/>
        <v>0</v>
      </c>
      <c r="KE24" s="544"/>
      <c r="KF24" s="546" t="str">
        <f t="shared" si="103"/>
        <v>0</v>
      </c>
      <c r="KG24" s="546" t="str">
        <f t="shared" si="104"/>
        <v>0</v>
      </c>
      <c r="KH24" s="544"/>
      <c r="KI24" s="546" t="str">
        <f t="shared" si="105"/>
        <v>0</v>
      </c>
      <c r="KJ24" s="546" t="str">
        <f t="shared" si="106"/>
        <v>0</v>
      </c>
      <c r="KK24" s="544"/>
      <c r="KL24" s="546" t="str">
        <f t="shared" si="107"/>
        <v>0</v>
      </c>
      <c r="KM24" s="546" t="str">
        <f t="shared" si="108"/>
        <v>0</v>
      </c>
      <c r="KN24" s="544"/>
      <c r="KO24" s="546" t="str">
        <f t="shared" si="109"/>
        <v>0</v>
      </c>
      <c r="KP24" s="546" t="str">
        <f t="shared" si="110"/>
        <v>0</v>
      </c>
      <c r="KQ24" s="546">
        <f t="shared" si="111"/>
        <v>0</v>
      </c>
      <c r="KR24" s="546">
        <f t="shared" si="198"/>
        <v>0</v>
      </c>
      <c r="KS24" s="265">
        <f t="shared" si="199"/>
        <v>682.67529577677192</v>
      </c>
    </row>
    <row r="25" spans="1:305" ht="15" customHeight="1">
      <c r="A25" s="267">
        <f t="shared" si="200"/>
        <v>45733</v>
      </c>
      <c r="B25" s="268" t="str">
        <f>+Report1!B25</f>
        <v>Napkin</v>
      </c>
      <c r="C25" s="268" t="str">
        <f>+Report1!C25</f>
        <v>16</v>
      </c>
      <c r="D25" s="269">
        <f>+Report1!P25</f>
        <v>48.537000000000006</v>
      </c>
      <c r="E25" s="270">
        <f>+Report1!R25</f>
        <v>49.252000000000002</v>
      </c>
      <c r="F25" s="544"/>
      <c r="G25" s="545">
        <f t="shared" si="0"/>
        <v>0</v>
      </c>
      <c r="H25" s="546">
        <f t="shared" si="112"/>
        <v>0</v>
      </c>
      <c r="I25" s="544"/>
      <c r="J25" s="545">
        <f t="shared" si="1"/>
        <v>0</v>
      </c>
      <c r="K25" s="546">
        <f t="shared" si="113"/>
        <v>0</v>
      </c>
      <c r="L25" s="544"/>
      <c r="M25" s="545">
        <f t="shared" si="2"/>
        <v>0</v>
      </c>
      <c r="N25" s="546">
        <f t="shared" si="114"/>
        <v>0</v>
      </c>
      <c r="O25" s="544">
        <v>12</v>
      </c>
      <c r="P25" s="545">
        <f t="shared" si="3"/>
        <v>0.2436449281247462</v>
      </c>
      <c r="Q25" s="546">
        <f t="shared" si="115"/>
        <v>0</v>
      </c>
      <c r="R25" s="544"/>
      <c r="S25" s="545">
        <f t="shared" si="4"/>
        <v>0</v>
      </c>
      <c r="T25" s="546">
        <f t="shared" si="116"/>
        <v>0</v>
      </c>
      <c r="U25" s="544">
        <v>10.25</v>
      </c>
      <c r="V25" s="545">
        <f t="shared" si="5"/>
        <v>0.20811337610655403</v>
      </c>
      <c r="W25" s="546">
        <f t="shared" si="117"/>
        <v>0</v>
      </c>
      <c r="X25" s="544"/>
      <c r="Y25" s="545">
        <f t="shared" si="6"/>
        <v>0</v>
      </c>
      <c r="Z25" s="546">
        <f t="shared" si="118"/>
        <v>0</v>
      </c>
      <c r="AA25" s="544"/>
      <c r="AB25" s="545">
        <f t="shared" si="7"/>
        <v>0</v>
      </c>
      <c r="AC25" s="546">
        <f t="shared" si="119"/>
        <v>0</v>
      </c>
      <c r="AD25" s="544"/>
      <c r="AE25" s="545">
        <f t="shared" si="8"/>
        <v>0</v>
      </c>
      <c r="AF25" s="546">
        <f t="shared" si="120"/>
        <v>0</v>
      </c>
      <c r="AG25" s="544"/>
      <c r="AH25" s="545">
        <f t="shared" si="9"/>
        <v>0</v>
      </c>
      <c r="AI25" s="546">
        <f t="shared" si="121"/>
        <v>0</v>
      </c>
      <c r="AJ25" s="544"/>
      <c r="AK25" s="545">
        <f t="shared" si="10"/>
        <v>0</v>
      </c>
      <c r="AL25" s="546">
        <f t="shared" si="122"/>
        <v>0</v>
      </c>
      <c r="AM25" s="544">
        <v>45.849500000000035</v>
      </c>
      <c r="AN25" s="545">
        <f t="shared" si="11"/>
        <v>0.93091651100462991</v>
      </c>
      <c r="AO25" s="546">
        <f t="shared" si="123"/>
        <v>0</v>
      </c>
      <c r="AP25" s="544"/>
      <c r="AQ25" s="545">
        <f t="shared" si="12"/>
        <v>0</v>
      </c>
      <c r="AR25" s="546">
        <f t="shared" si="124"/>
        <v>0</v>
      </c>
      <c r="AS25" s="544"/>
      <c r="AT25" s="545">
        <f t="shared" si="13"/>
        <v>0</v>
      </c>
      <c r="AU25" s="546">
        <f t="shared" si="125"/>
        <v>0</v>
      </c>
      <c r="AV25" s="544">
        <v>4.1625000000000014</v>
      </c>
      <c r="AW25" s="545">
        <f t="shared" si="14"/>
        <v>8.4514334443271361E-2</v>
      </c>
      <c r="AX25" s="546">
        <f t="shared" si="126"/>
        <v>0</v>
      </c>
      <c r="AY25" s="544">
        <v>69.781999999999982</v>
      </c>
      <c r="AZ25" s="545">
        <f t="shared" si="15"/>
        <v>1.4168358645334196</v>
      </c>
      <c r="BA25" s="546">
        <f t="shared" si="127"/>
        <v>0</v>
      </c>
      <c r="BB25" s="544"/>
      <c r="BC25" s="545">
        <f t="shared" si="16"/>
        <v>0</v>
      </c>
      <c r="BD25" s="546">
        <f t="shared" si="128"/>
        <v>0</v>
      </c>
      <c r="BE25" s="544"/>
      <c r="BF25" s="545">
        <f t="shared" si="17"/>
        <v>0</v>
      </c>
      <c r="BG25" s="546">
        <f t="shared" si="129"/>
        <v>0</v>
      </c>
      <c r="BH25" s="544"/>
      <c r="BI25" s="545">
        <f t="shared" si="18"/>
        <v>0</v>
      </c>
      <c r="BJ25" s="546">
        <f t="shared" si="130"/>
        <v>0</v>
      </c>
      <c r="BK25" s="544"/>
      <c r="BL25" s="545">
        <f t="shared" si="19"/>
        <v>0</v>
      </c>
      <c r="BM25" s="546">
        <f t="shared" si="131"/>
        <v>0</v>
      </c>
      <c r="BN25" s="544"/>
      <c r="BO25" s="545">
        <f t="shared" si="20"/>
        <v>0</v>
      </c>
      <c r="BP25" s="546">
        <f t="shared" si="132"/>
        <v>0</v>
      </c>
      <c r="BQ25" s="544"/>
      <c r="BR25" s="545">
        <f t="shared" si="21"/>
        <v>0</v>
      </c>
      <c r="BS25" s="546">
        <f t="shared" si="133"/>
        <v>0</v>
      </c>
      <c r="BT25" s="544"/>
      <c r="BU25" s="545">
        <f t="shared" si="22"/>
        <v>0</v>
      </c>
      <c r="BV25" s="546">
        <f t="shared" si="134"/>
        <v>0</v>
      </c>
      <c r="BW25" s="544"/>
      <c r="BX25" s="545">
        <f t="shared" si="23"/>
        <v>0</v>
      </c>
      <c r="BY25" s="546">
        <f t="shared" si="135"/>
        <v>0</v>
      </c>
      <c r="BZ25" s="544"/>
      <c r="CA25" s="545">
        <f t="shared" si="24"/>
        <v>0</v>
      </c>
      <c r="CB25" s="546">
        <f t="shared" si="136"/>
        <v>0</v>
      </c>
      <c r="CC25" s="544">
        <v>40</v>
      </c>
      <c r="CD25" s="545">
        <f t="shared" si="25"/>
        <v>0.81214976041582065</v>
      </c>
      <c r="CE25" s="546">
        <f t="shared" si="137"/>
        <v>0</v>
      </c>
      <c r="CF25" s="544">
        <v>0.59999999999999964</v>
      </c>
      <c r="CG25" s="545">
        <f t="shared" si="26"/>
        <v>1.2182246406237301E-2</v>
      </c>
      <c r="CH25" s="546">
        <f t="shared" si="138"/>
        <v>0</v>
      </c>
      <c r="CI25" s="544"/>
      <c r="CJ25" s="545">
        <f t="shared" si="27"/>
        <v>0</v>
      </c>
      <c r="CK25" s="546">
        <f t="shared" si="139"/>
        <v>0</v>
      </c>
      <c r="CL25" s="544"/>
      <c r="CM25" s="545">
        <f t="shared" si="28"/>
        <v>0</v>
      </c>
      <c r="CN25" s="546">
        <f t="shared" si="140"/>
        <v>0</v>
      </c>
      <c r="CO25" s="544"/>
      <c r="CP25" s="545">
        <f t="shared" si="29"/>
        <v>0</v>
      </c>
      <c r="CQ25" s="546">
        <f t="shared" si="141"/>
        <v>0</v>
      </c>
      <c r="CR25" s="544"/>
      <c r="CS25" s="545">
        <f t="shared" si="30"/>
        <v>0</v>
      </c>
      <c r="CT25" s="546">
        <f t="shared" si="142"/>
        <v>0</v>
      </c>
      <c r="CU25" s="544"/>
      <c r="CV25" s="545">
        <f t="shared" si="31"/>
        <v>0</v>
      </c>
      <c r="CW25" s="546">
        <f t="shared" si="143"/>
        <v>0</v>
      </c>
      <c r="CX25" s="544"/>
      <c r="CY25" s="545">
        <f t="shared" si="32"/>
        <v>0</v>
      </c>
      <c r="CZ25" s="546">
        <f t="shared" si="144"/>
        <v>0</v>
      </c>
      <c r="DA25" s="544"/>
      <c r="DB25" s="545">
        <f t="shared" si="33"/>
        <v>0</v>
      </c>
      <c r="DC25" s="546">
        <f t="shared" si="145"/>
        <v>0</v>
      </c>
      <c r="DD25" s="544"/>
      <c r="DE25" s="545">
        <f t="shared" si="34"/>
        <v>0</v>
      </c>
      <c r="DF25" s="546">
        <f t="shared" si="146"/>
        <v>0</v>
      </c>
      <c r="DG25" s="544"/>
      <c r="DH25" s="545">
        <f t="shared" si="35"/>
        <v>0</v>
      </c>
      <c r="DI25" s="546">
        <f t="shared" si="201"/>
        <v>0</v>
      </c>
      <c r="DJ25" s="544"/>
      <c r="DK25" s="545">
        <f t="shared" si="36"/>
        <v>0</v>
      </c>
      <c r="DL25" s="546">
        <f t="shared" si="147"/>
        <v>0</v>
      </c>
      <c r="DM25" s="544"/>
      <c r="DN25" s="545">
        <f t="shared" si="37"/>
        <v>0</v>
      </c>
      <c r="DO25" s="546">
        <f t="shared" si="148"/>
        <v>0</v>
      </c>
      <c r="DP25" s="544"/>
      <c r="DQ25" s="545">
        <f t="shared" si="38"/>
        <v>0</v>
      </c>
      <c r="DR25" s="546">
        <f t="shared" si="149"/>
        <v>0</v>
      </c>
      <c r="DS25" s="544"/>
      <c r="DT25" s="545">
        <f t="shared" si="39"/>
        <v>0</v>
      </c>
      <c r="DU25" s="546">
        <f t="shared" si="150"/>
        <v>0</v>
      </c>
      <c r="DV25" s="544"/>
      <c r="DW25" s="545">
        <f t="shared" si="40"/>
        <v>0</v>
      </c>
      <c r="DX25" s="546">
        <f t="shared" si="151"/>
        <v>0</v>
      </c>
      <c r="DY25" s="544"/>
      <c r="DZ25" s="545">
        <f t="shared" si="41"/>
        <v>0</v>
      </c>
      <c r="EA25" s="546">
        <f t="shared" si="152"/>
        <v>0</v>
      </c>
      <c r="EB25" s="544">
        <v>486.66634117647072</v>
      </c>
      <c r="EC25" s="545">
        <f t="shared" si="42"/>
        <v>9.8811488097228679</v>
      </c>
      <c r="ED25" s="546">
        <f t="shared" si="153"/>
        <v>0</v>
      </c>
      <c r="EE25" s="544">
        <v>0</v>
      </c>
      <c r="EF25" s="545">
        <f t="shared" si="43"/>
        <v>0</v>
      </c>
      <c r="EG25" s="546">
        <f t="shared" si="154"/>
        <v>0</v>
      </c>
      <c r="EH25" s="544">
        <v>2</v>
      </c>
      <c r="EI25" s="545">
        <f t="shared" si="44"/>
        <v>4.0607488020791033E-2</v>
      </c>
      <c r="EJ25" s="546">
        <f t="shared" si="155"/>
        <v>0</v>
      </c>
      <c r="EK25" s="544"/>
      <c r="EL25" s="545">
        <f t="shared" si="45"/>
        <v>0</v>
      </c>
      <c r="EM25" s="546">
        <f t="shared" si="156"/>
        <v>0</v>
      </c>
      <c r="EN25" s="544"/>
      <c r="EO25" s="545">
        <f t="shared" si="46"/>
        <v>0</v>
      </c>
      <c r="EP25" s="546">
        <f t="shared" si="157"/>
        <v>0</v>
      </c>
      <c r="EQ25" s="544"/>
      <c r="ER25" s="545">
        <f t="shared" si="47"/>
        <v>0</v>
      </c>
      <c r="ES25" s="546">
        <f t="shared" si="158"/>
        <v>0</v>
      </c>
      <c r="ET25" s="544"/>
      <c r="EU25" s="545">
        <f t="shared" si="48"/>
        <v>0</v>
      </c>
      <c r="EV25" s="546">
        <f t="shared" si="159"/>
        <v>0</v>
      </c>
      <c r="EW25" s="544"/>
      <c r="EX25" s="545">
        <f t="shared" si="49"/>
        <v>0</v>
      </c>
      <c r="EY25" s="546">
        <f t="shared" si="160"/>
        <v>0</v>
      </c>
      <c r="EZ25" s="544"/>
      <c r="FA25" s="545">
        <f t="shared" si="50"/>
        <v>0</v>
      </c>
      <c r="FB25" s="546">
        <f t="shared" si="161"/>
        <v>0</v>
      </c>
      <c r="FC25" s="544"/>
      <c r="FD25" s="545">
        <f t="shared" si="51"/>
        <v>0</v>
      </c>
      <c r="FE25" s="546">
        <f t="shared" si="162"/>
        <v>0</v>
      </c>
      <c r="FF25" s="544"/>
      <c r="FG25" s="545">
        <f t="shared" si="52"/>
        <v>0</v>
      </c>
      <c r="FH25" s="546">
        <f t="shared" si="163"/>
        <v>0</v>
      </c>
      <c r="FI25" s="544"/>
      <c r="FJ25" s="545">
        <f t="shared" si="53"/>
        <v>0</v>
      </c>
      <c r="FK25" s="546">
        <f t="shared" si="164"/>
        <v>0</v>
      </c>
      <c r="FL25" s="544"/>
      <c r="FM25" s="545">
        <f t="shared" si="54"/>
        <v>0</v>
      </c>
      <c r="FN25" s="546">
        <f t="shared" si="165"/>
        <v>0</v>
      </c>
      <c r="FO25" s="544"/>
      <c r="FP25" s="545">
        <f t="shared" si="55"/>
        <v>0</v>
      </c>
      <c r="FQ25" s="546">
        <f t="shared" si="166"/>
        <v>0</v>
      </c>
      <c r="FR25" s="544"/>
      <c r="FS25" s="545">
        <f t="shared" si="56"/>
        <v>0</v>
      </c>
      <c r="FT25" s="546">
        <f t="shared" si="167"/>
        <v>0</v>
      </c>
      <c r="FU25" s="544"/>
      <c r="FV25" s="545">
        <f t="shared" si="57"/>
        <v>0</v>
      </c>
      <c r="FW25" s="546">
        <f t="shared" si="168"/>
        <v>0</v>
      </c>
      <c r="FX25" s="544"/>
      <c r="FY25" s="545">
        <f t="shared" si="58"/>
        <v>0</v>
      </c>
      <c r="FZ25" s="546">
        <f t="shared" si="169"/>
        <v>0</v>
      </c>
      <c r="GA25" s="544"/>
      <c r="GB25" s="545">
        <f t="shared" si="59"/>
        <v>0</v>
      </c>
      <c r="GC25" s="546">
        <f t="shared" si="170"/>
        <v>0</v>
      </c>
      <c r="GD25" s="544"/>
      <c r="GE25" s="545">
        <f t="shared" si="60"/>
        <v>0</v>
      </c>
      <c r="GF25" s="546">
        <f t="shared" si="171"/>
        <v>0</v>
      </c>
      <c r="GG25" s="544"/>
      <c r="GH25" s="545">
        <f t="shared" si="61"/>
        <v>0</v>
      </c>
      <c r="GI25" s="546">
        <f t="shared" si="172"/>
        <v>0</v>
      </c>
      <c r="GJ25" s="544"/>
      <c r="GK25" s="545">
        <f t="shared" si="62"/>
        <v>0</v>
      </c>
      <c r="GL25" s="546">
        <f t="shared" si="173"/>
        <v>0</v>
      </c>
      <c r="GM25" s="544"/>
      <c r="GN25" s="545">
        <f t="shared" si="63"/>
        <v>0</v>
      </c>
      <c r="GO25" s="546">
        <f t="shared" si="174"/>
        <v>0</v>
      </c>
      <c r="GP25" s="544"/>
      <c r="GQ25" s="545">
        <f t="shared" si="64"/>
        <v>0</v>
      </c>
      <c r="GR25" s="546">
        <f t="shared" si="175"/>
        <v>0</v>
      </c>
      <c r="GS25" s="544"/>
      <c r="GT25" s="545">
        <f t="shared" si="65"/>
        <v>0</v>
      </c>
      <c r="GU25" s="546">
        <f t="shared" si="176"/>
        <v>0</v>
      </c>
      <c r="GV25" s="544"/>
      <c r="GW25" s="545">
        <f t="shared" si="66"/>
        <v>0</v>
      </c>
      <c r="GX25" s="546">
        <f t="shared" si="177"/>
        <v>0</v>
      </c>
      <c r="GY25" s="544"/>
      <c r="GZ25" s="545">
        <f t="shared" si="67"/>
        <v>0</v>
      </c>
      <c r="HA25" s="546">
        <f t="shared" si="178"/>
        <v>0</v>
      </c>
      <c r="HB25" s="544"/>
      <c r="HC25" s="545">
        <f t="shared" si="68"/>
        <v>0</v>
      </c>
      <c r="HD25" s="546">
        <f t="shared" si="179"/>
        <v>0</v>
      </c>
      <c r="HE25" s="544"/>
      <c r="HF25" s="545">
        <f t="shared" si="69"/>
        <v>0</v>
      </c>
      <c r="HG25" s="546">
        <f t="shared" si="180"/>
        <v>0</v>
      </c>
      <c r="HH25" s="544"/>
      <c r="HI25" s="545">
        <f t="shared" si="70"/>
        <v>0</v>
      </c>
      <c r="HJ25" s="546">
        <f t="shared" si="181"/>
        <v>0</v>
      </c>
      <c r="HK25" s="544"/>
      <c r="HL25" s="545">
        <f t="shared" si="71"/>
        <v>0</v>
      </c>
      <c r="HM25" s="546">
        <f t="shared" si="182"/>
        <v>0</v>
      </c>
      <c r="HN25" s="544"/>
      <c r="HO25" s="545">
        <f t="shared" si="72"/>
        <v>0</v>
      </c>
      <c r="HP25" s="546">
        <f t="shared" si="183"/>
        <v>0</v>
      </c>
      <c r="HQ25" s="544"/>
      <c r="HR25" s="545">
        <f t="shared" si="73"/>
        <v>0</v>
      </c>
      <c r="HS25" s="546">
        <f t="shared" si="184"/>
        <v>0</v>
      </c>
      <c r="HT25" s="544"/>
      <c r="HU25" s="545">
        <f t="shared" si="74"/>
        <v>0</v>
      </c>
      <c r="HV25" s="546">
        <f t="shared" si="185"/>
        <v>0</v>
      </c>
      <c r="HW25" s="544"/>
      <c r="HX25" s="545">
        <f t="shared" si="75"/>
        <v>0</v>
      </c>
      <c r="HY25" s="546">
        <f t="shared" si="186"/>
        <v>0</v>
      </c>
      <c r="HZ25" s="544"/>
      <c r="IA25" s="545">
        <f t="shared" si="76"/>
        <v>0</v>
      </c>
      <c r="IB25" s="546">
        <f t="shared" si="187"/>
        <v>0</v>
      </c>
      <c r="IC25" s="544"/>
      <c r="ID25" s="545">
        <f t="shared" si="77"/>
        <v>0</v>
      </c>
      <c r="IE25" s="546">
        <f t="shared" si="188"/>
        <v>0</v>
      </c>
      <c r="IF25" s="544"/>
      <c r="IG25" s="545">
        <f t="shared" si="78"/>
        <v>0</v>
      </c>
      <c r="IH25" s="546">
        <f t="shared" si="189"/>
        <v>0</v>
      </c>
      <c r="II25" s="544"/>
      <c r="IJ25" s="545">
        <f t="shared" si="79"/>
        <v>0</v>
      </c>
      <c r="IK25" s="546">
        <f t="shared" si="190"/>
        <v>0</v>
      </c>
      <c r="IL25" s="544"/>
      <c r="IM25" s="545">
        <f t="shared" si="80"/>
        <v>0</v>
      </c>
      <c r="IN25" s="546">
        <f t="shared" si="191"/>
        <v>0</v>
      </c>
      <c r="IO25" s="544"/>
      <c r="IP25" s="545">
        <f t="shared" si="81"/>
        <v>0</v>
      </c>
      <c r="IQ25" s="546">
        <f t="shared" si="192"/>
        <v>0</v>
      </c>
      <c r="IR25" s="544"/>
      <c r="IS25" s="545">
        <f t="shared" si="82"/>
        <v>0</v>
      </c>
      <c r="IT25" s="546">
        <f t="shared" si="193"/>
        <v>0</v>
      </c>
      <c r="IU25" s="544"/>
      <c r="IV25" s="545">
        <f t="shared" si="83"/>
        <v>0</v>
      </c>
      <c r="IW25" s="546">
        <f t="shared" si="194"/>
        <v>0</v>
      </c>
      <c r="IX25" s="544"/>
      <c r="IY25" s="545">
        <f t="shared" si="84"/>
        <v>0</v>
      </c>
      <c r="IZ25" s="546">
        <f t="shared" si="195"/>
        <v>0</v>
      </c>
      <c r="JA25" s="544"/>
      <c r="JB25" s="545">
        <f t="shared" si="85"/>
        <v>0</v>
      </c>
      <c r="JC25" s="546">
        <f t="shared" si="196"/>
        <v>0</v>
      </c>
      <c r="JD25" s="544"/>
      <c r="JE25" s="545">
        <f t="shared" si="86"/>
        <v>0</v>
      </c>
      <c r="JF25" s="546">
        <f t="shared" si="197"/>
        <v>0</v>
      </c>
      <c r="JG25" s="544"/>
      <c r="JH25" s="546" t="str">
        <f t="shared" si="87"/>
        <v>0</v>
      </c>
      <c r="JI25" s="546" t="str">
        <f t="shared" si="88"/>
        <v>0</v>
      </c>
      <c r="JJ25" s="544"/>
      <c r="JK25" s="546" t="str">
        <f t="shared" si="89"/>
        <v>0</v>
      </c>
      <c r="JL25" s="546" t="str">
        <f t="shared" si="90"/>
        <v>0</v>
      </c>
      <c r="JM25" s="544"/>
      <c r="JN25" s="546" t="str">
        <f t="shared" si="91"/>
        <v>0</v>
      </c>
      <c r="JO25" s="546" t="str">
        <f t="shared" si="92"/>
        <v>0</v>
      </c>
      <c r="JP25" s="544"/>
      <c r="JQ25" s="546" t="str">
        <f t="shared" si="93"/>
        <v>0</v>
      </c>
      <c r="JR25" s="546" t="str">
        <f t="shared" si="94"/>
        <v>0</v>
      </c>
      <c r="JS25" s="544"/>
      <c r="JT25" s="546" t="str">
        <f t="shared" si="95"/>
        <v>0</v>
      </c>
      <c r="JU25" s="546" t="str">
        <f t="shared" si="96"/>
        <v>0</v>
      </c>
      <c r="JV25" s="544"/>
      <c r="JW25" s="546" t="str">
        <f t="shared" si="97"/>
        <v>0</v>
      </c>
      <c r="JX25" s="546" t="str">
        <f t="shared" si="98"/>
        <v>0</v>
      </c>
      <c r="JY25" s="544"/>
      <c r="JZ25" s="546" t="str">
        <f t="shared" si="99"/>
        <v>0</v>
      </c>
      <c r="KA25" s="546" t="str">
        <f t="shared" si="100"/>
        <v>0</v>
      </c>
      <c r="KB25" s="544"/>
      <c r="KC25" s="546" t="str">
        <f t="shared" si="101"/>
        <v>0</v>
      </c>
      <c r="KD25" s="546" t="str">
        <f t="shared" si="102"/>
        <v>0</v>
      </c>
      <c r="KE25" s="544"/>
      <c r="KF25" s="546" t="str">
        <f t="shared" si="103"/>
        <v>0</v>
      </c>
      <c r="KG25" s="546" t="str">
        <f t="shared" si="104"/>
        <v>0</v>
      </c>
      <c r="KH25" s="544"/>
      <c r="KI25" s="546" t="str">
        <f t="shared" si="105"/>
        <v>0</v>
      </c>
      <c r="KJ25" s="546" t="str">
        <f t="shared" si="106"/>
        <v>0</v>
      </c>
      <c r="KK25" s="544"/>
      <c r="KL25" s="546" t="str">
        <f t="shared" si="107"/>
        <v>0</v>
      </c>
      <c r="KM25" s="546" t="str">
        <f t="shared" si="108"/>
        <v>0</v>
      </c>
      <c r="KN25" s="544"/>
      <c r="KO25" s="546" t="str">
        <f t="shared" si="109"/>
        <v>0</v>
      </c>
      <c r="KP25" s="546" t="str">
        <f t="shared" si="110"/>
        <v>0</v>
      </c>
      <c r="KQ25" s="546">
        <f t="shared" si="111"/>
        <v>0</v>
      </c>
      <c r="KR25" s="546">
        <f t="shared" si="198"/>
        <v>0</v>
      </c>
      <c r="KS25" s="265">
        <f t="shared" si="199"/>
        <v>671.31034117647073</v>
      </c>
    </row>
    <row r="26" spans="1:305" ht="15" customHeight="1">
      <c r="A26" s="267">
        <f t="shared" si="200"/>
        <v>45734</v>
      </c>
      <c r="B26" s="268" t="str">
        <f>+Report1!B26</f>
        <v>Napkin/Towel</v>
      </c>
      <c r="C26" s="268" t="str">
        <f>+Report1!C26</f>
        <v>16/23</v>
      </c>
      <c r="D26" s="269">
        <f>+Report1!P26</f>
        <v>63.814999999999998</v>
      </c>
      <c r="E26" s="270">
        <f>+Report1!R26</f>
        <v>62.594000000000001</v>
      </c>
      <c r="F26" s="544"/>
      <c r="G26" s="545">
        <f t="shared" si="0"/>
        <v>0</v>
      </c>
      <c r="H26" s="546">
        <f t="shared" si="112"/>
        <v>0</v>
      </c>
      <c r="I26" s="544"/>
      <c r="J26" s="545">
        <f t="shared" si="1"/>
        <v>0</v>
      </c>
      <c r="K26" s="546">
        <f t="shared" si="113"/>
        <v>0</v>
      </c>
      <c r="L26" s="544"/>
      <c r="M26" s="545">
        <f t="shared" si="2"/>
        <v>0</v>
      </c>
      <c r="N26" s="546">
        <f t="shared" si="114"/>
        <v>0</v>
      </c>
      <c r="O26" s="544">
        <v>9</v>
      </c>
      <c r="P26" s="545">
        <f t="shared" si="3"/>
        <v>0.14378374924114132</v>
      </c>
      <c r="Q26" s="546">
        <f t="shared" si="115"/>
        <v>0</v>
      </c>
      <c r="R26" s="544"/>
      <c r="S26" s="545">
        <f t="shared" si="4"/>
        <v>0</v>
      </c>
      <c r="T26" s="546">
        <f t="shared" si="116"/>
        <v>0</v>
      </c>
      <c r="U26" s="544">
        <v>10.25</v>
      </c>
      <c r="V26" s="545">
        <f t="shared" si="5"/>
        <v>0.16375371441352207</v>
      </c>
      <c r="W26" s="546">
        <f t="shared" si="117"/>
        <v>0</v>
      </c>
      <c r="X26" s="544"/>
      <c r="Y26" s="545">
        <f t="shared" si="6"/>
        <v>0</v>
      </c>
      <c r="Z26" s="546">
        <f t="shared" si="118"/>
        <v>0</v>
      </c>
      <c r="AA26" s="544"/>
      <c r="AB26" s="545">
        <f t="shared" si="7"/>
        <v>0</v>
      </c>
      <c r="AC26" s="546">
        <f t="shared" si="119"/>
        <v>0</v>
      </c>
      <c r="AD26" s="544"/>
      <c r="AE26" s="545">
        <f t="shared" si="8"/>
        <v>0</v>
      </c>
      <c r="AF26" s="546">
        <f t="shared" si="120"/>
        <v>0</v>
      </c>
      <c r="AG26" s="544"/>
      <c r="AH26" s="545">
        <f t="shared" si="9"/>
        <v>0</v>
      </c>
      <c r="AI26" s="546">
        <f t="shared" si="121"/>
        <v>0</v>
      </c>
      <c r="AJ26" s="544"/>
      <c r="AK26" s="545">
        <f t="shared" si="10"/>
        <v>0</v>
      </c>
      <c r="AL26" s="546">
        <f t="shared" si="122"/>
        <v>0</v>
      </c>
      <c r="AM26" s="544">
        <v>57.818976923076946</v>
      </c>
      <c r="AN26" s="545">
        <f t="shared" si="11"/>
        <v>0.9237143643652258</v>
      </c>
      <c r="AO26" s="546">
        <f t="shared" si="123"/>
        <v>0</v>
      </c>
      <c r="AP26" s="544"/>
      <c r="AQ26" s="545">
        <f t="shared" si="12"/>
        <v>0</v>
      </c>
      <c r="AR26" s="546">
        <f t="shared" si="124"/>
        <v>0</v>
      </c>
      <c r="AS26" s="544"/>
      <c r="AT26" s="545">
        <f t="shared" si="13"/>
        <v>0</v>
      </c>
      <c r="AU26" s="546">
        <f t="shared" si="125"/>
        <v>0</v>
      </c>
      <c r="AV26" s="544">
        <v>2.7749999999999986</v>
      </c>
      <c r="AW26" s="545">
        <f t="shared" si="14"/>
        <v>4.4333322682685215E-2</v>
      </c>
      <c r="AX26" s="546">
        <f t="shared" si="126"/>
        <v>0</v>
      </c>
      <c r="AY26" s="544">
        <v>79.33200000000005</v>
      </c>
      <c r="AZ26" s="545">
        <f t="shared" si="15"/>
        <v>1.2674058216442479</v>
      </c>
      <c r="BA26" s="546">
        <f t="shared" si="127"/>
        <v>0</v>
      </c>
      <c r="BB26" s="544"/>
      <c r="BC26" s="545">
        <f t="shared" si="16"/>
        <v>0</v>
      </c>
      <c r="BD26" s="546">
        <f t="shared" si="128"/>
        <v>0</v>
      </c>
      <c r="BE26" s="544"/>
      <c r="BF26" s="545">
        <f t="shared" si="17"/>
        <v>0</v>
      </c>
      <c r="BG26" s="546">
        <f t="shared" si="129"/>
        <v>0</v>
      </c>
      <c r="BH26" s="544"/>
      <c r="BI26" s="545">
        <f t="shared" si="18"/>
        <v>0</v>
      </c>
      <c r="BJ26" s="546">
        <f t="shared" si="130"/>
        <v>0</v>
      </c>
      <c r="BK26" s="544"/>
      <c r="BL26" s="545">
        <f t="shared" si="19"/>
        <v>0</v>
      </c>
      <c r="BM26" s="546">
        <f t="shared" si="131"/>
        <v>0</v>
      </c>
      <c r="BN26" s="544"/>
      <c r="BO26" s="545">
        <f t="shared" si="20"/>
        <v>0</v>
      </c>
      <c r="BP26" s="546">
        <f t="shared" si="132"/>
        <v>0</v>
      </c>
      <c r="BQ26" s="544"/>
      <c r="BR26" s="545">
        <f t="shared" si="21"/>
        <v>0</v>
      </c>
      <c r="BS26" s="546">
        <f t="shared" si="133"/>
        <v>0</v>
      </c>
      <c r="BT26" s="544"/>
      <c r="BU26" s="545">
        <f t="shared" si="22"/>
        <v>0</v>
      </c>
      <c r="BV26" s="546">
        <f t="shared" si="134"/>
        <v>0</v>
      </c>
      <c r="BW26" s="544"/>
      <c r="BX26" s="545">
        <f t="shared" si="23"/>
        <v>0</v>
      </c>
      <c r="BY26" s="546">
        <f t="shared" si="135"/>
        <v>0</v>
      </c>
      <c r="BZ26" s="544"/>
      <c r="CA26" s="545">
        <f t="shared" si="24"/>
        <v>0</v>
      </c>
      <c r="CB26" s="546">
        <f t="shared" si="136"/>
        <v>0</v>
      </c>
      <c r="CC26" s="544">
        <v>37.5</v>
      </c>
      <c r="CD26" s="545">
        <f t="shared" si="25"/>
        <v>0.5990989551714222</v>
      </c>
      <c r="CE26" s="546">
        <f t="shared" si="137"/>
        <v>0</v>
      </c>
      <c r="CF26" s="544">
        <v>1.1999999999999993</v>
      </c>
      <c r="CG26" s="545">
        <f t="shared" si="26"/>
        <v>1.9171166565485499E-2</v>
      </c>
      <c r="CH26" s="546">
        <f t="shared" si="138"/>
        <v>0</v>
      </c>
      <c r="CI26" s="544"/>
      <c r="CJ26" s="545">
        <f t="shared" si="27"/>
        <v>0</v>
      </c>
      <c r="CK26" s="546">
        <f t="shared" si="139"/>
        <v>0</v>
      </c>
      <c r="CL26" s="544"/>
      <c r="CM26" s="545">
        <f t="shared" si="28"/>
        <v>0</v>
      </c>
      <c r="CN26" s="546">
        <f t="shared" si="140"/>
        <v>0</v>
      </c>
      <c r="CO26" s="544"/>
      <c r="CP26" s="545">
        <f t="shared" si="29"/>
        <v>0</v>
      </c>
      <c r="CQ26" s="546">
        <f t="shared" si="141"/>
        <v>0</v>
      </c>
      <c r="CR26" s="544"/>
      <c r="CS26" s="545">
        <f t="shared" si="30"/>
        <v>0</v>
      </c>
      <c r="CT26" s="546">
        <f t="shared" si="142"/>
        <v>0</v>
      </c>
      <c r="CU26" s="544"/>
      <c r="CV26" s="545">
        <f t="shared" si="31"/>
        <v>0</v>
      </c>
      <c r="CW26" s="546">
        <f t="shared" si="143"/>
        <v>0</v>
      </c>
      <c r="CX26" s="544"/>
      <c r="CY26" s="545">
        <f t="shared" si="32"/>
        <v>0</v>
      </c>
      <c r="CZ26" s="546">
        <f t="shared" si="144"/>
        <v>0</v>
      </c>
      <c r="DA26" s="544"/>
      <c r="DB26" s="545">
        <f t="shared" si="33"/>
        <v>0</v>
      </c>
      <c r="DC26" s="546">
        <f t="shared" si="145"/>
        <v>0</v>
      </c>
      <c r="DD26" s="544"/>
      <c r="DE26" s="545">
        <f t="shared" si="34"/>
        <v>0</v>
      </c>
      <c r="DF26" s="546">
        <f t="shared" si="146"/>
        <v>0</v>
      </c>
      <c r="DG26" s="544"/>
      <c r="DH26" s="545">
        <f t="shared" si="35"/>
        <v>0</v>
      </c>
      <c r="DI26" s="546">
        <f t="shared" si="201"/>
        <v>0</v>
      </c>
      <c r="DJ26" s="544"/>
      <c r="DK26" s="545">
        <f t="shared" si="36"/>
        <v>0</v>
      </c>
      <c r="DL26" s="546">
        <f t="shared" si="147"/>
        <v>0</v>
      </c>
      <c r="DM26" s="544"/>
      <c r="DN26" s="545">
        <f t="shared" si="37"/>
        <v>0</v>
      </c>
      <c r="DO26" s="546">
        <f t="shared" si="148"/>
        <v>0</v>
      </c>
      <c r="DP26" s="544"/>
      <c r="DQ26" s="545">
        <f t="shared" si="38"/>
        <v>0</v>
      </c>
      <c r="DR26" s="546">
        <f t="shared" si="149"/>
        <v>0</v>
      </c>
      <c r="DS26" s="544"/>
      <c r="DT26" s="545">
        <f t="shared" si="39"/>
        <v>0</v>
      </c>
      <c r="DU26" s="546">
        <f t="shared" si="150"/>
        <v>0</v>
      </c>
      <c r="DV26" s="544"/>
      <c r="DW26" s="545">
        <f t="shared" si="40"/>
        <v>0</v>
      </c>
      <c r="DX26" s="546">
        <f t="shared" si="151"/>
        <v>0</v>
      </c>
      <c r="DY26" s="544"/>
      <c r="DZ26" s="545">
        <f t="shared" si="41"/>
        <v>0</v>
      </c>
      <c r="EA26" s="546">
        <f t="shared" si="152"/>
        <v>0</v>
      </c>
      <c r="EB26" s="544">
        <v>929.41176470588221</v>
      </c>
      <c r="EC26" s="545">
        <f t="shared" si="42"/>
        <v>14.848256457581911</v>
      </c>
      <c r="ED26" s="546">
        <f t="shared" si="153"/>
        <v>0</v>
      </c>
      <c r="EE26" s="544">
        <v>0</v>
      </c>
      <c r="EF26" s="545">
        <f t="shared" si="43"/>
        <v>0</v>
      </c>
      <c r="EG26" s="546">
        <f t="shared" si="154"/>
        <v>0</v>
      </c>
      <c r="EH26" s="544">
        <v>2</v>
      </c>
      <c r="EI26" s="545">
        <f t="shared" si="44"/>
        <v>3.1951944275809184E-2</v>
      </c>
      <c r="EJ26" s="546">
        <f t="shared" si="155"/>
        <v>0</v>
      </c>
      <c r="EK26" s="544"/>
      <c r="EL26" s="545">
        <f t="shared" si="45"/>
        <v>0</v>
      </c>
      <c r="EM26" s="546">
        <f t="shared" si="156"/>
        <v>0</v>
      </c>
      <c r="EN26" s="544"/>
      <c r="EO26" s="545">
        <f t="shared" si="46"/>
        <v>0</v>
      </c>
      <c r="EP26" s="546">
        <f t="shared" si="157"/>
        <v>0</v>
      </c>
      <c r="EQ26" s="544"/>
      <c r="ER26" s="545">
        <f t="shared" si="47"/>
        <v>0</v>
      </c>
      <c r="ES26" s="546">
        <f t="shared" si="158"/>
        <v>0</v>
      </c>
      <c r="ET26" s="544"/>
      <c r="EU26" s="545">
        <f t="shared" si="48"/>
        <v>0</v>
      </c>
      <c r="EV26" s="546">
        <f t="shared" si="159"/>
        <v>0</v>
      </c>
      <c r="EW26" s="544"/>
      <c r="EX26" s="545">
        <f t="shared" si="49"/>
        <v>0</v>
      </c>
      <c r="EY26" s="546">
        <f t="shared" si="160"/>
        <v>0</v>
      </c>
      <c r="EZ26" s="544"/>
      <c r="FA26" s="545">
        <f t="shared" si="50"/>
        <v>0</v>
      </c>
      <c r="FB26" s="546">
        <f t="shared" si="161"/>
        <v>0</v>
      </c>
      <c r="FC26" s="544"/>
      <c r="FD26" s="545">
        <f t="shared" si="51"/>
        <v>0</v>
      </c>
      <c r="FE26" s="546">
        <f t="shared" si="162"/>
        <v>0</v>
      </c>
      <c r="FF26" s="544"/>
      <c r="FG26" s="545">
        <f t="shared" si="52"/>
        <v>0</v>
      </c>
      <c r="FH26" s="546">
        <f t="shared" si="163"/>
        <v>0</v>
      </c>
      <c r="FI26" s="544"/>
      <c r="FJ26" s="545">
        <f t="shared" si="53"/>
        <v>0</v>
      </c>
      <c r="FK26" s="546">
        <f t="shared" si="164"/>
        <v>0</v>
      </c>
      <c r="FL26" s="544"/>
      <c r="FM26" s="545">
        <f t="shared" si="54"/>
        <v>0</v>
      </c>
      <c r="FN26" s="546">
        <f t="shared" si="165"/>
        <v>0</v>
      </c>
      <c r="FO26" s="544"/>
      <c r="FP26" s="545">
        <f t="shared" si="55"/>
        <v>0</v>
      </c>
      <c r="FQ26" s="546">
        <f t="shared" si="166"/>
        <v>0</v>
      </c>
      <c r="FR26" s="544"/>
      <c r="FS26" s="545">
        <f t="shared" si="56"/>
        <v>0</v>
      </c>
      <c r="FT26" s="546">
        <f t="shared" si="167"/>
        <v>0</v>
      </c>
      <c r="FU26" s="544"/>
      <c r="FV26" s="545">
        <f t="shared" si="57"/>
        <v>0</v>
      </c>
      <c r="FW26" s="546">
        <f t="shared" si="168"/>
        <v>0</v>
      </c>
      <c r="FX26" s="544"/>
      <c r="FY26" s="545">
        <f t="shared" si="58"/>
        <v>0</v>
      </c>
      <c r="FZ26" s="546">
        <f t="shared" si="169"/>
        <v>0</v>
      </c>
      <c r="GA26" s="544"/>
      <c r="GB26" s="545">
        <f t="shared" si="59"/>
        <v>0</v>
      </c>
      <c r="GC26" s="546">
        <f t="shared" si="170"/>
        <v>0</v>
      </c>
      <c r="GD26" s="544"/>
      <c r="GE26" s="545">
        <f t="shared" si="60"/>
        <v>0</v>
      </c>
      <c r="GF26" s="546">
        <f t="shared" si="171"/>
        <v>0</v>
      </c>
      <c r="GG26" s="544"/>
      <c r="GH26" s="545">
        <f t="shared" si="61"/>
        <v>0</v>
      </c>
      <c r="GI26" s="546">
        <f t="shared" si="172"/>
        <v>0</v>
      </c>
      <c r="GJ26" s="544"/>
      <c r="GK26" s="545">
        <f>+GJ26/$E26</f>
        <v>0</v>
      </c>
      <c r="GL26" s="546">
        <f>+GJ26*$H$8</f>
        <v>0</v>
      </c>
      <c r="GM26" s="544"/>
      <c r="GN26" s="545">
        <f t="shared" ref="GN26:GN39" si="202">+GM26/$E26</f>
        <v>0</v>
      </c>
      <c r="GO26" s="546">
        <f t="shared" ref="GO26:GO39" si="203">+GM26*$H$8</f>
        <v>0</v>
      </c>
      <c r="GP26" s="544"/>
      <c r="GQ26" s="545">
        <f t="shared" ref="GQ26:GQ39" si="204">+GP26/$E26</f>
        <v>0</v>
      </c>
      <c r="GR26" s="546">
        <f t="shared" ref="GR26:GR39" si="205">+GP26*$H$8</f>
        <v>0</v>
      </c>
      <c r="GS26" s="544"/>
      <c r="GT26" s="545">
        <f t="shared" ref="GT26:GT39" si="206">+GS26/$E26</f>
        <v>0</v>
      </c>
      <c r="GU26" s="546">
        <f t="shared" ref="GU26:GU39" si="207">+GS26*$H$8</f>
        <v>0</v>
      </c>
      <c r="GV26" s="544"/>
      <c r="GW26" s="545">
        <f t="shared" si="66"/>
        <v>0</v>
      </c>
      <c r="GX26" s="546">
        <f t="shared" si="177"/>
        <v>0</v>
      </c>
      <c r="GY26" s="544"/>
      <c r="GZ26" s="545">
        <f t="shared" si="67"/>
        <v>0</v>
      </c>
      <c r="HA26" s="546">
        <f t="shared" si="178"/>
        <v>0</v>
      </c>
      <c r="HB26" s="544"/>
      <c r="HC26" s="545">
        <f t="shared" si="68"/>
        <v>0</v>
      </c>
      <c r="HD26" s="546">
        <f t="shared" si="179"/>
        <v>0</v>
      </c>
      <c r="HE26" s="544"/>
      <c r="HF26" s="545">
        <f t="shared" si="69"/>
        <v>0</v>
      </c>
      <c r="HG26" s="546">
        <f t="shared" si="180"/>
        <v>0</v>
      </c>
      <c r="HH26" s="544"/>
      <c r="HI26" s="545">
        <f t="shared" si="70"/>
        <v>0</v>
      </c>
      <c r="HJ26" s="546">
        <f t="shared" si="181"/>
        <v>0</v>
      </c>
      <c r="HK26" s="544"/>
      <c r="HL26" s="545">
        <f t="shared" si="71"/>
        <v>0</v>
      </c>
      <c r="HM26" s="546">
        <f t="shared" si="182"/>
        <v>0</v>
      </c>
      <c r="HN26" s="544"/>
      <c r="HO26" s="545">
        <f t="shared" si="72"/>
        <v>0</v>
      </c>
      <c r="HP26" s="546">
        <f t="shared" si="183"/>
        <v>0</v>
      </c>
      <c r="HQ26" s="544"/>
      <c r="HR26" s="545">
        <f t="shared" si="73"/>
        <v>0</v>
      </c>
      <c r="HS26" s="546">
        <f t="shared" si="184"/>
        <v>0</v>
      </c>
      <c r="HT26" s="544"/>
      <c r="HU26" s="545">
        <f t="shared" si="74"/>
        <v>0</v>
      </c>
      <c r="HV26" s="546">
        <f t="shared" si="185"/>
        <v>0</v>
      </c>
      <c r="HW26" s="544"/>
      <c r="HX26" s="545">
        <f t="shared" si="75"/>
        <v>0</v>
      </c>
      <c r="HY26" s="546">
        <f t="shared" si="186"/>
        <v>0</v>
      </c>
      <c r="HZ26" s="544"/>
      <c r="IA26" s="545">
        <f t="shared" si="76"/>
        <v>0</v>
      </c>
      <c r="IB26" s="546">
        <f t="shared" si="187"/>
        <v>0</v>
      </c>
      <c r="IC26" s="544"/>
      <c r="ID26" s="545">
        <f t="shared" si="77"/>
        <v>0</v>
      </c>
      <c r="IE26" s="546">
        <f t="shared" si="188"/>
        <v>0</v>
      </c>
      <c r="IF26" s="544"/>
      <c r="IG26" s="545">
        <f t="shared" si="78"/>
        <v>0</v>
      </c>
      <c r="IH26" s="546">
        <f t="shared" si="189"/>
        <v>0</v>
      </c>
      <c r="II26" s="544"/>
      <c r="IJ26" s="545">
        <f t="shared" si="79"/>
        <v>0</v>
      </c>
      <c r="IK26" s="546">
        <f t="shared" si="190"/>
        <v>0</v>
      </c>
      <c r="IL26" s="544"/>
      <c r="IM26" s="545">
        <f t="shared" si="80"/>
        <v>0</v>
      </c>
      <c r="IN26" s="546">
        <f t="shared" si="191"/>
        <v>0</v>
      </c>
      <c r="IO26" s="544"/>
      <c r="IP26" s="545">
        <f t="shared" si="81"/>
        <v>0</v>
      </c>
      <c r="IQ26" s="546">
        <f t="shared" si="192"/>
        <v>0</v>
      </c>
      <c r="IR26" s="544"/>
      <c r="IS26" s="545">
        <f t="shared" si="82"/>
        <v>0</v>
      </c>
      <c r="IT26" s="546">
        <f t="shared" si="193"/>
        <v>0</v>
      </c>
      <c r="IU26" s="544"/>
      <c r="IV26" s="545">
        <f t="shared" si="83"/>
        <v>0</v>
      </c>
      <c r="IW26" s="546">
        <f t="shared" si="194"/>
        <v>0</v>
      </c>
      <c r="IX26" s="544"/>
      <c r="IY26" s="545">
        <f t="shared" si="84"/>
        <v>0</v>
      </c>
      <c r="IZ26" s="546">
        <f t="shared" si="195"/>
        <v>0</v>
      </c>
      <c r="JA26" s="544"/>
      <c r="JB26" s="545">
        <f t="shared" si="85"/>
        <v>0</v>
      </c>
      <c r="JC26" s="546">
        <f t="shared" si="196"/>
        <v>0</v>
      </c>
      <c r="JD26" s="544"/>
      <c r="JE26" s="545">
        <f t="shared" si="86"/>
        <v>0</v>
      </c>
      <c r="JF26" s="546">
        <f t="shared" si="197"/>
        <v>0</v>
      </c>
      <c r="JG26" s="544"/>
      <c r="JH26" s="546" t="str">
        <f t="shared" si="87"/>
        <v>0</v>
      </c>
      <c r="JI26" s="546" t="str">
        <f t="shared" si="88"/>
        <v>0</v>
      </c>
      <c r="JJ26" s="544"/>
      <c r="JK26" s="546" t="str">
        <f t="shared" si="89"/>
        <v>0</v>
      </c>
      <c r="JL26" s="546" t="str">
        <f t="shared" si="90"/>
        <v>0</v>
      </c>
      <c r="JM26" s="544"/>
      <c r="JN26" s="546" t="str">
        <f t="shared" si="91"/>
        <v>0</v>
      </c>
      <c r="JO26" s="546" t="str">
        <f t="shared" si="92"/>
        <v>0</v>
      </c>
      <c r="JP26" s="544"/>
      <c r="JQ26" s="546" t="str">
        <f t="shared" si="93"/>
        <v>0</v>
      </c>
      <c r="JR26" s="546" t="str">
        <f t="shared" si="94"/>
        <v>0</v>
      </c>
      <c r="JS26" s="544"/>
      <c r="JT26" s="546" t="str">
        <f t="shared" si="95"/>
        <v>0</v>
      </c>
      <c r="JU26" s="546" t="str">
        <f t="shared" si="96"/>
        <v>0</v>
      </c>
      <c r="JV26" s="544"/>
      <c r="JW26" s="546" t="str">
        <f t="shared" si="97"/>
        <v>0</v>
      </c>
      <c r="JX26" s="546" t="str">
        <f t="shared" si="98"/>
        <v>0</v>
      </c>
      <c r="JY26" s="544"/>
      <c r="JZ26" s="546" t="str">
        <f t="shared" si="99"/>
        <v>0</v>
      </c>
      <c r="KA26" s="546" t="str">
        <f t="shared" si="100"/>
        <v>0</v>
      </c>
      <c r="KB26" s="544"/>
      <c r="KC26" s="546" t="str">
        <f t="shared" si="101"/>
        <v>0</v>
      </c>
      <c r="KD26" s="546" t="str">
        <f t="shared" si="102"/>
        <v>0</v>
      </c>
      <c r="KE26" s="544"/>
      <c r="KF26" s="546" t="str">
        <f t="shared" si="103"/>
        <v>0</v>
      </c>
      <c r="KG26" s="546" t="str">
        <f t="shared" si="104"/>
        <v>0</v>
      </c>
      <c r="KH26" s="544"/>
      <c r="KI26" s="546" t="str">
        <f t="shared" si="105"/>
        <v>0</v>
      </c>
      <c r="KJ26" s="546" t="str">
        <f t="shared" si="106"/>
        <v>0</v>
      </c>
      <c r="KK26" s="544"/>
      <c r="KL26" s="546" t="str">
        <f t="shared" si="107"/>
        <v>0</v>
      </c>
      <c r="KM26" s="546" t="str">
        <f t="shared" si="108"/>
        <v>0</v>
      </c>
      <c r="KN26" s="544"/>
      <c r="KO26" s="546" t="str">
        <f t="shared" si="109"/>
        <v>0</v>
      </c>
      <c r="KP26" s="546" t="str">
        <f t="shared" si="110"/>
        <v>0</v>
      </c>
      <c r="KQ26" s="546">
        <f t="shared" si="111"/>
        <v>0</v>
      </c>
      <c r="KR26" s="546">
        <f t="shared" si="198"/>
        <v>0</v>
      </c>
      <c r="KS26" s="265">
        <f t="shared" si="199"/>
        <v>1129.2877416289591</v>
      </c>
    </row>
    <row r="27" spans="1:305" ht="15" customHeight="1">
      <c r="A27" s="267">
        <f t="shared" si="200"/>
        <v>45735</v>
      </c>
      <c r="B27" s="268" t="str">
        <f>+Report1!B27</f>
        <v>Towel</v>
      </c>
      <c r="C27" s="268" t="str">
        <f>+Report1!C27</f>
        <v>23/17</v>
      </c>
      <c r="D27" s="269">
        <f>+Report1!P27</f>
        <v>65.876000000000005</v>
      </c>
      <c r="E27" s="270">
        <f>+Report1!R27</f>
        <v>61.991999999999997</v>
      </c>
      <c r="F27" s="544"/>
      <c r="G27" s="545">
        <f t="shared" si="0"/>
        <v>0</v>
      </c>
      <c r="H27" s="546">
        <f t="shared" si="112"/>
        <v>0</v>
      </c>
      <c r="I27" s="544"/>
      <c r="J27" s="545">
        <f t="shared" si="1"/>
        <v>0</v>
      </c>
      <c r="K27" s="546">
        <f t="shared" si="113"/>
        <v>0</v>
      </c>
      <c r="L27" s="544"/>
      <c r="M27" s="545">
        <f t="shared" si="2"/>
        <v>0</v>
      </c>
      <c r="N27" s="546">
        <f t="shared" si="114"/>
        <v>0</v>
      </c>
      <c r="O27" s="544">
        <v>9</v>
      </c>
      <c r="P27" s="545">
        <f t="shared" si="3"/>
        <v>0.14518002322880372</v>
      </c>
      <c r="Q27" s="546">
        <f t="shared" si="115"/>
        <v>0</v>
      </c>
      <c r="R27" s="544"/>
      <c r="S27" s="545">
        <f t="shared" si="4"/>
        <v>0</v>
      </c>
      <c r="T27" s="546">
        <f t="shared" si="116"/>
        <v>0</v>
      </c>
      <c r="U27" s="544">
        <v>10.250000000000028</v>
      </c>
      <c r="V27" s="545">
        <f t="shared" si="5"/>
        <v>0.16534391534391582</v>
      </c>
      <c r="W27" s="546">
        <f t="shared" si="117"/>
        <v>0</v>
      </c>
      <c r="X27" s="544"/>
      <c r="Y27" s="545">
        <f t="shared" si="6"/>
        <v>0</v>
      </c>
      <c r="Z27" s="546">
        <f t="shared" si="118"/>
        <v>0</v>
      </c>
      <c r="AA27" s="544"/>
      <c r="AB27" s="545">
        <f t="shared" si="7"/>
        <v>0</v>
      </c>
      <c r="AC27" s="546">
        <f t="shared" si="119"/>
        <v>0</v>
      </c>
      <c r="AD27" s="544"/>
      <c r="AE27" s="545">
        <f t="shared" si="8"/>
        <v>0</v>
      </c>
      <c r="AF27" s="546">
        <f t="shared" si="120"/>
        <v>0</v>
      </c>
      <c r="AG27" s="544"/>
      <c r="AH27" s="545">
        <f t="shared" si="9"/>
        <v>0</v>
      </c>
      <c r="AI27" s="546">
        <f t="shared" si="121"/>
        <v>0</v>
      </c>
      <c r="AJ27" s="544"/>
      <c r="AK27" s="545">
        <f t="shared" si="10"/>
        <v>0</v>
      </c>
      <c r="AL27" s="546">
        <f t="shared" si="122"/>
        <v>0</v>
      </c>
      <c r="AM27" s="544">
        <v>36.794871794871824</v>
      </c>
      <c r="AN27" s="545">
        <f t="shared" si="11"/>
        <v>0.59354226020892742</v>
      </c>
      <c r="AO27" s="546">
        <f t="shared" si="123"/>
        <v>0</v>
      </c>
      <c r="AP27" s="544"/>
      <c r="AQ27" s="545">
        <f t="shared" si="12"/>
        <v>0</v>
      </c>
      <c r="AR27" s="546">
        <f t="shared" si="124"/>
        <v>0</v>
      </c>
      <c r="AS27" s="544"/>
      <c r="AT27" s="545">
        <f t="shared" si="13"/>
        <v>0</v>
      </c>
      <c r="AU27" s="546">
        <f t="shared" si="125"/>
        <v>0</v>
      </c>
      <c r="AV27" s="544">
        <v>2.7749999999999986</v>
      </c>
      <c r="AW27" s="545">
        <f t="shared" si="14"/>
        <v>4.4763840495547789E-2</v>
      </c>
      <c r="AX27" s="546">
        <f t="shared" si="126"/>
        <v>0</v>
      </c>
      <c r="AY27" s="544">
        <v>51.333333333333371</v>
      </c>
      <c r="AZ27" s="545">
        <f t="shared" si="15"/>
        <v>0.8280638361939181</v>
      </c>
      <c r="BA27" s="546">
        <f t="shared" si="127"/>
        <v>0</v>
      </c>
      <c r="BB27" s="544"/>
      <c r="BC27" s="545">
        <f t="shared" si="16"/>
        <v>0</v>
      </c>
      <c r="BD27" s="546">
        <f t="shared" si="128"/>
        <v>0</v>
      </c>
      <c r="BE27" s="544"/>
      <c r="BF27" s="545">
        <f t="shared" si="17"/>
        <v>0</v>
      </c>
      <c r="BG27" s="546">
        <f t="shared" si="129"/>
        <v>0</v>
      </c>
      <c r="BH27" s="544"/>
      <c r="BI27" s="545">
        <f t="shared" si="18"/>
        <v>0</v>
      </c>
      <c r="BJ27" s="546">
        <f t="shared" si="130"/>
        <v>0</v>
      </c>
      <c r="BK27" s="544"/>
      <c r="BL27" s="545">
        <f t="shared" si="19"/>
        <v>0</v>
      </c>
      <c r="BM27" s="546">
        <f t="shared" si="131"/>
        <v>0</v>
      </c>
      <c r="BN27" s="544"/>
      <c r="BO27" s="545">
        <f t="shared" si="20"/>
        <v>0</v>
      </c>
      <c r="BP27" s="546">
        <f t="shared" si="132"/>
        <v>0</v>
      </c>
      <c r="BQ27" s="544"/>
      <c r="BR27" s="545">
        <f t="shared" si="21"/>
        <v>0</v>
      </c>
      <c r="BS27" s="546">
        <f t="shared" si="133"/>
        <v>0</v>
      </c>
      <c r="BT27" s="544"/>
      <c r="BU27" s="545">
        <f t="shared" si="22"/>
        <v>0</v>
      </c>
      <c r="BV27" s="546">
        <f t="shared" si="134"/>
        <v>0</v>
      </c>
      <c r="BW27" s="544"/>
      <c r="BX27" s="545">
        <f t="shared" si="23"/>
        <v>0</v>
      </c>
      <c r="BY27" s="546">
        <f t="shared" si="135"/>
        <v>0</v>
      </c>
      <c r="BZ27" s="544"/>
      <c r="CA27" s="545">
        <f t="shared" si="24"/>
        <v>0</v>
      </c>
      <c r="CB27" s="546">
        <f t="shared" si="136"/>
        <v>0</v>
      </c>
      <c r="CC27" s="544">
        <v>50</v>
      </c>
      <c r="CD27" s="545">
        <f t="shared" si="25"/>
        <v>0.80655568460446514</v>
      </c>
      <c r="CE27" s="546">
        <f t="shared" si="137"/>
        <v>0</v>
      </c>
      <c r="CF27" s="544">
        <v>0.59999999999999964</v>
      </c>
      <c r="CG27" s="545">
        <f t="shared" si="26"/>
        <v>9.678668215253575E-3</v>
      </c>
      <c r="CH27" s="546">
        <f t="shared" si="138"/>
        <v>0</v>
      </c>
      <c r="CI27" s="544"/>
      <c r="CJ27" s="545">
        <f t="shared" si="27"/>
        <v>0</v>
      </c>
      <c r="CK27" s="546">
        <f t="shared" si="139"/>
        <v>0</v>
      </c>
      <c r="CL27" s="544"/>
      <c r="CM27" s="545">
        <f t="shared" si="28"/>
        <v>0</v>
      </c>
      <c r="CN27" s="546">
        <f t="shared" si="140"/>
        <v>0</v>
      </c>
      <c r="CO27" s="544"/>
      <c r="CP27" s="545">
        <f t="shared" si="29"/>
        <v>0</v>
      </c>
      <c r="CQ27" s="546">
        <f t="shared" si="141"/>
        <v>0</v>
      </c>
      <c r="CR27" s="544"/>
      <c r="CS27" s="545">
        <f t="shared" si="30"/>
        <v>0</v>
      </c>
      <c r="CT27" s="546">
        <f t="shared" si="142"/>
        <v>0</v>
      </c>
      <c r="CU27" s="544"/>
      <c r="CV27" s="545">
        <f t="shared" si="31"/>
        <v>0</v>
      </c>
      <c r="CW27" s="546">
        <f t="shared" si="143"/>
        <v>0</v>
      </c>
      <c r="CX27" s="544"/>
      <c r="CY27" s="545">
        <f t="shared" si="32"/>
        <v>0</v>
      </c>
      <c r="CZ27" s="546">
        <f t="shared" si="144"/>
        <v>0</v>
      </c>
      <c r="DA27" s="544"/>
      <c r="DB27" s="545">
        <f t="shared" si="33"/>
        <v>0</v>
      </c>
      <c r="DC27" s="546">
        <f t="shared" si="145"/>
        <v>0</v>
      </c>
      <c r="DD27" s="544"/>
      <c r="DE27" s="545">
        <f t="shared" si="34"/>
        <v>0</v>
      </c>
      <c r="DF27" s="546">
        <f t="shared" si="146"/>
        <v>0</v>
      </c>
      <c r="DG27" s="544"/>
      <c r="DH27" s="545">
        <f t="shared" si="35"/>
        <v>0</v>
      </c>
      <c r="DI27" s="546">
        <f t="shared" si="201"/>
        <v>0</v>
      </c>
      <c r="DJ27" s="544"/>
      <c r="DK27" s="545">
        <f t="shared" si="36"/>
        <v>0</v>
      </c>
      <c r="DL27" s="546">
        <f t="shared" si="147"/>
        <v>0</v>
      </c>
      <c r="DM27" s="544"/>
      <c r="DN27" s="545">
        <f t="shared" si="37"/>
        <v>0</v>
      </c>
      <c r="DO27" s="546">
        <f t="shared" si="148"/>
        <v>0</v>
      </c>
      <c r="DP27" s="544"/>
      <c r="DQ27" s="545">
        <f t="shared" si="38"/>
        <v>0</v>
      </c>
      <c r="DR27" s="546">
        <f t="shared" si="149"/>
        <v>0</v>
      </c>
      <c r="DS27" s="544"/>
      <c r="DT27" s="545">
        <f t="shared" si="39"/>
        <v>0</v>
      </c>
      <c r="DU27" s="546">
        <f t="shared" si="150"/>
        <v>0</v>
      </c>
      <c r="DV27" s="544"/>
      <c r="DW27" s="545">
        <f t="shared" si="40"/>
        <v>0</v>
      </c>
      <c r="DX27" s="546">
        <f t="shared" si="151"/>
        <v>0</v>
      </c>
      <c r="DY27" s="544"/>
      <c r="DZ27" s="545">
        <f t="shared" si="41"/>
        <v>0</v>
      </c>
      <c r="EA27" s="546">
        <f t="shared" si="152"/>
        <v>0</v>
      </c>
      <c r="EB27" s="544">
        <v>576.47058823529414</v>
      </c>
      <c r="EC27" s="545">
        <f t="shared" si="42"/>
        <v>9.2991125989691277</v>
      </c>
      <c r="ED27" s="546">
        <f t="shared" si="153"/>
        <v>0</v>
      </c>
      <c r="EE27" s="544">
        <v>0</v>
      </c>
      <c r="EF27" s="545">
        <f t="shared" si="43"/>
        <v>0</v>
      </c>
      <c r="EG27" s="546">
        <f t="shared" si="154"/>
        <v>0</v>
      </c>
      <c r="EH27" s="544">
        <v>3</v>
      </c>
      <c r="EI27" s="545">
        <f t="shared" si="44"/>
        <v>4.8393341076267908E-2</v>
      </c>
      <c r="EJ27" s="546">
        <f t="shared" si="155"/>
        <v>0</v>
      </c>
      <c r="EK27" s="544"/>
      <c r="EL27" s="545">
        <f t="shared" si="45"/>
        <v>0</v>
      </c>
      <c r="EM27" s="546">
        <f t="shared" si="156"/>
        <v>0</v>
      </c>
      <c r="EN27" s="544"/>
      <c r="EO27" s="545">
        <f t="shared" si="46"/>
        <v>0</v>
      </c>
      <c r="EP27" s="546">
        <f t="shared" si="157"/>
        <v>0</v>
      </c>
      <c r="EQ27" s="544"/>
      <c r="ER27" s="545">
        <f t="shared" si="47"/>
        <v>0</v>
      </c>
      <c r="ES27" s="546">
        <f t="shared" si="158"/>
        <v>0</v>
      </c>
      <c r="ET27" s="544"/>
      <c r="EU27" s="545">
        <f t="shared" si="48"/>
        <v>0</v>
      </c>
      <c r="EV27" s="546">
        <f t="shared" si="159"/>
        <v>0</v>
      </c>
      <c r="EW27" s="544"/>
      <c r="EX27" s="545">
        <f t="shared" si="49"/>
        <v>0</v>
      </c>
      <c r="EY27" s="546">
        <f t="shared" si="160"/>
        <v>0</v>
      </c>
      <c r="EZ27" s="544"/>
      <c r="FA27" s="545">
        <f t="shared" si="50"/>
        <v>0</v>
      </c>
      <c r="FB27" s="546">
        <f t="shared" si="161"/>
        <v>0</v>
      </c>
      <c r="FC27" s="544"/>
      <c r="FD27" s="545">
        <f t="shared" si="51"/>
        <v>0</v>
      </c>
      <c r="FE27" s="546">
        <f t="shared" si="162"/>
        <v>0</v>
      </c>
      <c r="FF27" s="544"/>
      <c r="FG27" s="545">
        <f t="shared" si="52"/>
        <v>0</v>
      </c>
      <c r="FH27" s="546">
        <f t="shared" si="163"/>
        <v>0</v>
      </c>
      <c r="FI27" s="544"/>
      <c r="FJ27" s="545">
        <f t="shared" si="53"/>
        <v>0</v>
      </c>
      <c r="FK27" s="546">
        <f t="shared" si="164"/>
        <v>0</v>
      </c>
      <c r="FL27" s="544"/>
      <c r="FM27" s="545">
        <f t="shared" si="54"/>
        <v>0</v>
      </c>
      <c r="FN27" s="546">
        <f t="shared" si="165"/>
        <v>0</v>
      </c>
      <c r="FO27" s="544"/>
      <c r="FP27" s="545">
        <f t="shared" si="55"/>
        <v>0</v>
      </c>
      <c r="FQ27" s="546">
        <f t="shared" si="166"/>
        <v>0</v>
      </c>
      <c r="FR27" s="544"/>
      <c r="FS27" s="545">
        <f t="shared" si="56"/>
        <v>0</v>
      </c>
      <c r="FT27" s="546">
        <f t="shared" si="167"/>
        <v>0</v>
      </c>
      <c r="FU27" s="544"/>
      <c r="FV27" s="545">
        <f t="shared" si="57"/>
        <v>0</v>
      </c>
      <c r="FW27" s="546">
        <f t="shared" si="168"/>
        <v>0</v>
      </c>
      <c r="FX27" s="544"/>
      <c r="FY27" s="545">
        <f t="shared" si="58"/>
        <v>0</v>
      </c>
      <c r="FZ27" s="546">
        <f t="shared" si="169"/>
        <v>0</v>
      </c>
      <c r="GA27" s="544"/>
      <c r="GB27" s="545">
        <f t="shared" si="59"/>
        <v>0</v>
      </c>
      <c r="GC27" s="546">
        <f t="shared" si="170"/>
        <v>0</v>
      </c>
      <c r="GD27" s="544"/>
      <c r="GE27" s="545">
        <f t="shared" si="60"/>
        <v>0</v>
      </c>
      <c r="GF27" s="546">
        <f t="shared" si="171"/>
        <v>0</v>
      </c>
      <c r="GG27" s="544"/>
      <c r="GH27" s="545">
        <f t="shared" si="61"/>
        <v>0</v>
      </c>
      <c r="GI27" s="546">
        <f t="shared" si="172"/>
        <v>0</v>
      </c>
      <c r="GJ27" s="544"/>
      <c r="GK27" s="545">
        <f>+GJ27/$E27</f>
        <v>0</v>
      </c>
      <c r="GL27" s="546">
        <f>+GJ27*$H$8</f>
        <v>0</v>
      </c>
      <c r="GM27" s="544"/>
      <c r="GN27" s="545">
        <f t="shared" si="202"/>
        <v>0</v>
      </c>
      <c r="GO27" s="546">
        <f t="shared" si="203"/>
        <v>0</v>
      </c>
      <c r="GP27" s="544"/>
      <c r="GQ27" s="545">
        <f t="shared" si="204"/>
        <v>0</v>
      </c>
      <c r="GR27" s="546">
        <f t="shared" si="205"/>
        <v>0</v>
      </c>
      <c r="GS27" s="544"/>
      <c r="GT27" s="545">
        <f t="shared" si="206"/>
        <v>0</v>
      </c>
      <c r="GU27" s="546">
        <f t="shared" si="207"/>
        <v>0</v>
      </c>
      <c r="GV27" s="544"/>
      <c r="GW27" s="545">
        <f t="shared" si="66"/>
        <v>0</v>
      </c>
      <c r="GX27" s="546">
        <f t="shared" si="177"/>
        <v>0</v>
      </c>
      <c r="GY27" s="544"/>
      <c r="GZ27" s="545">
        <f t="shared" si="67"/>
        <v>0</v>
      </c>
      <c r="HA27" s="546">
        <f t="shared" si="178"/>
        <v>0</v>
      </c>
      <c r="HB27" s="544"/>
      <c r="HC27" s="545">
        <f t="shared" si="68"/>
        <v>0</v>
      </c>
      <c r="HD27" s="546">
        <f t="shared" si="179"/>
        <v>0</v>
      </c>
      <c r="HE27" s="544"/>
      <c r="HF27" s="545">
        <f t="shared" si="69"/>
        <v>0</v>
      </c>
      <c r="HG27" s="546">
        <f t="shared" si="180"/>
        <v>0</v>
      </c>
      <c r="HH27" s="544"/>
      <c r="HI27" s="545">
        <f t="shared" si="70"/>
        <v>0</v>
      </c>
      <c r="HJ27" s="546">
        <f t="shared" si="181"/>
        <v>0</v>
      </c>
      <c r="HK27" s="544"/>
      <c r="HL27" s="545">
        <f t="shared" si="71"/>
        <v>0</v>
      </c>
      <c r="HM27" s="546">
        <f t="shared" si="182"/>
        <v>0</v>
      </c>
      <c r="HN27" s="544"/>
      <c r="HO27" s="545">
        <f t="shared" si="72"/>
        <v>0</v>
      </c>
      <c r="HP27" s="546">
        <f t="shared" si="183"/>
        <v>0</v>
      </c>
      <c r="HQ27" s="544"/>
      <c r="HR27" s="545">
        <f t="shared" si="73"/>
        <v>0</v>
      </c>
      <c r="HS27" s="546">
        <f t="shared" si="184"/>
        <v>0</v>
      </c>
      <c r="HT27" s="544"/>
      <c r="HU27" s="545">
        <f t="shared" si="74"/>
        <v>0</v>
      </c>
      <c r="HV27" s="546">
        <f t="shared" si="185"/>
        <v>0</v>
      </c>
      <c r="HW27" s="544"/>
      <c r="HX27" s="545">
        <f t="shared" si="75"/>
        <v>0</v>
      </c>
      <c r="HY27" s="546">
        <f t="shared" si="186"/>
        <v>0</v>
      </c>
      <c r="HZ27" s="544"/>
      <c r="IA27" s="545">
        <f t="shared" si="76"/>
        <v>0</v>
      </c>
      <c r="IB27" s="546">
        <f t="shared" si="187"/>
        <v>0</v>
      </c>
      <c r="IC27" s="544"/>
      <c r="ID27" s="545">
        <f t="shared" si="77"/>
        <v>0</v>
      </c>
      <c r="IE27" s="546">
        <f t="shared" si="188"/>
        <v>0</v>
      </c>
      <c r="IF27" s="544"/>
      <c r="IG27" s="545">
        <f t="shared" si="78"/>
        <v>0</v>
      </c>
      <c r="IH27" s="546">
        <f t="shared" si="189"/>
        <v>0</v>
      </c>
      <c r="II27" s="544"/>
      <c r="IJ27" s="545">
        <f t="shared" si="79"/>
        <v>0</v>
      </c>
      <c r="IK27" s="546">
        <f t="shared" si="190"/>
        <v>0</v>
      </c>
      <c r="IL27" s="544"/>
      <c r="IM27" s="545">
        <f t="shared" si="80"/>
        <v>0</v>
      </c>
      <c r="IN27" s="546">
        <f t="shared" si="191"/>
        <v>0</v>
      </c>
      <c r="IO27" s="544"/>
      <c r="IP27" s="545">
        <f t="shared" si="81"/>
        <v>0</v>
      </c>
      <c r="IQ27" s="546">
        <f t="shared" si="192"/>
        <v>0</v>
      </c>
      <c r="IR27" s="544"/>
      <c r="IS27" s="545">
        <f t="shared" si="82"/>
        <v>0</v>
      </c>
      <c r="IT27" s="546">
        <f t="shared" si="193"/>
        <v>0</v>
      </c>
      <c r="IU27" s="544"/>
      <c r="IV27" s="545">
        <f t="shared" si="83"/>
        <v>0</v>
      </c>
      <c r="IW27" s="546">
        <f t="shared" si="194"/>
        <v>0</v>
      </c>
      <c r="IX27" s="544"/>
      <c r="IY27" s="545">
        <f t="shared" si="84"/>
        <v>0</v>
      </c>
      <c r="IZ27" s="546">
        <f t="shared" si="195"/>
        <v>0</v>
      </c>
      <c r="JA27" s="544"/>
      <c r="JB27" s="545">
        <f t="shared" si="85"/>
        <v>0</v>
      </c>
      <c r="JC27" s="546">
        <f t="shared" si="196"/>
        <v>0</v>
      </c>
      <c r="JD27" s="544"/>
      <c r="JE27" s="545">
        <f t="shared" si="86"/>
        <v>0</v>
      </c>
      <c r="JF27" s="546">
        <f t="shared" si="197"/>
        <v>0</v>
      </c>
      <c r="JG27" s="544"/>
      <c r="JH27" s="546" t="str">
        <f t="shared" si="87"/>
        <v>0</v>
      </c>
      <c r="JI27" s="546" t="str">
        <f t="shared" si="88"/>
        <v>0</v>
      </c>
      <c r="JJ27" s="544"/>
      <c r="JK27" s="546" t="str">
        <f t="shared" si="89"/>
        <v>0</v>
      </c>
      <c r="JL27" s="546" t="str">
        <f t="shared" si="90"/>
        <v>0</v>
      </c>
      <c r="JM27" s="544"/>
      <c r="JN27" s="546" t="str">
        <f t="shared" si="91"/>
        <v>0</v>
      </c>
      <c r="JO27" s="546" t="str">
        <f t="shared" si="92"/>
        <v>0</v>
      </c>
      <c r="JP27" s="544"/>
      <c r="JQ27" s="546" t="str">
        <f t="shared" si="93"/>
        <v>0</v>
      </c>
      <c r="JR27" s="546" t="str">
        <f t="shared" si="94"/>
        <v>0</v>
      </c>
      <c r="JS27" s="544"/>
      <c r="JT27" s="546" t="str">
        <f t="shared" si="95"/>
        <v>0</v>
      </c>
      <c r="JU27" s="546" t="str">
        <f t="shared" si="96"/>
        <v>0</v>
      </c>
      <c r="JV27" s="544"/>
      <c r="JW27" s="546" t="str">
        <f t="shared" si="97"/>
        <v>0</v>
      </c>
      <c r="JX27" s="546" t="str">
        <f t="shared" si="98"/>
        <v>0</v>
      </c>
      <c r="JY27" s="544"/>
      <c r="JZ27" s="546" t="str">
        <f t="shared" si="99"/>
        <v>0</v>
      </c>
      <c r="KA27" s="546" t="str">
        <f t="shared" si="100"/>
        <v>0</v>
      </c>
      <c r="KB27" s="544"/>
      <c r="KC27" s="546" t="str">
        <f t="shared" si="101"/>
        <v>0</v>
      </c>
      <c r="KD27" s="546" t="str">
        <f t="shared" si="102"/>
        <v>0</v>
      </c>
      <c r="KE27" s="544"/>
      <c r="KF27" s="546" t="str">
        <f t="shared" si="103"/>
        <v>0</v>
      </c>
      <c r="KG27" s="546" t="str">
        <f t="shared" si="104"/>
        <v>0</v>
      </c>
      <c r="KH27" s="544"/>
      <c r="KI27" s="546" t="str">
        <f t="shared" si="105"/>
        <v>0</v>
      </c>
      <c r="KJ27" s="546" t="str">
        <f t="shared" si="106"/>
        <v>0</v>
      </c>
      <c r="KK27" s="544"/>
      <c r="KL27" s="546" t="str">
        <f t="shared" si="107"/>
        <v>0</v>
      </c>
      <c r="KM27" s="546" t="str">
        <f t="shared" si="108"/>
        <v>0</v>
      </c>
      <c r="KN27" s="544"/>
      <c r="KO27" s="546" t="str">
        <f t="shared" si="109"/>
        <v>0</v>
      </c>
      <c r="KP27" s="546" t="str">
        <f t="shared" si="110"/>
        <v>0</v>
      </c>
      <c r="KQ27" s="546">
        <f t="shared" si="111"/>
        <v>0</v>
      </c>
      <c r="KR27" s="546">
        <f t="shared" si="198"/>
        <v>0</v>
      </c>
      <c r="KS27" s="265">
        <f t="shared" si="199"/>
        <v>740.22379336349934</v>
      </c>
    </row>
    <row r="28" spans="1:305" ht="15" customHeight="1">
      <c r="A28" s="267">
        <f t="shared" si="200"/>
        <v>45736</v>
      </c>
      <c r="B28" s="268" t="str">
        <f>+Report1!B28</f>
        <v>Towel</v>
      </c>
      <c r="C28" s="268" t="str">
        <f>+Report1!C28</f>
        <v>17</v>
      </c>
      <c r="D28" s="269">
        <f>+Report1!P28</f>
        <v>50.709000000000003</v>
      </c>
      <c r="E28" s="270">
        <f>+Report1!R28</f>
        <v>50.192999999999998</v>
      </c>
      <c r="F28" s="544"/>
      <c r="G28" s="545">
        <f t="shared" si="0"/>
        <v>0</v>
      </c>
      <c r="H28" s="546">
        <f t="shared" si="112"/>
        <v>0</v>
      </c>
      <c r="I28" s="544"/>
      <c r="J28" s="545">
        <f t="shared" si="1"/>
        <v>0</v>
      </c>
      <c r="K28" s="546">
        <f t="shared" si="113"/>
        <v>0</v>
      </c>
      <c r="L28" s="544"/>
      <c r="M28" s="545">
        <f t="shared" si="2"/>
        <v>0</v>
      </c>
      <c r="N28" s="546">
        <f t="shared" si="114"/>
        <v>0</v>
      </c>
      <c r="O28" s="544">
        <v>9</v>
      </c>
      <c r="P28" s="545">
        <f t="shared" si="3"/>
        <v>0.17930787161556394</v>
      </c>
      <c r="Q28" s="546">
        <f t="shared" si="115"/>
        <v>0</v>
      </c>
      <c r="R28" s="544"/>
      <c r="S28" s="545">
        <f t="shared" si="4"/>
        <v>0</v>
      </c>
      <c r="T28" s="546">
        <f t="shared" si="116"/>
        <v>0</v>
      </c>
      <c r="U28" s="544">
        <v>10.25</v>
      </c>
      <c r="V28" s="545">
        <f t="shared" si="5"/>
        <v>0.20421174267328115</v>
      </c>
      <c r="W28" s="546">
        <f t="shared" si="117"/>
        <v>0</v>
      </c>
      <c r="X28" s="544"/>
      <c r="Y28" s="545">
        <f t="shared" si="6"/>
        <v>0</v>
      </c>
      <c r="Z28" s="546">
        <f t="shared" si="118"/>
        <v>0</v>
      </c>
      <c r="AA28" s="544"/>
      <c r="AB28" s="545">
        <f t="shared" si="7"/>
        <v>0</v>
      </c>
      <c r="AC28" s="546">
        <f t="shared" si="119"/>
        <v>0</v>
      </c>
      <c r="AD28" s="544"/>
      <c r="AE28" s="545">
        <f t="shared" si="8"/>
        <v>0</v>
      </c>
      <c r="AF28" s="546">
        <f t="shared" si="120"/>
        <v>0</v>
      </c>
      <c r="AG28" s="544"/>
      <c r="AH28" s="545">
        <f t="shared" si="9"/>
        <v>0</v>
      </c>
      <c r="AI28" s="546">
        <f t="shared" si="121"/>
        <v>0</v>
      </c>
      <c r="AJ28" s="544"/>
      <c r="AK28" s="545">
        <f t="shared" si="10"/>
        <v>0</v>
      </c>
      <c r="AL28" s="546">
        <f t="shared" si="122"/>
        <v>0</v>
      </c>
      <c r="AM28" s="544">
        <v>36.794871794871824</v>
      </c>
      <c r="AN28" s="545">
        <f t="shared" si="11"/>
        <v>0.73306779421177903</v>
      </c>
      <c r="AO28" s="546">
        <f t="shared" si="123"/>
        <v>0</v>
      </c>
      <c r="AP28" s="544"/>
      <c r="AQ28" s="545">
        <f t="shared" si="12"/>
        <v>0</v>
      </c>
      <c r="AR28" s="546">
        <f t="shared" si="124"/>
        <v>0</v>
      </c>
      <c r="AS28" s="544"/>
      <c r="AT28" s="545">
        <f t="shared" si="13"/>
        <v>0</v>
      </c>
      <c r="AU28" s="546">
        <f t="shared" si="125"/>
        <v>0</v>
      </c>
      <c r="AV28" s="544">
        <v>8.3250000000000028</v>
      </c>
      <c r="AW28" s="545">
        <f t="shared" si="14"/>
        <v>0.16585978124439668</v>
      </c>
      <c r="AX28" s="546">
        <f t="shared" si="126"/>
        <v>0</v>
      </c>
      <c r="AY28" s="544">
        <v>74.666666666666629</v>
      </c>
      <c r="AZ28" s="545">
        <f t="shared" si="15"/>
        <v>1.487591231180974</v>
      </c>
      <c r="BA28" s="546">
        <f t="shared" si="127"/>
        <v>0</v>
      </c>
      <c r="BB28" s="544"/>
      <c r="BC28" s="545">
        <f t="shared" si="16"/>
        <v>0</v>
      </c>
      <c r="BD28" s="546">
        <f t="shared" si="128"/>
        <v>0</v>
      </c>
      <c r="BE28" s="544"/>
      <c r="BF28" s="545">
        <f t="shared" si="17"/>
        <v>0</v>
      </c>
      <c r="BG28" s="546">
        <f t="shared" si="129"/>
        <v>0</v>
      </c>
      <c r="BH28" s="544"/>
      <c r="BI28" s="545">
        <f t="shared" si="18"/>
        <v>0</v>
      </c>
      <c r="BJ28" s="546">
        <f t="shared" si="130"/>
        <v>0</v>
      </c>
      <c r="BK28" s="544"/>
      <c r="BL28" s="545">
        <f t="shared" si="19"/>
        <v>0</v>
      </c>
      <c r="BM28" s="546">
        <f t="shared" si="131"/>
        <v>0</v>
      </c>
      <c r="BN28" s="544"/>
      <c r="BO28" s="545">
        <f t="shared" si="20"/>
        <v>0</v>
      </c>
      <c r="BP28" s="546">
        <f t="shared" si="132"/>
        <v>0</v>
      </c>
      <c r="BQ28" s="544"/>
      <c r="BR28" s="545">
        <f t="shared" si="21"/>
        <v>0</v>
      </c>
      <c r="BS28" s="546">
        <f t="shared" si="133"/>
        <v>0</v>
      </c>
      <c r="BT28" s="544"/>
      <c r="BU28" s="545">
        <f t="shared" si="22"/>
        <v>0</v>
      </c>
      <c r="BV28" s="546">
        <f t="shared" si="134"/>
        <v>0</v>
      </c>
      <c r="BW28" s="544"/>
      <c r="BX28" s="545">
        <f t="shared" si="23"/>
        <v>0</v>
      </c>
      <c r="BY28" s="546">
        <f t="shared" si="135"/>
        <v>0</v>
      </c>
      <c r="BZ28" s="544"/>
      <c r="CA28" s="545">
        <f t="shared" si="24"/>
        <v>0</v>
      </c>
      <c r="CB28" s="546">
        <f t="shared" si="136"/>
        <v>0</v>
      </c>
      <c r="CC28" s="544">
        <v>25</v>
      </c>
      <c r="CD28" s="545">
        <f t="shared" si="25"/>
        <v>0.49807742115434428</v>
      </c>
      <c r="CE28" s="546">
        <f t="shared" si="137"/>
        <v>0</v>
      </c>
      <c r="CF28" s="544">
        <v>0.59999999999999964</v>
      </c>
      <c r="CG28" s="545">
        <f t="shared" si="26"/>
        <v>1.1953858107704255E-2</v>
      </c>
      <c r="CH28" s="546">
        <f t="shared" si="138"/>
        <v>0</v>
      </c>
      <c r="CI28" s="544"/>
      <c r="CJ28" s="545">
        <f t="shared" si="27"/>
        <v>0</v>
      </c>
      <c r="CK28" s="546">
        <f t="shared" si="139"/>
        <v>0</v>
      </c>
      <c r="CL28" s="544"/>
      <c r="CM28" s="545">
        <f t="shared" si="28"/>
        <v>0</v>
      </c>
      <c r="CN28" s="546">
        <f t="shared" si="140"/>
        <v>0</v>
      </c>
      <c r="CO28" s="544"/>
      <c r="CP28" s="545">
        <f t="shared" si="29"/>
        <v>0</v>
      </c>
      <c r="CQ28" s="546">
        <f t="shared" si="141"/>
        <v>0</v>
      </c>
      <c r="CR28" s="544"/>
      <c r="CS28" s="545">
        <f t="shared" si="30"/>
        <v>0</v>
      </c>
      <c r="CT28" s="546">
        <f t="shared" si="142"/>
        <v>0</v>
      </c>
      <c r="CU28" s="544"/>
      <c r="CV28" s="545">
        <f t="shared" si="31"/>
        <v>0</v>
      </c>
      <c r="CW28" s="546">
        <f t="shared" si="143"/>
        <v>0</v>
      </c>
      <c r="CX28" s="544"/>
      <c r="CY28" s="545">
        <f t="shared" si="32"/>
        <v>0</v>
      </c>
      <c r="CZ28" s="546">
        <f t="shared" si="144"/>
        <v>0</v>
      </c>
      <c r="DA28" s="544"/>
      <c r="DB28" s="545">
        <f t="shared" si="33"/>
        <v>0</v>
      </c>
      <c r="DC28" s="546">
        <f t="shared" si="145"/>
        <v>0</v>
      </c>
      <c r="DD28" s="544"/>
      <c r="DE28" s="545">
        <f t="shared" si="34"/>
        <v>0</v>
      </c>
      <c r="DF28" s="546">
        <f t="shared" si="146"/>
        <v>0</v>
      </c>
      <c r="DG28" s="544"/>
      <c r="DH28" s="545">
        <f t="shared" si="35"/>
        <v>0</v>
      </c>
      <c r="DI28" s="546">
        <f t="shared" si="201"/>
        <v>0</v>
      </c>
      <c r="DJ28" s="544"/>
      <c r="DK28" s="545">
        <f t="shared" si="36"/>
        <v>0</v>
      </c>
      <c r="DL28" s="546">
        <f t="shared" si="147"/>
        <v>0</v>
      </c>
      <c r="DM28" s="544"/>
      <c r="DN28" s="545">
        <f t="shared" si="37"/>
        <v>0</v>
      </c>
      <c r="DO28" s="546">
        <f t="shared" si="148"/>
        <v>0</v>
      </c>
      <c r="DP28" s="544"/>
      <c r="DQ28" s="545">
        <f t="shared" si="38"/>
        <v>0</v>
      </c>
      <c r="DR28" s="546">
        <f t="shared" si="149"/>
        <v>0</v>
      </c>
      <c r="DS28" s="544"/>
      <c r="DT28" s="545">
        <f t="shared" si="39"/>
        <v>0</v>
      </c>
      <c r="DU28" s="546">
        <f t="shared" si="150"/>
        <v>0</v>
      </c>
      <c r="DV28" s="544"/>
      <c r="DW28" s="545">
        <f t="shared" si="40"/>
        <v>0</v>
      </c>
      <c r="DX28" s="546">
        <f t="shared" si="151"/>
        <v>0</v>
      </c>
      <c r="DY28" s="544"/>
      <c r="DZ28" s="545">
        <f t="shared" si="41"/>
        <v>0</v>
      </c>
      <c r="EA28" s="546">
        <f t="shared" si="152"/>
        <v>0</v>
      </c>
      <c r="EB28" s="544">
        <v>517.64705882352973</v>
      </c>
      <c r="EC28" s="545">
        <f t="shared" si="42"/>
        <v>10.313132485078194</v>
      </c>
      <c r="ED28" s="546">
        <f t="shared" si="153"/>
        <v>0</v>
      </c>
      <c r="EE28" s="544">
        <v>0</v>
      </c>
      <c r="EF28" s="545">
        <f t="shared" si="43"/>
        <v>0</v>
      </c>
      <c r="EG28" s="546">
        <f t="shared" si="154"/>
        <v>0</v>
      </c>
      <c r="EH28" s="544">
        <v>3</v>
      </c>
      <c r="EI28" s="545">
        <f t="shared" si="44"/>
        <v>5.9769290538521314E-2</v>
      </c>
      <c r="EJ28" s="546">
        <f t="shared" si="155"/>
        <v>0</v>
      </c>
      <c r="EK28" s="544"/>
      <c r="EL28" s="545">
        <f t="shared" si="45"/>
        <v>0</v>
      </c>
      <c r="EM28" s="546">
        <f t="shared" si="156"/>
        <v>0</v>
      </c>
      <c r="EN28" s="544"/>
      <c r="EO28" s="545">
        <f t="shared" si="46"/>
        <v>0</v>
      </c>
      <c r="EP28" s="546">
        <f t="shared" si="157"/>
        <v>0</v>
      </c>
      <c r="EQ28" s="544"/>
      <c r="ER28" s="545">
        <f t="shared" si="47"/>
        <v>0</v>
      </c>
      <c r="ES28" s="546">
        <f t="shared" si="158"/>
        <v>0</v>
      </c>
      <c r="ET28" s="544"/>
      <c r="EU28" s="545">
        <f t="shared" si="48"/>
        <v>0</v>
      </c>
      <c r="EV28" s="546">
        <f t="shared" si="159"/>
        <v>0</v>
      </c>
      <c r="EW28" s="544"/>
      <c r="EX28" s="545">
        <f t="shared" si="49"/>
        <v>0</v>
      </c>
      <c r="EY28" s="546">
        <f t="shared" si="160"/>
        <v>0</v>
      </c>
      <c r="EZ28" s="544"/>
      <c r="FA28" s="545">
        <f t="shared" si="50"/>
        <v>0</v>
      </c>
      <c r="FB28" s="546">
        <f t="shared" si="161"/>
        <v>0</v>
      </c>
      <c r="FC28" s="544"/>
      <c r="FD28" s="545">
        <f t="shared" si="51"/>
        <v>0</v>
      </c>
      <c r="FE28" s="546">
        <f t="shared" si="162"/>
        <v>0</v>
      </c>
      <c r="FF28" s="544"/>
      <c r="FG28" s="545">
        <f t="shared" si="52"/>
        <v>0</v>
      </c>
      <c r="FH28" s="546">
        <f t="shared" si="163"/>
        <v>0</v>
      </c>
      <c r="FI28" s="544"/>
      <c r="FJ28" s="545">
        <f t="shared" si="53"/>
        <v>0</v>
      </c>
      <c r="FK28" s="546">
        <f t="shared" si="164"/>
        <v>0</v>
      </c>
      <c r="FL28" s="544"/>
      <c r="FM28" s="545">
        <f t="shared" si="54"/>
        <v>0</v>
      </c>
      <c r="FN28" s="546">
        <f t="shared" si="165"/>
        <v>0</v>
      </c>
      <c r="FO28" s="544"/>
      <c r="FP28" s="545">
        <f t="shared" si="55"/>
        <v>0</v>
      </c>
      <c r="FQ28" s="546">
        <f t="shared" si="166"/>
        <v>0</v>
      </c>
      <c r="FR28" s="544"/>
      <c r="FS28" s="545">
        <f t="shared" si="56"/>
        <v>0</v>
      </c>
      <c r="FT28" s="546">
        <f t="shared" si="167"/>
        <v>0</v>
      </c>
      <c r="FU28" s="544"/>
      <c r="FV28" s="545">
        <f t="shared" si="57"/>
        <v>0</v>
      </c>
      <c r="FW28" s="546">
        <f t="shared" si="168"/>
        <v>0</v>
      </c>
      <c r="FX28" s="544"/>
      <c r="FY28" s="545">
        <f t="shared" si="58"/>
        <v>0</v>
      </c>
      <c r="FZ28" s="546">
        <f t="shared" si="169"/>
        <v>0</v>
      </c>
      <c r="GA28" s="544"/>
      <c r="GB28" s="545">
        <f t="shared" si="59"/>
        <v>0</v>
      </c>
      <c r="GC28" s="546">
        <f t="shared" si="170"/>
        <v>0</v>
      </c>
      <c r="GD28" s="544"/>
      <c r="GE28" s="545">
        <f t="shared" si="60"/>
        <v>0</v>
      </c>
      <c r="GF28" s="546">
        <f t="shared" si="171"/>
        <v>0</v>
      </c>
      <c r="GG28" s="544"/>
      <c r="GH28" s="545">
        <f t="shared" si="61"/>
        <v>0</v>
      </c>
      <c r="GI28" s="546">
        <f t="shared" si="172"/>
        <v>0</v>
      </c>
      <c r="GJ28" s="544"/>
      <c r="GK28" s="545">
        <f>+GJ28/$E28</f>
        <v>0</v>
      </c>
      <c r="GL28" s="546">
        <f>+GJ28*$H$8</f>
        <v>0</v>
      </c>
      <c r="GM28" s="544"/>
      <c r="GN28" s="545">
        <f t="shared" si="202"/>
        <v>0</v>
      </c>
      <c r="GO28" s="546">
        <f t="shared" si="203"/>
        <v>0</v>
      </c>
      <c r="GP28" s="544"/>
      <c r="GQ28" s="545">
        <f t="shared" si="204"/>
        <v>0</v>
      </c>
      <c r="GR28" s="546">
        <f t="shared" si="205"/>
        <v>0</v>
      </c>
      <c r="GS28" s="544"/>
      <c r="GT28" s="545">
        <f t="shared" si="206"/>
        <v>0</v>
      </c>
      <c r="GU28" s="546">
        <f t="shared" si="207"/>
        <v>0</v>
      </c>
      <c r="GV28" s="544"/>
      <c r="GW28" s="545">
        <f t="shared" si="66"/>
        <v>0</v>
      </c>
      <c r="GX28" s="546">
        <f t="shared" si="177"/>
        <v>0</v>
      </c>
      <c r="GY28" s="544"/>
      <c r="GZ28" s="545">
        <f t="shared" si="67"/>
        <v>0</v>
      </c>
      <c r="HA28" s="546">
        <f t="shared" si="178"/>
        <v>0</v>
      </c>
      <c r="HB28" s="544"/>
      <c r="HC28" s="545">
        <f t="shared" si="68"/>
        <v>0</v>
      </c>
      <c r="HD28" s="546">
        <f t="shared" si="179"/>
        <v>0</v>
      </c>
      <c r="HE28" s="544"/>
      <c r="HF28" s="545">
        <f t="shared" si="69"/>
        <v>0</v>
      </c>
      <c r="HG28" s="546">
        <f t="shared" si="180"/>
        <v>0</v>
      </c>
      <c r="HH28" s="544"/>
      <c r="HI28" s="545">
        <f t="shared" si="70"/>
        <v>0</v>
      </c>
      <c r="HJ28" s="546">
        <f t="shared" si="181"/>
        <v>0</v>
      </c>
      <c r="HK28" s="544"/>
      <c r="HL28" s="545">
        <f t="shared" si="71"/>
        <v>0</v>
      </c>
      <c r="HM28" s="546">
        <f t="shared" si="182"/>
        <v>0</v>
      </c>
      <c r="HN28" s="544"/>
      <c r="HO28" s="545">
        <f t="shared" si="72"/>
        <v>0</v>
      </c>
      <c r="HP28" s="546">
        <f t="shared" si="183"/>
        <v>0</v>
      </c>
      <c r="HQ28" s="544"/>
      <c r="HR28" s="545">
        <f t="shared" si="73"/>
        <v>0</v>
      </c>
      <c r="HS28" s="546">
        <f t="shared" si="184"/>
        <v>0</v>
      </c>
      <c r="HT28" s="544"/>
      <c r="HU28" s="545">
        <f t="shared" si="74"/>
        <v>0</v>
      </c>
      <c r="HV28" s="546">
        <f t="shared" si="185"/>
        <v>0</v>
      </c>
      <c r="HW28" s="544"/>
      <c r="HX28" s="545">
        <f t="shared" si="75"/>
        <v>0</v>
      </c>
      <c r="HY28" s="546">
        <f t="shared" si="186"/>
        <v>0</v>
      </c>
      <c r="HZ28" s="544"/>
      <c r="IA28" s="545">
        <f t="shared" si="76"/>
        <v>0</v>
      </c>
      <c r="IB28" s="546">
        <f t="shared" si="187"/>
        <v>0</v>
      </c>
      <c r="IC28" s="544"/>
      <c r="ID28" s="545">
        <f t="shared" si="77"/>
        <v>0</v>
      </c>
      <c r="IE28" s="546">
        <f t="shared" si="188"/>
        <v>0</v>
      </c>
      <c r="IF28" s="544"/>
      <c r="IG28" s="545">
        <f t="shared" si="78"/>
        <v>0</v>
      </c>
      <c r="IH28" s="546">
        <f t="shared" si="189"/>
        <v>0</v>
      </c>
      <c r="II28" s="544"/>
      <c r="IJ28" s="545">
        <f t="shared" si="79"/>
        <v>0</v>
      </c>
      <c r="IK28" s="546">
        <f t="shared" si="190"/>
        <v>0</v>
      </c>
      <c r="IL28" s="544"/>
      <c r="IM28" s="545">
        <f t="shared" si="80"/>
        <v>0</v>
      </c>
      <c r="IN28" s="546">
        <f t="shared" si="191"/>
        <v>0</v>
      </c>
      <c r="IO28" s="544"/>
      <c r="IP28" s="545">
        <f t="shared" si="81"/>
        <v>0</v>
      </c>
      <c r="IQ28" s="546">
        <f t="shared" si="192"/>
        <v>0</v>
      </c>
      <c r="IR28" s="544"/>
      <c r="IS28" s="545">
        <f t="shared" si="82"/>
        <v>0</v>
      </c>
      <c r="IT28" s="546">
        <f t="shared" si="193"/>
        <v>0</v>
      </c>
      <c r="IU28" s="544"/>
      <c r="IV28" s="545">
        <f t="shared" si="83"/>
        <v>0</v>
      </c>
      <c r="IW28" s="546">
        <f t="shared" si="194"/>
        <v>0</v>
      </c>
      <c r="IX28" s="544"/>
      <c r="IY28" s="545">
        <f t="shared" si="84"/>
        <v>0</v>
      </c>
      <c r="IZ28" s="546">
        <f t="shared" si="195"/>
        <v>0</v>
      </c>
      <c r="JA28" s="544"/>
      <c r="JB28" s="545">
        <f t="shared" si="85"/>
        <v>0</v>
      </c>
      <c r="JC28" s="546">
        <f t="shared" si="196"/>
        <v>0</v>
      </c>
      <c r="JD28" s="544"/>
      <c r="JE28" s="545">
        <f t="shared" si="86"/>
        <v>0</v>
      </c>
      <c r="JF28" s="546">
        <f t="shared" si="197"/>
        <v>0</v>
      </c>
      <c r="JG28" s="544"/>
      <c r="JH28" s="546" t="str">
        <f t="shared" si="87"/>
        <v>0</v>
      </c>
      <c r="JI28" s="546" t="str">
        <f t="shared" si="88"/>
        <v>0</v>
      </c>
      <c r="JJ28" s="544"/>
      <c r="JK28" s="546" t="str">
        <f t="shared" si="89"/>
        <v>0</v>
      </c>
      <c r="JL28" s="546" t="str">
        <f t="shared" si="90"/>
        <v>0</v>
      </c>
      <c r="JM28" s="544"/>
      <c r="JN28" s="546" t="str">
        <f t="shared" si="91"/>
        <v>0</v>
      </c>
      <c r="JO28" s="546" t="str">
        <f t="shared" si="92"/>
        <v>0</v>
      </c>
      <c r="JP28" s="544"/>
      <c r="JQ28" s="546" t="str">
        <f t="shared" si="93"/>
        <v>0</v>
      </c>
      <c r="JR28" s="546" t="str">
        <f t="shared" si="94"/>
        <v>0</v>
      </c>
      <c r="JS28" s="544"/>
      <c r="JT28" s="546" t="str">
        <f t="shared" si="95"/>
        <v>0</v>
      </c>
      <c r="JU28" s="546" t="str">
        <f t="shared" si="96"/>
        <v>0</v>
      </c>
      <c r="JV28" s="544"/>
      <c r="JW28" s="546" t="str">
        <f t="shared" si="97"/>
        <v>0</v>
      </c>
      <c r="JX28" s="546" t="str">
        <f t="shared" si="98"/>
        <v>0</v>
      </c>
      <c r="JY28" s="544"/>
      <c r="JZ28" s="546" t="str">
        <f t="shared" si="99"/>
        <v>0</v>
      </c>
      <c r="KA28" s="546" t="str">
        <f t="shared" si="100"/>
        <v>0</v>
      </c>
      <c r="KB28" s="544"/>
      <c r="KC28" s="546" t="str">
        <f t="shared" si="101"/>
        <v>0</v>
      </c>
      <c r="KD28" s="546" t="str">
        <f t="shared" si="102"/>
        <v>0</v>
      </c>
      <c r="KE28" s="544"/>
      <c r="KF28" s="546" t="str">
        <f t="shared" si="103"/>
        <v>0</v>
      </c>
      <c r="KG28" s="546" t="str">
        <f t="shared" si="104"/>
        <v>0</v>
      </c>
      <c r="KH28" s="544"/>
      <c r="KI28" s="546" t="str">
        <f t="shared" si="105"/>
        <v>0</v>
      </c>
      <c r="KJ28" s="546" t="str">
        <f t="shared" si="106"/>
        <v>0</v>
      </c>
      <c r="KK28" s="544"/>
      <c r="KL28" s="546" t="str">
        <f t="shared" si="107"/>
        <v>0</v>
      </c>
      <c r="KM28" s="546" t="str">
        <f t="shared" si="108"/>
        <v>0</v>
      </c>
      <c r="KN28" s="544"/>
      <c r="KO28" s="546" t="str">
        <f t="shared" si="109"/>
        <v>0</v>
      </c>
      <c r="KP28" s="546" t="str">
        <f t="shared" si="110"/>
        <v>0</v>
      </c>
      <c r="KQ28" s="546">
        <f t="shared" si="111"/>
        <v>0</v>
      </c>
      <c r="KR28" s="546">
        <f t="shared" si="198"/>
        <v>0</v>
      </c>
      <c r="KS28" s="265">
        <f t="shared" si="199"/>
        <v>685.28359728506814</v>
      </c>
    </row>
    <row r="29" spans="1:305" ht="15" customHeight="1">
      <c r="A29" s="267">
        <f t="shared" si="200"/>
        <v>45737</v>
      </c>
      <c r="B29" s="268" t="str">
        <f>+Report1!B29</f>
        <v>Towel</v>
      </c>
      <c r="C29" s="268" t="str">
        <f>+Report1!C29</f>
        <v>17</v>
      </c>
      <c r="D29" s="269">
        <f>+Report1!P29</f>
        <v>50.822000000000003</v>
      </c>
      <c r="E29" s="270">
        <f>+Report1!R29</f>
        <v>49.95</v>
      </c>
      <c r="F29" s="544"/>
      <c r="G29" s="545">
        <f t="shared" si="0"/>
        <v>0</v>
      </c>
      <c r="H29" s="546">
        <f t="shared" si="112"/>
        <v>0</v>
      </c>
      <c r="I29" s="544"/>
      <c r="J29" s="545">
        <f t="shared" si="1"/>
        <v>0</v>
      </c>
      <c r="K29" s="546">
        <f t="shared" si="113"/>
        <v>0</v>
      </c>
      <c r="L29" s="544"/>
      <c r="M29" s="545">
        <f t="shared" si="2"/>
        <v>0</v>
      </c>
      <c r="N29" s="546">
        <f t="shared" si="114"/>
        <v>0</v>
      </c>
      <c r="O29" s="544">
        <v>9.0000000000000071</v>
      </c>
      <c r="P29" s="545">
        <f t="shared" si="3"/>
        <v>0.18018018018018031</v>
      </c>
      <c r="Q29" s="546">
        <f t="shared" si="115"/>
        <v>0</v>
      </c>
      <c r="R29" s="544"/>
      <c r="S29" s="545">
        <f t="shared" si="4"/>
        <v>0</v>
      </c>
      <c r="T29" s="546">
        <f t="shared" si="116"/>
        <v>0</v>
      </c>
      <c r="U29" s="544">
        <v>10.249999999999972</v>
      </c>
      <c r="V29" s="545">
        <f t="shared" si="5"/>
        <v>0.20520520520520463</v>
      </c>
      <c r="W29" s="546">
        <f t="shared" si="117"/>
        <v>0</v>
      </c>
      <c r="X29" s="544"/>
      <c r="Y29" s="545">
        <f t="shared" si="6"/>
        <v>0</v>
      </c>
      <c r="Z29" s="546">
        <f t="shared" si="118"/>
        <v>0</v>
      </c>
      <c r="AA29" s="544"/>
      <c r="AB29" s="545">
        <f t="shared" si="7"/>
        <v>0</v>
      </c>
      <c r="AC29" s="546">
        <f t="shared" si="119"/>
        <v>0</v>
      </c>
      <c r="AD29" s="544"/>
      <c r="AE29" s="545">
        <f t="shared" si="8"/>
        <v>0</v>
      </c>
      <c r="AF29" s="546">
        <f t="shared" si="120"/>
        <v>0</v>
      </c>
      <c r="AG29" s="544"/>
      <c r="AH29" s="545">
        <f t="shared" si="9"/>
        <v>0</v>
      </c>
      <c r="AI29" s="546">
        <f t="shared" si="121"/>
        <v>0</v>
      </c>
      <c r="AJ29" s="544"/>
      <c r="AK29" s="545">
        <f t="shared" si="10"/>
        <v>0</v>
      </c>
      <c r="AL29" s="546">
        <f t="shared" si="122"/>
        <v>0</v>
      </c>
      <c r="AM29" s="544">
        <v>42.051282051282044</v>
      </c>
      <c r="AN29" s="545">
        <f t="shared" si="11"/>
        <v>0.84186750853417502</v>
      </c>
      <c r="AO29" s="546">
        <f t="shared" si="123"/>
        <v>0</v>
      </c>
      <c r="AP29" s="544"/>
      <c r="AQ29" s="545">
        <f t="shared" si="12"/>
        <v>0</v>
      </c>
      <c r="AR29" s="546">
        <f t="shared" si="124"/>
        <v>0</v>
      </c>
      <c r="AS29" s="544"/>
      <c r="AT29" s="545">
        <f t="shared" si="13"/>
        <v>0</v>
      </c>
      <c r="AU29" s="546">
        <f t="shared" si="125"/>
        <v>0</v>
      </c>
      <c r="AV29" s="544">
        <v>2.7750000000000021</v>
      </c>
      <c r="AW29" s="545">
        <f t="shared" si="14"/>
        <v>5.5555555555555594E-2</v>
      </c>
      <c r="AX29" s="546">
        <f t="shared" si="126"/>
        <v>0</v>
      </c>
      <c r="AY29" s="544">
        <v>60.666666666666686</v>
      </c>
      <c r="AZ29" s="545">
        <f t="shared" si="15"/>
        <v>1.2145478812145483</v>
      </c>
      <c r="BA29" s="546">
        <f t="shared" si="127"/>
        <v>0</v>
      </c>
      <c r="BB29" s="544"/>
      <c r="BC29" s="545">
        <f t="shared" si="16"/>
        <v>0</v>
      </c>
      <c r="BD29" s="546">
        <f t="shared" si="128"/>
        <v>0</v>
      </c>
      <c r="BE29" s="544"/>
      <c r="BF29" s="545">
        <f t="shared" si="17"/>
        <v>0</v>
      </c>
      <c r="BG29" s="546">
        <f t="shared" si="129"/>
        <v>0</v>
      </c>
      <c r="BH29" s="544"/>
      <c r="BI29" s="545">
        <f t="shared" si="18"/>
        <v>0</v>
      </c>
      <c r="BJ29" s="546">
        <f t="shared" si="130"/>
        <v>0</v>
      </c>
      <c r="BK29" s="544"/>
      <c r="BL29" s="545">
        <f t="shared" si="19"/>
        <v>0</v>
      </c>
      <c r="BM29" s="546">
        <f t="shared" si="131"/>
        <v>0</v>
      </c>
      <c r="BN29" s="544"/>
      <c r="BO29" s="545">
        <f t="shared" si="20"/>
        <v>0</v>
      </c>
      <c r="BP29" s="546">
        <f t="shared" si="132"/>
        <v>0</v>
      </c>
      <c r="BQ29" s="544"/>
      <c r="BR29" s="545">
        <f t="shared" si="21"/>
        <v>0</v>
      </c>
      <c r="BS29" s="546">
        <f t="shared" si="133"/>
        <v>0</v>
      </c>
      <c r="BT29" s="544"/>
      <c r="BU29" s="545">
        <f t="shared" si="22"/>
        <v>0</v>
      </c>
      <c r="BV29" s="546">
        <f t="shared" si="134"/>
        <v>0</v>
      </c>
      <c r="BW29" s="544"/>
      <c r="BX29" s="545">
        <f t="shared" si="23"/>
        <v>0</v>
      </c>
      <c r="BY29" s="546">
        <f t="shared" si="135"/>
        <v>0</v>
      </c>
      <c r="BZ29" s="544"/>
      <c r="CA29" s="545">
        <f t="shared" si="24"/>
        <v>0</v>
      </c>
      <c r="CB29" s="546">
        <f t="shared" si="136"/>
        <v>0</v>
      </c>
      <c r="CC29" s="544">
        <v>25</v>
      </c>
      <c r="CD29" s="545">
        <f t="shared" si="25"/>
        <v>0.50050050050050043</v>
      </c>
      <c r="CE29" s="546">
        <f t="shared" si="137"/>
        <v>0</v>
      </c>
      <c r="CF29" s="544">
        <v>0.60000000000000142</v>
      </c>
      <c r="CG29" s="545">
        <f t="shared" si="26"/>
        <v>1.201201201201204E-2</v>
      </c>
      <c r="CH29" s="546">
        <f t="shared" si="138"/>
        <v>0</v>
      </c>
      <c r="CI29" s="544"/>
      <c r="CJ29" s="545">
        <f t="shared" si="27"/>
        <v>0</v>
      </c>
      <c r="CK29" s="546">
        <f t="shared" si="139"/>
        <v>0</v>
      </c>
      <c r="CL29" s="544"/>
      <c r="CM29" s="545">
        <f t="shared" si="28"/>
        <v>0</v>
      </c>
      <c r="CN29" s="546">
        <f t="shared" si="140"/>
        <v>0</v>
      </c>
      <c r="CO29" s="544"/>
      <c r="CP29" s="545">
        <f t="shared" si="29"/>
        <v>0</v>
      </c>
      <c r="CQ29" s="546">
        <f t="shared" si="141"/>
        <v>0</v>
      </c>
      <c r="CR29" s="544"/>
      <c r="CS29" s="545">
        <f t="shared" si="30"/>
        <v>0</v>
      </c>
      <c r="CT29" s="546">
        <f t="shared" si="142"/>
        <v>0</v>
      </c>
      <c r="CU29" s="544"/>
      <c r="CV29" s="545">
        <f t="shared" si="31"/>
        <v>0</v>
      </c>
      <c r="CW29" s="546">
        <f t="shared" si="143"/>
        <v>0</v>
      </c>
      <c r="CX29" s="544"/>
      <c r="CY29" s="545">
        <f t="shared" si="32"/>
        <v>0</v>
      </c>
      <c r="CZ29" s="546">
        <f t="shared" si="144"/>
        <v>0</v>
      </c>
      <c r="DA29" s="544"/>
      <c r="DB29" s="545">
        <f t="shared" si="33"/>
        <v>0</v>
      </c>
      <c r="DC29" s="546">
        <f t="shared" si="145"/>
        <v>0</v>
      </c>
      <c r="DD29" s="544"/>
      <c r="DE29" s="545">
        <f t="shared" si="34"/>
        <v>0</v>
      </c>
      <c r="DF29" s="546">
        <f t="shared" si="146"/>
        <v>0</v>
      </c>
      <c r="DG29" s="544"/>
      <c r="DH29" s="545">
        <f t="shared" si="35"/>
        <v>0</v>
      </c>
      <c r="DI29" s="546">
        <f t="shared" si="201"/>
        <v>0</v>
      </c>
      <c r="DJ29" s="544"/>
      <c r="DK29" s="545">
        <f t="shared" si="36"/>
        <v>0</v>
      </c>
      <c r="DL29" s="546">
        <f t="shared" si="147"/>
        <v>0</v>
      </c>
      <c r="DM29" s="544"/>
      <c r="DN29" s="545">
        <f t="shared" si="37"/>
        <v>0</v>
      </c>
      <c r="DO29" s="546">
        <f t="shared" si="148"/>
        <v>0</v>
      </c>
      <c r="DP29" s="544"/>
      <c r="DQ29" s="545">
        <f t="shared" si="38"/>
        <v>0</v>
      </c>
      <c r="DR29" s="546">
        <f t="shared" si="149"/>
        <v>0</v>
      </c>
      <c r="DS29" s="544"/>
      <c r="DT29" s="545">
        <f t="shared" si="39"/>
        <v>0</v>
      </c>
      <c r="DU29" s="546">
        <f t="shared" si="150"/>
        <v>0</v>
      </c>
      <c r="DV29" s="544"/>
      <c r="DW29" s="545">
        <f t="shared" si="40"/>
        <v>0</v>
      </c>
      <c r="DX29" s="546">
        <f t="shared" si="151"/>
        <v>0</v>
      </c>
      <c r="DY29" s="544"/>
      <c r="DZ29" s="545">
        <f t="shared" si="41"/>
        <v>0</v>
      </c>
      <c r="EA29" s="546">
        <f t="shared" si="152"/>
        <v>0</v>
      </c>
      <c r="EB29" s="544">
        <v>435.29411764705878</v>
      </c>
      <c r="EC29" s="545">
        <f t="shared" si="42"/>
        <v>8.7145969498910656</v>
      </c>
      <c r="ED29" s="546">
        <f t="shared" si="153"/>
        <v>0</v>
      </c>
      <c r="EE29" s="544">
        <v>0</v>
      </c>
      <c r="EF29" s="545">
        <f t="shared" si="43"/>
        <v>0</v>
      </c>
      <c r="EG29" s="546">
        <f t="shared" si="154"/>
        <v>0</v>
      </c>
      <c r="EH29" s="544">
        <v>2</v>
      </c>
      <c r="EI29" s="545">
        <f t="shared" si="44"/>
        <v>4.004004004004004E-2</v>
      </c>
      <c r="EJ29" s="546">
        <f t="shared" si="155"/>
        <v>0</v>
      </c>
      <c r="EK29" s="544"/>
      <c r="EL29" s="545">
        <f t="shared" si="45"/>
        <v>0</v>
      </c>
      <c r="EM29" s="546">
        <f t="shared" si="156"/>
        <v>0</v>
      </c>
      <c r="EN29" s="544"/>
      <c r="EO29" s="545">
        <f t="shared" si="46"/>
        <v>0</v>
      </c>
      <c r="EP29" s="546">
        <f t="shared" si="157"/>
        <v>0</v>
      </c>
      <c r="EQ29" s="544"/>
      <c r="ER29" s="545">
        <f t="shared" si="47"/>
        <v>0</v>
      </c>
      <c r="ES29" s="546">
        <f t="shared" si="158"/>
        <v>0</v>
      </c>
      <c r="ET29" s="544"/>
      <c r="EU29" s="545">
        <f t="shared" si="48"/>
        <v>0</v>
      </c>
      <c r="EV29" s="546">
        <f t="shared" si="159"/>
        <v>0</v>
      </c>
      <c r="EW29" s="544"/>
      <c r="EX29" s="545">
        <f t="shared" si="49"/>
        <v>0</v>
      </c>
      <c r="EY29" s="546">
        <f t="shared" si="160"/>
        <v>0</v>
      </c>
      <c r="EZ29" s="544"/>
      <c r="FA29" s="545">
        <f t="shared" si="50"/>
        <v>0</v>
      </c>
      <c r="FB29" s="546">
        <f t="shared" si="161"/>
        <v>0</v>
      </c>
      <c r="FC29" s="544"/>
      <c r="FD29" s="545">
        <f t="shared" si="51"/>
        <v>0</v>
      </c>
      <c r="FE29" s="546">
        <f t="shared" si="162"/>
        <v>0</v>
      </c>
      <c r="FF29" s="544"/>
      <c r="FG29" s="545">
        <f t="shared" si="52"/>
        <v>0</v>
      </c>
      <c r="FH29" s="546">
        <f t="shared" si="163"/>
        <v>0</v>
      </c>
      <c r="FI29" s="544"/>
      <c r="FJ29" s="545">
        <f t="shared" si="53"/>
        <v>0</v>
      </c>
      <c r="FK29" s="546">
        <f t="shared" si="164"/>
        <v>0</v>
      </c>
      <c r="FL29" s="544"/>
      <c r="FM29" s="545">
        <f t="shared" si="54"/>
        <v>0</v>
      </c>
      <c r="FN29" s="546">
        <f t="shared" si="165"/>
        <v>0</v>
      </c>
      <c r="FO29" s="544"/>
      <c r="FP29" s="545">
        <f t="shared" si="55"/>
        <v>0</v>
      </c>
      <c r="FQ29" s="546">
        <f t="shared" si="166"/>
        <v>0</v>
      </c>
      <c r="FR29" s="544"/>
      <c r="FS29" s="545">
        <f t="shared" si="56"/>
        <v>0</v>
      </c>
      <c r="FT29" s="546">
        <f t="shared" si="167"/>
        <v>0</v>
      </c>
      <c r="FU29" s="544"/>
      <c r="FV29" s="545">
        <f t="shared" si="57"/>
        <v>0</v>
      </c>
      <c r="FW29" s="546">
        <f t="shared" si="168"/>
        <v>0</v>
      </c>
      <c r="FX29" s="544"/>
      <c r="FY29" s="545">
        <f t="shared" si="58"/>
        <v>0</v>
      </c>
      <c r="FZ29" s="546">
        <f t="shared" si="169"/>
        <v>0</v>
      </c>
      <c r="GA29" s="544"/>
      <c r="GB29" s="545">
        <f t="shared" si="59"/>
        <v>0</v>
      </c>
      <c r="GC29" s="546">
        <f t="shared" si="170"/>
        <v>0</v>
      </c>
      <c r="GD29" s="544"/>
      <c r="GE29" s="545">
        <f t="shared" si="60"/>
        <v>0</v>
      </c>
      <c r="GF29" s="546">
        <f t="shared" si="171"/>
        <v>0</v>
      </c>
      <c r="GG29" s="544"/>
      <c r="GH29" s="545">
        <f t="shared" si="61"/>
        <v>0</v>
      </c>
      <c r="GI29" s="546">
        <f t="shared" si="172"/>
        <v>0</v>
      </c>
      <c r="GJ29" s="544"/>
      <c r="GK29" s="545">
        <f t="shared" si="62"/>
        <v>0</v>
      </c>
      <c r="GL29" s="546">
        <f t="shared" si="173"/>
        <v>0</v>
      </c>
      <c r="GM29" s="544"/>
      <c r="GN29" s="545">
        <f t="shared" si="202"/>
        <v>0</v>
      </c>
      <c r="GO29" s="546">
        <f t="shared" si="203"/>
        <v>0</v>
      </c>
      <c r="GP29" s="544"/>
      <c r="GQ29" s="545">
        <f t="shared" si="204"/>
        <v>0</v>
      </c>
      <c r="GR29" s="546">
        <f t="shared" si="205"/>
        <v>0</v>
      </c>
      <c r="GS29" s="544"/>
      <c r="GT29" s="545">
        <f t="shared" si="206"/>
        <v>0</v>
      </c>
      <c r="GU29" s="546">
        <f t="shared" si="207"/>
        <v>0</v>
      </c>
      <c r="GV29" s="544"/>
      <c r="GW29" s="545">
        <f t="shared" ref="GW29:GW39" si="208">+GV29/$E29</f>
        <v>0</v>
      </c>
      <c r="GX29" s="546">
        <f t="shared" ref="GX29:GX39" si="209">+GV29*$H$8</f>
        <v>0</v>
      </c>
      <c r="GY29" s="544"/>
      <c r="GZ29" s="545">
        <f t="shared" ref="GZ29:GZ34" si="210">+GY29/$E29</f>
        <v>0</v>
      </c>
      <c r="HA29" s="546">
        <f>+GY29*$H$8</f>
        <v>0</v>
      </c>
      <c r="HB29" s="544"/>
      <c r="HC29" s="545">
        <f>+HB29/$E29</f>
        <v>0</v>
      </c>
      <c r="HD29" s="546">
        <f>+HB29*$H$8</f>
        <v>0</v>
      </c>
      <c r="HE29" s="544"/>
      <c r="HF29" s="545">
        <f>+HE29/$E29</f>
        <v>0</v>
      </c>
      <c r="HG29" s="546">
        <f>+HE29*$H$8</f>
        <v>0</v>
      </c>
      <c r="HH29" s="544"/>
      <c r="HI29" s="545">
        <f>+HH29/$E29</f>
        <v>0</v>
      </c>
      <c r="HJ29" s="546">
        <f>+HH29*$H$8</f>
        <v>0</v>
      </c>
      <c r="HK29" s="544"/>
      <c r="HL29" s="545">
        <f>+HK29/$E29</f>
        <v>0</v>
      </c>
      <c r="HM29" s="546">
        <f t="shared" si="182"/>
        <v>0</v>
      </c>
      <c r="HN29" s="544"/>
      <c r="HO29" s="545">
        <f t="shared" si="72"/>
        <v>0</v>
      </c>
      <c r="HP29" s="546">
        <f t="shared" si="183"/>
        <v>0</v>
      </c>
      <c r="HQ29" s="544"/>
      <c r="HR29" s="545">
        <f t="shared" si="73"/>
        <v>0</v>
      </c>
      <c r="HS29" s="546">
        <f t="shared" si="184"/>
        <v>0</v>
      </c>
      <c r="HT29" s="544"/>
      <c r="HU29" s="545">
        <f t="shared" si="74"/>
        <v>0</v>
      </c>
      <c r="HV29" s="546">
        <f t="shared" si="185"/>
        <v>0</v>
      </c>
      <c r="HW29" s="544"/>
      <c r="HX29" s="545">
        <f t="shared" si="75"/>
        <v>0</v>
      </c>
      <c r="HY29" s="546">
        <f t="shared" si="186"/>
        <v>0</v>
      </c>
      <c r="HZ29" s="544"/>
      <c r="IA29" s="545">
        <f t="shared" si="76"/>
        <v>0</v>
      </c>
      <c r="IB29" s="546">
        <f t="shared" si="187"/>
        <v>0</v>
      </c>
      <c r="IC29" s="544"/>
      <c r="ID29" s="545">
        <f t="shared" si="77"/>
        <v>0</v>
      </c>
      <c r="IE29" s="546">
        <f t="shared" si="188"/>
        <v>0</v>
      </c>
      <c r="IF29" s="544"/>
      <c r="IG29" s="545">
        <f t="shared" si="78"/>
        <v>0</v>
      </c>
      <c r="IH29" s="546">
        <f t="shared" si="189"/>
        <v>0</v>
      </c>
      <c r="II29" s="544"/>
      <c r="IJ29" s="545">
        <f t="shared" si="79"/>
        <v>0</v>
      </c>
      <c r="IK29" s="546">
        <f t="shared" si="190"/>
        <v>0</v>
      </c>
      <c r="IL29" s="544"/>
      <c r="IM29" s="545">
        <f t="shared" si="80"/>
        <v>0</v>
      </c>
      <c r="IN29" s="546">
        <f t="shared" si="191"/>
        <v>0</v>
      </c>
      <c r="IO29" s="544"/>
      <c r="IP29" s="545">
        <f t="shared" si="81"/>
        <v>0</v>
      </c>
      <c r="IQ29" s="546">
        <f t="shared" si="192"/>
        <v>0</v>
      </c>
      <c r="IR29" s="544"/>
      <c r="IS29" s="545">
        <f t="shared" si="82"/>
        <v>0</v>
      </c>
      <c r="IT29" s="546">
        <f t="shared" si="193"/>
        <v>0</v>
      </c>
      <c r="IU29" s="544"/>
      <c r="IV29" s="545">
        <f t="shared" si="83"/>
        <v>0</v>
      </c>
      <c r="IW29" s="546">
        <f t="shared" si="194"/>
        <v>0</v>
      </c>
      <c r="IX29" s="544"/>
      <c r="IY29" s="545">
        <f t="shared" si="84"/>
        <v>0</v>
      </c>
      <c r="IZ29" s="546">
        <f t="shared" si="195"/>
        <v>0</v>
      </c>
      <c r="JA29" s="544"/>
      <c r="JB29" s="545">
        <f t="shared" si="85"/>
        <v>0</v>
      </c>
      <c r="JC29" s="546">
        <f t="shared" si="196"/>
        <v>0</v>
      </c>
      <c r="JD29" s="544"/>
      <c r="JE29" s="545">
        <f t="shared" si="86"/>
        <v>0</v>
      </c>
      <c r="JF29" s="546">
        <f t="shared" si="197"/>
        <v>0</v>
      </c>
      <c r="JG29" s="544"/>
      <c r="JH29" s="546" t="str">
        <f t="shared" si="87"/>
        <v>0</v>
      </c>
      <c r="JI29" s="546" t="str">
        <f t="shared" si="88"/>
        <v>0</v>
      </c>
      <c r="JJ29" s="544"/>
      <c r="JK29" s="546" t="str">
        <f t="shared" si="89"/>
        <v>0</v>
      </c>
      <c r="JL29" s="546" t="str">
        <f t="shared" si="90"/>
        <v>0</v>
      </c>
      <c r="JM29" s="544"/>
      <c r="JN29" s="546" t="str">
        <f t="shared" si="91"/>
        <v>0</v>
      </c>
      <c r="JO29" s="546" t="str">
        <f t="shared" si="92"/>
        <v>0</v>
      </c>
      <c r="JP29" s="544"/>
      <c r="JQ29" s="546" t="str">
        <f t="shared" si="93"/>
        <v>0</v>
      </c>
      <c r="JR29" s="546" t="str">
        <f t="shared" si="94"/>
        <v>0</v>
      </c>
      <c r="JS29" s="544"/>
      <c r="JT29" s="546" t="str">
        <f t="shared" si="95"/>
        <v>0</v>
      </c>
      <c r="JU29" s="546" t="str">
        <f t="shared" si="96"/>
        <v>0</v>
      </c>
      <c r="JV29" s="544"/>
      <c r="JW29" s="546" t="str">
        <f t="shared" si="97"/>
        <v>0</v>
      </c>
      <c r="JX29" s="546" t="str">
        <f t="shared" si="98"/>
        <v>0</v>
      </c>
      <c r="JY29" s="544"/>
      <c r="JZ29" s="546" t="str">
        <f t="shared" si="99"/>
        <v>0</v>
      </c>
      <c r="KA29" s="546" t="str">
        <f t="shared" si="100"/>
        <v>0</v>
      </c>
      <c r="KB29" s="544"/>
      <c r="KC29" s="546" t="str">
        <f t="shared" si="101"/>
        <v>0</v>
      </c>
      <c r="KD29" s="546" t="str">
        <f t="shared" si="102"/>
        <v>0</v>
      </c>
      <c r="KE29" s="544"/>
      <c r="KF29" s="546" t="str">
        <f t="shared" si="103"/>
        <v>0</v>
      </c>
      <c r="KG29" s="546" t="str">
        <f t="shared" si="104"/>
        <v>0</v>
      </c>
      <c r="KH29" s="544"/>
      <c r="KI29" s="546" t="str">
        <f t="shared" si="105"/>
        <v>0</v>
      </c>
      <c r="KJ29" s="546" t="str">
        <f t="shared" si="106"/>
        <v>0</v>
      </c>
      <c r="KK29" s="544"/>
      <c r="KL29" s="546" t="str">
        <f t="shared" si="107"/>
        <v>0</v>
      </c>
      <c r="KM29" s="546" t="str">
        <f t="shared" si="108"/>
        <v>0</v>
      </c>
      <c r="KN29" s="544"/>
      <c r="KO29" s="546" t="str">
        <f t="shared" si="109"/>
        <v>0</v>
      </c>
      <c r="KP29" s="546" t="str">
        <f t="shared" si="110"/>
        <v>0</v>
      </c>
      <c r="KQ29" s="546">
        <f t="shared" si="111"/>
        <v>0</v>
      </c>
      <c r="KR29" s="546">
        <f t="shared" si="198"/>
        <v>0</v>
      </c>
      <c r="KS29" s="265">
        <f t="shared" si="199"/>
        <v>587.63706636500751</v>
      </c>
    </row>
    <row r="30" spans="1:305" ht="15" customHeight="1">
      <c r="A30" s="267">
        <f t="shared" si="200"/>
        <v>45738</v>
      </c>
      <c r="B30" s="268" t="str">
        <f>+Report1!B30</f>
        <v>Towel</v>
      </c>
      <c r="C30" s="268" t="str">
        <f>+Report1!C30</f>
        <v>17/16</v>
      </c>
      <c r="D30" s="269">
        <f>+Report1!P30</f>
        <v>50.204999999999998</v>
      </c>
      <c r="E30" s="270">
        <f>+Report1!R30</f>
        <v>49.984999999999999</v>
      </c>
      <c r="F30" s="544"/>
      <c r="G30" s="545">
        <f t="shared" si="0"/>
        <v>0</v>
      </c>
      <c r="H30" s="546">
        <f t="shared" si="112"/>
        <v>0</v>
      </c>
      <c r="I30" s="544"/>
      <c r="J30" s="545">
        <f t="shared" si="1"/>
        <v>0</v>
      </c>
      <c r="K30" s="546">
        <f t="shared" si="113"/>
        <v>0</v>
      </c>
      <c r="L30" s="544"/>
      <c r="M30" s="545">
        <f t="shared" si="2"/>
        <v>0</v>
      </c>
      <c r="N30" s="546">
        <f t="shared" si="114"/>
        <v>0</v>
      </c>
      <c r="O30" s="544">
        <v>9</v>
      </c>
      <c r="P30" s="545">
        <f t="shared" si="3"/>
        <v>0.18005401620486147</v>
      </c>
      <c r="Q30" s="546">
        <f t="shared" si="115"/>
        <v>0</v>
      </c>
      <c r="R30" s="544"/>
      <c r="S30" s="545">
        <f t="shared" si="4"/>
        <v>0</v>
      </c>
      <c r="T30" s="546">
        <f t="shared" si="116"/>
        <v>0</v>
      </c>
      <c r="U30" s="544">
        <v>10.25</v>
      </c>
      <c r="V30" s="545">
        <f t="shared" si="5"/>
        <v>0.20506151845553666</v>
      </c>
      <c r="W30" s="546">
        <f t="shared" si="117"/>
        <v>0</v>
      </c>
      <c r="X30" s="544"/>
      <c r="Y30" s="545">
        <f t="shared" si="6"/>
        <v>0</v>
      </c>
      <c r="Z30" s="546">
        <f t="shared" si="118"/>
        <v>0</v>
      </c>
      <c r="AA30" s="544"/>
      <c r="AB30" s="545">
        <f t="shared" si="7"/>
        <v>0</v>
      </c>
      <c r="AC30" s="546">
        <f t="shared" si="119"/>
        <v>0</v>
      </c>
      <c r="AD30" s="544"/>
      <c r="AE30" s="545">
        <f t="shared" si="8"/>
        <v>0</v>
      </c>
      <c r="AF30" s="546">
        <f t="shared" si="120"/>
        <v>0</v>
      </c>
      <c r="AG30" s="544"/>
      <c r="AH30" s="545">
        <f t="shared" si="9"/>
        <v>0</v>
      </c>
      <c r="AI30" s="546">
        <f t="shared" si="121"/>
        <v>0</v>
      </c>
      <c r="AJ30" s="544"/>
      <c r="AK30" s="545">
        <f t="shared" si="10"/>
        <v>0</v>
      </c>
      <c r="AL30" s="546">
        <f t="shared" si="122"/>
        <v>0</v>
      </c>
      <c r="AM30" s="544">
        <v>36.794871794871767</v>
      </c>
      <c r="AN30" s="545">
        <f t="shared" si="11"/>
        <v>0.736118271378849</v>
      </c>
      <c r="AO30" s="546">
        <f t="shared" si="123"/>
        <v>0</v>
      </c>
      <c r="AP30" s="544"/>
      <c r="AQ30" s="545">
        <f t="shared" si="12"/>
        <v>0</v>
      </c>
      <c r="AR30" s="546">
        <f t="shared" si="124"/>
        <v>0</v>
      </c>
      <c r="AS30" s="544"/>
      <c r="AT30" s="545">
        <f t="shared" si="13"/>
        <v>0</v>
      </c>
      <c r="AU30" s="546">
        <f t="shared" si="125"/>
        <v>0</v>
      </c>
      <c r="AV30" s="544">
        <v>2.7749999999999773</v>
      </c>
      <c r="AW30" s="545">
        <f t="shared" si="14"/>
        <v>5.5516654996498493E-2</v>
      </c>
      <c r="AX30" s="546">
        <f t="shared" si="126"/>
        <v>0</v>
      </c>
      <c r="AY30" s="544">
        <v>67.666666666666686</v>
      </c>
      <c r="AZ30" s="545">
        <f t="shared" si="15"/>
        <v>1.3537394551698847</v>
      </c>
      <c r="BA30" s="546">
        <f t="shared" si="127"/>
        <v>0</v>
      </c>
      <c r="BB30" s="544"/>
      <c r="BC30" s="545">
        <f t="shared" si="16"/>
        <v>0</v>
      </c>
      <c r="BD30" s="546">
        <f t="shared" si="128"/>
        <v>0</v>
      </c>
      <c r="BE30" s="544"/>
      <c r="BF30" s="545">
        <f t="shared" si="17"/>
        <v>0</v>
      </c>
      <c r="BG30" s="546">
        <f t="shared" si="129"/>
        <v>0</v>
      </c>
      <c r="BH30" s="544"/>
      <c r="BI30" s="545">
        <f t="shared" si="18"/>
        <v>0</v>
      </c>
      <c r="BJ30" s="546">
        <f t="shared" si="130"/>
        <v>0</v>
      </c>
      <c r="BK30" s="544"/>
      <c r="BL30" s="545">
        <f t="shared" si="19"/>
        <v>0</v>
      </c>
      <c r="BM30" s="546">
        <f t="shared" si="131"/>
        <v>0</v>
      </c>
      <c r="BN30" s="544"/>
      <c r="BO30" s="545">
        <f t="shared" si="20"/>
        <v>0</v>
      </c>
      <c r="BP30" s="546">
        <f t="shared" si="132"/>
        <v>0</v>
      </c>
      <c r="BQ30" s="544"/>
      <c r="BR30" s="545">
        <f t="shared" si="21"/>
        <v>0</v>
      </c>
      <c r="BS30" s="546">
        <f t="shared" si="133"/>
        <v>0</v>
      </c>
      <c r="BT30" s="544"/>
      <c r="BU30" s="545">
        <f t="shared" si="22"/>
        <v>0</v>
      </c>
      <c r="BV30" s="546">
        <f t="shared" si="134"/>
        <v>0</v>
      </c>
      <c r="BW30" s="544"/>
      <c r="BX30" s="545">
        <f t="shared" si="23"/>
        <v>0</v>
      </c>
      <c r="BY30" s="546">
        <f t="shared" si="135"/>
        <v>0</v>
      </c>
      <c r="BZ30" s="544"/>
      <c r="CA30" s="545">
        <f t="shared" si="24"/>
        <v>0</v>
      </c>
      <c r="CB30" s="546">
        <f t="shared" si="136"/>
        <v>0</v>
      </c>
      <c r="CC30" s="544">
        <v>25</v>
      </c>
      <c r="CD30" s="545">
        <f t="shared" si="25"/>
        <v>0.50015004501350402</v>
      </c>
      <c r="CE30" s="546">
        <f t="shared" si="137"/>
        <v>0</v>
      </c>
      <c r="CF30" s="544">
        <v>0.60000000000000142</v>
      </c>
      <c r="CG30" s="545">
        <f t="shared" si="26"/>
        <v>1.2003601080324125E-2</v>
      </c>
      <c r="CH30" s="546">
        <f t="shared" si="138"/>
        <v>0</v>
      </c>
      <c r="CI30" s="544"/>
      <c r="CJ30" s="545">
        <f t="shared" si="27"/>
        <v>0</v>
      </c>
      <c r="CK30" s="546">
        <f t="shared" si="139"/>
        <v>0</v>
      </c>
      <c r="CL30" s="544"/>
      <c r="CM30" s="545">
        <f t="shared" si="28"/>
        <v>0</v>
      </c>
      <c r="CN30" s="546">
        <f t="shared" si="140"/>
        <v>0</v>
      </c>
      <c r="CO30" s="544"/>
      <c r="CP30" s="545">
        <f t="shared" si="29"/>
        <v>0</v>
      </c>
      <c r="CQ30" s="546">
        <f t="shared" si="141"/>
        <v>0</v>
      </c>
      <c r="CR30" s="544"/>
      <c r="CS30" s="545">
        <f t="shared" si="30"/>
        <v>0</v>
      </c>
      <c r="CT30" s="546">
        <f t="shared" si="142"/>
        <v>0</v>
      </c>
      <c r="CU30" s="544"/>
      <c r="CV30" s="545">
        <f t="shared" si="31"/>
        <v>0</v>
      </c>
      <c r="CW30" s="546">
        <f t="shared" si="143"/>
        <v>0</v>
      </c>
      <c r="CX30" s="544"/>
      <c r="CY30" s="545">
        <f t="shared" si="32"/>
        <v>0</v>
      </c>
      <c r="CZ30" s="546">
        <f t="shared" si="144"/>
        <v>0</v>
      </c>
      <c r="DA30" s="544"/>
      <c r="DB30" s="545">
        <f t="shared" si="33"/>
        <v>0</v>
      </c>
      <c r="DC30" s="546">
        <f t="shared" si="145"/>
        <v>0</v>
      </c>
      <c r="DD30" s="544"/>
      <c r="DE30" s="545">
        <f t="shared" si="34"/>
        <v>0</v>
      </c>
      <c r="DF30" s="546">
        <f t="shared" si="146"/>
        <v>0</v>
      </c>
      <c r="DG30" s="544"/>
      <c r="DH30" s="545">
        <f t="shared" si="35"/>
        <v>0</v>
      </c>
      <c r="DI30" s="546">
        <f t="shared" si="201"/>
        <v>0</v>
      </c>
      <c r="DJ30" s="544"/>
      <c r="DK30" s="545">
        <f t="shared" si="36"/>
        <v>0</v>
      </c>
      <c r="DL30" s="546">
        <f t="shared" si="147"/>
        <v>0</v>
      </c>
      <c r="DM30" s="544"/>
      <c r="DN30" s="545">
        <f t="shared" si="37"/>
        <v>0</v>
      </c>
      <c r="DO30" s="546">
        <f t="shared" si="148"/>
        <v>0</v>
      </c>
      <c r="DP30" s="544"/>
      <c r="DQ30" s="545">
        <f t="shared" si="38"/>
        <v>0</v>
      </c>
      <c r="DR30" s="546">
        <f t="shared" si="149"/>
        <v>0</v>
      </c>
      <c r="DS30" s="544"/>
      <c r="DT30" s="545">
        <f t="shared" si="39"/>
        <v>0</v>
      </c>
      <c r="DU30" s="546">
        <f t="shared" si="150"/>
        <v>0</v>
      </c>
      <c r="DV30" s="544"/>
      <c r="DW30" s="545">
        <f t="shared" si="40"/>
        <v>0</v>
      </c>
      <c r="DX30" s="546">
        <f t="shared" si="151"/>
        <v>0</v>
      </c>
      <c r="DY30" s="544"/>
      <c r="DZ30" s="545">
        <f t="shared" si="41"/>
        <v>0</v>
      </c>
      <c r="EA30" s="546">
        <f t="shared" si="152"/>
        <v>0</v>
      </c>
      <c r="EB30" s="544">
        <v>517.64705882352939</v>
      </c>
      <c r="EC30" s="545">
        <f t="shared" si="42"/>
        <v>10.356047990867848</v>
      </c>
      <c r="ED30" s="546">
        <f t="shared" si="153"/>
        <v>0</v>
      </c>
      <c r="EE30" s="544">
        <v>0</v>
      </c>
      <c r="EF30" s="545">
        <f t="shared" si="43"/>
        <v>0</v>
      </c>
      <c r="EG30" s="546">
        <f t="shared" si="154"/>
        <v>0</v>
      </c>
      <c r="EH30" s="544">
        <v>2</v>
      </c>
      <c r="EI30" s="545">
        <f t="shared" si="44"/>
        <v>4.0012003601080322E-2</v>
      </c>
      <c r="EJ30" s="546">
        <f t="shared" si="155"/>
        <v>0</v>
      </c>
      <c r="EK30" s="544"/>
      <c r="EL30" s="545">
        <f t="shared" si="45"/>
        <v>0</v>
      </c>
      <c r="EM30" s="546">
        <f t="shared" si="156"/>
        <v>0</v>
      </c>
      <c r="EN30" s="544"/>
      <c r="EO30" s="545">
        <f t="shared" si="46"/>
        <v>0</v>
      </c>
      <c r="EP30" s="546">
        <f t="shared" si="157"/>
        <v>0</v>
      </c>
      <c r="EQ30" s="544"/>
      <c r="ER30" s="545">
        <f t="shared" si="47"/>
        <v>0</v>
      </c>
      <c r="ES30" s="546">
        <f t="shared" si="158"/>
        <v>0</v>
      </c>
      <c r="ET30" s="544"/>
      <c r="EU30" s="545">
        <f t="shared" si="48"/>
        <v>0</v>
      </c>
      <c r="EV30" s="546">
        <f t="shared" si="159"/>
        <v>0</v>
      </c>
      <c r="EW30" s="544"/>
      <c r="EX30" s="545">
        <f t="shared" si="49"/>
        <v>0</v>
      </c>
      <c r="EY30" s="546">
        <f t="shared" si="160"/>
        <v>0</v>
      </c>
      <c r="EZ30" s="544"/>
      <c r="FA30" s="545">
        <f t="shared" si="50"/>
        <v>0</v>
      </c>
      <c r="FB30" s="546">
        <f t="shared" si="161"/>
        <v>0</v>
      </c>
      <c r="FC30" s="544"/>
      <c r="FD30" s="545">
        <f t="shared" si="51"/>
        <v>0</v>
      </c>
      <c r="FE30" s="546">
        <f t="shared" si="162"/>
        <v>0</v>
      </c>
      <c r="FF30" s="544"/>
      <c r="FG30" s="545">
        <f t="shared" si="52"/>
        <v>0</v>
      </c>
      <c r="FH30" s="546">
        <f t="shared" si="163"/>
        <v>0</v>
      </c>
      <c r="FI30" s="544"/>
      <c r="FJ30" s="545">
        <f t="shared" si="53"/>
        <v>0</v>
      </c>
      <c r="FK30" s="546">
        <f t="shared" si="164"/>
        <v>0</v>
      </c>
      <c r="FL30" s="544"/>
      <c r="FM30" s="545">
        <f t="shared" si="54"/>
        <v>0</v>
      </c>
      <c r="FN30" s="546">
        <f t="shared" si="165"/>
        <v>0</v>
      </c>
      <c r="FO30" s="544"/>
      <c r="FP30" s="545">
        <f t="shared" si="55"/>
        <v>0</v>
      </c>
      <c r="FQ30" s="546">
        <f t="shared" si="166"/>
        <v>0</v>
      </c>
      <c r="FR30" s="544"/>
      <c r="FS30" s="545">
        <f t="shared" si="56"/>
        <v>0</v>
      </c>
      <c r="FT30" s="546">
        <f t="shared" si="167"/>
        <v>0</v>
      </c>
      <c r="FU30" s="544"/>
      <c r="FV30" s="545">
        <f t="shared" si="57"/>
        <v>0</v>
      </c>
      <c r="FW30" s="546">
        <f t="shared" si="168"/>
        <v>0</v>
      </c>
      <c r="FX30" s="544"/>
      <c r="FY30" s="545">
        <f t="shared" si="58"/>
        <v>0</v>
      </c>
      <c r="FZ30" s="546">
        <f t="shared" si="169"/>
        <v>0</v>
      </c>
      <c r="GA30" s="544"/>
      <c r="GB30" s="545">
        <f t="shared" si="59"/>
        <v>0</v>
      </c>
      <c r="GC30" s="546">
        <f t="shared" si="170"/>
        <v>0</v>
      </c>
      <c r="GD30" s="544"/>
      <c r="GE30" s="545">
        <f t="shared" si="60"/>
        <v>0</v>
      </c>
      <c r="GF30" s="546">
        <f t="shared" si="171"/>
        <v>0</v>
      </c>
      <c r="GG30" s="544"/>
      <c r="GH30" s="545">
        <f t="shared" si="61"/>
        <v>0</v>
      </c>
      <c r="GI30" s="546">
        <f t="shared" si="172"/>
        <v>0</v>
      </c>
      <c r="GJ30" s="544"/>
      <c r="GK30" s="545">
        <f t="shared" ref="GK30:GK39" si="211">+GJ30/$E30</f>
        <v>0</v>
      </c>
      <c r="GL30" s="546">
        <f t="shared" ref="GL30:GL39" si="212">+GJ30*$H$8</f>
        <v>0</v>
      </c>
      <c r="GM30" s="544"/>
      <c r="GN30" s="545">
        <f t="shared" si="202"/>
        <v>0</v>
      </c>
      <c r="GO30" s="546">
        <f t="shared" si="203"/>
        <v>0</v>
      </c>
      <c r="GP30" s="544"/>
      <c r="GQ30" s="545">
        <f t="shared" si="204"/>
        <v>0</v>
      </c>
      <c r="GR30" s="546">
        <f t="shared" si="205"/>
        <v>0</v>
      </c>
      <c r="GS30" s="544"/>
      <c r="GT30" s="545">
        <f t="shared" si="206"/>
        <v>0</v>
      </c>
      <c r="GU30" s="546">
        <f t="shared" si="207"/>
        <v>0</v>
      </c>
      <c r="GV30" s="544"/>
      <c r="GW30" s="545">
        <f t="shared" si="208"/>
        <v>0</v>
      </c>
      <c r="GX30" s="546">
        <f t="shared" si="209"/>
        <v>0</v>
      </c>
      <c r="GY30" s="544"/>
      <c r="GZ30" s="545">
        <f t="shared" si="210"/>
        <v>0</v>
      </c>
      <c r="HA30" s="546">
        <f>+GY30*$H$8</f>
        <v>0</v>
      </c>
      <c r="HB30" s="544"/>
      <c r="HC30" s="545">
        <f>+HB30/$E30</f>
        <v>0</v>
      </c>
      <c r="HD30" s="546">
        <f>+HB30*$H$8</f>
        <v>0</v>
      </c>
      <c r="HE30" s="544"/>
      <c r="HF30" s="545">
        <f>+HE30/$E30</f>
        <v>0</v>
      </c>
      <c r="HG30" s="546">
        <f>+HE30*$H$8</f>
        <v>0</v>
      </c>
      <c r="HH30" s="544"/>
      <c r="HI30" s="545">
        <f>+HH30/$E30</f>
        <v>0</v>
      </c>
      <c r="HJ30" s="546">
        <f>+HH30*$H$8</f>
        <v>0</v>
      </c>
      <c r="HK30" s="544"/>
      <c r="HL30" s="545">
        <f>+HK30/$E30</f>
        <v>0</v>
      </c>
      <c r="HM30" s="546">
        <f t="shared" si="182"/>
        <v>0</v>
      </c>
      <c r="HN30" s="544"/>
      <c r="HO30" s="545">
        <f t="shared" si="72"/>
        <v>0</v>
      </c>
      <c r="HP30" s="546">
        <f t="shared" si="183"/>
        <v>0</v>
      </c>
      <c r="HQ30" s="544"/>
      <c r="HR30" s="545">
        <f t="shared" si="73"/>
        <v>0</v>
      </c>
      <c r="HS30" s="546">
        <f t="shared" si="184"/>
        <v>0</v>
      </c>
      <c r="HT30" s="544"/>
      <c r="HU30" s="545">
        <f t="shared" si="74"/>
        <v>0</v>
      </c>
      <c r="HV30" s="546">
        <f t="shared" si="185"/>
        <v>0</v>
      </c>
      <c r="HW30" s="544"/>
      <c r="HX30" s="545">
        <f t="shared" si="75"/>
        <v>0</v>
      </c>
      <c r="HY30" s="546">
        <f t="shared" si="186"/>
        <v>0</v>
      </c>
      <c r="HZ30" s="544"/>
      <c r="IA30" s="545">
        <f t="shared" si="76"/>
        <v>0</v>
      </c>
      <c r="IB30" s="546">
        <f t="shared" si="187"/>
        <v>0</v>
      </c>
      <c r="IC30" s="544"/>
      <c r="ID30" s="545">
        <f t="shared" si="77"/>
        <v>0</v>
      </c>
      <c r="IE30" s="546">
        <f t="shared" si="188"/>
        <v>0</v>
      </c>
      <c r="IF30" s="544"/>
      <c r="IG30" s="545">
        <f t="shared" si="78"/>
        <v>0</v>
      </c>
      <c r="IH30" s="546">
        <f t="shared" si="189"/>
        <v>0</v>
      </c>
      <c r="II30" s="544"/>
      <c r="IJ30" s="545">
        <f t="shared" si="79"/>
        <v>0</v>
      </c>
      <c r="IK30" s="546">
        <f t="shared" si="190"/>
        <v>0</v>
      </c>
      <c r="IL30" s="544"/>
      <c r="IM30" s="545">
        <f t="shared" si="80"/>
        <v>0</v>
      </c>
      <c r="IN30" s="546">
        <f t="shared" si="191"/>
        <v>0</v>
      </c>
      <c r="IO30" s="544"/>
      <c r="IP30" s="545">
        <f t="shared" si="81"/>
        <v>0</v>
      </c>
      <c r="IQ30" s="546">
        <f t="shared" si="192"/>
        <v>0</v>
      </c>
      <c r="IR30" s="544"/>
      <c r="IS30" s="545">
        <f t="shared" si="82"/>
        <v>0</v>
      </c>
      <c r="IT30" s="546">
        <f t="shared" si="193"/>
        <v>0</v>
      </c>
      <c r="IU30" s="544"/>
      <c r="IV30" s="545">
        <f t="shared" si="83"/>
        <v>0</v>
      </c>
      <c r="IW30" s="546">
        <f t="shared" si="194"/>
        <v>0</v>
      </c>
      <c r="IX30" s="544"/>
      <c r="IY30" s="545">
        <f t="shared" si="84"/>
        <v>0</v>
      </c>
      <c r="IZ30" s="546">
        <f t="shared" si="195"/>
        <v>0</v>
      </c>
      <c r="JA30" s="544"/>
      <c r="JB30" s="545">
        <f t="shared" si="85"/>
        <v>0</v>
      </c>
      <c r="JC30" s="546">
        <f t="shared" si="196"/>
        <v>0</v>
      </c>
      <c r="JD30" s="544"/>
      <c r="JE30" s="545">
        <f t="shared" si="86"/>
        <v>0</v>
      </c>
      <c r="JF30" s="546">
        <f t="shared" si="197"/>
        <v>0</v>
      </c>
      <c r="JG30" s="544"/>
      <c r="JH30" s="546" t="str">
        <f t="shared" si="87"/>
        <v>0</v>
      </c>
      <c r="JI30" s="546" t="str">
        <f t="shared" si="88"/>
        <v>0</v>
      </c>
      <c r="JJ30" s="544"/>
      <c r="JK30" s="546" t="str">
        <f t="shared" si="89"/>
        <v>0</v>
      </c>
      <c r="JL30" s="546" t="str">
        <f t="shared" si="90"/>
        <v>0</v>
      </c>
      <c r="JM30" s="544"/>
      <c r="JN30" s="546" t="str">
        <f t="shared" si="91"/>
        <v>0</v>
      </c>
      <c r="JO30" s="546" t="str">
        <f t="shared" si="92"/>
        <v>0</v>
      </c>
      <c r="JP30" s="544"/>
      <c r="JQ30" s="546" t="str">
        <f t="shared" si="93"/>
        <v>0</v>
      </c>
      <c r="JR30" s="546" t="str">
        <f t="shared" si="94"/>
        <v>0</v>
      </c>
      <c r="JS30" s="544"/>
      <c r="JT30" s="546" t="str">
        <f t="shared" si="95"/>
        <v>0</v>
      </c>
      <c r="JU30" s="546" t="str">
        <f t="shared" si="96"/>
        <v>0</v>
      </c>
      <c r="JV30" s="544"/>
      <c r="JW30" s="546" t="str">
        <f t="shared" si="97"/>
        <v>0</v>
      </c>
      <c r="JX30" s="546" t="str">
        <f t="shared" si="98"/>
        <v>0</v>
      </c>
      <c r="JY30" s="544"/>
      <c r="JZ30" s="546" t="str">
        <f t="shared" si="99"/>
        <v>0</v>
      </c>
      <c r="KA30" s="546" t="str">
        <f t="shared" si="100"/>
        <v>0</v>
      </c>
      <c r="KB30" s="544"/>
      <c r="KC30" s="546" t="str">
        <f t="shared" si="101"/>
        <v>0</v>
      </c>
      <c r="KD30" s="546" t="str">
        <f t="shared" si="102"/>
        <v>0</v>
      </c>
      <c r="KE30" s="544"/>
      <c r="KF30" s="546" t="str">
        <f t="shared" si="103"/>
        <v>0</v>
      </c>
      <c r="KG30" s="546" t="str">
        <f t="shared" si="104"/>
        <v>0</v>
      </c>
      <c r="KH30" s="544"/>
      <c r="KI30" s="546" t="str">
        <f t="shared" si="105"/>
        <v>0</v>
      </c>
      <c r="KJ30" s="546" t="str">
        <f t="shared" si="106"/>
        <v>0</v>
      </c>
      <c r="KK30" s="544"/>
      <c r="KL30" s="546" t="str">
        <f t="shared" si="107"/>
        <v>0</v>
      </c>
      <c r="KM30" s="546" t="str">
        <f t="shared" si="108"/>
        <v>0</v>
      </c>
      <c r="KN30" s="544"/>
      <c r="KO30" s="546" t="str">
        <f t="shared" si="109"/>
        <v>0</v>
      </c>
      <c r="KP30" s="546" t="str">
        <f t="shared" si="110"/>
        <v>0</v>
      </c>
      <c r="KQ30" s="546">
        <f t="shared" si="111"/>
        <v>0</v>
      </c>
      <c r="KR30" s="546">
        <f t="shared" si="198"/>
        <v>0</v>
      </c>
      <c r="KS30" s="265">
        <f t="shared" si="199"/>
        <v>671.73359728506784</v>
      </c>
    </row>
    <row r="31" spans="1:305" ht="15" customHeight="1">
      <c r="A31" s="267">
        <f t="shared" si="200"/>
        <v>45739</v>
      </c>
      <c r="B31" s="268" t="str">
        <f>+Report1!B31</f>
        <v>Towel</v>
      </c>
      <c r="C31" s="268" t="str">
        <f>+Report1!C31</f>
        <v>16</v>
      </c>
      <c r="D31" s="269">
        <f>+Report1!P31</f>
        <v>49.180999999999997</v>
      </c>
      <c r="E31" s="270">
        <f>+Report1!R31</f>
        <v>50.241</v>
      </c>
      <c r="F31" s="544"/>
      <c r="G31" s="545">
        <f t="shared" si="0"/>
        <v>0</v>
      </c>
      <c r="H31" s="546">
        <f t="shared" si="112"/>
        <v>0</v>
      </c>
      <c r="I31" s="544"/>
      <c r="J31" s="545">
        <f t="shared" si="1"/>
        <v>0</v>
      </c>
      <c r="K31" s="546">
        <f t="shared" si="113"/>
        <v>0</v>
      </c>
      <c r="L31" s="544"/>
      <c r="M31" s="545">
        <f t="shared" si="2"/>
        <v>0</v>
      </c>
      <c r="N31" s="546">
        <f t="shared" si="114"/>
        <v>0</v>
      </c>
      <c r="O31" s="544">
        <v>7.5</v>
      </c>
      <c r="P31" s="545">
        <f t="shared" si="3"/>
        <v>0.14928046814354809</v>
      </c>
      <c r="Q31" s="546">
        <f t="shared" si="115"/>
        <v>0</v>
      </c>
      <c r="R31" s="544"/>
      <c r="S31" s="545">
        <f t="shared" si="4"/>
        <v>0</v>
      </c>
      <c r="T31" s="546">
        <f t="shared" si="116"/>
        <v>0</v>
      </c>
      <c r="U31" s="544">
        <v>10.25</v>
      </c>
      <c r="V31" s="545">
        <f t="shared" si="5"/>
        <v>0.2040166397961824</v>
      </c>
      <c r="W31" s="546">
        <f t="shared" si="117"/>
        <v>0</v>
      </c>
      <c r="X31" s="544"/>
      <c r="Y31" s="545">
        <f t="shared" si="6"/>
        <v>0</v>
      </c>
      <c r="Z31" s="546">
        <f t="shared" si="118"/>
        <v>0</v>
      </c>
      <c r="AA31" s="544"/>
      <c r="AB31" s="545">
        <f t="shared" si="7"/>
        <v>0</v>
      </c>
      <c r="AC31" s="546">
        <f t="shared" si="119"/>
        <v>0</v>
      </c>
      <c r="AD31" s="544"/>
      <c r="AE31" s="545">
        <f t="shared" si="8"/>
        <v>0</v>
      </c>
      <c r="AF31" s="546">
        <f t="shared" si="120"/>
        <v>0</v>
      </c>
      <c r="AG31" s="544"/>
      <c r="AH31" s="545">
        <f t="shared" si="9"/>
        <v>0</v>
      </c>
      <c r="AI31" s="546">
        <f t="shared" si="121"/>
        <v>0</v>
      </c>
      <c r="AJ31" s="544"/>
      <c r="AK31" s="545">
        <f t="shared" si="10"/>
        <v>0</v>
      </c>
      <c r="AL31" s="546">
        <f t="shared" si="122"/>
        <v>0</v>
      </c>
      <c r="AM31" s="544">
        <v>44.041325641025622</v>
      </c>
      <c r="AN31" s="545">
        <f t="shared" si="11"/>
        <v>0.87660129458063385</v>
      </c>
      <c r="AO31" s="546">
        <f t="shared" si="123"/>
        <v>0</v>
      </c>
      <c r="AP31" s="544"/>
      <c r="AQ31" s="545">
        <f t="shared" si="12"/>
        <v>0</v>
      </c>
      <c r="AR31" s="546">
        <f t="shared" si="124"/>
        <v>0</v>
      </c>
      <c r="AS31" s="544"/>
      <c r="AT31" s="545">
        <f t="shared" si="13"/>
        <v>0</v>
      </c>
      <c r="AU31" s="546">
        <f t="shared" si="125"/>
        <v>0</v>
      </c>
      <c r="AV31" s="544">
        <v>2.7750000000000057</v>
      </c>
      <c r="AW31" s="545">
        <f t="shared" si="14"/>
        <v>5.5233773213112909E-2</v>
      </c>
      <c r="AX31" s="546">
        <f t="shared" si="126"/>
        <v>0</v>
      </c>
      <c r="AY31" s="544">
        <v>65.561466666666604</v>
      </c>
      <c r="AZ31" s="545">
        <f t="shared" si="15"/>
        <v>1.3049395248236819</v>
      </c>
      <c r="BA31" s="546">
        <f t="shared" si="127"/>
        <v>0</v>
      </c>
      <c r="BB31" s="544"/>
      <c r="BC31" s="545">
        <f t="shared" si="16"/>
        <v>0</v>
      </c>
      <c r="BD31" s="546">
        <f t="shared" si="128"/>
        <v>0</v>
      </c>
      <c r="BE31" s="544"/>
      <c r="BF31" s="545">
        <f t="shared" si="17"/>
        <v>0</v>
      </c>
      <c r="BG31" s="546">
        <f t="shared" si="129"/>
        <v>0</v>
      </c>
      <c r="BH31" s="544"/>
      <c r="BI31" s="545">
        <f t="shared" si="18"/>
        <v>0</v>
      </c>
      <c r="BJ31" s="546">
        <f t="shared" si="130"/>
        <v>0</v>
      </c>
      <c r="BK31" s="544"/>
      <c r="BL31" s="545">
        <f t="shared" si="19"/>
        <v>0</v>
      </c>
      <c r="BM31" s="546">
        <f t="shared" si="131"/>
        <v>0</v>
      </c>
      <c r="BN31" s="544"/>
      <c r="BO31" s="545">
        <f t="shared" si="20"/>
        <v>0</v>
      </c>
      <c r="BP31" s="546">
        <f t="shared" si="132"/>
        <v>0</v>
      </c>
      <c r="BQ31" s="544"/>
      <c r="BR31" s="545">
        <f t="shared" si="21"/>
        <v>0</v>
      </c>
      <c r="BS31" s="546">
        <f t="shared" si="133"/>
        <v>0</v>
      </c>
      <c r="BT31" s="544"/>
      <c r="BU31" s="545">
        <f t="shared" si="22"/>
        <v>0</v>
      </c>
      <c r="BV31" s="546">
        <f t="shared" si="134"/>
        <v>0</v>
      </c>
      <c r="BW31" s="544"/>
      <c r="BX31" s="545">
        <f t="shared" si="23"/>
        <v>0</v>
      </c>
      <c r="BY31" s="546">
        <f t="shared" si="135"/>
        <v>0</v>
      </c>
      <c r="BZ31" s="544"/>
      <c r="CA31" s="545">
        <f t="shared" si="24"/>
        <v>0</v>
      </c>
      <c r="CB31" s="546">
        <f t="shared" si="136"/>
        <v>0</v>
      </c>
      <c r="CC31" s="544">
        <v>37.5</v>
      </c>
      <c r="CD31" s="545">
        <f t="shared" si="25"/>
        <v>0.74640234071774048</v>
      </c>
      <c r="CE31" s="546">
        <f t="shared" si="137"/>
        <v>0</v>
      </c>
      <c r="CF31" s="544">
        <v>0.59999999999999964</v>
      </c>
      <c r="CG31" s="545">
        <f t="shared" si="26"/>
        <v>1.194243745148384E-2</v>
      </c>
      <c r="CH31" s="546">
        <f t="shared" si="138"/>
        <v>0</v>
      </c>
      <c r="CI31" s="544"/>
      <c r="CJ31" s="545">
        <f t="shared" si="27"/>
        <v>0</v>
      </c>
      <c r="CK31" s="546">
        <f t="shared" si="139"/>
        <v>0</v>
      </c>
      <c r="CL31" s="544"/>
      <c r="CM31" s="545">
        <f t="shared" si="28"/>
        <v>0</v>
      </c>
      <c r="CN31" s="546">
        <f t="shared" si="140"/>
        <v>0</v>
      </c>
      <c r="CO31" s="544"/>
      <c r="CP31" s="545">
        <f t="shared" si="29"/>
        <v>0</v>
      </c>
      <c r="CQ31" s="546">
        <f t="shared" si="141"/>
        <v>0</v>
      </c>
      <c r="CR31" s="544"/>
      <c r="CS31" s="545">
        <f t="shared" si="30"/>
        <v>0</v>
      </c>
      <c r="CT31" s="546">
        <f t="shared" si="142"/>
        <v>0</v>
      </c>
      <c r="CU31" s="544"/>
      <c r="CV31" s="545">
        <f t="shared" si="31"/>
        <v>0</v>
      </c>
      <c r="CW31" s="546">
        <f t="shared" si="143"/>
        <v>0</v>
      </c>
      <c r="CX31" s="544"/>
      <c r="CY31" s="545">
        <f t="shared" si="32"/>
        <v>0</v>
      </c>
      <c r="CZ31" s="546">
        <f t="shared" si="144"/>
        <v>0</v>
      </c>
      <c r="DA31" s="544"/>
      <c r="DB31" s="545">
        <f t="shared" si="33"/>
        <v>0</v>
      </c>
      <c r="DC31" s="546">
        <f t="shared" si="145"/>
        <v>0</v>
      </c>
      <c r="DD31" s="544"/>
      <c r="DE31" s="545">
        <f t="shared" si="34"/>
        <v>0</v>
      </c>
      <c r="DF31" s="546">
        <f t="shared" si="146"/>
        <v>0</v>
      </c>
      <c r="DG31" s="544"/>
      <c r="DH31" s="545">
        <f t="shared" si="35"/>
        <v>0</v>
      </c>
      <c r="DI31" s="546">
        <f t="shared" si="201"/>
        <v>0</v>
      </c>
      <c r="DJ31" s="544"/>
      <c r="DK31" s="545">
        <f t="shared" si="36"/>
        <v>0</v>
      </c>
      <c r="DL31" s="546">
        <f t="shared" si="147"/>
        <v>0</v>
      </c>
      <c r="DM31" s="544"/>
      <c r="DN31" s="545">
        <f t="shared" si="37"/>
        <v>0</v>
      </c>
      <c r="DO31" s="546">
        <f t="shared" si="148"/>
        <v>0</v>
      </c>
      <c r="DP31" s="544"/>
      <c r="DQ31" s="545">
        <f t="shared" si="38"/>
        <v>0</v>
      </c>
      <c r="DR31" s="546">
        <f t="shared" si="149"/>
        <v>0</v>
      </c>
      <c r="DS31" s="544"/>
      <c r="DT31" s="545">
        <f t="shared" si="39"/>
        <v>0</v>
      </c>
      <c r="DU31" s="546">
        <f t="shared" si="150"/>
        <v>0</v>
      </c>
      <c r="DV31" s="544"/>
      <c r="DW31" s="545">
        <f t="shared" si="40"/>
        <v>0</v>
      </c>
      <c r="DX31" s="546">
        <f t="shared" si="151"/>
        <v>0</v>
      </c>
      <c r="DY31" s="544"/>
      <c r="DZ31" s="545">
        <f t="shared" si="41"/>
        <v>0</v>
      </c>
      <c r="EA31" s="546">
        <f t="shared" si="152"/>
        <v>0</v>
      </c>
      <c r="EB31" s="544">
        <v>498.99047058823498</v>
      </c>
      <c r="EC31" s="545">
        <f t="shared" si="42"/>
        <v>9.9319374731441457</v>
      </c>
      <c r="ED31" s="546">
        <f t="shared" si="153"/>
        <v>0</v>
      </c>
      <c r="EE31" s="544">
        <v>0</v>
      </c>
      <c r="EF31" s="545">
        <f t="shared" si="43"/>
        <v>0</v>
      </c>
      <c r="EG31" s="546">
        <f t="shared" si="154"/>
        <v>0</v>
      </c>
      <c r="EH31" s="544">
        <v>5</v>
      </c>
      <c r="EI31" s="545">
        <f t="shared" si="44"/>
        <v>9.9520312095698726E-2</v>
      </c>
      <c r="EJ31" s="546">
        <f t="shared" si="155"/>
        <v>0</v>
      </c>
      <c r="EK31" s="544"/>
      <c r="EL31" s="545">
        <f t="shared" si="45"/>
        <v>0</v>
      </c>
      <c r="EM31" s="546">
        <f t="shared" si="156"/>
        <v>0</v>
      </c>
      <c r="EN31" s="544"/>
      <c r="EO31" s="545">
        <f t="shared" si="46"/>
        <v>0</v>
      </c>
      <c r="EP31" s="546">
        <f t="shared" si="157"/>
        <v>0</v>
      </c>
      <c r="EQ31" s="544"/>
      <c r="ER31" s="545">
        <f t="shared" si="47"/>
        <v>0</v>
      </c>
      <c r="ES31" s="546">
        <f t="shared" si="158"/>
        <v>0</v>
      </c>
      <c r="ET31" s="544"/>
      <c r="EU31" s="545">
        <f t="shared" si="48"/>
        <v>0</v>
      </c>
      <c r="EV31" s="546">
        <f t="shared" si="159"/>
        <v>0</v>
      </c>
      <c r="EW31" s="544"/>
      <c r="EX31" s="545">
        <f t="shared" si="49"/>
        <v>0</v>
      </c>
      <c r="EY31" s="546">
        <f t="shared" si="160"/>
        <v>0</v>
      </c>
      <c r="EZ31" s="544"/>
      <c r="FA31" s="545">
        <f t="shared" si="50"/>
        <v>0</v>
      </c>
      <c r="FB31" s="546">
        <f t="shared" si="161"/>
        <v>0</v>
      </c>
      <c r="FC31" s="544"/>
      <c r="FD31" s="545">
        <f t="shared" si="51"/>
        <v>0</v>
      </c>
      <c r="FE31" s="546">
        <f t="shared" si="162"/>
        <v>0</v>
      </c>
      <c r="FF31" s="544"/>
      <c r="FG31" s="545">
        <f t="shared" si="52"/>
        <v>0</v>
      </c>
      <c r="FH31" s="546">
        <f t="shared" si="163"/>
        <v>0</v>
      </c>
      <c r="FI31" s="544"/>
      <c r="FJ31" s="545">
        <f t="shared" si="53"/>
        <v>0</v>
      </c>
      <c r="FK31" s="546">
        <f t="shared" si="164"/>
        <v>0</v>
      </c>
      <c r="FL31" s="544"/>
      <c r="FM31" s="545">
        <f t="shared" si="54"/>
        <v>0</v>
      </c>
      <c r="FN31" s="546">
        <f t="shared" si="165"/>
        <v>0</v>
      </c>
      <c r="FO31" s="544"/>
      <c r="FP31" s="545">
        <f t="shared" si="55"/>
        <v>0</v>
      </c>
      <c r="FQ31" s="546">
        <f t="shared" si="166"/>
        <v>0</v>
      </c>
      <c r="FR31" s="544"/>
      <c r="FS31" s="545">
        <f t="shared" si="56"/>
        <v>0</v>
      </c>
      <c r="FT31" s="546">
        <f t="shared" si="167"/>
        <v>0</v>
      </c>
      <c r="FU31" s="544"/>
      <c r="FV31" s="545">
        <f t="shared" si="57"/>
        <v>0</v>
      </c>
      <c r="FW31" s="546">
        <f t="shared" si="168"/>
        <v>0</v>
      </c>
      <c r="FX31" s="544"/>
      <c r="FY31" s="545">
        <f t="shared" si="58"/>
        <v>0</v>
      </c>
      <c r="FZ31" s="546">
        <f t="shared" si="169"/>
        <v>0</v>
      </c>
      <c r="GA31" s="544"/>
      <c r="GB31" s="545">
        <f t="shared" si="59"/>
        <v>0</v>
      </c>
      <c r="GC31" s="546">
        <f t="shared" si="170"/>
        <v>0</v>
      </c>
      <c r="GD31" s="544"/>
      <c r="GE31" s="545">
        <f t="shared" si="60"/>
        <v>0</v>
      </c>
      <c r="GF31" s="546">
        <f t="shared" si="171"/>
        <v>0</v>
      </c>
      <c r="GG31" s="544"/>
      <c r="GH31" s="545">
        <f t="shared" si="61"/>
        <v>0</v>
      </c>
      <c r="GI31" s="546">
        <f t="shared" si="172"/>
        <v>0</v>
      </c>
      <c r="GJ31" s="544"/>
      <c r="GK31" s="545">
        <f t="shared" si="211"/>
        <v>0</v>
      </c>
      <c r="GL31" s="546">
        <f t="shared" si="212"/>
        <v>0</v>
      </c>
      <c r="GM31" s="544"/>
      <c r="GN31" s="545">
        <f t="shared" si="202"/>
        <v>0</v>
      </c>
      <c r="GO31" s="546">
        <f t="shared" si="203"/>
        <v>0</v>
      </c>
      <c r="GP31" s="544"/>
      <c r="GQ31" s="545">
        <f t="shared" si="204"/>
        <v>0</v>
      </c>
      <c r="GR31" s="546">
        <f t="shared" si="205"/>
        <v>0</v>
      </c>
      <c r="GS31" s="544"/>
      <c r="GT31" s="545">
        <f t="shared" si="206"/>
        <v>0</v>
      </c>
      <c r="GU31" s="546">
        <f t="shared" si="207"/>
        <v>0</v>
      </c>
      <c r="GV31" s="544"/>
      <c r="GW31" s="545">
        <f t="shared" si="208"/>
        <v>0</v>
      </c>
      <c r="GX31" s="546">
        <f t="shared" si="209"/>
        <v>0</v>
      </c>
      <c r="GY31" s="544"/>
      <c r="GZ31" s="545">
        <f t="shared" si="210"/>
        <v>0</v>
      </c>
      <c r="HA31" s="546">
        <f>+GY31*$H$8</f>
        <v>0</v>
      </c>
      <c r="HB31" s="544"/>
      <c r="HC31" s="545">
        <f>+HB31/$E31</f>
        <v>0</v>
      </c>
      <c r="HD31" s="546">
        <f>+HB31*$H$8</f>
        <v>0</v>
      </c>
      <c r="HE31" s="544"/>
      <c r="HF31" s="545">
        <f>+HE31/$E31</f>
        <v>0</v>
      </c>
      <c r="HG31" s="546">
        <f>+HE31*$H$8</f>
        <v>0</v>
      </c>
      <c r="HH31" s="544"/>
      <c r="HI31" s="545">
        <f>+HH31/$E31</f>
        <v>0</v>
      </c>
      <c r="HJ31" s="546">
        <f>+HH31*$H$8</f>
        <v>0</v>
      </c>
      <c r="HK31" s="544"/>
      <c r="HL31" s="545">
        <f>+HK31/$E31</f>
        <v>0</v>
      </c>
      <c r="HM31" s="546">
        <f t="shared" si="182"/>
        <v>0</v>
      </c>
      <c r="HN31" s="544"/>
      <c r="HO31" s="545">
        <f t="shared" si="72"/>
        <v>0</v>
      </c>
      <c r="HP31" s="546">
        <f t="shared" si="183"/>
        <v>0</v>
      </c>
      <c r="HQ31" s="544"/>
      <c r="HR31" s="545">
        <f t="shared" si="73"/>
        <v>0</v>
      </c>
      <c r="HS31" s="546">
        <f t="shared" si="184"/>
        <v>0</v>
      </c>
      <c r="HT31" s="544"/>
      <c r="HU31" s="545">
        <f t="shared" si="74"/>
        <v>0</v>
      </c>
      <c r="HV31" s="546">
        <f t="shared" si="185"/>
        <v>0</v>
      </c>
      <c r="HW31" s="544"/>
      <c r="HX31" s="545">
        <f t="shared" si="75"/>
        <v>0</v>
      </c>
      <c r="HY31" s="546">
        <f t="shared" si="186"/>
        <v>0</v>
      </c>
      <c r="HZ31" s="544"/>
      <c r="IA31" s="545">
        <f t="shared" si="76"/>
        <v>0</v>
      </c>
      <c r="IB31" s="546">
        <f t="shared" si="187"/>
        <v>0</v>
      </c>
      <c r="IC31" s="544"/>
      <c r="ID31" s="545">
        <f t="shared" si="77"/>
        <v>0</v>
      </c>
      <c r="IE31" s="546">
        <f t="shared" si="188"/>
        <v>0</v>
      </c>
      <c r="IF31" s="544"/>
      <c r="IG31" s="545">
        <f t="shared" si="78"/>
        <v>0</v>
      </c>
      <c r="IH31" s="546">
        <f t="shared" si="189"/>
        <v>0</v>
      </c>
      <c r="II31" s="544"/>
      <c r="IJ31" s="545">
        <f t="shared" si="79"/>
        <v>0</v>
      </c>
      <c r="IK31" s="546">
        <f t="shared" si="190"/>
        <v>0</v>
      </c>
      <c r="IL31" s="544"/>
      <c r="IM31" s="545">
        <f t="shared" si="80"/>
        <v>0</v>
      </c>
      <c r="IN31" s="546">
        <f t="shared" si="191"/>
        <v>0</v>
      </c>
      <c r="IO31" s="544"/>
      <c r="IP31" s="545">
        <f t="shared" si="81"/>
        <v>0</v>
      </c>
      <c r="IQ31" s="546">
        <f t="shared" si="192"/>
        <v>0</v>
      </c>
      <c r="IR31" s="544"/>
      <c r="IS31" s="545">
        <f t="shared" si="82"/>
        <v>0</v>
      </c>
      <c r="IT31" s="546">
        <f t="shared" si="193"/>
        <v>0</v>
      </c>
      <c r="IU31" s="544"/>
      <c r="IV31" s="545">
        <f t="shared" si="83"/>
        <v>0</v>
      </c>
      <c r="IW31" s="546">
        <f t="shared" si="194"/>
        <v>0</v>
      </c>
      <c r="IX31" s="544"/>
      <c r="IY31" s="545">
        <f t="shared" si="84"/>
        <v>0</v>
      </c>
      <c r="IZ31" s="546">
        <f t="shared" si="195"/>
        <v>0</v>
      </c>
      <c r="JA31" s="544"/>
      <c r="JB31" s="545">
        <f t="shared" si="85"/>
        <v>0</v>
      </c>
      <c r="JC31" s="546">
        <f t="shared" si="196"/>
        <v>0</v>
      </c>
      <c r="JD31" s="544"/>
      <c r="JE31" s="545">
        <f t="shared" si="86"/>
        <v>0</v>
      </c>
      <c r="JF31" s="546">
        <f t="shared" si="197"/>
        <v>0</v>
      </c>
      <c r="JG31" s="544"/>
      <c r="JH31" s="546" t="str">
        <f t="shared" si="87"/>
        <v>0</v>
      </c>
      <c r="JI31" s="546" t="str">
        <f t="shared" si="88"/>
        <v>0</v>
      </c>
      <c r="JJ31" s="544"/>
      <c r="JK31" s="546" t="str">
        <f t="shared" si="89"/>
        <v>0</v>
      </c>
      <c r="JL31" s="546" t="str">
        <f t="shared" si="90"/>
        <v>0</v>
      </c>
      <c r="JM31" s="544"/>
      <c r="JN31" s="546" t="str">
        <f t="shared" si="91"/>
        <v>0</v>
      </c>
      <c r="JO31" s="546" t="str">
        <f t="shared" si="92"/>
        <v>0</v>
      </c>
      <c r="JP31" s="544"/>
      <c r="JQ31" s="546" t="str">
        <f t="shared" si="93"/>
        <v>0</v>
      </c>
      <c r="JR31" s="546" t="str">
        <f t="shared" si="94"/>
        <v>0</v>
      </c>
      <c r="JS31" s="544"/>
      <c r="JT31" s="546" t="str">
        <f t="shared" si="95"/>
        <v>0</v>
      </c>
      <c r="JU31" s="546" t="str">
        <f t="shared" si="96"/>
        <v>0</v>
      </c>
      <c r="JV31" s="544"/>
      <c r="JW31" s="546" t="str">
        <f t="shared" si="97"/>
        <v>0</v>
      </c>
      <c r="JX31" s="546" t="str">
        <f t="shared" si="98"/>
        <v>0</v>
      </c>
      <c r="JY31" s="544"/>
      <c r="JZ31" s="546" t="str">
        <f t="shared" si="99"/>
        <v>0</v>
      </c>
      <c r="KA31" s="546" t="str">
        <f t="shared" si="100"/>
        <v>0</v>
      </c>
      <c r="KB31" s="544"/>
      <c r="KC31" s="546" t="str">
        <f t="shared" si="101"/>
        <v>0</v>
      </c>
      <c r="KD31" s="546" t="str">
        <f t="shared" si="102"/>
        <v>0</v>
      </c>
      <c r="KE31" s="544"/>
      <c r="KF31" s="546" t="str">
        <f t="shared" si="103"/>
        <v>0</v>
      </c>
      <c r="KG31" s="546" t="str">
        <f t="shared" si="104"/>
        <v>0</v>
      </c>
      <c r="KH31" s="544"/>
      <c r="KI31" s="546" t="str">
        <f t="shared" si="105"/>
        <v>0</v>
      </c>
      <c r="KJ31" s="546" t="str">
        <f t="shared" si="106"/>
        <v>0</v>
      </c>
      <c r="KK31" s="544"/>
      <c r="KL31" s="546" t="str">
        <f t="shared" si="107"/>
        <v>0</v>
      </c>
      <c r="KM31" s="546" t="str">
        <f t="shared" si="108"/>
        <v>0</v>
      </c>
      <c r="KN31" s="544"/>
      <c r="KO31" s="546" t="str">
        <f t="shared" si="109"/>
        <v>0</v>
      </c>
      <c r="KP31" s="546" t="str">
        <f t="shared" si="110"/>
        <v>0</v>
      </c>
      <c r="KQ31" s="546">
        <f t="shared" si="111"/>
        <v>0</v>
      </c>
      <c r="KR31" s="546">
        <f t="shared" si="198"/>
        <v>0</v>
      </c>
      <c r="KS31" s="265">
        <f t="shared" si="199"/>
        <v>672.21826289592718</v>
      </c>
    </row>
    <row r="32" spans="1:305" ht="15" customHeight="1">
      <c r="A32" s="267">
        <f t="shared" si="200"/>
        <v>45740</v>
      </c>
      <c r="B32" s="268" t="str">
        <f>+Report1!B32</f>
        <v>Towel</v>
      </c>
      <c r="C32" s="268" t="str">
        <f>+Report1!C32</f>
        <v>16</v>
      </c>
      <c r="D32" s="269">
        <f>+Report1!P32</f>
        <v>50.591000000000008</v>
      </c>
      <c r="E32" s="270">
        <f>+Report1!R32</f>
        <v>51.228999999999999</v>
      </c>
      <c r="F32" s="544"/>
      <c r="G32" s="545">
        <f t="shared" si="0"/>
        <v>0</v>
      </c>
      <c r="H32" s="546">
        <f t="shared" si="112"/>
        <v>0</v>
      </c>
      <c r="I32" s="544"/>
      <c r="J32" s="545">
        <f t="shared" si="1"/>
        <v>0</v>
      </c>
      <c r="K32" s="546">
        <f t="shared" si="113"/>
        <v>0</v>
      </c>
      <c r="L32" s="544"/>
      <c r="M32" s="545">
        <f t="shared" si="2"/>
        <v>0</v>
      </c>
      <c r="N32" s="546">
        <f t="shared" si="114"/>
        <v>0</v>
      </c>
      <c r="O32" s="544">
        <v>7.5</v>
      </c>
      <c r="P32" s="545">
        <f t="shared" si="3"/>
        <v>0.14640145230240684</v>
      </c>
      <c r="Q32" s="546">
        <f t="shared" si="115"/>
        <v>0</v>
      </c>
      <c r="R32" s="544"/>
      <c r="S32" s="545">
        <f t="shared" si="4"/>
        <v>0</v>
      </c>
      <c r="T32" s="546">
        <f t="shared" si="116"/>
        <v>0</v>
      </c>
      <c r="U32" s="544">
        <v>10.250000000000028</v>
      </c>
      <c r="V32" s="545">
        <f t="shared" si="5"/>
        <v>0.2000819848132899</v>
      </c>
      <c r="W32" s="546">
        <f t="shared" si="117"/>
        <v>0</v>
      </c>
      <c r="X32" s="544"/>
      <c r="Y32" s="545">
        <f t="shared" si="6"/>
        <v>0</v>
      </c>
      <c r="Z32" s="546">
        <f t="shared" si="118"/>
        <v>0</v>
      </c>
      <c r="AA32" s="544"/>
      <c r="AB32" s="545">
        <f t="shared" si="7"/>
        <v>0</v>
      </c>
      <c r="AC32" s="546">
        <f t="shared" si="119"/>
        <v>0</v>
      </c>
      <c r="AD32" s="544"/>
      <c r="AE32" s="545">
        <f t="shared" si="8"/>
        <v>0</v>
      </c>
      <c r="AF32" s="546">
        <f t="shared" si="120"/>
        <v>0</v>
      </c>
      <c r="AG32" s="544"/>
      <c r="AH32" s="545">
        <f t="shared" si="9"/>
        <v>0</v>
      </c>
      <c r="AI32" s="546">
        <f t="shared" si="121"/>
        <v>0</v>
      </c>
      <c r="AJ32" s="544"/>
      <c r="AK32" s="545">
        <f t="shared" si="10"/>
        <v>0</v>
      </c>
      <c r="AL32" s="546">
        <f t="shared" si="122"/>
        <v>0</v>
      </c>
      <c r="AM32" s="544">
        <v>45.31450000000001</v>
      </c>
      <c r="AN32" s="545">
        <f t="shared" si="11"/>
        <v>0.8845478147143222</v>
      </c>
      <c r="AO32" s="546">
        <f t="shared" si="123"/>
        <v>0</v>
      </c>
      <c r="AP32" s="544"/>
      <c r="AQ32" s="545">
        <f t="shared" si="12"/>
        <v>0</v>
      </c>
      <c r="AR32" s="546">
        <f t="shared" si="124"/>
        <v>0</v>
      </c>
      <c r="AS32" s="544"/>
      <c r="AT32" s="545">
        <f t="shared" si="13"/>
        <v>0</v>
      </c>
      <c r="AU32" s="546">
        <f t="shared" si="125"/>
        <v>0</v>
      </c>
      <c r="AV32" s="544">
        <v>0</v>
      </c>
      <c r="AW32" s="545">
        <f t="shared" si="14"/>
        <v>0</v>
      </c>
      <c r="AX32" s="546">
        <f t="shared" si="126"/>
        <v>0</v>
      </c>
      <c r="AY32" s="544">
        <v>67.436000000000035</v>
      </c>
      <c r="AZ32" s="545">
        <f t="shared" si="15"/>
        <v>1.3163637783286817</v>
      </c>
      <c r="BA32" s="546">
        <f t="shared" si="127"/>
        <v>0</v>
      </c>
      <c r="BB32" s="544"/>
      <c r="BC32" s="545">
        <f t="shared" si="16"/>
        <v>0</v>
      </c>
      <c r="BD32" s="546">
        <f t="shared" si="128"/>
        <v>0</v>
      </c>
      <c r="BE32" s="544"/>
      <c r="BF32" s="545">
        <f t="shared" si="17"/>
        <v>0</v>
      </c>
      <c r="BG32" s="546">
        <f t="shared" si="129"/>
        <v>0</v>
      </c>
      <c r="BH32" s="544"/>
      <c r="BI32" s="545">
        <f t="shared" si="18"/>
        <v>0</v>
      </c>
      <c r="BJ32" s="546">
        <f t="shared" si="130"/>
        <v>0</v>
      </c>
      <c r="BK32" s="544"/>
      <c r="BL32" s="545">
        <f t="shared" si="19"/>
        <v>0</v>
      </c>
      <c r="BM32" s="546">
        <f t="shared" si="131"/>
        <v>0</v>
      </c>
      <c r="BN32" s="544"/>
      <c r="BO32" s="545">
        <f t="shared" si="20"/>
        <v>0</v>
      </c>
      <c r="BP32" s="546">
        <f t="shared" si="132"/>
        <v>0</v>
      </c>
      <c r="BQ32" s="544"/>
      <c r="BR32" s="545">
        <f t="shared" si="21"/>
        <v>0</v>
      </c>
      <c r="BS32" s="546">
        <f t="shared" si="133"/>
        <v>0</v>
      </c>
      <c r="BT32" s="544"/>
      <c r="BU32" s="545">
        <f t="shared" si="22"/>
        <v>0</v>
      </c>
      <c r="BV32" s="546">
        <f t="shared" si="134"/>
        <v>0</v>
      </c>
      <c r="BW32" s="544"/>
      <c r="BX32" s="545">
        <f t="shared" si="23"/>
        <v>0</v>
      </c>
      <c r="BY32" s="546">
        <f t="shared" si="135"/>
        <v>0</v>
      </c>
      <c r="BZ32" s="544"/>
      <c r="CA32" s="545">
        <f t="shared" si="24"/>
        <v>0</v>
      </c>
      <c r="CB32" s="546">
        <f t="shared" si="136"/>
        <v>0</v>
      </c>
      <c r="CC32" s="544">
        <v>25</v>
      </c>
      <c r="CD32" s="545">
        <f t="shared" si="25"/>
        <v>0.48800484100802283</v>
      </c>
      <c r="CE32" s="546">
        <f t="shared" si="137"/>
        <v>0</v>
      </c>
      <c r="CF32" s="544">
        <v>0</v>
      </c>
      <c r="CG32" s="545">
        <f t="shared" si="26"/>
        <v>0</v>
      </c>
      <c r="CH32" s="546">
        <f t="shared" si="138"/>
        <v>0</v>
      </c>
      <c r="CI32" s="544"/>
      <c r="CJ32" s="545">
        <f t="shared" si="27"/>
        <v>0</v>
      </c>
      <c r="CK32" s="546">
        <f t="shared" si="139"/>
        <v>0</v>
      </c>
      <c r="CL32" s="544"/>
      <c r="CM32" s="545">
        <f t="shared" si="28"/>
        <v>0</v>
      </c>
      <c r="CN32" s="546">
        <f t="shared" si="140"/>
        <v>0</v>
      </c>
      <c r="CO32" s="544"/>
      <c r="CP32" s="545">
        <f t="shared" si="29"/>
        <v>0</v>
      </c>
      <c r="CQ32" s="546">
        <f t="shared" si="141"/>
        <v>0</v>
      </c>
      <c r="CR32" s="544"/>
      <c r="CS32" s="545">
        <f t="shared" si="30"/>
        <v>0</v>
      </c>
      <c r="CT32" s="546">
        <f t="shared" si="142"/>
        <v>0</v>
      </c>
      <c r="CU32" s="544"/>
      <c r="CV32" s="545">
        <f t="shared" si="31"/>
        <v>0</v>
      </c>
      <c r="CW32" s="546">
        <f t="shared" si="143"/>
        <v>0</v>
      </c>
      <c r="CX32" s="544"/>
      <c r="CY32" s="545">
        <f t="shared" si="32"/>
        <v>0</v>
      </c>
      <c r="CZ32" s="546">
        <f t="shared" si="144"/>
        <v>0</v>
      </c>
      <c r="DA32" s="544"/>
      <c r="DB32" s="545">
        <f t="shared" si="33"/>
        <v>0</v>
      </c>
      <c r="DC32" s="546">
        <f t="shared" si="145"/>
        <v>0</v>
      </c>
      <c r="DD32" s="544"/>
      <c r="DE32" s="545">
        <f t="shared" si="34"/>
        <v>0</v>
      </c>
      <c r="DF32" s="546">
        <f t="shared" si="146"/>
        <v>0</v>
      </c>
      <c r="DG32" s="544"/>
      <c r="DH32" s="545">
        <f t="shared" si="35"/>
        <v>0</v>
      </c>
      <c r="DI32" s="546">
        <f t="shared" si="201"/>
        <v>0</v>
      </c>
      <c r="DJ32" s="544"/>
      <c r="DK32" s="545">
        <f t="shared" si="36"/>
        <v>0</v>
      </c>
      <c r="DL32" s="546">
        <f t="shared" si="147"/>
        <v>0</v>
      </c>
      <c r="DM32" s="544"/>
      <c r="DN32" s="545">
        <f t="shared" si="37"/>
        <v>0</v>
      </c>
      <c r="DO32" s="546">
        <f t="shared" si="148"/>
        <v>0</v>
      </c>
      <c r="DP32" s="544"/>
      <c r="DQ32" s="545">
        <f t="shared" si="38"/>
        <v>0</v>
      </c>
      <c r="DR32" s="546">
        <f t="shared" si="149"/>
        <v>0</v>
      </c>
      <c r="DS32" s="544"/>
      <c r="DT32" s="545">
        <f t="shared" si="39"/>
        <v>0</v>
      </c>
      <c r="DU32" s="546">
        <f t="shared" si="150"/>
        <v>0</v>
      </c>
      <c r="DV32" s="544"/>
      <c r="DW32" s="545">
        <f t="shared" si="40"/>
        <v>0</v>
      </c>
      <c r="DX32" s="546">
        <f t="shared" si="151"/>
        <v>0</v>
      </c>
      <c r="DY32" s="544"/>
      <c r="DZ32" s="545">
        <f t="shared" si="41"/>
        <v>0</v>
      </c>
      <c r="EA32" s="546">
        <f t="shared" si="152"/>
        <v>0</v>
      </c>
      <c r="EB32" s="544">
        <v>512.77423529411772</v>
      </c>
      <c r="EC32" s="545">
        <f t="shared" si="42"/>
        <v>10.009452366708656</v>
      </c>
      <c r="ED32" s="546">
        <f t="shared" si="153"/>
        <v>0</v>
      </c>
      <c r="EE32" s="544">
        <v>0</v>
      </c>
      <c r="EF32" s="545">
        <f t="shared" si="43"/>
        <v>0</v>
      </c>
      <c r="EG32" s="546">
        <f t="shared" si="154"/>
        <v>0</v>
      </c>
      <c r="EH32" s="544">
        <v>0</v>
      </c>
      <c r="EI32" s="545">
        <f t="shared" si="44"/>
        <v>0</v>
      </c>
      <c r="EJ32" s="546">
        <f t="shared" si="155"/>
        <v>0</v>
      </c>
      <c r="EK32" s="544"/>
      <c r="EL32" s="545">
        <f t="shared" si="45"/>
        <v>0</v>
      </c>
      <c r="EM32" s="546">
        <f t="shared" si="156"/>
        <v>0</v>
      </c>
      <c r="EN32" s="544"/>
      <c r="EO32" s="545">
        <f t="shared" si="46"/>
        <v>0</v>
      </c>
      <c r="EP32" s="546">
        <f t="shared" si="157"/>
        <v>0</v>
      </c>
      <c r="EQ32" s="544"/>
      <c r="ER32" s="545">
        <f t="shared" si="47"/>
        <v>0</v>
      </c>
      <c r="ES32" s="546">
        <f t="shared" si="158"/>
        <v>0</v>
      </c>
      <c r="ET32" s="544"/>
      <c r="EU32" s="545">
        <f t="shared" si="48"/>
        <v>0</v>
      </c>
      <c r="EV32" s="546">
        <f t="shared" si="159"/>
        <v>0</v>
      </c>
      <c r="EW32" s="544"/>
      <c r="EX32" s="545">
        <f t="shared" si="49"/>
        <v>0</v>
      </c>
      <c r="EY32" s="546">
        <f t="shared" si="160"/>
        <v>0</v>
      </c>
      <c r="EZ32" s="544"/>
      <c r="FA32" s="545">
        <f t="shared" si="50"/>
        <v>0</v>
      </c>
      <c r="FB32" s="546">
        <f t="shared" si="161"/>
        <v>0</v>
      </c>
      <c r="FC32" s="544"/>
      <c r="FD32" s="545">
        <f t="shared" si="51"/>
        <v>0</v>
      </c>
      <c r="FE32" s="546">
        <f t="shared" si="162"/>
        <v>0</v>
      </c>
      <c r="FF32" s="544"/>
      <c r="FG32" s="545">
        <f t="shared" si="52"/>
        <v>0</v>
      </c>
      <c r="FH32" s="546">
        <f t="shared" si="163"/>
        <v>0</v>
      </c>
      <c r="FI32" s="544"/>
      <c r="FJ32" s="545">
        <f t="shared" si="53"/>
        <v>0</v>
      </c>
      <c r="FK32" s="546">
        <f t="shared" si="164"/>
        <v>0</v>
      </c>
      <c r="FL32" s="544"/>
      <c r="FM32" s="545">
        <f t="shared" si="54"/>
        <v>0</v>
      </c>
      <c r="FN32" s="546">
        <f t="shared" si="165"/>
        <v>0</v>
      </c>
      <c r="FO32" s="544"/>
      <c r="FP32" s="545">
        <f t="shared" si="55"/>
        <v>0</v>
      </c>
      <c r="FQ32" s="546">
        <f t="shared" si="166"/>
        <v>0</v>
      </c>
      <c r="FR32" s="544"/>
      <c r="FS32" s="545">
        <f t="shared" si="56"/>
        <v>0</v>
      </c>
      <c r="FT32" s="546">
        <f t="shared" si="167"/>
        <v>0</v>
      </c>
      <c r="FU32" s="544"/>
      <c r="FV32" s="545">
        <f t="shared" si="57"/>
        <v>0</v>
      </c>
      <c r="FW32" s="546">
        <f t="shared" si="168"/>
        <v>0</v>
      </c>
      <c r="FX32" s="544"/>
      <c r="FY32" s="545">
        <f t="shared" si="58"/>
        <v>0</v>
      </c>
      <c r="FZ32" s="546">
        <f t="shared" si="169"/>
        <v>0</v>
      </c>
      <c r="GA32" s="544"/>
      <c r="GB32" s="545">
        <f t="shared" si="59"/>
        <v>0</v>
      </c>
      <c r="GC32" s="546">
        <f t="shared" si="170"/>
        <v>0</v>
      </c>
      <c r="GD32" s="544"/>
      <c r="GE32" s="545">
        <f t="shared" si="60"/>
        <v>0</v>
      </c>
      <c r="GF32" s="546">
        <f t="shared" si="171"/>
        <v>0</v>
      </c>
      <c r="GG32" s="544"/>
      <c r="GH32" s="545">
        <f t="shared" si="61"/>
        <v>0</v>
      </c>
      <c r="GI32" s="546">
        <f t="shared" si="172"/>
        <v>0</v>
      </c>
      <c r="GJ32" s="544"/>
      <c r="GK32" s="545">
        <f t="shared" si="211"/>
        <v>0</v>
      </c>
      <c r="GL32" s="546">
        <f t="shared" si="212"/>
        <v>0</v>
      </c>
      <c r="GM32" s="544"/>
      <c r="GN32" s="545">
        <f t="shared" si="202"/>
        <v>0</v>
      </c>
      <c r="GO32" s="546">
        <f t="shared" si="203"/>
        <v>0</v>
      </c>
      <c r="GP32" s="544"/>
      <c r="GQ32" s="545">
        <f t="shared" si="204"/>
        <v>0</v>
      </c>
      <c r="GR32" s="546">
        <f t="shared" si="205"/>
        <v>0</v>
      </c>
      <c r="GS32" s="544"/>
      <c r="GT32" s="545">
        <f t="shared" si="206"/>
        <v>0</v>
      </c>
      <c r="GU32" s="546">
        <f t="shared" si="207"/>
        <v>0</v>
      </c>
      <c r="GV32" s="544"/>
      <c r="GW32" s="545">
        <f t="shared" si="208"/>
        <v>0</v>
      </c>
      <c r="GX32" s="546">
        <f t="shared" si="209"/>
        <v>0</v>
      </c>
      <c r="GY32" s="544"/>
      <c r="GZ32" s="545">
        <f t="shared" si="210"/>
        <v>0</v>
      </c>
      <c r="HA32" s="546">
        <f>+GY32*$H$8</f>
        <v>0</v>
      </c>
      <c r="HB32" s="544"/>
      <c r="HC32" s="545">
        <f>+HB32/$E32</f>
        <v>0</v>
      </c>
      <c r="HD32" s="546">
        <f>+HB32*$H$8</f>
        <v>0</v>
      </c>
      <c r="HE32" s="544"/>
      <c r="HF32" s="545">
        <f>+HE32/$E32</f>
        <v>0</v>
      </c>
      <c r="HG32" s="546">
        <f>+HE32*$H$8</f>
        <v>0</v>
      </c>
      <c r="HH32" s="544"/>
      <c r="HI32" s="545">
        <f>+HH32/$E32</f>
        <v>0</v>
      </c>
      <c r="HJ32" s="546">
        <f>+HH32*$H$8</f>
        <v>0</v>
      </c>
      <c r="HK32" s="544"/>
      <c r="HL32" s="545">
        <f>+HK32/$E32</f>
        <v>0</v>
      </c>
      <c r="HM32" s="546">
        <f t="shared" si="182"/>
        <v>0</v>
      </c>
      <c r="HN32" s="544"/>
      <c r="HO32" s="545">
        <f t="shared" si="72"/>
        <v>0</v>
      </c>
      <c r="HP32" s="546">
        <f t="shared" si="183"/>
        <v>0</v>
      </c>
      <c r="HQ32" s="544"/>
      <c r="HR32" s="545">
        <f t="shared" si="73"/>
        <v>0</v>
      </c>
      <c r="HS32" s="546">
        <f t="shared" si="184"/>
        <v>0</v>
      </c>
      <c r="HT32" s="544"/>
      <c r="HU32" s="545">
        <f t="shared" si="74"/>
        <v>0</v>
      </c>
      <c r="HV32" s="546">
        <f t="shared" si="185"/>
        <v>0</v>
      </c>
      <c r="HW32" s="544"/>
      <c r="HX32" s="545">
        <f t="shared" si="75"/>
        <v>0</v>
      </c>
      <c r="HY32" s="546">
        <f t="shared" si="186"/>
        <v>0</v>
      </c>
      <c r="HZ32" s="544"/>
      <c r="IA32" s="545">
        <f t="shared" si="76"/>
        <v>0</v>
      </c>
      <c r="IB32" s="546">
        <f t="shared" si="187"/>
        <v>0</v>
      </c>
      <c r="IC32" s="544"/>
      <c r="ID32" s="545">
        <f t="shared" si="77"/>
        <v>0</v>
      </c>
      <c r="IE32" s="546">
        <f t="shared" si="188"/>
        <v>0</v>
      </c>
      <c r="IF32" s="544"/>
      <c r="IG32" s="545">
        <f t="shared" si="78"/>
        <v>0</v>
      </c>
      <c r="IH32" s="546">
        <f t="shared" si="189"/>
        <v>0</v>
      </c>
      <c r="II32" s="544"/>
      <c r="IJ32" s="545">
        <f t="shared" si="79"/>
        <v>0</v>
      </c>
      <c r="IK32" s="546">
        <f t="shared" si="190"/>
        <v>0</v>
      </c>
      <c r="IL32" s="544"/>
      <c r="IM32" s="545">
        <f t="shared" si="80"/>
        <v>0</v>
      </c>
      <c r="IN32" s="546">
        <f t="shared" si="191"/>
        <v>0</v>
      </c>
      <c r="IO32" s="544"/>
      <c r="IP32" s="545">
        <f t="shared" si="81"/>
        <v>0</v>
      </c>
      <c r="IQ32" s="546">
        <f t="shared" si="192"/>
        <v>0</v>
      </c>
      <c r="IR32" s="544"/>
      <c r="IS32" s="545">
        <f t="shared" si="82"/>
        <v>0</v>
      </c>
      <c r="IT32" s="546">
        <f t="shared" si="193"/>
        <v>0</v>
      </c>
      <c r="IU32" s="544"/>
      <c r="IV32" s="545">
        <f t="shared" si="83"/>
        <v>0</v>
      </c>
      <c r="IW32" s="546">
        <f t="shared" si="194"/>
        <v>0</v>
      </c>
      <c r="IX32" s="544"/>
      <c r="IY32" s="545">
        <f t="shared" si="84"/>
        <v>0</v>
      </c>
      <c r="IZ32" s="546">
        <f t="shared" si="195"/>
        <v>0</v>
      </c>
      <c r="JA32" s="544"/>
      <c r="JB32" s="545">
        <f t="shared" si="85"/>
        <v>0</v>
      </c>
      <c r="JC32" s="546">
        <f t="shared" si="196"/>
        <v>0</v>
      </c>
      <c r="JD32" s="544"/>
      <c r="JE32" s="545">
        <f t="shared" si="86"/>
        <v>0</v>
      </c>
      <c r="JF32" s="546">
        <f t="shared" si="197"/>
        <v>0</v>
      </c>
      <c r="JG32" s="544"/>
      <c r="JH32" s="546" t="str">
        <f t="shared" si="87"/>
        <v>0</v>
      </c>
      <c r="JI32" s="546" t="str">
        <f t="shared" si="88"/>
        <v>0</v>
      </c>
      <c r="JJ32" s="544"/>
      <c r="JK32" s="546" t="str">
        <f t="shared" si="89"/>
        <v>0</v>
      </c>
      <c r="JL32" s="546" t="str">
        <f t="shared" si="90"/>
        <v>0</v>
      </c>
      <c r="JM32" s="544"/>
      <c r="JN32" s="546" t="str">
        <f t="shared" si="91"/>
        <v>0</v>
      </c>
      <c r="JO32" s="546" t="str">
        <f t="shared" si="92"/>
        <v>0</v>
      </c>
      <c r="JP32" s="544"/>
      <c r="JQ32" s="546" t="str">
        <f t="shared" si="93"/>
        <v>0</v>
      </c>
      <c r="JR32" s="546" t="str">
        <f t="shared" si="94"/>
        <v>0</v>
      </c>
      <c r="JS32" s="544"/>
      <c r="JT32" s="546" t="str">
        <f t="shared" si="95"/>
        <v>0</v>
      </c>
      <c r="JU32" s="546" t="str">
        <f t="shared" si="96"/>
        <v>0</v>
      </c>
      <c r="JV32" s="544"/>
      <c r="JW32" s="546" t="str">
        <f t="shared" si="97"/>
        <v>0</v>
      </c>
      <c r="JX32" s="546" t="str">
        <f t="shared" si="98"/>
        <v>0</v>
      </c>
      <c r="JY32" s="544"/>
      <c r="JZ32" s="546" t="str">
        <f t="shared" si="99"/>
        <v>0</v>
      </c>
      <c r="KA32" s="546" t="str">
        <f t="shared" si="100"/>
        <v>0</v>
      </c>
      <c r="KB32" s="544"/>
      <c r="KC32" s="546" t="str">
        <f t="shared" si="101"/>
        <v>0</v>
      </c>
      <c r="KD32" s="546" t="str">
        <f t="shared" si="102"/>
        <v>0</v>
      </c>
      <c r="KE32" s="544"/>
      <c r="KF32" s="546" t="str">
        <f t="shared" si="103"/>
        <v>0</v>
      </c>
      <c r="KG32" s="546" t="str">
        <f t="shared" si="104"/>
        <v>0</v>
      </c>
      <c r="KH32" s="544"/>
      <c r="KI32" s="546" t="str">
        <f t="shared" si="105"/>
        <v>0</v>
      </c>
      <c r="KJ32" s="546" t="str">
        <f t="shared" si="106"/>
        <v>0</v>
      </c>
      <c r="KK32" s="544"/>
      <c r="KL32" s="546" t="str">
        <f t="shared" si="107"/>
        <v>0</v>
      </c>
      <c r="KM32" s="546" t="str">
        <f t="shared" si="108"/>
        <v>0</v>
      </c>
      <c r="KN32" s="544"/>
      <c r="KO32" s="546" t="str">
        <f t="shared" si="109"/>
        <v>0</v>
      </c>
      <c r="KP32" s="546" t="str">
        <f t="shared" si="110"/>
        <v>0</v>
      </c>
      <c r="KQ32" s="546">
        <f t="shared" si="111"/>
        <v>0</v>
      </c>
      <c r="KR32" s="546">
        <f t="shared" si="198"/>
        <v>0</v>
      </c>
      <c r="KS32" s="265">
        <f t="shared" si="199"/>
        <v>668.27473529411782</v>
      </c>
    </row>
    <row r="33" spans="1:16381" ht="15" customHeight="1">
      <c r="A33" s="267">
        <f t="shared" si="200"/>
        <v>45741</v>
      </c>
      <c r="B33" s="268" t="str">
        <f>+Report1!B33</f>
        <v>Towel/Napkin</v>
      </c>
      <c r="C33" s="268" t="str">
        <f>+Report1!C33</f>
        <v>16/18</v>
      </c>
      <c r="D33" s="269">
        <f>+Report1!P33</f>
        <v>55.399000000000001</v>
      </c>
      <c r="E33" s="270">
        <f>+Report1!R33</f>
        <v>54.878999999999998</v>
      </c>
      <c r="F33" s="544"/>
      <c r="G33" s="545">
        <f t="shared" si="0"/>
        <v>0</v>
      </c>
      <c r="H33" s="546">
        <f t="shared" si="112"/>
        <v>0</v>
      </c>
      <c r="I33" s="544"/>
      <c r="J33" s="545">
        <f t="shared" si="1"/>
        <v>0</v>
      </c>
      <c r="K33" s="546">
        <f t="shared" si="113"/>
        <v>0</v>
      </c>
      <c r="L33" s="544"/>
      <c r="M33" s="545">
        <f t="shared" si="2"/>
        <v>0</v>
      </c>
      <c r="N33" s="546">
        <f t="shared" si="114"/>
        <v>0</v>
      </c>
      <c r="O33" s="544">
        <v>8.9999999999999929</v>
      </c>
      <c r="P33" s="545">
        <f t="shared" si="3"/>
        <v>0.16399715738260526</v>
      </c>
      <c r="Q33" s="546">
        <f t="shared" si="115"/>
        <v>0</v>
      </c>
      <c r="R33" s="544"/>
      <c r="S33" s="545">
        <f t="shared" si="4"/>
        <v>0</v>
      </c>
      <c r="T33" s="546">
        <f t="shared" si="116"/>
        <v>0</v>
      </c>
      <c r="U33" s="544">
        <v>10.25</v>
      </c>
      <c r="V33" s="545">
        <f t="shared" si="5"/>
        <v>0.18677454035241167</v>
      </c>
      <c r="W33" s="546">
        <f t="shared" si="117"/>
        <v>0</v>
      </c>
      <c r="X33" s="544"/>
      <c r="Y33" s="545">
        <f t="shared" si="6"/>
        <v>0</v>
      </c>
      <c r="Z33" s="546">
        <f t="shared" si="118"/>
        <v>0</v>
      </c>
      <c r="AA33" s="544"/>
      <c r="AB33" s="545">
        <f t="shared" si="7"/>
        <v>0</v>
      </c>
      <c r="AC33" s="546">
        <f t="shared" si="119"/>
        <v>0</v>
      </c>
      <c r="AD33" s="544"/>
      <c r="AE33" s="545">
        <f t="shared" si="8"/>
        <v>0</v>
      </c>
      <c r="AF33" s="546">
        <f t="shared" si="120"/>
        <v>0</v>
      </c>
      <c r="AG33" s="544"/>
      <c r="AH33" s="545">
        <f t="shared" si="9"/>
        <v>0</v>
      </c>
      <c r="AI33" s="546">
        <f t="shared" si="121"/>
        <v>0</v>
      </c>
      <c r="AJ33" s="544"/>
      <c r="AK33" s="545">
        <f t="shared" si="10"/>
        <v>0</v>
      </c>
      <c r="AL33" s="546">
        <f t="shared" si="122"/>
        <v>0</v>
      </c>
      <c r="AM33" s="544">
        <v>39.426225641025724</v>
      </c>
      <c r="AN33" s="545">
        <f t="shared" si="11"/>
        <v>0.71842099238371193</v>
      </c>
      <c r="AO33" s="546">
        <f t="shared" si="123"/>
        <v>0</v>
      </c>
      <c r="AP33" s="544"/>
      <c r="AQ33" s="545">
        <f t="shared" si="12"/>
        <v>0</v>
      </c>
      <c r="AR33" s="546">
        <f t="shared" si="124"/>
        <v>0</v>
      </c>
      <c r="AS33" s="544"/>
      <c r="AT33" s="545">
        <f t="shared" si="13"/>
        <v>0</v>
      </c>
      <c r="AU33" s="546">
        <f t="shared" si="125"/>
        <v>0</v>
      </c>
      <c r="AV33" s="544">
        <v>11.099999999999994</v>
      </c>
      <c r="AW33" s="545">
        <f t="shared" si="14"/>
        <v>0.20226316077187986</v>
      </c>
      <c r="AX33" s="546">
        <f t="shared" si="126"/>
        <v>0</v>
      </c>
      <c r="AY33" s="544">
        <v>65.335866666666675</v>
      </c>
      <c r="AZ33" s="545">
        <f t="shared" si="15"/>
        <v>1.1905440453846949</v>
      </c>
      <c r="BA33" s="546">
        <f t="shared" si="127"/>
        <v>0</v>
      </c>
      <c r="BB33" s="544"/>
      <c r="BC33" s="545">
        <f t="shared" si="16"/>
        <v>0</v>
      </c>
      <c r="BD33" s="546">
        <f t="shared" si="128"/>
        <v>0</v>
      </c>
      <c r="BE33" s="544"/>
      <c r="BF33" s="545">
        <f t="shared" si="17"/>
        <v>0</v>
      </c>
      <c r="BG33" s="546">
        <f t="shared" si="129"/>
        <v>0</v>
      </c>
      <c r="BH33" s="544"/>
      <c r="BI33" s="545">
        <f t="shared" si="18"/>
        <v>0</v>
      </c>
      <c r="BJ33" s="546">
        <f t="shared" si="130"/>
        <v>0</v>
      </c>
      <c r="BK33" s="544"/>
      <c r="BL33" s="545">
        <f t="shared" si="19"/>
        <v>0</v>
      </c>
      <c r="BM33" s="546">
        <f t="shared" si="131"/>
        <v>0</v>
      </c>
      <c r="BN33" s="544"/>
      <c r="BO33" s="545">
        <f t="shared" si="20"/>
        <v>0</v>
      </c>
      <c r="BP33" s="546">
        <f t="shared" si="132"/>
        <v>0</v>
      </c>
      <c r="BQ33" s="544"/>
      <c r="BR33" s="545">
        <f t="shared" si="21"/>
        <v>0</v>
      </c>
      <c r="BS33" s="546">
        <f t="shared" si="133"/>
        <v>0</v>
      </c>
      <c r="BT33" s="544"/>
      <c r="BU33" s="545">
        <f t="shared" si="22"/>
        <v>0</v>
      </c>
      <c r="BV33" s="546">
        <f t="shared" si="134"/>
        <v>0</v>
      </c>
      <c r="BW33" s="544"/>
      <c r="BX33" s="545">
        <f t="shared" si="23"/>
        <v>0</v>
      </c>
      <c r="BY33" s="546">
        <f t="shared" si="135"/>
        <v>0</v>
      </c>
      <c r="BZ33" s="544"/>
      <c r="CA33" s="545">
        <f t="shared" si="24"/>
        <v>0</v>
      </c>
      <c r="CB33" s="546">
        <f t="shared" si="136"/>
        <v>0</v>
      </c>
      <c r="CC33" s="544">
        <v>37.5</v>
      </c>
      <c r="CD33" s="545">
        <f t="shared" si="25"/>
        <v>0.68332148909418911</v>
      </c>
      <c r="CE33" s="546">
        <f t="shared" si="137"/>
        <v>0</v>
      </c>
      <c r="CF33" s="544">
        <v>0.59999999999999964</v>
      </c>
      <c r="CG33" s="545">
        <f t="shared" si="26"/>
        <v>1.0933143825507018E-2</v>
      </c>
      <c r="CH33" s="546">
        <f t="shared" si="138"/>
        <v>0</v>
      </c>
      <c r="CI33" s="544"/>
      <c r="CJ33" s="545">
        <f t="shared" si="27"/>
        <v>0</v>
      </c>
      <c r="CK33" s="546">
        <f t="shared" si="139"/>
        <v>0</v>
      </c>
      <c r="CL33" s="544"/>
      <c r="CM33" s="545">
        <f t="shared" si="28"/>
        <v>0</v>
      </c>
      <c r="CN33" s="546">
        <f t="shared" si="140"/>
        <v>0</v>
      </c>
      <c r="CO33" s="544"/>
      <c r="CP33" s="545">
        <f t="shared" si="29"/>
        <v>0</v>
      </c>
      <c r="CQ33" s="546">
        <f t="shared" si="141"/>
        <v>0</v>
      </c>
      <c r="CR33" s="544"/>
      <c r="CS33" s="545">
        <f t="shared" si="30"/>
        <v>0</v>
      </c>
      <c r="CT33" s="546">
        <f t="shared" si="142"/>
        <v>0</v>
      </c>
      <c r="CU33" s="544"/>
      <c r="CV33" s="545">
        <f t="shared" si="31"/>
        <v>0</v>
      </c>
      <c r="CW33" s="546">
        <f t="shared" si="143"/>
        <v>0</v>
      </c>
      <c r="CX33" s="544"/>
      <c r="CY33" s="545">
        <f t="shared" si="32"/>
        <v>0</v>
      </c>
      <c r="CZ33" s="546">
        <f t="shared" si="144"/>
        <v>0</v>
      </c>
      <c r="DA33" s="544"/>
      <c r="DB33" s="545">
        <f t="shared" si="33"/>
        <v>0</v>
      </c>
      <c r="DC33" s="546">
        <f t="shared" si="145"/>
        <v>0</v>
      </c>
      <c r="DD33" s="544"/>
      <c r="DE33" s="545">
        <f t="shared" si="34"/>
        <v>0</v>
      </c>
      <c r="DF33" s="546">
        <f t="shared" si="146"/>
        <v>0</v>
      </c>
      <c r="DG33" s="544"/>
      <c r="DH33" s="545">
        <f t="shared" si="35"/>
        <v>0</v>
      </c>
      <c r="DI33" s="546">
        <f t="shared" si="201"/>
        <v>0</v>
      </c>
      <c r="DJ33" s="544"/>
      <c r="DK33" s="545">
        <f t="shared" si="36"/>
        <v>0</v>
      </c>
      <c r="DL33" s="546">
        <f t="shared" si="147"/>
        <v>0</v>
      </c>
      <c r="DM33" s="544"/>
      <c r="DN33" s="545">
        <f t="shared" si="37"/>
        <v>0</v>
      </c>
      <c r="DO33" s="546">
        <f t="shared" si="148"/>
        <v>0</v>
      </c>
      <c r="DP33" s="544"/>
      <c r="DQ33" s="545">
        <f t="shared" si="38"/>
        <v>0</v>
      </c>
      <c r="DR33" s="546">
        <f t="shared" si="149"/>
        <v>0</v>
      </c>
      <c r="DS33" s="544"/>
      <c r="DT33" s="545">
        <f t="shared" si="39"/>
        <v>0</v>
      </c>
      <c r="DU33" s="546">
        <f t="shared" si="150"/>
        <v>0</v>
      </c>
      <c r="DV33" s="544"/>
      <c r="DW33" s="545">
        <f t="shared" si="40"/>
        <v>0</v>
      </c>
      <c r="DX33" s="546">
        <f t="shared" si="151"/>
        <v>0</v>
      </c>
      <c r="DY33" s="544"/>
      <c r="DZ33" s="545">
        <f t="shared" si="41"/>
        <v>0</v>
      </c>
      <c r="EA33" s="546">
        <f t="shared" si="152"/>
        <v>0</v>
      </c>
      <c r="EB33" s="544">
        <v>517.64705882352951</v>
      </c>
      <c r="EC33" s="545">
        <f t="shared" si="42"/>
        <v>9.4325162416139054</v>
      </c>
      <c r="ED33" s="546">
        <f t="shared" si="153"/>
        <v>0</v>
      </c>
      <c r="EE33" s="544">
        <v>11.860465116278988</v>
      </c>
      <c r="EF33" s="545">
        <f t="shared" si="43"/>
        <v>0.2161202849228118</v>
      </c>
      <c r="EG33" s="546">
        <f t="shared" si="154"/>
        <v>0</v>
      </c>
      <c r="EH33" s="544">
        <v>2</v>
      </c>
      <c r="EI33" s="545">
        <f t="shared" si="44"/>
        <v>3.6443812751690084E-2</v>
      </c>
      <c r="EJ33" s="546">
        <f t="shared" si="155"/>
        <v>0</v>
      </c>
      <c r="EK33" s="544"/>
      <c r="EL33" s="545">
        <f t="shared" si="45"/>
        <v>0</v>
      </c>
      <c r="EM33" s="546">
        <f t="shared" si="156"/>
        <v>0</v>
      </c>
      <c r="EN33" s="544"/>
      <c r="EO33" s="545">
        <f t="shared" si="46"/>
        <v>0</v>
      </c>
      <c r="EP33" s="546">
        <f t="shared" si="157"/>
        <v>0</v>
      </c>
      <c r="EQ33" s="544"/>
      <c r="ER33" s="545">
        <f t="shared" si="47"/>
        <v>0</v>
      </c>
      <c r="ES33" s="546">
        <f t="shared" si="158"/>
        <v>0</v>
      </c>
      <c r="ET33" s="544"/>
      <c r="EU33" s="545">
        <f t="shared" si="48"/>
        <v>0</v>
      </c>
      <c r="EV33" s="546">
        <f t="shared" si="159"/>
        <v>0</v>
      </c>
      <c r="EW33" s="544"/>
      <c r="EX33" s="545">
        <f t="shared" si="49"/>
        <v>0</v>
      </c>
      <c r="EY33" s="546">
        <f t="shared" si="160"/>
        <v>0</v>
      </c>
      <c r="EZ33" s="544"/>
      <c r="FA33" s="545">
        <f t="shared" si="50"/>
        <v>0</v>
      </c>
      <c r="FB33" s="546">
        <f t="shared" si="161"/>
        <v>0</v>
      </c>
      <c r="FC33" s="544"/>
      <c r="FD33" s="545">
        <f t="shared" si="51"/>
        <v>0</v>
      </c>
      <c r="FE33" s="546">
        <f t="shared" si="162"/>
        <v>0</v>
      </c>
      <c r="FF33" s="544"/>
      <c r="FG33" s="545">
        <f t="shared" si="52"/>
        <v>0</v>
      </c>
      <c r="FH33" s="546">
        <f t="shared" si="163"/>
        <v>0</v>
      </c>
      <c r="FI33" s="544"/>
      <c r="FJ33" s="545">
        <f t="shared" si="53"/>
        <v>0</v>
      </c>
      <c r="FK33" s="546">
        <f t="shared" si="164"/>
        <v>0</v>
      </c>
      <c r="FL33" s="544"/>
      <c r="FM33" s="545">
        <f t="shared" si="54"/>
        <v>0</v>
      </c>
      <c r="FN33" s="546">
        <f t="shared" si="165"/>
        <v>0</v>
      </c>
      <c r="FO33" s="544"/>
      <c r="FP33" s="545">
        <f t="shared" si="55"/>
        <v>0</v>
      </c>
      <c r="FQ33" s="546">
        <f t="shared" si="166"/>
        <v>0</v>
      </c>
      <c r="FR33" s="544"/>
      <c r="FS33" s="545">
        <f t="shared" si="56"/>
        <v>0</v>
      </c>
      <c r="FT33" s="546">
        <f t="shared" si="167"/>
        <v>0</v>
      </c>
      <c r="FU33" s="544"/>
      <c r="FV33" s="545">
        <f t="shared" si="57"/>
        <v>0</v>
      </c>
      <c r="FW33" s="546">
        <f t="shared" si="168"/>
        <v>0</v>
      </c>
      <c r="FX33" s="544"/>
      <c r="FY33" s="545">
        <f t="shared" si="58"/>
        <v>0</v>
      </c>
      <c r="FZ33" s="546">
        <f t="shared" si="169"/>
        <v>0</v>
      </c>
      <c r="GA33" s="544"/>
      <c r="GB33" s="545">
        <f t="shared" si="59"/>
        <v>0</v>
      </c>
      <c r="GC33" s="546">
        <f t="shared" si="170"/>
        <v>0</v>
      </c>
      <c r="GD33" s="544"/>
      <c r="GE33" s="545">
        <f t="shared" si="60"/>
        <v>0</v>
      </c>
      <c r="GF33" s="546">
        <f t="shared" si="171"/>
        <v>0</v>
      </c>
      <c r="GG33" s="544"/>
      <c r="GH33" s="545">
        <f t="shared" si="61"/>
        <v>0</v>
      </c>
      <c r="GI33" s="546">
        <f t="shared" si="172"/>
        <v>0</v>
      </c>
      <c r="GJ33" s="544"/>
      <c r="GK33" s="545">
        <f t="shared" si="211"/>
        <v>0</v>
      </c>
      <c r="GL33" s="546">
        <f t="shared" si="212"/>
        <v>0</v>
      </c>
      <c r="GM33" s="544"/>
      <c r="GN33" s="545">
        <f t="shared" si="202"/>
        <v>0</v>
      </c>
      <c r="GO33" s="546">
        <f t="shared" si="203"/>
        <v>0</v>
      </c>
      <c r="GP33" s="544"/>
      <c r="GQ33" s="545">
        <f t="shared" si="204"/>
        <v>0</v>
      </c>
      <c r="GR33" s="546">
        <f t="shared" si="205"/>
        <v>0</v>
      </c>
      <c r="GS33" s="544"/>
      <c r="GT33" s="545">
        <f t="shared" si="206"/>
        <v>0</v>
      </c>
      <c r="GU33" s="546">
        <f t="shared" si="207"/>
        <v>0</v>
      </c>
      <c r="GV33" s="544"/>
      <c r="GW33" s="545">
        <f t="shared" si="208"/>
        <v>0</v>
      </c>
      <c r="GX33" s="546">
        <f t="shared" si="209"/>
        <v>0</v>
      </c>
      <c r="GY33" s="544"/>
      <c r="GZ33" s="545">
        <f t="shared" si="210"/>
        <v>0</v>
      </c>
      <c r="HA33" s="546">
        <f t="shared" si="178"/>
        <v>0</v>
      </c>
      <c r="HB33" s="544"/>
      <c r="HC33" s="545">
        <f t="shared" si="68"/>
        <v>0</v>
      </c>
      <c r="HD33" s="546">
        <f t="shared" si="179"/>
        <v>0</v>
      </c>
      <c r="HE33" s="544"/>
      <c r="HF33" s="545">
        <f t="shared" si="69"/>
        <v>0</v>
      </c>
      <c r="HG33" s="546">
        <f t="shared" si="180"/>
        <v>0</v>
      </c>
      <c r="HH33" s="544"/>
      <c r="HI33" s="545">
        <f t="shared" si="70"/>
        <v>0</v>
      </c>
      <c r="HJ33" s="546">
        <f t="shared" si="181"/>
        <v>0</v>
      </c>
      <c r="HK33" s="544"/>
      <c r="HL33" s="545">
        <f t="shared" si="71"/>
        <v>0</v>
      </c>
      <c r="HM33" s="546">
        <f t="shared" si="182"/>
        <v>0</v>
      </c>
      <c r="HN33" s="544"/>
      <c r="HO33" s="545">
        <f t="shared" si="72"/>
        <v>0</v>
      </c>
      <c r="HP33" s="546">
        <f t="shared" si="183"/>
        <v>0</v>
      </c>
      <c r="HQ33" s="544"/>
      <c r="HR33" s="545">
        <f t="shared" si="73"/>
        <v>0</v>
      </c>
      <c r="HS33" s="546">
        <f t="shared" si="184"/>
        <v>0</v>
      </c>
      <c r="HT33" s="544"/>
      <c r="HU33" s="545">
        <f t="shared" si="74"/>
        <v>0</v>
      </c>
      <c r="HV33" s="546">
        <f t="shared" si="185"/>
        <v>0</v>
      </c>
      <c r="HW33" s="544"/>
      <c r="HX33" s="545">
        <f t="shared" si="75"/>
        <v>0</v>
      </c>
      <c r="HY33" s="546">
        <f t="shared" si="186"/>
        <v>0</v>
      </c>
      <c r="HZ33" s="544"/>
      <c r="IA33" s="545">
        <f t="shared" si="76"/>
        <v>0</v>
      </c>
      <c r="IB33" s="546">
        <f t="shared" si="187"/>
        <v>0</v>
      </c>
      <c r="IC33" s="544"/>
      <c r="ID33" s="545">
        <f t="shared" si="77"/>
        <v>0</v>
      </c>
      <c r="IE33" s="546">
        <f t="shared" si="188"/>
        <v>0</v>
      </c>
      <c r="IF33" s="544"/>
      <c r="IG33" s="545">
        <f t="shared" si="78"/>
        <v>0</v>
      </c>
      <c r="IH33" s="546">
        <f t="shared" si="189"/>
        <v>0</v>
      </c>
      <c r="II33" s="544"/>
      <c r="IJ33" s="545">
        <f t="shared" si="79"/>
        <v>0</v>
      </c>
      <c r="IK33" s="546">
        <f t="shared" si="190"/>
        <v>0</v>
      </c>
      <c r="IL33" s="544"/>
      <c r="IM33" s="545">
        <f t="shared" si="80"/>
        <v>0</v>
      </c>
      <c r="IN33" s="546">
        <f t="shared" si="191"/>
        <v>0</v>
      </c>
      <c r="IO33" s="544"/>
      <c r="IP33" s="545">
        <f t="shared" si="81"/>
        <v>0</v>
      </c>
      <c r="IQ33" s="546">
        <f t="shared" si="192"/>
        <v>0</v>
      </c>
      <c r="IR33" s="544"/>
      <c r="IS33" s="545">
        <f t="shared" si="82"/>
        <v>0</v>
      </c>
      <c r="IT33" s="546">
        <f t="shared" si="193"/>
        <v>0</v>
      </c>
      <c r="IU33" s="544"/>
      <c r="IV33" s="545">
        <f t="shared" si="83"/>
        <v>0</v>
      </c>
      <c r="IW33" s="546">
        <f t="shared" si="194"/>
        <v>0</v>
      </c>
      <c r="IX33" s="544"/>
      <c r="IY33" s="545">
        <f t="shared" si="84"/>
        <v>0</v>
      </c>
      <c r="IZ33" s="546">
        <f t="shared" si="195"/>
        <v>0</v>
      </c>
      <c r="JA33" s="544"/>
      <c r="JB33" s="545">
        <f t="shared" si="85"/>
        <v>0</v>
      </c>
      <c r="JC33" s="546">
        <f t="shared" si="196"/>
        <v>0</v>
      </c>
      <c r="JD33" s="544"/>
      <c r="JE33" s="545">
        <f t="shared" si="86"/>
        <v>0</v>
      </c>
      <c r="JF33" s="546">
        <f t="shared" si="197"/>
        <v>0</v>
      </c>
      <c r="JG33" s="544"/>
      <c r="JH33" s="546" t="str">
        <f t="shared" si="87"/>
        <v>0</v>
      </c>
      <c r="JI33" s="546" t="str">
        <f t="shared" si="88"/>
        <v>0</v>
      </c>
      <c r="JJ33" s="544"/>
      <c r="JK33" s="546" t="str">
        <f t="shared" si="89"/>
        <v>0</v>
      </c>
      <c r="JL33" s="546" t="str">
        <f t="shared" si="90"/>
        <v>0</v>
      </c>
      <c r="JM33" s="544"/>
      <c r="JN33" s="546" t="str">
        <f t="shared" si="91"/>
        <v>0</v>
      </c>
      <c r="JO33" s="546" t="str">
        <f t="shared" si="92"/>
        <v>0</v>
      </c>
      <c r="JP33" s="544"/>
      <c r="JQ33" s="546" t="str">
        <f t="shared" si="93"/>
        <v>0</v>
      </c>
      <c r="JR33" s="546" t="str">
        <f t="shared" si="94"/>
        <v>0</v>
      </c>
      <c r="JS33" s="544"/>
      <c r="JT33" s="546" t="str">
        <f t="shared" si="95"/>
        <v>0</v>
      </c>
      <c r="JU33" s="546" t="str">
        <f t="shared" si="96"/>
        <v>0</v>
      </c>
      <c r="JV33" s="544"/>
      <c r="JW33" s="546" t="str">
        <f t="shared" si="97"/>
        <v>0</v>
      </c>
      <c r="JX33" s="546" t="str">
        <f t="shared" si="98"/>
        <v>0</v>
      </c>
      <c r="JY33" s="544"/>
      <c r="JZ33" s="546" t="str">
        <f t="shared" si="99"/>
        <v>0</v>
      </c>
      <c r="KA33" s="546" t="str">
        <f t="shared" si="100"/>
        <v>0</v>
      </c>
      <c r="KB33" s="544"/>
      <c r="KC33" s="546" t="str">
        <f t="shared" si="101"/>
        <v>0</v>
      </c>
      <c r="KD33" s="546" t="str">
        <f t="shared" si="102"/>
        <v>0</v>
      </c>
      <c r="KE33" s="544"/>
      <c r="KF33" s="546" t="str">
        <f t="shared" si="103"/>
        <v>0</v>
      </c>
      <c r="KG33" s="546" t="str">
        <f t="shared" si="104"/>
        <v>0</v>
      </c>
      <c r="KH33" s="544"/>
      <c r="KI33" s="546" t="str">
        <f t="shared" si="105"/>
        <v>0</v>
      </c>
      <c r="KJ33" s="546" t="str">
        <f t="shared" si="106"/>
        <v>0</v>
      </c>
      <c r="KK33" s="544"/>
      <c r="KL33" s="546" t="str">
        <f t="shared" si="107"/>
        <v>0</v>
      </c>
      <c r="KM33" s="546" t="str">
        <f t="shared" si="108"/>
        <v>0</v>
      </c>
      <c r="KN33" s="544"/>
      <c r="KO33" s="546" t="str">
        <f t="shared" si="109"/>
        <v>0</v>
      </c>
      <c r="KP33" s="546" t="str">
        <f t="shared" si="110"/>
        <v>0</v>
      </c>
      <c r="KQ33" s="546">
        <f t="shared" si="111"/>
        <v>0</v>
      </c>
      <c r="KR33" s="546">
        <f t="shared" si="198"/>
        <v>0</v>
      </c>
      <c r="KS33" s="265">
        <f t="shared" si="199"/>
        <v>704.71961624750088</v>
      </c>
    </row>
    <row r="34" spans="1:16381" ht="15" customHeight="1">
      <c r="A34" s="267">
        <f t="shared" si="200"/>
        <v>45742</v>
      </c>
      <c r="B34" s="268" t="str">
        <f>+Report1!B34</f>
        <v>Napkin</v>
      </c>
      <c r="C34" s="268" t="str">
        <f>+Report1!C34</f>
        <v>18</v>
      </c>
      <c r="D34" s="269">
        <f>+Report1!P34</f>
        <v>57.823</v>
      </c>
      <c r="E34" s="270">
        <f>+Report1!R34</f>
        <v>57.335000000000001</v>
      </c>
      <c r="F34" s="544"/>
      <c r="G34" s="545">
        <f t="shared" si="0"/>
        <v>0</v>
      </c>
      <c r="H34" s="546">
        <f t="shared" si="112"/>
        <v>0</v>
      </c>
      <c r="I34" s="544"/>
      <c r="J34" s="545">
        <f t="shared" si="1"/>
        <v>0</v>
      </c>
      <c r="K34" s="546">
        <f t="shared" si="113"/>
        <v>0</v>
      </c>
      <c r="L34" s="544"/>
      <c r="M34" s="545">
        <f t="shared" si="2"/>
        <v>0</v>
      </c>
      <c r="N34" s="546">
        <f t="shared" si="114"/>
        <v>0</v>
      </c>
      <c r="O34" s="544">
        <v>9</v>
      </c>
      <c r="P34" s="545">
        <f t="shared" si="3"/>
        <v>0.1569721810412488</v>
      </c>
      <c r="Q34" s="546">
        <f t="shared" si="115"/>
        <v>0</v>
      </c>
      <c r="R34" s="544"/>
      <c r="S34" s="545">
        <f t="shared" si="4"/>
        <v>0</v>
      </c>
      <c r="T34" s="546">
        <f t="shared" si="116"/>
        <v>0</v>
      </c>
      <c r="U34" s="544">
        <v>10.249999999999986</v>
      </c>
      <c r="V34" s="545">
        <f t="shared" si="5"/>
        <v>0.1787738728525331</v>
      </c>
      <c r="W34" s="546">
        <f t="shared" si="117"/>
        <v>0</v>
      </c>
      <c r="X34" s="544"/>
      <c r="Y34" s="545">
        <f t="shared" si="6"/>
        <v>0</v>
      </c>
      <c r="Z34" s="546">
        <f t="shared" si="118"/>
        <v>0</v>
      </c>
      <c r="AA34" s="544"/>
      <c r="AB34" s="545">
        <f t="shared" si="7"/>
        <v>0</v>
      </c>
      <c r="AC34" s="546">
        <f t="shared" si="119"/>
        <v>0</v>
      </c>
      <c r="AD34" s="544"/>
      <c r="AE34" s="545">
        <f t="shared" si="8"/>
        <v>0</v>
      </c>
      <c r="AF34" s="546">
        <f t="shared" si="120"/>
        <v>0</v>
      </c>
      <c r="AG34" s="544"/>
      <c r="AH34" s="545">
        <f t="shared" si="9"/>
        <v>0</v>
      </c>
      <c r="AI34" s="546">
        <f t="shared" si="121"/>
        <v>0</v>
      </c>
      <c r="AJ34" s="544"/>
      <c r="AK34" s="545">
        <f t="shared" si="10"/>
        <v>0</v>
      </c>
      <c r="AL34" s="546">
        <f t="shared" si="122"/>
        <v>0</v>
      </c>
      <c r="AM34" s="544">
        <v>28.910256410256409</v>
      </c>
      <c r="AN34" s="545">
        <f t="shared" si="11"/>
        <v>0.50423400035329913</v>
      </c>
      <c r="AO34" s="546">
        <f t="shared" si="123"/>
        <v>0</v>
      </c>
      <c r="AP34" s="544"/>
      <c r="AQ34" s="545">
        <f t="shared" si="12"/>
        <v>0</v>
      </c>
      <c r="AR34" s="546">
        <f t="shared" si="124"/>
        <v>0</v>
      </c>
      <c r="AS34" s="544"/>
      <c r="AT34" s="545">
        <f t="shared" si="13"/>
        <v>0</v>
      </c>
      <c r="AU34" s="546">
        <f t="shared" si="125"/>
        <v>0</v>
      </c>
      <c r="AV34" s="544">
        <v>2.7750000000000057</v>
      </c>
      <c r="AW34" s="545">
        <f t="shared" si="14"/>
        <v>4.8399755821051813E-2</v>
      </c>
      <c r="AX34" s="546">
        <f t="shared" si="126"/>
        <v>0</v>
      </c>
      <c r="AY34" s="544">
        <v>67.666666666666686</v>
      </c>
      <c r="AZ34" s="545">
        <f t="shared" si="15"/>
        <v>1.180198250050871</v>
      </c>
      <c r="BA34" s="546">
        <f t="shared" si="127"/>
        <v>0</v>
      </c>
      <c r="BB34" s="544"/>
      <c r="BC34" s="545">
        <f t="shared" si="16"/>
        <v>0</v>
      </c>
      <c r="BD34" s="546">
        <f t="shared" si="128"/>
        <v>0</v>
      </c>
      <c r="BE34" s="544"/>
      <c r="BF34" s="545">
        <f t="shared" si="17"/>
        <v>0</v>
      </c>
      <c r="BG34" s="546">
        <f t="shared" si="129"/>
        <v>0</v>
      </c>
      <c r="BH34" s="544"/>
      <c r="BI34" s="545">
        <f t="shared" si="18"/>
        <v>0</v>
      </c>
      <c r="BJ34" s="546">
        <f t="shared" si="130"/>
        <v>0</v>
      </c>
      <c r="BK34" s="544"/>
      <c r="BL34" s="545">
        <f t="shared" si="19"/>
        <v>0</v>
      </c>
      <c r="BM34" s="546">
        <f t="shared" si="131"/>
        <v>0</v>
      </c>
      <c r="BN34" s="544"/>
      <c r="BO34" s="545">
        <f t="shared" si="20"/>
        <v>0</v>
      </c>
      <c r="BP34" s="546">
        <f t="shared" si="132"/>
        <v>0</v>
      </c>
      <c r="BQ34" s="544"/>
      <c r="BR34" s="545">
        <f t="shared" si="21"/>
        <v>0</v>
      </c>
      <c r="BS34" s="546">
        <f t="shared" si="133"/>
        <v>0</v>
      </c>
      <c r="BT34" s="544"/>
      <c r="BU34" s="545">
        <f t="shared" si="22"/>
        <v>0</v>
      </c>
      <c r="BV34" s="546">
        <f t="shared" si="134"/>
        <v>0</v>
      </c>
      <c r="BW34" s="544"/>
      <c r="BX34" s="545">
        <f t="shared" si="23"/>
        <v>0</v>
      </c>
      <c r="BY34" s="546">
        <f t="shared" si="135"/>
        <v>0</v>
      </c>
      <c r="BZ34" s="544"/>
      <c r="CA34" s="545">
        <f t="shared" si="24"/>
        <v>0</v>
      </c>
      <c r="CB34" s="546">
        <f t="shared" si="136"/>
        <v>0</v>
      </c>
      <c r="CC34" s="544">
        <v>18.75</v>
      </c>
      <c r="CD34" s="545">
        <f t="shared" si="25"/>
        <v>0.32702537716926833</v>
      </c>
      <c r="CE34" s="546">
        <f t="shared" si="137"/>
        <v>0</v>
      </c>
      <c r="CF34" s="544">
        <v>0.60000000000000053</v>
      </c>
      <c r="CG34" s="545">
        <f t="shared" si="26"/>
        <v>1.0464812069416596E-2</v>
      </c>
      <c r="CH34" s="546">
        <f t="shared" si="138"/>
        <v>0</v>
      </c>
      <c r="CI34" s="544"/>
      <c r="CJ34" s="545">
        <f t="shared" si="27"/>
        <v>0</v>
      </c>
      <c r="CK34" s="546">
        <f t="shared" si="139"/>
        <v>0</v>
      </c>
      <c r="CL34" s="544"/>
      <c r="CM34" s="545">
        <f t="shared" si="28"/>
        <v>0</v>
      </c>
      <c r="CN34" s="546">
        <f t="shared" si="140"/>
        <v>0</v>
      </c>
      <c r="CO34" s="544"/>
      <c r="CP34" s="545">
        <f t="shared" si="29"/>
        <v>0</v>
      </c>
      <c r="CQ34" s="546">
        <f t="shared" si="141"/>
        <v>0</v>
      </c>
      <c r="CR34" s="544"/>
      <c r="CS34" s="545">
        <f t="shared" si="30"/>
        <v>0</v>
      </c>
      <c r="CT34" s="546">
        <f t="shared" si="142"/>
        <v>0</v>
      </c>
      <c r="CU34" s="544"/>
      <c r="CV34" s="545">
        <f t="shared" si="31"/>
        <v>0</v>
      </c>
      <c r="CW34" s="546">
        <f t="shared" si="143"/>
        <v>0</v>
      </c>
      <c r="CX34" s="544"/>
      <c r="CY34" s="545">
        <f t="shared" si="32"/>
        <v>0</v>
      </c>
      <c r="CZ34" s="546">
        <f t="shared" si="144"/>
        <v>0</v>
      </c>
      <c r="DA34" s="544"/>
      <c r="DB34" s="545">
        <f t="shared" si="33"/>
        <v>0</v>
      </c>
      <c r="DC34" s="546">
        <f t="shared" si="145"/>
        <v>0</v>
      </c>
      <c r="DD34" s="544"/>
      <c r="DE34" s="545">
        <f t="shared" si="34"/>
        <v>0</v>
      </c>
      <c r="DF34" s="546">
        <f t="shared" si="146"/>
        <v>0</v>
      </c>
      <c r="DG34" s="544"/>
      <c r="DH34" s="545">
        <f t="shared" si="35"/>
        <v>0</v>
      </c>
      <c r="DI34" s="546">
        <f t="shared" si="201"/>
        <v>0</v>
      </c>
      <c r="DJ34" s="544"/>
      <c r="DK34" s="545">
        <f t="shared" si="36"/>
        <v>0</v>
      </c>
      <c r="DL34" s="546">
        <f t="shared" si="147"/>
        <v>0</v>
      </c>
      <c r="DM34" s="544"/>
      <c r="DN34" s="545">
        <f t="shared" si="37"/>
        <v>0</v>
      </c>
      <c r="DO34" s="546">
        <f t="shared" si="148"/>
        <v>0</v>
      </c>
      <c r="DP34" s="544"/>
      <c r="DQ34" s="545">
        <f t="shared" si="38"/>
        <v>0</v>
      </c>
      <c r="DR34" s="546">
        <f t="shared" si="149"/>
        <v>0</v>
      </c>
      <c r="DS34" s="544"/>
      <c r="DT34" s="545">
        <f t="shared" si="39"/>
        <v>0</v>
      </c>
      <c r="DU34" s="546">
        <f t="shared" si="150"/>
        <v>0</v>
      </c>
      <c r="DV34" s="544"/>
      <c r="DW34" s="545">
        <f t="shared" si="40"/>
        <v>0</v>
      </c>
      <c r="DX34" s="546">
        <f t="shared" si="151"/>
        <v>0</v>
      </c>
      <c r="DY34" s="544"/>
      <c r="DZ34" s="545">
        <f t="shared" si="41"/>
        <v>0</v>
      </c>
      <c r="EA34" s="546">
        <f t="shared" si="152"/>
        <v>0</v>
      </c>
      <c r="EB34" s="544">
        <v>376.47058823529414</v>
      </c>
      <c r="EC34" s="545">
        <f t="shared" si="42"/>
        <v>6.5661565925751137</v>
      </c>
      <c r="ED34" s="546">
        <f t="shared" si="153"/>
        <v>0</v>
      </c>
      <c r="EE34" s="544">
        <v>11.860465116279101</v>
      </c>
      <c r="EF34" s="545">
        <f t="shared" si="43"/>
        <v>0.20686256416288656</v>
      </c>
      <c r="EG34" s="546">
        <f t="shared" si="154"/>
        <v>0</v>
      </c>
      <c r="EH34" s="544">
        <v>4</v>
      </c>
      <c r="EI34" s="545">
        <f t="shared" si="44"/>
        <v>6.9765413796110579E-2</v>
      </c>
      <c r="EJ34" s="546">
        <f t="shared" si="155"/>
        <v>0</v>
      </c>
      <c r="EK34" s="544"/>
      <c r="EL34" s="545">
        <f t="shared" si="45"/>
        <v>0</v>
      </c>
      <c r="EM34" s="546">
        <f t="shared" si="156"/>
        <v>0</v>
      </c>
      <c r="EN34" s="544"/>
      <c r="EO34" s="545">
        <f t="shared" si="46"/>
        <v>0</v>
      </c>
      <c r="EP34" s="546">
        <f t="shared" si="157"/>
        <v>0</v>
      </c>
      <c r="EQ34" s="544"/>
      <c r="ER34" s="545">
        <f t="shared" si="47"/>
        <v>0</v>
      </c>
      <c r="ES34" s="546">
        <f t="shared" si="158"/>
        <v>0</v>
      </c>
      <c r="ET34" s="544"/>
      <c r="EU34" s="545">
        <f t="shared" si="48"/>
        <v>0</v>
      </c>
      <c r="EV34" s="546">
        <f t="shared" si="159"/>
        <v>0</v>
      </c>
      <c r="EW34" s="544"/>
      <c r="EX34" s="545">
        <f t="shared" si="49"/>
        <v>0</v>
      </c>
      <c r="EY34" s="546">
        <f t="shared" si="160"/>
        <v>0</v>
      </c>
      <c r="EZ34" s="544"/>
      <c r="FA34" s="545">
        <f t="shared" si="50"/>
        <v>0</v>
      </c>
      <c r="FB34" s="546">
        <f t="shared" si="161"/>
        <v>0</v>
      </c>
      <c r="FC34" s="544"/>
      <c r="FD34" s="545">
        <f t="shared" si="51"/>
        <v>0</v>
      </c>
      <c r="FE34" s="546">
        <f t="shared" si="162"/>
        <v>0</v>
      </c>
      <c r="FF34" s="544"/>
      <c r="FG34" s="545">
        <f t="shared" si="52"/>
        <v>0</v>
      </c>
      <c r="FH34" s="546">
        <f t="shared" si="163"/>
        <v>0</v>
      </c>
      <c r="FI34" s="544"/>
      <c r="FJ34" s="545">
        <f t="shared" si="53"/>
        <v>0</v>
      </c>
      <c r="FK34" s="546">
        <f t="shared" si="164"/>
        <v>0</v>
      </c>
      <c r="FL34" s="544"/>
      <c r="FM34" s="545">
        <f t="shared" si="54"/>
        <v>0</v>
      </c>
      <c r="FN34" s="546">
        <f t="shared" si="165"/>
        <v>0</v>
      </c>
      <c r="FO34" s="544"/>
      <c r="FP34" s="545">
        <f t="shared" si="55"/>
        <v>0</v>
      </c>
      <c r="FQ34" s="546">
        <f t="shared" si="166"/>
        <v>0</v>
      </c>
      <c r="FR34" s="544"/>
      <c r="FS34" s="545">
        <f t="shared" si="56"/>
        <v>0</v>
      </c>
      <c r="FT34" s="546">
        <f t="shared" si="167"/>
        <v>0</v>
      </c>
      <c r="FU34" s="544"/>
      <c r="FV34" s="545">
        <f t="shared" si="57"/>
        <v>0</v>
      </c>
      <c r="FW34" s="546">
        <f t="shared" si="168"/>
        <v>0</v>
      </c>
      <c r="FX34" s="544"/>
      <c r="FY34" s="545">
        <f t="shared" si="58"/>
        <v>0</v>
      </c>
      <c r="FZ34" s="546">
        <f t="shared" si="169"/>
        <v>0</v>
      </c>
      <c r="GA34" s="544"/>
      <c r="GB34" s="545">
        <f t="shared" si="59"/>
        <v>0</v>
      </c>
      <c r="GC34" s="546">
        <f t="shared" si="170"/>
        <v>0</v>
      </c>
      <c r="GD34" s="544"/>
      <c r="GE34" s="545">
        <f t="shared" si="60"/>
        <v>0</v>
      </c>
      <c r="GF34" s="546">
        <f t="shared" si="171"/>
        <v>0</v>
      </c>
      <c r="GG34" s="544"/>
      <c r="GH34" s="545">
        <f t="shared" si="61"/>
        <v>0</v>
      </c>
      <c r="GI34" s="546">
        <f t="shared" si="172"/>
        <v>0</v>
      </c>
      <c r="GJ34" s="544"/>
      <c r="GK34" s="545">
        <f t="shared" si="211"/>
        <v>0</v>
      </c>
      <c r="GL34" s="546">
        <f t="shared" si="212"/>
        <v>0</v>
      </c>
      <c r="GM34" s="544"/>
      <c r="GN34" s="545">
        <f t="shared" si="202"/>
        <v>0</v>
      </c>
      <c r="GO34" s="546">
        <f t="shared" si="203"/>
        <v>0</v>
      </c>
      <c r="GP34" s="544"/>
      <c r="GQ34" s="545">
        <f t="shared" si="204"/>
        <v>0</v>
      </c>
      <c r="GR34" s="546">
        <f t="shared" si="205"/>
        <v>0</v>
      </c>
      <c r="GS34" s="544"/>
      <c r="GT34" s="545">
        <f t="shared" si="206"/>
        <v>0</v>
      </c>
      <c r="GU34" s="546">
        <f t="shared" si="207"/>
        <v>0</v>
      </c>
      <c r="GV34" s="544"/>
      <c r="GW34" s="545">
        <f t="shared" si="208"/>
        <v>0</v>
      </c>
      <c r="GX34" s="546">
        <f t="shared" si="209"/>
        <v>0</v>
      </c>
      <c r="GY34" s="544"/>
      <c r="GZ34" s="545">
        <f t="shared" si="210"/>
        <v>0</v>
      </c>
      <c r="HA34" s="546">
        <f t="shared" si="178"/>
        <v>0</v>
      </c>
      <c r="HB34" s="544"/>
      <c r="HC34" s="545">
        <f t="shared" si="68"/>
        <v>0</v>
      </c>
      <c r="HD34" s="546">
        <f t="shared" si="179"/>
        <v>0</v>
      </c>
      <c r="HE34" s="544"/>
      <c r="HF34" s="545">
        <f t="shared" si="69"/>
        <v>0</v>
      </c>
      <c r="HG34" s="546">
        <f t="shared" si="180"/>
        <v>0</v>
      </c>
      <c r="HH34" s="544"/>
      <c r="HI34" s="545">
        <f t="shared" si="70"/>
        <v>0</v>
      </c>
      <c r="HJ34" s="546">
        <f t="shared" si="181"/>
        <v>0</v>
      </c>
      <c r="HK34" s="544"/>
      <c r="HL34" s="545">
        <f t="shared" si="71"/>
        <v>0</v>
      </c>
      <c r="HM34" s="546">
        <f t="shared" si="182"/>
        <v>0</v>
      </c>
      <c r="HN34" s="544"/>
      <c r="HO34" s="545">
        <f t="shared" si="72"/>
        <v>0</v>
      </c>
      <c r="HP34" s="546">
        <f t="shared" si="183"/>
        <v>0</v>
      </c>
      <c r="HQ34" s="544"/>
      <c r="HR34" s="545">
        <f t="shared" si="73"/>
        <v>0</v>
      </c>
      <c r="HS34" s="546">
        <f t="shared" si="184"/>
        <v>0</v>
      </c>
      <c r="HT34" s="544"/>
      <c r="HU34" s="545">
        <f t="shared" si="74"/>
        <v>0</v>
      </c>
      <c r="HV34" s="546">
        <f t="shared" si="185"/>
        <v>0</v>
      </c>
      <c r="HW34" s="544"/>
      <c r="HX34" s="545">
        <f t="shared" si="75"/>
        <v>0</v>
      </c>
      <c r="HY34" s="546">
        <f t="shared" si="186"/>
        <v>0</v>
      </c>
      <c r="HZ34" s="544"/>
      <c r="IA34" s="545">
        <f t="shared" si="76"/>
        <v>0</v>
      </c>
      <c r="IB34" s="546">
        <f t="shared" si="187"/>
        <v>0</v>
      </c>
      <c r="IC34" s="544"/>
      <c r="ID34" s="545">
        <f t="shared" si="77"/>
        <v>0</v>
      </c>
      <c r="IE34" s="546">
        <f t="shared" si="188"/>
        <v>0</v>
      </c>
      <c r="IF34" s="544"/>
      <c r="IG34" s="545">
        <f t="shared" si="78"/>
        <v>0</v>
      </c>
      <c r="IH34" s="546">
        <f t="shared" si="189"/>
        <v>0</v>
      </c>
      <c r="II34" s="544"/>
      <c r="IJ34" s="545">
        <f t="shared" si="79"/>
        <v>0</v>
      </c>
      <c r="IK34" s="546">
        <f t="shared" si="190"/>
        <v>0</v>
      </c>
      <c r="IL34" s="544"/>
      <c r="IM34" s="545">
        <f t="shared" si="80"/>
        <v>0</v>
      </c>
      <c r="IN34" s="546">
        <f t="shared" si="191"/>
        <v>0</v>
      </c>
      <c r="IO34" s="544"/>
      <c r="IP34" s="545">
        <f t="shared" si="81"/>
        <v>0</v>
      </c>
      <c r="IQ34" s="546">
        <f t="shared" si="192"/>
        <v>0</v>
      </c>
      <c r="IR34" s="544"/>
      <c r="IS34" s="545">
        <f t="shared" si="82"/>
        <v>0</v>
      </c>
      <c r="IT34" s="546">
        <f t="shared" si="193"/>
        <v>0</v>
      </c>
      <c r="IU34" s="544"/>
      <c r="IV34" s="545">
        <f t="shared" si="83"/>
        <v>0</v>
      </c>
      <c r="IW34" s="546">
        <f t="shared" si="194"/>
        <v>0</v>
      </c>
      <c r="IX34" s="544"/>
      <c r="IY34" s="545">
        <f t="shared" si="84"/>
        <v>0</v>
      </c>
      <c r="IZ34" s="546">
        <f t="shared" si="195"/>
        <v>0</v>
      </c>
      <c r="JA34" s="544"/>
      <c r="JB34" s="545">
        <f t="shared" si="85"/>
        <v>0</v>
      </c>
      <c r="JC34" s="546">
        <f t="shared" si="196"/>
        <v>0</v>
      </c>
      <c r="JD34" s="544"/>
      <c r="JE34" s="545">
        <f t="shared" si="86"/>
        <v>0</v>
      </c>
      <c r="JF34" s="546">
        <f t="shared" si="197"/>
        <v>0</v>
      </c>
      <c r="JG34" s="544"/>
      <c r="JH34" s="546" t="str">
        <f t="shared" si="87"/>
        <v>0</v>
      </c>
      <c r="JI34" s="546" t="str">
        <f t="shared" si="88"/>
        <v>0</v>
      </c>
      <c r="JJ34" s="544"/>
      <c r="JK34" s="546" t="str">
        <f t="shared" si="89"/>
        <v>0</v>
      </c>
      <c r="JL34" s="546" t="str">
        <f t="shared" si="90"/>
        <v>0</v>
      </c>
      <c r="JM34" s="544"/>
      <c r="JN34" s="546" t="str">
        <f t="shared" si="91"/>
        <v>0</v>
      </c>
      <c r="JO34" s="546" t="str">
        <f t="shared" si="92"/>
        <v>0</v>
      </c>
      <c r="JP34" s="544"/>
      <c r="JQ34" s="546" t="str">
        <f t="shared" si="93"/>
        <v>0</v>
      </c>
      <c r="JR34" s="546" t="str">
        <f t="shared" si="94"/>
        <v>0</v>
      </c>
      <c r="JS34" s="544"/>
      <c r="JT34" s="546" t="str">
        <f t="shared" si="95"/>
        <v>0</v>
      </c>
      <c r="JU34" s="546" t="str">
        <f t="shared" si="96"/>
        <v>0</v>
      </c>
      <c r="JV34" s="544"/>
      <c r="JW34" s="546" t="str">
        <f t="shared" si="97"/>
        <v>0</v>
      </c>
      <c r="JX34" s="546" t="str">
        <f t="shared" si="98"/>
        <v>0</v>
      </c>
      <c r="JY34" s="544"/>
      <c r="JZ34" s="546" t="str">
        <f t="shared" si="99"/>
        <v>0</v>
      </c>
      <c r="KA34" s="546" t="str">
        <f t="shared" si="100"/>
        <v>0</v>
      </c>
      <c r="KB34" s="544"/>
      <c r="KC34" s="546" t="str">
        <f t="shared" si="101"/>
        <v>0</v>
      </c>
      <c r="KD34" s="546" t="str">
        <f t="shared" si="102"/>
        <v>0</v>
      </c>
      <c r="KE34" s="544"/>
      <c r="KF34" s="546" t="str">
        <f t="shared" si="103"/>
        <v>0</v>
      </c>
      <c r="KG34" s="546" t="str">
        <f t="shared" si="104"/>
        <v>0</v>
      </c>
      <c r="KH34" s="544"/>
      <c r="KI34" s="546" t="str">
        <f t="shared" si="105"/>
        <v>0</v>
      </c>
      <c r="KJ34" s="546" t="str">
        <f t="shared" si="106"/>
        <v>0</v>
      </c>
      <c r="KK34" s="544"/>
      <c r="KL34" s="546" t="str">
        <f t="shared" si="107"/>
        <v>0</v>
      </c>
      <c r="KM34" s="546" t="str">
        <f t="shared" si="108"/>
        <v>0</v>
      </c>
      <c r="KN34" s="544"/>
      <c r="KO34" s="546" t="str">
        <f t="shared" si="109"/>
        <v>0</v>
      </c>
      <c r="KP34" s="546" t="str">
        <f t="shared" si="110"/>
        <v>0</v>
      </c>
      <c r="KQ34" s="546">
        <f t="shared" si="111"/>
        <v>0</v>
      </c>
      <c r="KR34" s="546">
        <f t="shared" si="198"/>
        <v>0</v>
      </c>
      <c r="KS34" s="265">
        <f t="shared" si="199"/>
        <v>530.28297642849634</v>
      </c>
    </row>
    <row r="35" spans="1:16381" ht="15" customHeight="1">
      <c r="A35" s="267">
        <f t="shared" si="200"/>
        <v>45743</v>
      </c>
      <c r="B35" s="268" t="str">
        <f>+Report1!B35</f>
        <v>Napkin</v>
      </c>
      <c r="C35" s="268" t="str">
        <f>+Report1!C35</f>
        <v>18/20</v>
      </c>
      <c r="D35" s="269">
        <f>+Report1!P35</f>
        <v>64.804000000000002</v>
      </c>
      <c r="E35" s="270">
        <f>+Report1!R35</f>
        <v>62.234000000000002</v>
      </c>
      <c r="F35" s="544"/>
      <c r="G35" s="545">
        <f t="shared" si="0"/>
        <v>0</v>
      </c>
      <c r="H35" s="546">
        <f t="shared" si="112"/>
        <v>0</v>
      </c>
      <c r="I35" s="544"/>
      <c r="J35" s="545">
        <f t="shared" si="1"/>
        <v>0</v>
      </c>
      <c r="K35" s="546">
        <f t="shared" si="113"/>
        <v>0</v>
      </c>
      <c r="L35" s="544"/>
      <c r="M35" s="545">
        <f t="shared" si="2"/>
        <v>0</v>
      </c>
      <c r="N35" s="546">
        <f t="shared" si="114"/>
        <v>0</v>
      </c>
      <c r="O35" s="544">
        <v>9</v>
      </c>
      <c r="P35" s="545">
        <f t="shared" si="3"/>
        <v>0.14461548349776648</v>
      </c>
      <c r="Q35" s="546">
        <f t="shared" si="115"/>
        <v>0</v>
      </c>
      <c r="R35" s="544"/>
      <c r="S35" s="545">
        <f t="shared" si="4"/>
        <v>0</v>
      </c>
      <c r="T35" s="546">
        <f t="shared" si="116"/>
        <v>0</v>
      </c>
      <c r="U35" s="544">
        <v>10.250000000000014</v>
      </c>
      <c r="V35" s="545">
        <f t="shared" si="5"/>
        <v>0.16470096731690095</v>
      </c>
      <c r="W35" s="546">
        <f t="shared" si="117"/>
        <v>0</v>
      </c>
      <c r="X35" s="544"/>
      <c r="Y35" s="545">
        <f t="shared" si="6"/>
        <v>0</v>
      </c>
      <c r="Z35" s="546">
        <f t="shared" si="118"/>
        <v>0</v>
      </c>
      <c r="AA35" s="544"/>
      <c r="AB35" s="545">
        <f t="shared" si="7"/>
        <v>0</v>
      </c>
      <c r="AC35" s="546">
        <f t="shared" si="119"/>
        <v>0</v>
      </c>
      <c r="AD35" s="544"/>
      <c r="AE35" s="545">
        <f t="shared" si="8"/>
        <v>0</v>
      </c>
      <c r="AF35" s="546">
        <f t="shared" si="120"/>
        <v>0</v>
      </c>
      <c r="AG35" s="544"/>
      <c r="AH35" s="545">
        <f t="shared" si="9"/>
        <v>0</v>
      </c>
      <c r="AI35" s="546">
        <f t="shared" si="121"/>
        <v>0</v>
      </c>
      <c r="AJ35" s="544"/>
      <c r="AK35" s="545">
        <f t="shared" si="10"/>
        <v>0</v>
      </c>
      <c r="AL35" s="546">
        <f t="shared" si="122"/>
        <v>0</v>
      </c>
      <c r="AM35" s="544">
        <v>36.794871794871767</v>
      </c>
      <c r="AN35" s="545">
        <f t="shared" si="11"/>
        <v>0.59123424165041238</v>
      </c>
      <c r="AO35" s="546">
        <f t="shared" si="123"/>
        <v>0</v>
      </c>
      <c r="AP35" s="544"/>
      <c r="AQ35" s="545">
        <f t="shared" si="12"/>
        <v>0</v>
      </c>
      <c r="AR35" s="546">
        <f t="shared" si="124"/>
        <v>0</v>
      </c>
      <c r="AS35" s="544"/>
      <c r="AT35" s="545">
        <f t="shared" si="13"/>
        <v>0</v>
      </c>
      <c r="AU35" s="546">
        <f t="shared" si="125"/>
        <v>0</v>
      </c>
      <c r="AV35" s="544">
        <v>5.5500000000000114</v>
      </c>
      <c r="AW35" s="545">
        <f t="shared" si="14"/>
        <v>8.9179548156956182E-2</v>
      </c>
      <c r="AX35" s="546">
        <f t="shared" si="126"/>
        <v>0</v>
      </c>
      <c r="AY35" s="544">
        <v>53.666666666666686</v>
      </c>
      <c r="AZ35" s="545">
        <f t="shared" si="15"/>
        <v>0.8623367719681635</v>
      </c>
      <c r="BA35" s="546">
        <f t="shared" si="127"/>
        <v>0</v>
      </c>
      <c r="BB35" s="544"/>
      <c r="BC35" s="545">
        <f t="shared" si="16"/>
        <v>0</v>
      </c>
      <c r="BD35" s="546">
        <f t="shared" si="128"/>
        <v>0</v>
      </c>
      <c r="BE35" s="544"/>
      <c r="BF35" s="545">
        <f t="shared" si="17"/>
        <v>0</v>
      </c>
      <c r="BG35" s="546">
        <f t="shared" si="129"/>
        <v>0</v>
      </c>
      <c r="BH35" s="544"/>
      <c r="BI35" s="545">
        <f t="shared" si="18"/>
        <v>0</v>
      </c>
      <c r="BJ35" s="546">
        <f t="shared" si="130"/>
        <v>0</v>
      </c>
      <c r="BK35" s="544"/>
      <c r="BL35" s="545">
        <f t="shared" si="19"/>
        <v>0</v>
      </c>
      <c r="BM35" s="546">
        <f t="shared" si="131"/>
        <v>0</v>
      </c>
      <c r="BN35" s="544"/>
      <c r="BO35" s="545">
        <f t="shared" si="20"/>
        <v>0</v>
      </c>
      <c r="BP35" s="546">
        <f t="shared" si="132"/>
        <v>0</v>
      </c>
      <c r="BQ35" s="544"/>
      <c r="BR35" s="545">
        <f t="shared" si="21"/>
        <v>0</v>
      </c>
      <c r="BS35" s="546">
        <f t="shared" si="133"/>
        <v>0</v>
      </c>
      <c r="BT35" s="544"/>
      <c r="BU35" s="545">
        <f t="shared" si="22"/>
        <v>0</v>
      </c>
      <c r="BV35" s="546">
        <f t="shared" si="134"/>
        <v>0</v>
      </c>
      <c r="BW35" s="544"/>
      <c r="BX35" s="545">
        <f t="shared" si="23"/>
        <v>0</v>
      </c>
      <c r="BY35" s="546">
        <f t="shared" si="135"/>
        <v>0</v>
      </c>
      <c r="BZ35" s="544"/>
      <c r="CA35" s="545">
        <f t="shared" si="24"/>
        <v>0</v>
      </c>
      <c r="CB35" s="546">
        <f t="shared" si="136"/>
        <v>0</v>
      </c>
      <c r="CC35" s="544">
        <v>0</v>
      </c>
      <c r="CD35" s="545">
        <f t="shared" si="25"/>
        <v>0</v>
      </c>
      <c r="CE35" s="546">
        <f t="shared" si="137"/>
        <v>0</v>
      </c>
      <c r="CF35" s="544">
        <v>1.2000000000000002</v>
      </c>
      <c r="CG35" s="545">
        <f t="shared" si="26"/>
        <v>1.9282064466368869E-2</v>
      </c>
      <c r="CH35" s="546">
        <f t="shared" si="138"/>
        <v>0</v>
      </c>
      <c r="CI35" s="544"/>
      <c r="CJ35" s="545">
        <f t="shared" si="27"/>
        <v>0</v>
      </c>
      <c r="CK35" s="546">
        <f t="shared" si="139"/>
        <v>0</v>
      </c>
      <c r="CL35" s="544"/>
      <c r="CM35" s="545">
        <f t="shared" si="28"/>
        <v>0</v>
      </c>
      <c r="CN35" s="546">
        <f t="shared" si="140"/>
        <v>0</v>
      </c>
      <c r="CO35" s="544"/>
      <c r="CP35" s="545">
        <f t="shared" si="29"/>
        <v>0</v>
      </c>
      <c r="CQ35" s="546">
        <f t="shared" si="141"/>
        <v>0</v>
      </c>
      <c r="CR35" s="544"/>
      <c r="CS35" s="545">
        <f t="shared" si="30"/>
        <v>0</v>
      </c>
      <c r="CT35" s="546">
        <f t="shared" si="142"/>
        <v>0</v>
      </c>
      <c r="CU35" s="544"/>
      <c r="CV35" s="545">
        <f t="shared" si="31"/>
        <v>0</v>
      </c>
      <c r="CW35" s="546">
        <f t="shared" si="143"/>
        <v>0</v>
      </c>
      <c r="CX35" s="544"/>
      <c r="CY35" s="545">
        <f t="shared" si="32"/>
        <v>0</v>
      </c>
      <c r="CZ35" s="546">
        <f t="shared" si="144"/>
        <v>0</v>
      </c>
      <c r="DA35" s="544"/>
      <c r="DB35" s="545">
        <f t="shared" si="33"/>
        <v>0</v>
      </c>
      <c r="DC35" s="546">
        <f t="shared" si="145"/>
        <v>0</v>
      </c>
      <c r="DD35" s="544"/>
      <c r="DE35" s="545">
        <f t="shared" si="34"/>
        <v>0</v>
      </c>
      <c r="DF35" s="546">
        <f t="shared" si="146"/>
        <v>0</v>
      </c>
      <c r="DG35" s="544"/>
      <c r="DH35" s="545">
        <f t="shared" si="35"/>
        <v>0</v>
      </c>
      <c r="DI35" s="546">
        <f t="shared" si="201"/>
        <v>0</v>
      </c>
      <c r="DJ35" s="544"/>
      <c r="DK35" s="545">
        <f t="shared" si="36"/>
        <v>0</v>
      </c>
      <c r="DL35" s="546">
        <f t="shared" si="147"/>
        <v>0</v>
      </c>
      <c r="DM35" s="544"/>
      <c r="DN35" s="545">
        <f t="shared" si="37"/>
        <v>0</v>
      </c>
      <c r="DO35" s="546">
        <f t="shared" si="148"/>
        <v>0</v>
      </c>
      <c r="DP35" s="544"/>
      <c r="DQ35" s="545">
        <f t="shared" si="38"/>
        <v>0</v>
      </c>
      <c r="DR35" s="546">
        <f t="shared" si="149"/>
        <v>0</v>
      </c>
      <c r="DS35" s="544"/>
      <c r="DT35" s="545">
        <f t="shared" si="39"/>
        <v>0</v>
      </c>
      <c r="DU35" s="546">
        <f t="shared" si="150"/>
        <v>0</v>
      </c>
      <c r="DV35" s="544"/>
      <c r="DW35" s="545">
        <f t="shared" si="40"/>
        <v>0</v>
      </c>
      <c r="DX35" s="546">
        <f t="shared" si="151"/>
        <v>0</v>
      </c>
      <c r="DY35" s="544"/>
      <c r="DZ35" s="545">
        <f t="shared" si="41"/>
        <v>0</v>
      </c>
      <c r="EA35" s="546">
        <f t="shared" si="152"/>
        <v>0</v>
      </c>
      <c r="EB35" s="544">
        <v>682.35294117647072</v>
      </c>
      <c r="EC35" s="545">
        <f t="shared" si="42"/>
        <v>10.964311167150926</v>
      </c>
      <c r="ED35" s="546">
        <f t="shared" si="153"/>
        <v>0</v>
      </c>
      <c r="EE35" s="544">
        <v>0</v>
      </c>
      <c r="EF35" s="545">
        <f t="shared" si="43"/>
        <v>0</v>
      </c>
      <c r="EG35" s="546">
        <f t="shared" si="154"/>
        <v>0</v>
      </c>
      <c r="EH35" s="544">
        <v>3</v>
      </c>
      <c r="EI35" s="545">
        <f t="shared" si="44"/>
        <v>4.8205161165922161E-2</v>
      </c>
      <c r="EJ35" s="546">
        <f t="shared" si="155"/>
        <v>0</v>
      </c>
      <c r="EK35" s="544"/>
      <c r="EL35" s="545">
        <f t="shared" si="45"/>
        <v>0</v>
      </c>
      <c r="EM35" s="546">
        <f t="shared" si="156"/>
        <v>0</v>
      </c>
      <c r="EN35" s="544"/>
      <c r="EO35" s="545">
        <f t="shared" si="46"/>
        <v>0</v>
      </c>
      <c r="EP35" s="546">
        <f t="shared" si="157"/>
        <v>0</v>
      </c>
      <c r="EQ35" s="544"/>
      <c r="ER35" s="545">
        <f t="shared" si="47"/>
        <v>0</v>
      </c>
      <c r="ES35" s="546">
        <f t="shared" si="158"/>
        <v>0</v>
      </c>
      <c r="ET35" s="544"/>
      <c r="EU35" s="545">
        <f t="shared" si="48"/>
        <v>0</v>
      </c>
      <c r="EV35" s="546">
        <f t="shared" si="159"/>
        <v>0</v>
      </c>
      <c r="EW35" s="544"/>
      <c r="EX35" s="545">
        <f t="shared" si="49"/>
        <v>0</v>
      </c>
      <c r="EY35" s="546">
        <f t="shared" si="160"/>
        <v>0</v>
      </c>
      <c r="EZ35" s="544"/>
      <c r="FA35" s="545">
        <f t="shared" si="50"/>
        <v>0</v>
      </c>
      <c r="FB35" s="546">
        <f t="shared" si="161"/>
        <v>0</v>
      </c>
      <c r="FC35" s="544"/>
      <c r="FD35" s="545">
        <f t="shared" si="51"/>
        <v>0</v>
      </c>
      <c r="FE35" s="546">
        <f t="shared" si="162"/>
        <v>0</v>
      </c>
      <c r="FF35" s="544"/>
      <c r="FG35" s="545">
        <f t="shared" si="52"/>
        <v>0</v>
      </c>
      <c r="FH35" s="546">
        <f t="shared" si="163"/>
        <v>0</v>
      </c>
      <c r="FI35" s="544"/>
      <c r="FJ35" s="545">
        <f t="shared" si="53"/>
        <v>0</v>
      </c>
      <c r="FK35" s="546">
        <f t="shared" si="164"/>
        <v>0</v>
      </c>
      <c r="FL35" s="544"/>
      <c r="FM35" s="545">
        <f t="shared" si="54"/>
        <v>0</v>
      </c>
      <c r="FN35" s="546">
        <f t="shared" si="165"/>
        <v>0</v>
      </c>
      <c r="FO35" s="544"/>
      <c r="FP35" s="545">
        <f t="shared" si="55"/>
        <v>0</v>
      </c>
      <c r="FQ35" s="546">
        <f t="shared" si="166"/>
        <v>0</v>
      </c>
      <c r="FR35" s="544"/>
      <c r="FS35" s="545">
        <f t="shared" si="56"/>
        <v>0</v>
      </c>
      <c r="FT35" s="546">
        <f t="shared" si="167"/>
        <v>0</v>
      </c>
      <c r="FU35" s="544"/>
      <c r="FV35" s="545">
        <f t="shared" si="57"/>
        <v>0</v>
      </c>
      <c r="FW35" s="546">
        <f t="shared" si="168"/>
        <v>0</v>
      </c>
      <c r="FX35" s="544"/>
      <c r="FY35" s="545">
        <f t="shared" si="58"/>
        <v>0</v>
      </c>
      <c r="FZ35" s="546">
        <f t="shared" si="169"/>
        <v>0</v>
      </c>
      <c r="GA35" s="544"/>
      <c r="GB35" s="545">
        <f t="shared" si="59"/>
        <v>0</v>
      </c>
      <c r="GC35" s="546">
        <f t="shared" si="170"/>
        <v>0</v>
      </c>
      <c r="GD35" s="544"/>
      <c r="GE35" s="545">
        <f t="shared" si="60"/>
        <v>0</v>
      </c>
      <c r="GF35" s="546">
        <f t="shared" si="171"/>
        <v>0</v>
      </c>
      <c r="GG35" s="544">
        <v>4</v>
      </c>
      <c r="GH35" s="545">
        <f t="shared" si="61"/>
        <v>6.4273548221229548E-2</v>
      </c>
      <c r="GI35" s="546">
        <f t="shared" si="172"/>
        <v>0</v>
      </c>
      <c r="GJ35" s="544">
        <v>4</v>
      </c>
      <c r="GK35" s="545">
        <f t="shared" si="211"/>
        <v>6.4273548221229548E-2</v>
      </c>
      <c r="GL35" s="546">
        <f t="shared" si="212"/>
        <v>0</v>
      </c>
      <c r="GM35" s="544"/>
      <c r="GN35" s="545">
        <f t="shared" si="202"/>
        <v>0</v>
      </c>
      <c r="GO35" s="546">
        <f t="shared" si="203"/>
        <v>0</v>
      </c>
      <c r="GP35" s="544">
        <v>28</v>
      </c>
      <c r="GQ35" s="545">
        <f t="shared" si="204"/>
        <v>0.44991483754860684</v>
      </c>
      <c r="GR35" s="546">
        <f t="shared" si="205"/>
        <v>0</v>
      </c>
      <c r="GS35" s="544">
        <v>240</v>
      </c>
      <c r="GT35" s="545">
        <f t="shared" si="206"/>
        <v>3.8564128932737729</v>
      </c>
      <c r="GU35" s="546">
        <f t="shared" si="207"/>
        <v>0</v>
      </c>
      <c r="GV35" s="544"/>
      <c r="GW35" s="545">
        <f t="shared" si="208"/>
        <v>0</v>
      </c>
      <c r="GX35" s="546">
        <f t="shared" si="209"/>
        <v>0</v>
      </c>
      <c r="GY35" s="544"/>
      <c r="GZ35" s="545">
        <f t="shared" si="67"/>
        <v>0</v>
      </c>
      <c r="HA35" s="546">
        <f t="shared" si="178"/>
        <v>0</v>
      </c>
      <c r="HB35" s="544"/>
      <c r="HC35" s="545">
        <f t="shared" si="68"/>
        <v>0</v>
      </c>
      <c r="HD35" s="546">
        <f t="shared" si="179"/>
        <v>0</v>
      </c>
      <c r="HE35" s="544"/>
      <c r="HF35" s="545">
        <f t="shared" si="69"/>
        <v>0</v>
      </c>
      <c r="HG35" s="546">
        <f t="shared" si="180"/>
        <v>0</v>
      </c>
      <c r="HH35" s="544"/>
      <c r="HI35" s="545">
        <f t="shared" si="70"/>
        <v>0</v>
      </c>
      <c r="HJ35" s="546">
        <f t="shared" si="181"/>
        <v>0</v>
      </c>
      <c r="HK35" s="544"/>
      <c r="HL35" s="545">
        <f t="shared" si="71"/>
        <v>0</v>
      </c>
      <c r="HM35" s="546">
        <f t="shared" si="182"/>
        <v>0</v>
      </c>
      <c r="HN35" s="544">
        <v>568.80000000000007</v>
      </c>
      <c r="HO35" s="545">
        <f t="shared" si="72"/>
        <v>9.1396985570588427</v>
      </c>
      <c r="HP35" s="546">
        <f t="shared" si="183"/>
        <v>0</v>
      </c>
      <c r="HQ35" s="544"/>
      <c r="HR35" s="545">
        <f t="shared" si="73"/>
        <v>0</v>
      </c>
      <c r="HS35" s="546">
        <f t="shared" si="184"/>
        <v>0</v>
      </c>
      <c r="HT35" s="544"/>
      <c r="HU35" s="545">
        <f t="shared" si="74"/>
        <v>0</v>
      </c>
      <c r="HV35" s="546">
        <f t="shared" si="185"/>
        <v>0</v>
      </c>
      <c r="HW35" s="544"/>
      <c r="HX35" s="545">
        <f t="shared" si="75"/>
        <v>0</v>
      </c>
      <c r="HY35" s="546">
        <f t="shared" si="186"/>
        <v>0</v>
      </c>
      <c r="HZ35" s="544"/>
      <c r="IA35" s="545">
        <f t="shared" si="76"/>
        <v>0</v>
      </c>
      <c r="IB35" s="546">
        <f t="shared" si="187"/>
        <v>0</v>
      </c>
      <c r="IC35" s="544"/>
      <c r="ID35" s="545">
        <f t="shared" si="77"/>
        <v>0</v>
      </c>
      <c r="IE35" s="546">
        <f t="shared" si="188"/>
        <v>0</v>
      </c>
      <c r="IF35" s="544">
        <v>18</v>
      </c>
      <c r="IG35" s="545">
        <f t="shared" si="78"/>
        <v>0.28923096699553297</v>
      </c>
      <c r="IH35" s="546">
        <f t="shared" si="189"/>
        <v>0</v>
      </c>
      <c r="II35" s="544"/>
      <c r="IJ35" s="545">
        <f t="shared" si="79"/>
        <v>0</v>
      </c>
      <c r="IK35" s="546">
        <f t="shared" si="190"/>
        <v>0</v>
      </c>
      <c r="IL35" s="544"/>
      <c r="IM35" s="545">
        <f t="shared" si="80"/>
        <v>0</v>
      </c>
      <c r="IN35" s="546">
        <f t="shared" si="191"/>
        <v>0</v>
      </c>
      <c r="IO35" s="544">
        <v>44</v>
      </c>
      <c r="IP35" s="545">
        <f t="shared" si="81"/>
        <v>0.70700903043352503</v>
      </c>
      <c r="IQ35" s="546">
        <f t="shared" si="192"/>
        <v>0</v>
      </c>
      <c r="IR35" s="544"/>
      <c r="IS35" s="545">
        <f t="shared" si="82"/>
        <v>0</v>
      </c>
      <c r="IT35" s="546">
        <f t="shared" si="193"/>
        <v>0</v>
      </c>
      <c r="IU35" s="544"/>
      <c r="IV35" s="545">
        <f t="shared" si="83"/>
        <v>0</v>
      </c>
      <c r="IW35" s="546">
        <f t="shared" si="194"/>
        <v>0</v>
      </c>
      <c r="IX35" s="544"/>
      <c r="IY35" s="545">
        <f t="shared" si="84"/>
        <v>0</v>
      </c>
      <c r="IZ35" s="546">
        <f t="shared" si="195"/>
        <v>0</v>
      </c>
      <c r="JA35" s="544"/>
      <c r="JB35" s="545">
        <f t="shared" si="85"/>
        <v>0</v>
      </c>
      <c r="JC35" s="546">
        <f t="shared" si="196"/>
        <v>0</v>
      </c>
      <c r="JD35" s="544"/>
      <c r="JE35" s="545">
        <f t="shared" si="86"/>
        <v>0</v>
      </c>
      <c r="JF35" s="546">
        <f t="shared" si="197"/>
        <v>0</v>
      </c>
      <c r="JG35" s="544">
        <v>20</v>
      </c>
      <c r="JH35" s="546" t="str">
        <f t="shared" si="87"/>
        <v>0</v>
      </c>
      <c r="JI35" s="546" t="str">
        <f t="shared" si="88"/>
        <v>0</v>
      </c>
      <c r="JJ35" s="544">
        <v>8</v>
      </c>
      <c r="JK35" s="546" t="str">
        <f t="shared" si="89"/>
        <v>0</v>
      </c>
      <c r="JL35" s="546" t="str">
        <f t="shared" si="90"/>
        <v>0</v>
      </c>
      <c r="JM35" s="544"/>
      <c r="JN35" s="546" t="str">
        <f t="shared" si="91"/>
        <v>0</v>
      </c>
      <c r="JO35" s="546" t="str">
        <f t="shared" si="92"/>
        <v>0</v>
      </c>
      <c r="JP35" s="544"/>
      <c r="JQ35" s="546" t="str">
        <f t="shared" si="93"/>
        <v>0</v>
      </c>
      <c r="JR35" s="546" t="str">
        <f t="shared" si="94"/>
        <v>0</v>
      </c>
      <c r="JS35" s="544"/>
      <c r="JT35" s="546" t="str">
        <f t="shared" si="95"/>
        <v>0</v>
      </c>
      <c r="JU35" s="546" t="str">
        <f t="shared" si="96"/>
        <v>0</v>
      </c>
      <c r="JV35" s="544"/>
      <c r="JW35" s="546" t="str">
        <f t="shared" si="97"/>
        <v>0</v>
      </c>
      <c r="JX35" s="546" t="str">
        <f t="shared" si="98"/>
        <v>0</v>
      </c>
      <c r="JY35" s="544"/>
      <c r="JZ35" s="546" t="str">
        <f t="shared" si="99"/>
        <v>0</v>
      </c>
      <c r="KA35" s="546" t="str">
        <f t="shared" si="100"/>
        <v>0</v>
      </c>
      <c r="KB35" s="544"/>
      <c r="KC35" s="546" t="str">
        <f t="shared" si="101"/>
        <v>0</v>
      </c>
      <c r="KD35" s="546" t="str">
        <f t="shared" si="102"/>
        <v>0</v>
      </c>
      <c r="KE35" s="544"/>
      <c r="KF35" s="546" t="str">
        <f t="shared" si="103"/>
        <v>0</v>
      </c>
      <c r="KG35" s="546" t="str">
        <f t="shared" si="104"/>
        <v>0</v>
      </c>
      <c r="KH35" s="544"/>
      <c r="KI35" s="546" t="str">
        <f t="shared" si="105"/>
        <v>0</v>
      </c>
      <c r="KJ35" s="546" t="str">
        <f t="shared" si="106"/>
        <v>0</v>
      </c>
      <c r="KK35" s="544"/>
      <c r="KL35" s="546" t="str">
        <f t="shared" si="107"/>
        <v>0</v>
      </c>
      <c r="KM35" s="546" t="str">
        <f t="shared" si="108"/>
        <v>0</v>
      </c>
      <c r="KN35" s="544"/>
      <c r="KO35" s="546" t="str">
        <f t="shared" si="109"/>
        <v>0</v>
      </c>
      <c r="KP35" s="546" t="str">
        <f t="shared" si="110"/>
        <v>0</v>
      </c>
      <c r="KQ35" s="546">
        <f t="shared" si="111"/>
        <v>0</v>
      </c>
      <c r="KR35" s="546">
        <f t="shared" si="198"/>
        <v>0</v>
      </c>
      <c r="KS35" s="265">
        <f t="shared" si="199"/>
        <v>1736.6144796380095</v>
      </c>
    </row>
    <row r="36" spans="1:16381" ht="15" customHeight="1">
      <c r="A36" s="267">
        <f t="shared" si="200"/>
        <v>45744</v>
      </c>
      <c r="B36" s="268" t="str">
        <f>+Report1!B36</f>
        <v>Napkin/Towel</v>
      </c>
      <c r="C36" s="268" t="str">
        <f>+Report1!C36</f>
        <v>20/30</v>
      </c>
      <c r="D36" s="269">
        <f>+Report1!P36</f>
        <v>64.551000000000002</v>
      </c>
      <c r="E36" s="270">
        <f>+Report1!R36</f>
        <v>63.216000000000001</v>
      </c>
      <c r="F36" s="544"/>
      <c r="G36" s="545">
        <f t="shared" si="0"/>
        <v>0</v>
      </c>
      <c r="H36" s="546">
        <f t="shared" si="112"/>
        <v>0</v>
      </c>
      <c r="I36" s="544"/>
      <c r="J36" s="545">
        <f t="shared" si="1"/>
        <v>0</v>
      </c>
      <c r="K36" s="546">
        <f t="shared" si="113"/>
        <v>0</v>
      </c>
      <c r="L36" s="544"/>
      <c r="M36" s="545">
        <f t="shared" si="2"/>
        <v>0</v>
      </c>
      <c r="N36" s="546">
        <f t="shared" si="114"/>
        <v>0</v>
      </c>
      <c r="O36" s="544">
        <v>6</v>
      </c>
      <c r="P36" s="545">
        <f t="shared" si="3"/>
        <v>9.4912680334092628E-2</v>
      </c>
      <c r="Q36" s="546">
        <f t="shared" si="115"/>
        <v>0</v>
      </c>
      <c r="R36" s="544"/>
      <c r="S36" s="545">
        <f t="shared" si="4"/>
        <v>0</v>
      </c>
      <c r="T36" s="546">
        <f t="shared" si="116"/>
        <v>0</v>
      </c>
      <c r="U36" s="544">
        <v>10.249999999999943</v>
      </c>
      <c r="V36" s="545">
        <f t="shared" si="5"/>
        <v>0.16214249557074067</v>
      </c>
      <c r="W36" s="546">
        <f t="shared" si="117"/>
        <v>0</v>
      </c>
      <c r="X36" s="544"/>
      <c r="Y36" s="545">
        <f t="shared" si="6"/>
        <v>0</v>
      </c>
      <c r="Z36" s="546">
        <f t="shared" si="118"/>
        <v>0</v>
      </c>
      <c r="AA36" s="544"/>
      <c r="AB36" s="545">
        <f t="shared" si="7"/>
        <v>0</v>
      </c>
      <c r="AC36" s="546">
        <f t="shared" si="119"/>
        <v>0</v>
      </c>
      <c r="AD36" s="544"/>
      <c r="AE36" s="545">
        <f t="shared" si="8"/>
        <v>0</v>
      </c>
      <c r="AF36" s="546">
        <f t="shared" si="120"/>
        <v>0</v>
      </c>
      <c r="AG36" s="544"/>
      <c r="AH36" s="545">
        <f t="shared" si="9"/>
        <v>0</v>
      </c>
      <c r="AI36" s="546">
        <f t="shared" si="121"/>
        <v>0</v>
      </c>
      <c r="AJ36" s="544"/>
      <c r="AK36" s="545">
        <f t="shared" si="10"/>
        <v>0</v>
      </c>
      <c r="AL36" s="546">
        <f t="shared" si="122"/>
        <v>0</v>
      </c>
      <c r="AM36" s="544">
        <v>36.794871794871796</v>
      </c>
      <c r="AN36" s="545">
        <f t="shared" si="11"/>
        <v>0.58204998410009801</v>
      </c>
      <c r="AO36" s="546">
        <f t="shared" si="123"/>
        <v>0</v>
      </c>
      <c r="AP36" s="544"/>
      <c r="AQ36" s="545">
        <f t="shared" si="12"/>
        <v>0</v>
      </c>
      <c r="AR36" s="546">
        <f t="shared" si="124"/>
        <v>0</v>
      </c>
      <c r="AS36" s="544"/>
      <c r="AT36" s="545">
        <f t="shared" si="13"/>
        <v>0</v>
      </c>
      <c r="AU36" s="546">
        <f t="shared" si="125"/>
        <v>0</v>
      </c>
      <c r="AV36" s="544">
        <v>2.7750000000000057</v>
      </c>
      <c r="AW36" s="545">
        <f t="shared" si="14"/>
        <v>4.3897114654517934E-2</v>
      </c>
      <c r="AX36" s="546">
        <f t="shared" si="126"/>
        <v>0</v>
      </c>
      <c r="AY36" s="544">
        <v>44.333333333333314</v>
      </c>
      <c r="AZ36" s="545">
        <f t="shared" si="15"/>
        <v>0.70129924913523967</v>
      </c>
      <c r="BA36" s="546">
        <f t="shared" si="127"/>
        <v>0</v>
      </c>
      <c r="BB36" s="544"/>
      <c r="BC36" s="545">
        <f t="shared" si="16"/>
        <v>0</v>
      </c>
      <c r="BD36" s="546">
        <f t="shared" si="128"/>
        <v>0</v>
      </c>
      <c r="BE36" s="544"/>
      <c r="BF36" s="545">
        <f t="shared" si="17"/>
        <v>0</v>
      </c>
      <c r="BG36" s="546">
        <f t="shared" si="129"/>
        <v>0</v>
      </c>
      <c r="BH36" s="544"/>
      <c r="BI36" s="545">
        <f t="shared" si="18"/>
        <v>0</v>
      </c>
      <c r="BJ36" s="546">
        <f t="shared" si="130"/>
        <v>0</v>
      </c>
      <c r="BK36" s="544"/>
      <c r="BL36" s="545">
        <f t="shared" si="19"/>
        <v>0</v>
      </c>
      <c r="BM36" s="546">
        <f t="shared" si="131"/>
        <v>0</v>
      </c>
      <c r="BN36" s="544"/>
      <c r="BO36" s="545">
        <f t="shared" si="20"/>
        <v>0</v>
      </c>
      <c r="BP36" s="546">
        <f t="shared" si="132"/>
        <v>0</v>
      </c>
      <c r="BQ36" s="544"/>
      <c r="BR36" s="545">
        <f t="shared" si="21"/>
        <v>0</v>
      </c>
      <c r="BS36" s="546">
        <f t="shared" si="133"/>
        <v>0</v>
      </c>
      <c r="BT36" s="544"/>
      <c r="BU36" s="545">
        <f t="shared" si="22"/>
        <v>0</v>
      </c>
      <c r="BV36" s="546">
        <f t="shared" si="134"/>
        <v>0</v>
      </c>
      <c r="BW36" s="544"/>
      <c r="BX36" s="545">
        <f t="shared" si="23"/>
        <v>0</v>
      </c>
      <c r="BY36" s="546">
        <f t="shared" si="135"/>
        <v>0</v>
      </c>
      <c r="BZ36" s="544"/>
      <c r="CA36" s="545">
        <f t="shared" si="24"/>
        <v>0</v>
      </c>
      <c r="CB36" s="546">
        <f t="shared" si="136"/>
        <v>0</v>
      </c>
      <c r="CC36" s="544">
        <v>0</v>
      </c>
      <c r="CD36" s="545">
        <f t="shared" si="25"/>
        <v>0</v>
      </c>
      <c r="CE36" s="546">
        <f t="shared" si="137"/>
        <v>0</v>
      </c>
      <c r="CF36" s="544">
        <v>1.1999999999999997</v>
      </c>
      <c r="CG36" s="545">
        <f t="shared" si="26"/>
        <v>1.8982536066818521E-2</v>
      </c>
      <c r="CH36" s="546">
        <f t="shared" si="138"/>
        <v>0</v>
      </c>
      <c r="CI36" s="544"/>
      <c r="CJ36" s="545">
        <f t="shared" si="27"/>
        <v>0</v>
      </c>
      <c r="CK36" s="546">
        <f t="shared" si="139"/>
        <v>0</v>
      </c>
      <c r="CL36" s="544"/>
      <c r="CM36" s="545">
        <f t="shared" si="28"/>
        <v>0</v>
      </c>
      <c r="CN36" s="546">
        <f t="shared" si="140"/>
        <v>0</v>
      </c>
      <c r="CO36" s="544"/>
      <c r="CP36" s="545">
        <f t="shared" si="29"/>
        <v>0</v>
      </c>
      <c r="CQ36" s="546">
        <f t="shared" si="141"/>
        <v>0</v>
      </c>
      <c r="CR36" s="544"/>
      <c r="CS36" s="545">
        <f t="shared" si="30"/>
        <v>0</v>
      </c>
      <c r="CT36" s="546">
        <f t="shared" si="142"/>
        <v>0</v>
      </c>
      <c r="CU36" s="544"/>
      <c r="CV36" s="545">
        <f t="shared" si="31"/>
        <v>0</v>
      </c>
      <c r="CW36" s="546">
        <f t="shared" si="143"/>
        <v>0</v>
      </c>
      <c r="CX36" s="544"/>
      <c r="CY36" s="545">
        <f t="shared" si="32"/>
        <v>0</v>
      </c>
      <c r="CZ36" s="546">
        <f t="shared" si="144"/>
        <v>0</v>
      </c>
      <c r="DA36" s="544"/>
      <c r="DB36" s="545">
        <f t="shared" si="33"/>
        <v>0</v>
      </c>
      <c r="DC36" s="546">
        <f t="shared" si="145"/>
        <v>0</v>
      </c>
      <c r="DD36" s="544"/>
      <c r="DE36" s="545">
        <f t="shared" si="34"/>
        <v>0</v>
      </c>
      <c r="DF36" s="546">
        <f t="shared" si="146"/>
        <v>0</v>
      </c>
      <c r="DG36" s="544"/>
      <c r="DH36" s="545">
        <f t="shared" si="35"/>
        <v>0</v>
      </c>
      <c r="DI36" s="546">
        <f t="shared" si="201"/>
        <v>0</v>
      </c>
      <c r="DJ36" s="544"/>
      <c r="DK36" s="545">
        <f t="shared" si="36"/>
        <v>0</v>
      </c>
      <c r="DL36" s="546">
        <f t="shared" si="147"/>
        <v>0</v>
      </c>
      <c r="DM36" s="544"/>
      <c r="DN36" s="545">
        <f t="shared" si="37"/>
        <v>0</v>
      </c>
      <c r="DO36" s="546">
        <f t="shared" si="148"/>
        <v>0</v>
      </c>
      <c r="DP36" s="544"/>
      <c r="DQ36" s="545">
        <f t="shared" si="38"/>
        <v>0</v>
      </c>
      <c r="DR36" s="546">
        <f t="shared" si="149"/>
        <v>0</v>
      </c>
      <c r="DS36" s="544"/>
      <c r="DT36" s="545">
        <f t="shared" si="39"/>
        <v>0</v>
      </c>
      <c r="DU36" s="546">
        <f t="shared" si="150"/>
        <v>0</v>
      </c>
      <c r="DV36" s="544"/>
      <c r="DW36" s="545">
        <f t="shared" si="40"/>
        <v>0</v>
      </c>
      <c r="DX36" s="546">
        <f t="shared" si="151"/>
        <v>0</v>
      </c>
      <c r="DY36" s="544"/>
      <c r="DZ36" s="545">
        <f t="shared" si="41"/>
        <v>0</v>
      </c>
      <c r="EA36" s="546">
        <f t="shared" si="152"/>
        <v>0</v>
      </c>
      <c r="EB36" s="544">
        <v>1000.0000000000002</v>
      </c>
      <c r="EC36" s="545">
        <f t="shared" si="42"/>
        <v>15.81878005568211</v>
      </c>
      <c r="ED36" s="546">
        <f t="shared" si="153"/>
        <v>0</v>
      </c>
      <c r="EE36" s="544">
        <v>11.860465116279101</v>
      </c>
      <c r="EF36" s="545">
        <f t="shared" si="43"/>
        <v>0.18761808903250921</v>
      </c>
      <c r="EG36" s="546">
        <f t="shared" si="154"/>
        <v>0</v>
      </c>
      <c r="EH36" s="544">
        <v>3</v>
      </c>
      <c r="EI36" s="545">
        <f t="shared" si="44"/>
        <v>4.7456340167046314E-2</v>
      </c>
      <c r="EJ36" s="546">
        <f t="shared" si="155"/>
        <v>0</v>
      </c>
      <c r="EK36" s="544"/>
      <c r="EL36" s="545">
        <f t="shared" si="45"/>
        <v>0</v>
      </c>
      <c r="EM36" s="546">
        <f t="shared" si="156"/>
        <v>0</v>
      </c>
      <c r="EN36" s="544"/>
      <c r="EO36" s="545">
        <f t="shared" si="46"/>
        <v>0</v>
      </c>
      <c r="EP36" s="546">
        <f t="shared" si="157"/>
        <v>0</v>
      </c>
      <c r="EQ36" s="544"/>
      <c r="ER36" s="545">
        <f t="shared" si="47"/>
        <v>0</v>
      </c>
      <c r="ES36" s="546">
        <f t="shared" si="158"/>
        <v>0</v>
      </c>
      <c r="ET36" s="544"/>
      <c r="EU36" s="545">
        <f t="shared" si="48"/>
        <v>0</v>
      </c>
      <c r="EV36" s="546">
        <f t="shared" si="159"/>
        <v>0</v>
      </c>
      <c r="EW36" s="544"/>
      <c r="EX36" s="545">
        <f t="shared" si="49"/>
        <v>0</v>
      </c>
      <c r="EY36" s="546">
        <f t="shared" si="160"/>
        <v>0</v>
      </c>
      <c r="EZ36" s="544"/>
      <c r="FA36" s="545">
        <f t="shared" si="50"/>
        <v>0</v>
      </c>
      <c r="FB36" s="546">
        <f t="shared" si="161"/>
        <v>0</v>
      </c>
      <c r="FC36" s="544"/>
      <c r="FD36" s="545">
        <f t="shared" si="51"/>
        <v>0</v>
      </c>
      <c r="FE36" s="546">
        <f t="shared" si="162"/>
        <v>0</v>
      </c>
      <c r="FF36" s="544"/>
      <c r="FG36" s="545">
        <f t="shared" si="52"/>
        <v>0</v>
      </c>
      <c r="FH36" s="546">
        <f t="shared" si="163"/>
        <v>0</v>
      </c>
      <c r="FI36" s="544"/>
      <c r="FJ36" s="545">
        <f t="shared" si="53"/>
        <v>0</v>
      </c>
      <c r="FK36" s="546">
        <f t="shared" si="164"/>
        <v>0</v>
      </c>
      <c r="FL36" s="544"/>
      <c r="FM36" s="545">
        <f t="shared" si="54"/>
        <v>0</v>
      </c>
      <c r="FN36" s="546">
        <f t="shared" si="165"/>
        <v>0</v>
      </c>
      <c r="FO36" s="544"/>
      <c r="FP36" s="545">
        <f t="shared" si="55"/>
        <v>0</v>
      </c>
      <c r="FQ36" s="546">
        <f t="shared" si="166"/>
        <v>0</v>
      </c>
      <c r="FR36" s="544"/>
      <c r="FS36" s="545">
        <f t="shared" si="56"/>
        <v>0</v>
      </c>
      <c r="FT36" s="546">
        <f t="shared" si="167"/>
        <v>0</v>
      </c>
      <c r="FU36" s="544"/>
      <c r="FV36" s="545">
        <f t="shared" si="57"/>
        <v>0</v>
      </c>
      <c r="FW36" s="546">
        <f t="shared" si="168"/>
        <v>0</v>
      </c>
      <c r="FX36" s="544"/>
      <c r="FY36" s="545">
        <f t="shared" si="58"/>
        <v>0</v>
      </c>
      <c r="FZ36" s="546">
        <f t="shared" si="169"/>
        <v>0</v>
      </c>
      <c r="GA36" s="544"/>
      <c r="GB36" s="545">
        <f t="shared" si="59"/>
        <v>0</v>
      </c>
      <c r="GC36" s="546">
        <f t="shared" si="170"/>
        <v>0</v>
      </c>
      <c r="GD36" s="544"/>
      <c r="GE36" s="545">
        <f t="shared" si="60"/>
        <v>0</v>
      </c>
      <c r="GF36" s="546">
        <f t="shared" si="171"/>
        <v>0</v>
      </c>
      <c r="GG36" s="544">
        <v>10</v>
      </c>
      <c r="GH36" s="545">
        <f t="shared" si="61"/>
        <v>0.15818780055682105</v>
      </c>
      <c r="GI36" s="546">
        <f t="shared" si="172"/>
        <v>0</v>
      </c>
      <c r="GJ36" s="544">
        <v>5</v>
      </c>
      <c r="GK36" s="545">
        <f t="shared" si="211"/>
        <v>7.9093900278410526E-2</v>
      </c>
      <c r="GL36" s="546">
        <f t="shared" si="212"/>
        <v>0</v>
      </c>
      <c r="GM36" s="544"/>
      <c r="GN36" s="545">
        <f t="shared" si="202"/>
        <v>0</v>
      </c>
      <c r="GO36" s="546">
        <f t="shared" si="203"/>
        <v>0</v>
      </c>
      <c r="GP36" s="544">
        <v>45</v>
      </c>
      <c r="GQ36" s="545">
        <f t="shared" si="204"/>
        <v>0.71184510250569477</v>
      </c>
      <c r="GR36" s="546">
        <f t="shared" si="205"/>
        <v>0</v>
      </c>
      <c r="GS36" s="544">
        <v>430</v>
      </c>
      <c r="GT36" s="545">
        <f t="shared" si="206"/>
        <v>6.8020754239433057</v>
      </c>
      <c r="GU36" s="546">
        <f t="shared" si="207"/>
        <v>0</v>
      </c>
      <c r="GV36" s="544"/>
      <c r="GW36" s="545">
        <f t="shared" si="208"/>
        <v>0</v>
      </c>
      <c r="GX36" s="546">
        <f t="shared" si="209"/>
        <v>0</v>
      </c>
      <c r="GY36" s="544"/>
      <c r="GZ36" s="545">
        <f t="shared" si="67"/>
        <v>0</v>
      </c>
      <c r="HA36" s="546">
        <f t="shared" si="178"/>
        <v>0</v>
      </c>
      <c r="HB36" s="544"/>
      <c r="HC36" s="545">
        <f t="shared" si="68"/>
        <v>0</v>
      </c>
      <c r="HD36" s="546">
        <f t="shared" si="179"/>
        <v>0</v>
      </c>
      <c r="HE36" s="544"/>
      <c r="HF36" s="545">
        <f t="shared" si="69"/>
        <v>0</v>
      </c>
      <c r="HG36" s="546">
        <f t="shared" si="180"/>
        <v>0</v>
      </c>
      <c r="HH36" s="544"/>
      <c r="HI36" s="545">
        <f t="shared" si="70"/>
        <v>0</v>
      </c>
      <c r="HJ36" s="546">
        <f t="shared" si="181"/>
        <v>0</v>
      </c>
      <c r="HK36" s="544"/>
      <c r="HL36" s="545">
        <f t="shared" si="71"/>
        <v>0</v>
      </c>
      <c r="HM36" s="546">
        <f t="shared" si="182"/>
        <v>0</v>
      </c>
      <c r="HN36" s="544">
        <v>1494</v>
      </c>
      <c r="HO36" s="545">
        <f t="shared" si="72"/>
        <v>23.633257403189067</v>
      </c>
      <c r="HP36" s="546">
        <f t="shared" si="183"/>
        <v>0</v>
      </c>
      <c r="HQ36" s="544"/>
      <c r="HR36" s="545">
        <f t="shared" si="73"/>
        <v>0</v>
      </c>
      <c r="HS36" s="546">
        <f t="shared" si="184"/>
        <v>0</v>
      </c>
      <c r="HT36" s="544"/>
      <c r="HU36" s="545">
        <f t="shared" si="74"/>
        <v>0</v>
      </c>
      <c r="HV36" s="546">
        <f t="shared" si="185"/>
        <v>0</v>
      </c>
      <c r="HW36" s="544"/>
      <c r="HX36" s="545">
        <f t="shared" si="75"/>
        <v>0</v>
      </c>
      <c r="HY36" s="546">
        <f t="shared" si="186"/>
        <v>0</v>
      </c>
      <c r="HZ36" s="544"/>
      <c r="IA36" s="545">
        <f t="shared" si="76"/>
        <v>0</v>
      </c>
      <c r="IB36" s="546">
        <f t="shared" si="187"/>
        <v>0</v>
      </c>
      <c r="IC36" s="544"/>
      <c r="ID36" s="545">
        <f t="shared" si="77"/>
        <v>0</v>
      </c>
      <c r="IE36" s="546">
        <f t="shared" si="188"/>
        <v>0</v>
      </c>
      <c r="IF36" s="544"/>
      <c r="IG36" s="545">
        <f t="shared" si="78"/>
        <v>0</v>
      </c>
      <c r="IH36" s="546">
        <f t="shared" si="189"/>
        <v>0</v>
      </c>
      <c r="II36" s="544"/>
      <c r="IJ36" s="545">
        <f t="shared" si="79"/>
        <v>0</v>
      </c>
      <c r="IK36" s="546">
        <f t="shared" si="190"/>
        <v>0</v>
      </c>
      <c r="IL36" s="544"/>
      <c r="IM36" s="545">
        <f t="shared" si="80"/>
        <v>0</v>
      </c>
      <c r="IN36" s="546">
        <f t="shared" si="191"/>
        <v>0</v>
      </c>
      <c r="IO36" s="544">
        <v>100</v>
      </c>
      <c r="IP36" s="545">
        <f t="shared" si="81"/>
        <v>1.5818780055682105</v>
      </c>
      <c r="IQ36" s="546">
        <f t="shared" si="192"/>
        <v>0</v>
      </c>
      <c r="IR36" s="544"/>
      <c r="IS36" s="545">
        <f t="shared" si="82"/>
        <v>0</v>
      </c>
      <c r="IT36" s="546">
        <f t="shared" si="193"/>
        <v>0</v>
      </c>
      <c r="IU36" s="544"/>
      <c r="IV36" s="545">
        <f t="shared" si="83"/>
        <v>0</v>
      </c>
      <c r="IW36" s="546">
        <f t="shared" si="194"/>
        <v>0</v>
      </c>
      <c r="IX36" s="544"/>
      <c r="IY36" s="545">
        <f t="shared" si="84"/>
        <v>0</v>
      </c>
      <c r="IZ36" s="546">
        <f t="shared" si="195"/>
        <v>0</v>
      </c>
      <c r="JA36" s="544"/>
      <c r="JB36" s="545">
        <f t="shared" si="85"/>
        <v>0</v>
      </c>
      <c r="JC36" s="546">
        <f t="shared" si="196"/>
        <v>0</v>
      </c>
      <c r="JD36" s="544"/>
      <c r="JE36" s="545">
        <f t="shared" si="86"/>
        <v>0</v>
      </c>
      <c r="JF36" s="546">
        <f t="shared" si="197"/>
        <v>0</v>
      </c>
      <c r="JG36" s="544">
        <v>40</v>
      </c>
      <c r="JH36" s="546" t="str">
        <f t="shared" si="87"/>
        <v>0</v>
      </c>
      <c r="JI36" s="546" t="str">
        <f t="shared" si="88"/>
        <v>0</v>
      </c>
      <c r="JJ36" s="544">
        <v>40</v>
      </c>
      <c r="JK36" s="546" t="str">
        <f t="shared" si="89"/>
        <v>0</v>
      </c>
      <c r="JL36" s="546" t="str">
        <f t="shared" si="90"/>
        <v>0</v>
      </c>
      <c r="JM36" s="544"/>
      <c r="JN36" s="546" t="str">
        <f t="shared" si="91"/>
        <v>0</v>
      </c>
      <c r="JO36" s="546" t="str">
        <f t="shared" si="92"/>
        <v>0</v>
      </c>
      <c r="JP36" s="544"/>
      <c r="JQ36" s="546" t="str">
        <f t="shared" si="93"/>
        <v>0</v>
      </c>
      <c r="JR36" s="546" t="str">
        <f t="shared" si="94"/>
        <v>0</v>
      </c>
      <c r="JS36" s="544"/>
      <c r="JT36" s="546" t="str">
        <f t="shared" si="95"/>
        <v>0</v>
      </c>
      <c r="JU36" s="546" t="str">
        <f t="shared" si="96"/>
        <v>0</v>
      </c>
      <c r="JV36" s="544"/>
      <c r="JW36" s="546" t="str">
        <f t="shared" si="97"/>
        <v>0</v>
      </c>
      <c r="JX36" s="546" t="str">
        <f t="shared" si="98"/>
        <v>0</v>
      </c>
      <c r="JY36" s="544"/>
      <c r="JZ36" s="546" t="str">
        <f t="shared" si="99"/>
        <v>0</v>
      </c>
      <c r="KA36" s="546" t="str">
        <f t="shared" si="100"/>
        <v>0</v>
      </c>
      <c r="KB36" s="544"/>
      <c r="KC36" s="546" t="str">
        <f t="shared" si="101"/>
        <v>0</v>
      </c>
      <c r="KD36" s="546" t="str">
        <f t="shared" si="102"/>
        <v>0</v>
      </c>
      <c r="KE36" s="544"/>
      <c r="KF36" s="546" t="str">
        <f t="shared" si="103"/>
        <v>0</v>
      </c>
      <c r="KG36" s="546" t="str">
        <f t="shared" si="104"/>
        <v>0</v>
      </c>
      <c r="KH36" s="544"/>
      <c r="KI36" s="546" t="str">
        <f t="shared" si="105"/>
        <v>0</v>
      </c>
      <c r="KJ36" s="546" t="str">
        <f t="shared" si="106"/>
        <v>0</v>
      </c>
      <c r="KK36" s="544"/>
      <c r="KL36" s="546" t="str">
        <f t="shared" si="107"/>
        <v>0</v>
      </c>
      <c r="KM36" s="546" t="str">
        <f t="shared" si="108"/>
        <v>0</v>
      </c>
      <c r="KN36" s="544"/>
      <c r="KO36" s="546" t="str">
        <f t="shared" si="109"/>
        <v>0</v>
      </c>
      <c r="KP36" s="546" t="str">
        <f t="shared" si="110"/>
        <v>0</v>
      </c>
      <c r="KQ36" s="546">
        <f t="shared" si="111"/>
        <v>0</v>
      </c>
      <c r="KR36" s="546">
        <f t="shared" si="198"/>
        <v>0</v>
      </c>
      <c r="KS36" s="265">
        <f t="shared" si="199"/>
        <v>3280.2136702444845</v>
      </c>
    </row>
    <row r="37" spans="1:16381" ht="15" customHeight="1">
      <c r="A37" s="267">
        <f t="shared" si="200"/>
        <v>45745</v>
      </c>
      <c r="B37" s="268" t="str">
        <f>+Report1!B37</f>
        <v>Towel</v>
      </c>
      <c r="C37" s="268" t="str">
        <f>+Report1!C37</f>
        <v>30</v>
      </c>
      <c r="D37" s="269">
        <f>+Report1!P37</f>
        <v>68.784999999999997</v>
      </c>
      <c r="E37" s="270">
        <f>+Report1!R37</f>
        <v>68.724999999999994</v>
      </c>
      <c r="F37" s="544"/>
      <c r="G37" s="545">
        <f t="shared" si="0"/>
        <v>0</v>
      </c>
      <c r="H37" s="546">
        <f t="shared" si="112"/>
        <v>0</v>
      </c>
      <c r="I37" s="544"/>
      <c r="J37" s="545">
        <f t="shared" si="1"/>
        <v>0</v>
      </c>
      <c r="K37" s="546">
        <f t="shared" si="113"/>
        <v>0</v>
      </c>
      <c r="L37" s="544"/>
      <c r="M37" s="545">
        <f t="shared" si="2"/>
        <v>0</v>
      </c>
      <c r="N37" s="546">
        <f t="shared" si="114"/>
        <v>0</v>
      </c>
      <c r="O37" s="544">
        <v>6</v>
      </c>
      <c r="P37" s="545">
        <f t="shared" si="3"/>
        <v>8.7304474354310671E-2</v>
      </c>
      <c r="Q37" s="546">
        <f t="shared" si="115"/>
        <v>0</v>
      </c>
      <c r="R37" s="544"/>
      <c r="S37" s="545">
        <f t="shared" si="4"/>
        <v>0</v>
      </c>
      <c r="T37" s="546">
        <f t="shared" si="116"/>
        <v>0</v>
      </c>
      <c r="U37" s="544">
        <v>10.250000000000057</v>
      </c>
      <c r="V37" s="545">
        <f t="shared" si="5"/>
        <v>0.14914514368861487</v>
      </c>
      <c r="W37" s="546">
        <f t="shared" si="117"/>
        <v>0</v>
      </c>
      <c r="X37" s="544"/>
      <c r="Y37" s="545">
        <f t="shared" si="6"/>
        <v>0</v>
      </c>
      <c r="Z37" s="546">
        <f t="shared" si="118"/>
        <v>0</v>
      </c>
      <c r="AA37" s="544"/>
      <c r="AB37" s="545">
        <f t="shared" si="7"/>
        <v>0</v>
      </c>
      <c r="AC37" s="546">
        <f t="shared" si="119"/>
        <v>0</v>
      </c>
      <c r="AD37" s="544"/>
      <c r="AE37" s="545">
        <f t="shared" si="8"/>
        <v>0</v>
      </c>
      <c r="AF37" s="546">
        <f t="shared" si="120"/>
        <v>0</v>
      </c>
      <c r="AG37" s="544"/>
      <c r="AH37" s="545">
        <f t="shared" si="9"/>
        <v>0</v>
      </c>
      <c r="AI37" s="546">
        <f t="shared" si="121"/>
        <v>0</v>
      </c>
      <c r="AJ37" s="544"/>
      <c r="AK37" s="545">
        <f t="shared" si="10"/>
        <v>0</v>
      </c>
      <c r="AL37" s="546">
        <f t="shared" si="122"/>
        <v>0</v>
      </c>
      <c r="AM37" s="544">
        <v>34.166666666666657</v>
      </c>
      <c r="AN37" s="545">
        <f t="shared" si="11"/>
        <v>0.49715047896204673</v>
      </c>
      <c r="AO37" s="546">
        <f t="shared" si="123"/>
        <v>0</v>
      </c>
      <c r="AP37" s="544"/>
      <c r="AQ37" s="545">
        <f t="shared" si="12"/>
        <v>0</v>
      </c>
      <c r="AR37" s="546">
        <f t="shared" si="124"/>
        <v>0</v>
      </c>
      <c r="AS37" s="544"/>
      <c r="AT37" s="545">
        <f t="shared" si="13"/>
        <v>0</v>
      </c>
      <c r="AU37" s="546">
        <f t="shared" si="125"/>
        <v>0</v>
      </c>
      <c r="AV37" s="544">
        <v>8.3249999999999602</v>
      </c>
      <c r="AW37" s="545">
        <f t="shared" si="14"/>
        <v>0.12113495816660547</v>
      </c>
      <c r="AX37" s="546">
        <f t="shared" si="126"/>
        <v>0</v>
      </c>
      <c r="AY37" s="544">
        <v>23.333333333333314</v>
      </c>
      <c r="AZ37" s="545">
        <f t="shared" si="15"/>
        <v>0.33951740026676341</v>
      </c>
      <c r="BA37" s="546">
        <f t="shared" si="127"/>
        <v>0</v>
      </c>
      <c r="BB37" s="544"/>
      <c r="BC37" s="545">
        <f t="shared" si="16"/>
        <v>0</v>
      </c>
      <c r="BD37" s="546">
        <f t="shared" si="128"/>
        <v>0</v>
      </c>
      <c r="BE37" s="544"/>
      <c r="BF37" s="545">
        <f t="shared" si="17"/>
        <v>0</v>
      </c>
      <c r="BG37" s="546">
        <f t="shared" si="129"/>
        <v>0</v>
      </c>
      <c r="BH37" s="544"/>
      <c r="BI37" s="545">
        <f t="shared" si="18"/>
        <v>0</v>
      </c>
      <c r="BJ37" s="546">
        <f t="shared" si="130"/>
        <v>0</v>
      </c>
      <c r="BK37" s="544"/>
      <c r="BL37" s="545">
        <f t="shared" si="19"/>
        <v>0</v>
      </c>
      <c r="BM37" s="546">
        <f t="shared" si="131"/>
        <v>0</v>
      </c>
      <c r="BN37" s="544"/>
      <c r="BO37" s="545">
        <f t="shared" si="20"/>
        <v>0</v>
      </c>
      <c r="BP37" s="546">
        <f t="shared" si="132"/>
        <v>0</v>
      </c>
      <c r="BQ37" s="544"/>
      <c r="BR37" s="545">
        <f t="shared" si="21"/>
        <v>0</v>
      </c>
      <c r="BS37" s="546">
        <f t="shared" si="133"/>
        <v>0</v>
      </c>
      <c r="BT37" s="544"/>
      <c r="BU37" s="545">
        <f t="shared" si="22"/>
        <v>0</v>
      </c>
      <c r="BV37" s="546">
        <f t="shared" si="134"/>
        <v>0</v>
      </c>
      <c r="BW37" s="544"/>
      <c r="BX37" s="545">
        <f t="shared" si="23"/>
        <v>0</v>
      </c>
      <c r="BY37" s="546">
        <f t="shared" si="135"/>
        <v>0</v>
      </c>
      <c r="BZ37" s="544"/>
      <c r="CA37" s="545">
        <f t="shared" si="24"/>
        <v>0</v>
      </c>
      <c r="CB37" s="546">
        <f t="shared" si="136"/>
        <v>0</v>
      </c>
      <c r="CC37" s="544">
        <v>31.25</v>
      </c>
      <c r="CD37" s="545">
        <f t="shared" si="25"/>
        <v>0.45471080392870139</v>
      </c>
      <c r="CE37" s="546">
        <f t="shared" si="137"/>
        <v>0</v>
      </c>
      <c r="CF37" s="544">
        <v>1.1999999999999997</v>
      </c>
      <c r="CG37" s="545">
        <f t="shared" si="26"/>
        <v>1.746089487086213E-2</v>
      </c>
      <c r="CH37" s="546">
        <f t="shared" si="138"/>
        <v>0</v>
      </c>
      <c r="CI37" s="544"/>
      <c r="CJ37" s="545">
        <f t="shared" si="27"/>
        <v>0</v>
      </c>
      <c r="CK37" s="546">
        <f t="shared" si="139"/>
        <v>0</v>
      </c>
      <c r="CL37" s="544"/>
      <c r="CM37" s="545">
        <f t="shared" si="28"/>
        <v>0</v>
      </c>
      <c r="CN37" s="546">
        <f t="shared" si="140"/>
        <v>0</v>
      </c>
      <c r="CO37" s="544"/>
      <c r="CP37" s="545">
        <f t="shared" si="29"/>
        <v>0</v>
      </c>
      <c r="CQ37" s="546">
        <f t="shared" si="141"/>
        <v>0</v>
      </c>
      <c r="CR37" s="544"/>
      <c r="CS37" s="545">
        <f t="shared" si="30"/>
        <v>0</v>
      </c>
      <c r="CT37" s="546">
        <f t="shared" si="142"/>
        <v>0</v>
      </c>
      <c r="CU37" s="544"/>
      <c r="CV37" s="545">
        <f t="shared" si="31"/>
        <v>0</v>
      </c>
      <c r="CW37" s="546">
        <f t="shared" si="143"/>
        <v>0</v>
      </c>
      <c r="CX37" s="544"/>
      <c r="CY37" s="545">
        <f t="shared" si="32"/>
        <v>0</v>
      </c>
      <c r="CZ37" s="546">
        <f t="shared" si="144"/>
        <v>0</v>
      </c>
      <c r="DA37" s="544"/>
      <c r="DB37" s="545">
        <f t="shared" si="33"/>
        <v>0</v>
      </c>
      <c r="DC37" s="546">
        <f t="shared" si="145"/>
        <v>0</v>
      </c>
      <c r="DD37" s="544"/>
      <c r="DE37" s="545">
        <f t="shared" si="34"/>
        <v>0</v>
      </c>
      <c r="DF37" s="546">
        <f t="shared" si="146"/>
        <v>0</v>
      </c>
      <c r="DG37" s="544"/>
      <c r="DH37" s="545">
        <f t="shared" si="35"/>
        <v>0</v>
      </c>
      <c r="DI37" s="546">
        <f t="shared" si="201"/>
        <v>0</v>
      </c>
      <c r="DJ37" s="544"/>
      <c r="DK37" s="545">
        <f t="shared" si="36"/>
        <v>0</v>
      </c>
      <c r="DL37" s="546">
        <f t="shared" si="147"/>
        <v>0</v>
      </c>
      <c r="DM37" s="544"/>
      <c r="DN37" s="545">
        <f t="shared" si="37"/>
        <v>0</v>
      </c>
      <c r="DO37" s="546">
        <f t="shared" si="148"/>
        <v>0</v>
      </c>
      <c r="DP37" s="544"/>
      <c r="DQ37" s="545">
        <f t="shared" si="38"/>
        <v>0</v>
      </c>
      <c r="DR37" s="546">
        <f t="shared" si="149"/>
        <v>0</v>
      </c>
      <c r="DS37" s="544"/>
      <c r="DT37" s="545">
        <f t="shared" si="39"/>
        <v>0</v>
      </c>
      <c r="DU37" s="546">
        <f t="shared" si="150"/>
        <v>0</v>
      </c>
      <c r="DV37" s="544"/>
      <c r="DW37" s="545">
        <f t="shared" si="40"/>
        <v>0</v>
      </c>
      <c r="DX37" s="546">
        <f t="shared" si="151"/>
        <v>0</v>
      </c>
      <c r="DY37" s="544"/>
      <c r="DZ37" s="545">
        <f t="shared" si="41"/>
        <v>0</v>
      </c>
      <c r="EA37" s="546">
        <f t="shared" si="152"/>
        <v>0</v>
      </c>
      <c r="EB37" s="544">
        <v>1058.8235294117649</v>
      </c>
      <c r="EC37" s="545">
        <f t="shared" si="42"/>
        <v>15.406671944878354</v>
      </c>
      <c r="ED37" s="546">
        <f t="shared" si="153"/>
        <v>0</v>
      </c>
      <c r="EE37" s="544">
        <v>11.860465116279045</v>
      </c>
      <c r="EF37" s="545">
        <f t="shared" si="43"/>
        <v>0.17257861209573003</v>
      </c>
      <c r="EG37" s="546">
        <f t="shared" si="154"/>
        <v>0</v>
      </c>
      <c r="EH37" s="544">
        <v>3</v>
      </c>
      <c r="EI37" s="545">
        <f t="shared" si="44"/>
        <v>4.3652237177155336E-2</v>
      </c>
      <c r="EJ37" s="546">
        <f t="shared" si="155"/>
        <v>0</v>
      </c>
      <c r="EK37" s="544"/>
      <c r="EL37" s="545">
        <f t="shared" si="45"/>
        <v>0</v>
      </c>
      <c r="EM37" s="546">
        <f t="shared" si="156"/>
        <v>0</v>
      </c>
      <c r="EN37" s="544"/>
      <c r="EO37" s="545">
        <f t="shared" si="46"/>
        <v>0</v>
      </c>
      <c r="EP37" s="546">
        <f t="shared" si="157"/>
        <v>0</v>
      </c>
      <c r="EQ37" s="544"/>
      <c r="ER37" s="545">
        <f t="shared" si="47"/>
        <v>0</v>
      </c>
      <c r="ES37" s="546">
        <f t="shared" si="158"/>
        <v>0</v>
      </c>
      <c r="ET37" s="544"/>
      <c r="EU37" s="545">
        <f t="shared" si="48"/>
        <v>0</v>
      </c>
      <c r="EV37" s="546">
        <f t="shared" si="159"/>
        <v>0</v>
      </c>
      <c r="EW37" s="544"/>
      <c r="EX37" s="545">
        <f t="shared" si="49"/>
        <v>0</v>
      </c>
      <c r="EY37" s="546">
        <f t="shared" si="160"/>
        <v>0</v>
      </c>
      <c r="EZ37" s="544"/>
      <c r="FA37" s="545">
        <f t="shared" si="50"/>
        <v>0</v>
      </c>
      <c r="FB37" s="546">
        <f t="shared" si="161"/>
        <v>0</v>
      </c>
      <c r="FC37" s="544"/>
      <c r="FD37" s="545">
        <f t="shared" si="51"/>
        <v>0</v>
      </c>
      <c r="FE37" s="546">
        <f t="shared" si="162"/>
        <v>0</v>
      </c>
      <c r="FF37" s="544"/>
      <c r="FG37" s="545">
        <f t="shared" si="52"/>
        <v>0</v>
      </c>
      <c r="FH37" s="546">
        <f t="shared" si="163"/>
        <v>0</v>
      </c>
      <c r="FI37" s="544"/>
      <c r="FJ37" s="545">
        <f t="shared" si="53"/>
        <v>0</v>
      </c>
      <c r="FK37" s="546">
        <f t="shared" si="164"/>
        <v>0</v>
      </c>
      <c r="FL37" s="544"/>
      <c r="FM37" s="545">
        <f t="shared" si="54"/>
        <v>0</v>
      </c>
      <c r="FN37" s="546">
        <f t="shared" si="165"/>
        <v>0</v>
      </c>
      <c r="FO37" s="544"/>
      <c r="FP37" s="545">
        <f t="shared" si="55"/>
        <v>0</v>
      </c>
      <c r="FQ37" s="546">
        <f t="shared" si="166"/>
        <v>0</v>
      </c>
      <c r="FR37" s="544"/>
      <c r="FS37" s="545">
        <f t="shared" si="56"/>
        <v>0</v>
      </c>
      <c r="FT37" s="546">
        <f t="shared" si="167"/>
        <v>0</v>
      </c>
      <c r="FU37" s="544"/>
      <c r="FV37" s="545">
        <f t="shared" si="57"/>
        <v>0</v>
      </c>
      <c r="FW37" s="546">
        <f t="shared" si="168"/>
        <v>0</v>
      </c>
      <c r="FX37" s="544"/>
      <c r="FY37" s="545">
        <f t="shared" si="58"/>
        <v>0</v>
      </c>
      <c r="FZ37" s="546">
        <f t="shared" si="169"/>
        <v>0</v>
      </c>
      <c r="GA37" s="544"/>
      <c r="GB37" s="545">
        <f t="shared" si="59"/>
        <v>0</v>
      </c>
      <c r="GC37" s="546">
        <f t="shared" si="170"/>
        <v>0</v>
      </c>
      <c r="GD37" s="544"/>
      <c r="GE37" s="545">
        <f t="shared" si="60"/>
        <v>0</v>
      </c>
      <c r="GF37" s="546">
        <f t="shared" si="171"/>
        <v>0</v>
      </c>
      <c r="GG37" s="544">
        <v>10</v>
      </c>
      <c r="GH37" s="545">
        <f t="shared" si="61"/>
        <v>0.14550745725718445</v>
      </c>
      <c r="GI37" s="546">
        <f t="shared" si="172"/>
        <v>0</v>
      </c>
      <c r="GJ37" s="544">
        <v>2</v>
      </c>
      <c r="GK37" s="545">
        <f t="shared" si="211"/>
        <v>2.9101491451436888E-2</v>
      </c>
      <c r="GL37" s="546">
        <f t="shared" si="212"/>
        <v>0</v>
      </c>
      <c r="GM37" s="544"/>
      <c r="GN37" s="545">
        <f t="shared" si="202"/>
        <v>0</v>
      </c>
      <c r="GO37" s="546">
        <f t="shared" si="203"/>
        <v>0</v>
      </c>
      <c r="GP37" s="544">
        <v>60</v>
      </c>
      <c r="GQ37" s="545">
        <f t="shared" si="204"/>
        <v>0.87304474354310668</v>
      </c>
      <c r="GR37" s="546">
        <f t="shared" si="205"/>
        <v>0</v>
      </c>
      <c r="GS37" s="544">
        <v>500</v>
      </c>
      <c r="GT37" s="545">
        <f t="shared" si="206"/>
        <v>7.2753728628592222</v>
      </c>
      <c r="GU37" s="546">
        <f t="shared" si="207"/>
        <v>0</v>
      </c>
      <c r="GV37" s="544"/>
      <c r="GW37" s="545">
        <f t="shared" si="208"/>
        <v>0</v>
      </c>
      <c r="GX37" s="546">
        <f t="shared" si="209"/>
        <v>0</v>
      </c>
      <c r="GY37" s="544"/>
      <c r="GZ37" s="545">
        <f t="shared" si="67"/>
        <v>0</v>
      </c>
      <c r="HA37" s="546">
        <f t="shared" si="178"/>
        <v>0</v>
      </c>
      <c r="HB37" s="544"/>
      <c r="HC37" s="545">
        <f t="shared" si="68"/>
        <v>0</v>
      </c>
      <c r="HD37" s="546">
        <f t="shared" si="179"/>
        <v>0</v>
      </c>
      <c r="HE37" s="544"/>
      <c r="HF37" s="545">
        <f t="shared" si="69"/>
        <v>0</v>
      </c>
      <c r="HG37" s="546">
        <f t="shared" si="180"/>
        <v>0</v>
      </c>
      <c r="HH37" s="544"/>
      <c r="HI37" s="545">
        <f t="shared" si="70"/>
        <v>0</v>
      </c>
      <c r="HJ37" s="546">
        <f t="shared" si="181"/>
        <v>0</v>
      </c>
      <c r="HK37" s="544"/>
      <c r="HL37" s="545">
        <f t="shared" si="71"/>
        <v>0</v>
      </c>
      <c r="HM37" s="546">
        <f t="shared" si="182"/>
        <v>0</v>
      </c>
      <c r="HN37" s="544">
        <v>1272</v>
      </c>
      <c r="HO37" s="545">
        <f t="shared" si="72"/>
        <v>18.508548563113862</v>
      </c>
      <c r="HP37" s="546">
        <f t="shared" si="183"/>
        <v>0</v>
      </c>
      <c r="HQ37" s="544"/>
      <c r="HR37" s="545">
        <f t="shared" si="73"/>
        <v>0</v>
      </c>
      <c r="HS37" s="546">
        <f t="shared" si="184"/>
        <v>0</v>
      </c>
      <c r="HT37" s="544"/>
      <c r="HU37" s="545">
        <f t="shared" si="74"/>
        <v>0</v>
      </c>
      <c r="HV37" s="546">
        <f t="shared" si="185"/>
        <v>0</v>
      </c>
      <c r="HW37" s="544"/>
      <c r="HX37" s="545">
        <f t="shared" si="75"/>
        <v>0</v>
      </c>
      <c r="HY37" s="546">
        <f t="shared" si="186"/>
        <v>0</v>
      </c>
      <c r="HZ37" s="544"/>
      <c r="IA37" s="545">
        <f t="shared" si="76"/>
        <v>0</v>
      </c>
      <c r="IB37" s="546">
        <f t="shared" si="187"/>
        <v>0</v>
      </c>
      <c r="IC37" s="544"/>
      <c r="ID37" s="545">
        <f t="shared" si="77"/>
        <v>0</v>
      </c>
      <c r="IE37" s="546">
        <f t="shared" si="188"/>
        <v>0</v>
      </c>
      <c r="IF37" s="544"/>
      <c r="IG37" s="545">
        <f t="shared" si="78"/>
        <v>0</v>
      </c>
      <c r="IH37" s="546">
        <f t="shared" si="189"/>
        <v>0</v>
      </c>
      <c r="II37" s="544"/>
      <c r="IJ37" s="545">
        <f t="shared" si="79"/>
        <v>0</v>
      </c>
      <c r="IK37" s="546">
        <f t="shared" si="190"/>
        <v>0</v>
      </c>
      <c r="IL37" s="544"/>
      <c r="IM37" s="545">
        <f t="shared" si="80"/>
        <v>0</v>
      </c>
      <c r="IN37" s="546">
        <f t="shared" si="191"/>
        <v>0</v>
      </c>
      <c r="IO37" s="544">
        <v>100</v>
      </c>
      <c r="IP37" s="545">
        <f t="shared" si="81"/>
        <v>1.4550745725718444</v>
      </c>
      <c r="IQ37" s="546">
        <f t="shared" si="192"/>
        <v>0</v>
      </c>
      <c r="IR37" s="544"/>
      <c r="IS37" s="545">
        <f t="shared" si="82"/>
        <v>0</v>
      </c>
      <c r="IT37" s="546">
        <f t="shared" si="193"/>
        <v>0</v>
      </c>
      <c r="IU37" s="544"/>
      <c r="IV37" s="545">
        <f t="shared" si="83"/>
        <v>0</v>
      </c>
      <c r="IW37" s="546">
        <f t="shared" si="194"/>
        <v>0</v>
      </c>
      <c r="IX37" s="544"/>
      <c r="IY37" s="545">
        <f t="shared" si="84"/>
        <v>0</v>
      </c>
      <c r="IZ37" s="546">
        <f t="shared" si="195"/>
        <v>0</v>
      </c>
      <c r="JA37" s="544"/>
      <c r="JB37" s="545">
        <f t="shared" si="85"/>
        <v>0</v>
      </c>
      <c r="JC37" s="546">
        <f t="shared" si="196"/>
        <v>0</v>
      </c>
      <c r="JD37" s="544"/>
      <c r="JE37" s="545">
        <f t="shared" si="86"/>
        <v>0</v>
      </c>
      <c r="JF37" s="546">
        <f t="shared" si="197"/>
        <v>0</v>
      </c>
      <c r="JG37" s="544">
        <v>40</v>
      </c>
      <c r="JH37" s="546" t="str">
        <f t="shared" si="87"/>
        <v>0</v>
      </c>
      <c r="JI37" s="546" t="str">
        <f t="shared" si="88"/>
        <v>0</v>
      </c>
      <c r="JJ37" s="544">
        <v>40</v>
      </c>
      <c r="JK37" s="546" t="str">
        <f t="shared" si="89"/>
        <v>0</v>
      </c>
      <c r="JL37" s="546" t="str">
        <f t="shared" si="90"/>
        <v>0</v>
      </c>
      <c r="JM37" s="544"/>
      <c r="JN37" s="546" t="str">
        <f t="shared" si="91"/>
        <v>0</v>
      </c>
      <c r="JO37" s="546" t="str">
        <f t="shared" si="92"/>
        <v>0</v>
      </c>
      <c r="JP37" s="544"/>
      <c r="JQ37" s="546" t="str">
        <f t="shared" si="93"/>
        <v>0</v>
      </c>
      <c r="JR37" s="546" t="str">
        <f t="shared" si="94"/>
        <v>0</v>
      </c>
      <c r="JS37" s="544"/>
      <c r="JT37" s="546" t="str">
        <f t="shared" si="95"/>
        <v>0</v>
      </c>
      <c r="JU37" s="546" t="str">
        <f t="shared" si="96"/>
        <v>0</v>
      </c>
      <c r="JV37" s="544"/>
      <c r="JW37" s="546" t="str">
        <f t="shared" si="97"/>
        <v>0</v>
      </c>
      <c r="JX37" s="546" t="str">
        <f t="shared" si="98"/>
        <v>0</v>
      </c>
      <c r="JY37" s="544"/>
      <c r="JZ37" s="546" t="str">
        <f t="shared" si="99"/>
        <v>0</v>
      </c>
      <c r="KA37" s="546" t="str">
        <f t="shared" si="100"/>
        <v>0</v>
      </c>
      <c r="KB37" s="544"/>
      <c r="KC37" s="546" t="str">
        <f t="shared" si="101"/>
        <v>0</v>
      </c>
      <c r="KD37" s="546" t="str">
        <f t="shared" si="102"/>
        <v>0</v>
      </c>
      <c r="KE37" s="544"/>
      <c r="KF37" s="546" t="str">
        <f t="shared" si="103"/>
        <v>0</v>
      </c>
      <c r="KG37" s="546" t="str">
        <f t="shared" si="104"/>
        <v>0</v>
      </c>
      <c r="KH37" s="544"/>
      <c r="KI37" s="546" t="str">
        <f t="shared" si="105"/>
        <v>0</v>
      </c>
      <c r="KJ37" s="546" t="str">
        <f t="shared" si="106"/>
        <v>0</v>
      </c>
      <c r="KK37" s="544"/>
      <c r="KL37" s="546" t="str">
        <f t="shared" si="107"/>
        <v>0</v>
      </c>
      <c r="KM37" s="546" t="str">
        <f t="shared" si="108"/>
        <v>0</v>
      </c>
      <c r="KN37" s="544"/>
      <c r="KO37" s="546" t="str">
        <f t="shared" si="109"/>
        <v>0</v>
      </c>
      <c r="KP37" s="546" t="str">
        <f t="shared" si="110"/>
        <v>0</v>
      </c>
      <c r="KQ37" s="546">
        <f t="shared" si="111"/>
        <v>0</v>
      </c>
      <c r="KR37" s="546">
        <f t="shared" si="198"/>
        <v>0</v>
      </c>
      <c r="KS37" s="265">
        <f t="shared" si="199"/>
        <v>3212.2089945280441</v>
      </c>
    </row>
    <row r="38" spans="1:16381" ht="15" customHeight="1">
      <c r="A38" s="267">
        <f t="shared" si="200"/>
        <v>45746</v>
      </c>
      <c r="B38" s="268" t="str">
        <f>+Report1!B38</f>
        <v>Towel</v>
      </c>
      <c r="C38" s="268" t="str">
        <f>+Report1!C38</f>
        <v>30/31,5/33,5/36/38</v>
      </c>
      <c r="D38" s="269">
        <f>+Report1!P38</f>
        <v>73.941000000000003</v>
      </c>
      <c r="E38" s="270">
        <f>+Report1!R38</f>
        <v>70.441999999999993</v>
      </c>
      <c r="F38" s="544"/>
      <c r="G38" s="545">
        <f t="shared" si="0"/>
        <v>0</v>
      </c>
      <c r="H38" s="546">
        <f t="shared" si="112"/>
        <v>0</v>
      </c>
      <c r="I38" s="544"/>
      <c r="J38" s="545">
        <f t="shared" si="1"/>
        <v>0</v>
      </c>
      <c r="K38" s="546">
        <f t="shared" si="113"/>
        <v>0</v>
      </c>
      <c r="L38" s="544"/>
      <c r="M38" s="545">
        <f t="shared" si="2"/>
        <v>0</v>
      </c>
      <c r="N38" s="546">
        <f t="shared" si="114"/>
        <v>0</v>
      </c>
      <c r="O38" s="544">
        <v>7.5</v>
      </c>
      <c r="P38" s="545">
        <f t="shared" si="3"/>
        <v>0.106470571534028</v>
      </c>
      <c r="Q38" s="546">
        <f t="shared" si="115"/>
        <v>0</v>
      </c>
      <c r="R38" s="544"/>
      <c r="S38" s="545">
        <f t="shared" si="4"/>
        <v>0</v>
      </c>
      <c r="T38" s="546">
        <f t="shared" si="116"/>
        <v>0</v>
      </c>
      <c r="U38" s="544">
        <v>10.249999999999943</v>
      </c>
      <c r="V38" s="545">
        <f t="shared" si="5"/>
        <v>0.14550978109650414</v>
      </c>
      <c r="W38" s="546">
        <f t="shared" si="117"/>
        <v>0</v>
      </c>
      <c r="X38" s="544"/>
      <c r="Y38" s="545">
        <f t="shared" si="6"/>
        <v>0</v>
      </c>
      <c r="Z38" s="546">
        <f t="shared" si="118"/>
        <v>0</v>
      </c>
      <c r="AA38" s="544"/>
      <c r="AB38" s="545">
        <f t="shared" si="7"/>
        <v>0</v>
      </c>
      <c r="AC38" s="546">
        <f t="shared" si="119"/>
        <v>0</v>
      </c>
      <c r="AD38" s="544"/>
      <c r="AE38" s="545">
        <f t="shared" si="8"/>
        <v>0</v>
      </c>
      <c r="AF38" s="546">
        <f t="shared" si="120"/>
        <v>0</v>
      </c>
      <c r="AG38" s="544"/>
      <c r="AH38" s="545">
        <f t="shared" si="9"/>
        <v>0</v>
      </c>
      <c r="AI38" s="546">
        <f t="shared" si="121"/>
        <v>0</v>
      </c>
      <c r="AJ38" s="544"/>
      <c r="AK38" s="545">
        <f t="shared" si="10"/>
        <v>0</v>
      </c>
      <c r="AL38" s="546">
        <f t="shared" si="122"/>
        <v>0</v>
      </c>
      <c r="AM38" s="544">
        <v>33.80640769230763</v>
      </c>
      <c r="AN38" s="545">
        <f t="shared" si="11"/>
        <v>0.47991833980164722</v>
      </c>
      <c r="AO38" s="546">
        <f t="shared" si="123"/>
        <v>0</v>
      </c>
      <c r="AP38" s="544"/>
      <c r="AQ38" s="545">
        <f t="shared" si="12"/>
        <v>0</v>
      </c>
      <c r="AR38" s="546">
        <f t="shared" si="124"/>
        <v>0</v>
      </c>
      <c r="AS38" s="544"/>
      <c r="AT38" s="545">
        <f t="shared" si="13"/>
        <v>0</v>
      </c>
      <c r="AU38" s="546">
        <f t="shared" si="125"/>
        <v>0</v>
      </c>
      <c r="AV38" s="544">
        <v>1.3875000000000171</v>
      </c>
      <c r="AW38" s="545">
        <f t="shared" si="14"/>
        <v>1.9697055733795422E-2</v>
      </c>
      <c r="AX38" s="546">
        <f t="shared" si="126"/>
        <v>0</v>
      </c>
      <c r="AY38" s="544">
        <v>32.310533333333353</v>
      </c>
      <c r="AZ38" s="545">
        <f t="shared" si="15"/>
        <v>0.45868279340923535</v>
      </c>
      <c r="BA38" s="546">
        <f t="shared" si="127"/>
        <v>0</v>
      </c>
      <c r="BB38" s="544"/>
      <c r="BC38" s="545">
        <f t="shared" si="16"/>
        <v>0</v>
      </c>
      <c r="BD38" s="546">
        <f t="shared" si="128"/>
        <v>0</v>
      </c>
      <c r="BE38" s="544"/>
      <c r="BF38" s="545">
        <f t="shared" si="17"/>
        <v>0</v>
      </c>
      <c r="BG38" s="546">
        <f t="shared" si="129"/>
        <v>0</v>
      </c>
      <c r="BH38" s="544"/>
      <c r="BI38" s="545">
        <f t="shared" si="18"/>
        <v>0</v>
      </c>
      <c r="BJ38" s="546">
        <f t="shared" si="130"/>
        <v>0</v>
      </c>
      <c r="BK38" s="544"/>
      <c r="BL38" s="545">
        <f t="shared" si="19"/>
        <v>0</v>
      </c>
      <c r="BM38" s="546">
        <f t="shared" si="131"/>
        <v>0</v>
      </c>
      <c r="BN38" s="544"/>
      <c r="BO38" s="545">
        <f t="shared" si="20"/>
        <v>0</v>
      </c>
      <c r="BP38" s="546">
        <f t="shared" si="132"/>
        <v>0</v>
      </c>
      <c r="BQ38" s="544"/>
      <c r="BR38" s="545">
        <f t="shared" si="21"/>
        <v>0</v>
      </c>
      <c r="BS38" s="546">
        <f t="shared" si="133"/>
        <v>0</v>
      </c>
      <c r="BT38" s="544"/>
      <c r="BU38" s="545">
        <f t="shared" si="22"/>
        <v>0</v>
      </c>
      <c r="BV38" s="546">
        <f t="shared" si="134"/>
        <v>0</v>
      </c>
      <c r="BW38" s="544"/>
      <c r="BX38" s="545">
        <f t="shared" si="23"/>
        <v>0</v>
      </c>
      <c r="BY38" s="546">
        <f t="shared" si="135"/>
        <v>0</v>
      </c>
      <c r="BZ38" s="544"/>
      <c r="CA38" s="545">
        <f t="shared" si="24"/>
        <v>0</v>
      </c>
      <c r="CB38" s="546">
        <f t="shared" si="136"/>
        <v>0</v>
      </c>
      <c r="CC38" s="544">
        <v>56.25</v>
      </c>
      <c r="CD38" s="545">
        <f t="shared" si="25"/>
        <v>0.79852928650521005</v>
      </c>
      <c r="CE38" s="546">
        <f t="shared" si="137"/>
        <v>0</v>
      </c>
      <c r="CF38" s="544">
        <v>0.60000000000000009</v>
      </c>
      <c r="CG38" s="545">
        <f t="shared" si="26"/>
        <v>8.5176457227222422E-3</v>
      </c>
      <c r="CH38" s="546">
        <f t="shared" si="138"/>
        <v>0</v>
      </c>
      <c r="CI38" s="544"/>
      <c r="CJ38" s="545">
        <f t="shared" si="27"/>
        <v>0</v>
      </c>
      <c r="CK38" s="546">
        <f t="shared" si="139"/>
        <v>0</v>
      </c>
      <c r="CL38" s="544"/>
      <c r="CM38" s="545">
        <f t="shared" si="28"/>
        <v>0</v>
      </c>
      <c r="CN38" s="546">
        <f t="shared" si="140"/>
        <v>0</v>
      </c>
      <c r="CO38" s="544"/>
      <c r="CP38" s="545">
        <f t="shared" si="29"/>
        <v>0</v>
      </c>
      <c r="CQ38" s="546">
        <f t="shared" si="141"/>
        <v>0</v>
      </c>
      <c r="CR38" s="544"/>
      <c r="CS38" s="545">
        <f t="shared" si="30"/>
        <v>0</v>
      </c>
      <c r="CT38" s="546">
        <f t="shared" si="142"/>
        <v>0</v>
      </c>
      <c r="CU38" s="544"/>
      <c r="CV38" s="545">
        <f t="shared" si="31"/>
        <v>0</v>
      </c>
      <c r="CW38" s="546">
        <f t="shared" si="143"/>
        <v>0</v>
      </c>
      <c r="CX38" s="544"/>
      <c r="CY38" s="545">
        <f t="shared" si="32"/>
        <v>0</v>
      </c>
      <c r="CZ38" s="546">
        <f t="shared" si="144"/>
        <v>0</v>
      </c>
      <c r="DA38" s="544"/>
      <c r="DB38" s="545">
        <f t="shared" si="33"/>
        <v>0</v>
      </c>
      <c r="DC38" s="546">
        <f t="shared" si="145"/>
        <v>0</v>
      </c>
      <c r="DD38" s="544"/>
      <c r="DE38" s="545">
        <f t="shared" si="34"/>
        <v>0</v>
      </c>
      <c r="DF38" s="546">
        <f t="shared" si="146"/>
        <v>0</v>
      </c>
      <c r="DG38" s="544"/>
      <c r="DH38" s="545">
        <f t="shared" si="35"/>
        <v>0</v>
      </c>
      <c r="DI38" s="546">
        <f t="shared" si="201"/>
        <v>0</v>
      </c>
      <c r="DJ38" s="544"/>
      <c r="DK38" s="545">
        <f t="shared" si="36"/>
        <v>0</v>
      </c>
      <c r="DL38" s="546">
        <f t="shared" si="147"/>
        <v>0</v>
      </c>
      <c r="DM38" s="544"/>
      <c r="DN38" s="545">
        <f t="shared" si="37"/>
        <v>0</v>
      </c>
      <c r="DO38" s="546">
        <f t="shared" si="148"/>
        <v>0</v>
      </c>
      <c r="DP38" s="544"/>
      <c r="DQ38" s="545">
        <f t="shared" si="38"/>
        <v>0</v>
      </c>
      <c r="DR38" s="546">
        <f t="shared" si="149"/>
        <v>0</v>
      </c>
      <c r="DS38" s="544"/>
      <c r="DT38" s="545">
        <f t="shared" si="39"/>
        <v>0</v>
      </c>
      <c r="DU38" s="546">
        <f t="shared" si="150"/>
        <v>0</v>
      </c>
      <c r="DV38" s="544"/>
      <c r="DW38" s="545">
        <f t="shared" si="40"/>
        <v>0</v>
      </c>
      <c r="DX38" s="546">
        <f t="shared" si="151"/>
        <v>0</v>
      </c>
      <c r="DY38" s="544"/>
      <c r="DZ38" s="545">
        <f t="shared" si="41"/>
        <v>0</v>
      </c>
      <c r="EA38" s="546">
        <f t="shared" si="152"/>
        <v>0</v>
      </c>
      <c r="EB38" s="544">
        <v>1429.4117647058822</v>
      </c>
      <c r="EC38" s="545">
        <f t="shared" si="42"/>
        <v>20.292038339426512</v>
      </c>
      <c r="ED38" s="546">
        <f t="shared" si="153"/>
        <v>0</v>
      </c>
      <c r="EE38" s="544">
        <v>0</v>
      </c>
      <c r="EF38" s="545">
        <f t="shared" si="43"/>
        <v>0</v>
      </c>
      <c r="EG38" s="546">
        <f t="shared" si="154"/>
        <v>0</v>
      </c>
      <c r="EH38" s="544">
        <v>2.5</v>
      </c>
      <c r="EI38" s="545">
        <f t="shared" si="44"/>
        <v>3.5490190511342667E-2</v>
      </c>
      <c r="EJ38" s="546">
        <f t="shared" si="155"/>
        <v>0</v>
      </c>
      <c r="EK38" s="544"/>
      <c r="EL38" s="545">
        <f t="shared" si="45"/>
        <v>0</v>
      </c>
      <c r="EM38" s="546">
        <f t="shared" si="156"/>
        <v>0</v>
      </c>
      <c r="EN38" s="544"/>
      <c r="EO38" s="545">
        <f t="shared" si="46"/>
        <v>0</v>
      </c>
      <c r="EP38" s="546">
        <f t="shared" si="157"/>
        <v>0</v>
      </c>
      <c r="EQ38" s="544"/>
      <c r="ER38" s="545">
        <f t="shared" si="47"/>
        <v>0</v>
      </c>
      <c r="ES38" s="546">
        <f t="shared" si="158"/>
        <v>0</v>
      </c>
      <c r="ET38" s="544"/>
      <c r="EU38" s="545">
        <f t="shared" si="48"/>
        <v>0</v>
      </c>
      <c r="EV38" s="546">
        <f t="shared" si="159"/>
        <v>0</v>
      </c>
      <c r="EW38" s="544"/>
      <c r="EX38" s="545">
        <f t="shared" si="49"/>
        <v>0</v>
      </c>
      <c r="EY38" s="546">
        <f t="shared" si="160"/>
        <v>0</v>
      </c>
      <c r="EZ38" s="544"/>
      <c r="FA38" s="545">
        <f t="shared" si="50"/>
        <v>0</v>
      </c>
      <c r="FB38" s="546">
        <f t="shared" si="161"/>
        <v>0</v>
      </c>
      <c r="FC38" s="544"/>
      <c r="FD38" s="545">
        <f t="shared" si="51"/>
        <v>0</v>
      </c>
      <c r="FE38" s="546">
        <f t="shared" si="162"/>
        <v>0</v>
      </c>
      <c r="FF38" s="544"/>
      <c r="FG38" s="545">
        <f t="shared" si="52"/>
        <v>0</v>
      </c>
      <c r="FH38" s="546">
        <f t="shared" si="163"/>
        <v>0</v>
      </c>
      <c r="FI38" s="544"/>
      <c r="FJ38" s="545">
        <f t="shared" si="53"/>
        <v>0</v>
      </c>
      <c r="FK38" s="546">
        <f t="shared" si="164"/>
        <v>0</v>
      </c>
      <c r="FL38" s="544"/>
      <c r="FM38" s="545">
        <f t="shared" si="54"/>
        <v>0</v>
      </c>
      <c r="FN38" s="546">
        <f t="shared" si="165"/>
        <v>0</v>
      </c>
      <c r="FO38" s="544"/>
      <c r="FP38" s="545">
        <f t="shared" si="55"/>
        <v>0</v>
      </c>
      <c r="FQ38" s="546">
        <f t="shared" si="166"/>
        <v>0</v>
      </c>
      <c r="FR38" s="544"/>
      <c r="FS38" s="545">
        <f t="shared" si="56"/>
        <v>0</v>
      </c>
      <c r="FT38" s="546">
        <f t="shared" si="167"/>
        <v>0</v>
      </c>
      <c r="FU38" s="544"/>
      <c r="FV38" s="545">
        <f t="shared" si="57"/>
        <v>0</v>
      </c>
      <c r="FW38" s="546">
        <f t="shared" si="168"/>
        <v>0</v>
      </c>
      <c r="FX38" s="544"/>
      <c r="FY38" s="545">
        <f t="shared" si="58"/>
        <v>0</v>
      </c>
      <c r="FZ38" s="546">
        <f t="shared" si="169"/>
        <v>0</v>
      </c>
      <c r="GA38" s="544"/>
      <c r="GB38" s="545">
        <f t="shared" si="59"/>
        <v>0</v>
      </c>
      <c r="GC38" s="546">
        <f t="shared" si="170"/>
        <v>0</v>
      </c>
      <c r="GD38" s="544"/>
      <c r="GE38" s="545">
        <f t="shared" si="60"/>
        <v>0</v>
      </c>
      <c r="GF38" s="546">
        <f t="shared" si="171"/>
        <v>0</v>
      </c>
      <c r="GG38" s="544">
        <v>10</v>
      </c>
      <c r="GH38" s="545">
        <f t="shared" si="61"/>
        <v>0.14196076204537067</v>
      </c>
      <c r="GI38" s="546">
        <f t="shared" si="172"/>
        <v>0</v>
      </c>
      <c r="GJ38" s="544">
        <v>10</v>
      </c>
      <c r="GK38" s="545">
        <f t="shared" si="211"/>
        <v>0.14196076204537067</v>
      </c>
      <c r="GL38" s="546">
        <f t="shared" si="212"/>
        <v>0</v>
      </c>
      <c r="GM38" s="544"/>
      <c r="GN38" s="545">
        <f t="shared" si="202"/>
        <v>0</v>
      </c>
      <c r="GO38" s="546">
        <f t="shared" si="203"/>
        <v>0</v>
      </c>
      <c r="GP38" s="544">
        <v>70</v>
      </c>
      <c r="GQ38" s="545">
        <f t="shared" si="204"/>
        <v>0.99372533431759469</v>
      </c>
      <c r="GR38" s="546">
        <f t="shared" si="205"/>
        <v>0</v>
      </c>
      <c r="GS38" s="544">
        <v>350</v>
      </c>
      <c r="GT38" s="545">
        <f t="shared" si="206"/>
        <v>4.9686266715879732</v>
      </c>
      <c r="GU38" s="546">
        <f t="shared" si="207"/>
        <v>0</v>
      </c>
      <c r="GV38" s="544">
        <v>70</v>
      </c>
      <c r="GW38" s="545">
        <f t="shared" si="208"/>
        <v>0.99372533431759469</v>
      </c>
      <c r="GX38" s="546">
        <f t="shared" si="209"/>
        <v>0</v>
      </c>
      <c r="GY38" s="544"/>
      <c r="GZ38" s="545">
        <f t="shared" si="67"/>
        <v>0</v>
      </c>
      <c r="HA38" s="546">
        <f t="shared" si="178"/>
        <v>0</v>
      </c>
      <c r="HB38" s="544"/>
      <c r="HC38" s="545">
        <f t="shared" si="68"/>
        <v>0</v>
      </c>
      <c r="HD38" s="546">
        <f t="shared" si="179"/>
        <v>0</v>
      </c>
      <c r="HE38" s="544"/>
      <c r="HF38" s="545">
        <f t="shared" si="69"/>
        <v>0</v>
      </c>
      <c r="HG38" s="546">
        <f t="shared" si="180"/>
        <v>0</v>
      </c>
      <c r="HH38" s="544"/>
      <c r="HI38" s="545">
        <f t="shared" si="70"/>
        <v>0</v>
      </c>
      <c r="HJ38" s="546">
        <f t="shared" si="181"/>
        <v>0</v>
      </c>
      <c r="HK38" s="544"/>
      <c r="HL38" s="545">
        <f t="shared" si="71"/>
        <v>0</v>
      </c>
      <c r="HM38" s="546">
        <f t="shared" si="182"/>
        <v>0</v>
      </c>
      <c r="HN38" s="544">
        <v>1122</v>
      </c>
      <c r="HO38" s="545">
        <f t="shared" si="72"/>
        <v>15.927997501490589</v>
      </c>
      <c r="HP38" s="546">
        <f t="shared" si="183"/>
        <v>0</v>
      </c>
      <c r="HQ38" s="544"/>
      <c r="HR38" s="545">
        <f t="shared" si="73"/>
        <v>0</v>
      </c>
      <c r="HS38" s="546">
        <f t="shared" si="184"/>
        <v>0</v>
      </c>
      <c r="HT38" s="544"/>
      <c r="HU38" s="545">
        <f t="shared" si="74"/>
        <v>0</v>
      </c>
      <c r="HV38" s="546">
        <f t="shared" si="185"/>
        <v>0</v>
      </c>
      <c r="HW38" s="544"/>
      <c r="HX38" s="545">
        <f t="shared" si="75"/>
        <v>0</v>
      </c>
      <c r="HY38" s="546">
        <f t="shared" si="186"/>
        <v>0</v>
      </c>
      <c r="HZ38" s="544"/>
      <c r="IA38" s="545">
        <f t="shared" si="76"/>
        <v>0</v>
      </c>
      <c r="IB38" s="546">
        <f t="shared" si="187"/>
        <v>0</v>
      </c>
      <c r="IC38" s="544"/>
      <c r="ID38" s="545">
        <f t="shared" si="77"/>
        <v>0</v>
      </c>
      <c r="IE38" s="546">
        <f t="shared" si="188"/>
        <v>0</v>
      </c>
      <c r="IF38" s="544"/>
      <c r="IG38" s="545">
        <f t="shared" si="78"/>
        <v>0</v>
      </c>
      <c r="IH38" s="546">
        <f t="shared" si="189"/>
        <v>0</v>
      </c>
      <c r="II38" s="544"/>
      <c r="IJ38" s="545">
        <f t="shared" si="79"/>
        <v>0</v>
      </c>
      <c r="IK38" s="546">
        <f t="shared" si="190"/>
        <v>0</v>
      </c>
      <c r="IL38" s="544"/>
      <c r="IM38" s="545">
        <f t="shared" si="80"/>
        <v>0</v>
      </c>
      <c r="IN38" s="546">
        <f t="shared" si="191"/>
        <v>0</v>
      </c>
      <c r="IO38" s="544">
        <v>110</v>
      </c>
      <c r="IP38" s="545">
        <f t="shared" si="81"/>
        <v>1.5615683824990774</v>
      </c>
      <c r="IQ38" s="546">
        <f t="shared" si="192"/>
        <v>0</v>
      </c>
      <c r="IR38" s="544"/>
      <c r="IS38" s="545">
        <f t="shared" si="82"/>
        <v>0</v>
      </c>
      <c r="IT38" s="546">
        <f t="shared" si="193"/>
        <v>0</v>
      </c>
      <c r="IU38" s="544"/>
      <c r="IV38" s="545">
        <f t="shared" si="83"/>
        <v>0</v>
      </c>
      <c r="IW38" s="546">
        <f t="shared" si="194"/>
        <v>0</v>
      </c>
      <c r="IX38" s="544"/>
      <c r="IY38" s="545">
        <f t="shared" si="84"/>
        <v>0</v>
      </c>
      <c r="IZ38" s="546">
        <f t="shared" si="195"/>
        <v>0</v>
      </c>
      <c r="JA38" s="544"/>
      <c r="JB38" s="545">
        <f t="shared" si="85"/>
        <v>0</v>
      </c>
      <c r="JC38" s="546">
        <f t="shared" si="196"/>
        <v>0</v>
      </c>
      <c r="JD38" s="544"/>
      <c r="JE38" s="545">
        <f t="shared" si="86"/>
        <v>0</v>
      </c>
      <c r="JF38" s="546">
        <f t="shared" si="197"/>
        <v>0</v>
      </c>
      <c r="JG38" s="544">
        <v>35</v>
      </c>
      <c r="JH38" s="546" t="str">
        <f t="shared" si="87"/>
        <v>0</v>
      </c>
      <c r="JI38" s="546" t="str">
        <f t="shared" si="88"/>
        <v>0</v>
      </c>
      <c r="JJ38" s="544">
        <v>40</v>
      </c>
      <c r="JK38" s="546" t="str">
        <f t="shared" si="89"/>
        <v>0</v>
      </c>
      <c r="JL38" s="546" t="str">
        <f t="shared" si="90"/>
        <v>0</v>
      </c>
      <c r="JM38" s="544"/>
      <c r="JN38" s="546" t="str">
        <f t="shared" si="91"/>
        <v>0</v>
      </c>
      <c r="JO38" s="546" t="str">
        <f t="shared" si="92"/>
        <v>0</v>
      </c>
      <c r="JP38" s="544"/>
      <c r="JQ38" s="546" t="str">
        <f t="shared" si="93"/>
        <v>0</v>
      </c>
      <c r="JR38" s="546" t="str">
        <f t="shared" si="94"/>
        <v>0</v>
      </c>
      <c r="JS38" s="544"/>
      <c r="JT38" s="546" t="str">
        <f t="shared" si="95"/>
        <v>0</v>
      </c>
      <c r="JU38" s="546" t="str">
        <f t="shared" si="96"/>
        <v>0</v>
      </c>
      <c r="JV38" s="544"/>
      <c r="JW38" s="546" t="str">
        <f t="shared" si="97"/>
        <v>0</v>
      </c>
      <c r="JX38" s="546" t="str">
        <f t="shared" si="98"/>
        <v>0</v>
      </c>
      <c r="JY38" s="544"/>
      <c r="JZ38" s="546" t="str">
        <f t="shared" si="99"/>
        <v>0</v>
      </c>
      <c r="KA38" s="546" t="str">
        <f t="shared" si="100"/>
        <v>0</v>
      </c>
      <c r="KB38" s="544"/>
      <c r="KC38" s="546" t="str">
        <f t="shared" si="101"/>
        <v>0</v>
      </c>
      <c r="KD38" s="546" t="str">
        <f t="shared" si="102"/>
        <v>0</v>
      </c>
      <c r="KE38" s="544"/>
      <c r="KF38" s="546" t="str">
        <f t="shared" si="103"/>
        <v>0</v>
      </c>
      <c r="KG38" s="546" t="str">
        <f t="shared" si="104"/>
        <v>0</v>
      </c>
      <c r="KH38" s="544"/>
      <c r="KI38" s="546" t="str">
        <f t="shared" si="105"/>
        <v>0</v>
      </c>
      <c r="KJ38" s="546" t="str">
        <f t="shared" si="106"/>
        <v>0</v>
      </c>
      <c r="KK38" s="544"/>
      <c r="KL38" s="546" t="str">
        <f t="shared" si="107"/>
        <v>0</v>
      </c>
      <c r="KM38" s="546" t="str">
        <f t="shared" si="108"/>
        <v>0</v>
      </c>
      <c r="KN38" s="544"/>
      <c r="KO38" s="546" t="str">
        <f t="shared" si="109"/>
        <v>0</v>
      </c>
      <c r="KP38" s="546" t="str">
        <f t="shared" si="110"/>
        <v>0</v>
      </c>
      <c r="KQ38" s="546">
        <f t="shared" si="111"/>
        <v>0</v>
      </c>
      <c r="KR38" s="546">
        <f t="shared" si="198"/>
        <v>0</v>
      </c>
      <c r="KS38" s="265">
        <f t="shared" si="199"/>
        <v>3391.0162057315229</v>
      </c>
    </row>
    <row r="39" spans="1:16381" ht="15" customHeight="1">
      <c r="A39" s="267">
        <f t="shared" si="200"/>
        <v>45747</v>
      </c>
      <c r="B39" s="268" t="str">
        <f>+Report1!B39</f>
        <v>Towel</v>
      </c>
      <c r="C39" s="268" t="str">
        <f>+Report1!C39</f>
        <v>38/35,5</v>
      </c>
      <c r="D39" s="269">
        <f>+Report1!P39</f>
        <v>75.551000000000002</v>
      </c>
      <c r="E39" s="270">
        <f>+Report1!R39</f>
        <v>73.796000000000006</v>
      </c>
      <c r="F39" s="544"/>
      <c r="G39" s="545">
        <f t="shared" si="0"/>
        <v>0</v>
      </c>
      <c r="H39" s="546">
        <f t="shared" si="112"/>
        <v>0</v>
      </c>
      <c r="I39" s="544"/>
      <c r="J39" s="545">
        <f t="shared" si="1"/>
        <v>0</v>
      </c>
      <c r="K39" s="546">
        <f t="shared" si="113"/>
        <v>0</v>
      </c>
      <c r="L39" s="544"/>
      <c r="M39" s="545">
        <f t="shared" si="2"/>
        <v>0</v>
      </c>
      <c r="N39" s="546">
        <f t="shared" si="114"/>
        <v>0</v>
      </c>
      <c r="O39" s="544">
        <v>7.5000000000000284</v>
      </c>
      <c r="P39" s="545">
        <f t="shared" si="3"/>
        <v>0.10163152474388894</v>
      </c>
      <c r="Q39" s="546">
        <f t="shared" si="115"/>
        <v>0</v>
      </c>
      <c r="R39" s="544"/>
      <c r="S39" s="545">
        <f t="shared" si="4"/>
        <v>0</v>
      </c>
      <c r="T39" s="546">
        <f t="shared" si="116"/>
        <v>0</v>
      </c>
      <c r="U39" s="544">
        <v>10.250000000000057</v>
      </c>
      <c r="V39" s="545">
        <f t="shared" si="5"/>
        <v>0.1388964171499818</v>
      </c>
      <c r="W39" s="546">
        <f t="shared" si="117"/>
        <v>0</v>
      </c>
      <c r="X39" s="544"/>
      <c r="Y39" s="545">
        <f t="shared" si="6"/>
        <v>0</v>
      </c>
      <c r="Z39" s="546">
        <f t="shared" si="118"/>
        <v>0</v>
      </c>
      <c r="AA39" s="544"/>
      <c r="AB39" s="545">
        <f t="shared" si="7"/>
        <v>0</v>
      </c>
      <c r="AC39" s="546">
        <f t="shared" si="119"/>
        <v>0</v>
      </c>
      <c r="AD39" s="544"/>
      <c r="AE39" s="545">
        <f t="shared" si="8"/>
        <v>0</v>
      </c>
      <c r="AF39" s="546">
        <f t="shared" si="120"/>
        <v>0</v>
      </c>
      <c r="AG39" s="544"/>
      <c r="AH39" s="545">
        <f t="shared" si="9"/>
        <v>0</v>
      </c>
      <c r="AI39" s="546">
        <f t="shared" si="121"/>
        <v>0</v>
      </c>
      <c r="AJ39" s="544"/>
      <c r="AK39" s="545">
        <f t="shared" si="10"/>
        <v>0</v>
      </c>
      <c r="AL39" s="546">
        <f t="shared" si="122"/>
        <v>0</v>
      </c>
      <c r="AM39" s="544">
        <v>34.528900000000021</v>
      </c>
      <c r="AN39" s="545">
        <f t="shared" si="11"/>
        <v>0.46789663396390074</v>
      </c>
      <c r="AO39" s="546">
        <f t="shared" si="123"/>
        <v>0</v>
      </c>
      <c r="AP39" s="544"/>
      <c r="AQ39" s="545">
        <f t="shared" si="12"/>
        <v>0</v>
      </c>
      <c r="AR39" s="546">
        <f t="shared" si="124"/>
        <v>0</v>
      </c>
      <c r="AS39" s="544"/>
      <c r="AT39" s="545">
        <f t="shared" si="13"/>
        <v>0</v>
      </c>
      <c r="AU39" s="546">
        <f t="shared" si="125"/>
        <v>0</v>
      </c>
      <c r="AV39" s="544">
        <v>1.3874999999999886</v>
      </c>
      <c r="AW39" s="545">
        <f t="shared" si="14"/>
        <v>1.8801832077619228E-2</v>
      </c>
      <c r="AX39" s="546">
        <f t="shared" si="126"/>
        <v>0</v>
      </c>
      <c r="AY39" s="544">
        <v>33.01879999999997</v>
      </c>
      <c r="AZ39" s="545">
        <f t="shared" si="15"/>
        <v>0.44743346522846722</v>
      </c>
      <c r="BA39" s="546">
        <f t="shared" si="127"/>
        <v>0</v>
      </c>
      <c r="BB39" s="544"/>
      <c r="BC39" s="545">
        <f t="shared" si="16"/>
        <v>0</v>
      </c>
      <c r="BD39" s="546">
        <f t="shared" si="128"/>
        <v>0</v>
      </c>
      <c r="BE39" s="544"/>
      <c r="BF39" s="545">
        <f t="shared" si="17"/>
        <v>0</v>
      </c>
      <c r="BG39" s="546">
        <f t="shared" si="129"/>
        <v>0</v>
      </c>
      <c r="BH39" s="544"/>
      <c r="BI39" s="545">
        <f t="shared" si="18"/>
        <v>0</v>
      </c>
      <c r="BJ39" s="546">
        <f t="shared" si="130"/>
        <v>0</v>
      </c>
      <c r="BK39" s="544"/>
      <c r="BL39" s="545">
        <f t="shared" si="19"/>
        <v>0</v>
      </c>
      <c r="BM39" s="546">
        <f t="shared" si="131"/>
        <v>0</v>
      </c>
      <c r="BN39" s="544"/>
      <c r="BO39" s="545">
        <f t="shared" si="20"/>
        <v>0</v>
      </c>
      <c r="BP39" s="546">
        <f t="shared" si="132"/>
        <v>0</v>
      </c>
      <c r="BQ39" s="544"/>
      <c r="BR39" s="545">
        <f t="shared" si="21"/>
        <v>0</v>
      </c>
      <c r="BS39" s="546">
        <f t="shared" si="133"/>
        <v>0</v>
      </c>
      <c r="BT39" s="544"/>
      <c r="BU39" s="545">
        <f t="shared" si="22"/>
        <v>0</v>
      </c>
      <c r="BV39" s="546">
        <f t="shared" si="134"/>
        <v>0</v>
      </c>
      <c r="BW39" s="544"/>
      <c r="BX39" s="545">
        <f t="shared" si="23"/>
        <v>0</v>
      </c>
      <c r="BY39" s="546">
        <f t="shared" si="135"/>
        <v>0</v>
      </c>
      <c r="BZ39" s="544"/>
      <c r="CA39" s="545">
        <f t="shared" si="24"/>
        <v>0</v>
      </c>
      <c r="CB39" s="546">
        <f t="shared" si="136"/>
        <v>0</v>
      </c>
      <c r="CC39" s="544">
        <v>50</v>
      </c>
      <c r="CD39" s="545">
        <f t="shared" si="25"/>
        <v>0.67754349829259031</v>
      </c>
      <c r="CE39" s="546">
        <f t="shared" si="137"/>
        <v>0</v>
      </c>
      <c r="CF39" s="544">
        <v>0.60000000000000009</v>
      </c>
      <c r="CG39" s="545">
        <f t="shared" si="26"/>
        <v>8.130521979511085E-3</v>
      </c>
      <c r="CH39" s="546">
        <f t="shared" si="138"/>
        <v>0</v>
      </c>
      <c r="CI39" s="544"/>
      <c r="CJ39" s="545">
        <f t="shared" si="27"/>
        <v>0</v>
      </c>
      <c r="CK39" s="546">
        <f t="shared" si="139"/>
        <v>0</v>
      </c>
      <c r="CL39" s="544"/>
      <c r="CM39" s="545">
        <f t="shared" si="28"/>
        <v>0</v>
      </c>
      <c r="CN39" s="546">
        <f t="shared" si="140"/>
        <v>0</v>
      </c>
      <c r="CO39" s="544"/>
      <c r="CP39" s="545">
        <f t="shared" si="29"/>
        <v>0</v>
      </c>
      <c r="CQ39" s="546">
        <f t="shared" si="141"/>
        <v>0</v>
      </c>
      <c r="CR39" s="544"/>
      <c r="CS39" s="545">
        <f t="shared" si="30"/>
        <v>0</v>
      </c>
      <c r="CT39" s="546">
        <f t="shared" si="142"/>
        <v>0</v>
      </c>
      <c r="CU39" s="544"/>
      <c r="CV39" s="545">
        <f t="shared" si="31"/>
        <v>0</v>
      </c>
      <c r="CW39" s="546">
        <f t="shared" si="143"/>
        <v>0</v>
      </c>
      <c r="CX39" s="544"/>
      <c r="CY39" s="545">
        <f t="shared" si="32"/>
        <v>0</v>
      </c>
      <c r="CZ39" s="546">
        <f t="shared" si="144"/>
        <v>0</v>
      </c>
      <c r="DA39" s="544"/>
      <c r="DB39" s="545">
        <f t="shared" si="33"/>
        <v>0</v>
      </c>
      <c r="DC39" s="546">
        <f t="shared" si="145"/>
        <v>0</v>
      </c>
      <c r="DD39" s="544"/>
      <c r="DE39" s="545">
        <f t="shared" si="34"/>
        <v>0</v>
      </c>
      <c r="DF39" s="546">
        <f t="shared" si="146"/>
        <v>0</v>
      </c>
      <c r="DG39" s="544"/>
      <c r="DH39" s="545">
        <f t="shared" si="35"/>
        <v>0</v>
      </c>
      <c r="DI39" s="546">
        <f t="shared" si="201"/>
        <v>0</v>
      </c>
      <c r="DJ39" s="544"/>
      <c r="DK39" s="545">
        <f t="shared" si="36"/>
        <v>0</v>
      </c>
      <c r="DL39" s="546">
        <f t="shared" si="147"/>
        <v>0</v>
      </c>
      <c r="DM39" s="544"/>
      <c r="DN39" s="545">
        <f t="shared" si="37"/>
        <v>0</v>
      </c>
      <c r="DO39" s="546">
        <f t="shared" si="148"/>
        <v>0</v>
      </c>
      <c r="DP39" s="544"/>
      <c r="DQ39" s="545">
        <f t="shared" si="38"/>
        <v>0</v>
      </c>
      <c r="DR39" s="546">
        <f t="shared" si="149"/>
        <v>0</v>
      </c>
      <c r="DS39" s="544"/>
      <c r="DT39" s="545">
        <f t="shared" si="39"/>
        <v>0</v>
      </c>
      <c r="DU39" s="546">
        <f t="shared" si="150"/>
        <v>0</v>
      </c>
      <c r="DV39" s="544"/>
      <c r="DW39" s="545">
        <f t="shared" si="40"/>
        <v>0</v>
      </c>
      <c r="DX39" s="546">
        <f t="shared" si="151"/>
        <v>0</v>
      </c>
      <c r="DY39" s="544"/>
      <c r="DZ39" s="545">
        <f t="shared" si="41"/>
        <v>0</v>
      </c>
      <c r="EA39" s="546">
        <f t="shared" si="152"/>
        <v>0</v>
      </c>
      <c r="EB39" s="544">
        <v>1452.9411764705883</v>
      </c>
      <c r="EC39" s="545">
        <f t="shared" si="42"/>
        <v>19.688616950384684</v>
      </c>
      <c r="ED39" s="546">
        <f t="shared" si="153"/>
        <v>0</v>
      </c>
      <c r="EE39" s="544">
        <v>0</v>
      </c>
      <c r="EF39" s="545">
        <f t="shared" si="43"/>
        <v>0</v>
      </c>
      <c r="EG39" s="546">
        <f t="shared" si="154"/>
        <v>0</v>
      </c>
      <c r="EH39" s="544">
        <v>2.5</v>
      </c>
      <c r="EI39" s="545">
        <f t="shared" si="44"/>
        <v>3.3877174914629514E-2</v>
      </c>
      <c r="EJ39" s="546">
        <f t="shared" si="155"/>
        <v>0</v>
      </c>
      <c r="EK39" s="544"/>
      <c r="EL39" s="545">
        <f t="shared" si="45"/>
        <v>0</v>
      </c>
      <c r="EM39" s="546">
        <f t="shared" si="156"/>
        <v>0</v>
      </c>
      <c r="EN39" s="544"/>
      <c r="EO39" s="545">
        <f t="shared" si="46"/>
        <v>0</v>
      </c>
      <c r="EP39" s="546">
        <f t="shared" si="157"/>
        <v>0</v>
      </c>
      <c r="EQ39" s="544"/>
      <c r="ER39" s="545">
        <f t="shared" si="47"/>
        <v>0</v>
      </c>
      <c r="ES39" s="546">
        <f t="shared" si="158"/>
        <v>0</v>
      </c>
      <c r="ET39" s="544"/>
      <c r="EU39" s="545">
        <f t="shared" si="48"/>
        <v>0</v>
      </c>
      <c r="EV39" s="546">
        <f t="shared" si="159"/>
        <v>0</v>
      </c>
      <c r="EW39" s="544"/>
      <c r="EX39" s="545">
        <f t="shared" si="49"/>
        <v>0</v>
      </c>
      <c r="EY39" s="546">
        <f t="shared" si="160"/>
        <v>0</v>
      </c>
      <c r="EZ39" s="544"/>
      <c r="FA39" s="545">
        <f t="shared" si="50"/>
        <v>0</v>
      </c>
      <c r="FB39" s="546">
        <f t="shared" si="161"/>
        <v>0</v>
      </c>
      <c r="FC39" s="544"/>
      <c r="FD39" s="545">
        <f t="shared" si="51"/>
        <v>0</v>
      </c>
      <c r="FE39" s="546">
        <f t="shared" si="162"/>
        <v>0</v>
      </c>
      <c r="FF39" s="544"/>
      <c r="FG39" s="545">
        <f t="shared" si="52"/>
        <v>0</v>
      </c>
      <c r="FH39" s="546">
        <f t="shared" si="163"/>
        <v>0</v>
      </c>
      <c r="FI39" s="544"/>
      <c r="FJ39" s="545">
        <f t="shared" si="53"/>
        <v>0</v>
      </c>
      <c r="FK39" s="546">
        <f t="shared" si="164"/>
        <v>0</v>
      </c>
      <c r="FL39" s="544"/>
      <c r="FM39" s="545">
        <f t="shared" si="54"/>
        <v>0</v>
      </c>
      <c r="FN39" s="546">
        <f t="shared" si="165"/>
        <v>0</v>
      </c>
      <c r="FO39" s="544"/>
      <c r="FP39" s="545">
        <f t="shared" si="55"/>
        <v>0</v>
      </c>
      <c r="FQ39" s="546">
        <f t="shared" si="166"/>
        <v>0</v>
      </c>
      <c r="FR39" s="544"/>
      <c r="FS39" s="545">
        <f t="shared" si="56"/>
        <v>0</v>
      </c>
      <c r="FT39" s="546">
        <f t="shared" si="167"/>
        <v>0</v>
      </c>
      <c r="FU39" s="544"/>
      <c r="FV39" s="545">
        <f t="shared" si="57"/>
        <v>0</v>
      </c>
      <c r="FW39" s="546">
        <f t="shared" si="168"/>
        <v>0</v>
      </c>
      <c r="FX39" s="544"/>
      <c r="FY39" s="545">
        <f t="shared" si="58"/>
        <v>0</v>
      </c>
      <c r="FZ39" s="546">
        <f t="shared" si="169"/>
        <v>0</v>
      </c>
      <c r="GA39" s="544"/>
      <c r="GB39" s="545">
        <f t="shared" si="59"/>
        <v>0</v>
      </c>
      <c r="GC39" s="546">
        <f t="shared" si="170"/>
        <v>0</v>
      </c>
      <c r="GD39" s="544"/>
      <c r="GE39" s="545">
        <f t="shared" si="60"/>
        <v>0</v>
      </c>
      <c r="GF39" s="546">
        <f t="shared" si="171"/>
        <v>0</v>
      </c>
      <c r="GG39" s="544">
        <v>10</v>
      </c>
      <c r="GH39" s="545">
        <f t="shared" si="61"/>
        <v>0.13550869965851806</v>
      </c>
      <c r="GI39" s="546">
        <f t="shared" si="172"/>
        <v>0</v>
      </c>
      <c r="GJ39" s="544">
        <v>10</v>
      </c>
      <c r="GK39" s="545">
        <f t="shared" si="211"/>
        <v>0.13550869965851806</v>
      </c>
      <c r="GL39" s="546">
        <f t="shared" si="212"/>
        <v>0</v>
      </c>
      <c r="GM39" s="544"/>
      <c r="GN39" s="545">
        <f t="shared" si="202"/>
        <v>0</v>
      </c>
      <c r="GO39" s="546">
        <f t="shared" si="203"/>
        <v>0</v>
      </c>
      <c r="GP39" s="544">
        <v>70</v>
      </c>
      <c r="GQ39" s="545">
        <f t="shared" si="204"/>
        <v>0.94856089760962647</v>
      </c>
      <c r="GR39" s="546">
        <f t="shared" si="205"/>
        <v>0</v>
      </c>
      <c r="GS39" s="544">
        <v>550</v>
      </c>
      <c r="GT39" s="545">
        <f t="shared" si="206"/>
        <v>7.4529784812184934</v>
      </c>
      <c r="GU39" s="546">
        <f t="shared" si="207"/>
        <v>0</v>
      </c>
      <c r="GV39" s="544"/>
      <c r="GW39" s="545">
        <f t="shared" si="208"/>
        <v>0</v>
      </c>
      <c r="GX39" s="546">
        <f t="shared" si="209"/>
        <v>0</v>
      </c>
      <c r="GY39" s="544"/>
      <c r="GZ39" s="545">
        <f t="shared" si="67"/>
        <v>0</v>
      </c>
      <c r="HA39" s="546">
        <f t="shared" si="178"/>
        <v>0</v>
      </c>
      <c r="HB39" s="544"/>
      <c r="HC39" s="545">
        <f t="shared" si="68"/>
        <v>0</v>
      </c>
      <c r="HD39" s="546">
        <f t="shared" si="179"/>
        <v>0</v>
      </c>
      <c r="HE39" s="544"/>
      <c r="HF39" s="545">
        <f t="shared" si="69"/>
        <v>0</v>
      </c>
      <c r="HG39" s="546">
        <f t="shared" si="180"/>
        <v>0</v>
      </c>
      <c r="HH39" s="544"/>
      <c r="HI39" s="545">
        <f t="shared" si="70"/>
        <v>0</v>
      </c>
      <c r="HJ39" s="546">
        <f t="shared" si="181"/>
        <v>0</v>
      </c>
      <c r="HK39" s="544"/>
      <c r="HL39" s="545">
        <f t="shared" si="71"/>
        <v>0</v>
      </c>
      <c r="HM39" s="546">
        <f t="shared" si="182"/>
        <v>0</v>
      </c>
      <c r="HN39" s="544">
        <v>1555</v>
      </c>
      <c r="HO39" s="545">
        <f t="shared" si="72"/>
        <v>21.071602796899558</v>
      </c>
      <c r="HP39" s="546">
        <f t="shared" si="183"/>
        <v>0</v>
      </c>
      <c r="HQ39" s="544"/>
      <c r="HR39" s="545">
        <f t="shared" si="73"/>
        <v>0</v>
      </c>
      <c r="HS39" s="546">
        <f t="shared" si="184"/>
        <v>0</v>
      </c>
      <c r="HT39" s="544"/>
      <c r="HU39" s="545">
        <f t="shared" si="74"/>
        <v>0</v>
      </c>
      <c r="HV39" s="546">
        <f t="shared" si="185"/>
        <v>0</v>
      </c>
      <c r="HW39" s="544"/>
      <c r="HX39" s="545">
        <f t="shared" si="75"/>
        <v>0</v>
      </c>
      <c r="HY39" s="546">
        <f t="shared" si="186"/>
        <v>0</v>
      </c>
      <c r="HZ39" s="544"/>
      <c r="IA39" s="545">
        <f t="shared" si="76"/>
        <v>0</v>
      </c>
      <c r="IB39" s="546">
        <f t="shared" si="187"/>
        <v>0</v>
      </c>
      <c r="IC39" s="544"/>
      <c r="ID39" s="545">
        <f t="shared" si="77"/>
        <v>0</v>
      </c>
      <c r="IE39" s="546">
        <f t="shared" si="188"/>
        <v>0</v>
      </c>
      <c r="IF39" s="544"/>
      <c r="IG39" s="545">
        <f t="shared" si="78"/>
        <v>0</v>
      </c>
      <c r="IH39" s="546">
        <f t="shared" si="189"/>
        <v>0</v>
      </c>
      <c r="II39" s="544"/>
      <c r="IJ39" s="545">
        <f t="shared" si="79"/>
        <v>0</v>
      </c>
      <c r="IK39" s="546">
        <f t="shared" si="190"/>
        <v>0</v>
      </c>
      <c r="IL39" s="544"/>
      <c r="IM39" s="545">
        <f t="shared" si="80"/>
        <v>0</v>
      </c>
      <c r="IN39" s="546">
        <f t="shared" si="191"/>
        <v>0</v>
      </c>
      <c r="IO39" s="544">
        <v>100</v>
      </c>
      <c r="IP39" s="545">
        <f t="shared" si="81"/>
        <v>1.3550869965851806</v>
      </c>
      <c r="IQ39" s="546">
        <f t="shared" si="192"/>
        <v>0</v>
      </c>
      <c r="IR39" s="544"/>
      <c r="IS39" s="545">
        <f t="shared" si="82"/>
        <v>0</v>
      </c>
      <c r="IT39" s="546">
        <f t="shared" si="193"/>
        <v>0</v>
      </c>
      <c r="IU39" s="544"/>
      <c r="IV39" s="545">
        <f t="shared" si="83"/>
        <v>0</v>
      </c>
      <c r="IW39" s="546">
        <f t="shared" si="194"/>
        <v>0</v>
      </c>
      <c r="IX39" s="544"/>
      <c r="IY39" s="545">
        <f t="shared" si="84"/>
        <v>0</v>
      </c>
      <c r="IZ39" s="546">
        <f t="shared" si="195"/>
        <v>0</v>
      </c>
      <c r="JA39" s="544"/>
      <c r="JB39" s="545">
        <f t="shared" si="85"/>
        <v>0</v>
      </c>
      <c r="JC39" s="546">
        <f t="shared" si="196"/>
        <v>0</v>
      </c>
      <c r="JD39" s="544"/>
      <c r="JE39" s="545">
        <f t="shared" si="86"/>
        <v>0</v>
      </c>
      <c r="JF39" s="546">
        <f t="shared" si="197"/>
        <v>0</v>
      </c>
      <c r="JG39" s="544">
        <v>35</v>
      </c>
      <c r="JH39" s="546" t="str">
        <f t="shared" si="87"/>
        <v>0</v>
      </c>
      <c r="JI39" s="546" t="str">
        <f t="shared" si="88"/>
        <v>0</v>
      </c>
      <c r="JJ39" s="544">
        <v>40</v>
      </c>
      <c r="JK39" s="546" t="str">
        <f t="shared" si="89"/>
        <v>0</v>
      </c>
      <c r="JL39" s="546" t="str">
        <f t="shared" si="90"/>
        <v>0</v>
      </c>
      <c r="JM39" s="544"/>
      <c r="JN39" s="546" t="str">
        <f t="shared" si="91"/>
        <v>0</v>
      </c>
      <c r="JO39" s="546" t="str">
        <f t="shared" si="92"/>
        <v>0</v>
      </c>
      <c r="JP39" s="544"/>
      <c r="JQ39" s="546" t="str">
        <f t="shared" si="93"/>
        <v>0</v>
      </c>
      <c r="JR39" s="546" t="str">
        <f t="shared" si="94"/>
        <v>0</v>
      </c>
      <c r="JS39" s="544"/>
      <c r="JT39" s="546" t="str">
        <f t="shared" si="95"/>
        <v>0</v>
      </c>
      <c r="JU39" s="546" t="str">
        <f t="shared" si="96"/>
        <v>0</v>
      </c>
      <c r="JV39" s="544"/>
      <c r="JW39" s="546" t="str">
        <f t="shared" si="97"/>
        <v>0</v>
      </c>
      <c r="JX39" s="546" t="str">
        <f t="shared" si="98"/>
        <v>0</v>
      </c>
      <c r="JY39" s="544"/>
      <c r="JZ39" s="546" t="str">
        <f t="shared" si="99"/>
        <v>0</v>
      </c>
      <c r="KA39" s="546" t="str">
        <f t="shared" si="100"/>
        <v>0</v>
      </c>
      <c r="KB39" s="544"/>
      <c r="KC39" s="546" t="str">
        <f t="shared" si="101"/>
        <v>0</v>
      </c>
      <c r="KD39" s="546" t="str">
        <f t="shared" si="102"/>
        <v>0</v>
      </c>
      <c r="KE39" s="544"/>
      <c r="KF39" s="546" t="str">
        <f t="shared" si="103"/>
        <v>0</v>
      </c>
      <c r="KG39" s="546" t="str">
        <f t="shared" si="104"/>
        <v>0</v>
      </c>
      <c r="KH39" s="544"/>
      <c r="KI39" s="546" t="str">
        <f t="shared" si="105"/>
        <v>0</v>
      </c>
      <c r="KJ39" s="546" t="str">
        <f t="shared" si="106"/>
        <v>0</v>
      </c>
      <c r="KK39" s="544"/>
      <c r="KL39" s="546" t="str">
        <f t="shared" si="107"/>
        <v>0</v>
      </c>
      <c r="KM39" s="546" t="str">
        <f t="shared" si="108"/>
        <v>0</v>
      </c>
      <c r="KN39" s="544"/>
      <c r="KO39" s="546" t="str">
        <f t="shared" si="109"/>
        <v>0</v>
      </c>
      <c r="KP39" s="546" t="str">
        <f t="shared" si="110"/>
        <v>0</v>
      </c>
      <c r="KQ39" s="546">
        <f t="shared" si="111"/>
        <v>0</v>
      </c>
      <c r="KR39" s="546">
        <f t="shared" si="198"/>
        <v>0</v>
      </c>
      <c r="KS39" s="265">
        <f t="shared" si="199"/>
        <v>3962.7263764705885</v>
      </c>
    </row>
    <row r="40" spans="1:16381" ht="15" customHeight="1" thickBot="1">
      <c r="A40" s="272"/>
      <c r="B40" s="273"/>
      <c r="C40" s="274"/>
      <c r="D40" s="274"/>
      <c r="E40" s="270"/>
      <c r="F40" s="544"/>
      <c r="G40" s="545"/>
      <c r="H40" s="546"/>
      <c r="I40" s="544"/>
      <c r="J40" s="545"/>
      <c r="K40" s="546"/>
      <c r="L40" s="544"/>
      <c r="M40" s="545"/>
      <c r="N40" s="546"/>
      <c r="O40" s="544"/>
      <c r="P40" s="545"/>
      <c r="Q40" s="546"/>
      <c r="R40" s="544"/>
      <c r="S40" s="545"/>
      <c r="T40" s="546"/>
      <c r="U40" s="544"/>
      <c r="V40" s="545"/>
      <c r="W40" s="546"/>
      <c r="X40" s="544"/>
      <c r="Y40" s="545"/>
      <c r="Z40" s="546"/>
      <c r="AA40" s="544"/>
      <c r="AB40" s="545"/>
      <c r="AC40" s="546"/>
      <c r="AD40" s="544"/>
      <c r="AE40" s="545"/>
      <c r="AF40" s="546"/>
      <c r="AG40" s="544"/>
      <c r="AH40" s="545"/>
      <c r="AI40" s="546"/>
      <c r="AJ40" s="544"/>
      <c r="AK40" s="545"/>
      <c r="AL40" s="546"/>
      <c r="AM40" s="544"/>
      <c r="AN40" s="545"/>
      <c r="AO40" s="546"/>
      <c r="AP40" s="544"/>
      <c r="AQ40" s="545"/>
      <c r="AR40" s="546"/>
      <c r="AS40" s="544"/>
      <c r="AT40" s="545"/>
      <c r="AU40" s="546"/>
      <c r="AV40" s="544"/>
      <c r="AW40" s="545"/>
      <c r="AX40" s="546"/>
      <c r="AY40" s="544"/>
      <c r="AZ40" s="545"/>
      <c r="BA40" s="546"/>
      <c r="BB40" s="544"/>
      <c r="BC40" s="545"/>
      <c r="BD40" s="546"/>
      <c r="BE40" s="544"/>
      <c r="BF40" s="545"/>
      <c r="BG40" s="546"/>
      <c r="BH40" s="544"/>
      <c r="BI40" s="545"/>
      <c r="BJ40" s="546"/>
      <c r="BK40" s="544"/>
      <c r="BL40" s="545"/>
      <c r="BM40" s="546"/>
      <c r="BN40" s="544"/>
      <c r="BO40" s="545"/>
      <c r="BP40" s="546"/>
      <c r="BQ40" s="544"/>
      <c r="BR40" s="545"/>
      <c r="BS40" s="546"/>
      <c r="BT40" s="544"/>
      <c r="BU40" s="545"/>
      <c r="BV40" s="546"/>
      <c r="BW40" s="544"/>
      <c r="BX40" s="545"/>
      <c r="BY40" s="546"/>
      <c r="BZ40" s="544"/>
      <c r="CA40" s="545"/>
      <c r="CB40" s="546"/>
      <c r="CC40" s="544"/>
      <c r="CD40" s="545"/>
      <c r="CE40" s="546"/>
      <c r="CF40" s="544"/>
      <c r="CG40" s="545"/>
      <c r="CH40" s="546"/>
      <c r="CI40" s="544"/>
      <c r="CJ40" s="545"/>
      <c r="CK40" s="546"/>
      <c r="CL40" s="544"/>
      <c r="CM40" s="545"/>
      <c r="CN40" s="546"/>
      <c r="CO40" s="544"/>
      <c r="CP40" s="545"/>
      <c r="CQ40" s="546"/>
      <c r="CR40" s="544"/>
      <c r="CS40" s="545"/>
      <c r="CT40" s="546"/>
      <c r="CU40" s="544"/>
      <c r="CV40" s="545"/>
      <c r="CW40" s="546"/>
      <c r="CX40" s="544"/>
      <c r="CY40" s="545"/>
      <c r="CZ40" s="546"/>
      <c r="DA40" s="544"/>
      <c r="DB40" s="545"/>
      <c r="DC40" s="546"/>
      <c r="DD40" s="544"/>
      <c r="DE40" s="545"/>
      <c r="DF40" s="546"/>
      <c r="DG40" s="544"/>
      <c r="DH40" s="545"/>
      <c r="DI40" s="546"/>
      <c r="DJ40" s="544"/>
      <c r="DK40" s="545"/>
      <c r="DL40" s="546"/>
      <c r="DM40" s="544"/>
      <c r="DN40" s="545"/>
      <c r="DO40" s="546"/>
      <c r="DP40" s="544"/>
      <c r="DQ40" s="545"/>
      <c r="DR40" s="546"/>
      <c r="DS40" s="544"/>
      <c r="DT40" s="545"/>
      <c r="DU40" s="546"/>
      <c r="DV40" s="544"/>
      <c r="DW40" s="545"/>
      <c r="DX40" s="546"/>
      <c r="DY40" s="544"/>
      <c r="DZ40" s="545"/>
      <c r="EA40" s="546"/>
      <c r="EB40" s="544"/>
      <c r="EC40" s="545"/>
      <c r="ED40" s="546"/>
      <c r="EE40" s="544"/>
      <c r="EF40" s="545"/>
      <c r="EG40" s="546"/>
      <c r="EH40" s="544"/>
      <c r="EI40" s="545"/>
      <c r="EJ40" s="546"/>
      <c r="EK40" s="544"/>
      <c r="EL40" s="545"/>
      <c r="EM40" s="546"/>
      <c r="EN40" s="544"/>
      <c r="EO40" s="545"/>
      <c r="EP40" s="546"/>
      <c r="EQ40" s="544"/>
      <c r="ER40" s="545"/>
      <c r="ES40" s="546"/>
      <c r="ET40" s="544"/>
      <c r="EU40" s="545"/>
      <c r="EV40" s="546"/>
      <c r="EW40" s="544"/>
      <c r="EX40" s="545"/>
      <c r="EY40" s="546"/>
      <c r="EZ40" s="544"/>
      <c r="FA40" s="545"/>
      <c r="FB40" s="546"/>
      <c r="FC40" s="544"/>
      <c r="FD40" s="545"/>
      <c r="FE40" s="546"/>
      <c r="FF40" s="544"/>
      <c r="FG40" s="545"/>
      <c r="FH40" s="546"/>
      <c r="FI40" s="544"/>
      <c r="FJ40" s="545"/>
      <c r="FK40" s="546"/>
      <c r="FL40" s="544"/>
      <c r="FM40" s="545"/>
      <c r="FN40" s="546"/>
      <c r="FO40" s="544"/>
      <c r="FP40" s="545"/>
      <c r="FQ40" s="546"/>
      <c r="FR40" s="544"/>
      <c r="FS40" s="545"/>
      <c r="FT40" s="546"/>
      <c r="FU40" s="544"/>
      <c r="FV40" s="545"/>
      <c r="FW40" s="546"/>
      <c r="FX40" s="544"/>
      <c r="FY40" s="545"/>
      <c r="FZ40" s="546"/>
      <c r="GA40" s="544"/>
      <c r="GB40" s="545"/>
      <c r="GC40" s="546"/>
      <c r="GD40" s="544"/>
      <c r="GE40" s="545"/>
      <c r="GF40" s="546"/>
      <c r="GG40" s="544"/>
      <c r="GH40" s="545"/>
      <c r="GI40" s="546"/>
      <c r="GJ40" s="544"/>
      <c r="GK40" s="545"/>
      <c r="GL40" s="546"/>
      <c r="GM40" s="544"/>
      <c r="GN40" s="545"/>
      <c r="GO40" s="546"/>
      <c r="GP40" s="544"/>
      <c r="GQ40" s="545"/>
      <c r="GR40" s="546"/>
      <c r="GS40" s="544"/>
      <c r="GT40" s="545"/>
      <c r="GU40" s="546"/>
      <c r="GV40" s="544"/>
      <c r="GW40" s="545"/>
      <c r="GX40" s="546"/>
      <c r="GY40" s="544"/>
      <c r="GZ40" s="545"/>
      <c r="HA40" s="546"/>
      <c r="HB40" s="544"/>
      <c r="HC40" s="545"/>
      <c r="HD40" s="546"/>
      <c r="HE40" s="544"/>
      <c r="HF40" s="545"/>
      <c r="HG40" s="546"/>
      <c r="HH40" s="544"/>
      <c r="HI40" s="545"/>
      <c r="HJ40" s="546"/>
      <c r="HK40" s="544"/>
      <c r="HL40" s="545"/>
      <c r="HM40" s="546"/>
      <c r="HN40" s="544"/>
      <c r="HO40" s="545"/>
      <c r="HP40" s="546"/>
      <c r="HQ40" s="544"/>
      <c r="HR40" s="545"/>
      <c r="HS40" s="546"/>
      <c r="HT40" s="544"/>
      <c r="HU40" s="545"/>
      <c r="HV40" s="546"/>
      <c r="HW40" s="544"/>
      <c r="HX40" s="545"/>
      <c r="HY40" s="546"/>
      <c r="HZ40" s="544"/>
      <c r="IA40" s="545"/>
      <c r="IB40" s="546"/>
      <c r="IC40" s="544"/>
      <c r="ID40" s="545"/>
      <c r="IE40" s="546"/>
      <c r="IF40" s="544"/>
      <c r="IG40" s="545"/>
      <c r="IH40" s="546"/>
      <c r="II40" s="544"/>
      <c r="IJ40" s="545"/>
      <c r="IK40" s="546"/>
      <c r="IL40" s="544"/>
      <c r="IM40" s="545"/>
      <c r="IN40" s="546"/>
      <c r="IO40" s="544"/>
      <c r="IP40" s="545"/>
      <c r="IQ40" s="546"/>
      <c r="IR40" s="544"/>
      <c r="IS40" s="545"/>
      <c r="IT40" s="546"/>
      <c r="IU40" s="544"/>
      <c r="IV40" s="545"/>
      <c r="IW40" s="546"/>
      <c r="IX40" s="544"/>
      <c r="IY40" s="545"/>
      <c r="IZ40" s="546"/>
      <c r="JA40" s="544"/>
      <c r="JB40" s="545"/>
      <c r="JC40" s="546"/>
      <c r="JD40" s="544"/>
      <c r="JE40" s="545"/>
      <c r="JF40" s="546"/>
      <c r="JG40" s="544"/>
      <c r="JH40" s="546"/>
      <c r="JI40" s="546"/>
      <c r="JJ40" s="544"/>
      <c r="JK40" s="546"/>
      <c r="JL40" s="546"/>
      <c r="JM40" s="544"/>
      <c r="JN40" s="546"/>
      <c r="JO40" s="546"/>
      <c r="JP40" s="544"/>
      <c r="JQ40" s="546"/>
      <c r="JR40" s="546"/>
      <c r="JS40" s="544"/>
      <c r="JT40" s="546"/>
      <c r="JU40" s="546"/>
      <c r="JV40" s="544"/>
      <c r="JW40" s="546"/>
      <c r="JX40" s="546"/>
      <c r="JY40" s="544"/>
      <c r="JZ40" s="546"/>
      <c r="KA40" s="546"/>
      <c r="KB40" s="544"/>
      <c r="KC40" s="546"/>
      <c r="KD40" s="546"/>
      <c r="KE40" s="544"/>
      <c r="KF40" s="546"/>
      <c r="KG40" s="546"/>
      <c r="KH40" s="544"/>
      <c r="KI40" s="546"/>
      <c r="KJ40" s="546"/>
      <c r="KK40" s="544"/>
      <c r="KL40" s="546"/>
      <c r="KM40" s="546"/>
      <c r="KN40" s="544"/>
      <c r="KO40" s="546"/>
      <c r="KP40" s="546"/>
      <c r="KQ40" s="546"/>
      <c r="KR40" s="546"/>
      <c r="KS40" s="265"/>
    </row>
    <row r="41" spans="1:16381" s="271" customFormat="1" ht="15" customHeight="1" thickTop="1" thickBot="1">
      <c r="A41" s="727" t="s">
        <v>29</v>
      </c>
      <c r="B41" s="728"/>
      <c r="C41" s="729"/>
      <c r="D41" s="275">
        <f>SUM(D9:D40)</f>
        <v>1732.6890000000001</v>
      </c>
      <c r="E41" s="270">
        <v>0</v>
      </c>
      <c r="F41" s="547">
        <f>SUM(F9:F39)</f>
        <v>69.767441860465169</v>
      </c>
      <c r="G41" s="547">
        <f>IFERROR((F41/$L$41),0)</f>
        <v>0</v>
      </c>
      <c r="H41" s="547">
        <f>IFERROR(((F41*H$8)/$L$41),0)</f>
        <v>0</v>
      </c>
      <c r="I41" s="547">
        <f>SUM(I9:I39)</f>
        <v>0</v>
      </c>
      <c r="J41" s="547">
        <f>IFERROR((I41/$L$41),0)</f>
        <v>0</v>
      </c>
      <c r="K41" s="547">
        <f>IFERROR(((I41*K$8)/$L$41),0)</f>
        <v>0</v>
      </c>
      <c r="L41" s="547">
        <f>SUM(L9:L39)</f>
        <v>0</v>
      </c>
      <c r="M41" s="547">
        <f>IFERROR((L41/$L$41),0)</f>
        <v>0</v>
      </c>
      <c r="N41" s="547">
        <f>IFERROR(((L41*N$8)/$L$41),0)</f>
        <v>0</v>
      </c>
      <c r="O41" s="547">
        <f>SUM(O9:O39)</f>
        <v>267</v>
      </c>
      <c r="P41" s="547">
        <f>IFERROR((O41/$L$41),0)</f>
        <v>0</v>
      </c>
      <c r="Q41" s="547">
        <f>IFERROR(((O41*Q$8)/$L$41),0)</f>
        <v>0</v>
      </c>
      <c r="R41" s="547">
        <f>SUM(R9:R39)</f>
        <v>0</v>
      </c>
      <c r="S41" s="547">
        <f>IFERROR((R41/$L$41),0)</f>
        <v>0</v>
      </c>
      <c r="T41" s="547">
        <f>IFERROR(((R41*T$8)/$L$41),0)</f>
        <v>0</v>
      </c>
      <c r="U41" s="547">
        <f>SUM(U9:U39)</f>
        <v>310.0625</v>
      </c>
      <c r="V41" s="547">
        <f>IFERROR((U41/$L$41),0)</f>
        <v>0</v>
      </c>
      <c r="W41" s="547">
        <f>IFERROR(((U41*W$8)/$L$41),0)</f>
        <v>0</v>
      </c>
      <c r="X41" s="547">
        <f>SUM(X9:X39)</f>
        <v>0</v>
      </c>
      <c r="Y41" s="547">
        <f>IFERROR((X41/$L$41),0)</f>
        <v>0</v>
      </c>
      <c r="Z41" s="547">
        <f>IFERROR(((X41*Z$8)/$L$41),0)</f>
        <v>0</v>
      </c>
      <c r="AA41" s="547">
        <f>SUM(AA9:AA39)</f>
        <v>0</v>
      </c>
      <c r="AB41" s="547">
        <f>IFERROR((AA41/$L$41),0)</f>
        <v>0</v>
      </c>
      <c r="AC41" s="547">
        <f>IFERROR(((AA41*AC$8)/$L$41),0)</f>
        <v>0</v>
      </c>
      <c r="AD41" s="547">
        <f>SUM(AD9:AD39)</f>
        <v>0</v>
      </c>
      <c r="AE41" s="547">
        <f>IFERROR((AD41/$L$41),0)</f>
        <v>0</v>
      </c>
      <c r="AF41" s="547">
        <f>IFERROR(((AD41*AF$8)/$L$41),0)</f>
        <v>0</v>
      </c>
      <c r="AG41" s="547">
        <f>SUM(AG9:AG39)</f>
        <v>0</v>
      </c>
      <c r="AH41" s="547">
        <f>IFERROR((AG41/$L$41),0)</f>
        <v>0</v>
      </c>
      <c r="AI41" s="547">
        <f>IFERROR(((AG41*AI$8)/$L$41),0)</f>
        <v>0</v>
      </c>
      <c r="AJ41" s="547">
        <f>SUM(AJ9:AJ39)</f>
        <v>0</v>
      </c>
      <c r="AK41" s="547">
        <f>IFERROR((AJ41/$L$41),0)</f>
        <v>0</v>
      </c>
      <c r="AL41" s="547">
        <f>IFERROR(((AJ41*AL$8)/$L$41),0)</f>
        <v>0</v>
      </c>
      <c r="AM41" s="547">
        <f>SUM(AM9:AM39)</f>
        <v>1224.7455641025642</v>
      </c>
      <c r="AN41" s="547">
        <f>IFERROR((AM41/$L$41),0)</f>
        <v>0</v>
      </c>
      <c r="AO41" s="547">
        <f>IFERROR(((AM41*AO$8)/$L$41),0)</f>
        <v>0</v>
      </c>
      <c r="AP41" s="547">
        <f>SUM(AP9:AP39)</f>
        <v>0</v>
      </c>
      <c r="AQ41" s="547">
        <f>IFERROR((AP41/$L$41),0)</f>
        <v>0</v>
      </c>
      <c r="AR41" s="547">
        <f>IFERROR(((AP41*AR$8)/$L$41),0)</f>
        <v>0</v>
      </c>
      <c r="AS41" s="547">
        <f>SUM(AS9:AS39)</f>
        <v>0</v>
      </c>
      <c r="AT41" s="547">
        <f>IFERROR((AS41/$L$41),0)</f>
        <v>0</v>
      </c>
      <c r="AU41" s="547">
        <f>IFERROR(((AS41*AU$8)/$L$41),0)</f>
        <v>0</v>
      </c>
      <c r="AV41" s="547">
        <f>SUM(AV9:AV39)</f>
        <v>147.07499999999996</v>
      </c>
      <c r="AW41" s="547">
        <f>IFERROR((AV41/$L$41),0)</f>
        <v>0</v>
      </c>
      <c r="AX41" s="547">
        <f>IFERROR(((AV41*AX$8)/$L$41),0)</f>
        <v>0</v>
      </c>
      <c r="AY41" s="547">
        <f>SUM(AY9:AY39)</f>
        <v>1798.9960000000003</v>
      </c>
      <c r="AZ41" s="547">
        <f>IFERROR((AY41/$L$41),0)</f>
        <v>0</v>
      </c>
      <c r="BA41" s="547">
        <f>IFERROR(((AY41*BA$8)/$L$41),0)</f>
        <v>0</v>
      </c>
      <c r="BB41" s="547">
        <f>SUM(BB9:BB39)</f>
        <v>0</v>
      </c>
      <c r="BC41" s="547">
        <f>IFERROR((BB41/$L$41),0)</f>
        <v>0</v>
      </c>
      <c r="BD41" s="547">
        <f>IFERROR(((BB41*BD$8)/$L$41),0)</f>
        <v>0</v>
      </c>
      <c r="BE41" s="547">
        <f>SUM(BE9:BE39)</f>
        <v>0</v>
      </c>
      <c r="BF41" s="547">
        <f>IFERROR((BE41/$L$41),0)</f>
        <v>0</v>
      </c>
      <c r="BG41" s="547">
        <f>IFERROR(((BE41*BG$8)/$L$41),0)</f>
        <v>0</v>
      </c>
      <c r="BH41" s="547">
        <f>SUM(BH9:BH39)</f>
        <v>0</v>
      </c>
      <c r="BI41" s="547">
        <f>IFERROR((BH41/$L$41),0)</f>
        <v>0</v>
      </c>
      <c r="BJ41" s="547">
        <f>IFERROR(((BH41*BJ$8)/$L$41),0)</f>
        <v>0</v>
      </c>
      <c r="BK41" s="547">
        <f>SUM(BK9:BK39)</f>
        <v>0</v>
      </c>
      <c r="BL41" s="547">
        <f>IFERROR((BK41/$L$41),0)</f>
        <v>0</v>
      </c>
      <c r="BM41" s="547">
        <f>IFERROR(((BK41*BM$8)/$L$41),0)</f>
        <v>0</v>
      </c>
      <c r="BN41" s="547">
        <f>SUM(BN9:BN39)</f>
        <v>0</v>
      </c>
      <c r="BO41" s="547">
        <f>IFERROR((BN41/$L$41),0)</f>
        <v>0</v>
      </c>
      <c r="BP41" s="547">
        <f>IFERROR(((BN41*BP$8)/$L$41),0)</f>
        <v>0</v>
      </c>
      <c r="BQ41" s="547">
        <f>SUM(BQ9:BQ39)</f>
        <v>0</v>
      </c>
      <c r="BR41" s="547">
        <f>IFERROR((BQ41/$L$41),0)</f>
        <v>0</v>
      </c>
      <c r="BS41" s="547">
        <f>IFERROR(((BQ41*BS$8)/$L$41),0)</f>
        <v>0</v>
      </c>
      <c r="BT41" s="547">
        <f>SUM(BT9:BT39)</f>
        <v>0</v>
      </c>
      <c r="BU41" s="547">
        <f>IFERROR((BT41/$L$41),0)</f>
        <v>0</v>
      </c>
      <c r="BV41" s="547">
        <f>IFERROR(((BT41*BV$8)/$L$41),0)</f>
        <v>0</v>
      </c>
      <c r="BW41" s="547">
        <f>SUM(BW9:BW39)</f>
        <v>0</v>
      </c>
      <c r="BX41" s="547">
        <f>IFERROR((BW41/$L$41),0)</f>
        <v>0</v>
      </c>
      <c r="BY41" s="547">
        <f>IFERROR(((BW41*BY$8)/$L$41),0)</f>
        <v>0</v>
      </c>
      <c r="BZ41" s="547">
        <f>SUM(BZ9:BZ39)</f>
        <v>2323.4418604651164</v>
      </c>
      <c r="CA41" s="547">
        <f>IFERROR((BZ41/$L$41),0)</f>
        <v>0</v>
      </c>
      <c r="CB41" s="547">
        <f>IFERROR(((BZ41*CB$8)/$L$41),0)</f>
        <v>0</v>
      </c>
      <c r="CC41" s="547">
        <f>SUM(CC9:CC39)</f>
        <v>943.75</v>
      </c>
      <c r="CD41" s="547">
        <f>IFERROR((CC41/$L$41),0)</f>
        <v>0</v>
      </c>
      <c r="CE41" s="547">
        <f>IFERROR(((CC41*CE$8)/$L$41),0)</f>
        <v>0</v>
      </c>
      <c r="CF41" s="547">
        <f>SUM(CF9:CF39)</f>
        <v>32.500000000000007</v>
      </c>
      <c r="CG41" s="547">
        <f>IFERROR((CF41/$L$41),0)</f>
        <v>0</v>
      </c>
      <c r="CH41" s="547">
        <f>IFERROR(((CF41*CH$8)/$L$41),0)</f>
        <v>0</v>
      </c>
      <c r="CI41" s="547">
        <f>SUM(CI9:CI39)</f>
        <v>0</v>
      </c>
      <c r="CJ41" s="547">
        <f>IFERROR((CI41/$L$41),0)</f>
        <v>0</v>
      </c>
      <c r="CK41" s="547">
        <f>IFERROR(((CI41*CK$8)/$L$41),0)</f>
        <v>0</v>
      </c>
      <c r="CL41" s="547">
        <f>SUM(CL9:CL39)</f>
        <v>0</v>
      </c>
      <c r="CM41" s="547">
        <f>IFERROR((CL41/$L$41),0)</f>
        <v>0</v>
      </c>
      <c r="CN41" s="547">
        <f>IFERROR(((CL41*CN$8)/$L$41),0)</f>
        <v>0</v>
      </c>
      <c r="CO41" s="547">
        <f>SUM(CO9:CO39)</f>
        <v>0</v>
      </c>
      <c r="CP41" s="547">
        <f>IFERROR((CO41/$L$41),0)</f>
        <v>0</v>
      </c>
      <c r="CQ41" s="547">
        <f>IFERROR(((CO41*CQ$8)/$L$41),0)</f>
        <v>0</v>
      </c>
      <c r="CR41" s="547">
        <f>SUM(CR9:CR39)</f>
        <v>0</v>
      </c>
      <c r="CS41" s="547">
        <f>IFERROR((CR41/$L$41),0)</f>
        <v>0</v>
      </c>
      <c r="CT41" s="547">
        <f>IFERROR(((CR41*CT$8)/$L$41),0)</f>
        <v>0</v>
      </c>
      <c r="CU41" s="547">
        <f>SUM(CU9:CU39)</f>
        <v>0</v>
      </c>
      <c r="CV41" s="547">
        <f>IFERROR((CU41/$L$41),0)</f>
        <v>0</v>
      </c>
      <c r="CW41" s="547">
        <f>IFERROR(((CU41*CW$8)/$L$41),0)</f>
        <v>0</v>
      </c>
      <c r="CX41" s="547">
        <f>SUM(CX9:CX39)</f>
        <v>0</v>
      </c>
      <c r="CY41" s="547">
        <f>IFERROR((CX41/$L$41),0)</f>
        <v>0</v>
      </c>
      <c r="CZ41" s="547">
        <f>IFERROR(((CX41*CZ$8)/$L$41),0)</f>
        <v>0</v>
      </c>
      <c r="DA41" s="547">
        <f>SUM(DA9:DA39)</f>
        <v>970.58823529411757</v>
      </c>
      <c r="DB41" s="547">
        <f>IFERROR((DA41/$L$41),0)</f>
        <v>0</v>
      </c>
      <c r="DC41" s="547">
        <f>IFERROR(((DA41*DC$8)/$L$41),0)</f>
        <v>0</v>
      </c>
      <c r="DD41" s="547">
        <f>SUM(DD9:DD39)</f>
        <v>0</v>
      </c>
      <c r="DE41" s="547">
        <f>IFERROR((DD41/$L$41),0)</f>
        <v>0</v>
      </c>
      <c r="DF41" s="547">
        <f>IFERROR(((DD41*DF$8)/$L$41),0)</f>
        <v>0</v>
      </c>
      <c r="DG41" s="547">
        <f>SUM(DG14:DG39)</f>
        <v>0</v>
      </c>
      <c r="DH41" s="547">
        <f>IFERROR((DG41/$L$41),0)</f>
        <v>0</v>
      </c>
      <c r="DI41" s="547">
        <f>IFERROR(((DG41*DI$8)/$L$41),0)</f>
        <v>0</v>
      </c>
      <c r="DJ41" s="547">
        <f>SUM(DJ9:DJ39)</f>
        <v>0</v>
      </c>
      <c r="DK41" s="547">
        <f>IFERROR((DJ41/$L$41),0)</f>
        <v>0</v>
      </c>
      <c r="DL41" s="547">
        <f>IFERROR(((DJ41*DL$8)/$L$41),0)</f>
        <v>0</v>
      </c>
      <c r="DM41" s="547">
        <f>SUM(DM9:DM39)</f>
        <v>0</v>
      </c>
      <c r="DN41" s="547">
        <f>IFERROR((DM41/$L$41),0)</f>
        <v>0</v>
      </c>
      <c r="DO41" s="547">
        <f>IFERROR(((DM41*DO$8)/$L$41),0)</f>
        <v>0</v>
      </c>
      <c r="DP41" s="547">
        <f>SUM(DP9:DP39)</f>
        <v>0</v>
      </c>
      <c r="DQ41" s="547">
        <f>IFERROR((DP41/$L$41),0)</f>
        <v>0</v>
      </c>
      <c r="DR41" s="547">
        <f>IFERROR(((DP41*DR$8)/$L$41),0)</f>
        <v>0</v>
      </c>
      <c r="DS41" s="547">
        <f>SUM(DS9:DS39)</f>
        <v>0</v>
      </c>
      <c r="DT41" s="547">
        <f>IFERROR((DS41/$L$41),0)</f>
        <v>0</v>
      </c>
      <c r="DU41" s="547">
        <f>IFERROR(((DS41*DU$8)/$L$41),0)</f>
        <v>0</v>
      </c>
      <c r="DV41" s="547">
        <f>SUM(DV9:DV39)</f>
        <v>0</v>
      </c>
      <c r="DW41" s="547">
        <f>IFERROR((DV41/$L$41),0)</f>
        <v>0</v>
      </c>
      <c r="DX41" s="547">
        <f>IFERROR(((DV41*DX$8)/$L$41),0)</f>
        <v>0</v>
      </c>
      <c r="DY41" s="547">
        <f>SUM(DY9:DY39)</f>
        <v>0</v>
      </c>
      <c r="DZ41" s="547">
        <f>IFERROR((DY41/$L$41),0)</f>
        <v>0</v>
      </c>
      <c r="EA41" s="547">
        <f>IFERROR(((DY41*EA$8)/$L$41),0)</f>
        <v>0</v>
      </c>
      <c r="EB41" s="547">
        <f>SUM(EB9:EB39)</f>
        <v>21705.882352941175</v>
      </c>
      <c r="EC41" s="547">
        <f>IFERROR((EB41/$L$41),0)</f>
        <v>0</v>
      </c>
      <c r="ED41" s="547">
        <f>IFERROR(((EB41*ED$8)/$L$41),0)</f>
        <v>0</v>
      </c>
      <c r="EE41" s="547">
        <f>SUM(EE9:EE39)</f>
        <v>94.883720930232585</v>
      </c>
      <c r="EF41" s="547">
        <f>IFERROR((EE41/$L$41),0)</f>
        <v>0</v>
      </c>
      <c r="EG41" s="547">
        <f>IFERROR(((EE41*EG$8)/$L$41),0)</f>
        <v>0</v>
      </c>
      <c r="EH41" s="547">
        <f>SUM(EH9:EH39)</f>
        <v>57</v>
      </c>
      <c r="EI41" s="547">
        <f>IFERROR((EH41/$L$41),0)</f>
        <v>0</v>
      </c>
      <c r="EJ41" s="547">
        <f>IFERROR(((EH41*EJ$8)/$L$41),0)</f>
        <v>0</v>
      </c>
      <c r="EK41" s="547">
        <f>SUM(EK9:EK39)</f>
        <v>0</v>
      </c>
      <c r="EL41" s="547">
        <f>IFERROR((EK41/$L$41),0)</f>
        <v>0</v>
      </c>
      <c r="EM41" s="547">
        <f>IFERROR(((EK41*EM$8)/$L$41),0)</f>
        <v>0</v>
      </c>
      <c r="EN41" s="547">
        <f>SUM(EN9:EN39)</f>
        <v>0</v>
      </c>
      <c r="EO41" s="547">
        <f>IFERROR((EN41/$L$41),0)</f>
        <v>0</v>
      </c>
      <c r="EP41" s="547">
        <f>IFERROR(((EN41*EP$8)/$L$41),0)</f>
        <v>0</v>
      </c>
      <c r="EQ41" s="547">
        <f>SUM(EQ9:EQ39)</f>
        <v>0</v>
      </c>
      <c r="ER41" s="547">
        <f>IFERROR((EQ41/$L$41),0)</f>
        <v>0</v>
      </c>
      <c r="ES41" s="547">
        <f>IFERROR(((EQ41*ES$8)/$L$41),0)</f>
        <v>0</v>
      </c>
      <c r="ET41" s="547">
        <f>SUM(ET9:ET39)</f>
        <v>0</v>
      </c>
      <c r="EU41" s="547">
        <f>IFERROR((ET41/$L$41),0)</f>
        <v>0</v>
      </c>
      <c r="EV41" s="547">
        <f>IFERROR(((ET41*EV$8)/$L$41),0)</f>
        <v>0</v>
      </c>
      <c r="EW41" s="547">
        <f>SUM(EW9:EW39)</f>
        <v>0</v>
      </c>
      <c r="EX41" s="547">
        <f>IFERROR((EW41/$L$41),0)</f>
        <v>0</v>
      </c>
      <c r="EY41" s="547">
        <f>IFERROR(((EW41*EY$8)/$L$41),0)</f>
        <v>0</v>
      </c>
      <c r="EZ41" s="547">
        <f>SUM(EZ9:EZ39)</f>
        <v>0</v>
      </c>
      <c r="FA41" s="547">
        <f>IFERROR((EZ41/$L$41),0)</f>
        <v>0</v>
      </c>
      <c r="FB41" s="547">
        <f>IFERROR(((EZ41*FB$8)/$L$41),0)</f>
        <v>0</v>
      </c>
      <c r="FC41" s="547">
        <f>SUM(FC9:FC39)</f>
        <v>0</v>
      </c>
      <c r="FD41" s="547">
        <f>IFERROR((FC41/$L$41),0)</f>
        <v>0</v>
      </c>
      <c r="FE41" s="547">
        <f>IFERROR(((FC41*FE$8)/$L$41),0)</f>
        <v>0</v>
      </c>
      <c r="FF41" s="547">
        <f>SUM(FF9:FF39)</f>
        <v>0</v>
      </c>
      <c r="FG41" s="547">
        <f>IFERROR((FF41/$L$41),0)</f>
        <v>0</v>
      </c>
      <c r="FH41" s="547">
        <f>IFERROR(((FF41*FH$8)/$L$41),0)</f>
        <v>0</v>
      </c>
      <c r="FI41" s="547">
        <f>SUM(FI9:FI39)</f>
        <v>0</v>
      </c>
      <c r="FJ41" s="547">
        <f>IFERROR((FI41/$L$41),0)</f>
        <v>0</v>
      </c>
      <c r="FK41" s="547">
        <f>IFERROR(((FI41*FK$8)/$L$41),0)</f>
        <v>0</v>
      </c>
      <c r="FL41" s="547">
        <f>SUM(FL9:FL39)</f>
        <v>0</v>
      </c>
      <c r="FM41" s="547">
        <f>IFERROR((FL41/$L$41),0)</f>
        <v>0</v>
      </c>
      <c r="FN41" s="547">
        <f>IFERROR(((FL41*FN$8)/$L$41),0)</f>
        <v>0</v>
      </c>
      <c r="FO41" s="547">
        <f>SUM(FO9:FO39)</f>
        <v>0</v>
      </c>
      <c r="FP41" s="547">
        <f>IFERROR((FO41/$L$41),0)</f>
        <v>0</v>
      </c>
      <c r="FQ41" s="547">
        <f>IFERROR(((FO41*FQ$8)/$L$41),0)</f>
        <v>0</v>
      </c>
      <c r="FR41" s="547">
        <f>SUM(FR9:FR39)</f>
        <v>0</v>
      </c>
      <c r="FS41" s="547">
        <f>IFERROR((FR41/$L$41),0)</f>
        <v>0</v>
      </c>
      <c r="FT41" s="547">
        <f>IFERROR(((FR41*FT$8)/$L$41),0)</f>
        <v>0</v>
      </c>
      <c r="FU41" s="547">
        <f>SUM(FU9:FU39)</f>
        <v>0</v>
      </c>
      <c r="FV41" s="547">
        <f>IFERROR((FU41/$L$41),0)</f>
        <v>0</v>
      </c>
      <c r="FW41" s="547">
        <f>IFERROR(((FU41*FW$8)/$L$41),0)</f>
        <v>0</v>
      </c>
      <c r="FX41" s="547">
        <f>SUM(FX9:FX39)</f>
        <v>0</v>
      </c>
      <c r="FY41" s="547">
        <f>IFERROR((FX41/$L$41),0)</f>
        <v>0</v>
      </c>
      <c r="FZ41" s="547">
        <f>IFERROR(((FX41*FZ$8)/$L$41),0)</f>
        <v>0</v>
      </c>
      <c r="GA41" s="547">
        <f>SUM(GA9:GA39)</f>
        <v>0</v>
      </c>
      <c r="GB41" s="547">
        <f>IFERROR((GA41/$L$41),0)</f>
        <v>0</v>
      </c>
      <c r="GC41" s="547">
        <f>IFERROR(((GA41*GC$8)/$L$41),0)</f>
        <v>0</v>
      </c>
      <c r="GD41" s="547">
        <f>SUM(GD9:GD39)</f>
        <v>0</v>
      </c>
      <c r="GE41" s="547">
        <f>IFERROR((GD41/$L$41),0)</f>
        <v>0</v>
      </c>
      <c r="GF41" s="547">
        <f>IFERROR(((GD41*GF$8)/$L$41),0)</f>
        <v>0</v>
      </c>
      <c r="GG41" s="547">
        <f>SUM(GG9:GG39)</f>
        <v>64</v>
      </c>
      <c r="GH41" s="547">
        <f>IFERROR((GG41/$L$41),0)</f>
        <v>0</v>
      </c>
      <c r="GI41" s="547">
        <f>IFERROR(((GG41*GI$8)/$L$41),0)</f>
        <v>0</v>
      </c>
      <c r="GJ41" s="547">
        <f>SUM(GJ9:GJ39)</f>
        <v>51</v>
      </c>
      <c r="GK41" s="547">
        <f>IFERROR((GJ41/$L$41),0)</f>
        <v>0</v>
      </c>
      <c r="GL41" s="547">
        <f>IFERROR(((GJ41*GL$8)/$L$41),0)</f>
        <v>0</v>
      </c>
      <c r="GM41" s="547">
        <f>SUM(GM9:GM39)</f>
        <v>0</v>
      </c>
      <c r="GN41" s="547">
        <f>IFERROR((GM41/$L$41),0)</f>
        <v>0</v>
      </c>
      <c r="GO41" s="547">
        <f>IFERROR(((GM41*GO$8)/$L$41),0)</f>
        <v>0</v>
      </c>
      <c r="GP41" s="547">
        <f>SUM(GP9:GP39)</f>
        <v>273</v>
      </c>
      <c r="GQ41" s="547">
        <f>IFERROR((GP41/$L$41),0)</f>
        <v>0</v>
      </c>
      <c r="GR41" s="547">
        <f>IFERROR(((GP41*GR$8)/$L$41),0)</f>
        <v>0</v>
      </c>
      <c r="GS41" s="547">
        <f>SUM(GS9:GS39)</f>
        <v>2070</v>
      </c>
      <c r="GT41" s="547">
        <f>IFERROR((GS41/$L$41),0)</f>
        <v>0</v>
      </c>
      <c r="GU41" s="547">
        <f>IFERROR(((GS41*GU$8)/$L$41),0)</f>
        <v>0</v>
      </c>
      <c r="GV41" s="547">
        <f>SUM(GV9:GV39)</f>
        <v>70</v>
      </c>
      <c r="GW41" s="547">
        <f>IFERROR((GV41/$L$41),0)</f>
        <v>0</v>
      </c>
      <c r="GX41" s="547">
        <f>IFERROR(((GV41*GX$8)/$L$41),0)</f>
        <v>0</v>
      </c>
      <c r="GY41" s="547">
        <f>SUM(GY9:GY39)</f>
        <v>0</v>
      </c>
      <c r="GZ41" s="547">
        <f>IFERROR((GY41/$L$41),0)</f>
        <v>0</v>
      </c>
      <c r="HA41" s="547">
        <f>IFERROR(((GY41*HA$8)/$L$41),0)</f>
        <v>0</v>
      </c>
      <c r="HB41" s="547">
        <f>SUM(HB9:HB39)</f>
        <v>0</v>
      </c>
      <c r="HC41" s="547">
        <f>IFERROR((HB41/$L$41),0)</f>
        <v>0</v>
      </c>
      <c r="HD41" s="547">
        <f>IFERROR(((HB41*HD$8)/$L$41),0)</f>
        <v>0</v>
      </c>
      <c r="HE41" s="547">
        <f>SUM(HE9:HE39)</f>
        <v>0</v>
      </c>
      <c r="HF41" s="547">
        <f>IFERROR((HE41/$L$41),0)</f>
        <v>0</v>
      </c>
      <c r="HG41" s="547">
        <f>IFERROR(((HE41*HG$8)/$L$41),0)</f>
        <v>0</v>
      </c>
      <c r="HH41" s="547">
        <f>SUM(HH9:HH39)</f>
        <v>0</v>
      </c>
      <c r="HI41" s="547">
        <f>IFERROR((HH41/$L$41),0)</f>
        <v>0</v>
      </c>
      <c r="HJ41" s="547">
        <f>IFERROR(((HH41*HJ$8)/$L$41),0)</f>
        <v>0</v>
      </c>
      <c r="HK41" s="547">
        <f>SUM(HK9:HK39)</f>
        <v>0</v>
      </c>
      <c r="HL41" s="547">
        <f>IFERROR((HK41/$L$41),0)</f>
        <v>0</v>
      </c>
      <c r="HM41" s="547">
        <f>IFERROR(((HK41*HM$8)/$L$41),0)</f>
        <v>0</v>
      </c>
      <c r="HN41" s="547">
        <f>SUM(HN9:HN39)</f>
        <v>14827.8</v>
      </c>
      <c r="HO41" s="547">
        <f>IFERROR((HN41/$L$41),0)</f>
        <v>0</v>
      </c>
      <c r="HP41" s="547">
        <f>IFERROR(((HN41*HP$8)/$L$41),0)</f>
        <v>0</v>
      </c>
      <c r="HQ41" s="547">
        <f>SUM(HQ9:HQ39)</f>
        <v>0</v>
      </c>
      <c r="HR41" s="547">
        <f>IFERROR((HQ41/$L$41),0)</f>
        <v>0</v>
      </c>
      <c r="HS41" s="547">
        <f>IFERROR(((HQ41*HS$8)/$L$41),0)</f>
        <v>0</v>
      </c>
      <c r="HT41" s="547">
        <f>SUM(HT9:HT39)</f>
        <v>185</v>
      </c>
      <c r="HU41" s="547">
        <f>IFERROR((HT41/$L$41),0)</f>
        <v>0</v>
      </c>
      <c r="HV41" s="547">
        <f>IFERROR(((HT41*HV$8)/$L$41),0)</f>
        <v>0</v>
      </c>
      <c r="HW41" s="547">
        <f>SUM(HW9:HW39)</f>
        <v>40</v>
      </c>
      <c r="HX41" s="547">
        <f>IFERROR((HW41/$L$41),0)</f>
        <v>0</v>
      </c>
      <c r="HY41" s="547">
        <f>IFERROR(((HW41*HY$8)/$L$41),0)</f>
        <v>0</v>
      </c>
      <c r="HZ41" s="547">
        <f>SUM(HZ9:HZ39)</f>
        <v>100</v>
      </c>
      <c r="IA41" s="547">
        <f>IFERROR((HZ41/$L$41),0)</f>
        <v>0</v>
      </c>
      <c r="IB41" s="547">
        <f>IFERROR(((HZ41*IB$8)/$L$41),0)</f>
        <v>0</v>
      </c>
      <c r="IC41" s="547">
        <f>SUM(IC9:IC39)</f>
        <v>95</v>
      </c>
      <c r="ID41" s="547">
        <f>IFERROR((IC41/$L$41),0)</f>
        <v>0</v>
      </c>
      <c r="IE41" s="547">
        <f>IFERROR(((IC41*IE$8)/$L$41),0)</f>
        <v>0</v>
      </c>
      <c r="IF41" s="547">
        <f>SUM(IF9:IF39)</f>
        <v>18</v>
      </c>
      <c r="IG41" s="547">
        <f>IFERROR((IF41/$L$41),0)</f>
        <v>0</v>
      </c>
      <c r="IH41" s="547">
        <f>IFERROR(((IF41*IH$8)/$L$41),0)</f>
        <v>0</v>
      </c>
      <c r="II41" s="547">
        <f>SUM(II9:II39)</f>
        <v>0</v>
      </c>
      <c r="IJ41" s="547">
        <f>IFERROR((II41/$L$41),0)</f>
        <v>0</v>
      </c>
      <c r="IK41" s="547">
        <f>IFERROR(((II41*IK$8)/$L$41),0)</f>
        <v>0</v>
      </c>
      <c r="IL41" s="547">
        <f>SUM(IL9:IL39)</f>
        <v>0</v>
      </c>
      <c r="IM41" s="547">
        <f>IFERROR((IL41/$L$41),0)</f>
        <v>0</v>
      </c>
      <c r="IN41" s="547">
        <f>IFERROR(((IL41*IN$8)/$L$41),0)</f>
        <v>0</v>
      </c>
      <c r="IO41" s="547">
        <f>SUM(IO9:IO39)</f>
        <v>844</v>
      </c>
      <c r="IP41" s="547">
        <f>IFERROR((IO41/$L$41),0)</f>
        <v>0</v>
      </c>
      <c r="IQ41" s="547">
        <f>IFERROR(((IO41*IQ$8)/$L$41),0)</f>
        <v>0</v>
      </c>
      <c r="IR41" s="547">
        <f>SUM(IR9:IR39)</f>
        <v>35</v>
      </c>
      <c r="IS41" s="547">
        <f>IFERROR((IR41/$L$41),0)</f>
        <v>0</v>
      </c>
      <c r="IT41" s="547">
        <f>IFERROR(((IR41*IT$8)/$L$41),0)</f>
        <v>0</v>
      </c>
      <c r="IU41" s="547">
        <f>SUM(IU9:IU39)</f>
        <v>0</v>
      </c>
      <c r="IV41" s="547">
        <f>IFERROR((IU41/$L$41),0)</f>
        <v>0</v>
      </c>
      <c r="IW41" s="547">
        <f>IFERROR(((IU41*IW$8)/$L$41),0)</f>
        <v>0</v>
      </c>
      <c r="IX41" s="547">
        <f>SUM(IX9:IX39)</f>
        <v>20</v>
      </c>
      <c r="IY41" s="547">
        <f>IFERROR((IX41/$L$41),0)</f>
        <v>0</v>
      </c>
      <c r="IZ41" s="547">
        <f>IFERROR(((IX41*IZ$8)/$L$41),0)</f>
        <v>0</v>
      </c>
      <c r="JA41" s="547">
        <f>SUM(JA9:JA39)</f>
        <v>0</v>
      </c>
      <c r="JB41" s="547">
        <f>IFERROR((JA41/$L$41),0)</f>
        <v>0</v>
      </c>
      <c r="JC41" s="547">
        <f>IFERROR(((JA41*JC$8)/$L$41),0)</f>
        <v>0</v>
      </c>
      <c r="JD41" s="547">
        <f>SUM(JD9:JD39)</f>
        <v>0</v>
      </c>
      <c r="JE41" s="547">
        <f>IFERROR((JD41/$L$41),0)</f>
        <v>0</v>
      </c>
      <c r="JF41" s="547">
        <f>IFERROR(((JD41*JF$8)/$L$41),0)</f>
        <v>0</v>
      </c>
      <c r="JG41" s="547">
        <f>SUM(JG9:JG39)</f>
        <v>275</v>
      </c>
      <c r="JH41" s="547">
        <f>IFERROR((JG41/$L$41),0)</f>
        <v>0</v>
      </c>
      <c r="JI41" s="547">
        <f>IFERROR(((JG41*JI$8)/$L$41),0)</f>
        <v>0</v>
      </c>
      <c r="JJ41" s="547">
        <f>SUM(JJ9:JJ39)</f>
        <v>338</v>
      </c>
      <c r="JK41" s="547">
        <f>IFERROR((JJ41/$L$41),0)</f>
        <v>0</v>
      </c>
      <c r="JL41" s="547">
        <f>IFERROR(((JJ41*JL$8)/$L$41),0)</f>
        <v>0</v>
      </c>
      <c r="JM41" s="547">
        <f>SUM(JM9:JM39)</f>
        <v>0</v>
      </c>
      <c r="JN41" s="547">
        <f>IFERROR((JM41/$L$41),0)</f>
        <v>0</v>
      </c>
      <c r="JO41" s="547">
        <f>IFERROR(((JM41*JO$8)/$L$41),0)</f>
        <v>0</v>
      </c>
      <c r="JP41" s="547">
        <f>SUM(JP9:JP39)</f>
        <v>0</v>
      </c>
      <c r="JQ41" s="547">
        <f>IFERROR((JP41/$L$41),0)</f>
        <v>0</v>
      </c>
      <c r="JR41" s="547">
        <f>IFERROR(((JP41*JR$8)/$L$41),0)</f>
        <v>0</v>
      </c>
      <c r="JS41" s="547">
        <f>SUM(JS9:JS39)</f>
        <v>0</v>
      </c>
      <c r="JT41" s="547">
        <f>IFERROR((JS41/$L$41),0)</f>
        <v>0</v>
      </c>
      <c r="JU41" s="547">
        <f>IFERROR(((JS41*JU$8)/$L$41),0)</f>
        <v>0</v>
      </c>
      <c r="JV41" s="547">
        <f>SUM(JV9:JV39)</f>
        <v>0</v>
      </c>
      <c r="JW41" s="547">
        <f>IFERROR((JV41/$L$41),0)</f>
        <v>0</v>
      </c>
      <c r="JX41" s="547">
        <f>IFERROR(((JV41*JX$8)/$L$41),0)</f>
        <v>0</v>
      </c>
      <c r="JY41" s="547">
        <f>SUM(JY9:JY39)</f>
        <v>0</v>
      </c>
      <c r="JZ41" s="547">
        <f>IFERROR((JY41/$L$41),0)</f>
        <v>0</v>
      </c>
      <c r="KA41" s="547">
        <f>IFERROR(((JY41*KA$8)/$L$41),0)</f>
        <v>0</v>
      </c>
      <c r="KB41" s="547">
        <f>SUM(KB9:KB39)</f>
        <v>0</v>
      </c>
      <c r="KC41" s="547">
        <f>IFERROR((KB41/$L$41),0)</f>
        <v>0</v>
      </c>
      <c r="KD41" s="547">
        <f>IFERROR(((KB41*KD$8)/$L$41),0)</f>
        <v>0</v>
      </c>
      <c r="KE41" s="547">
        <f>SUM(KE9:KE39)</f>
        <v>0</v>
      </c>
      <c r="KF41" s="547">
        <f>IFERROR((KE41/$L$41),0)</f>
        <v>0</v>
      </c>
      <c r="KG41" s="547">
        <f>IFERROR(((KE41*KG$8)/$L$41),0)</f>
        <v>0</v>
      </c>
      <c r="KH41" s="547">
        <f>SUM(KH9:KH39)</f>
        <v>0</v>
      </c>
      <c r="KI41" s="547">
        <f>IFERROR((KH41/$L$41),0)</f>
        <v>0</v>
      </c>
      <c r="KJ41" s="547">
        <f>IFERROR(((KH41*KJ$8)/$L$41),0)</f>
        <v>0</v>
      </c>
      <c r="KK41" s="547">
        <f>SUM(KK9:KK39)</f>
        <v>0</v>
      </c>
      <c r="KL41" s="547">
        <f>IFERROR((KK41/$L$41),0)</f>
        <v>0</v>
      </c>
      <c r="KM41" s="547">
        <f>IFERROR(((KK41*KM$8)/$L$41),0)</f>
        <v>0</v>
      </c>
      <c r="KN41" s="547">
        <f>SUM(KN9:KN39)</f>
        <v>0</v>
      </c>
      <c r="KO41" s="547">
        <f>IFERROR((KN41/$L$41),0)</f>
        <v>0</v>
      </c>
      <c r="KP41" s="547">
        <f>IFERROR(((KN41*KP$8)/$L$41),0)</f>
        <v>0</v>
      </c>
      <c r="KQ41" s="548">
        <f>H41+K41+N41+Q41+T41+W41+Z41+AC41+AF41+AI41+AL41+AO41+AR41+AU41+AX41+BA41+BD41+BG41+BJ41+BM41+BP41+BS41+BV41+BY41+CB41+CE41+CH41+CK41+CN41+CQ41+CT41+CW41+CZ41+DC41+DF41+DI41+DL41+DO41+DR41+DU41+DX41+EA41+ED41+EG41+EJ41+EM41+EP41+ES41+EV41+EY41+FB41+FE41+FH41+FK41+FN41+FQ41+FT41+FW41+FZ41+GC41</f>
        <v>0</v>
      </c>
      <c r="KR41" s="546">
        <f t="shared" si="198"/>
        <v>0</v>
      </c>
      <c r="KS41" s="265">
        <f t="shared" si="199"/>
        <v>49251.492675593661</v>
      </c>
      <c r="KT41" s="549"/>
      <c r="KU41" s="549"/>
      <c r="KV41" s="549"/>
      <c r="KW41" s="549"/>
      <c r="KX41" s="549"/>
      <c r="KY41" s="549"/>
      <c r="KZ41" s="549"/>
      <c r="LA41" s="549"/>
      <c r="LB41" s="549"/>
      <c r="LC41" s="549"/>
      <c r="LD41" s="549"/>
      <c r="LE41" s="549"/>
      <c r="LF41" s="549"/>
      <c r="LG41" s="549"/>
      <c r="LH41" s="549"/>
      <c r="LI41" s="549"/>
      <c r="LJ41" s="549"/>
      <c r="LK41" s="549"/>
      <c r="LL41" s="549"/>
      <c r="LM41" s="549"/>
      <c r="LN41" s="549"/>
      <c r="LO41" s="549"/>
      <c r="LP41" s="549"/>
      <c r="LQ41" s="549"/>
      <c r="LR41" s="549"/>
      <c r="LS41" s="549"/>
      <c r="LT41" s="549"/>
      <c r="LU41" s="549"/>
      <c r="LV41" s="549"/>
      <c r="LW41" s="549"/>
      <c r="LX41" s="549"/>
      <c r="LY41" s="549"/>
      <c r="LZ41" s="549"/>
      <c r="MA41" s="549"/>
      <c r="MB41" s="549"/>
      <c r="MC41" s="549"/>
      <c r="MD41" s="549"/>
      <c r="ME41" s="549"/>
      <c r="MF41" s="549"/>
      <c r="MG41" s="549"/>
      <c r="MH41" s="549"/>
      <c r="MI41" s="549"/>
      <c r="MJ41" s="549"/>
      <c r="MK41" s="549"/>
      <c r="ML41" s="549"/>
      <c r="MM41" s="549"/>
      <c r="MN41" s="549"/>
      <c r="MO41" s="549"/>
      <c r="MP41" s="549"/>
      <c r="MQ41" s="549"/>
      <c r="MR41" s="549"/>
      <c r="MS41" s="549"/>
      <c r="MT41" s="549"/>
      <c r="MU41" s="549"/>
      <c r="MV41" s="549"/>
      <c r="MW41" s="549"/>
      <c r="MX41" s="549"/>
      <c r="MY41" s="549"/>
      <c r="MZ41" s="549"/>
      <c r="NA41" s="549"/>
      <c r="NB41" s="549"/>
      <c r="NC41" s="549"/>
      <c r="ND41" s="549"/>
      <c r="NE41" s="549"/>
      <c r="NF41" s="549"/>
      <c r="NG41" s="549"/>
      <c r="NH41" s="549"/>
      <c r="NI41" s="549"/>
      <c r="NJ41" s="549"/>
      <c r="NK41" s="549"/>
      <c r="NL41" s="549"/>
      <c r="NM41" s="549"/>
      <c r="NN41" s="549"/>
      <c r="NO41" s="549"/>
      <c r="NP41" s="549"/>
      <c r="NQ41" s="549"/>
      <c r="NR41" s="549"/>
      <c r="NS41" s="549"/>
      <c r="NT41" s="549"/>
      <c r="NU41" s="549"/>
      <c r="NV41" s="549"/>
      <c r="NW41" s="549"/>
      <c r="NX41" s="549"/>
      <c r="NY41" s="549"/>
      <c r="NZ41" s="549"/>
      <c r="OA41" s="549"/>
      <c r="OB41" s="549"/>
      <c r="OC41" s="549"/>
      <c r="OD41" s="549"/>
      <c r="OE41" s="549"/>
      <c r="OF41" s="549"/>
      <c r="OG41" s="549"/>
      <c r="OH41" s="549"/>
      <c r="OI41" s="549"/>
      <c r="OJ41" s="549"/>
      <c r="OK41" s="549"/>
      <c r="OL41" s="549"/>
      <c r="OM41" s="549"/>
      <c r="ON41" s="549"/>
      <c r="OO41" s="549"/>
      <c r="OP41" s="549"/>
      <c r="OQ41" s="549"/>
      <c r="OR41" s="549"/>
      <c r="OS41" s="549"/>
      <c r="OT41" s="549"/>
      <c r="OU41" s="549"/>
      <c r="OV41" s="549"/>
      <c r="OW41" s="549"/>
      <c r="OX41" s="549"/>
      <c r="OY41" s="549"/>
      <c r="OZ41" s="549"/>
      <c r="PA41" s="549"/>
      <c r="PB41" s="549"/>
      <c r="PC41" s="549"/>
      <c r="PD41" s="549"/>
      <c r="PE41" s="549"/>
      <c r="PF41" s="549"/>
      <c r="PG41" s="549"/>
      <c r="PH41" s="549"/>
      <c r="PI41" s="549"/>
      <c r="PJ41" s="549"/>
      <c r="PK41" s="549"/>
      <c r="PL41" s="549"/>
      <c r="PM41" s="549"/>
      <c r="PN41" s="549"/>
      <c r="PO41" s="549"/>
      <c r="PP41" s="549"/>
      <c r="PQ41" s="549"/>
      <c r="PR41" s="549"/>
      <c r="PS41" s="549"/>
      <c r="PT41" s="549"/>
      <c r="PU41" s="549"/>
      <c r="PV41" s="549"/>
      <c r="PW41" s="549"/>
      <c r="PX41" s="549"/>
      <c r="PY41" s="549"/>
      <c r="PZ41" s="549"/>
      <c r="QA41" s="549"/>
      <c r="QB41" s="549"/>
      <c r="QC41" s="549"/>
      <c r="QD41" s="549"/>
      <c r="QE41" s="549"/>
      <c r="QF41" s="549"/>
      <c r="QG41" s="549"/>
      <c r="QH41" s="549"/>
      <c r="QI41" s="549"/>
      <c r="QJ41" s="549"/>
      <c r="QK41" s="549"/>
      <c r="QL41" s="549"/>
      <c r="QM41" s="549"/>
      <c r="QN41" s="549"/>
      <c r="QO41" s="549"/>
      <c r="QP41" s="549"/>
      <c r="QQ41" s="549"/>
      <c r="QR41" s="549"/>
      <c r="QS41" s="549"/>
      <c r="QT41" s="549"/>
      <c r="QU41" s="549"/>
      <c r="QV41" s="549"/>
      <c r="QW41" s="549"/>
      <c r="QX41" s="549"/>
      <c r="QY41" s="549"/>
      <c r="QZ41" s="549"/>
      <c r="RA41" s="549"/>
      <c r="RB41" s="549"/>
      <c r="RC41" s="549"/>
      <c r="RD41" s="549"/>
      <c r="RE41" s="549"/>
      <c r="RF41" s="549"/>
      <c r="RG41" s="549"/>
      <c r="RH41" s="549"/>
      <c r="RI41" s="549"/>
      <c r="RJ41" s="549"/>
      <c r="RK41" s="549"/>
      <c r="RL41" s="549"/>
      <c r="RM41" s="549"/>
      <c r="RN41" s="549"/>
      <c r="RO41" s="549"/>
      <c r="RP41" s="549"/>
      <c r="RQ41" s="549"/>
      <c r="RR41" s="549"/>
      <c r="RS41" s="549"/>
      <c r="RT41" s="549"/>
      <c r="RU41" s="549"/>
      <c r="RV41" s="549"/>
      <c r="RW41" s="549"/>
      <c r="RX41" s="549"/>
      <c r="RY41" s="549"/>
      <c r="RZ41" s="549"/>
      <c r="SA41" s="549"/>
      <c r="SB41" s="549"/>
      <c r="SC41" s="549"/>
      <c r="SD41" s="549"/>
      <c r="SE41" s="549"/>
      <c r="SF41" s="549"/>
      <c r="SG41" s="549"/>
      <c r="SH41" s="549"/>
      <c r="SI41" s="549"/>
      <c r="SJ41" s="549"/>
      <c r="SK41" s="549"/>
      <c r="SL41" s="549"/>
      <c r="SM41" s="549"/>
      <c r="SN41" s="549"/>
      <c r="SO41" s="549"/>
      <c r="SP41" s="549"/>
      <c r="SQ41" s="549"/>
      <c r="SR41" s="549"/>
      <c r="SS41" s="549"/>
      <c r="ST41" s="549"/>
      <c r="SU41" s="549"/>
      <c r="SV41" s="549"/>
      <c r="SW41" s="549"/>
      <c r="SX41" s="549"/>
      <c r="SY41" s="549"/>
      <c r="SZ41" s="549"/>
      <c r="TA41" s="549"/>
      <c r="TB41" s="549"/>
      <c r="TC41" s="549"/>
      <c r="TD41" s="549"/>
      <c r="TE41" s="549"/>
      <c r="TF41" s="549"/>
      <c r="TG41" s="549"/>
      <c r="TH41" s="549"/>
      <c r="TI41" s="549"/>
      <c r="TJ41" s="549"/>
      <c r="TK41" s="549"/>
      <c r="TL41" s="549"/>
      <c r="TM41" s="549"/>
      <c r="TN41" s="549"/>
      <c r="TO41" s="549"/>
      <c r="TP41" s="549"/>
      <c r="TQ41" s="549"/>
      <c r="TR41" s="549"/>
      <c r="TS41" s="549"/>
      <c r="TT41" s="549"/>
      <c r="TU41" s="549"/>
      <c r="TV41" s="549"/>
      <c r="TW41" s="549"/>
      <c r="TX41" s="549"/>
      <c r="TY41" s="549"/>
      <c r="TZ41" s="549"/>
      <c r="UA41" s="549"/>
      <c r="UB41" s="549"/>
      <c r="UC41" s="549"/>
      <c r="UD41" s="549"/>
      <c r="UE41" s="549"/>
      <c r="UF41" s="549"/>
      <c r="UG41" s="549"/>
      <c r="UH41" s="549"/>
      <c r="UI41" s="549"/>
      <c r="UJ41" s="549"/>
      <c r="UK41" s="549"/>
      <c r="UL41" s="549"/>
      <c r="UM41" s="549"/>
      <c r="UN41" s="549"/>
      <c r="UO41" s="549"/>
      <c r="UP41" s="549"/>
      <c r="UQ41" s="549"/>
      <c r="UR41" s="549"/>
      <c r="US41" s="549"/>
      <c r="UT41" s="549"/>
      <c r="UU41" s="549"/>
      <c r="UV41" s="549"/>
      <c r="UW41" s="549"/>
      <c r="UX41" s="549"/>
      <c r="UY41" s="549"/>
      <c r="UZ41" s="549"/>
      <c r="VA41" s="549"/>
      <c r="VB41" s="549"/>
      <c r="VC41" s="549"/>
      <c r="VD41" s="549"/>
      <c r="VE41" s="549"/>
      <c r="VF41" s="549"/>
      <c r="VG41" s="549"/>
      <c r="VH41" s="549"/>
      <c r="VI41" s="549"/>
      <c r="VJ41" s="549"/>
      <c r="VK41" s="549"/>
      <c r="VL41" s="549"/>
      <c r="VM41" s="549"/>
      <c r="VN41" s="549"/>
      <c r="VO41" s="549"/>
      <c r="VP41" s="549"/>
      <c r="VQ41" s="549"/>
      <c r="VR41" s="549"/>
      <c r="VS41" s="549"/>
      <c r="VT41" s="549"/>
      <c r="VU41" s="549"/>
      <c r="VV41" s="549"/>
      <c r="VW41" s="549"/>
      <c r="VX41" s="549"/>
      <c r="VY41" s="549"/>
      <c r="VZ41" s="549"/>
      <c r="WA41" s="549"/>
      <c r="WB41" s="549"/>
      <c r="WC41" s="549"/>
      <c r="WD41" s="549"/>
      <c r="WE41" s="549"/>
      <c r="WF41" s="549"/>
      <c r="WG41" s="549"/>
      <c r="WH41" s="549"/>
      <c r="WI41" s="549"/>
      <c r="WJ41" s="549"/>
      <c r="WK41" s="549"/>
      <c r="WL41" s="549"/>
      <c r="WM41" s="549"/>
      <c r="WN41" s="549"/>
      <c r="WO41" s="549"/>
      <c r="WP41" s="549"/>
      <c r="WQ41" s="549"/>
      <c r="WR41" s="549"/>
      <c r="WS41" s="549"/>
      <c r="WT41" s="549"/>
      <c r="WU41" s="549"/>
      <c r="WV41" s="549"/>
      <c r="WW41" s="549"/>
      <c r="WX41" s="549"/>
      <c r="WY41" s="549"/>
      <c r="WZ41" s="549"/>
      <c r="XA41" s="549"/>
      <c r="XB41" s="549"/>
      <c r="XC41" s="549"/>
      <c r="XD41" s="549"/>
      <c r="XE41" s="549"/>
      <c r="XF41" s="549"/>
      <c r="XG41" s="549"/>
      <c r="XH41" s="549"/>
      <c r="XI41" s="549"/>
      <c r="XJ41" s="549"/>
      <c r="XK41" s="549"/>
      <c r="XL41" s="549"/>
      <c r="XM41" s="549"/>
      <c r="XN41" s="549"/>
      <c r="XO41" s="549"/>
      <c r="XP41" s="549"/>
      <c r="XQ41" s="549"/>
      <c r="XR41" s="549"/>
      <c r="XS41" s="549"/>
      <c r="XT41" s="549"/>
      <c r="XU41" s="549"/>
      <c r="XV41" s="549"/>
      <c r="XW41" s="549"/>
      <c r="XX41" s="549"/>
      <c r="XY41" s="549"/>
      <c r="XZ41" s="549"/>
      <c r="YA41" s="549"/>
      <c r="YB41" s="549"/>
      <c r="YC41" s="549"/>
      <c r="YD41" s="549"/>
      <c r="YE41" s="549"/>
      <c r="YF41" s="549"/>
      <c r="YG41" s="549"/>
      <c r="YH41" s="549"/>
      <c r="YI41" s="549"/>
      <c r="YJ41" s="549"/>
      <c r="YK41" s="549"/>
      <c r="YL41" s="549"/>
      <c r="YM41" s="549"/>
      <c r="YN41" s="549"/>
      <c r="YO41" s="549"/>
      <c r="YP41" s="549"/>
      <c r="YQ41" s="549"/>
      <c r="YR41" s="549"/>
      <c r="YS41" s="549"/>
      <c r="YT41" s="549"/>
      <c r="YU41" s="549"/>
      <c r="YV41" s="549"/>
      <c r="YW41" s="549"/>
      <c r="YX41" s="549"/>
      <c r="YY41" s="549"/>
      <c r="YZ41" s="549"/>
      <c r="ZA41" s="549"/>
      <c r="ZB41" s="549"/>
      <c r="ZC41" s="549"/>
      <c r="ZD41" s="549"/>
      <c r="ZE41" s="549"/>
      <c r="ZF41" s="549"/>
      <c r="ZG41" s="549"/>
      <c r="ZH41" s="549"/>
      <c r="ZI41" s="549"/>
      <c r="ZJ41" s="549"/>
      <c r="ZK41" s="549"/>
      <c r="ZL41" s="549"/>
      <c r="ZM41" s="549"/>
      <c r="ZN41" s="549"/>
      <c r="ZO41" s="549"/>
      <c r="ZP41" s="549"/>
      <c r="ZQ41" s="549"/>
      <c r="ZR41" s="549"/>
      <c r="ZS41" s="549"/>
      <c r="ZT41" s="549"/>
      <c r="ZU41" s="549"/>
      <c r="ZV41" s="549"/>
      <c r="ZW41" s="549"/>
      <c r="ZX41" s="549"/>
      <c r="ZY41" s="549"/>
      <c r="ZZ41" s="549"/>
      <c r="AAA41" s="549"/>
      <c r="AAB41" s="549"/>
      <c r="AAC41" s="549"/>
      <c r="AAD41" s="549"/>
      <c r="AAE41" s="549"/>
      <c r="AAF41" s="549"/>
      <c r="AAG41" s="549"/>
      <c r="AAH41" s="549"/>
      <c r="AAI41" s="549"/>
      <c r="AAJ41" s="549"/>
      <c r="AAK41" s="549"/>
      <c r="AAL41" s="549"/>
      <c r="AAM41" s="549"/>
      <c r="AAN41" s="549"/>
      <c r="AAO41" s="549"/>
      <c r="AAP41" s="549"/>
      <c r="AAQ41" s="549"/>
      <c r="AAR41" s="549"/>
      <c r="AAS41" s="549"/>
      <c r="AAT41" s="549"/>
      <c r="AAU41" s="549"/>
      <c r="AAV41" s="549"/>
      <c r="AAW41" s="549"/>
      <c r="AAX41" s="549"/>
      <c r="AAY41" s="549"/>
      <c r="AAZ41" s="549"/>
      <c r="ABA41" s="549"/>
      <c r="ABB41" s="549"/>
      <c r="ABC41" s="549"/>
      <c r="ABD41" s="549"/>
      <c r="ABE41" s="549"/>
      <c r="ABF41" s="549"/>
      <c r="ABG41" s="549"/>
      <c r="ABH41" s="549"/>
      <c r="ABI41" s="549"/>
      <c r="ABJ41" s="549"/>
      <c r="ABK41" s="549"/>
      <c r="ABL41" s="549"/>
      <c r="ABM41" s="549"/>
      <c r="ABN41" s="549"/>
      <c r="ABO41" s="549"/>
      <c r="ABP41" s="549"/>
      <c r="ABQ41" s="549"/>
      <c r="ABR41" s="549"/>
      <c r="ABS41" s="549"/>
      <c r="ABT41" s="549"/>
      <c r="ABU41" s="549"/>
      <c r="ABV41" s="549"/>
      <c r="ABW41" s="549"/>
      <c r="ABX41" s="549"/>
      <c r="ABY41" s="549"/>
      <c r="ABZ41" s="549"/>
      <c r="ACA41" s="549"/>
      <c r="ACB41" s="549"/>
      <c r="ACC41" s="549"/>
      <c r="ACD41" s="549"/>
      <c r="ACE41" s="549"/>
      <c r="ACF41" s="549"/>
      <c r="ACG41" s="549"/>
      <c r="ACH41" s="549"/>
      <c r="ACI41" s="549"/>
      <c r="ACJ41" s="549"/>
      <c r="ACK41" s="549"/>
      <c r="ACL41" s="549"/>
      <c r="ACM41" s="549"/>
      <c r="ACN41" s="549"/>
      <c r="ACO41" s="549"/>
      <c r="ACP41" s="549"/>
      <c r="ACQ41" s="549"/>
      <c r="ACR41" s="549"/>
      <c r="ACS41" s="549"/>
      <c r="ACT41" s="549"/>
      <c r="ACU41" s="549"/>
      <c r="ACV41" s="549"/>
      <c r="ACW41" s="549"/>
      <c r="ACX41" s="549"/>
      <c r="ACY41" s="549"/>
      <c r="ACZ41" s="549"/>
      <c r="ADA41" s="549"/>
      <c r="ADB41" s="549"/>
      <c r="ADC41" s="549"/>
      <c r="ADD41" s="549"/>
      <c r="ADE41" s="549"/>
      <c r="ADF41" s="549"/>
      <c r="ADG41" s="549"/>
      <c r="ADH41" s="549"/>
      <c r="ADI41" s="549"/>
      <c r="ADJ41" s="549"/>
      <c r="ADK41" s="549"/>
      <c r="ADL41" s="549"/>
      <c r="ADM41" s="549"/>
      <c r="ADN41" s="549"/>
      <c r="ADO41" s="549"/>
      <c r="ADP41" s="549"/>
      <c r="ADQ41" s="549"/>
      <c r="ADR41" s="549"/>
      <c r="ADS41" s="549"/>
      <c r="ADT41" s="549"/>
      <c r="ADU41" s="549"/>
      <c r="ADV41" s="549"/>
      <c r="ADW41" s="549"/>
      <c r="ADX41" s="549"/>
      <c r="ADY41" s="549"/>
      <c r="ADZ41" s="549"/>
      <c r="AEA41" s="549"/>
      <c r="AEB41" s="549"/>
      <c r="AEC41" s="549"/>
      <c r="AED41" s="549"/>
      <c r="AEE41" s="549"/>
      <c r="AEF41" s="549"/>
      <c r="AEG41" s="549"/>
      <c r="AEH41" s="549"/>
      <c r="AEI41" s="549"/>
      <c r="AEJ41" s="549"/>
      <c r="AEK41" s="549"/>
      <c r="AEL41" s="549"/>
      <c r="AEM41" s="549"/>
      <c r="AEN41" s="549"/>
      <c r="AEO41" s="549"/>
      <c r="AEP41" s="549"/>
      <c r="AEQ41" s="549"/>
      <c r="AER41" s="549"/>
      <c r="AES41" s="549"/>
      <c r="AET41" s="549"/>
      <c r="AEU41" s="549"/>
      <c r="AEV41" s="549"/>
      <c r="AEW41" s="549"/>
      <c r="AEX41" s="549"/>
      <c r="AEY41" s="549"/>
      <c r="AEZ41" s="549"/>
      <c r="AFA41" s="549"/>
      <c r="AFB41" s="549"/>
      <c r="AFC41" s="549"/>
      <c r="AFD41" s="549"/>
      <c r="AFE41" s="549"/>
      <c r="AFF41" s="549"/>
      <c r="AFG41" s="549"/>
      <c r="AFH41" s="549"/>
      <c r="AFI41" s="549"/>
      <c r="AFJ41" s="549"/>
      <c r="AFK41" s="549"/>
      <c r="AFL41" s="549"/>
      <c r="AFM41" s="549"/>
      <c r="AFN41" s="549"/>
      <c r="AFO41" s="549"/>
      <c r="AFP41" s="549"/>
      <c r="AFQ41" s="549"/>
      <c r="AFR41" s="549"/>
      <c r="AFS41" s="549"/>
      <c r="AFT41" s="549"/>
      <c r="AFU41" s="549"/>
      <c r="AFV41" s="549"/>
      <c r="AFW41" s="549"/>
      <c r="AFX41" s="549"/>
      <c r="AFY41" s="549"/>
      <c r="AFZ41" s="549"/>
      <c r="AGA41" s="549"/>
      <c r="AGB41" s="549"/>
      <c r="AGC41" s="549"/>
      <c r="AGD41" s="549"/>
      <c r="AGE41" s="549"/>
      <c r="AGF41" s="549"/>
      <c r="AGG41" s="549"/>
      <c r="AGH41" s="549"/>
      <c r="AGI41" s="549"/>
      <c r="AGJ41" s="549"/>
      <c r="AGK41" s="549"/>
      <c r="AGL41" s="549"/>
      <c r="AGM41" s="549"/>
      <c r="AGN41" s="549"/>
      <c r="AGO41" s="549"/>
      <c r="AGP41" s="549"/>
      <c r="AGQ41" s="549"/>
      <c r="AGR41" s="549"/>
      <c r="AGS41" s="549"/>
      <c r="AGT41" s="549"/>
      <c r="AGU41" s="549"/>
      <c r="AGV41" s="549"/>
      <c r="AGW41" s="549"/>
      <c r="AGX41" s="549"/>
      <c r="AGY41" s="549"/>
      <c r="AGZ41" s="549"/>
      <c r="AHA41" s="549"/>
      <c r="AHB41" s="549"/>
      <c r="AHC41" s="549"/>
      <c r="AHD41" s="549"/>
      <c r="AHE41" s="549"/>
      <c r="AHF41" s="549"/>
      <c r="AHG41" s="549"/>
      <c r="AHH41" s="549"/>
      <c r="AHI41" s="549"/>
      <c r="AHJ41" s="549"/>
      <c r="AHK41" s="549"/>
      <c r="AHL41" s="549"/>
      <c r="AHM41" s="549"/>
      <c r="AHN41" s="549"/>
      <c r="AHO41" s="549"/>
      <c r="AHP41" s="549"/>
      <c r="AHQ41" s="549"/>
      <c r="AHR41" s="549"/>
      <c r="AHS41" s="549"/>
      <c r="AHT41" s="549"/>
      <c r="AHU41" s="549"/>
      <c r="AHV41" s="549"/>
      <c r="AHW41" s="549"/>
      <c r="AHX41" s="549"/>
      <c r="AHY41" s="549"/>
      <c r="AHZ41" s="549"/>
      <c r="AIA41" s="549"/>
      <c r="AIB41" s="549"/>
      <c r="AIC41" s="549"/>
      <c r="AID41" s="549"/>
      <c r="AIE41" s="549"/>
      <c r="AIF41" s="549"/>
      <c r="AIG41" s="549"/>
      <c r="AIH41" s="549"/>
      <c r="AII41" s="549"/>
      <c r="AIJ41" s="549"/>
      <c r="AIK41" s="549"/>
      <c r="AIL41" s="549"/>
      <c r="AIM41" s="549"/>
      <c r="AIN41" s="549"/>
      <c r="AIO41" s="549"/>
      <c r="AIP41" s="549"/>
      <c r="AIQ41" s="549"/>
      <c r="AIR41" s="549"/>
      <c r="AIS41" s="549"/>
      <c r="AIT41" s="549"/>
      <c r="AIU41" s="549"/>
      <c r="AIV41" s="549"/>
      <c r="AIW41" s="549"/>
      <c r="AIX41" s="549"/>
      <c r="AIY41" s="549"/>
      <c r="AIZ41" s="549"/>
      <c r="AJA41" s="549"/>
      <c r="AJB41" s="549"/>
      <c r="AJC41" s="549"/>
      <c r="AJD41" s="549"/>
      <c r="AJE41" s="549"/>
      <c r="AJF41" s="549"/>
      <c r="AJG41" s="549"/>
      <c r="AJH41" s="549"/>
      <c r="AJI41" s="549"/>
      <c r="AJJ41" s="549"/>
      <c r="AJK41" s="549"/>
      <c r="AJL41" s="549"/>
      <c r="AJM41" s="549"/>
      <c r="AJN41" s="549"/>
      <c r="AJO41" s="549"/>
      <c r="AJP41" s="549"/>
      <c r="AJQ41" s="549"/>
      <c r="AJR41" s="549"/>
      <c r="AJS41" s="549"/>
      <c r="AJT41" s="549"/>
      <c r="AJU41" s="549"/>
      <c r="AJV41" s="549"/>
      <c r="AJW41" s="549"/>
      <c r="AJX41" s="549"/>
      <c r="AJY41" s="549"/>
      <c r="AJZ41" s="549"/>
      <c r="AKA41" s="549"/>
      <c r="AKB41" s="549"/>
      <c r="AKC41" s="549"/>
      <c r="AKD41" s="549"/>
      <c r="AKE41" s="549"/>
      <c r="AKF41" s="549"/>
      <c r="AKG41" s="549"/>
      <c r="AKH41" s="549"/>
      <c r="AKI41" s="549"/>
      <c r="AKJ41" s="549"/>
      <c r="AKK41" s="549"/>
      <c r="AKL41" s="549"/>
      <c r="AKM41" s="549"/>
      <c r="AKN41" s="549"/>
      <c r="AKO41" s="549"/>
      <c r="AKP41" s="549"/>
      <c r="AKQ41" s="549"/>
      <c r="AKR41" s="549"/>
      <c r="AKS41" s="549"/>
      <c r="AKT41" s="549"/>
      <c r="AKU41" s="549"/>
      <c r="AKV41" s="549"/>
      <c r="AKW41" s="549"/>
      <c r="AKX41" s="549"/>
      <c r="AKY41" s="549"/>
      <c r="AKZ41" s="549"/>
      <c r="ALA41" s="549"/>
      <c r="ALB41" s="549"/>
      <c r="ALC41" s="549"/>
      <c r="ALD41" s="549"/>
      <c r="ALE41" s="549"/>
      <c r="ALF41" s="549"/>
      <c r="ALG41" s="549"/>
      <c r="ALH41" s="549"/>
      <c r="ALI41" s="549"/>
      <c r="ALJ41" s="549"/>
      <c r="ALK41" s="549"/>
      <c r="ALL41" s="549"/>
      <c r="ALM41" s="549"/>
      <c r="ALN41" s="549"/>
      <c r="ALO41" s="549"/>
      <c r="ALP41" s="549"/>
      <c r="ALQ41" s="549"/>
      <c r="ALR41" s="549"/>
      <c r="ALS41" s="549"/>
      <c r="ALT41" s="549"/>
      <c r="ALU41" s="549"/>
      <c r="ALV41" s="549"/>
      <c r="ALW41" s="549"/>
      <c r="ALX41" s="549"/>
      <c r="ALY41" s="549"/>
      <c r="ALZ41" s="549"/>
      <c r="AMA41" s="549"/>
      <c r="AMB41" s="549"/>
      <c r="AMC41" s="549"/>
      <c r="AMD41" s="549"/>
      <c r="AME41" s="549"/>
      <c r="AMF41" s="549"/>
      <c r="AMG41" s="549"/>
      <c r="AMH41" s="549"/>
      <c r="AMI41" s="549"/>
      <c r="AMJ41" s="549"/>
      <c r="AMK41" s="549"/>
      <c r="AML41" s="549"/>
      <c r="AMM41" s="549"/>
      <c r="AMN41" s="549"/>
      <c r="AMO41" s="549"/>
      <c r="AMP41" s="549"/>
      <c r="AMQ41" s="549"/>
      <c r="AMR41" s="549"/>
      <c r="AMS41" s="549"/>
      <c r="AMT41" s="549"/>
      <c r="AMU41" s="549"/>
      <c r="AMV41" s="549"/>
      <c r="AMW41" s="549"/>
      <c r="AMX41" s="549"/>
      <c r="AMY41" s="549"/>
      <c r="AMZ41" s="549"/>
      <c r="ANA41" s="549"/>
      <c r="ANB41" s="549"/>
      <c r="ANC41" s="549"/>
      <c r="AND41" s="549"/>
      <c r="ANE41" s="549"/>
      <c r="ANF41" s="549"/>
      <c r="ANG41" s="549"/>
      <c r="ANH41" s="549"/>
      <c r="ANI41" s="549"/>
      <c r="ANJ41" s="549"/>
      <c r="ANK41" s="549"/>
      <c r="ANL41" s="549"/>
      <c r="ANM41" s="549"/>
      <c r="ANN41" s="549"/>
      <c r="ANO41" s="549"/>
      <c r="ANP41" s="549"/>
      <c r="ANQ41" s="549"/>
      <c r="ANR41" s="549"/>
      <c r="ANS41" s="549"/>
      <c r="ANT41" s="549"/>
      <c r="ANU41" s="549"/>
      <c r="ANV41" s="549"/>
      <c r="ANW41" s="549"/>
      <c r="ANX41" s="549"/>
      <c r="ANY41" s="549"/>
      <c r="ANZ41" s="549"/>
      <c r="AOA41" s="549"/>
      <c r="AOB41" s="549"/>
      <c r="AOC41" s="549"/>
      <c r="AOD41" s="549"/>
      <c r="AOE41" s="549"/>
      <c r="AOF41" s="549"/>
      <c r="AOG41" s="549"/>
      <c r="AOH41" s="549"/>
      <c r="AOI41" s="549"/>
      <c r="AOJ41" s="549"/>
      <c r="AOK41" s="549"/>
      <c r="AOL41" s="549"/>
      <c r="AOM41" s="549"/>
      <c r="AON41" s="549"/>
      <c r="AOO41" s="549"/>
      <c r="AOP41" s="549"/>
      <c r="AOQ41" s="549"/>
      <c r="AOR41" s="549"/>
      <c r="AOS41" s="549"/>
      <c r="AOT41" s="549"/>
      <c r="AOU41" s="549"/>
      <c r="AOV41" s="549"/>
      <c r="AOW41" s="549"/>
      <c r="AOX41" s="549"/>
      <c r="AOY41" s="549"/>
      <c r="AOZ41" s="549"/>
      <c r="APA41" s="549"/>
      <c r="APB41" s="549"/>
      <c r="APC41" s="549"/>
      <c r="APD41" s="549"/>
      <c r="APE41" s="549"/>
      <c r="APF41" s="549"/>
      <c r="APG41" s="549"/>
      <c r="APH41" s="549"/>
      <c r="API41" s="549"/>
      <c r="APJ41" s="549"/>
      <c r="APK41" s="549"/>
      <c r="APL41" s="549"/>
      <c r="APM41" s="549"/>
      <c r="APN41" s="549"/>
      <c r="APO41" s="549"/>
      <c r="APP41" s="549"/>
      <c r="APQ41" s="549"/>
      <c r="APR41" s="549"/>
      <c r="APS41" s="549"/>
      <c r="APT41" s="549"/>
      <c r="APU41" s="549"/>
      <c r="APV41" s="549"/>
      <c r="APW41" s="549"/>
      <c r="APX41" s="549"/>
      <c r="APY41" s="549"/>
      <c r="APZ41" s="549"/>
      <c r="AQA41" s="549"/>
      <c r="AQB41" s="549"/>
      <c r="AQC41" s="549"/>
      <c r="AQD41" s="549"/>
      <c r="AQE41" s="549"/>
      <c r="AQF41" s="549"/>
      <c r="AQG41" s="549"/>
      <c r="AQH41" s="549"/>
      <c r="AQI41" s="549"/>
      <c r="AQJ41" s="549"/>
      <c r="AQK41" s="549"/>
      <c r="AQL41" s="549"/>
      <c r="AQM41" s="549"/>
      <c r="AQN41" s="549"/>
      <c r="AQO41" s="549"/>
      <c r="AQP41" s="549"/>
      <c r="AQQ41" s="549"/>
      <c r="AQR41" s="549"/>
      <c r="AQS41" s="549"/>
      <c r="AQT41" s="549"/>
      <c r="AQU41" s="549"/>
      <c r="AQV41" s="549"/>
      <c r="AQW41" s="549"/>
      <c r="AQX41" s="549"/>
      <c r="AQY41" s="549"/>
      <c r="AQZ41" s="549"/>
      <c r="ARA41" s="549"/>
      <c r="ARB41" s="549"/>
      <c r="ARC41" s="549"/>
      <c r="ARD41" s="549"/>
      <c r="ARE41" s="549"/>
      <c r="ARF41" s="549"/>
      <c r="ARG41" s="549"/>
      <c r="ARH41" s="549"/>
      <c r="ARI41" s="549"/>
      <c r="ARJ41" s="549"/>
      <c r="ARK41" s="549"/>
      <c r="ARL41" s="549"/>
      <c r="ARM41" s="549"/>
      <c r="ARN41" s="549"/>
      <c r="ARO41" s="549"/>
      <c r="ARP41" s="549"/>
      <c r="ARQ41" s="549"/>
      <c r="ARR41" s="549"/>
      <c r="ARS41" s="549"/>
      <c r="ART41" s="549"/>
      <c r="ARU41" s="549"/>
      <c r="ARV41" s="549"/>
      <c r="ARW41" s="549"/>
      <c r="ARX41" s="549"/>
      <c r="ARY41" s="549"/>
      <c r="ARZ41" s="549"/>
      <c r="ASA41" s="549"/>
      <c r="ASB41" s="549"/>
      <c r="ASC41" s="549"/>
      <c r="ASD41" s="549"/>
      <c r="ASE41" s="549"/>
      <c r="ASF41" s="549"/>
      <c r="ASG41" s="549"/>
      <c r="ASH41" s="549"/>
      <c r="ASI41" s="549"/>
      <c r="ASJ41" s="549"/>
      <c r="ASK41" s="549"/>
      <c r="ASL41" s="549"/>
      <c r="ASM41" s="549"/>
      <c r="ASN41" s="549"/>
      <c r="ASO41" s="549"/>
      <c r="ASP41" s="549"/>
      <c r="ASQ41" s="549"/>
      <c r="ASR41" s="549"/>
      <c r="ASS41" s="549"/>
      <c r="AST41" s="549"/>
      <c r="ASU41" s="549"/>
      <c r="ASV41" s="549"/>
      <c r="ASW41" s="549"/>
      <c r="ASX41" s="549"/>
      <c r="ASY41" s="549"/>
      <c r="ASZ41" s="549"/>
      <c r="ATA41" s="549"/>
      <c r="ATB41" s="549"/>
      <c r="ATC41" s="549"/>
      <c r="ATD41" s="549"/>
      <c r="ATE41" s="549"/>
      <c r="ATF41" s="549"/>
      <c r="ATG41" s="549"/>
      <c r="ATH41" s="549"/>
      <c r="ATI41" s="549"/>
      <c r="ATJ41" s="549"/>
      <c r="ATK41" s="549"/>
      <c r="ATL41" s="549"/>
      <c r="ATM41" s="549"/>
      <c r="ATN41" s="549"/>
      <c r="ATO41" s="549"/>
      <c r="ATP41" s="549"/>
      <c r="ATQ41" s="549"/>
      <c r="ATR41" s="549"/>
      <c r="ATS41" s="549"/>
      <c r="ATT41" s="549"/>
      <c r="ATU41" s="549"/>
      <c r="ATV41" s="549"/>
      <c r="ATW41" s="549"/>
      <c r="ATX41" s="549"/>
      <c r="ATY41" s="549"/>
      <c r="ATZ41" s="549"/>
      <c r="AUA41" s="549"/>
      <c r="AUB41" s="549"/>
      <c r="AUC41" s="549"/>
      <c r="AUD41" s="549"/>
      <c r="AUE41" s="549"/>
      <c r="AUF41" s="549"/>
      <c r="AUG41" s="549"/>
      <c r="AUH41" s="549"/>
      <c r="AUI41" s="549"/>
      <c r="AUJ41" s="549"/>
      <c r="AUK41" s="549"/>
      <c r="AUL41" s="549"/>
      <c r="AUM41" s="549"/>
      <c r="AUN41" s="549"/>
      <c r="AUO41" s="549"/>
      <c r="AUP41" s="549"/>
      <c r="AUQ41" s="549"/>
      <c r="AUR41" s="549"/>
      <c r="AUS41" s="549"/>
      <c r="AUT41" s="549"/>
      <c r="AUU41" s="549"/>
      <c r="AUV41" s="549"/>
      <c r="AUW41" s="549"/>
      <c r="AUX41" s="549"/>
      <c r="AUY41" s="549"/>
      <c r="AUZ41" s="549"/>
      <c r="AVA41" s="549"/>
      <c r="AVB41" s="549"/>
      <c r="AVC41" s="549"/>
      <c r="AVD41" s="549"/>
      <c r="AVE41" s="549"/>
      <c r="AVF41" s="549"/>
      <c r="AVG41" s="549"/>
      <c r="AVH41" s="549"/>
      <c r="AVI41" s="549"/>
      <c r="AVJ41" s="549"/>
      <c r="AVK41" s="549"/>
      <c r="AVL41" s="549"/>
      <c r="AVM41" s="549"/>
      <c r="AVN41" s="549"/>
      <c r="AVO41" s="549"/>
      <c r="AVP41" s="549"/>
      <c r="AVQ41" s="549"/>
      <c r="AVR41" s="549"/>
      <c r="AVS41" s="549"/>
      <c r="AVT41" s="549"/>
      <c r="AVU41" s="549"/>
      <c r="AVV41" s="549"/>
      <c r="AVW41" s="549"/>
      <c r="AVX41" s="549"/>
      <c r="AVY41" s="549"/>
      <c r="AVZ41" s="549"/>
      <c r="AWA41" s="549"/>
      <c r="AWB41" s="549"/>
      <c r="AWC41" s="549"/>
      <c r="AWD41" s="549"/>
      <c r="AWE41" s="549"/>
      <c r="AWF41" s="549"/>
      <c r="AWG41" s="549"/>
      <c r="AWH41" s="549"/>
      <c r="AWI41" s="549"/>
      <c r="AWJ41" s="549"/>
      <c r="AWK41" s="549"/>
      <c r="AWL41" s="549"/>
      <c r="AWM41" s="549"/>
      <c r="AWN41" s="549"/>
      <c r="AWO41" s="549"/>
      <c r="AWP41" s="549"/>
      <c r="AWQ41" s="549"/>
      <c r="AWR41" s="549"/>
      <c r="AWS41" s="549"/>
      <c r="AWT41" s="549"/>
      <c r="AWU41" s="549"/>
      <c r="AWV41" s="549"/>
      <c r="AWW41" s="549"/>
      <c r="AWX41" s="549"/>
      <c r="AWY41" s="549"/>
      <c r="AWZ41" s="549"/>
      <c r="AXA41" s="549"/>
      <c r="AXB41" s="549"/>
      <c r="AXC41" s="549"/>
      <c r="AXD41" s="549"/>
      <c r="AXE41" s="549"/>
      <c r="AXF41" s="549"/>
      <c r="AXG41" s="549"/>
      <c r="AXH41" s="549"/>
      <c r="AXI41" s="549"/>
      <c r="AXJ41" s="549"/>
      <c r="AXK41" s="549"/>
      <c r="AXL41" s="549"/>
      <c r="AXM41" s="549"/>
      <c r="AXN41" s="549"/>
      <c r="AXO41" s="549"/>
      <c r="AXP41" s="549"/>
      <c r="AXQ41" s="549"/>
      <c r="AXR41" s="549"/>
      <c r="AXS41" s="549"/>
      <c r="AXT41" s="549"/>
      <c r="AXU41" s="549"/>
      <c r="AXV41" s="549"/>
      <c r="AXW41" s="549"/>
      <c r="AXX41" s="549"/>
      <c r="AXY41" s="549"/>
      <c r="AXZ41" s="549"/>
      <c r="AYA41" s="549"/>
      <c r="AYB41" s="549"/>
      <c r="AYC41" s="549"/>
      <c r="AYD41" s="549"/>
      <c r="AYE41" s="549"/>
      <c r="AYF41" s="549"/>
      <c r="AYG41" s="549"/>
      <c r="AYH41" s="549"/>
      <c r="AYI41" s="549"/>
      <c r="AYJ41" s="549"/>
      <c r="AYK41" s="549"/>
      <c r="AYL41" s="549"/>
      <c r="AYM41" s="549"/>
      <c r="AYN41" s="549"/>
      <c r="AYO41" s="549"/>
      <c r="AYP41" s="549"/>
      <c r="AYQ41" s="549"/>
      <c r="AYR41" s="549"/>
      <c r="AYS41" s="549"/>
      <c r="AYT41" s="549"/>
      <c r="AYU41" s="549"/>
      <c r="AYV41" s="549"/>
      <c r="AYW41" s="549"/>
      <c r="AYX41" s="549"/>
      <c r="AYY41" s="549"/>
      <c r="AYZ41" s="549"/>
      <c r="AZA41" s="549"/>
      <c r="AZB41" s="549"/>
      <c r="AZC41" s="549"/>
      <c r="AZD41" s="549"/>
      <c r="AZE41" s="549"/>
      <c r="AZF41" s="549"/>
      <c r="AZG41" s="549"/>
      <c r="AZH41" s="549"/>
      <c r="AZI41" s="549"/>
      <c r="AZJ41" s="549"/>
      <c r="AZK41" s="549"/>
      <c r="AZL41" s="549"/>
      <c r="AZM41" s="549"/>
      <c r="AZN41" s="549"/>
      <c r="AZO41" s="549"/>
      <c r="AZP41" s="549"/>
      <c r="AZQ41" s="549"/>
      <c r="AZR41" s="549"/>
      <c r="AZS41" s="549"/>
      <c r="AZT41" s="549"/>
      <c r="AZU41" s="549"/>
      <c r="AZV41" s="549"/>
      <c r="AZW41" s="549"/>
      <c r="AZX41" s="549"/>
      <c r="AZY41" s="549"/>
      <c r="AZZ41" s="549"/>
      <c r="BAA41" s="549"/>
      <c r="BAB41" s="549"/>
      <c r="BAC41" s="549"/>
      <c r="BAD41" s="549"/>
      <c r="BAE41" s="549"/>
      <c r="BAF41" s="549"/>
      <c r="BAG41" s="549"/>
      <c r="BAH41" s="549"/>
      <c r="BAI41" s="549"/>
      <c r="BAJ41" s="549"/>
      <c r="BAK41" s="549"/>
      <c r="BAL41" s="549"/>
      <c r="BAM41" s="549"/>
      <c r="BAN41" s="549"/>
      <c r="BAO41" s="549"/>
      <c r="BAP41" s="549"/>
      <c r="BAQ41" s="549"/>
      <c r="BAR41" s="549"/>
      <c r="BAS41" s="549"/>
      <c r="BAT41" s="549"/>
      <c r="BAU41" s="549"/>
      <c r="BAV41" s="549"/>
      <c r="BAW41" s="549"/>
      <c r="BAX41" s="549"/>
      <c r="BAY41" s="549"/>
      <c r="BAZ41" s="549"/>
      <c r="BBA41" s="549"/>
      <c r="BBB41" s="549"/>
      <c r="BBC41" s="549"/>
      <c r="BBD41" s="549"/>
      <c r="BBE41" s="549"/>
      <c r="BBF41" s="549"/>
      <c r="BBG41" s="549"/>
      <c r="BBH41" s="549"/>
      <c r="BBI41" s="549"/>
      <c r="BBJ41" s="549"/>
      <c r="BBK41" s="549"/>
      <c r="BBL41" s="549"/>
      <c r="BBM41" s="549"/>
      <c r="BBN41" s="549"/>
      <c r="BBO41" s="549"/>
      <c r="BBP41" s="549"/>
      <c r="BBQ41" s="549"/>
      <c r="BBR41" s="549"/>
      <c r="BBS41" s="549"/>
      <c r="BBT41" s="549"/>
      <c r="BBU41" s="549"/>
      <c r="BBV41" s="549"/>
      <c r="BBW41" s="549"/>
      <c r="BBX41" s="549"/>
      <c r="BBY41" s="549"/>
      <c r="BBZ41" s="549"/>
      <c r="BCA41" s="549"/>
      <c r="BCB41" s="549"/>
      <c r="BCC41" s="549"/>
      <c r="BCD41" s="549"/>
      <c r="BCE41" s="549"/>
      <c r="BCF41" s="549"/>
      <c r="BCG41" s="549"/>
      <c r="BCH41" s="549"/>
      <c r="BCI41" s="549"/>
      <c r="BCJ41" s="549"/>
      <c r="BCK41" s="549"/>
      <c r="BCL41" s="549"/>
      <c r="BCM41" s="549"/>
      <c r="BCN41" s="549"/>
      <c r="BCO41" s="549"/>
      <c r="BCP41" s="549"/>
      <c r="BCQ41" s="549"/>
      <c r="BCR41" s="549"/>
      <c r="BCS41" s="549"/>
      <c r="BCT41" s="549"/>
      <c r="BCU41" s="549"/>
      <c r="BCV41" s="549"/>
      <c r="BCW41" s="549"/>
      <c r="BCX41" s="549"/>
      <c r="BCY41" s="549"/>
      <c r="BCZ41" s="549"/>
      <c r="BDA41" s="549"/>
      <c r="BDB41" s="549"/>
      <c r="BDC41" s="549"/>
      <c r="BDD41" s="549"/>
      <c r="BDE41" s="549"/>
      <c r="BDF41" s="549"/>
      <c r="BDG41" s="549"/>
      <c r="BDH41" s="549"/>
      <c r="BDI41" s="549"/>
      <c r="BDJ41" s="549"/>
      <c r="BDK41" s="549"/>
      <c r="BDL41" s="549"/>
      <c r="BDM41" s="549"/>
      <c r="BDN41" s="549"/>
      <c r="BDO41" s="549"/>
      <c r="BDP41" s="549"/>
      <c r="BDQ41" s="549"/>
      <c r="BDR41" s="549"/>
      <c r="BDS41" s="549"/>
      <c r="BDT41" s="549"/>
      <c r="BDU41" s="549"/>
      <c r="BDV41" s="549"/>
      <c r="BDW41" s="549"/>
      <c r="BDX41" s="549"/>
      <c r="BDY41" s="549"/>
      <c r="BDZ41" s="549"/>
      <c r="BEA41" s="549"/>
      <c r="BEB41" s="549"/>
      <c r="BEC41" s="549"/>
      <c r="BED41" s="549"/>
      <c r="BEE41" s="549"/>
      <c r="BEF41" s="549"/>
      <c r="BEG41" s="549"/>
      <c r="BEH41" s="549"/>
      <c r="BEI41" s="549"/>
      <c r="BEJ41" s="549"/>
      <c r="BEK41" s="549"/>
      <c r="BEL41" s="549"/>
      <c r="BEM41" s="549"/>
      <c r="BEN41" s="549"/>
      <c r="BEO41" s="549"/>
      <c r="BEP41" s="549"/>
      <c r="BEQ41" s="549"/>
      <c r="BER41" s="549"/>
      <c r="BES41" s="549"/>
      <c r="BET41" s="549"/>
      <c r="BEU41" s="549"/>
      <c r="BEV41" s="549"/>
      <c r="BEW41" s="549"/>
      <c r="BEX41" s="549"/>
      <c r="BEY41" s="549"/>
      <c r="BEZ41" s="549"/>
      <c r="BFA41" s="549"/>
      <c r="BFB41" s="549"/>
      <c r="BFC41" s="549"/>
      <c r="BFD41" s="549"/>
      <c r="BFE41" s="549"/>
      <c r="BFF41" s="549"/>
      <c r="BFG41" s="549"/>
      <c r="BFH41" s="549"/>
      <c r="BFI41" s="549"/>
      <c r="BFJ41" s="549"/>
      <c r="BFK41" s="549"/>
      <c r="BFL41" s="549"/>
      <c r="BFM41" s="549"/>
      <c r="BFN41" s="549"/>
      <c r="BFO41" s="549"/>
      <c r="BFP41" s="549"/>
      <c r="BFQ41" s="549"/>
      <c r="BFR41" s="549"/>
      <c r="BFS41" s="549"/>
      <c r="BFT41" s="549"/>
      <c r="BFU41" s="549"/>
      <c r="BFV41" s="549"/>
      <c r="BFW41" s="549"/>
      <c r="BFX41" s="549"/>
      <c r="BFY41" s="549"/>
      <c r="BFZ41" s="549"/>
      <c r="BGA41" s="549"/>
      <c r="BGB41" s="549"/>
      <c r="BGC41" s="549"/>
      <c r="BGD41" s="549"/>
      <c r="BGE41" s="549"/>
      <c r="BGF41" s="549"/>
      <c r="BGG41" s="549"/>
      <c r="BGH41" s="549"/>
      <c r="BGI41" s="549"/>
      <c r="BGJ41" s="549"/>
      <c r="BGK41" s="549"/>
      <c r="BGL41" s="549"/>
      <c r="BGM41" s="549"/>
      <c r="BGN41" s="549"/>
      <c r="BGO41" s="549"/>
      <c r="BGP41" s="549"/>
      <c r="BGQ41" s="549"/>
      <c r="BGR41" s="549"/>
      <c r="BGS41" s="549"/>
      <c r="BGT41" s="549"/>
      <c r="BGU41" s="549"/>
      <c r="BGV41" s="549"/>
      <c r="BGW41" s="549"/>
      <c r="BGX41" s="549"/>
      <c r="BGY41" s="549"/>
      <c r="BGZ41" s="549"/>
      <c r="BHA41" s="549"/>
      <c r="BHB41" s="549"/>
      <c r="BHC41" s="549"/>
      <c r="BHD41" s="549"/>
      <c r="BHE41" s="549"/>
      <c r="BHF41" s="549"/>
      <c r="BHG41" s="549"/>
      <c r="BHH41" s="549"/>
      <c r="BHI41" s="549"/>
      <c r="BHJ41" s="549"/>
      <c r="BHK41" s="549"/>
      <c r="BHL41" s="549"/>
      <c r="BHM41" s="549"/>
      <c r="BHN41" s="549"/>
      <c r="BHO41" s="549"/>
      <c r="BHP41" s="549"/>
      <c r="BHQ41" s="549"/>
      <c r="BHR41" s="549"/>
      <c r="BHS41" s="549"/>
      <c r="BHT41" s="549"/>
      <c r="BHU41" s="549"/>
      <c r="BHV41" s="549"/>
      <c r="BHW41" s="549"/>
      <c r="BHX41" s="549"/>
      <c r="BHY41" s="549"/>
      <c r="BHZ41" s="549"/>
      <c r="BIA41" s="549"/>
      <c r="BIB41" s="549"/>
      <c r="BIC41" s="549"/>
      <c r="BID41" s="549"/>
      <c r="BIE41" s="549"/>
      <c r="BIF41" s="549"/>
      <c r="BIG41" s="549"/>
      <c r="BIH41" s="549"/>
      <c r="BII41" s="549"/>
      <c r="BIJ41" s="549"/>
      <c r="BIK41" s="549"/>
      <c r="BIL41" s="549"/>
      <c r="BIM41" s="549"/>
      <c r="BIN41" s="549"/>
      <c r="BIO41" s="549"/>
      <c r="BIP41" s="549"/>
      <c r="BIQ41" s="549"/>
      <c r="BIR41" s="549"/>
      <c r="BIS41" s="549"/>
      <c r="BIT41" s="549"/>
      <c r="BIU41" s="549"/>
      <c r="BIV41" s="549"/>
      <c r="BIW41" s="549"/>
      <c r="BIX41" s="549"/>
      <c r="BIY41" s="549"/>
      <c r="BIZ41" s="549"/>
      <c r="BJA41" s="549"/>
      <c r="BJB41" s="549"/>
      <c r="BJC41" s="549"/>
      <c r="BJD41" s="549"/>
      <c r="BJE41" s="549"/>
      <c r="BJF41" s="549"/>
      <c r="BJG41" s="549"/>
      <c r="BJH41" s="549"/>
      <c r="BJI41" s="549"/>
      <c r="BJJ41" s="549"/>
      <c r="BJK41" s="549"/>
      <c r="BJL41" s="549"/>
      <c r="BJM41" s="549"/>
      <c r="BJN41" s="549"/>
      <c r="BJO41" s="549"/>
      <c r="BJP41" s="549"/>
      <c r="BJQ41" s="549"/>
      <c r="BJR41" s="549"/>
      <c r="BJS41" s="549"/>
      <c r="BJT41" s="549"/>
      <c r="BJU41" s="549"/>
      <c r="BJV41" s="549"/>
      <c r="BJW41" s="549"/>
      <c r="BJX41" s="549"/>
      <c r="BJY41" s="549"/>
      <c r="BJZ41" s="549"/>
      <c r="BKA41" s="549"/>
      <c r="BKB41" s="549"/>
      <c r="BKC41" s="549"/>
      <c r="BKD41" s="549"/>
      <c r="BKE41" s="549"/>
      <c r="BKF41" s="549"/>
      <c r="BKG41" s="549"/>
      <c r="BKH41" s="549"/>
      <c r="BKI41" s="549"/>
      <c r="BKJ41" s="549"/>
      <c r="BKK41" s="549"/>
      <c r="BKL41" s="549"/>
      <c r="BKM41" s="549"/>
      <c r="BKN41" s="549"/>
      <c r="BKO41" s="549"/>
      <c r="BKP41" s="549"/>
      <c r="BKQ41" s="549"/>
      <c r="BKR41" s="549"/>
      <c r="BKS41" s="549"/>
      <c r="BKT41" s="549"/>
      <c r="BKU41" s="549"/>
      <c r="BKV41" s="549"/>
      <c r="BKW41" s="549"/>
      <c r="BKX41" s="549"/>
      <c r="BKY41" s="549"/>
      <c r="BKZ41" s="549"/>
      <c r="BLA41" s="549"/>
      <c r="BLB41" s="549"/>
      <c r="BLC41" s="549"/>
      <c r="BLD41" s="549"/>
      <c r="BLE41" s="549"/>
      <c r="BLF41" s="549"/>
      <c r="BLG41" s="549"/>
      <c r="BLH41" s="549"/>
      <c r="BLI41" s="549"/>
      <c r="BLJ41" s="549"/>
      <c r="BLK41" s="549"/>
      <c r="BLL41" s="549"/>
      <c r="BLM41" s="549"/>
      <c r="BLN41" s="549"/>
      <c r="BLO41" s="549"/>
      <c r="BLP41" s="549"/>
      <c r="BLQ41" s="549"/>
      <c r="BLR41" s="549"/>
      <c r="BLS41" s="549"/>
      <c r="BLT41" s="549"/>
      <c r="BLU41" s="549"/>
      <c r="BLV41" s="549"/>
      <c r="BLW41" s="549"/>
      <c r="BLX41" s="549"/>
      <c r="BLY41" s="549"/>
      <c r="BLZ41" s="549"/>
      <c r="BMA41" s="549"/>
      <c r="BMB41" s="549"/>
      <c r="BMC41" s="549"/>
      <c r="BMD41" s="549"/>
      <c r="BME41" s="549"/>
      <c r="BMF41" s="549"/>
      <c r="BMG41" s="549"/>
      <c r="BMH41" s="549"/>
      <c r="BMI41" s="549"/>
      <c r="BMJ41" s="549"/>
      <c r="BMK41" s="549"/>
      <c r="BML41" s="549"/>
      <c r="BMM41" s="549"/>
      <c r="BMN41" s="549"/>
      <c r="BMO41" s="549"/>
      <c r="BMP41" s="549"/>
      <c r="BMQ41" s="549"/>
      <c r="BMR41" s="549"/>
      <c r="BMS41" s="549"/>
      <c r="BMT41" s="549"/>
      <c r="BMU41" s="549"/>
      <c r="BMV41" s="549"/>
      <c r="BMW41" s="549"/>
      <c r="BMX41" s="549"/>
      <c r="BMY41" s="549"/>
      <c r="BMZ41" s="549"/>
      <c r="BNA41" s="549"/>
      <c r="BNB41" s="549"/>
      <c r="BNC41" s="549"/>
      <c r="BND41" s="549"/>
      <c r="BNE41" s="549"/>
      <c r="BNF41" s="549"/>
      <c r="BNG41" s="549"/>
      <c r="BNH41" s="549"/>
      <c r="BNI41" s="549"/>
      <c r="BNJ41" s="549"/>
      <c r="BNK41" s="549"/>
      <c r="BNL41" s="549"/>
      <c r="BNM41" s="549"/>
      <c r="BNN41" s="549"/>
      <c r="BNO41" s="549"/>
      <c r="BNP41" s="549"/>
      <c r="BNQ41" s="549"/>
      <c r="BNR41" s="549"/>
      <c r="BNS41" s="549"/>
      <c r="BNT41" s="549"/>
      <c r="BNU41" s="549"/>
      <c r="BNV41" s="549"/>
      <c r="BNW41" s="549"/>
      <c r="BNX41" s="549"/>
      <c r="BNY41" s="549"/>
      <c r="BNZ41" s="549"/>
      <c r="BOA41" s="549"/>
      <c r="BOB41" s="549"/>
      <c r="BOC41" s="549"/>
      <c r="BOD41" s="549"/>
      <c r="BOE41" s="549"/>
      <c r="BOF41" s="549"/>
      <c r="BOG41" s="549"/>
      <c r="BOH41" s="549"/>
      <c r="BOI41" s="549"/>
      <c r="BOJ41" s="549"/>
      <c r="BOK41" s="549"/>
      <c r="BOL41" s="549"/>
      <c r="BOM41" s="549"/>
      <c r="BON41" s="549"/>
      <c r="BOO41" s="549"/>
      <c r="BOP41" s="549"/>
      <c r="BOQ41" s="549"/>
      <c r="BOR41" s="549"/>
      <c r="BOS41" s="549"/>
      <c r="BOT41" s="549"/>
      <c r="BOU41" s="549"/>
      <c r="BOV41" s="549"/>
      <c r="BOW41" s="549"/>
      <c r="BOX41" s="549"/>
      <c r="BOY41" s="549"/>
      <c r="BOZ41" s="549"/>
      <c r="BPA41" s="549"/>
      <c r="BPB41" s="549"/>
      <c r="BPC41" s="549"/>
      <c r="BPD41" s="549"/>
      <c r="BPE41" s="549"/>
      <c r="BPF41" s="549"/>
      <c r="BPG41" s="549"/>
      <c r="BPH41" s="549"/>
      <c r="BPI41" s="549"/>
      <c r="BPJ41" s="549"/>
      <c r="BPK41" s="549"/>
      <c r="BPL41" s="549"/>
      <c r="BPM41" s="549"/>
      <c r="BPN41" s="549"/>
      <c r="BPO41" s="549"/>
      <c r="BPP41" s="549"/>
      <c r="BPQ41" s="549"/>
      <c r="BPR41" s="549"/>
      <c r="BPS41" s="549"/>
      <c r="BPT41" s="549"/>
      <c r="BPU41" s="549"/>
      <c r="BPV41" s="549"/>
      <c r="BPW41" s="549"/>
      <c r="BPX41" s="549"/>
      <c r="BPY41" s="549"/>
      <c r="BPZ41" s="549"/>
      <c r="BQA41" s="549"/>
      <c r="BQB41" s="549"/>
      <c r="BQC41" s="549"/>
      <c r="BQD41" s="549"/>
      <c r="BQE41" s="549"/>
      <c r="BQF41" s="549"/>
      <c r="BQG41" s="549"/>
      <c r="BQH41" s="549"/>
      <c r="BQI41" s="549"/>
      <c r="BQJ41" s="549"/>
      <c r="BQK41" s="549"/>
      <c r="BQL41" s="549"/>
      <c r="BQM41" s="549"/>
      <c r="BQN41" s="549"/>
      <c r="BQO41" s="549"/>
      <c r="BQP41" s="549"/>
      <c r="BQQ41" s="549"/>
      <c r="BQR41" s="549"/>
      <c r="BQS41" s="549"/>
      <c r="BQT41" s="549"/>
      <c r="BQU41" s="549"/>
      <c r="BQV41" s="549"/>
      <c r="BQW41" s="549"/>
      <c r="BQX41" s="549"/>
      <c r="BQY41" s="549"/>
      <c r="BQZ41" s="549"/>
      <c r="BRA41" s="549"/>
      <c r="BRB41" s="549"/>
      <c r="BRC41" s="549"/>
      <c r="BRD41" s="549"/>
      <c r="BRE41" s="549"/>
      <c r="BRF41" s="549"/>
      <c r="BRG41" s="549"/>
      <c r="BRH41" s="549"/>
      <c r="BRI41" s="549"/>
      <c r="BRJ41" s="549"/>
      <c r="BRK41" s="549"/>
      <c r="BRL41" s="549"/>
      <c r="BRM41" s="549"/>
      <c r="BRN41" s="549"/>
      <c r="BRO41" s="549"/>
      <c r="BRP41" s="549"/>
      <c r="BRQ41" s="549"/>
      <c r="BRR41" s="549"/>
      <c r="BRS41" s="549"/>
      <c r="BRT41" s="549"/>
      <c r="BRU41" s="549"/>
      <c r="BRV41" s="549"/>
      <c r="BRW41" s="549"/>
      <c r="BRX41" s="549"/>
      <c r="BRY41" s="549"/>
      <c r="BRZ41" s="549"/>
      <c r="BSA41" s="549"/>
      <c r="BSB41" s="549"/>
      <c r="BSC41" s="549"/>
      <c r="BSD41" s="549"/>
      <c r="BSE41" s="549"/>
      <c r="BSF41" s="549"/>
      <c r="BSG41" s="549"/>
      <c r="BSH41" s="549"/>
      <c r="BSI41" s="549"/>
      <c r="BSJ41" s="549"/>
      <c r="BSK41" s="549"/>
      <c r="BSL41" s="549"/>
      <c r="BSM41" s="549"/>
      <c r="BSN41" s="549"/>
      <c r="BSO41" s="549"/>
      <c r="BSP41" s="549"/>
      <c r="BSQ41" s="549"/>
      <c r="BSR41" s="549"/>
      <c r="BSS41" s="549"/>
      <c r="BST41" s="549"/>
      <c r="BSU41" s="549"/>
      <c r="BSV41" s="549"/>
      <c r="BSW41" s="549"/>
      <c r="BSX41" s="549"/>
      <c r="BSY41" s="549"/>
      <c r="BSZ41" s="549"/>
      <c r="BTA41" s="549"/>
      <c r="BTB41" s="549"/>
      <c r="BTC41" s="549"/>
      <c r="BTD41" s="549"/>
      <c r="BTE41" s="549"/>
      <c r="BTF41" s="549"/>
      <c r="BTG41" s="549"/>
      <c r="BTH41" s="549"/>
      <c r="BTI41" s="549"/>
      <c r="BTJ41" s="549"/>
      <c r="BTK41" s="549"/>
      <c r="BTL41" s="549"/>
      <c r="BTM41" s="549"/>
      <c r="BTN41" s="549"/>
      <c r="BTO41" s="549"/>
      <c r="BTP41" s="549"/>
      <c r="BTQ41" s="549"/>
      <c r="BTR41" s="549"/>
      <c r="BTS41" s="549"/>
      <c r="BTT41" s="549"/>
      <c r="BTU41" s="549"/>
      <c r="BTV41" s="549"/>
      <c r="BTW41" s="549"/>
      <c r="BTX41" s="549"/>
      <c r="BTY41" s="549"/>
      <c r="BTZ41" s="549"/>
      <c r="BUA41" s="549"/>
      <c r="BUB41" s="549"/>
      <c r="BUC41" s="549"/>
      <c r="BUD41" s="549"/>
      <c r="BUE41" s="549"/>
      <c r="BUF41" s="549"/>
      <c r="BUG41" s="549"/>
      <c r="BUH41" s="549"/>
      <c r="BUI41" s="549"/>
      <c r="BUJ41" s="549"/>
      <c r="BUK41" s="549"/>
      <c r="BUL41" s="549"/>
      <c r="BUM41" s="549"/>
      <c r="BUN41" s="549"/>
      <c r="BUO41" s="549"/>
      <c r="BUP41" s="549"/>
      <c r="BUQ41" s="549"/>
      <c r="BUR41" s="549"/>
      <c r="BUS41" s="549"/>
      <c r="BUT41" s="549"/>
      <c r="BUU41" s="549"/>
      <c r="BUV41" s="549"/>
      <c r="BUW41" s="549"/>
      <c r="BUX41" s="549"/>
      <c r="BUY41" s="549"/>
      <c r="BUZ41" s="549"/>
      <c r="BVA41" s="549"/>
      <c r="BVB41" s="549"/>
      <c r="BVC41" s="549"/>
      <c r="BVD41" s="549"/>
      <c r="BVE41" s="549"/>
      <c r="BVF41" s="549"/>
      <c r="BVG41" s="549"/>
      <c r="BVH41" s="549"/>
      <c r="BVI41" s="549"/>
      <c r="BVJ41" s="549"/>
      <c r="BVK41" s="549"/>
      <c r="BVL41" s="549"/>
      <c r="BVM41" s="549"/>
      <c r="BVN41" s="549"/>
      <c r="BVO41" s="549"/>
      <c r="BVP41" s="549"/>
      <c r="BVQ41" s="549"/>
      <c r="BVR41" s="549"/>
      <c r="BVS41" s="549"/>
      <c r="BVT41" s="549"/>
      <c r="BVU41" s="549"/>
      <c r="BVV41" s="549"/>
      <c r="BVW41" s="549"/>
      <c r="BVX41" s="549"/>
      <c r="BVY41" s="549"/>
      <c r="BVZ41" s="549"/>
      <c r="BWA41" s="549"/>
      <c r="BWB41" s="549"/>
      <c r="BWC41" s="549"/>
      <c r="BWD41" s="549"/>
      <c r="BWE41" s="549"/>
      <c r="BWF41" s="549"/>
      <c r="BWG41" s="549"/>
      <c r="BWH41" s="549"/>
      <c r="BWI41" s="549"/>
      <c r="BWJ41" s="549"/>
      <c r="BWK41" s="549"/>
      <c r="BWL41" s="549"/>
      <c r="BWM41" s="549"/>
      <c r="BWN41" s="549"/>
      <c r="BWO41" s="549"/>
      <c r="BWP41" s="549"/>
      <c r="BWQ41" s="549"/>
      <c r="BWR41" s="549"/>
      <c r="BWS41" s="549"/>
      <c r="BWT41" s="549"/>
      <c r="BWU41" s="549"/>
      <c r="BWV41" s="549"/>
      <c r="BWW41" s="549"/>
      <c r="BWX41" s="549"/>
      <c r="BWY41" s="549"/>
      <c r="BWZ41" s="549"/>
      <c r="BXA41" s="549"/>
      <c r="BXB41" s="549"/>
      <c r="BXC41" s="549"/>
      <c r="BXD41" s="549"/>
      <c r="BXE41" s="549"/>
      <c r="BXF41" s="549"/>
      <c r="BXG41" s="549"/>
      <c r="BXH41" s="549"/>
      <c r="BXI41" s="549"/>
      <c r="BXJ41" s="549"/>
      <c r="BXK41" s="549"/>
      <c r="BXL41" s="549"/>
      <c r="BXM41" s="549"/>
      <c r="BXN41" s="549"/>
      <c r="BXO41" s="549"/>
      <c r="BXP41" s="549"/>
      <c r="BXQ41" s="549"/>
      <c r="BXR41" s="549"/>
      <c r="BXS41" s="549"/>
      <c r="BXT41" s="549"/>
      <c r="BXU41" s="549"/>
      <c r="BXV41" s="549"/>
      <c r="BXW41" s="549"/>
      <c r="BXX41" s="549"/>
      <c r="BXY41" s="549"/>
      <c r="BXZ41" s="549"/>
      <c r="BYA41" s="549"/>
      <c r="BYB41" s="549"/>
      <c r="BYC41" s="549"/>
      <c r="BYD41" s="549"/>
      <c r="BYE41" s="549"/>
      <c r="BYF41" s="549"/>
      <c r="BYG41" s="549"/>
      <c r="BYH41" s="549"/>
      <c r="BYI41" s="549"/>
      <c r="BYJ41" s="549"/>
      <c r="BYK41" s="549"/>
      <c r="BYL41" s="549"/>
      <c r="BYM41" s="549"/>
      <c r="BYN41" s="549"/>
      <c r="BYO41" s="549"/>
      <c r="BYP41" s="549"/>
      <c r="BYQ41" s="549"/>
      <c r="BYR41" s="549"/>
      <c r="BYS41" s="549"/>
      <c r="BYT41" s="549"/>
      <c r="BYU41" s="549"/>
      <c r="BYV41" s="549"/>
      <c r="BYW41" s="549"/>
      <c r="BYX41" s="549"/>
      <c r="BYY41" s="549"/>
      <c r="BYZ41" s="549"/>
      <c r="BZA41" s="549"/>
      <c r="BZB41" s="549"/>
      <c r="BZC41" s="549"/>
      <c r="BZD41" s="549"/>
      <c r="BZE41" s="549"/>
      <c r="BZF41" s="549"/>
      <c r="BZG41" s="549"/>
      <c r="BZH41" s="549"/>
      <c r="BZI41" s="549"/>
      <c r="BZJ41" s="549"/>
      <c r="BZK41" s="549"/>
      <c r="BZL41" s="549"/>
      <c r="BZM41" s="549"/>
      <c r="BZN41" s="549"/>
      <c r="BZO41" s="549"/>
      <c r="BZP41" s="549"/>
      <c r="BZQ41" s="549"/>
      <c r="BZR41" s="549"/>
      <c r="BZS41" s="549"/>
      <c r="BZT41" s="549"/>
      <c r="BZU41" s="549"/>
      <c r="BZV41" s="549"/>
      <c r="BZW41" s="549"/>
      <c r="BZX41" s="549"/>
      <c r="BZY41" s="549"/>
      <c r="BZZ41" s="549"/>
      <c r="CAA41" s="549"/>
      <c r="CAB41" s="549"/>
      <c r="CAC41" s="549"/>
      <c r="CAD41" s="549"/>
      <c r="CAE41" s="549"/>
      <c r="CAF41" s="549"/>
      <c r="CAG41" s="549"/>
      <c r="CAH41" s="549"/>
      <c r="CAI41" s="549"/>
      <c r="CAJ41" s="549"/>
      <c r="CAK41" s="549"/>
      <c r="CAL41" s="549"/>
      <c r="CAM41" s="549"/>
      <c r="CAN41" s="549"/>
      <c r="CAO41" s="549"/>
      <c r="CAP41" s="549"/>
      <c r="CAQ41" s="549"/>
      <c r="CAR41" s="549"/>
      <c r="CAS41" s="549"/>
      <c r="CAT41" s="549"/>
      <c r="CAU41" s="549"/>
      <c r="CAV41" s="549"/>
      <c r="CAW41" s="549"/>
      <c r="CAX41" s="549"/>
      <c r="CAY41" s="549"/>
      <c r="CAZ41" s="549"/>
      <c r="CBA41" s="549"/>
      <c r="CBB41" s="549"/>
      <c r="CBC41" s="549"/>
      <c r="CBD41" s="549"/>
      <c r="CBE41" s="549"/>
      <c r="CBF41" s="549"/>
      <c r="CBG41" s="549"/>
      <c r="CBH41" s="549"/>
      <c r="CBI41" s="549"/>
      <c r="CBJ41" s="549"/>
      <c r="CBK41" s="549"/>
      <c r="CBL41" s="549"/>
      <c r="CBM41" s="549"/>
      <c r="CBN41" s="549"/>
      <c r="CBO41" s="549"/>
      <c r="CBP41" s="549"/>
      <c r="CBQ41" s="549"/>
      <c r="CBR41" s="549"/>
      <c r="CBS41" s="549"/>
      <c r="CBT41" s="549"/>
      <c r="CBU41" s="549"/>
      <c r="CBV41" s="549"/>
      <c r="CBW41" s="549"/>
      <c r="CBX41" s="549"/>
      <c r="CBY41" s="549"/>
      <c r="CBZ41" s="549"/>
      <c r="CCA41" s="549"/>
      <c r="CCB41" s="549"/>
      <c r="CCC41" s="549"/>
      <c r="CCD41" s="549"/>
      <c r="CCE41" s="549"/>
      <c r="CCF41" s="549"/>
      <c r="CCG41" s="549"/>
      <c r="CCH41" s="549"/>
      <c r="CCI41" s="549"/>
      <c r="CCJ41" s="549"/>
      <c r="CCK41" s="549"/>
      <c r="CCL41" s="549"/>
      <c r="CCM41" s="549"/>
      <c r="CCN41" s="549"/>
      <c r="CCO41" s="549"/>
      <c r="CCP41" s="549"/>
      <c r="CCQ41" s="549"/>
      <c r="CCR41" s="549"/>
      <c r="CCS41" s="549"/>
      <c r="CCT41" s="549"/>
      <c r="CCU41" s="549"/>
      <c r="CCV41" s="549"/>
      <c r="CCW41" s="549"/>
      <c r="CCX41" s="549"/>
      <c r="CCY41" s="549"/>
      <c r="CCZ41" s="549"/>
      <c r="CDA41" s="549"/>
      <c r="CDB41" s="549"/>
      <c r="CDC41" s="549"/>
      <c r="CDD41" s="549"/>
      <c r="CDE41" s="549"/>
      <c r="CDF41" s="549"/>
      <c r="CDG41" s="549"/>
      <c r="CDH41" s="549"/>
      <c r="CDI41" s="549"/>
      <c r="CDJ41" s="549"/>
      <c r="CDK41" s="549"/>
      <c r="CDL41" s="549"/>
      <c r="CDM41" s="549"/>
      <c r="CDN41" s="549"/>
      <c r="CDO41" s="549"/>
      <c r="CDP41" s="549"/>
      <c r="CDQ41" s="549"/>
      <c r="CDR41" s="549"/>
      <c r="CDS41" s="549"/>
      <c r="CDT41" s="549"/>
      <c r="CDU41" s="549"/>
      <c r="CDV41" s="549"/>
      <c r="CDW41" s="549"/>
      <c r="CDX41" s="549"/>
      <c r="CDY41" s="549"/>
      <c r="CDZ41" s="549"/>
      <c r="CEA41" s="549"/>
      <c r="CEB41" s="549"/>
      <c r="CEC41" s="549"/>
      <c r="CED41" s="549"/>
      <c r="CEE41" s="549"/>
      <c r="CEF41" s="549"/>
      <c r="CEG41" s="549"/>
      <c r="CEH41" s="549"/>
      <c r="CEI41" s="549"/>
      <c r="CEJ41" s="549"/>
      <c r="CEK41" s="549"/>
      <c r="CEL41" s="549"/>
      <c r="CEM41" s="549"/>
      <c r="CEN41" s="549"/>
      <c r="CEO41" s="549"/>
      <c r="CEP41" s="549"/>
      <c r="CEQ41" s="549"/>
      <c r="CER41" s="549"/>
      <c r="CES41" s="549"/>
      <c r="CET41" s="549"/>
      <c r="CEU41" s="549"/>
      <c r="CEV41" s="549"/>
      <c r="CEW41" s="549"/>
      <c r="CEX41" s="549"/>
      <c r="CEY41" s="549"/>
      <c r="CEZ41" s="549"/>
      <c r="CFA41" s="549"/>
      <c r="CFB41" s="549"/>
      <c r="CFC41" s="549"/>
      <c r="CFD41" s="549"/>
      <c r="CFE41" s="549"/>
      <c r="CFF41" s="549"/>
      <c r="CFG41" s="549"/>
      <c r="CFH41" s="549"/>
      <c r="CFI41" s="549"/>
      <c r="CFJ41" s="549"/>
      <c r="CFK41" s="549"/>
      <c r="CFL41" s="549"/>
      <c r="CFM41" s="549"/>
      <c r="CFN41" s="549"/>
      <c r="CFO41" s="549"/>
      <c r="CFP41" s="549"/>
      <c r="CFQ41" s="549"/>
      <c r="CFR41" s="549"/>
      <c r="CFS41" s="549"/>
      <c r="CFT41" s="549"/>
      <c r="CFU41" s="549"/>
      <c r="CFV41" s="549"/>
      <c r="CFW41" s="549"/>
      <c r="CFX41" s="549"/>
      <c r="CFY41" s="549"/>
      <c r="CFZ41" s="549"/>
      <c r="CGA41" s="549"/>
      <c r="CGB41" s="549"/>
      <c r="CGC41" s="549"/>
      <c r="CGD41" s="549"/>
      <c r="CGE41" s="549"/>
      <c r="CGF41" s="549"/>
      <c r="CGG41" s="549"/>
      <c r="CGH41" s="549"/>
      <c r="CGI41" s="549"/>
      <c r="CGJ41" s="549"/>
      <c r="CGK41" s="549"/>
      <c r="CGL41" s="549"/>
      <c r="CGM41" s="549"/>
      <c r="CGN41" s="549"/>
      <c r="CGO41" s="549"/>
      <c r="CGP41" s="549"/>
      <c r="CGQ41" s="549"/>
      <c r="CGR41" s="549"/>
      <c r="CGS41" s="549"/>
      <c r="CGT41" s="549"/>
      <c r="CGU41" s="549"/>
      <c r="CGV41" s="549"/>
      <c r="CGW41" s="549"/>
      <c r="CGX41" s="549"/>
      <c r="CGY41" s="549"/>
      <c r="CGZ41" s="549"/>
      <c r="CHA41" s="549"/>
      <c r="CHB41" s="549"/>
      <c r="CHC41" s="549"/>
      <c r="CHD41" s="549"/>
      <c r="CHE41" s="549"/>
      <c r="CHF41" s="549"/>
      <c r="CHG41" s="549"/>
      <c r="CHH41" s="549"/>
      <c r="CHI41" s="549"/>
      <c r="CHJ41" s="549"/>
      <c r="CHK41" s="549"/>
      <c r="CHL41" s="549"/>
      <c r="CHM41" s="549"/>
      <c r="CHN41" s="549"/>
      <c r="CHO41" s="549"/>
      <c r="CHP41" s="549"/>
      <c r="CHQ41" s="549"/>
      <c r="CHR41" s="549"/>
      <c r="CHS41" s="549"/>
      <c r="CHT41" s="549"/>
      <c r="CHU41" s="549"/>
      <c r="CHV41" s="549"/>
      <c r="CHW41" s="549"/>
      <c r="CHX41" s="549"/>
      <c r="CHY41" s="549"/>
      <c r="CHZ41" s="549"/>
      <c r="CIA41" s="549"/>
      <c r="CIB41" s="549"/>
      <c r="CIC41" s="549"/>
      <c r="CID41" s="549"/>
      <c r="CIE41" s="549"/>
      <c r="CIF41" s="549"/>
      <c r="CIG41" s="549"/>
      <c r="CIH41" s="549"/>
      <c r="CII41" s="549"/>
      <c r="CIJ41" s="549"/>
      <c r="CIK41" s="549"/>
      <c r="CIL41" s="549"/>
      <c r="CIM41" s="549"/>
      <c r="CIN41" s="549"/>
      <c r="CIO41" s="549"/>
      <c r="CIP41" s="549"/>
      <c r="CIQ41" s="549"/>
      <c r="CIR41" s="549"/>
      <c r="CIS41" s="549"/>
      <c r="CIT41" s="549"/>
      <c r="CIU41" s="549"/>
      <c r="CIV41" s="549"/>
      <c r="CIW41" s="549"/>
      <c r="CIX41" s="549"/>
      <c r="CIY41" s="549"/>
      <c r="CIZ41" s="549"/>
      <c r="CJA41" s="549"/>
      <c r="CJB41" s="549"/>
      <c r="CJC41" s="549"/>
      <c r="CJD41" s="549"/>
      <c r="CJE41" s="549"/>
      <c r="CJF41" s="549"/>
      <c r="CJG41" s="549"/>
      <c r="CJH41" s="549"/>
      <c r="CJI41" s="549"/>
      <c r="CJJ41" s="549"/>
      <c r="CJK41" s="549"/>
      <c r="CJL41" s="549"/>
      <c r="CJM41" s="549"/>
      <c r="CJN41" s="549"/>
      <c r="CJO41" s="549"/>
      <c r="CJP41" s="549"/>
      <c r="CJQ41" s="549"/>
      <c r="CJR41" s="549"/>
      <c r="CJS41" s="549"/>
      <c r="CJT41" s="549"/>
      <c r="CJU41" s="549"/>
      <c r="CJV41" s="549"/>
      <c r="CJW41" s="549"/>
      <c r="CJX41" s="549"/>
      <c r="CJY41" s="549"/>
      <c r="CJZ41" s="549"/>
      <c r="CKA41" s="549"/>
      <c r="CKB41" s="549"/>
      <c r="CKC41" s="549"/>
      <c r="CKD41" s="549"/>
      <c r="CKE41" s="549"/>
      <c r="CKF41" s="549"/>
      <c r="CKG41" s="549"/>
      <c r="CKH41" s="549"/>
      <c r="CKI41" s="549"/>
      <c r="CKJ41" s="549"/>
      <c r="CKK41" s="549"/>
      <c r="CKL41" s="549"/>
      <c r="CKM41" s="549"/>
      <c r="CKN41" s="549"/>
      <c r="CKO41" s="549"/>
      <c r="CKP41" s="549"/>
      <c r="CKQ41" s="549"/>
      <c r="CKR41" s="549"/>
      <c r="CKS41" s="549"/>
      <c r="CKT41" s="549"/>
      <c r="CKU41" s="549"/>
      <c r="CKV41" s="549"/>
      <c r="CKW41" s="549"/>
      <c r="CKX41" s="549"/>
      <c r="CKY41" s="549"/>
      <c r="CKZ41" s="549"/>
      <c r="CLA41" s="549"/>
      <c r="CLB41" s="549"/>
      <c r="CLC41" s="549"/>
      <c r="CLD41" s="549"/>
      <c r="CLE41" s="549"/>
      <c r="CLF41" s="549"/>
      <c r="CLG41" s="549"/>
      <c r="CLH41" s="549"/>
      <c r="CLI41" s="549"/>
      <c r="CLJ41" s="549"/>
      <c r="CLK41" s="549"/>
      <c r="CLL41" s="549"/>
      <c r="CLM41" s="549"/>
      <c r="CLN41" s="549"/>
      <c r="CLO41" s="549"/>
      <c r="CLP41" s="549"/>
      <c r="CLQ41" s="549"/>
      <c r="CLR41" s="549"/>
      <c r="CLS41" s="549"/>
      <c r="CLT41" s="549"/>
      <c r="CLU41" s="549"/>
      <c r="CLV41" s="549"/>
      <c r="CLW41" s="549"/>
      <c r="CLX41" s="549"/>
      <c r="CLY41" s="549"/>
      <c r="CLZ41" s="549"/>
      <c r="CMA41" s="549"/>
      <c r="CMB41" s="549"/>
      <c r="CMC41" s="549"/>
      <c r="CMD41" s="549"/>
      <c r="CME41" s="549"/>
      <c r="CMF41" s="549"/>
      <c r="CMG41" s="549"/>
      <c r="CMH41" s="549"/>
      <c r="CMI41" s="549"/>
      <c r="CMJ41" s="549"/>
      <c r="CMK41" s="549"/>
      <c r="CML41" s="549"/>
      <c r="CMM41" s="549"/>
      <c r="CMN41" s="549"/>
      <c r="CMO41" s="549"/>
      <c r="CMP41" s="549"/>
      <c r="CMQ41" s="549"/>
      <c r="CMR41" s="549"/>
      <c r="CMS41" s="549"/>
      <c r="CMT41" s="549"/>
      <c r="CMU41" s="549"/>
      <c r="CMV41" s="549"/>
      <c r="CMW41" s="549"/>
      <c r="CMX41" s="549"/>
      <c r="CMY41" s="549"/>
      <c r="CMZ41" s="549"/>
      <c r="CNA41" s="549"/>
      <c r="CNB41" s="549"/>
      <c r="CNC41" s="549"/>
      <c r="CND41" s="549"/>
      <c r="CNE41" s="549"/>
      <c r="CNF41" s="549"/>
      <c r="CNG41" s="549"/>
      <c r="CNH41" s="549"/>
      <c r="CNI41" s="549"/>
      <c r="CNJ41" s="549"/>
      <c r="CNK41" s="549"/>
      <c r="CNL41" s="549"/>
      <c r="CNM41" s="549"/>
      <c r="CNN41" s="549"/>
      <c r="CNO41" s="549"/>
      <c r="CNP41" s="549"/>
      <c r="CNQ41" s="549"/>
      <c r="CNR41" s="549"/>
      <c r="CNS41" s="549"/>
      <c r="CNT41" s="549"/>
      <c r="CNU41" s="549"/>
      <c r="CNV41" s="549"/>
      <c r="CNW41" s="549"/>
      <c r="CNX41" s="549"/>
      <c r="CNY41" s="549"/>
      <c r="CNZ41" s="549"/>
      <c r="COA41" s="549"/>
      <c r="COB41" s="549"/>
      <c r="COC41" s="549"/>
      <c r="COD41" s="549"/>
      <c r="COE41" s="549"/>
      <c r="COF41" s="549"/>
      <c r="COG41" s="549"/>
      <c r="COH41" s="549"/>
      <c r="COI41" s="549"/>
      <c r="COJ41" s="549"/>
      <c r="COK41" s="549"/>
      <c r="COL41" s="549"/>
      <c r="COM41" s="549"/>
      <c r="CON41" s="549"/>
      <c r="COO41" s="549"/>
      <c r="COP41" s="549"/>
      <c r="COQ41" s="549"/>
      <c r="COR41" s="549"/>
      <c r="COS41" s="549"/>
      <c r="COT41" s="549"/>
      <c r="COU41" s="549"/>
      <c r="COV41" s="549"/>
      <c r="COW41" s="549"/>
      <c r="COX41" s="549"/>
      <c r="COY41" s="549"/>
      <c r="COZ41" s="549"/>
      <c r="CPA41" s="549"/>
      <c r="CPB41" s="549"/>
      <c r="CPC41" s="549"/>
      <c r="CPD41" s="549"/>
      <c r="CPE41" s="549"/>
      <c r="CPF41" s="549"/>
      <c r="CPG41" s="549"/>
      <c r="CPH41" s="549"/>
      <c r="CPI41" s="549"/>
      <c r="CPJ41" s="549"/>
      <c r="CPK41" s="549"/>
      <c r="CPL41" s="549"/>
      <c r="CPM41" s="549"/>
      <c r="CPN41" s="549"/>
      <c r="CPO41" s="549"/>
      <c r="CPP41" s="549"/>
      <c r="CPQ41" s="549"/>
      <c r="CPR41" s="549"/>
      <c r="CPS41" s="549"/>
      <c r="CPT41" s="549"/>
      <c r="CPU41" s="549"/>
      <c r="CPV41" s="549"/>
      <c r="CPW41" s="549"/>
      <c r="CPX41" s="549"/>
      <c r="CPY41" s="549"/>
      <c r="CPZ41" s="549"/>
      <c r="CQA41" s="549"/>
      <c r="CQB41" s="549"/>
      <c r="CQC41" s="549"/>
      <c r="CQD41" s="549"/>
      <c r="CQE41" s="549"/>
      <c r="CQF41" s="549"/>
      <c r="CQG41" s="549"/>
      <c r="CQH41" s="549"/>
      <c r="CQI41" s="549"/>
      <c r="CQJ41" s="549"/>
      <c r="CQK41" s="549"/>
      <c r="CQL41" s="549"/>
      <c r="CQM41" s="549"/>
      <c r="CQN41" s="549"/>
      <c r="CQO41" s="549"/>
      <c r="CQP41" s="549"/>
      <c r="CQQ41" s="549"/>
      <c r="CQR41" s="549"/>
      <c r="CQS41" s="549"/>
      <c r="CQT41" s="549"/>
      <c r="CQU41" s="549"/>
      <c r="CQV41" s="549"/>
      <c r="CQW41" s="549"/>
      <c r="CQX41" s="549"/>
      <c r="CQY41" s="549"/>
      <c r="CQZ41" s="549"/>
      <c r="CRA41" s="549"/>
      <c r="CRB41" s="549"/>
      <c r="CRC41" s="549"/>
      <c r="CRD41" s="549"/>
      <c r="CRE41" s="549"/>
      <c r="CRF41" s="549"/>
      <c r="CRG41" s="549"/>
      <c r="CRH41" s="549"/>
      <c r="CRI41" s="549"/>
      <c r="CRJ41" s="549"/>
      <c r="CRK41" s="549"/>
      <c r="CRL41" s="549"/>
      <c r="CRM41" s="549"/>
      <c r="CRN41" s="549"/>
      <c r="CRO41" s="549"/>
      <c r="CRP41" s="549"/>
      <c r="CRQ41" s="549"/>
      <c r="CRR41" s="549"/>
      <c r="CRS41" s="549"/>
      <c r="CRT41" s="549"/>
      <c r="CRU41" s="549"/>
      <c r="CRV41" s="549"/>
      <c r="CRW41" s="549"/>
      <c r="CRX41" s="549"/>
      <c r="CRY41" s="549"/>
      <c r="CRZ41" s="549"/>
      <c r="CSA41" s="549"/>
      <c r="CSB41" s="549"/>
      <c r="CSC41" s="549"/>
      <c r="CSD41" s="549"/>
      <c r="CSE41" s="549"/>
      <c r="CSF41" s="549"/>
      <c r="CSG41" s="549"/>
      <c r="CSH41" s="549"/>
      <c r="CSI41" s="549"/>
      <c r="CSJ41" s="549"/>
      <c r="CSK41" s="549"/>
      <c r="CSL41" s="549"/>
      <c r="CSM41" s="549"/>
      <c r="CSN41" s="549"/>
      <c r="CSO41" s="549"/>
      <c r="CSP41" s="549"/>
      <c r="CSQ41" s="549"/>
      <c r="CSR41" s="549"/>
      <c r="CSS41" s="549"/>
      <c r="CST41" s="549"/>
      <c r="CSU41" s="549"/>
      <c r="CSV41" s="549"/>
      <c r="CSW41" s="549"/>
      <c r="CSX41" s="549"/>
      <c r="CSY41" s="549"/>
      <c r="CSZ41" s="549"/>
      <c r="CTA41" s="549"/>
      <c r="CTB41" s="549"/>
      <c r="CTC41" s="549"/>
      <c r="CTD41" s="549"/>
      <c r="CTE41" s="549"/>
      <c r="CTF41" s="549"/>
      <c r="CTG41" s="549"/>
      <c r="CTH41" s="549"/>
      <c r="CTI41" s="549"/>
      <c r="CTJ41" s="549"/>
      <c r="CTK41" s="549"/>
      <c r="CTL41" s="549"/>
      <c r="CTM41" s="549"/>
      <c r="CTN41" s="549"/>
      <c r="CTO41" s="549"/>
      <c r="CTP41" s="549"/>
      <c r="CTQ41" s="549"/>
      <c r="CTR41" s="549"/>
      <c r="CTS41" s="549"/>
      <c r="CTT41" s="549"/>
      <c r="CTU41" s="549"/>
      <c r="CTV41" s="549"/>
      <c r="CTW41" s="549"/>
      <c r="CTX41" s="549"/>
      <c r="CTY41" s="549"/>
      <c r="CTZ41" s="549"/>
      <c r="CUA41" s="549"/>
      <c r="CUB41" s="549"/>
      <c r="CUC41" s="549"/>
      <c r="CUD41" s="549"/>
      <c r="CUE41" s="549"/>
      <c r="CUF41" s="549"/>
      <c r="CUG41" s="549"/>
      <c r="CUH41" s="549"/>
      <c r="CUI41" s="549"/>
      <c r="CUJ41" s="549"/>
      <c r="CUK41" s="549"/>
      <c r="CUL41" s="549"/>
      <c r="CUM41" s="549"/>
      <c r="CUN41" s="549"/>
      <c r="CUO41" s="549"/>
      <c r="CUP41" s="549"/>
      <c r="CUQ41" s="549"/>
      <c r="CUR41" s="549"/>
      <c r="CUS41" s="549"/>
      <c r="CUT41" s="549"/>
      <c r="CUU41" s="549"/>
      <c r="CUV41" s="549"/>
      <c r="CUW41" s="549"/>
      <c r="CUX41" s="549"/>
      <c r="CUY41" s="549"/>
      <c r="CUZ41" s="549"/>
      <c r="CVA41" s="549"/>
      <c r="CVB41" s="549"/>
      <c r="CVC41" s="549"/>
      <c r="CVD41" s="549"/>
      <c r="CVE41" s="549"/>
      <c r="CVF41" s="549"/>
      <c r="CVG41" s="549"/>
      <c r="CVH41" s="549"/>
      <c r="CVI41" s="549"/>
      <c r="CVJ41" s="549"/>
      <c r="CVK41" s="549"/>
      <c r="CVL41" s="549"/>
      <c r="CVM41" s="549"/>
      <c r="CVN41" s="549"/>
      <c r="CVO41" s="549"/>
      <c r="CVP41" s="549"/>
      <c r="CVQ41" s="549"/>
      <c r="CVR41" s="549"/>
      <c r="CVS41" s="549"/>
      <c r="CVT41" s="549"/>
      <c r="CVU41" s="549"/>
      <c r="CVV41" s="549"/>
      <c r="CVW41" s="549"/>
      <c r="CVX41" s="549"/>
      <c r="CVY41" s="549"/>
      <c r="CVZ41" s="549"/>
      <c r="CWA41" s="549"/>
      <c r="CWB41" s="549"/>
      <c r="CWC41" s="549"/>
      <c r="CWD41" s="549"/>
      <c r="CWE41" s="549"/>
      <c r="CWF41" s="549"/>
      <c r="CWG41" s="549"/>
      <c r="CWH41" s="549"/>
      <c r="CWI41" s="549"/>
      <c r="CWJ41" s="549"/>
      <c r="CWK41" s="549"/>
      <c r="CWL41" s="549"/>
      <c r="CWM41" s="549"/>
      <c r="CWN41" s="549"/>
      <c r="CWO41" s="549"/>
      <c r="CWP41" s="549"/>
      <c r="CWQ41" s="549"/>
      <c r="CWR41" s="549"/>
      <c r="CWS41" s="549"/>
      <c r="CWT41" s="549"/>
      <c r="CWU41" s="549"/>
      <c r="CWV41" s="549"/>
      <c r="CWW41" s="549"/>
      <c r="CWX41" s="549"/>
      <c r="CWY41" s="549"/>
      <c r="CWZ41" s="549"/>
      <c r="CXA41" s="549"/>
      <c r="CXB41" s="549"/>
      <c r="CXC41" s="549"/>
      <c r="CXD41" s="549"/>
      <c r="CXE41" s="549"/>
      <c r="CXF41" s="549"/>
      <c r="CXG41" s="549"/>
      <c r="CXH41" s="549"/>
      <c r="CXI41" s="549"/>
      <c r="CXJ41" s="549"/>
      <c r="CXK41" s="549"/>
      <c r="CXL41" s="549"/>
      <c r="CXM41" s="549"/>
      <c r="CXN41" s="549"/>
      <c r="CXO41" s="549"/>
      <c r="CXP41" s="549"/>
      <c r="CXQ41" s="549"/>
      <c r="CXR41" s="549"/>
      <c r="CXS41" s="549"/>
      <c r="CXT41" s="549"/>
      <c r="CXU41" s="549"/>
      <c r="CXV41" s="549"/>
      <c r="CXW41" s="549"/>
      <c r="CXX41" s="549"/>
      <c r="CXY41" s="549"/>
      <c r="CXZ41" s="549"/>
      <c r="CYA41" s="549"/>
      <c r="CYB41" s="549"/>
      <c r="CYC41" s="549"/>
      <c r="CYD41" s="549"/>
      <c r="CYE41" s="549"/>
      <c r="CYF41" s="549"/>
      <c r="CYG41" s="549"/>
      <c r="CYH41" s="549"/>
      <c r="CYI41" s="549"/>
      <c r="CYJ41" s="549"/>
      <c r="CYK41" s="549"/>
      <c r="CYL41" s="549"/>
      <c r="CYM41" s="549"/>
      <c r="CYN41" s="549"/>
      <c r="CYO41" s="549"/>
      <c r="CYP41" s="549"/>
      <c r="CYQ41" s="549"/>
      <c r="CYR41" s="549"/>
      <c r="CYS41" s="549"/>
      <c r="CYT41" s="549"/>
      <c r="CYU41" s="549"/>
      <c r="CYV41" s="549"/>
      <c r="CYW41" s="549"/>
      <c r="CYX41" s="549"/>
      <c r="CYY41" s="549"/>
      <c r="CYZ41" s="549"/>
      <c r="CZA41" s="549"/>
      <c r="CZB41" s="549"/>
      <c r="CZC41" s="549"/>
      <c r="CZD41" s="549"/>
      <c r="CZE41" s="549"/>
      <c r="CZF41" s="549"/>
      <c r="CZG41" s="549"/>
      <c r="CZH41" s="549"/>
      <c r="CZI41" s="549"/>
      <c r="CZJ41" s="549"/>
      <c r="CZK41" s="549"/>
      <c r="CZL41" s="549"/>
      <c r="CZM41" s="549"/>
      <c r="CZN41" s="549"/>
      <c r="CZO41" s="549"/>
      <c r="CZP41" s="549"/>
      <c r="CZQ41" s="549"/>
      <c r="CZR41" s="549"/>
      <c r="CZS41" s="549"/>
      <c r="CZT41" s="549"/>
      <c r="CZU41" s="549"/>
      <c r="CZV41" s="549"/>
      <c r="CZW41" s="549"/>
      <c r="CZX41" s="549"/>
      <c r="CZY41" s="549"/>
      <c r="CZZ41" s="549"/>
      <c r="DAA41" s="549"/>
      <c r="DAB41" s="549"/>
      <c r="DAC41" s="549"/>
      <c r="DAD41" s="549"/>
      <c r="DAE41" s="549"/>
      <c r="DAF41" s="549"/>
      <c r="DAG41" s="549"/>
      <c r="DAH41" s="549"/>
      <c r="DAI41" s="549"/>
      <c r="DAJ41" s="549"/>
      <c r="DAK41" s="549"/>
      <c r="DAL41" s="549"/>
      <c r="DAM41" s="549"/>
      <c r="DAN41" s="549"/>
      <c r="DAO41" s="549"/>
      <c r="DAP41" s="549"/>
      <c r="DAQ41" s="549"/>
      <c r="DAR41" s="549"/>
      <c r="DAS41" s="549"/>
      <c r="DAT41" s="549"/>
      <c r="DAU41" s="549"/>
      <c r="DAV41" s="549"/>
      <c r="DAW41" s="549"/>
      <c r="DAX41" s="549"/>
      <c r="DAY41" s="549"/>
      <c r="DAZ41" s="549"/>
      <c r="DBA41" s="549"/>
      <c r="DBB41" s="549"/>
      <c r="DBC41" s="549"/>
      <c r="DBD41" s="549"/>
      <c r="DBE41" s="549"/>
      <c r="DBF41" s="549"/>
      <c r="DBG41" s="549"/>
      <c r="DBH41" s="549"/>
      <c r="DBI41" s="549"/>
      <c r="DBJ41" s="549"/>
      <c r="DBK41" s="549"/>
      <c r="DBL41" s="549"/>
      <c r="DBM41" s="549"/>
      <c r="DBN41" s="549"/>
      <c r="DBO41" s="549"/>
      <c r="DBP41" s="549"/>
      <c r="DBQ41" s="549"/>
      <c r="DBR41" s="549"/>
      <c r="DBS41" s="549"/>
      <c r="DBT41" s="549"/>
      <c r="DBU41" s="549"/>
      <c r="DBV41" s="549"/>
      <c r="DBW41" s="549"/>
      <c r="DBX41" s="549"/>
      <c r="DBY41" s="549"/>
      <c r="DBZ41" s="549"/>
      <c r="DCA41" s="549"/>
      <c r="DCB41" s="549"/>
      <c r="DCC41" s="549"/>
      <c r="DCD41" s="549"/>
      <c r="DCE41" s="549"/>
      <c r="DCF41" s="549"/>
      <c r="DCG41" s="549"/>
      <c r="DCH41" s="549"/>
      <c r="DCI41" s="549"/>
      <c r="DCJ41" s="549"/>
      <c r="DCK41" s="549"/>
      <c r="DCL41" s="549"/>
      <c r="DCM41" s="549"/>
      <c r="DCN41" s="549"/>
      <c r="DCO41" s="549"/>
      <c r="DCP41" s="549"/>
      <c r="DCQ41" s="549"/>
      <c r="DCR41" s="549"/>
      <c r="DCS41" s="549"/>
      <c r="DCT41" s="549"/>
      <c r="DCU41" s="549"/>
      <c r="DCV41" s="549"/>
      <c r="DCW41" s="549"/>
      <c r="DCX41" s="549"/>
      <c r="DCY41" s="549"/>
      <c r="DCZ41" s="549"/>
      <c r="DDA41" s="549"/>
      <c r="DDB41" s="549"/>
      <c r="DDC41" s="549"/>
      <c r="DDD41" s="549"/>
      <c r="DDE41" s="549"/>
      <c r="DDF41" s="549"/>
      <c r="DDG41" s="549"/>
      <c r="DDH41" s="549"/>
      <c r="DDI41" s="549"/>
      <c r="DDJ41" s="549"/>
      <c r="DDK41" s="549"/>
      <c r="DDL41" s="549"/>
      <c r="DDM41" s="549"/>
      <c r="DDN41" s="549"/>
      <c r="DDO41" s="549"/>
      <c r="DDP41" s="549"/>
      <c r="DDQ41" s="549"/>
      <c r="DDR41" s="549"/>
      <c r="DDS41" s="549"/>
      <c r="DDT41" s="549"/>
      <c r="DDU41" s="549"/>
      <c r="DDV41" s="549"/>
      <c r="DDW41" s="549"/>
      <c r="DDX41" s="549"/>
      <c r="DDY41" s="549"/>
      <c r="DDZ41" s="549"/>
      <c r="DEA41" s="549"/>
      <c r="DEB41" s="549"/>
      <c r="DEC41" s="549"/>
      <c r="DED41" s="549"/>
      <c r="DEE41" s="549"/>
      <c r="DEF41" s="549"/>
      <c r="DEG41" s="549"/>
      <c r="DEH41" s="549"/>
      <c r="DEI41" s="549"/>
      <c r="DEJ41" s="549"/>
      <c r="DEK41" s="549"/>
      <c r="DEL41" s="549"/>
      <c r="DEM41" s="549"/>
      <c r="DEN41" s="549"/>
      <c r="DEO41" s="549"/>
      <c r="DEP41" s="549"/>
      <c r="DEQ41" s="549"/>
      <c r="DER41" s="549"/>
      <c r="DES41" s="549"/>
      <c r="DET41" s="549"/>
      <c r="DEU41" s="549"/>
      <c r="DEV41" s="549"/>
      <c r="DEW41" s="549"/>
      <c r="DEX41" s="549"/>
      <c r="DEY41" s="549"/>
      <c r="DEZ41" s="549"/>
      <c r="DFA41" s="549"/>
      <c r="DFB41" s="549"/>
      <c r="DFC41" s="549"/>
      <c r="DFD41" s="549"/>
      <c r="DFE41" s="549"/>
      <c r="DFF41" s="549"/>
      <c r="DFG41" s="549"/>
      <c r="DFH41" s="549"/>
      <c r="DFI41" s="549"/>
      <c r="DFJ41" s="549"/>
      <c r="DFK41" s="549"/>
      <c r="DFL41" s="549"/>
      <c r="DFM41" s="549"/>
      <c r="DFN41" s="549"/>
      <c r="DFO41" s="549"/>
      <c r="DFP41" s="549"/>
      <c r="DFQ41" s="549"/>
      <c r="DFR41" s="549"/>
      <c r="DFS41" s="549"/>
      <c r="DFT41" s="549"/>
      <c r="DFU41" s="549"/>
      <c r="DFV41" s="549"/>
      <c r="DFW41" s="549"/>
      <c r="DFX41" s="549"/>
      <c r="DFY41" s="549"/>
      <c r="DFZ41" s="549"/>
      <c r="DGA41" s="549"/>
      <c r="DGB41" s="549"/>
      <c r="DGC41" s="549"/>
      <c r="DGD41" s="549"/>
      <c r="DGE41" s="549"/>
      <c r="DGF41" s="549"/>
      <c r="DGG41" s="549"/>
      <c r="DGH41" s="549"/>
      <c r="DGI41" s="549"/>
      <c r="DGJ41" s="549"/>
      <c r="DGK41" s="549"/>
      <c r="DGL41" s="549"/>
      <c r="DGM41" s="549"/>
      <c r="DGN41" s="549"/>
      <c r="DGO41" s="549"/>
      <c r="DGP41" s="549"/>
      <c r="DGQ41" s="549"/>
      <c r="DGR41" s="549"/>
      <c r="DGS41" s="549"/>
      <c r="DGT41" s="549"/>
      <c r="DGU41" s="549"/>
      <c r="DGV41" s="549"/>
      <c r="DGW41" s="549"/>
      <c r="DGX41" s="549"/>
      <c r="DGY41" s="549"/>
      <c r="DGZ41" s="549"/>
      <c r="DHA41" s="549"/>
      <c r="DHB41" s="549"/>
      <c r="DHC41" s="549"/>
      <c r="DHD41" s="549"/>
      <c r="DHE41" s="549"/>
      <c r="DHF41" s="549"/>
      <c r="DHG41" s="549"/>
      <c r="DHH41" s="549"/>
      <c r="DHI41" s="549"/>
      <c r="DHJ41" s="549"/>
      <c r="DHK41" s="549"/>
      <c r="DHL41" s="549"/>
      <c r="DHM41" s="549"/>
      <c r="DHN41" s="549"/>
      <c r="DHO41" s="549"/>
      <c r="DHP41" s="549"/>
      <c r="DHQ41" s="549"/>
      <c r="DHR41" s="549"/>
      <c r="DHS41" s="549"/>
      <c r="DHT41" s="549"/>
      <c r="DHU41" s="549"/>
      <c r="DHV41" s="549"/>
      <c r="DHW41" s="549"/>
      <c r="DHX41" s="549"/>
      <c r="DHY41" s="549"/>
      <c r="DHZ41" s="549"/>
      <c r="DIA41" s="549"/>
      <c r="DIB41" s="549"/>
      <c r="DIC41" s="549"/>
      <c r="DID41" s="549"/>
      <c r="DIE41" s="549"/>
      <c r="DIF41" s="549"/>
      <c r="DIG41" s="549"/>
      <c r="DIH41" s="549"/>
      <c r="DII41" s="549"/>
      <c r="DIJ41" s="549"/>
      <c r="DIK41" s="549"/>
      <c r="DIL41" s="549"/>
      <c r="DIM41" s="549"/>
      <c r="DIN41" s="549"/>
      <c r="DIO41" s="549"/>
      <c r="DIP41" s="549"/>
      <c r="DIQ41" s="549"/>
      <c r="DIR41" s="549"/>
      <c r="DIS41" s="549"/>
      <c r="DIT41" s="549"/>
      <c r="DIU41" s="549"/>
      <c r="DIV41" s="549"/>
      <c r="DIW41" s="549"/>
      <c r="DIX41" s="549"/>
      <c r="DIY41" s="549"/>
      <c r="DIZ41" s="549"/>
      <c r="DJA41" s="549"/>
      <c r="DJB41" s="549"/>
      <c r="DJC41" s="549"/>
      <c r="DJD41" s="549"/>
      <c r="DJE41" s="549"/>
      <c r="DJF41" s="549"/>
      <c r="DJG41" s="549"/>
      <c r="DJH41" s="549"/>
      <c r="DJI41" s="549"/>
      <c r="DJJ41" s="549"/>
      <c r="DJK41" s="549"/>
      <c r="DJL41" s="549"/>
      <c r="DJM41" s="549"/>
      <c r="DJN41" s="549"/>
      <c r="DJO41" s="549"/>
      <c r="DJP41" s="549"/>
      <c r="DJQ41" s="549"/>
      <c r="DJR41" s="549"/>
      <c r="DJS41" s="549"/>
      <c r="DJT41" s="549"/>
      <c r="DJU41" s="549"/>
      <c r="DJV41" s="549"/>
      <c r="DJW41" s="549"/>
      <c r="DJX41" s="549"/>
      <c r="DJY41" s="549"/>
      <c r="DJZ41" s="549"/>
      <c r="DKA41" s="549"/>
      <c r="DKB41" s="549"/>
      <c r="DKC41" s="549"/>
      <c r="DKD41" s="549"/>
      <c r="DKE41" s="549"/>
      <c r="DKF41" s="549"/>
      <c r="DKG41" s="549"/>
      <c r="DKH41" s="549"/>
      <c r="DKI41" s="549"/>
      <c r="DKJ41" s="549"/>
      <c r="DKK41" s="549"/>
      <c r="DKL41" s="549"/>
      <c r="DKM41" s="549"/>
      <c r="DKN41" s="549"/>
      <c r="DKO41" s="549"/>
      <c r="DKP41" s="549"/>
      <c r="DKQ41" s="549"/>
      <c r="DKR41" s="549"/>
      <c r="DKS41" s="549"/>
      <c r="DKT41" s="549"/>
      <c r="DKU41" s="549"/>
      <c r="DKV41" s="549"/>
      <c r="DKW41" s="549"/>
      <c r="DKX41" s="549"/>
      <c r="DKY41" s="549"/>
      <c r="DKZ41" s="549"/>
      <c r="DLA41" s="549"/>
      <c r="DLB41" s="549"/>
      <c r="DLC41" s="549"/>
      <c r="DLD41" s="549"/>
      <c r="DLE41" s="549"/>
      <c r="DLF41" s="549"/>
      <c r="DLG41" s="549"/>
      <c r="DLH41" s="549"/>
      <c r="DLI41" s="549"/>
      <c r="DLJ41" s="549"/>
      <c r="DLK41" s="549"/>
      <c r="DLL41" s="549"/>
      <c r="DLM41" s="549"/>
      <c r="DLN41" s="549"/>
      <c r="DLO41" s="549"/>
      <c r="DLP41" s="549"/>
      <c r="DLQ41" s="549"/>
      <c r="DLR41" s="549"/>
      <c r="DLS41" s="549"/>
      <c r="DLT41" s="549"/>
      <c r="DLU41" s="549"/>
      <c r="DLV41" s="549"/>
      <c r="DLW41" s="549"/>
      <c r="DLX41" s="549"/>
      <c r="DLY41" s="549"/>
      <c r="DLZ41" s="549"/>
      <c r="DMA41" s="549"/>
      <c r="DMB41" s="549"/>
      <c r="DMC41" s="549"/>
      <c r="DMD41" s="549"/>
      <c r="DME41" s="549"/>
      <c r="DMF41" s="549"/>
      <c r="DMG41" s="549"/>
      <c r="DMH41" s="549"/>
      <c r="DMI41" s="549"/>
      <c r="DMJ41" s="549"/>
      <c r="DMK41" s="549"/>
      <c r="DML41" s="549"/>
      <c r="DMM41" s="549"/>
      <c r="DMN41" s="549"/>
      <c r="DMO41" s="549"/>
      <c r="DMP41" s="549"/>
      <c r="DMQ41" s="549"/>
      <c r="DMR41" s="549"/>
      <c r="DMS41" s="549"/>
      <c r="DMT41" s="549"/>
      <c r="DMU41" s="549"/>
      <c r="DMV41" s="549"/>
      <c r="DMW41" s="549"/>
      <c r="DMX41" s="549"/>
      <c r="DMY41" s="549"/>
      <c r="DMZ41" s="549"/>
      <c r="DNA41" s="549"/>
      <c r="DNB41" s="549"/>
      <c r="DNC41" s="549"/>
      <c r="DND41" s="549"/>
      <c r="DNE41" s="549"/>
      <c r="DNF41" s="549"/>
      <c r="DNG41" s="549"/>
      <c r="DNH41" s="549"/>
      <c r="DNI41" s="549"/>
      <c r="DNJ41" s="549"/>
      <c r="DNK41" s="549"/>
      <c r="DNL41" s="549"/>
      <c r="DNM41" s="549"/>
      <c r="DNN41" s="549"/>
      <c r="DNO41" s="549"/>
      <c r="DNP41" s="549"/>
      <c r="DNQ41" s="549"/>
      <c r="DNR41" s="549"/>
      <c r="DNS41" s="549"/>
      <c r="DNT41" s="549"/>
      <c r="DNU41" s="549"/>
      <c r="DNV41" s="549"/>
      <c r="DNW41" s="549"/>
      <c r="DNX41" s="549"/>
      <c r="DNY41" s="549"/>
      <c r="DNZ41" s="549"/>
      <c r="DOA41" s="549"/>
      <c r="DOB41" s="549"/>
      <c r="DOC41" s="549"/>
      <c r="DOD41" s="549"/>
      <c r="DOE41" s="549"/>
      <c r="DOF41" s="549"/>
      <c r="DOG41" s="549"/>
      <c r="DOH41" s="549"/>
      <c r="DOI41" s="549"/>
      <c r="DOJ41" s="549"/>
      <c r="DOK41" s="549"/>
      <c r="DOL41" s="549"/>
      <c r="DOM41" s="549"/>
      <c r="DON41" s="549"/>
      <c r="DOO41" s="549"/>
      <c r="DOP41" s="549"/>
      <c r="DOQ41" s="549"/>
      <c r="DOR41" s="549"/>
      <c r="DOS41" s="549"/>
      <c r="DOT41" s="549"/>
      <c r="DOU41" s="549"/>
      <c r="DOV41" s="549"/>
      <c r="DOW41" s="549"/>
      <c r="DOX41" s="549"/>
      <c r="DOY41" s="549"/>
      <c r="DOZ41" s="549"/>
      <c r="DPA41" s="549"/>
      <c r="DPB41" s="549"/>
      <c r="DPC41" s="549"/>
      <c r="DPD41" s="549"/>
      <c r="DPE41" s="549"/>
      <c r="DPF41" s="549"/>
      <c r="DPG41" s="549"/>
      <c r="DPH41" s="549"/>
      <c r="DPI41" s="549"/>
      <c r="DPJ41" s="549"/>
      <c r="DPK41" s="549"/>
      <c r="DPL41" s="549"/>
      <c r="DPM41" s="549"/>
      <c r="DPN41" s="549"/>
      <c r="DPO41" s="549"/>
      <c r="DPP41" s="549"/>
      <c r="DPQ41" s="549"/>
      <c r="DPR41" s="549"/>
      <c r="DPS41" s="549"/>
      <c r="DPT41" s="549"/>
      <c r="DPU41" s="549"/>
      <c r="DPV41" s="549"/>
      <c r="DPW41" s="549"/>
      <c r="DPX41" s="549"/>
      <c r="DPY41" s="549"/>
      <c r="DPZ41" s="549"/>
      <c r="DQA41" s="549"/>
      <c r="DQB41" s="549"/>
      <c r="DQC41" s="549"/>
      <c r="DQD41" s="549"/>
      <c r="DQE41" s="549"/>
      <c r="DQF41" s="549"/>
      <c r="DQG41" s="549"/>
      <c r="DQH41" s="549"/>
      <c r="DQI41" s="549"/>
      <c r="DQJ41" s="549"/>
      <c r="DQK41" s="549"/>
      <c r="DQL41" s="549"/>
      <c r="DQM41" s="549"/>
      <c r="DQN41" s="549"/>
      <c r="DQO41" s="549"/>
      <c r="DQP41" s="549"/>
      <c r="DQQ41" s="549"/>
      <c r="DQR41" s="549"/>
      <c r="DQS41" s="549"/>
      <c r="DQT41" s="549"/>
      <c r="DQU41" s="549"/>
      <c r="DQV41" s="549"/>
      <c r="DQW41" s="549"/>
      <c r="DQX41" s="549"/>
      <c r="DQY41" s="549"/>
      <c r="DQZ41" s="549"/>
      <c r="DRA41" s="549"/>
      <c r="DRB41" s="549"/>
      <c r="DRC41" s="549"/>
      <c r="DRD41" s="549"/>
      <c r="DRE41" s="549"/>
      <c r="DRF41" s="549"/>
      <c r="DRG41" s="549"/>
      <c r="DRH41" s="549"/>
      <c r="DRI41" s="549"/>
      <c r="DRJ41" s="549"/>
      <c r="DRK41" s="549"/>
      <c r="DRL41" s="549"/>
      <c r="DRM41" s="549"/>
      <c r="DRN41" s="549"/>
      <c r="DRO41" s="549"/>
      <c r="DRP41" s="549"/>
      <c r="DRQ41" s="549"/>
      <c r="DRR41" s="549"/>
      <c r="DRS41" s="549"/>
      <c r="DRT41" s="549"/>
      <c r="DRU41" s="549"/>
      <c r="DRV41" s="549"/>
      <c r="DRW41" s="549"/>
      <c r="DRX41" s="549"/>
      <c r="DRY41" s="549"/>
      <c r="DRZ41" s="549"/>
      <c r="DSA41" s="549"/>
      <c r="DSB41" s="549"/>
      <c r="DSC41" s="549"/>
      <c r="DSD41" s="549"/>
      <c r="DSE41" s="549"/>
      <c r="DSF41" s="549"/>
      <c r="DSG41" s="549"/>
      <c r="DSH41" s="549"/>
      <c r="DSI41" s="549"/>
      <c r="DSJ41" s="549"/>
      <c r="DSK41" s="549"/>
      <c r="DSL41" s="549"/>
      <c r="DSM41" s="549"/>
      <c r="DSN41" s="549"/>
      <c r="DSO41" s="549"/>
      <c r="DSP41" s="549"/>
      <c r="DSQ41" s="549"/>
      <c r="DSR41" s="549"/>
      <c r="DSS41" s="549"/>
      <c r="DST41" s="549"/>
      <c r="DSU41" s="549"/>
      <c r="DSV41" s="549"/>
      <c r="DSW41" s="549"/>
      <c r="DSX41" s="549"/>
      <c r="DSY41" s="549"/>
      <c r="DSZ41" s="549"/>
      <c r="DTA41" s="549"/>
      <c r="DTB41" s="549"/>
      <c r="DTC41" s="549"/>
      <c r="DTD41" s="549"/>
      <c r="DTE41" s="549"/>
      <c r="DTF41" s="549"/>
      <c r="DTG41" s="549"/>
      <c r="DTH41" s="549"/>
      <c r="DTI41" s="549"/>
      <c r="DTJ41" s="549"/>
      <c r="DTK41" s="549"/>
      <c r="DTL41" s="549"/>
      <c r="DTM41" s="549"/>
      <c r="DTN41" s="549"/>
      <c r="DTO41" s="549"/>
      <c r="DTP41" s="549"/>
      <c r="DTQ41" s="549"/>
      <c r="DTR41" s="549"/>
      <c r="DTS41" s="549"/>
      <c r="DTT41" s="549"/>
      <c r="DTU41" s="549"/>
      <c r="DTV41" s="549"/>
      <c r="DTW41" s="549"/>
      <c r="DTX41" s="549"/>
      <c r="DTY41" s="549"/>
      <c r="DTZ41" s="549"/>
      <c r="DUA41" s="549"/>
      <c r="DUB41" s="549"/>
      <c r="DUC41" s="549"/>
      <c r="DUD41" s="549"/>
      <c r="DUE41" s="549"/>
      <c r="DUF41" s="549"/>
      <c r="DUG41" s="549"/>
      <c r="DUH41" s="549"/>
      <c r="DUI41" s="549"/>
      <c r="DUJ41" s="549"/>
      <c r="DUK41" s="549"/>
      <c r="DUL41" s="549"/>
      <c r="DUM41" s="549"/>
      <c r="DUN41" s="549"/>
      <c r="DUO41" s="549"/>
      <c r="DUP41" s="549"/>
      <c r="DUQ41" s="549"/>
      <c r="DUR41" s="549"/>
      <c r="DUS41" s="549"/>
      <c r="DUT41" s="549"/>
      <c r="DUU41" s="549"/>
      <c r="DUV41" s="549"/>
      <c r="DUW41" s="549"/>
      <c r="DUX41" s="549"/>
      <c r="DUY41" s="549"/>
      <c r="DUZ41" s="549"/>
      <c r="DVA41" s="549"/>
      <c r="DVB41" s="549"/>
      <c r="DVC41" s="549"/>
      <c r="DVD41" s="549"/>
      <c r="DVE41" s="549"/>
      <c r="DVF41" s="549"/>
      <c r="DVG41" s="549"/>
      <c r="DVH41" s="549"/>
      <c r="DVI41" s="549"/>
      <c r="DVJ41" s="549"/>
      <c r="DVK41" s="549"/>
      <c r="DVL41" s="549"/>
      <c r="DVM41" s="549"/>
      <c r="DVN41" s="549"/>
      <c r="DVO41" s="549"/>
      <c r="DVP41" s="549"/>
      <c r="DVQ41" s="549"/>
      <c r="DVR41" s="549"/>
      <c r="DVS41" s="549"/>
      <c r="DVT41" s="549"/>
      <c r="DVU41" s="549"/>
      <c r="DVV41" s="549"/>
      <c r="DVW41" s="549"/>
      <c r="DVX41" s="549"/>
      <c r="DVY41" s="549"/>
      <c r="DVZ41" s="549"/>
      <c r="DWA41" s="549"/>
      <c r="DWB41" s="549"/>
      <c r="DWC41" s="549"/>
      <c r="DWD41" s="549"/>
      <c r="DWE41" s="549"/>
      <c r="DWF41" s="549"/>
      <c r="DWG41" s="549"/>
      <c r="DWH41" s="549"/>
      <c r="DWI41" s="549"/>
      <c r="DWJ41" s="549"/>
      <c r="DWK41" s="549"/>
      <c r="DWL41" s="549"/>
      <c r="DWM41" s="549"/>
      <c r="DWN41" s="549"/>
      <c r="DWO41" s="549"/>
      <c r="DWP41" s="549"/>
      <c r="DWQ41" s="549"/>
      <c r="DWR41" s="549"/>
      <c r="DWS41" s="549"/>
      <c r="DWT41" s="549"/>
      <c r="DWU41" s="549"/>
      <c r="DWV41" s="549"/>
      <c r="DWW41" s="549"/>
      <c r="DWX41" s="549"/>
      <c r="DWY41" s="549"/>
      <c r="DWZ41" s="549"/>
      <c r="DXA41" s="549"/>
      <c r="DXB41" s="549"/>
      <c r="DXC41" s="549"/>
      <c r="DXD41" s="549"/>
      <c r="DXE41" s="549"/>
      <c r="DXF41" s="549"/>
      <c r="DXG41" s="549"/>
      <c r="DXH41" s="549"/>
      <c r="DXI41" s="549"/>
      <c r="DXJ41" s="549"/>
      <c r="DXK41" s="549"/>
      <c r="DXL41" s="549"/>
      <c r="DXM41" s="549"/>
      <c r="DXN41" s="549"/>
      <c r="DXO41" s="549"/>
      <c r="DXP41" s="549"/>
      <c r="DXQ41" s="549"/>
      <c r="DXR41" s="549"/>
      <c r="DXS41" s="549"/>
      <c r="DXT41" s="549"/>
      <c r="DXU41" s="549"/>
      <c r="DXV41" s="549"/>
      <c r="DXW41" s="549"/>
      <c r="DXX41" s="549"/>
      <c r="DXY41" s="549"/>
      <c r="DXZ41" s="549"/>
      <c r="DYA41" s="549"/>
      <c r="DYB41" s="549"/>
      <c r="DYC41" s="549"/>
      <c r="DYD41" s="549"/>
      <c r="DYE41" s="549"/>
      <c r="DYF41" s="549"/>
      <c r="DYG41" s="549"/>
      <c r="DYH41" s="549"/>
      <c r="DYI41" s="549"/>
      <c r="DYJ41" s="549"/>
      <c r="DYK41" s="549"/>
      <c r="DYL41" s="549"/>
      <c r="DYM41" s="549"/>
      <c r="DYN41" s="549"/>
      <c r="DYO41" s="549"/>
      <c r="DYP41" s="549"/>
      <c r="DYQ41" s="549"/>
      <c r="DYR41" s="549"/>
      <c r="DYS41" s="549"/>
      <c r="DYT41" s="549"/>
      <c r="DYU41" s="549"/>
      <c r="DYV41" s="549"/>
      <c r="DYW41" s="549"/>
      <c r="DYX41" s="549"/>
      <c r="DYY41" s="549"/>
      <c r="DYZ41" s="549"/>
      <c r="DZA41" s="549"/>
      <c r="DZB41" s="549"/>
      <c r="DZC41" s="549"/>
      <c r="DZD41" s="549"/>
      <c r="DZE41" s="549"/>
      <c r="DZF41" s="549"/>
      <c r="DZG41" s="549"/>
      <c r="DZH41" s="549"/>
      <c r="DZI41" s="549"/>
      <c r="DZJ41" s="549"/>
      <c r="DZK41" s="549"/>
      <c r="DZL41" s="549"/>
      <c r="DZM41" s="549"/>
      <c r="DZN41" s="549"/>
      <c r="DZO41" s="549"/>
      <c r="DZP41" s="549"/>
      <c r="DZQ41" s="549"/>
      <c r="DZR41" s="549"/>
      <c r="DZS41" s="549"/>
      <c r="DZT41" s="549"/>
      <c r="DZU41" s="549"/>
      <c r="DZV41" s="549"/>
      <c r="DZW41" s="549"/>
      <c r="DZX41" s="549"/>
      <c r="DZY41" s="549"/>
      <c r="DZZ41" s="549"/>
      <c r="EAA41" s="549"/>
      <c r="EAB41" s="549"/>
      <c r="EAC41" s="549"/>
      <c r="EAD41" s="549"/>
      <c r="EAE41" s="549"/>
      <c r="EAF41" s="549"/>
      <c r="EAG41" s="549"/>
      <c r="EAH41" s="549"/>
      <c r="EAI41" s="549"/>
      <c r="EAJ41" s="549"/>
      <c r="EAK41" s="549"/>
      <c r="EAL41" s="549"/>
      <c r="EAM41" s="549"/>
      <c r="EAN41" s="549"/>
      <c r="EAO41" s="549"/>
      <c r="EAP41" s="549"/>
      <c r="EAQ41" s="549"/>
      <c r="EAR41" s="549"/>
      <c r="EAS41" s="549"/>
      <c r="EAT41" s="549"/>
      <c r="EAU41" s="549"/>
      <c r="EAV41" s="549"/>
      <c r="EAW41" s="549"/>
      <c r="EAX41" s="549"/>
      <c r="EAY41" s="549"/>
      <c r="EAZ41" s="549"/>
      <c r="EBA41" s="549"/>
      <c r="EBB41" s="549"/>
      <c r="EBC41" s="549"/>
      <c r="EBD41" s="549"/>
      <c r="EBE41" s="549"/>
      <c r="EBF41" s="549"/>
      <c r="EBG41" s="549"/>
      <c r="EBH41" s="549"/>
      <c r="EBI41" s="549"/>
      <c r="EBJ41" s="549"/>
      <c r="EBK41" s="549"/>
      <c r="EBL41" s="549"/>
      <c r="EBM41" s="549"/>
      <c r="EBN41" s="549"/>
      <c r="EBO41" s="549"/>
      <c r="EBP41" s="549"/>
      <c r="EBQ41" s="549"/>
      <c r="EBR41" s="549"/>
      <c r="EBS41" s="549"/>
      <c r="EBT41" s="549"/>
      <c r="EBU41" s="549"/>
      <c r="EBV41" s="549"/>
      <c r="EBW41" s="549"/>
      <c r="EBX41" s="549"/>
      <c r="EBY41" s="549"/>
      <c r="EBZ41" s="549"/>
      <c r="ECA41" s="549"/>
      <c r="ECB41" s="549"/>
      <c r="ECC41" s="549"/>
      <c r="ECD41" s="549"/>
      <c r="ECE41" s="549"/>
      <c r="ECF41" s="549"/>
      <c r="ECG41" s="549"/>
      <c r="ECH41" s="549"/>
      <c r="ECI41" s="549"/>
      <c r="ECJ41" s="549"/>
      <c r="ECK41" s="549"/>
      <c r="ECL41" s="549"/>
      <c r="ECM41" s="549"/>
      <c r="ECN41" s="549"/>
      <c r="ECO41" s="549"/>
      <c r="ECP41" s="549"/>
      <c r="ECQ41" s="549"/>
      <c r="ECR41" s="549"/>
      <c r="ECS41" s="549"/>
      <c r="ECT41" s="549"/>
      <c r="ECU41" s="549"/>
      <c r="ECV41" s="549"/>
      <c r="ECW41" s="549"/>
      <c r="ECX41" s="549"/>
      <c r="ECY41" s="549"/>
      <c r="ECZ41" s="549"/>
      <c r="EDA41" s="549"/>
      <c r="EDB41" s="549"/>
      <c r="EDC41" s="549"/>
      <c r="EDD41" s="549"/>
      <c r="EDE41" s="549"/>
      <c r="EDF41" s="549"/>
      <c r="EDG41" s="549"/>
      <c r="EDH41" s="549"/>
      <c r="EDI41" s="549"/>
      <c r="EDJ41" s="549"/>
      <c r="EDK41" s="549"/>
      <c r="EDL41" s="549"/>
      <c r="EDM41" s="549"/>
      <c r="EDN41" s="549"/>
      <c r="EDO41" s="549"/>
      <c r="EDP41" s="549"/>
      <c r="EDQ41" s="549"/>
      <c r="EDR41" s="549"/>
      <c r="EDS41" s="549"/>
      <c r="EDT41" s="549"/>
      <c r="EDU41" s="549"/>
      <c r="EDV41" s="549"/>
      <c r="EDW41" s="549"/>
      <c r="EDX41" s="549"/>
      <c r="EDY41" s="549"/>
      <c r="EDZ41" s="549"/>
      <c r="EEA41" s="549"/>
      <c r="EEB41" s="549"/>
      <c r="EEC41" s="549"/>
      <c r="EED41" s="549"/>
      <c r="EEE41" s="549"/>
      <c r="EEF41" s="549"/>
      <c r="EEG41" s="549"/>
      <c r="EEH41" s="549"/>
      <c r="EEI41" s="549"/>
      <c r="EEJ41" s="549"/>
      <c r="EEK41" s="549"/>
      <c r="EEL41" s="549"/>
      <c r="EEM41" s="549"/>
      <c r="EEN41" s="549"/>
      <c r="EEO41" s="549"/>
      <c r="EEP41" s="549"/>
      <c r="EEQ41" s="549"/>
      <c r="EER41" s="549"/>
      <c r="EES41" s="549"/>
      <c r="EET41" s="549"/>
      <c r="EEU41" s="549"/>
      <c r="EEV41" s="549"/>
      <c r="EEW41" s="549"/>
      <c r="EEX41" s="549"/>
      <c r="EEY41" s="549"/>
      <c r="EEZ41" s="549"/>
      <c r="EFA41" s="549"/>
      <c r="EFB41" s="549"/>
      <c r="EFC41" s="549"/>
      <c r="EFD41" s="549"/>
      <c r="EFE41" s="549"/>
      <c r="EFF41" s="549"/>
      <c r="EFG41" s="549"/>
      <c r="EFH41" s="549"/>
      <c r="EFI41" s="549"/>
      <c r="EFJ41" s="549"/>
      <c r="EFK41" s="549"/>
      <c r="EFL41" s="549"/>
      <c r="EFM41" s="549"/>
      <c r="EFN41" s="549"/>
      <c r="EFO41" s="549"/>
      <c r="EFP41" s="549"/>
      <c r="EFQ41" s="549"/>
      <c r="EFR41" s="549"/>
      <c r="EFS41" s="549"/>
      <c r="EFT41" s="549"/>
      <c r="EFU41" s="549"/>
      <c r="EFV41" s="549"/>
      <c r="EFW41" s="549"/>
      <c r="EFX41" s="549"/>
      <c r="EFY41" s="549"/>
      <c r="EFZ41" s="549"/>
      <c r="EGA41" s="549"/>
      <c r="EGB41" s="549"/>
      <c r="EGC41" s="549"/>
      <c r="EGD41" s="549"/>
      <c r="EGE41" s="549"/>
      <c r="EGF41" s="549"/>
      <c r="EGG41" s="549"/>
      <c r="EGH41" s="549"/>
      <c r="EGI41" s="549"/>
      <c r="EGJ41" s="549"/>
      <c r="EGK41" s="549"/>
      <c r="EGL41" s="549"/>
      <c r="EGM41" s="549"/>
      <c r="EGN41" s="549"/>
      <c r="EGO41" s="549"/>
      <c r="EGP41" s="549"/>
      <c r="EGQ41" s="549"/>
      <c r="EGR41" s="549"/>
      <c r="EGS41" s="549"/>
      <c r="EGT41" s="549"/>
      <c r="EGU41" s="549"/>
      <c r="EGV41" s="549"/>
      <c r="EGW41" s="549"/>
      <c r="EGX41" s="549"/>
      <c r="EGY41" s="549"/>
      <c r="EGZ41" s="549"/>
      <c r="EHA41" s="549"/>
      <c r="EHB41" s="549"/>
      <c r="EHC41" s="549"/>
      <c r="EHD41" s="549"/>
      <c r="EHE41" s="549"/>
      <c r="EHF41" s="549"/>
      <c r="EHG41" s="549"/>
      <c r="EHH41" s="549"/>
      <c r="EHI41" s="549"/>
      <c r="EHJ41" s="549"/>
      <c r="EHK41" s="549"/>
      <c r="EHL41" s="549"/>
      <c r="EHM41" s="549"/>
      <c r="EHN41" s="549"/>
      <c r="EHO41" s="549"/>
      <c r="EHP41" s="549"/>
      <c r="EHQ41" s="549"/>
      <c r="EHR41" s="549"/>
      <c r="EHS41" s="549"/>
      <c r="EHT41" s="549"/>
      <c r="EHU41" s="549"/>
      <c r="EHV41" s="549"/>
      <c r="EHW41" s="549"/>
      <c r="EHX41" s="549"/>
      <c r="EHY41" s="549"/>
      <c r="EHZ41" s="549"/>
      <c r="EIA41" s="549"/>
      <c r="EIB41" s="549"/>
      <c r="EIC41" s="549"/>
      <c r="EID41" s="549"/>
      <c r="EIE41" s="549"/>
      <c r="EIF41" s="549"/>
      <c r="EIG41" s="549"/>
      <c r="EIH41" s="549"/>
      <c r="EII41" s="549"/>
      <c r="EIJ41" s="549"/>
      <c r="EIK41" s="549"/>
      <c r="EIL41" s="549"/>
      <c r="EIM41" s="549"/>
      <c r="EIN41" s="549"/>
      <c r="EIO41" s="549"/>
      <c r="EIP41" s="549"/>
      <c r="EIQ41" s="549"/>
      <c r="EIR41" s="549"/>
      <c r="EIS41" s="549"/>
      <c r="EIT41" s="549"/>
      <c r="EIU41" s="549"/>
      <c r="EIV41" s="549"/>
      <c r="EIW41" s="549"/>
      <c r="EIX41" s="549"/>
      <c r="EIY41" s="549"/>
      <c r="EIZ41" s="549"/>
      <c r="EJA41" s="549"/>
      <c r="EJB41" s="549"/>
      <c r="EJC41" s="549"/>
      <c r="EJD41" s="549"/>
      <c r="EJE41" s="549"/>
      <c r="EJF41" s="549"/>
      <c r="EJG41" s="549"/>
      <c r="EJH41" s="549"/>
      <c r="EJI41" s="549"/>
      <c r="EJJ41" s="549"/>
      <c r="EJK41" s="549"/>
      <c r="EJL41" s="549"/>
      <c r="EJM41" s="549"/>
      <c r="EJN41" s="549"/>
      <c r="EJO41" s="549"/>
      <c r="EJP41" s="549"/>
      <c r="EJQ41" s="549"/>
      <c r="EJR41" s="549"/>
      <c r="EJS41" s="549"/>
      <c r="EJT41" s="549"/>
      <c r="EJU41" s="549"/>
      <c r="EJV41" s="549"/>
      <c r="EJW41" s="549"/>
      <c r="EJX41" s="549"/>
      <c r="EJY41" s="549"/>
      <c r="EJZ41" s="549"/>
      <c r="EKA41" s="549"/>
      <c r="EKB41" s="549"/>
      <c r="EKC41" s="549"/>
      <c r="EKD41" s="549"/>
      <c r="EKE41" s="549"/>
      <c r="EKF41" s="549"/>
      <c r="EKG41" s="549"/>
      <c r="EKH41" s="549"/>
      <c r="EKI41" s="549"/>
      <c r="EKJ41" s="549"/>
      <c r="EKK41" s="549"/>
      <c r="EKL41" s="549"/>
      <c r="EKM41" s="549"/>
      <c r="EKN41" s="549"/>
      <c r="EKO41" s="549"/>
      <c r="EKP41" s="549"/>
      <c r="EKQ41" s="549"/>
      <c r="EKR41" s="549"/>
      <c r="EKS41" s="549"/>
      <c r="EKT41" s="549"/>
      <c r="EKU41" s="549"/>
      <c r="EKV41" s="549"/>
      <c r="EKW41" s="549"/>
      <c r="EKX41" s="549"/>
      <c r="EKY41" s="549"/>
      <c r="EKZ41" s="549"/>
      <c r="ELA41" s="549"/>
      <c r="ELB41" s="549"/>
      <c r="ELC41" s="549"/>
      <c r="ELD41" s="549"/>
      <c r="ELE41" s="549"/>
      <c r="ELF41" s="549"/>
      <c r="ELG41" s="549"/>
      <c r="ELH41" s="549"/>
      <c r="ELI41" s="549"/>
      <c r="ELJ41" s="549"/>
      <c r="ELK41" s="549"/>
      <c r="ELL41" s="549"/>
      <c r="ELM41" s="549"/>
      <c r="ELN41" s="549"/>
      <c r="ELO41" s="549"/>
      <c r="ELP41" s="549"/>
      <c r="ELQ41" s="549"/>
      <c r="ELR41" s="549"/>
      <c r="ELS41" s="549"/>
      <c r="ELT41" s="549"/>
      <c r="ELU41" s="549"/>
      <c r="ELV41" s="549"/>
      <c r="ELW41" s="549"/>
      <c r="ELX41" s="549"/>
      <c r="ELY41" s="549"/>
      <c r="ELZ41" s="549"/>
      <c r="EMA41" s="549"/>
      <c r="EMB41" s="549"/>
      <c r="EMC41" s="549"/>
      <c r="EMD41" s="549"/>
      <c r="EME41" s="549"/>
      <c r="EMF41" s="549"/>
      <c r="EMG41" s="549"/>
      <c r="EMH41" s="549"/>
      <c r="EMI41" s="549"/>
      <c r="EMJ41" s="549"/>
      <c r="EMK41" s="549"/>
      <c r="EML41" s="549"/>
      <c r="EMM41" s="549"/>
      <c r="EMN41" s="549"/>
      <c r="EMO41" s="549"/>
      <c r="EMP41" s="549"/>
      <c r="EMQ41" s="549"/>
      <c r="EMR41" s="549"/>
      <c r="EMS41" s="549"/>
      <c r="EMT41" s="549"/>
      <c r="EMU41" s="549"/>
      <c r="EMV41" s="549"/>
      <c r="EMW41" s="549"/>
      <c r="EMX41" s="549"/>
      <c r="EMY41" s="549"/>
      <c r="EMZ41" s="549"/>
      <c r="ENA41" s="549"/>
      <c r="ENB41" s="549"/>
      <c r="ENC41" s="549"/>
      <c r="END41" s="549"/>
      <c r="ENE41" s="549"/>
      <c r="ENF41" s="549"/>
      <c r="ENG41" s="549"/>
      <c r="ENH41" s="549"/>
      <c r="ENI41" s="549"/>
      <c r="ENJ41" s="549"/>
      <c r="ENK41" s="549"/>
      <c r="ENL41" s="549"/>
      <c r="ENM41" s="549"/>
      <c r="ENN41" s="549"/>
      <c r="ENO41" s="549"/>
      <c r="ENP41" s="549"/>
      <c r="ENQ41" s="549"/>
      <c r="ENR41" s="549"/>
      <c r="ENS41" s="549"/>
      <c r="ENT41" s="549"/>
      <c r="ENU41" s="549"/>
      <c r="ENV41" s="549"/>
      <c r="ENW41" s="549"/>
      <c r="ENX41" s="549"/>
      <c r="ENY41" s="549"/>
      <c r="ENZ41" s="549"/>
      <c r="EOA41" s="549"/>
      <c r="EOB41" s="549"/>
      <c r="EOC41" s="549"/>
      <c r="EOD41" s="549"/>
      <c r="EOE41" s="549"/>
      <c r="EOF41" s="549"/>
      <c r="EOG41" s="549"/>
      <c r="EOH41" s="549"/>
      <c r="EOI41" s="549"/>
      <c r="EOJ41" s="549"/>
      <c r="EOK41" s="549"/>
      <c r="EOL41" s="549"/>
      <c r="EOM41" s="549"/>
      <c r="EON41" s="549"/>
      <c r="EOO41" s="549"/>
      <c r="EOP41" s="549"/>
      <c r="EOQ41" s="549"/>
      <c r="EOR41" s="549"/>
      <c r="EOS41" s="549"/>
      <c r="EOT41" s="549"/>
      <c r="EOU41" s="549"/>
      <c r="EOV41" s="549"/>
      <c r="EOW41" s="549"/>
      <c r="EOX41" s="549"/>
      <c r="EOY41" s="549"/>
      <c r="EOZ41" s="549"/>
      <c r="EPA41" s="549"/>
      <c r="EPB41" s="549"/>
      <c r="EPC41" s="549"/>
      <c r="EPD41" s="549"/>
      <c r="EPE41" s="549"/>
      <c r="EPF41" s="549"/>
      <c r="EPG41" s="549"/>
      <c r="EPH41" s="549"/>
      <c r="EPI41" s="549"/>
      <c r="EPJ41" s="549"/>
      <c r="EPK41" s="549"/>
      <c r="EPL41" s="549"/>
      <c r="EPM41" s="549"/>
      <c r="EPN41" s="549"/>
      <c r="EPO41" s="549"/>
      <c r="EPP41" s="549"/>
      <c r="EPQ41" s="549"/>
      <c r="EPR41" s="549"/>
      <c r="EPS41" s="549"/>
      <c r="EPT41" s="549"/>
      <c r="EPU41" s="549"/>
      <c r="EPV41" s="549"/>
      <c r="EPW41" s="549"/>
      <c r="EPX41" s="549"/>
      <c r="EPY41" s="549"/>
      <c r="EPZ41" s="549"/>
      <c r="EQA41" s="549"/>
      <c r="EQB41" s="549"/>
      <c r="EQC41" s="549"/>
      <c r="EQD41" s="549"/>
      <c r="EQE41" s="549"/>
      <c r="EQF41" s="549"/>
      <c r="EQG41" s="549"/>
      <c r="EQH41" s="549"/>
      <c r="EQI41" s="549"/>
      <c r="EQJ41" s="549"/>
      <c r="EQK41" s="549"/>
      <c r="EQL41" s="549"/>
      <c r="EQM41" s="549"/>
      <c r="EQN41" s="549"/>
      <c r="EQO41" s="549"/>
      <c r="EQP41" s="549"/>
      <c r="EQQ41" s="549"/>
      <c r="EQR41" s="549"/>
      <c r="EQS41" s="549"/>
      <c r="EQT41" s="549"/>
      <c r="EQU41" s="549"/>
      <c r="EQV41" s="549"/>
      <c r="EQW41" s="549"/>
      <c r="EQX41" s="549"/>
      <c r="EQY41" s="549"/>
      <c r="EQZ41" s="549"/>
      <c r="ERA41" s="549"/>
      <c r="ERB41" s="549"/>
      <c r="ERC41" s="549"/>
      <c r="ERD41" s="549"/>
      <c r="ERE41" s="549"/>
      <c r="ERF41" s="549"/>
      <c r="ERG41" s="549"/>
      <c r="ERH41" s="549"/>
      <c r="ERI41" s="549"/>
      <c r="ERJ41" s="549"/>
      <c r="ERK41" s="549"/>
      <c r="ERL41" s="549"/>
      <c r="ERM41" s="549"/>
      <c r="ERN41" s="549"/>
      <c r="ERO41" s="549"/>
      <c r="ERP41" s="549"/>
      <c r="ERQ41" s="549"/>
      <c r="ERR41" s="549"/>
      <c r="ERS41" s="549"/>
      <c r="ERT41" s="549"/>
      <c r="ERU41" s="549"/>
      <c r="ERV41" s="549"/>
      <c r="ERW41" s="549"/>
      <c r="ERX41" s="549"/>
      <c r="ERY41" s="549"/>
      <c r="ERZ41" s="549"/>
      <c r="ESA41" s="549"/>
      <c r="ESB41" s="549"/>
      <c r="ESC41" s="549"/>
      <c r="ESD41" s="549"/>
      <c r="ESE41" s="549"/>
      <c r="ESF41" s="549"/>
      <c r="ESG41" s="549"/>
      <c r="ESH41" s="549"/>
      <c r="ESI41" s="549"/>
      <c r="ESJ41" s="549"/>
      <c r="ESK41" s="549"/>
      <c r="ESL41" s="549"/>
      <c r="ESM41" s="549"/>
      <c r="ESN41" s="549"/>
      <c r="ESO41" s="549"/>
      <c r="ESP41" s="549"/>
      <c r="ESQ41" s="549"/>
      <c r="ESR41" s="549"/>
      <c r="ESS41" s="549"/>
      <c r="EST41" s="549"/>
      <c r="ESU41" s="549"/>
      <c r="ESV41" s="549"/>
      <c r="ESW41" s="549"/>
      <c r="ESX41" s="549"/>
      <c r="ESY41" s="549"/>
      <c r="ESZ41" s="549"/>
      <c r="ETA41" s="549"/>
      <c r="ETB41" s="549"/>
      <c r="ETC41" s="549"/>
      <c r="ETD41" s="549"/>
      <c r="ETE41" s="549"/>
      <c r="ETF41" s="549"/>
      <c r="ETG41" s="549"/>
      <c r="ETH41" s="549"/>
      <c r="ETI41" s="549"/>
      <c r="ETJ41" s="549"/>
      <c r="ETK41" s="549"/>
      <c r="ETL41" s="549"/>
      <c r="ETM41" s="549"/>
      <c r="ETN41" s="549"/>
      <c r="ETO41" s="549"/>
      <c r="ETP41" s="549"/>
      <c r="ETQ41" s="549"/>
      <c r="ETR41" s="549"/>
      <c r="ETS41" s="549"/>
      <c r="ETT41" s="549"/>
      <c r="ETU41" s="549"/>
      <c r="ETV41" s="549"/>
      <c r="ETW41" s="549"/>
      <c r="ETX41" s="549"/>
      <c r="ETY41" s="549"/>
      <c r="ETZ41" s="549"/>
      <c r="EUA41" s="549"/>
      <c r="EUB41" s="549"/>
      <c r="EUC41" s="549"/>
      <c r="EUD41" s="549"/>
      <c r="EUE41" s="549"/>
      <c r="EUF41" s="549"/>
      <c r="EUG41" s="549"/>
      <c r="EUH41" s="549"/>
      <c r="EUI41" s="549"/>
      <c r="EUJ41" s="549"/>
      <c r="EUK41" s="549"/>
      <c r="EUL41" s="549"/>
      <c r="EUM41" s="549"/>
      <c r="EUN41" s="549"/>
      <c r="EUO41" s="549"/>
      <c r="EUP41" s="549"/>
      <c r="EUQ41" s="549"/>
      <c r="EUR41" s="549"/>
      <c r="EUS41" s="549"/>
      <c r="EUT41" s="549"/>
      <c r="EUU41" s="549"/>
      <c r="EUV41" s="549"/>
      <c r="EUW41" s="549"/>
      <c r="EUX41" s="549"/>
      <c r="EUY41" s="549"/>
      <c r="EUZ41" s="549"/>
      <c r="EVA41" s="549"/>
      <c r="EVB41" s="549"/>
      <c r="EVC41" s="549"/>
      <c r="EVD41" s="549"/>
      <c r="EVE41" s="549"/>
      <c r="EVF41" s="549"/>
      <c r="EVG41" s="549"/>
      <c r="EVH41" s="549"/>
      <c r="EVI41" s="549"/>
      <c r="EVJ41" s="549"/>
      <c r="EVK41" s="549"/>
      <c r="EVL41" s="549"/>
      <c r="EVM41" s="549"/>
      <c r="EVN41" s="549"/>
      <c r="EVO41" s="549"/>
      <c r="EVP41" s="549"/>
      <c r="EVQ41" s="549"/>
      <c r="EVR41" s="549"/>
      <c r="EVS41" s="549"/>
      <c r="EVT41" s="549"/>
      <c r="EVU41" s="549"/>
      <c r="EVV41" s="549"/>
      <c r="EVW41" s="549"/>
      <c r="EVX41" s="549"/>
      <c r="EVY41" s="549"/>
      <c r="EVZ41" s="549"/>
      <c r="EWA41" s="549"/>
      <c r="EWB41" s="549"/>
      <c r="EWC41" s="549"/>
      <c r="EWD41" s="549"/>
      <c r="EWE41" s="549"/>
      <c r="EWF41" s="549"/>
      <c r="EWG41" s="549"/>
      <c r="EWH41" s="549"/>
      <c r="EWI41" s="549"/>
      <c r="EWJ41" s="549"/>
      <c r="EWK41" s="549"/>
      <c r="EWL41" s="549"/>
      <c r="EWM41" s="549"/>
      <c r="EWN41" s="549"/>
      <c r="EWO41" s="549"/>
      <c r="EWP41" s="549"/>
      <c r="EWQ41" s="549"/>
      <c r="EWR41" s="549"/>
      <c r="EWS41" s="549"/>
      <c r="EWT41" s="549"/>
      <c r="EWU41" s="549"/>
      <c r="EWV41" s="549"/>
      <c r="EWW41" s="549"/>
      <c r="EWX41" s="549"/>
      <c r="EWY41" s="549"/>
      <c r="EWZ41" s="549"/>
      <c r="EXA41" s="549"/>
      <c r="EXB41" s="549"/>
      <c r="EXC41" s="549"/>
      <c r="EXD41" s="549"/>
      <c r="EXE41" s="549"/>
      <c r="EXF41" s="549"/>
      <c r="EXG41" s="549"/>
      <c r="EXH41" s="549"/>
      <c r="EXI41" s="549"/>
      <c r="EXJ41" s="549"/>
      <c r="EXK41" s="549"/>
      <c r="EXL41" s="549"/>
      <c r="EXM41" s="549"/>
      <c r="EXN41" s="549"/>
      <c r="EXO41" s="549"/>
      <c r="EXP41" s="549"/>
      <c r="EXQ41" s="549"/>
      <c r="EXR41" s="549"/>
      <c r="EXS41" s="549"/>
      <c r="EXT41" s="549"/>
      <c r="EXU41" s="549"/>
      <c r="EXV41" s="549"/>
      <c r="EXW41" s="549"/>
      <c r="EXX41" s="549"/>
      <c r="EXY41" s="549"/>
      <c r="EXZ41" s="549"/>
      <c r="EYA41" s="549"/>
      <c r="EYB41" s="549"/>
      <c r="EYC41" s="549"/>
      <c r="EYD41" s="549"/>
      <c r="EYE41" s="549"/>
      <c r="EYF41" s="549"/>
      <c r="EYG41" s="549"/>
      <c r="EYH41" s="549"/>
      <c r="EYI41" s="549"/>
      <c r="EYJ41" s="549"/>
      <c r="EYK41" s="549"/>
      <c r="EYL41" s="549"/>
      <c r="EYM41" s="549"/>
      <c r="EYN41" s="549"/>
      <c r="EYO41" s="549"/>
      <c r="EYP41" s="549"/>
      <c r="EYQ41" s="549"/>
      <c r="EYR41" s="549"/>
      <c r="EYS41" s="549"/>
      <c r="EYT41" s="549"/>
      <c r="EYU41" s="549"/>
      <c r="EYV41" s="549"/>
      <c r="EYW41" s="549"/>
      <c r="EYX41" s="549"/>
      <c r="EYY41" s="549"/>
      <c r="EYZ41" s="549"/>
      <c r="EZA41" s="549"/>
      <c r="EZB41" s="549"/>
      <c r="EZC41" s="549"/>
      <c r="EZD41" s="549"/>
      <c r="EZE41" s="549"/>
      <c r="EZF41" s="549"/>
      <c r="EZG41" s="549"/>
      <c r="EZH41" s="549"/>
      <c r="EZI41" s="549"/>
      <c r="EZJ41" s="549"/>
      <c r="EZK41" s="549"/>
      <c r="EZL41" s="549"/>
      <c r="EZM41" s="549"/>
      <c r="EZN41" s="549"/>
      <c r="EZO41" s="549"/>
      <c r="EZP41" s="549"/>
      <c r="EZQ41" s="549"/>
      <c r="EZR41" s="549"/>
      <c r="EZS41" s="549"/>
      <c r="EZT41" s="549"/>
      <c r="EZU41" s="549"/>
      <c r="EZV41" s="549"/>
      <c r="EZW41" s="549"/>
      <c r="EZX41" s="549"/>
      <c r="EZY41" s="549"/>
      <c r="EZZ41" s="549"/>
      <c r="FAA41" s="549"/>
      <c r="FAB41" s="549"/>
      <c r="FAC41" s="549"/>
      <c r="FAD41" s="549"/>
      <c r="FAE41" s="549"/>
      <c r="FAF41" s="549"/>
      <c r="FAG41" s="549"/>
      <c r="FAH41" s="549"/>
      <c r="FAI41" s="549"/>
      <c r="FAJ41" s="549"/>
      <c r="FAK41" s="549"/>
      <c r="FAL41" s="549"/>
      <c r="FAM41" s="549"/>
      <c r="FAN41" s="549"/>
      <c r="FAO41" s="549"/>
      <c r="FAP41" s="549"/>
      <c r="FAQ41" s="549"/>
      <c r="FAR41" s="549"/>
      <c r="FAS41" s="549"/>
      <c r="FAT41" s="549"/>
      <c r="FAU41" s="549"/>
      <c r="FAV41" s="549"/>
      <c r="FAW41" s="549"/>
      <c r="FAX41" s="549"/>
      <c r="FAY41" s="549"/>
      <c r="FAZ41" s="549"/>
      <c r="FBA41" s="549"/>
      <c r="FBB41" s="549"/>
      <c r="FBC41" s="549"/>
      <c r="FBD41" s="549"/>
      <c r="FBE41" s="549"/>
      <c r="FBF41" s="549"/>
      <c r="FBG41" s="549"/>
      <c r="FBH41" s="549"/>
      <c r="FBI41" s="549"/>
      <c r="FBJ41" s="549"/>
      <c r="FBK41" s="549"/>
      <c r="FBL41" s="549"/>
      <c r="FBM41" s="549"/>
      <c r="FBN41" s="549"/>
      <c r="FBO41" s="549"/>
      <c r="FBP41" s="549"/>
      <c r="FBQ41" s="549"/>
      <c r="FBR41" s="549"/>
      <c r="FBS41" s="549"/>
      <c r="FBT41" s="549"/>
      <c r="FBU41" s="549"/>
      <c r="FBV41" s="549"/>
      <c r="FBW41" s="549"/>
      <c r="FBX41" s="549"/>
      <c r="FBY41" s="549"/>
      <c r="FBZ41" s="549"/>
      <c r="FCA41" s="549"/>
      <c r="FCB41" s="549"/>
      <c r="FCC41" s="549"/>
      <c r="FCD41" s="549"/>
      <c r="FCE41" s="549"/>
      <c r="FCF41" s="549"/>
      <c r="FCG41" s="549"/>
      <c r="FCH41" s="549"/>
      <c r="FCI41" s="549"/>
      <c r="FCJ41" s="549"/>
      <c r="FCK41" s="549"/>
      <c r="FCL41" s="549"/>
      <c r="FCM41" s="549"/>
      <c r="FCN41" s="549"/>
      <c r="FCO41" s="549"/>
      <c r="FCP41" s="549"/>
      <c r="FCQ41" s="549"/>
      <c r="FCR41" s="549"/>
      <c r="FCS41" s="549"/>
      <c r="FCT41" s="549"/>
      <c r="FCU41" s="549"/>
      <c r="FCV41" s="549"/>
      <c r="FCW41" s="549"/>
      <c r="FCX41" s="549"/>
      <c r="FCY41" s="549"/>
      <c r="FCZ41" s="549"/>
      <c r="FDA41" s="549"/>
      <c r="FDB41" s="549"/>
      <c r="FDC41" s="549"/>
      <c r="FDD41" s="549"/>
      <c r="FDE41" s="549"/>
      <c r="FDF41" s="549"/>
      <c r="FDG41" s="549"/>
      <c r="FDH41" s="549"/>
      <c r="FDI41" s="549"/>
      <c r="FDJ41" s="549"/>
      <c r="FDK41" s="549"/>
      <c r="FDL41" s="549"/>
      <c r="FDM41" s="549"/>
      <c r="FDN41" s="549"/>
      <c r="FDO41" s="549"/>
      <c r="FDP41" s="549"/>
      <c r="FDQ41" s="549"/>
      <c r="FDR41" s="549"/>
      <c r="FDS41" s="549"/>
      <c r="FDT41" s="549"/>
      <c r="FDU41" s="549"/>
      <c r="FDV41" s="549"/>
      <c r="FDW41" s="549"/>
      <c r="FDX41" s="549"/>
      <c r="FDY41" s="549"/>
      <c r="FDZ41" s="549"/>
      <c r="FEA41" s="549"/>
      <c r="FEB41" s="549"/>
      <c r="FEC41" s="549"/>
      <c r="FED41" s="549"/>
      <c r="FEE41" s="549"/>
      <c r="FEF41" s="549"/>
      <c r="FEG41" s="549"/>
      <c r="FEH41" s="549"/>
      <c r="FEI41" s="549"/>
      <c r="FEJ41" s="549"/>
      <c r="FEK41" s="549"/>
      <c r="FEL41" s="549"/>
      <c r="FEM41" s="549"/>
      <c r="FEN41" s="549"/>
      <c r="FEO41" s="549"/>
      <c r="FEP41" s="549"/>
      <c r="FEQ41" s="549"/>
      <c r="FER41" s="549"/>
      <c r="FES41" s="549"/>
      <c r="FET41" s="549"/>
      <c r="FEU41" s="549"/>
      <c r="FEV41" s="549"/>
      <c r="FEW41" s="549"/>
      <c r="FEX41" s="549"/>
      <c r="FEY41" s="549"/>
      <c r="FEZ41" s="549"/>
      <c r="FFA41" s="549"/>
      <c r="FFB41" s="549"/>
      <c r="FFC41" s="549"/>
      <c r="FFD41" s="549"/>
      <c r="FFE41" s="549"/>
      <c r="FFF41" s="549"/>
      <c r="FFG41" s="549"/>
      <c r="FFH41" s="549"/>
      <c r="FFI41" s="549"/>
      <c r="FFJ41" s="549"/>
      <c r="FFK41" s="549"/>
      <c r="FFL41" s="549"/>
      <c r="FFM41" s="549"/>
      <c r="FFN41" s="549"/>
      <c r="FFO41" s="549"/>
      <c r="FFP41" s="549"/>
      <c r="FFQ41" s="549"/>
      <c r="FFR41" s="549"/>
      <c r="FFS41" s="549"/>
      <c r="FFT41" s="549"/>
      <c r="FFU41" s="549"/>
      <c r="FFV41" s="549"/>
      <c r="FFW41" s="549"/>
      <c r="FFX41" s="549"/>
      <c r="FFY41" s="549"/>
      <c r="FFZ41" s="549"/>
      <c r="FGA41" s="549"/>
      <c r="FGB41" s="549"/>
      <c r="FGC41" s="549"/>
      <c r="FGD41" s="549"/>
      <c r="FGE41" s="549"/>
      <c r="FGF41" s="549"/>
      <c r="FGG41" s="549"/>
      <c r="FGH41" s="549"/>
      <c r="FGI41" s="549"/>
      <c r="FGJ41" s="549"/>
      <c r="FGK41" s="549"/>
      <c r="FGL41" s="549"/>
      <c r="FGM41" s="549"/>
      <c r="FGN41" s="549"/>
      <c r="FGO41" s="549"/>
      <c r="FGP41" s="549"/>
      <c r="FGQ41" s="549"/>
      <c r="FGR41" s="549"/>
      <c r="FGS41" s="549"/>
      <c r="FGT41" s="549"/>
      <c r="FGU41" s="549"/>
      <c r="FGV41" s="549"/>
      <c r="FGW41" s="549"/>
      <c r="FGX41" s="549"/>
      <c r="FGY41" s="549"/>
      <c r="FGZ41" s="549"/>
      <c r="FHA41" s="549"/>
      <c r="FHB41" s="549"/>
      <c r="FHC41" s="549"/>
      <c r="FHD41" s="549"/>
      <c r="FHE41" s="549"/>
      <c r="FHF41" s="549"/>
      <c r="FHG41" s="549"/>
      <c r="FHH41" s="549"/>
      <c r="FHI41" s="549"/>
      <c r="FHJ41" s="549"/>
      <c r="FHK41" s="549"/>
      <c r="FHL41" s="549"/>
      <c r="FHM41" s="549"/>
      <c r="FHN41" s="549"/>
      <c r="FHO41" s="549"/>
      <c r="FHP41" s="549"/>
      <c r="FHQ41" s="549"/>
      <c r="FHR41" s="549"/>
      <c r="FHS41" s="549"/>
      <c r="FHT41" s="549"/>
      <c r="FHU41" s="549"/>
      <c r="FHV41" s="549"/>
      <c r="FHW41" s="549"/>
      <c r="FHX41" s="549"/>
      <c r="FHY41" s="549"/>
      <c r="FHZ41" s="549"/>
      <c r="FIA41" s="549"/>
      <c r="FIB41" s="549"/>
      <c r="FIC41" s="549"/>
      <c r="FID41" s="549"/>
      <c r="FIE41" s="549"/>
      <c r="FIF41" s="549"/>
      <c r="FIG41" s="549"/>
      <c r="FIH41" s="549"/>
      <c r="FII41" s="549"/>
      <c r="FIJ41" s="549"/>
      <c r="FIK41" s="549"/>
      <c r="FIL41" s="549"/>
      <c r="FIM41" s="549"/>
      <c r="FIN41" s="549"/>
      <c r="FIO41" s="549"/>
      <c r="FIP41" s="549"/>
      <c r="FIQ41" s="549"/>
      <c r="FIR41" s="549"/>
      <c r="FIS41" s="549"/>
      <c r="FIT41" s="549"/>
      <c r="FIU41" s="549"/>
      <c r="FIV41" s="549"/>
      <c r="FIW41" s="549"/>
      <c r="FIX41" s="549"/>
      <c r="FIY41" s="549"/>
      <c r="FIZ41" s="549"/>
      <c r="FJA41" s="549"/>
      <c r="FJB41" s="549"/>
      <c r="FJC41" s="549"/>
      <c r="FJD41" s="549"/>
      <c r="FJE41" s="549"/>
      <c r="FJF41" s="549"/>
      <c r="FJG41" s="549"/>
      <c r="FJH41" s="549"/>
      <c r="FJI41" s="549"/>
      <c r="FJJ41" s="549"/>
      <c r="FJK41" s="549"/>
      <c r="FJL41" s="549"/>
      <c r="FJM41" s="549"/>
      <c r="FJN41" s="549"/>
      <c r="FJO41" s="549"/>
      <c r="FJP41" s="549"/>
      <c r="FJQ41" s="549"/>
      <c r="FJR41" s="549"/>
      <c r="FJS41" s="549"/>
      <c r="FJT41" s="549"/>
      <c r="FJU41" s="549"/>
      <c r="FJV41" s="549"/>
      <c r="FJW41" s="549"/>
      <c r="FJX41" s="549"/>
      <c r="FJY41" s="549"/>
      <c r="FJZ41" s="549"/>
      <c r="FKA41" s="549"/>
      <c r="FKB41" s="549"/>
      <c r="FKC41" s="549"/>
      <c r="FKD41" s="549"/>
      <c r="FKE41" s="549"/>
      <c r="FKF41" s="549"/>
      <c r="FKG41" s="549"/>
      <c r="FKH41" s="549"/>
      <c r="FKI41" s="549"/>
      <c r="FKJ41" s="549"/>
      <c r="FKK41" s="549"/>
      <c r="FKL41" s="549"/>
      <c r="FKM41" s="549"/>
      <c r="FKN41" s="549"/>
      <c r="FKO41" s="549"/>
      <c r="FKP41" s="549"/>
      <c r="FKQ41" s="549"/>
      <c r="FKR41" s="549"/>
      <c r="FKS41" s="549"/>
      <c r="FKT41" s="549"/>
      <c r="FKU41" s="549"/>
      <c r="FKV41" s="549"/>
      <c r="FKW41" s="549"/>
      <c r="FKX41" s="549"/>
      <c r="FKY41" s="549"/>
      <c r="FKZ41" s="549"/>
      <c r="FLA41" s="549"/>
      <c r="FLB41" s="549"/>
      <c r="FLC41" s="549"/>
      <c r="FLD41" s="549"/>
      <c r="FLE41" s="549"/>
      <c r="FLF41" s="549"/>
      <c r="FLG41" s="549"/>
      <c r="FLH41" s="549"/>
      <c r="FLI41" s="549"/>
      <c r="FLJ41" s="549"/>
      <c r="FLK41" s="549"/>
      <c r="FLL41" s="549"/>
      <c r="FLM41" s="549"/>
      <c r="FLN41" s="549"/>
      <c r="FLO41" s="549"/>
      <c r="FLP41" s="549"/>
      <c r="FLQ41" s="549"/>
      <c r="FLR41" s="549"/>
      <c r="FLS41" s="549"/>
      <c r="FLT41" s="549"/>
      <c r="FLU41" s="549"/>
      <c r="FLV41" s="549"/>
      <c r="FLW41" s="549"/>
      <c r="FLX41" s="549"/>
      <c r="FLY41" s="549"/>
      <c r="FLZ41" s="549"/>
      <c r="FMA41" s="549"/>
      <c r="FMB41" s="549"/>
      <c r="FMC41" s="549"/>
      <c r="FMD41" s="549"/>
      <c r="FME41" s="549"/>
      <c r="FMF41" s="549"/>
      <c r="FMG41" s="549"/>
      <c r="FMH41" s="549"/>
      <c r="FMI41" s="549"/>
      <c r="FMJ41" s="549"/>
      <c r="FMK41" s="549"/>
      <c r="FML41" s="549"/>
      <c r="FMM41" s="549"/>
      <c r="FMN41" s="549"/>
      <c r="FMO41" s="549"/>
      <c r="FMP41" s="549"/>
      <c r="FMQ41" s="549"/>
      <c r="FMR41" s="549"/>
      <c r="FMS41" s="549"/>
      <c r="FMT41" s="549"/>
      <c r="FMU41" s="549"/>
      <c r="FMV41" s="549"/>
      <c r="FMW41" s="549"/>
      <c r="FMX41" s="549"/>
      <c r="FMY41" s="549"/>
      <c r="FMZ41" s="549"/>
      <c r="FNA41" s="549"/>
      <c r="FNB41" s="549"/>
      <c r="FNC41" s="549"/>
      <c r="FND41" s="549"/>
      <c r="FNE41" s="549"/>
      <c r="FNF41" s="549"/>
      <c r="FNG41" s="549"/>
      <c r="FNH41" s="549"/>
      <c r="FNI41" s="549"/>
      <c r="FNJ41" s="549"/>
      <c r="FNK41" s="549"/>
      <c r="FNL41" s="549"/>
      <c r="FNM41" s="549"/>
      <c r="FNN41" s="549"/>
      <c r="FNO41" s="549"/>
      <c r="FNP41" s="549"/>
      <c r="FNQ41" s="549"/>
      <c r="FNR41" s="549"/>
      <c r="FNS41" s="549"/>
      <c r="FNT41" s="549"/>
      <c r="FNU41" s="549"/>
      <c r="FNV41" s="549"/>
      <c r="FNW41" s="549"/>
      <c r="FNX41" s="549"/>
      <c r="FNY41" s="549"/>
      <c r="FNZ41" s="549"/>
      <c r="FOA41" s="549"/>
      <c r="FOB41" s="549"/>
      <c r="FOC41" s="549"/>
      <c r="FOD41" s="549"/>
      <c r="FOE41" s="549"/>
      <c r="FOF41" s="549"/>
      <c r="FOG41" s="549"/>
      <c r="FOH41" s="549"/>
      <c r="FOI41" s="549"/>
      <c r="FOJ41" s="549"/>
      <c r="FOK41" s="549"/>
      <c r="FOL41" s="549"/>
      <c r="FOM41" s="549"/>
      <c r="FON41" s="549"/>
      <c r="FOO41" s="549"/>
      <c r="FOP41" s="549"/>
      <c r="FOQ41" s="549"/>
      <c r="FOR41" s="549"/>
      <c r="FOS41" s="549"/>
      <c r="FOT41" s="549"/>
      <c r="FOU41" s="549"/>
      <c r="FOV41" s="549"/>
      <c r="FOW41" s="549"/>
      <c r="FOX41" s="549"/>
      <c r="FOY41" s="549"/>
      <c r="FOZ41" s="549"/>
      <c r="FPA41" s="549"/>
      <c r="FPB41" s="549"/>
      <c r="FPC41" s="549"/>
      <c r="FPD41" s="549"/>
      <c r="FPE41" s="549"/>
      <c r="FPF41" s="549"/>
      <c r="FPG41" s="549"/>
      <c r="FPH41" s="549"/>
      <c r="FPI41" s="549"/>
      <c r="FPJ41" s="549"/>
      <c r="FPK41" s="549"/>
      <c r="FPL41" s="549"/>
      <c r="FPM41" s="549"/>
      <c r="FPN41" s="549"/>
      <c r="FPO41" s="549"/>
      <c r="FPP41" s="549"/>
      <c r="FPQ41" s="549"/>
      <c r="FPR41" s="549"/>
      <c r="FPS41" s="549"/>
      <c r="FPT41" s="549"/>
      <c r="FPU41" s="549"/>
      <c r="FPV41" s="549"/>
      <c r="FPW41" s="549"/>
      <c r="FPX41" s="549"/>
      <c r="FPY41" s="549"/>
      <c r="FPZ41" s="549"/>
      <c r="FQA41" s="549"/>
      <c r="FQB41" s="549"/>
      <c r="FQC41" s="549"/>
      <c r="FQD41" s="549"/>
      <c r="FQE41" s="549"/>
      <c r="FQF41" s="549"/>
      <c r="FQG41" s="549"/>
      <c r="FQH41" s="549"/>
      <c r="FQI41" s="549"/>
      <c r="FQJ41" s="549"/>
      <c r="FQK41" s="549"/>
      <c r="FQL41" s="549"/>
      <c r="FQM41" s="549"/>
      <c r="FQN41" s="549"/>
      <c r="FQO41" s="549"/>
      <c r="FQP41" s="549"/>
      <c r="FQQ41" s="549"/>
      <c r="FQR41" s="549"/>
      <c r="FQS41" s="549"/>
      <c r="FQT41" s="549"/>
      <c r="FQU41" s="549"/>
      <c r="FQV41" s="549"/>
      <c r="FQW41" s="549"/>
      <c r="FQX41" s="549"/>
      <c r="FQY41" s="549"/>
      <c r="FQZ41" s="549"/>
      <c r="FRA41" s="549"/>
      <c r="FRB41" s="549"/>
      <c r="FRC41" s="549"/>
      <c r="FRD41" s="549"/>
      <c r="FRE41" s="549"/>
      <c r="FRF41" s="549"/>
      <c r="FRG41" s="549"/>
      <c r="FRH41" s="549"/>
      <c r="FRI41" s="549"/>
      <c r="FRJ41" s="549"/>
      <c r="FRK41" s="549"/>
      <c r="FRL41" s="549"/>
      <c r="FRM41" s="549"/>
      <c r="FRN41" s="549"/>
      <c r="FRO41" s="549"/>
      <c r="FRP41" s="549"/>
      <c r="FRQ41" s="549"/>
      <c r="FRR41" s="549"/>
      <c r="FRS41" s="549"/>
      <c r="FRT41" s="549"/>
      <c r="FRU41" s="549"/>
      <c r="FRV41" s="549"/>
      <c r="FRW41" s="549"/>
      <c r="FRX41" s="549"/>
      <c r="FRY41" s="549"/>
      <c r="FRZ41" s="549"/>
      <c r="FSA41" s="549"/>
      <c r="FSB41" s="549"/>
      <c r="FSC41" s="549"/>
      <c r="FSD41" s="549"/>
      <c r="FSE41" s="549"/>
      <c r="FSF41" s="549"/>
      <c r="FSG41" s="549"/>
      <c r="FSH41" s="549"/>
      <c r="FSI41" s="549"/>
      <c r="FSJ41" s="549"/>
      <c r="FSK41" s="549"/>
      <c r="FSL41" s="549"/>
      <c r="FSM41" s="549"/>
      <c r="FSN41" s="549"/>
      <c r="FSO41" s="549"/>
      <c r="FSP41" s="549"/>
      <c r="FSQ41" s="549"/>
      <c r="FSR41" s="549"/>
      <c r="FSS41" s="549"/>
      <c r="FST41" s="549"/>
      <c r="FSU41" s="549"/>
      <c r="FSV41" s="549"/>
      <c r="FSW41" s="549"/>
      <c r="FSX41" s="549"/>
      <c r="FSY41" s="549"/>
      <c r="FSZ41" s="549"/>
      <c r="FTA41" s="549"/>
      <c r="FTB41" s="549"/>
      <c r="FTC41" s="549"/>
      <c r="FTD41" s="549"/>
      <c r="FTE41" s="549"/>
      <c r="FTF41" s="549"/>
      <c r="FTG41" s="549"/>
      <c r="FTH41" s="549"/>
      <c r="FTI41" s="549"/>
      <c r="FTJ41" s="549"/>
      <c r="FTK41" s="549"/>
      <c r="FTL41" s="549"/>
      <c r="FTM41" s="549"/>
      <c r="FTN41" s="549"/>
      <c r="FTO41" s="549"/>
      <c r="FTP41" s="549"/>
      <c r="FTQ41" s="549"/>
      <c r="FTR41" s="549"/>
      <c r="FTS41" s="549"/>
      <c r="FTT41" s="549"/>
      <c r="FTU41" s="549"/>
      <c r="FTV41" s="549"/>
      <c r="FTW41" s="549"/>
      <c r="FTX41" s="549"/>
      <c r="FTY41" s="549"/>
      <c r="FTZ41" s="549"/>
      <c r="FUA41" s="549"/>
      <c r="FUB41" s="549"/>
      <c r="FUC41" s="549"/>
      <c r="FUD41" s="549"/>
      <c r="FUE41" s="549"/>
      <c r="FUF41" s="549"/>
      <c r="FUG41" s="549"/>
      <c r="FUH41" s="549"/>
      <c r="FUI41" s="549"/>
      <c r="FUJ41" s="549"/>
      <c r="FUK41" s="549"/>
      <c r="FUL41" s="549"/>
      <c r="FUM41" s="549"/>
      <c r="FUN41" s="549"/>
      <c r="FUO41" s="549"/>
      <c r="FUP41" s="549"/>
      <c r="FUQ41" s="549"/>
      <c r="FUR41" s="549"/>
      <c r="FUS41" s="549"/>
      <c r="FUT41" s="549"/>
      <c r="FUU41" s="549"/>
      <c r="FUV41" s="549"/>
      <c r="FUW41" s="549"/>
      <c r="FUX41" s="549"/>
      <c r="FUY41" s="549"/>
      <c r="FUZ41" s="549"/>
      <c r="FVA41" s="549"/>
      <c r="FVB41" s="549"/>
      <c r="FVC41" s="549"/>
      <c r="FVD41" s="549"/>
      <c r="FVE41" s="549"/>
      <c r="FVF41" s="549"/>
      <c r="FVG41" s="549"/>
      <c r="FVH41" s="549"/>
      <c r="FVI41" s="549"/>
      <c r="FVJ41" s="549"/>
      <c r="FVK41" s="549"/>
      <c r="FVL41" s="549"/>
      <c r="FVM41" s="549"/>
      <c r="FVN41" s="549"/>
      <c r="FVO41" s="549"/>
      <c r="FVP41" s="549"/>
      <c r="FVQ41" s="549"/>
      <c r="FVR41" s="549"/>
      <c r="FVS41" s="549"/>
      <c r="FVT41" s="549"/>
      <c r="FVU41" s="549"/>
      <c r="FVV41" s="549"/>
      <c r="FVW41" s="549"/>
      <c r="FVX41" s="549"/>
      <c r="FVY41" s="549"/>
      <c r="FVZ41" s="549"/>
      <c r="FWA41" s="549"/>
      <c r="FWB41" s="549"/>
      <c r="FWC41" s="549"/>
      <c r="FWD41" s="549"/>
      <c r="FWE41" s="549"/>
      <c r="FWF41" s="549"/>
      <c r="FWG41" s="549"/>
      <c r="FWH41" s="549"/>
      <c r="FWI41" s="549"/>
      <c r="FWJ41" s="549"/>
      <c r="FWK41" s="549"/>
      <c r="FWL41" s="549"/>
      <c r="FWM41" s="549"/>
      <c r="FWN41" s="549"/>
      <c r="FWO41" s="549"/>
      <c r="FWP41" s="549"/>
      <c r="FWQ41" s="549"/>
      <c r="FWR41" s="549"/>
      <c r="FWS41" s="549"/>
      <c r="FWT41" s="549"/>
      <c r="FWU41" s="549"/>
      <c r="FWV41" s="549"/>
      <c r="FWW41" s="549"/>
      <c r="FWX41" s="549"/>
      <c r="FWY41" s="549"/>
      <c r="FWZ41" s="549"/>
      <c r="FXA41" s="549"/>
      <c r="FXB41" s="549"/>
      <c r="FXC41" s="549"/>
      <c r="FXD41" s="549"/>
      <c r="FXE41" s="549"/>
      <c r="FXF41" s="549"/>
      <c r="FXG41" s="549"/>
      <c r="FXH41" s="549"/>
      <c r="FXI41" s="549"/>
      <c r="FXJ41" s="549"/>
      <c r="FXK41" s="549"/>
      <c r="FXL41" s="549"/>
      <c r="FXM41" s="549"/>
      <c r="FXN41" s="549"/>
      <c r="FXO41" s="549"/>
      <c r="FXP41" s="549"/>
      <c r="FXQ41" s="549"/>
      <c r="FXR41" s="549"/>
      <c r="FXS41" s="549"/>
      <c r="FXT41" s="549"/>
      <c r="FXU41" s="549"/>
      <c r="FXV41" s="549"/>
      <c r="FXW41" s="549"/>
      <c r="FXX41" s="549"/>
      <c r="FXY41" s="549"/>
      <c r="FXZ41" s="549"/>
      <c r="FYA41" s="549"/>
      <c r="FYB41" s="549"/>
      <c r="FYC41" s="549"/>
      <c r="FYD41" s="549"/>
      <c r="FYE41" s="549"/>
      <c r="FYF41" s="549"/>
      <c r="FYG41" s="549"/>
      <c r="FYH41" s="549"/>
      <c r="FYI41" s="549"/>
      <c r="FYJ41" s="549"/>
      <c r="FYK41" s="549"/>
      <c r="FYL41" s="549"/>
      <c r="FYM41" s="549"/>
      <c r="FYN41" s="549"/>
      <c r="FYO41" s="549"/>
      <c r="FYP41" s="549"/>
      <c r="FYQ41" s="549"/>
      <c r="FYR41" s="549"/>
      <c r="FYS41" s="549"/>
      <c r="FYT41" s="549"/>
      <c r="FYU41" s="549"/>
      <c r="FYV41" s="549"/>
      <c r="FYW41" s="549"/>
      <c r="FYX41" s="549"/>
      <c r="FYY41" s="549"/>
      <c r="FYZ41" s="549"/>
      <c r="FZA41" s="549"/>
      <c r="FZB41" s="549"/>
      <c r="FZC41" s="549"/>
      <c r="FZD41" s="549"/>
      <c r="FZE41" s="549"/>
      <c r="FZF41" s="549"/>
      <c r="FZG41" s="549"/>
      <c r="FZH41" s="549"/>
      <c r="FZI41" s="549"/>
      <c r="FZJ41" s="549"/>
      <c r="FZK41" s="549"/>
      <c r="FZL41" s="549"/>
      <c r="FZM41" s="549"/>
      <c r="FZN41" s="549"/>
      <c r="FZO41" s="549"/>
      <c r="FZP41" s="549"/>
      <c r="FZQ41" s="549"/>
      <c r="FZR41" s="549"/>
      <c r="FZS41" s="549"/>
      <c r="FZT41" s="549"/>
      <c r="FZU41" s="549"/>
      <c r="FZV41" s="549"/>
      <c r="FZW41" s="549"/>
      <c r="FZX41" s="549"/>
      <c r="FZY41" s="549"/>
      <c r="FZZ41" s="549"/>
      <c r="GAA41" s="549"/>
      <c r="GAB41" s="549"/>
      <c r="GAC41" s="549"/>
      <c r="GAD41" s="549"/>
      <c r="GAE41" s="549"/>
      <c r="GAF41" s="549"/>
      <c r="GAG41" s="549"/>
      <c r="GAH41" s="549"/>
      <c r="GAI41" s="549"/>
      <c r="GAJ41" s="549"/>
      <c r="GAK41" s="549"/>
      <c r="GAL41" s="549"/>
      <c r="GAM41" s="549"/>
      <c r="GAN41" s="549"/>
      <c r="GAO41" s="549"/>
      <c r="GAP41" s="549"/>
      <c r="GAQ41" s="549"/>
      <c r="GAR41" s="549"/>
      <c r="GAS41" s="549"/>
      <c r="GAT41" s="549"/>
      <c r="GAU41" s="549"/>
      <c r="GAV41" s="549"/>
      <c r="GAW41" s="549"/>
      <c r="GAX41" s="549"/>
      <c r="GAY41" s="549"/>
      <c r="GAZ41" s="549"/>
      <c r="GBA41" s="549"/>
      <c r="GBB41" s="549"/>
      <c r="GBC41" s="549"/>
      <c r="GBD41" s="549"/>
      <c r="GBE41" s="549"/>
      <c r="GBF41" s="549"/>
      <c r="GBG41" s="549"/>
      <c r="GBH41" s="549"/>
      <c r="GBI41" s="549"/>
      <c r="GBJ41" s="549"/>
      <c r="GBK41" s="549"/>
      <c r="GBL41" s="549"/>
      <c r="GBM41" s="549"/>
      <c r="GBN41" s="549"/>
      <c r="GBO41" s="549"/>
      <c r="GBP41" s="549"/>
      <c r="GBQ41" s="549"/>
      <c r="GBR41" s="549"/>
      <c r="GBS41" s="549"/>
      <c r="GBT41" s="549"/>
      <c r="GBU41" s="549"/>
      <c r="GBV41" s="549"/>
      <c r="GBW41" s="549"/>
      <c r="GBX41" s="549"/>
      <c r="GBY41" s="549"/>
      <c r="GBZ41" s="549"/>
      <c r="GCA41" s="549"/>
      <c r="GCB41" s="549"/>
      <c r="GCC41" s="549"/>
      <c r="GCD41" s="549"/>
      <c r="GCE41" s="549"/>
      <c r="GCF41" s="549"/>
      <c r="GCG41" s="549"/>
      <c r="GCH41" s="549"/>
      <c r="GCI41" s="549"/>
      <c r="GCJ41" s="549"/>
      <c r="GCK41" s="549"/>
      <c r="GCL41" s="549"/>
      <c r="GCM41" s="549"/>
      <c r="GCN41" s="549"/>
      <c r="GCO41" s="549"/>
      <c r="GCP41" s="549"/>
      <c r="GCQ41" s="549"/>
      <c r="GCR41" s="549"/>
      <c r="GCS41" s="549"/>
      <c r="GCT41" s="549"/>
      <c r="GCU41" s="549"/>
      <c r="GCV41" s="549"/>
      <c r="GCW41" s="549"/>
      <c r="GCX41" s="549"/>
      <c r="GCY41" s="549"/>
      <c r="GCZ41" s="549"/>
      <c r="GDA41" s="549"/>
      <c r="GDB41" s="549"/>
      <c r="GDC41" s="549"/>
      <c r="GDD41" s="549"/>
      <c r="GDE41" s="549"/>
      <c r="GDF41" s="549"/>
      <c r="GDG41" s="549"/>
      <c r="GDH41" s="549"/>
      <c r="GDI41" s="549"/>
      <c r="GDJ41" s="549"/>
      <c r="GDK41" s="549"/>
      <c r="GDL41" s="549"/>
      <c r="GDM41" s="549"/>
      <c r="GDN41" s="549"/>
      <c r="GDO41" s="549"/>
      <c r="GDP41" s="549"/>
      <c r="GDQ41" s="549"/>
      <c r="GDR41" s="549"/>
      <c r="GDS41" s="549"/>
      <c r="GDT41" s="549"/>
      <c r="GDU41" s="549"/>
      <c r="GDV41" s="549"/>
      <c r="GDW41" s="549"/>
      <c r="GDX41" s="549"/>
      <c r="GDY41" s="549"/>
      <c r="GDZ41" s="549"/>
      <c r="GEA41" s="549"/>
      <c r="GEB41" s="549"/>
      <c r="GEC41" s="549"/>
      <c r="GED41" s="549"/>
      <c r="GEE41" s="549"/>
      <c r="GEF41" s="549"/>
      <c r="GEG41" s="549"/>
      <c r="GEH41" s="549"/>
      <c r="GEI41" s="549"/>
      <c r="GEJ41" s="549"/>
      <c r="GEK41" s="549"/>
      <c r="GEL41" s="549"/>
      <c r="GEM41" s="549"/>
      <c r="GEN41" s="549"/>
      <c r="GEO41" s="549"/>
      <c r="GEP41" s="549"/>
      <c r="GEQ41" s="549"/>
      <c r="GER41" s="549"/>
      <c r="GES41" s="549"/>
      <c r="GET41" s="549"/>
      <c r="GEU41" s="549"/>
      <c r="GEV41" s="549"/>
      <c r="GEW41" s="549"/>
      <c r="GEX41" s="549"/>
      <c r="GEY41" s="549"/>
      <c r="GEZ41" s="549"/>
      <c r="GFA41" s="549"/>
      <c r="GFB41" s="549"/>
      <c r="GFC41" s="549"/>
      <c r="GFD41" s="549"/>
      <c r="GFE41" s="549"/>
      <c r="GFF41" s="549"/>
      <c r="GFG41" s="549"/>
      <c r="GFH41" s="549"/>
      <c r="GFI41" s="549"/>
      <c r="GFJ41" s="549"/>
      <c r="GFK41" s="549"/>
      <c r="GFL41" s="549"/>
      <c r="GFM41" s="549"/>
      <c r="GFN41" s="549"/>
      <c r="GFO41" s="549"/>
      <c r="GFP41" s="549"/>
      <c r="GFQ41" s="549"/>
      <c r="GFR41" s="549"/>
      <c r="GFS41" s="549"/>
      <c r="GFT41" s="549"/>
      <c r="GFU41" s="549"/>
      <c r="GFV41" s="549"/>
      <c r="GFW41" s="549"/>
      <c r="GFX41" s="549"/>
      <c r="GFY41" s="549"/>
      <c r="GFZ41" s="549"/>
      <c r="GGA41" s="549"/>
      <c r="GGB41" s="549"/>
      <c r="GGC41" s="549"/>
      <c r="GGD41" s="549"/>
      <c r="GGE41" s="549"/>
      <c r="GGF41" s="549"/>
      <c r="GGG41" s="549"/>
      <c r="GGH41" s="549"/>
      <c r="GGI41" s="549"/>
      <c r="GGJ41" s="549"/>
      <c r="GGK41" s="549"/>
      <c r="GGL41" s="549"/>
      <c r="GGM41" s="549"/>
      <c r="GGN41" s="549"/>
      <c r="GGO41" s="549"/>
      <c r="GGP41" s="549"/>
      <c r="GGQ41" s="549"/>
      <c r="GGR41" s="549"/>
      <c r="GGS41" s="549"/>
      <c r="GGT41" s="549"/>
      <c r="GGU41" s="549"/>
      <c r="GGV41" s="549"/>
      <c r="GGW41" s="549"/>
      <c r="GGX41" s="549"/>
      <c r="GGY41" s="549"/>
      <c r="GGZ41" s="549"/>
      <c r="GHA41" s="549"/>
      <c r="GHB41" s="549"/>
      <c r="GHC41" s="549"/>
      <c r="GHD41" s="549"/>
      <c r="GHE41" s="549"/>
      <c r="GHF41" s="549"/>
      <c r="GHG41" s="549"/>
      <c r="GHH41" s="549"/>
      <c r="GHI41" s="549"/>
      <c r="GHJ41" s="549"/>
      <c r="GHK41" s="549"/>
      <c r="GHL41" s="549"/>
      <c r="GHM41" s="549"/>
      <c r="GHN41" s="549"/>
      <c r="GHO41" s="549"/>
      <c r="GHP41" s="549"/>
      <c r="GHQ41" s="549"/>
      <c r="GHR41" s="549"/>
      <c r="GHS41" s="549"/>
      <c r="GHT41" s="549"/>
      <c r="GHU41" s="549"/>
      <c r="GHV41" s="549"/>
      <c r="GHW41" s="549"/>
      <c r="GHX41" s="549"/>
      <c r="GHY41" s="549"/>
      <c r="GHZ41" s="549"/>
      <c r="GIA41" s="549"/>
      <c r="GIB41" s="549"/>
      <c r="GIC41" s="549"/>
      <c r="GID41" s="549"/>
      <c r="GIE41" s="549"/>
      <c r="GIF41" s="549"/>
      <c r="GIG41" s="549"/>
      <c r="GIH41" s="549"/>
      <c r="GII41" s="549"/>
      <c r="GIJ41" s="549"/>
      <c r="GIK41" s="549"/>
      <c r="GIL41" s="549"/>
      <c r="GIM41" s="549"/>
      <c r="GIN41" s="549"/>
      <c r="GIO41" s="549"/>
      <c r="GIP41" s="549"/>
      <c r="GIQ41" s="549"/>
      <c r="GIR41" s="549"/>
      <c r="GIS41" s="549"/>
      <c r="GIT41" s="549"/>
      <c r="GIU41" s="549"/>
      <c r="GIV41" s="549"/>
      <c r="GIW41" s="549"/>
      <c r="GIX41" s="549"/>
      <c r="GIY41" s="549"/>
      <c r="GIZ41" s="549"/>
      <c r="GJA41" s="549"/>
      <c r="GJB41" s="549"/>
      <c r="GJC41" s="549"/>
      <c r="GJD41" s="549"/>
      <c r="GJE41" s="549"/>
      <c r="GJF41" s="549"/>
      <c r="GJG41" s="549"/>
      <c r="GJH41" s="549"/>
      <c r="GJI41" s="549"/>
      <c r="GJJ41" s="549"/>
      <c r="GJK41" s="549"/>
      <c r="GJL41" s="549"/>
      <c r="GJM41" s="549"/>
      <c r="GJN41" s="549"/>
      <c r="GJO41" s="549"/>
      <c r="GJP41" s="549"/>
      <c r="GJQ41" s="549"/>
      <c r="GJR41" s="549"/>
      <c r="GJS41" s="549"/>
      <c r="GJT41" s="549"/>
      <c r="GJU41" s="549"/>
      <c r="GJV41" s="549"/>
      <c r="GJW41" s="549"/>
      <c r="GJX41" s="549"/>
      <c r="GJY41" s="549"/>
      <c r="GJZ41" s="549"/>
      <c r="GKA41" s="549"/>
      <c r="GKB41" s="549"/>
      <c r="GKC41" s="549"/>
      <c r="GKD41" s="549"/>
      <c r="GKE41" s="549"/>
      <c r="GKF41" s="549"/>
      <c r="GKG41" s="549"/>
      <c r="GKH41" s="549"/>
      <c r="GKI41" s="549"/>
      <c r="GKJ41" s="549"/>
      <c r="GKK41" s="549"/>
      <c r="GKL41" s="549"/>
      <c r="GKM41" s="549"/>
      <c r="GKN41" s="549"/>
      <c r="GKO41" s="549"/>
      <c r="GKP41" s="549"/>
      <c r="GKQ41" s="549"/>
      <c r="GKR41" s="549"/>
      <c r="GKS41" s="549"/>
      <c r="GKT41" s="549"/>
      <c r="GKU41" s="549"/>
      <c r="GKV41" s="549"/>
      <c r="GKW41" s="549"/>
      <c r="GKX41" s="549"/>
      <c r="GKY41" s="549"/>
      <c r="GKZ41" s="549"/>
      <c r="GLA41" s="549"/>
      <c r="GLB41" s="549"/>
      <c r="GLC41" s="549"/>
      <c r="GLD41" s="549"/>
      <c r="GLE41" s="549"/>
      <c r="GLF41" s="549"/>
      <c r="GLG41" s="549"/>
      <c r="GLH41" s="549"/>
      <c r="GLI41" s="549"/>
      <c r="GLJ41" s="549"/>
      <c r="GLK41" s="549"/>
      <c r="GLL41" s="549"/>
      <c r="GLM41" s="549"/>
      <c r="GLN41" s="549"/>
      <c r="GLO41" s="549"/>
      <c r="GLP41" s="549"/>
      <c r="GLQ41" s="549"/>
      <c r="GLR41" s="549"/>
      <c r="GLS41" s="549"/>
      <c r="GLT41" s="549"/>
      <c r="GLU41" s="549"/>
      <c r="GLV41" s="549"/>
      <c r="GLW41" s="549"/>
      <c r="GLX41" s="549"/>
      <c r="GLY41" s="549"/>
      <c r="GLZ41" s="549"/>
      <c r="GMA41" s="549"/>
      <c r="GMB41" s="549"/>
      <c r="GMC41" s="549"/>
      <c r="GMD41" s="549"/>
      <c r="GME41" s="549"/>
      <c r="GMF41" s="549"/>
      <c r="GMG41" s="549"/>
      <c r="GMH41" s="549"/>
      <c r="GMI41" s="549"/>
      <c r="GMJ41" s="549"/>
      <c r="GMK41" s="549"/>
      <c r="GML41" s="549"/>
      <c r="GMM41" s="549"/>
      <c r="GMN41" s="549"/>
      <c r="GMO41" s="549"/>
      <c r="GMP41" s="549"/>
      <c r="GMQ41" s="549"/>
      <c r="GMR41" s="549"/>
      <c r="GMS41" s="549"/>
      <c r="GMT41" s="549"/>
      <c r="GMU41" s="549"/>
      <c r="GMV41" s="549"/>
      <c r="GMW41" s="549"/>
      <c r="GMX41" s="549"/>
      <c r="GMY41" s="549"/>
      <c r="GMZ41" s="549"/>
      <c r="GNA41" s="549"/>
      <c r="GNB41" s="549"/>
      <c r="GNC41" s="549"/>
      <c r="GND41" s="549"/>
      <c r="GNE41" s="549"/>
      <c r="GNF41" s="549"/>
      <c r="GNG41" s="549"/>
      <c r="GNH41" s="549"/>
      <c r="GNI41" s="549"/>
      <c r="GNJ41" s="549"/>
      <c r="GNK41" s="549"/>
      <c r="GNL41" s="549"/>
      <c r="GNM41" s="549"/>
      <c r="GNN41" s="549"/>
      <c r="GNO41" s="549"/>
      <c r="GNP41" s="549"/>
      <c r="GNQ41" s="549"/>
      <c r="GNR41" s="549"/>
      <c r="GNS41" s="549"/>
      <c r="GNT41" s="549"/>
      <c r="GNU41" s="549"/>
      <c r="GNV41" s="549"/>
      <c r="GNW41" s="549"/>
      <c r="GNX41" s="549"/>
      <c r="GNY41" s="549"/>
      <c r="GNZ41" s="549"/>
      <c r="GOA41" s="549"/>
      <c r="GOB41" s="549"/>
      <c r="GOC41" s="549"/>
      <c r="GOD41" s="549"/>
      <c r="GOE41" s="549"/>
      <c r="GOF41" s="549"/>
      <c r="GOG41" s="549"/>
      <c r="GOH41" s="549"/>
      <c r="GOI41" s="549"/>
      <c r="GOJ41" s="549"/>
      <c r="GOK41" s="549"/>
      <c r="GOL41" s="549"/>
      <c r="GOM41" s="549"/>
      <c r="GON41" s="549"/>
      <c r="GOO41" s="549"/>
      <c r="GOP41" s="549"/>
      <c r="GOQ41" s="549"/>
      <c r="GOR41" s="549"/>
      <c r="GOS41" s="549"/>
      <c r="GOT41" s="549"/>
      <c r="GOU41" s="549"/>
      <c r="GOV41" s="549"/>
      <c r="GOW41" s="549"/>
      <c r="GOX41" s="549"/>
      <c r="GOY41" s="549"/>
      <c r="GOZ41" s="549"/>
      <c r="GPA41" s="549"/>
      <c r="GPB41" s="549"/>
      <c r="GPC41" s="549"/>
      <c r="GPD41" s="549"/>
      <c r="GPE41" s="549"/>
      <c r="GPF41" s="549"/>
      <c r="GPG41" s="549"/>
      <c r="GPH41" s="549"/>
      <c r="GPI41" s="549"/>
      <c r="GPJ41" s="549"/>
      <c r="GPK41" s="549"/>
      <c r="GPL41" s="549"/>
      <c r="GPM41" s="549"/>
      <c r="GPN41" s="549"/>
      <c r="GPO41" s="549"/>
      <c r="GPP41" s="549"/>
      <c r="GPQ41" s="549"/>
      <c r="GPR41" s="549"/>
      <c r="GPS41" s="549"/>
      <c r="GPT41" s="549"/>
      <c r="GPU41" s="549"/>
      <c r="GPV41" s="549"/>
      <c r="GPW41" s="549"/>
      <c r="GPX41" s="549"/>
      <c r="GPY41" s="549"/>
      <c r="GPZ41" s="549"/>
      <c r="GQA41" s="549"/>
      <c r="GQB41" s="549"/>
      <c r="GQC41" s="549"/>
      <c r="GQD41" s="549"/>
      <c r="GQE41" s="549"/>
      <c r="GQF41" s="549"/>
      <c r="GQG41" s="549"/>
      <c r="GQH41" s="549"/>
      <c r="GQI41" s="549"/>
      <c r="GQJ41" s="549"/>
      <c r="GQK41" s="549"/>
      <c r="GQL41" s="549"/>
      <c r="GQM41" s="549"/>
      <c r="GQN41" s="549"/>
      <c r="GQO41" s="549"/>
      <c r="GQP41" s="549"/>
      <c r="GQQ41" s="549"/>
      <c r="GQR41" s="549"/>
      <c r="GQS41" s="549"/>
      <c r="GQT41" s="549"/>
      <c r="GQU41" s="549"/>
      <c r="GQV41" s="549"/>
      <c r="GQW41" s="549"/>
      <c r="GQX41" s="549"/>
      <c r="GQY41" s="549"/>
      <c r="GQZ41" s="549"/>
      <c r="GRA41" s="549"/>
      <c r="GRB41" s="549"/>
      <c r="GRC41" s="549"/>
      <c r="GRD41" s="549"/>
      <c r="GRE41" s="549"/>
      <c r="GRF41" s="549"/>
      <c r="GRG41" s="549"/>
      <c r="GRH41" s="549"/>
      <c r="GRI41" s="549"/>
      <c r="GRJ41" s="549"/>
      <c r="GRK41" s="549"/>
      <c r="GRL41" s="549"/>
      <c r="GRM41" s="549"/>
      <c r="GRN41" s="549"/>
      <c r="GRO41" s="549"/>
      <c r="GRP41" s="549"/>
      <c r="GRQ41" s="549"/>
      <c r="GRR41" s="549"/>
      <c r="GRS41" s="549"/>
      <c r="GRT41" s="549"/>
      <c r="GRU41" s="549"/>
      <c r="GRV41" s="549"/>
      <c r="GRW41" s="549"/>
      <c r="GRX41" s="549"/>
      <c r="GRY41" s="549"/>
      <c r="GRZ41" s="549"/>
      <c r="GSA41" s="549"/>
      <c r="GSB41" s="549"/>
      <c r="GSC41" s="549"/>
      <c r="GSD41" s="549"/>
      <c r="GSE41" s="549"/>
      <c r="GSF41" s="549"/>
      <c r="GSG41" s="549"/>
      <c r="GSH41" s="549"/>
      <c r="GSI41" s="549"/>
      <c r="GSJ41" s="549"/>
      <c r="GSK41" s="549"/>
      <c r="GSL41" s="549"/>
      <c r="GSM41" s="549"/>
      <c r="GSN41" s="549"/>
      <c r="GSO41" s="549"/>
      <c r="GSP41" s="549"/>
      <c r="GSQ41" s="549"/>
      <c r="GSR41" s="549"/>
      <c r="GSS41" s="549"/>
      <c r="GST41" s="549"/>
      <c r="GSU41" s="549"/>
      <c r="GSV41" s="549"/>
      <c r="GSW41" s="549"/>
      <c r="GSX41" s="549"/>
      <c r="GSY41" s="549"/>
      <c r="GSZ41" s="549"/>
      <c r="GTA41" s="549"/>
      <c r="GTB41" s="549"/>
      <c r="GTC41" s="549"/>
      <c r="GTD41" s="549"/>
      <c r="GTE41" s="549"/>
      <c r="GTF41" s="549"/>
      <c r="GTG41" s="549"/>
      <c r="GTH41" s="549"/>
      <c r="GTI41" s="549"/>
      <c r="GTJ41" s="549"/>
      <c r="GTK41" s="549"/>
      <c r="GTL41" s="549"/>
      <c r="GTM41" s="549"/>
      <c r="GTN41" s="549"/>
      <c r="GTO41" s="549"/>
      <c r="GTP41" s="549"/>
      <c r="GTQ41" s="549"/>
      <c r="GTR41" s="549"/>
      <c r="GTS41" s="549"/>
      <c r="GTT41" s="549"/>
      <c r="GTU41" s="549"/>
      <c r="GTV41" s="549"/>
      <c r="GTW41" s="549"/>
      <c r="GTX41" s="549"/>
      <c r="GTY41" s="549"/>
      <c r="GTZ41" s="549"/>
      <c r="GUA41" s="549"/>
      <c r="GUB41" s="549"/>
      <c r="GUC41" s="549"/>
      <c r="GUD41" s="549"/>
      <c r="GUE41" s="549"/>
      <c r="GUF41" s="549"/>
      <c r="GUG41" s="549"/>
      <c r="GUH41" s="549"/>
      <c r="GUI41" s="549"/>
      <c r="GUJ41" s="549"/>
      <c r="GUK41" s="549"/>
      <c r="GUL41" s="549"/>
      <c r="GUM41" s="549"/>
      <c r="GUN41" s="549"/>
      <c r="GUO41" s="549"/>
      <c r="GUP41" s="549"/>
      <c r="GUQ41" s="549"/>
      <c r="GUR41" s="549"/>
      <c r="GUS41" s="549"/>
      <c r="GUT41" s="549"/>
      <c r="GUU41" s="549"/>
      <c r="GUV41" s="549"/>
      <c r="GUW41" s="549"/>
      <c r="GUX41" s="549"/>
      <c r="GUY41" s="549"/>
      <c r="GUZ41" s="549"/>
      <c r="GVA41" s="549"/>
      <c r="GVB41" s="549"/>
      <c r="GVC41" s="549"/>
      <c r="GVD41" s="549"/>
      <c r="GVE41" s="549"/>
      <c r="GVF41" s="549"/>
      <c r="GVG41" s="549"/>
      <c r="GVH41" s="549"/>
      <c r="GVI41" s="549"/>
      <c r="GVJ41" s="549"/>
      <c r="GVK41" s="549"/>
      <c r="GVL41" s="549"/>
      <c r="GVM41" s="549"/>
      <c r="GVN41" s="549"/>
      <c r="GVO41" s="549"/>
      <c r="GVP41" s="549"/>
      <c r="GVQ41" s="549"/>
      <c r="GVR41" s="549"/>
      <c r="GVS41" s="549"/>
      <c r="GVT41" s="549"/>
      <c r="GVU41" s="549"/>
      <c r="GVV41" s="549"/>
      <c r="GVW41" s="549"/>
      <c r="GVX41" s="549"/>
      <c r="GVY41" s="549"/>
      <c r="GVZ41" s="549"/>
      <c r="GWA41" s="549"/>
      <c r="GWB41" s="549"/>
      <c r="GWC41" s="549"/>
      <c r="GWD41" s="549"/>
      <c r="GWE41" s="549"/>
      <c r="GWF41" s="549"/>
      <c r="GWG41" s="549"/>
      <c r="GWH41" s="549"/>
      <c r="GWI41" s="549"/>
      <c r="GWJ41" s="549"/>
      <c r="GWK41" s="549"/>
      <c r="GWL41" s="549"/>
      <c r="GWM41" s="549"/>
      <c r="GWN41" s="549"/>
      <c r="GWO41" s="549"/>
      <c r="GWP41" s="549"/>
      <c r="GWQ41" s="549"/>
      <c r="GWR41" s="549"/>
      <c r="GWS41" s="549"/>
      <c r="GWT41" s="549"/>
      <c r="GWU41" s="549"/>
      <c r="GWV41" s="549"/>
      <c r="GWW41" s="549"/>
      <c r="GWX41" s="549"/>
      <c r="GWY41" s="549"/>
      <c r="GWZ41" s="549"/>
      <c r="GXA41" s="549"/>
      <c r="GXB41" s="549"/>
      <c r="GXC41" s="549"/>
      <c r="GXD41" s="549"/>
      <c r="GXE41" s="549"/>
      <c r="GXF41" s="549"/>
      <c r="GXG41" s="549"/>
      <c r="GXH41" s="549"/>
      <c r="GXI41" s="549"/>
      <c r="GXJ41" s="549"/>
      <c r="GXK41" s="549"/>
      <c r="GXL41" s="549"/>
      <c r="GXM41" s="549"/>
      <c r="GXN41" s="549"/>
      <c r="GXO41" s="549"/>
      <c r="GXP41" s="549"/>
      <c r="GXQ41" s="549"/>
      <c r="GXR41" s="549"/>
      <c r="GXS41" s="549"/>
      <c r="GXT41" s="549"/>
      <c r="GXU41" s="549"/>
      <c r="GXV41" s="549"/>
      <c r="GXW41" s="549"/>
      <c r="GXX41" s="549"/>
      <c r="GXY41" s="549"/>
      <c r="GXZ41" s="549"/>
      <c r="GYA41" s="549"/>
      <c r="GYB41" s="549"/>
      <c r="GYC41" s="549"/>
      <c r="GYD41" s="549"/>
      <c r="GYE41" s="549"/>
      <c r="GYF41" s="549"/>
      <c r="GYG41" s="549"/>
      <c r="GYH41" s="549"/>
      <c r="GYI41" s="549"/>
      <c r="GYJ41" s="549"/>
      <c r="GYK41" s="549"/>
      <c r="GYL41" s="549"/>
      <c r="GYM41" s="549"/>
      <c r="GYN41" s="549"/>
      <c r="GYO41" s="549"/>
      <c r="GYP41" s="549"/>
      <c r="GYQ41" s="549"/>
      <c r="GYR41" s="549"/>
      <c r="GYS41" s="549"/>
      <c r="GYT41" s="549"/>
      <c r="GYU41" s="549"/>
      <c r="GYV41" s="549"/>
      <c r="GYW41" s="549"/>
      <c r="GYX41" s="549"/>
      <c r="GYY41" s="549"/>
      <c r="GYZ41" s="549"/>
      <c r="GZA41" s="549"/>
      <c r="GZB41" s="549"/>
      <c r="GZC41" s="549"/>
      <c r="GZD41" s="549"/>
      <c r="GZE41" s="549"/>
      <c r="GZF41" s="549"/>
      <c r="GZG41" s="549"/>
      <c r="GZH41" s="549"/>
      <c r="GZI41" s="549"/>
      <c r="GZJ41" s="549"/>
      <c r="GZK41" s="549"/>
      <c r="GZL41" s="549"/>
      <c r="GZM41" s="549"/>
      <c r="GZN41" s="549"/>
      <c r="GZO41" s="549"/>
      <c r="GZP41" s="549"/>
      <c r="GZQ41" s="549"/>
      <c r="GZR41" s="549"/>
      <c r="GZS41" s="549"/>
      <c r="GZT41" s="549"/>
      <c r="GZU41" s="549"/>
      <c r="GZV41" s="549"/>
      <c r="GZW41" s="549"/>
      <c r="GZX41" s="549"/>
      <c r="GZY41" s="549"/>
      <c r="GZZ41" s="549"/>
      <c r="HAA41" s="549"/>
      <c r="HAB41" s="549"/>
      <c r="HAC41" s="549"/>
      <c r="HAD41" s="549"/>
      <c r="HAE41" s="549"/>
      <c r="HAF41" s="549"/>
      <c r="HAG41" s="549"/>
      <c r="HAH41" s="549"/>
      <c r="HAI41" s="549"/>
      <c r="HAJ41" s="549"/>
      <c r="HAK41" s="549"/>
      <c r="HAL41" s="549"/>
      <c r="HAM41" s="549"/>
      <c r="HAN41" s="549"/>
      <c r="HAO41" s="549"/>
      <c r="HAP41" s="549"/>
      <c r="HAQ41" s="549"/>
      <c r="HAR41" s="549"/>
      <c r="HAS41" s="549"/>
      <c r="HAT41" s="549"/>
      <c r="HAU41" s="549"/>
      <c r="HAV41" s="549"/>
      <c r="HAW41" s="549"/>
      <c r="HAX41" s="549"/>
      <c r="HAY41" s="549"/>
      <c r="HAZ41" s="549"/>
      <c r="HBA41" s="549"/>
      <c r="HBB41" s="549"/>
      <c r="HBC41" s="549"/>
      <c r="HBD41" s="549"/>
      <c r="HBE41" s="549"/>
      <c r="HBF41" s="549"/>
      <c r="HBG41" s="549"/>
      <c r="HBH41" s="549"/>
      <c r="HBI41" s="549"/>
      <c r="HBJ41" s="549"/>
      <c r="HBK41" s="549"/>
      <c r="HBL41" s="549"/>
      <c r="HBM41" s="549"/>
      <c r="HBN41" s="549"/>
      <c r="HBO41" s="549"/>
      <c r="HBP41" s="549"/>
      <c r="HBQ41" s="549"/>
      <c r="HBR41" s="549"/>
      <c r="HBS41" s="549"/>
      <c r="HBT41" s="549"/>
      <c r="HBU41" s="549"/>
      <c r="HBV41" s="549"/>
      <c r="HBW41" s="549"/>
      <c r="HBX41" s="549"/>
      <c r="HBY41" s="549"/>
      <c r="HBZ41" s="549"/>
      <c r="HCA41" s="549"/>
      <c r="HCB41" s="549"/>
      <c r="HCC41" s="549"/>
      <c r="HCD41" s="549"/>
      <c r="HCE41" s="549"/>
      <c r="HCF41" s="549"/>
      <c r="HCG41" s="549"/>
      <c r="HCH41" s="549"/>
      <c r="HCI41" s="549"/>
      <c r="HCJ41" s="549"/>
      <c r="HCK41" s="549"/>
      <c r="HCL41" s="549"/>
      <c r="HCM41" s="549"/>
      <c r="HCN41" s="549"/>
      <c r="HCO41" s="549"/>
      <c r="HCP41" s="549"/>
      <c r="HCQ41" s="549"/>
      <c r="HCR41" s="549"/>
      <c r="HCS41" s="549"/>
      <c r="HCT41" s="549"/>
      <c r="HCU41" s="549"/>
      <c r="HCV41" s="549"/>
      <c r="HCW41" s="549"/>
      <c r="HCX41" s="549"/>
      <c r="HCY41" s="549"/>
      <c r="HCZ41" s="549"/>
      <c r="HDA41" s="549"/>
      <c r="HDB41" s="549"/>
      <c r="HDC41" s="549"/>
      <c r="HDD41" s="549"/>
      <c r="HDE41" s="549"/>
      <c r="HDF41" s="549"/>
      <c r="HDG41" s="549"/>
      <c r="HDH41" s="549"/>
      <c r="HDI41" s="549"/>
      <c r="HDJ41" s="549"/>
      <c r="HDK41" s="549"/>
      <c r="HDL41" s="549"/>
      <c r="HDM41" s="549"/>
      <c r="HDN41" s="549"/>
      <c r="HDO41" s="549"/>
      <c r="HDP41" s="549"/>
      <c r="HDQ41" s="549"/>
      <c r="HDR41" s="549"/>
      <c r="HDS41" s="549"/>
      <c r="HDT41" s="549"/>
      <c r="HDU41" s="549"/>
      <c r="HDV41" s="549"/>
      <c r="HDW41" s="549"/>
      <c r="HDX41" s="549"/>
      <c r="HDY41" s="549"/>
      <c r="HDZ41" s="549"/>
      <c r="HEA41" s="549"/>
      <c r="HEB41" s="549"/>
      <c r="HEC41" s="549"/>
      <c r="HED41" s="549"/>
      <c r="HEE41" s="549"/>
      <c r="HEF41" s="549"/>
      <c r="HEG41" s="549"/>
      <c r="HEH41" s="549"/>
      <c r="HEI41" s="549"/>
      <c r="HEJ41" s="549"/>
      <c r="HEK41" s="549"/>
      <c r="HEL41" s="549"/>
      <c r="HEM41" s="549"/>
      <c r="HEN41" s="549"/>
      <c r="HEO41" s="549"/>
      <c r="HEP41" s="549"/>
      <c r="HEQ41" s="549"/>
      <c r="HER41" s="549"/>
      <c r="HES41" s="549"/>
      <c r="HET41" s="549"/>
      <c r="HEU41" s="549"/>
      <c r="HEV41" s="549"/>
      <c r="HEW41" s="549"/>
      <c r="HEX41" s="549"/>
      <c r="HEY41" s="549"/>
      <c r="HEZ41" s="549"/>
      <c r="HFA41" s="549"/>
      <c r="HFB41" s="549"/>
      <c r="HFC41" s="549"/>
      <c r="HFD41" s="549"/>
      <c r="HFE41" s="549"/>
      <c r="HFF41" s="549"/>
      <c r="HFG41" s="549"/>
      <c r="HFH41" s="549"/>
      <c r="HFI41" s="549"/>
      <c r="HFJ41" s="549"/>
      <c r="HFK41" s="549"/>
      <c r="HFL41" s="549"/>
      <c r="HFM41" s="549"/>
      <c r="HFN41" s="549"/>
      <c r="HFO41" s="549"/>
      <c r="HFP41" s="549"/>
      <c r="HFQ41" s="549"/>
      <c r="HFR41" s="549"/>
      <c r="HFS41" s="549"/>
      <c r="HFT41" s="549"/>
      <c r="HFU41" s="549"/>
      <c r="HFV41" s="549"/>
      <c r="HFW41" s="549"/>
      <c r="HFX41" s="549"/>
      <c r="HFY41" s="549"/>
      <c r="HFZ41" s="549"/>
      <c r="HGA41" s="549"/>
      <c r="HGB41" s="549"/>
      <c r="HGC41" s="549"/>
      <c r="HGD41" s="549"/>
      <c r="HGE41" s="549"/>
      <c r="HGF41" s="549"/>
      <c r="HGG41" s="549"/>
      <c r="HGH41" s="549"/>
      <c r="HGI41" s="549"/>
      <c r="HGJ41" s="549"/>
      <c r="HGK41" s="549"/>
      <c r="HGL41" s="549"/>
      <c r="HGM41" s="549"/>
      <c r="HGN41" s="549"/>
      <c r="HGO41" s="549"/>
      <c r="HGP41" s="549"/>
      <c r="HGQ41" s="549"/>
      <c r="HGR41" s="549"/>
      <c r="HGS41" s="549"/>
      <c r="HGT41" s="549"/>
      <c r="HGU41" s="549"/>
      <c r="HGV41" s="549"/>
      <c r="HGW41" s="549"/>
      <c r="HGX41" s="549"/>
      <c r="HGY41" s="549"/>
      <c r="HGZ41" s="549"/>
      <c r="HHA41" s="549"/>
      <c r="HHB41" s="549"/>
      <c r="HHC41" s="549"/>
      <c r="HHD41" s="549"/>
      <c r="HHE41" s="549"/>
      <c r="HHF41" s="549"/>
      <c r="HHG41" s="549"/>
      <c r="HHH41" s="549"/>
      <c r="HHI41" s="549"/>
      <c r="HHJ41" s="549"/>
      <c r="HHK41" s="549"/>
      <c r="HHL41" s="549"/>
      <c r="HHM41" s="549"/>
      <c r="HHN41" s="549"/>
      <c r="HHO41" s="549"/>
      <c r="HHP41" s="549"/>
      <c r="HHQ41" s="549"/>
      <c r="HHR41" s="549"/>
      <c r="HHS41" s="549"/>
      <c r="HHT41" s="549"/>
      <c r="HHU41" s="549"/>
      <c r="HHV41" s="549"/>
      <c r="HHW41" s="549"/>
      <c r="HHX41" s="549"/>
      <c r="HHY41" s="549"/>
      <c r="HHZ41" s="549"/>
      <c r="HIA41" s="549"/>
      <c r="HIB41" s="549"/>
      <c r="HIC41" s="549"/>
      <c r="HID41" s="549"/>
      <c r="HIE41" s="549"/>
      <c r="HIF41" s="549"/>
      <c r="HIG41" s="549"/>
      <c r="HIH41" s="549"/>
      <c r="HII41" s="549"/>
      <c r="HIJ41" s="549"/>
      <c r="HIK41" s="549"/>
      <c r="HIL41" s="549"/>
      <c r="HIM41" s="549"/>
      <c r="HIN41" s="549"/>
      <c r="HIO41" s="549"/>
      <c r="HIP41" s="549"/>
      <c r="HIQ41" s="549"/>
      <c r="HIR41" s="549"/>
      <c r="HIS41" s="549"/>
      <c r="HIT41" s="549"/>
      <c r="HIU41" s="549"/>
      <c r="HIV41" s="549"/>
      <c r="HIW41" s="549"/>
      <c r="HIX41" s="549"/>
      <c r="HIY41" s="549"/>
      <c r="HIZ41" s="549"/>
      <c r="HJA41" s="549"/>
      <c r="HJB41" s="549"/>
      <c r="HJC41" s="549"/>
      <c r="HJD41" s="549"/>
      <c r="HJE41" s="549"/>
      <c r="HJF41" s="549"/>
      <c r="HJG41" s="549"/>
      <c r="HJH41" s="549"/>
      <c r="HJI41" s="549"/>
      <c r="HJJ41" s="549"/>
      <c r="HJK41" s="549"/>
      <c r="HJL41" s="549"/>
      <c r="HJM41" s="549"/>
      <c r="HJN41" s="549"/>
      <c r="HJO41" s="549"/>
      <c r="HJP41" s="549"/>
      <c r="HJQ41" s="549"/>
      <c r="HJR41" s="549"/>
      <c r="HJS41" s="549"/>
      <c r="HJT41" s="549"/>
      <c r="HJU41" s="549"/>
      <c r="HJV41" s="549"/>
      <c r="HJW41" s="549"/>
      <c r="HJX41" s="549"/>
      <c r="HJY41" s="549"/>
      <c r="HJZ41" s="549"/>
      <c r="HKA41" s="549"/>
      <c r="HKB41" s="549"/>
      <c r="HKC41" s="549"/>
      <c r="HKD41" s="549"/>
      <c r="HKE41" s="549"/>
      <c r="HKF41" s="549"/>
      <c r="HKG41" s="549"/>
      <c r="HKH41" s="549"/>
      <c r="HKI41" s="549"/>
      <c r="HKJ41" s="549"/>
      <c r="HKK41" s="549"/>
      <c r="HKL41" s="549"/>
      <c r="HKM41" s="549"/>
      <c r="HKN41" s="549"/>
      <c r="HKO41" s="549"/>
      <c r="HKP41" s="549"/>
      <c r="HKQ41" s="549"/>
      <c r="HKR41" s="549"/>
      <c r="HKS41" s="549"/>
      <c r="HKT41" s="549"/>
      <c r="HKU41" s="549"/>
      <c r="HKV41" s="549"/>
      <c r="HKW41" s="549"/>
      <c r="HKX41" s="549"/>
      <c r="HKY41" s="549"/>
      <c r="HKZ41" s="549"/>
      <c r="HLA41" s="549"/>
      <c r="HLB41" s="549"/>
      <c r="HLC41" s="549"/>
      <c r="HLD41" s="549"/>
      <c r="HLE41" s="549"/>
      <c r="HLF41" s="549"/>
      <c r="HLG41" s="549"/>
      <c r="HLH41" s="549"/>
      <c r="HLI41" s="549"/>
      <c r="HLJ41" s="549"/>
      <c r="HLK41" s="549"/>
      <c r="HLL41" s="549"/>
      <c r="HLM41" s="549"/>
      <c r="HLN41" s="549"/>
      <c r="HLO41" s="549"/>
      <c r="HLP41" s="549"/>
      <c r="HLQ41" s="549"/>
      <c r="HLR41" s="549"/>
      <c r="HLS41" s="549"/>
      <c r="HLT41" s="549"/>
      <c r="HLU41" s="549"/>
      <c r="HLV41" s="549"/>
      <c r="HLW41" s="549"/>
      <c r="HLX41" s="549"/>
      <c r="HLY41" s="549"/>
      <c r="HLZ41" s="549"/>
      <c r="HMA41" s="549"/>
      <c r="HMB41" s="549"/>
      <c r="HMC41" s="549"/>
      <c r="HMD41" s="549"/>
      <c r="HME41" s="549"/>
      <c r="HMF41" s="549"/>
      <c r="HMG41" s="549"/>
      <c r="HMH41" s="549"/>
      <c r="HMI41" s="549"/>
      <c r="HMJ41" s="549"/>
      <c r="HMK41" s="549"/>
      <c r="HML41" s="549"/>
      <c r="HMM41" s="549"/>
      <c r="HMN41" s="549"/>
      <c r="HMO41" s="549"/>
      <c r="HMP41" s="549"/>
      <c r="HMQ41" s="549"/>
      <c r="HMR41" s="549"/>
      <c r="HMS41" s="549"/>
      <c r="HMT41" s="549"/>
      <c r="HMU41" s="549"/>
      <c r="HMV41" s="549"/>
      <c r="HMW41" s="549"/>
      <c r="HMX41" s="549"/>
      <c r="HMY41" s="549"/>
      <c r="HMZ41" s="549"/>
      <c r="HNA41" s="549"/>
      <c r="HNB41" s="549"/>
      <c r="HNC41" s="549"/>
      <c r="HND41" s="549"/>
      <c r="HNE41" s="549"/>
      <c r="HNF41" s="549"/>
      <c r="HNG41" s="549"/>
      <c r="HNH41" s="549"/>
      <c r="HNI41" s="549"/>
      <c r="HNJ41" s="549"/>
      <c r="HNK41" s="549"/>
      <c r="HNL41" s="549"/>
      <c r="HNM41" s="549"/>
      <c r="HNN41" s="549"/>
      <c r="HNO41" s="549"/>
      <c r="HNP41" s="549"/>
      <c r="HNQ41" s="549"/>
      <c r="HNR41" s="549"/>
      <c r="HNS41" s="549"/>
      <c r="HNT41" s="549"/>
      <c r="HNU41" s="549"/>
      <c r="HNV41" s="549"/>
      <c r="HNW41" s="549"/>
      <c r="HNX41" s="549"/>
      <c r="HNY41" s="549"/>
      <c r="HNZ41" s="549"/>
      <c r="HOA41" s="549"/>
      <c r="HOB41" s="549"/>
      <c r="HOC41" s="549"/>
      <c r="HOD41" s="549"/>
      <c r="HOE41" s="549"/>
      <c r="HOF41" s="549"/>
      <c r="HOG41" s="549"/>
      <c r="HOH41" s="549"/>
      <c r="HOI41" s="549"/>
      <c r="HOJ41" s="549"/>
      <c r="HOK41" s="549"/>
      <c r="HOL41" s="549"/>
      <c r="HOM41" s="549"/>
      <c r="HON41" s="549"/>
      <c r="HOO41" s="549"/>
      <c r="HOP41" s="549"/>
      <c r="HOQ41" s="549"/>
      <c r="HOR41" s="549"/>
      <c r="HOS41" s="549"/>
      <c r="HOT41" s="549"/>
      <c r="HOU41" s="549"/>
      <c r="HOV41" s="549"/>
      <c r="HOW41" s="549"/>
      <c r="HOX41" s="549"/>
      <c r="HOY41" s="549"/>
      <c r="HOZ41" s="549"/>
      <c r="HPA41" s="549"/>
      <c r="HPB41" s="549"/>
      <c r="HPC41" s="549"/>
      <c r="HPD41" s="549"/>
      <c r="HPE41" s="549"/>
      <c r="HPF41" s="549"/>
      <c r="HPG41" s="549"/>
      <c r="HPH41" s="549"/>
      <c r="HPI41" s="549"/>
      <c r="HPJ41" s="549"/>
      <c r="HPK41" s="549"/>
      <c r="HPL41" s="549"/>
      <c r="HPM41" s="549"/>
      <c r="HPN41" s="549"/>
      <c r="HPO41" s="549"/>
      <c r="HPP41" s="549"/>
      <c r="HPQ41" s="549"/>
      <c r="HPR41" s="549"/>
      <c r="HPS41" s="549"/>
      <c r="HPT41" s="549"/>
      <c r="HPU41" s="549"/>
      <c r="HPV41" s="549"/>
      <c r="HPW41" s="549"/>
      <c r="HPX41" s="549"/>
      <c r="HPY41" s="549"/>
      <c r="HPZ41" s="549"/>
      <c r="HQA41" s="549"/>
      <c r="HQB41" s="549"/>
      <c r="HQC41" s="549"/>
      <c r="HQD41" s="549"/>
      <c r="HQE41" s="549"/>
      <c r="HQF41" s="549"/>
      <c r="HQG41" s="549"/>
      <c r="HQH41" s="549"/>
      <c r="HQI41" s="549"/>
      <c r="HQJ41" s="549"/>
      <c r="HQK41" s="549"/>
      <c r="HQL41" s="549"/>
      <c r="HQM41" s="549"/>
      <c r="HQN41" s="549"/>
      <c r="HQO41" s="549"/>
      <c r="HQP41" s="549"/>
      <c r="HQQ41" s="549"/>
      <c r="HQR41" s="549"/>
      <c r="HQS41" s="549"/>
      <c r="HQT41" s="549"/>
      <c r="HQU41" s="549"/>
      <c r="HQV41" s="549"/>
      <c r="HQW41" s="549"/>
      <c r="HQX41" s="549"/>
      <c r="HQY41" s="549"/>
      <c r="HQZ41" s="549"/>
      <c r="HRA41" s="549"/>
      <c r="HRB41" s="549"/>
      <c r="HRC41" s="549"/>
      <c r="HRD41" s="549"/>
      <c r="HRE41" s="549"/>
      <c r="HRF41" s="549"/>
      <c r="HRG41" s="549"/>
      <c r="HRH41" s="549"/>
      <c r="HRI41" s="549"/>
      <c r="HRJ41" s="549"/>
      <c r="HRK41" s="549"/>
      <c r="HRL41" s="549"/>
      <c r="HRM41" s="549"/>
      <c r="HRN41" s="549"/>
      <c r="HRO41" s="549"/>
      <c r="HRP41" s="549"/>
      <c r="HRQ41" s="549"/>
      <c r="HRR41" s="549"/>
      <c r="HRS41" s="549"/>
      <c r="HRT41" s="549"/>
      <c r="HRU41" s="549"/>
      <c r="HRV41" s="549"/>
      <c r="HRW41" s="549"/>
      <c r="HRX41" s="549"/>
      <c r="HRY41" s="549"/>
      <c r="HRZ41" s="549"/>
      <c r="HSA41" s="549"/>
      <c r="HSB41" s="549"/>
      <c r="HSC41" s="549"/>
      <c r="HSD41" s="549"/>
      <c r="HSE41" s="549"/>
      <c r="HSF41" s="549"/>
      <c r="HSG41" s="549"/>
      <c r="HSH41" s="549"/>
      <c r="HSI41" s="549"/>
      <c r="HSJ41" s="549"/>
      <c r="HSK41" s="549"/>
      <c r="HSL41" s="549"/>
      <c r="HSM41" s="549"/>
      <c r="HSN41" s="549"/>
      <c r="HSO41" s="549"/>
      <c r="HSP41" s="549"/>
      <c r="HSQ41" s="549"/>
      <c r="HSR41" s="549"/>
      <c r="HSS41" s="549"/>
      <c r="HST41" s="549"/>
      <c r="HSU41" s="549"/>
      <c r="HSV41" s="549"/>
      <c r="HSW41" s="549"/>
      <c r="HSX41" s="549"/>
      <c r="HSY41" s="549"/>
      <c r="HSZ41" s="549"/>
      <c r="HTA41" s="549"/>
      <c r="HTB41" s="549"/>
      <c r="HTC41" s="549"/>
      <c r="HTD41" s="549"/>
      <c r="HTE41" s="549"/>
      <c r="HTF41" s="549"/>
      <c r="HTG41" s="549"/>
      <c r="HTH41" s="549"/>
      <c r="HTI41" s="549"/>
      <c r="HTJ41" s="549"/>
      <c r="HTK41" s="549"/>
      <c r="HTL41" s="549"/>
      <c r="HTM41" s="549"/>
      <c r="HTN41" s="549"/>
      <c r="HTO41" s="549"/>
      <c r="HTP41" s="549"/>
      <c r="HTQ41" s="549"/>
      <c r="HTR41" s="549"/>
      <c r="HTS41" s="549"/>
      <c r="HTT41" s="549"/>
      <c r="HTU41" s="549"/>
      <c r="HTV41" s="549"/>
      <c r="HTW41" s="549"/>
      <c r="HTX41" s="549"/>
      <c r="HTY41" s="549"/>
      <c r="HTZ41" s="549"/>
      <c r="HUA41" s="549"/>
      <c r="HUB41" s="549"/>
      <c r="HUC41" s="549"/>
      <c r="HUD41" s="549"/>
      <c r="HUE41" s="549"/>
      <c r="HUF41" s="549"/>
      <c r="HUG41" s="549"/>
      <c r="HUH41" s="549"/>
      <c r="HUI41" s="549"/>
      <c r="HUJ41" s="549"/>
      <c r="HUK41" s="549"/>
      <c r="HUL41" s="549"/>
      <c r="HUM41" s="549"/>
      <c r="HUN41" s="549"/>
      <c r="HUO41" s="549"/>
      <c r="HUP41" s="549"/>
      <c r="HUQ41" s="549"/>
      <c r="HUR41" s="549"/>
      <c r="HUS41" s="549"/>
      <c r="HUT41" s="549"/>
      <c r="HUU41" s="549"/>
      <c r="HUV41" s="549"/>
      <c r="HUW41" s="549"/>
      <c r="HUX41" s="549"/>
      <c r="HUY41" s="549"/>
      <c r="HUZ41" s="549"/>
      <c r="HVA41" s="549"/>
      <c r="HVB41" s="549"/>
      <c r="HVC41" s="549"/>
      <c r="HVD41" s="549"/>
      <c r="HVE41" s="549"/>
      <c r="HVF41" s="549"/>
      <c r="HVG41" s="549"/>
      <c r="HVH41" s="549"/>
      <c r="HVI41" s="549"/>
      <c r="HVJ41" s="549"/>
      <c r="HVK41" s="549"/>
      <c r="HVL41" s="549"/>
      <c r="HVM41" s="549"/>
      <c r="HVN41" s="549"/>
      <c r="HVO41" s="549"/>
      <c r="HVP41" s="549"/>
      <c r="HVQ41" s="549"/>
      <c r="HVR41" s="549"/>
      <c r="HVS41" s="549"/>
      <c r="HVT41" s="549"/>
      <c r="HVU41" s="549"/>
      <c r="HVV41" s="549"/>
      <c r="HVW41" s="549"/>
      <c r="HVX41" s="549"/>
      <c r="HVY41" s="549"/>
      <c r="HVZ41" s="549"/>
      <c r="HWA41" s="549"/>
      <c r="HWB41" s="549"/>
      <c r="HWC41" s="549"/>
      <c r="HWD41" s="549"/>
      <c r="HWE41" s="549"/>
      <c r="HWF41" s="549"/>
      <c r="HWG41" s="549"/>
      <c r="HWH41" s="549"/>
      <c r="HWI41" s="549"/>
      <c r="HWJ41" s="549"/>
      <c r="HWK41" s="549"/>
      <c r="HWL41" s="549"/>
      <c r="HWM41" s="549"/>
      <c r="HWN41" s="549"/>
      <c r="HWO41" s="549"/>
      <c r="HWP41" s="549"/>
      <c r="HWQ41" s="549"/>
      <c r="HWR41" s="549"/>
      <c r="HWS41" s="549"/>
      <c r="HWT41" s="549"/>
      <c r="HWU41" s="549"/>
      <c r="HWV41" s="549"/>
      <c r="HWW41" s="549"/>
      <c r="HWX41" s="549"/>
      <c r="HWY41" s="549"/>
      <c r="HWZ41" s="549"/>
      <c r="HXA41" s="549"/>
      <c r="HXB41" s="549"/>
      <c r="HXC41" s="549"/>
      <c r="HXD41" s="549"/>
      <c r="HXE41" s="549"/>
      <c r="HXF41" s="549"/>
      <c r="HXG41" s="549"/>
      <c r="HXH41" s="549"/>
      <c r="HXI41" s="549"/>
      <c r="HXJ41" s="549"/>
      <c r="HXK41" s="549"/>
      <c r="HXL41" s="549"/>
      <c r="HXM41" s="549"/>
      <c r="HXN41" s="549"/>
      <c r="HXO41" s="549"/>
      <c r="HXP41" s="549"/>
      <c r="HXQ41" s="549"/>
      <c r="HXR41" s="549"/>
      <c r="HXS41" s="549"/>
      <c r="HXT41" s="549"/>
      <c r="HXU41" s="549"/>
      <c r="HXV41" s="549"/>
      <c r="HXW41" s="549"/>
      <c r="HXX41" s="549"/>
      <c r="HXY41" s="549"/>
      <c r="HXZ41" s="549"/>
      <c r="HYA41" s="549"/>
      <c r="HYB41" s="549"/>
      <c r="HYC41" s="549"/>
      <c r="HYD41" s="549"/>
      <c r="HYE41" s="549"/>
      <c r="HYF41" s="549"/>
      <c r="HYG41" s="549"/>
      <c r="HYH41" s="549"/>
      <c r="HYI41" s="549"/>
      <c r="HYJ41" s="549"/>
      <c r="HYK41" s="549"/>
      <c r="HYL41" s="549"/>
      <c r="HYM41" s="549"/>
      <c r="HYN41" s="549"/>
      <c r="HYO41" s="549"/>
      <c r="HYP41" s="549"/>
      <c r="HYQ41" s="549"/>
      <c r="HYR41" s="549"/>
      <c r="HYS41" s="549"/>
      <c r="HYT41" s="549"/>
      <c r="HYU41" s="549"/>
      <c r="HYV41" s="549"/>
      <c r="HYW41" s="549"/>
      <c r="HYX41" s="549"/>
      <c r="HYY41" s="549"/>
      <c r="HYZ41" s="549"/>
      <c r="HZA41" s="549"/>
      <c r="HZB41" s="549"/>
      <c r="HZC41" s="549"/>
      <c r="HZD41" s="549"/>
      <c r="HZE41" s="549"/>
      <c r="HZF41" s="549"/>
      <c r="HZG41" s="549"/>
      <c r="HZH41" s="549"/>
      <c r="HZI41" s="549"/>
      <c r="HZJ41" s="549"/>
      <c r="HZK41" s="549"/>
      <c r="HZL41" s="549"/>
      <c r="HZM41" s="549"/>
      <c r="HZN41" s="549"/>
      <c r="HZO41" s="549"/>
      <c r="HZP41" s="549"/>
      <c r="HZQ41" s="549"/>
      <c r="HZR41" s="549"/>
      <c r="HZS41" s="549"/>
      <c r="HZT41" s="549"/>
      <c r="HZU41" s="549"/>
      <c r="HZV41" s="549"/>
      <c r="HZW41" s="549"/>
      <c r="HZX41" s="549"/>
      <c r="HZY41" s="549"/>
      <c r="HZZ41" s="549"/>
      <c r="IAA41" s="549"/>
      <c r="IAB41" s="549"/>
      <c r="IAC41" s="549"/>
      <c r="IAD41" s="549"/>
      <c r="IAE41" s="549"/>
      <c r="IAF41" s="549"/>
      <c r="IAG41" s="549"/>
      <c r="IAH41" s="549"/>
      <c r="IAI41" s="549"/>
      <c r="IAJ41" s="549"/>
      <c r="IAK41" s="549"/>
      <c r="IAL41" s="549"/>
      <c r="IAM41" s="549"/>
      <c r="IAN41" s="549"/>
      <c r="IAO41" s="549"/>
      <c r="IAP41" s="549"/>
      <c r="IAQ41" s="549"/>
      <c r="IAR41" s="549"/>
      <c r="IAS41" s="549"/>
      <c r="IAT41" s="549"/>
      <c r="IAU41" s="549"/>
      <c r="IAV41" s="549"/>
      <c r="IAW41" s="549"/>
      <c r="IAX41" s="549"/>
      <c r="IAY41" s="549"/>
      <c r="IAZ41" s="549"/>
      <c r="IBA41" s="549"/>
      <c r="IBB41" s="549"/>
      <c r="IBC41" s="549"/>
      <c r="IBD41" s="549"/>
      <c r="IBE41" s="549"/>
      <c r="IBF41" s="549"/>
      <c r="IBG41" s="549"/>
      <c r="IBH41" s="549"/>
      <c r="IBI41" s="549"/>
      <c r="IBJ41" s="549"/>
      <c r="IBK41" s="549"/>
      <c r="IBL41" s="549"/>
      <c r="IBM41" s="549"/>
      <c r="IBN41" s="549"/>
      <c r="IBO41" s="549"/>
      <c r="IBP41" s="549"/>
      <c r="IBQ41" s="549"/>
      <c r="IBR41" s="549"/>
      <c r="IBS41" s="549"/>
      <c r="IBT41" s="549"/>
      <c r="IBU41" s="549"/>
      <c r="IBV41" s="549"/>
      <c r="IBW41" s="549"/>
      <c r="IBX41" s="549"/>
      <c r="IBY41" s="549"/>
      <c r="IBZ41" s="549"/>
      <c r="ICA41" s="549"/>
      <c r="ICB41" s="549"/>
      <c r="ICC41" s="549"/>
      <c r="ICD41" s="549"/>
      <c r="ICE41" s="549"/>
      <c r="ICF41" s="549"/>
      <c r="ICG41" s="549"/>
      <c r="ICH41" s="549"/>
      <c r="ICI41" s="549"/>
      <c r="ICJ41" s="549"/>
      <c r="ICK41" s="549"/>
      <c r="ICL41" s="549"/>
      <c r="ICM41" s="549"/>
      <c r="ICN41" s="549"/>
      <c r="ICO41" s="549"/>
      <c r="ICP41" s="549"/>
      <c r="ICQ41" s="549"/>
      <c r="ICR41" s="549"/>
      <c r="ICS41" s="549"/>
      <c r="ICT41" s="549"/>
      <c r="ICU41" s="549"/>
      <c r="ICV41" s="549"/>
      <c r="ICW41" s="549"/>
      <c r="ICX41" s="549"/>
      <c r="ICY41" s="549"/>
      <c r="ICZ41" s="549"/>
      <c r="IDA41" s="549"/>
      <c r="IDB41" s="549"/>
      <c r="IDC41" s="549"/>
      <c r="IDD41" s="549"/>
      <c r="IDE41" s="549"/>
      <c r="IDF41" s="549"/>
      <c r="IDG41" s="549"/>
      <c r="IDH41" s="549"/>
      <c r="IDI41" s="549"/>
      <c r="IDJ41" s="549"/>
      <c r="IDK41" s="549"/>
      <c r="IDL41" s="549"/>
      <c r="IDM41" s="549"/>
      <c r="IDN41" s="549"/>
      <c r="IDO41" s="549"/>
      <c r="IDP41" s="549"/>
      <c r="IDQ41" s="549"/>
      <c r="IDR41" s="549"/>
      <c r="IDS41" s="549"/>
      <c r="IDT41" s="549"/>
      <c r="IDU41" s="549"/>
      <c r="IDV41" s="549"/>
      <c r="IDW41" s="549"/>
      <c r="IDX41" s="549"/>
      <c r="IDY41" s="549"/>
      <c r="IDZ41" s="549"/>
      <c r="IEA41" s="549"/>
      <c r="IEB41" s="549"/>
      <c r="IEC41" s="549"/>
      <c r="IED41" s="549"/>
      <c r="IEE41" s="549"/>
      <c r="IEF41" s="549"/>
      <c r="IEG41" s="549"/>
      <c r="IEH41" s="549"/>
      <c r="IEI41" s="549"/>
      <c r="IEJ41" s="549"/>
      <c r="IEK41" s="549"/>
      <c r="IEL41" s="549"/>
      <c r="IEM41" s="549"/>
      <c r="IEN41" s="549"/>
      <c r="IEO41" s="549"/>
      <c r="IEP41" s="549"/>
      <c r="IEQ41" s="549"/>
      <c r="IER41" s="549"/>
      <c r="IES41" s="549"/>
      <c r="IET41" s="549"/>
      <c r="IEU41" s="549"/>
      <c r="IEV41" s="549"/>
      <c r="IEW41" s="549"/>
      <c r="IEX41" s="549"/>
      <c r="IEY41" s="549"/>
      <c r="IEZ41" s="549"/>
      <c r="IFA41" s="549"/>
      <c r="IFB41" s="549"/>
      <c r="IFC41" s="549"/>
      <c r="IFD41" s="549"/>
      <c r="IFE41" s="549"/>
      <c r="IFF41" s="549"/>
      <c r="IFG41" s="549"/>
      <c r="IFH41" s="549"/>
      <c r="IFI41" s="549"/>
      <c r="IFJ41" s="549"/>
      <c r="IFK41" s="549"/>
      <c r="IFL41" s="549"/>
      <c r="IFM41" s="549"/>
      <c r="IFN41" s="549"/>
      <c r="IFO41" s="549"/>
      <c r="IFP41" s="549"/>
      <c r="IFQ41" s="549"/>
      <c r="IFR41" s="549"/>
      <c r="IFS41" s="549"/>
      <c r="IFT41" s="549"/>
      <c r="IFU41" s="549"/>
      <c r="IFV41" s="549"/>
      <c r="IFW41" s="549"/>
      <c r="IFX41" s="549"/>
      <c r="IFY41" s="549"/>
      <c r="IFZ41" s="549"/>
      <c r="IGA41" s="549"/>
      <c r="IGB41" s="549"/>
      <c r="IGC41" s="549"/>
      <c r="IGD41" s="549"/>
      <c r="IGE41" s="549"/>
      <c r="IGF41" s="549"/>
      <c r="IGG41" s="549"/>
      <c r="IGH41" s="549"/>
      <c r="IGI41" s="549"/>
      <c r="IGJ41" s="549"/>
      <c r="IGK41" s="549"/>
      <c r="IGL41" s="549"/>
      <c r="IGM41" s="549"/>
      <c r="IGN41" s="549"/>
      <c r="IGO41" s="549"/>
      <c r="IGP41" s="549"/>
      <c r="IGQ41" s="549"/>
      <c r="IGR41" s="549"/>
      <c r="IGS41" s="549"/>
      <c r="IGT41" s="549"/>
      <c r="IGU41" s="549"/>
      <c r="IGV41" s="549"/>
      <c r="IGW41" s="549"/>
      <c r="IGX41" s="549"/>
      <c r="IGY41" s="549"/>
      <c r="IGZ41" s="549"/>
      <c r="IHA41" s="549"/>
      <c r="IHB41" s="549"/>
      <c r="IHC41" s="549"/>
      <c r="IHD41" s="549"/>
      <c r="IHE41" s="549"/>
      <c r="IHF41" s="549"/>
      <c r="IHG41" s="549"/>
      <c r="IHH41" s="549"/>
      <c r="IHI41" s="549"/>
      <c r="IHJ41" s="549"/>
      <c r="IHK41" s="549"/>
      <c r="IHL41" s="549"/>
      <c r="IHM41" s="549"/>
      <c r="IHN41" s="549"/>
      <c r="IHO41" s="549"/>
      <c r="IHP41" s="549"/>
      <c r="IHQ41" s="549"/>
      <c r="IHR41" s="549"/>
      <c r="IHS41" s="549"/>
      <c r="IHT41" s="549"/>
      <c r="IHU41" s="549"/>
      <c r="IHV41" s="549"/>
      <c r="IHW41" s="549"/>
      <c r="IHX41" s="549"/>
      <c r="IHY41" s="549"/>
      <c r="IHZ41" s="549"/>
      <c r="IIA41" s="549"/>
      <c r="IIB41" s="549"/>
      <c r="IIC41" s="549"/>
      <c r="IID41" s="549"/>
      <c r="IIE41" s="549"/>
      <c r="IIF41" s="549"/>
      <c r="IIG41" s="549"/>
      <c r="IIH41" s="549"/>
      <c r="III41" s="549"/>
      <c r="IIJ41" s="549"/>
      <c r="IIK41" s="549"/>
      <c r="IIL41" s="549"/>
      <c r="IIM41" s="549"/>
      <c r="IIN41" s="549"/>
      <c r="IIO41" s="549"/>
      <c r="IIP41" s="549"/>
      <c r="IIQ41" s="549"/>
      <c r="IIR41" s="549"/>
      <c r="IIS41" s="549"/>
      <c r="IIT41" s="549"/>
      <c r="IIU41" s="549"/>
      <c r="IIV41" s="549"/>
      <c r="IIW41" s="549"/>
      <c r="IIX41" s="549"/>
      <c r="IIY41" s="549"/>
      <c r="IIZ41" s="549"/>
      <c r="IJA41" s="549"/>
      <c r="IJB41" s="549"/>
      <c r="IJC41" s="549"/>
      <c r="IJD41" s="549"/>
      <c r="IJE41" s="549"/>
      <c r="IJF41" s="549"/>
      <c r="IJG41" s="549"/>
      <c r="IJH41" s="549"/>
      <c r="IJI41" s="549"/>
      <c r="IJJ41" s="549"/>
      <c r="IJK41" s="549"/>
      <c r="IJL41" s="549"/>
      <c r="IJM41" s="549"/>
      <c r="IJN41" s="549"/>
      <c r="IJO41" s="549"/>
      <c r="IJP41" s="549"/>
      <c r="IJQ41" s="549"/>
      <c r="IJR41" s="549"/>
      <c r="IJS41" s="549"/>
      <c r="IJT41" s="549"/>
      <c r="IJU41" s="549"/>
      <c r="IJV41" s="549"/>
      <c r="IJW41" s="549"/>
      <c r="IJX41" s="549"/>
      <c r="IJY41" s="549"/>
      <c r="IJZ41" s="549"/>
      <c r="IKA41" s="549"/>
      <c r="IKB41" s="549"/>
      <c r="IKC41" s="549"/>
      <c r="IKD41" s="549"/>
      <c r="IKE41" s="549"/>
      <c r="IKF41" s="549"/>
      <c r="IKG41" s="549"/>
      <c r="IKH41" s="549"/>
      <c r="IKI41" s="549"/>
      <c r="IKJ41" s="549"/>
      <c r="IKK41" s="549"/>
      <c r="IKL41" s="549"/>
      <c r="IKM41" s="549"/>
      <c r="IKN41" s="549"/>
      <c r="IKO41" s="549"/>
      <c r="IKP41" s="549"/>
      <c r="IKQ41" s="549"/>
      <c r="IKR41" s="549"/>
      <c r="IKS41" s="549"/>
      <c r="IKT41" s="549"/>
      <c r="IKU41" s="549"/>
      <c r="IKV41" s="549"/>
      <c r="IKW41" s="549"/>
      <c r="IKX41" s="549"/>
      <c r="IKY41" s="549"/>
      <c r="IKZ41" s="549"/>
      <c r="ILA41" s="549"/>
      <c r="ILB41" s="549"/>
      <c r="ILC41" s="549"/>
      <c r="ILD41" s="549"/>
      <c r="ILE41" s="549"/>
      <c r="ILF41" s="549"/>
      <c r="ILG41" s="549"/>
      <c r="ILH41" s="549"/>
      <c r="ILI41" s="549"/>
      <c r="ILJ41" s="549"/>
      <c r="ILK41" s="549"/>
      <c r="ILL41" s="549"/>
      <c r="ILM41" s="549"/>
      <c r="ILN41" s="549"/>
      <c r="ILO41" s="549"/>
      <c r="ILP41" s="549"/>
      <c r="ILQ41" s="549"/>
      <c r="ILR41" s="549"/>
      <c r="ILS41" s="549"/>
      <c r="ILT41" s="549"/>
      <c r="ILU41" s="549"/>
      <c r="ILV41" s="549"/>
      <c r="ILW41" s="549"/>
      <c r="ILX41" s="549"/>
      <c r="ILY41" s="549"/>
      <c r="ILZ41" s="549"/>
      <c r="IMA41" s="549"/>
      <c r="IMB41" s="549"/>
      <c r="IMC41" s="549"/>
      <c r="IMD41" s="549"/>
      <c r="IME41" s="549"/>
      <c r="IMF41" s="549"/>
      <c r="IMG41" s="549"/>
      <c r="IMH41" s="549"/>
      <c r="IMI41" s="549"/>
      <c r="IMJ41" s="549"/>
      <c r="IMK41" s="549"/>
      <c r="IML41" s="549"/>
      <c r="IMM41" s="549"/>
      <c r="IMN41" s="549"/>
      <c r="IMO41" s="549"/>
      <c r="IMP41" s="549"/>
      <c r="IMQ41" s="549"/>
      <c r="IMR41" s="549"/>
      <c r="IMS41" s="549"/>
      <c r="IMT41" s="549"/>
      <c r="IMU41" s="549"/>
      <c r="IMV41" s="549"/>
      <c r="IMW41" s="549"/>
      <c r="IMX41" s="549"/>
      <c r="IMY41" s="549"/>
      <c r="IMZ41" s="549"/>
      <c r="INA41" s="549"/>
      <c r="INB41" s="549"/>
      <c r="INC41" s="549"/>
      <c r="IND41" s="549"/>
      <c r="INE41" s="549"/>
      <c r="INF41" s="549"/>
      <c r="ING41" s="549"/>
      <c r="INH41" s="549"/>
      <c r="INI41" s="549"/>
      <c r="INJ41" s="549"/>
      <c r="INK41" s="549"/>
      <c r="INL41" s="549"/>
      <c r="INM41" s="549"/>
      <c r="INN41" s="549"/>
      <c r="INO41" s="549"/>
      <c r="INP41" s="549"/>
      <c r="INQ41" s="549"/>
      <c r="INR41" s="549"/>
      <c r="INS41" s="549"/>
      <c r="INT41" s="549"/>
      <c r="INU41" s="549"/>
      <c r="INV41" s="549"/>
      <c r="INW41" s="549"/>
      <c r="INX41" s="549"/>
      <c r="INY41" s="549"/>
      <c r="INZ41" s="549"/>
      <c r="IOA41" s="549"/>
      <c r="IOB41" s="549"/>
      <c r="IOC41" s="549"/>
      <c r="IOD41" s="549"/>
      <c r="IOE41" s="549"/>
      <c r="IOF41" s="549"/>
      <c r="IOG41" s="549"/>
      <c r="IOH41" s="549"/>
      <c r="IOI41" s="549"/>
      <c r="IOJ41" s="549"/>
      <c r="IOK41" s="549"/>
      <c r="IOL41" s="549"/>
      <c r="IOM41" s="549"/>
      <c r="ION41" s="549"/>
      <c r="IOO41" s="549"/>
      <c r="IOP41" s="549"/>
      <c r="IOQ41" s="549"/>
      <c r="IOR41" s="549"/>
      <c r="IOS41" s="549"/>
      <c r="IOT41" s="549"/>
      <c r="IOU41" s="549"/>
      <c r="IOV41" s="549"/>
      <c r="IOW41" s="549"/>
      <c r="IOX41" s="549"/>
      <c r="IOY41" s="549"/>
      <c r="IOZ41" s="549"/>
      <c r="IPA41" s="549"/>
      <c r="IPB41" s="549"/>
      <c r="IPC41" s="549"/>
      <c r="IPD41" s="549"/>
      <c r="IPE41" s="549"/>
      <c r="IPF41" s="549"/>
      <c r="IPG41" s="549"/>
      <c r="IPH41" s="549"/>
      <c r="IPI41" s="549"/>
      <c r="IPJ41" s="549"/>
      <c r="IPK41" s="549"/>
      <c r="IPL41" s="549"/>
      <c r="IPM41" s="549"/>
      <c r="IPN41" s="549"/>
      <c r="IPO41" s="549"/>
      <c r="IPP41" s="549"/>
      <c r="IPQ41" s="549"/>
      <c r="IPR41" s="549"/>
      <c r="IPS41" s="549"/>
      <c r="IPT41" s="549"/>
      <c r="IPU41" s="549"/>
      <c r="IPV41" s="549"/>
      <c r="IPW41" s="549"/>
      <c r="IPX41" s="549"/>
      <c r="IPY41" s="549"/>
      <c r="IPZ41" s="549"/>
      <c r="IQA41" s="549"/>
      <c r="IQB41" s="549"/>
      <c r="IQC41" s="549"/>
      <c r="IQD41" s="549"/>
      <c r="IQE41" s="549"/>
      <c r="IQF41" s="549"/>
      <c r="IQG41" s="549"/>
      <c r="IQH41" s="549"/>
      <c r="IQI41" s="549"/>
      <c r="IQJ41" s="549"/>
      <c r="IQK41" s="549"/>
      <c r="IQL41" s="549"/>
      <c r="IQM41" s="549"/>
      <c r="IQN41" s="549"/>
      <c r="IQO41" s="549"/>
      <c r="IQP41" s="549"/>
      <c r="IQQ41" s="549"/>
      <c r="IQR41" s="549"/>
      <c r="IQS41" s="549"/>
      <c r="IQT41" s="549"/>
      <c r="IQU41" s="549"/>
      <c r="IQV41" s="549"/>
      <c r="IQW41" s="549"/>
      <c r="IQX41" s="549"/>
      <c r="IQY41" s="549"/>
      <c r="IQZ41" s="549"/>
      <c r="IRA41" s="549"/>
      <c r="IRB41" s="549"/>
      <c r="IRC41" s="549"/>
      <c r="IRD41" s="549"/>
      <c r="IRE41" s="549"/>
      <c r="IRF41" s="549"/>
      <c r="IRG41" s="549"/>
      <c r="IRH41" s="549"/>
      <c r="IRI41" s="549"/>
      <c r="IRJ41" s="549"/>
      <c r="IRK41" s="549"/>
      <c r="IRL41" s="549"/>
      <c r="IRM41" s="549"/>
      <c r="IRN41" s="549"/>
      <c r="IRO41" s="549"/>
      <c r="IRP41" s="549"/>
      <c r="IRQ41" s="549"/>
      <c r="IRR41" s="549"/>
      <c r="IRS41" s="549"/>
      <c r="IRT41" s="549"/>
      <c r="IRU41" s="549"/>
      <c r="IRV41" s="549"/>
      <c r="IRW41" s="549"/>
      <c r="IRX41" s="549"/>
      <c r="IRY41" s="549"/>
      <c r="IRZ41" s="549"/>
      <c r="ISA41" s="549"/>
      <c r="ISB41" s="549"/>
      <c r="ISC41" s="549"/>
      <c r="ISD41" s="549"/>
      <c r="ISE41" s="549"/>
      <c r="ISF41" s="549"/>
      <c r="ISG41" s="549"/>
      <c r="ISH41" s="549"/>
      <c r="ISI41" s="549"/>
      <c r="ISJ41" s="549"/>
      <c r="ISK41" s="549"/>
      <c r="ISL41" s="549"/>
      <c r="ISM41" s="549"/>
      <c r="ISN41" s="549"/>
      <c r="ISO41" s="549"/>
      <c r="ISP41" s="549"/>
      <c r="ISQ41" s="549"/>
      <c r="ISR41" s="549"/>
      <c r="ISS41" s="549"/>
      <c r="IST41" s="549"/>
      <c r="ISU41" s="549"/>
      <c r="ISV41" s="549"/>
      <c r="ISW41" s="549"/>
      <c r="ISX41" s="549"/>
      <c r="ISY41" s="549"/>
      <c r="ISZ41" s="549"/>
      <c r="ITA41" s="549"/>
      <c r="ITB41" s="549"/>
      <c r="ITC41" s="549"/>
      <c r="ITD41" s="549"/>
      <c r="ITE41" s="549"/>
      <c r="ITF41" s="549"/>
      <c r="ITG41" s="549"/>
      <c r="ITH41" s="549"/>
      <c r="ITI41" s="549"/>
      <c r="ITJ41" s="549"/>
      <c r="ITK41" s="549"/>
      <c r="ITL41" s="549"/>
      <c r="ITM41" s="549"/>
      <c r="ITN41" s="549"/>
      <c r="ITO41" s="549"/>
      <c r="ITP41" s="549"/>
      <c r="ITQ41" s="549"/>
      <c r="ITR41" s="549"/>
      <c r="ITS41" s="549"/>
      <c r="ITT41" s="549"/>
      <c r="ITU41" s="549"/>
      <c r="ITV41" s="549"/>
      <c r="ITW41" s="549"/>
      <c r="ITX41" s="549"/>
      <c r="ITY41" s="549"/>
      <c r="ITZ41" s="549"/>
      <c r="IUA41" s="549"/>
      <c r="IUB41" s="549"/>
      <c r="IUC41" s="549"/>
      <c r="IUD41" s="549"/>
      <c r="IUE41" s="549"/>
      <c r="IUF41" s="549"/>
      <c r="IUG41" s="549"/>
      <c r="IUH41" s="549"/>
      <c r="IUI41" s="549"/>
      <c r="IUJ41" s="549"/>
      <c r="IUK41" s="549"/>
      <c r="IUL41" s="549"/>
      <c r="IUM41" s="549"/>
      <c r="IUN41" s="549"/>
      <c r="IUO41" s="549"/>
      <c r="IUP41" s="549"/>
      <c r="IUQ41" s="549"/>
      <c r="IUR41" s="549"/>
      <c r="IUS41" s="549"/>
      <c r="IUT41" s="549"/>
      <c r="IUU41" s="549"/>
      <c r="IUV41" s="549"/>
      <c r="IUW41" s="549"/>
      <c r="IUX41" s="549"/>
      <c r="IUY41" s="549"/>
      <c r="IUZ41" s="549"/>
      <c r="IVA41" s="549"/>
      <c r="IVB41" s="549"/>
      <c r="IVC41" s="549"/>
      <c r="IVD41" s="549"/>
      <c r="IVE41" s="549"/>
      <c r="IVF41" s="549"/>
      <c r="IVG41" s="549"/>
      <c r="IVH41" s="549"/>
      <c r="IVI41" s="549"/>
      <c r="IVJ41" s="549"/>
      <c r="IVK41" s="549"/>
      <c r="IVL41" s="549"/>
      <c r="IVM41" s="549"/>
      <c r="IVN41" s="549"/>
      <c r="IVO41" s="549"/>
      <c r="IVP41" s="549"/>
      <c r="IVQ41" s="549"/>
      <c r="IVR41" s="549"/>
      <c r="IVS41" s="549"/>
      <c r="IVT41" s="549"/>
      <c r="IVU41" s="549"/>
      <c r="IVV41" s="549"/>
      <c r="IVW41" s="549"/>
      <c r="IVX41" s="549"/>
      <c r="IVY41" s="549"/>
      <c r="IVZ41" s="549"/>
      <c r="IWA41" s="549"/>
      <c r="IWB41" s="549"/>
      <c r="IWC41" s="549"/>
      <c r="IWD41" s="549"/>
      <c r="IWE41" s="549"/>
      <c r="IWF41" s="549"/>
      <c r="IWG41" s="549"/>
      <c r="IWH41" s="549"/>
      <c r="IWI41" s="549"/>
      <c r="IWJ41" s="549"/>
      <c r="IWK41" s="549"/>
      <c r="IWL41" s="549"/>
      <c r="IWM41" s="549"/>
      <c r="IWN41" s="549"/>
      <c r="IWO41" s="549"/>
      <c r="IWP41" s="549"/>
      <c r="IWQ41" s="549"/>
      <c r="IWR41" s="549"/>
      <c r="IWS41" s="549"/>
      <c r="IWT41" s="549"/>
      <c r="IWU41" s="549"/>
      <c r="IWV41" s="549"/>
      <c r="IWW41" s="549"/>
      <c r="IWX41" s="549"/>
      <c r="IWY41" s="549"/>
      <c r="IWZ41" s="549"/>
      <c r="IXA41" s="549"/>
      <c r="IXB41" s="549"/>
      <c r="IXC41" s="549"/>
      <c r="IXD41" s="549"/>
      <c r="IXE41" s="549"/>
      <c r="IXF41" s="549"/>
      <c r="IXG41" s="549"/>
      <c r="IXH41" s="549"/>
      <c r="IXI41" s="549"/>
      <c r="IXJ41" s="549"/>
      <c r="IXK41" s="549"/>
      <c r="IXL41" s="549"/>
      <c r="IXM41" s="549"/>
      <c r="IXN41" s="549"/>
      <c r="IXO41" s="549"/>
      <c r="IXP41" s="549"/>
      <c r="IXQ41" s="549"/>
      <c r="IXR41" s="549"/>
      <c r="IXS41" s="549"/>
      <c r="IXT41" s="549"/>
      <c r="IXU41" s="549"/>
      <c r="IXV41" s="549"/>
      <c r="IXW41" s="549"/>
      <c r="IXX41" s="549"/>
      <c r="IXY41" s="549"/>
      <c r="IXZ41" s="549"/>
      <c r="IYA41" s="549"/>
      <c r="IYB41" s="549"/>
      <c r="IYC41" s="549"/>
      <c r="IYD41" s="549"/>
      <c r="IYE41" s="549"/>
      <c r="IYF41" s="549"/>
      <c r="IYG41" s="549"/>
      <c r="IYH41" s="549"/>
      <c r="IYI41" s="549"/>
      <c r="IYJ41" s="549"/>
      <c r="IYK41" s="549"/>
      <c r="IYL41" s="549"/>
      <c r="IYM41" s="549"/>
      <c r="IYN41" s="549"/>
      <c r="IYO41" s="549"/>
      <c r="IYP41" s="549"/>
      <c r="IYQ41" s="549"/>
      <c r="IYR41" s="549"/>
      <c r="IYS41" s="549"/>
      <c r="IYT41" s="549"/>
      <c r="IYU41" s="549"/>
      <c r="IYV41" s="549"/>
      <c r="IYW41" s="549"/>
      <c r="IYX41" s="549"/>
      <c r="IYY41" s="549"/>
      <c r="IYZ41" s="549"/>
      <c r="IZA41" s="549"/>
      <c r="IZB41" s="549"/>
      <c r="IZC41" s="549"/>
      <c r="IZD41" s="549"/>
      <c r="IZE41" s="549"/>
      <c r="IZF41" s="549"/>
      <c r="IZG41" s="549"/>
      <c r="IZH41" s="549"/>
      <c r="IZI41" s="549"/>
      <c r="IZJ41" s="549"/>
      <c r="IZK41" s="549"/>
      <c r="IZL41" s="549"/>
      <c r="IZM41" s="549"/>
      <c r="IZN41" s="549"/>
      <c r="IZO41" s="549"/>
      <c r="IZP41" s="549"/>
      <c r="IZQ41" s="549"/>
      <c r="IZR41" s="549"/>
      <c r="IZS41" s="549"/>
      <c r="IZT41" s="549"/>
      <c r="IZU41" s="549"/>
      <c r="IZV41" s="549"/>
      <c r="IZW41" s="549"/>
      <c r="IZX41" s="549"/>
      <c r="IZY41" s="549"/>
      <c r="IZZ41" s="549"/>
      <c r="JAA41" s="549"/>
      <c r="JAB41" s="549"/>
      <c r="JAC41" s="549"/>
      <c r="JAD41" s="549"/>
      <c r="JAE41" s="549"/>
      <c r="JAF41" s="549"/>
      <c r="JAG41" s="549"/>
      <c r="JAH41" s="549"/>
      <c r="JAI41" s="549"/>
      <c r="JAJ41" s="549"/>
      <c r="JAK41" s="549"/>
      <c r="JAL41" s="549"/>
      <c r="JAM41" s="549"/>
      <c r="JAN41" s="549"/>
      <c r="JAO41" s="549"/>
      <c r="JAP41" s="549"/>
      <c r="JAQ41" s="549"/>
      <c r="JAR41" s="549"/>
      <c r="JAS41" s="549"/>
      <c r="JAT41" s="549"/>
      <c r="JAU41" s="549"/>
      <c r="JAV41" s="549"/>
      <c r="JAW41" s="549"/>
      <c r="JAX41" s="549"/>
      <c r="JAY41" s="549"/>
      <c r="JAZ41" s="549"/>
      <c r="JBA41" s="549"/>
      <c r="JBB41" s="549"/>
      <c r="JBC41" s="549"/>
      <c r="JBD41" s="549"/>
      <c r="JBE41" s="549"/>
      <c r="JBF41" s="549"/>
      <c r="JBG41" s="549"/>
      <c r="JBH41" s="549"/>
      <c r="JBI41" s="549"/>
      <c r="JBJ41" s="549"/>
      <c r="JBK41" s="549"/>
      <c r="JBL41" s="549"/>
      <c r="JBM41" s="549"/>
      <c r="JBN41" s="549"/>
      <c r="JBO41" s="549"/>
      <c r="JBP41" s="549"/>
      <c r="JBQ41" s="549"/>
      <c r="JBR41" s="549"/>
      <c r="JBS41" s="549"/>
      <c r="JBT41" s="549"/>
      <c r="JBU41" s="549"/>
      <c r="JBV41" s="549"/>
      <c r="JBW41" s="549"/>
      <c r="JBX41" s="549"/>
      <c r="JBY41" s="549"/>
      <c r="JBZ41" s="549"/>
      <c r="JCA41" s="549"/>
      <c r="JCB41" s="549"/>
      <c r="JCC41" s="549"/>
      <c r="JCD41" s="549"/>
      <c r="JCE41" s="549"/>
      <c r="JCF41" s="549"/>
      <c r="JCG41" s="549"/>
      <c r="JCH41" s="549"/>
      <c r="JCI41" s="549"/>
      <c r="JCJ41" s="549"/>
      <c r="JCK41" s="549"/>
      <c r="JCL41" s="549"/>
      <c r="JCM41" s="549"/>
      <c r="JCN41" s="549"/>
      <c r="JCO41" s="549"/>
      <c r="JCP41" s="549"/>
      <c r="JCQ41" s="549"/>
      <c r="JCR41" s="549"/>
      <c r="JCS41" s="549"/>
      <c r="JCT41" s="549"/>
      <c r="JCU41" s="549"/>
      <c r="JCV41" s="549"/>
      <c r="JCW41" s="549"/>
      <c r="JCX41" s="549"/>
      <c r="JCY41" s="549"/>
      <c r="JCZ41" s="549"/>
      <c r="JDA41" s="549"/>
      <c r="JDB41" s="549"/>
      <c r="JDC41" s="549"/>
      <c r="JDD41" s="549"/>
      <c r="JDE41" s="549"/>
      <c r="JDF41" s="549"/>
      <c r="JDG41" s="549"/>
      <c r="JDH41" s="549"/>
      <c r="JDI41" s="549"/>
      <c r="JDJ41" s="549"/>
      <c r="JDK41" s="549"/>
      <c r="JDL41" s="549"/>
      <c r="JDM41" s="549"/>
      <c r="JDN41" s="549"/>
      <c r="JDO41" s="549"/>
      <c r="JDP41" s="549"/>
      <c r="JDQ41" s="549"/>
      <c r="JDR41" s="549"/>
      <c r="JDS41" s="549"/>
      <c r="JDT41" s="549"/>
      <c r="JDU41" s="549"/>
      <c r="JDV41" s="549"/>
      <c r="JDW41" s="549"/>
      <c r="JDX41" s="549"/>
      <c r="JDY41" s="549"/>
      <c r="JDZ41" s="549"/>
      <c r="JEA41" s="549"/>
      <c r="JEB41" s="549"/>
      <c r="JEC41" s="549"/>
      <c r="JED41" s="549"/>
      <c r="JEE41" s="549"/>
      <c r="JEF41" s="549"/>
      <c r="JEG41" s="549"/>
      <c r="JEH41" s="549"/>
      <c r="JEI41" s="549"/>
      <c r="JEJ41" s="549"/>
      <c r="JEK41" s="549"/>
      <c r="JEL41" s="549"/>
      <c r="JEM41" s="549"/>
      <c r="JEN41" s="549"/>
      <c r="JEO41" s="549"/>
      <c r="JEP41" s="549"/>
      <c r="JEQ41" s="549"/>
      <c r="JER41" s="549"/>
      <c r="JES41" s="549"/>
      <c r="JET41" s="549"/>
      <c r="JEU41" s="549"/>
      <c r="JEV41" s="549"/>
      <c r="JEW41" s="549"/>
      <c r="JEX41" s="549"/>
      <c r="JEY41" s="549"/>
      <c r="JEZ41" s="549"/>
      <c r="JFA41" s="549"/>
      <c r="JFB41" s="549"/>
      <c r="JFC41" s="549"/>
      <c r="JFD41" s="549"/>
      <c r="JFE41" s="549"/>
      <c r="JFF41" s="549"/>
      <c r="JFG41" s="549"/>
      <c r="JFH41" s="549"/>
      <c r="JFI41" s="549"/>
      <c r="JFJ41" s="549"/>
      <c r="JFK41" s="549"/>
      <c r="JFL41" s="549"/>
      <c r="JFM41" s="549"/>
      <c r="JFN41" s="549"/>
      <c r="JFO41" s="549"/>
      <c r="JFP41" s="549"/>
      <c r="JFQ41" s="549"/>
      <c r="JFR41" s="549"/>
      <c r="JFS41" s="549"/>
      <c r="JFT41" s="549"/>
      <c r="JFU41" s="549"/>
      <c r="JFV41" s="549"/>
      <c r="JFW41" s="549"/>
      <c r="JFX41" s="549"/>
      <c r="JFY41" s="549"/>
      <c r="JFZ41" s="549"/>
      <c r="JGA41" s="549"/>
      <c r="JGB41" s="549"/>
      <c r="JGC41" s="549"/>
      <c r="JGD41" s="549"/>
      <c r="JGE41" s="549"/>
      <c r="JGF41" s="549"/>
      <c r="JGG41" s="549"/>
      <c r="JGH41" s="549"/>
      <c r="JGI41" s="549"/>
      <c r="JGJ41" s="549"/>
      <c r="JGK41" s="549"/>
      <c r="JGL41" s="549"/>
      <c r="JGM41" s="549"/>
      <c r="JGN41" s="549"/>
      <c r="JGO41" s="549"/>
      <c r="JGP41" s="549"/>
      <c r="JGQ41" s="549"/>
      <c r="JGR41" s="549"/>
      <c r="JGS41" s="549"/>
      <c r="JGT41" s="549"/>
      <c r="JGU41" s="549"/>
      <c r="JGV41" s="549"/>
      <c r="JGW41" s="549"/>
      <c r="JGX41" s="549"/>
      <c r="JGY41" s="549"/>
      <c r="JGZ41" s="549"/>
      <c r="JHA41" s="549"/>
      <c r="JHB41" s="549"/>
      <c r="JHC41" s="549"/>
      <c r="JHD41" s="549"/>
      <c r="JHE41" s="549"/>
      <c r="JHF41" s="549"/>
      <c r="JHG41" s="549"/>
      <c r="JHH41" s="549"/>
      <c r="JHI41" s="549"/>
      <c r="JHJ41" s="549"/>
      <c r="JHK41" s="549"/>
      <c r="JHL41" s="549"/>
      <c r="JHM41" s="549"/>
      <c r="JHN41" s="549"/>
      <c r="JHO41" s="549"/>
      <c r="JHP41" s="549"/>
      <c r="JHQ41" s="549"/>
      <c r="JHR41" s="549"/>
      <c r="JHS41" s="549"/>
      <c r="JHT41" s="549"/>
      <c r="JHU41" s="549"/>
      <c r="JHV41" s="549"/>
      <c r="JHW41" s="549"/>
      <c r="JHX41" s="549"/>
      <c r="JHY41" s="549"/>
      <c r="JHZ41" s="549"/>
      <c r="JIA41" s="549"/>
      <c r="JIB41" s="549"/>
      <c r="JIC41" s="549"/>
      <c r="JID41" s="549"/>
      <c r="JIE41" s="549"/>
      <c r="JIF41" s="549"/>
      <c r="JIG41" s="549"/>
      <c r="JIH41" s="549"/>
      <c r="JII41" s="549"/>
      <c r="JIJ41" s="549"/>
      <c r="JIK41" s="549"/>
      <c r="JIL41" s="549"/>
      <c r="JIM41" s="549"/>
      <c r="JIN41" s="549"/>
      <c r="JIO41" s="549"/>
      <c r="JIP41" s="549"/>
      <c r="JIQ41" s="549"/>
      <c r="JIR41" s="549"/>
      <c r="JIS41" s="549"/>
      <c r="JIT41" s="549"/>
      <c r="JIU41" s="549"/>
      <c r="JIV41" s="549"/>
      <c r="JIW41" s="549"/>
      <c r="JIX41" s="549"/>
      <c r="JIY41" s="549"/>
      <c r="JIZ41" s="549"/>
      <c r="JJA41" s="549"/>
      <c r="JJB41" s="549"/>
      <c r="JJC41" s="549"/>
      <c r="JJD41" s="549"/>
      <c r="JJE41" s="549"/>
      <c r="JJF41" s="549"/>
      <c r="JJG41" s="549"/>
      <c r="JJH41" s="549"/>
      <c r="JJI41" s="549"/>
      <c r="JJJ41" s="549"/>
      <c r="JJK41" s="549"/>
      <c r="JJL41" s="549"/>
      <c r="JJM41" s="549"/>
      <c r="JJN41" s="549"/>
      <c r="JJO41" s="549"/>
      <c r="JJP41" s="549"/>
      <c r="JJQ41" s="549"/>
      <c r="JJR41" s="549"/>
      <c r="JJS41" s="549"/>
      <c r="JJT41" s="549"/>
      <c r="JJU41" s="549"/>
      <c r="JJV41" s="549"/>
      <c r="JJW41" s="549"/>
      <c r="JJX41" s="549"/>
      <c r="JJY41" s="549"/>
      <c r="JJZ41" s="549"/>
      <c r="JKA41" s="549"/>
      <c r="JKB41" s="549"/>
      <c r="JKC41" s="549"/>
      <c r="JKD41" s="549"/>
      <c r="JKE41" s="549"/>
      <c r="JKF41" s="549"/>
      <c r="JKG41" s="549"/>
      <c r="JKH41" s="549"/>
      <c r="JKI41" s="549"/>
      <c r="JKJ41" s="549"/>
      <c r="JKK41" s="549"/>
      <c r="JKL41" s="549"/>
      <c r="JKM41" s="549"/>
      <c r="JKN41" s="549"/>
      <c r="JKO41" s="549"/>
      <c r="JKP41" s="549"/>
      <c r="JKQ41" s="549"/>
      <c r="JKR41" s="549"/>
      <c r="JKS41" s="549"/>
      <c r="JKT41" s="549"/>
      <c r="JKU41" s="549"/>
      <c r="JKV41" s="549"/>
      <c r="JKW41" s="549"/>
      <c r="JKX41" s="549"/>
      <c r="JKY41" s="549"/>
      <c r="JKZ41" s="549"/>
      <c r="JLA41" s="549"/>
      <c r="JLB41" s="549"/>
      <c r="JLC41" s="549"/>
      <c r="JLD41" s="549"/>
      <c r="JLE41" s="549"/>
      <c r="JLF41" s="549"/>
      <c r="JLG41" s="549"/>
      <c r="JLH41" s="549"/>
      <c r="JLI41" s="549"/>
      <c r="JLJ41" s="549"/>
      <c r="JLK41" s="549"/>
      <c r="JLL41" s="549"/>
      <c r="JLM41" s="549"/>
      <c r="JLN41" s="549"/>
      <c r="JLO41" s="549"/>
      <c r="JLP41" s="549"/>
      <c r="JLQ41" s="549"/>
      <c r="JLR41" s="549"/>
      <c r="JLS41" s="549"/>
      <c r="JLT41" s="549"/>
      <c r="JLU41" s="549"/>
      <c r="JLV41" s="549"/>
      <c r="JLW41" s="549"/>
      <c r="JLX41" s="549"/>
      <c r="JLY41" s="549"/>
      <c r="JLZ41" s="549"/>
      <c r="JMA41" s="549"/>
      <c r="JMB41" s="549"/>
      <c r="JMC41" s="549"/>
      <c r="JMD41" s="549"/>
      <c r="JME41" s="549"/>
      <c r="JMF41" s="549"/>
      <c r="JMG41" s="549"/>
      <c r="JMH41" s="549"/>
      <c r="JMI41" s="549"/>
      <c r="JMJ41" s="549"/>
      <c r="JMK41" s="549"/>
      <c r="JML41" s="549"/>
      <c r="JMM41" s="549"/>
      <c r="JMN41" s="549"/>
      <c r="JMO41" s="549"/>
      <c r="JMP41" s="549"/>
      <c r="JMQ41" s="549"/>
      <c r="JMR41" s="549"/>
      <c r="JMS41" s="549"/>
      <c r="JMT41" s="549"/>
      <c r="JMU41" s="549"/>
      <c r="JMV41" s="549"/>
      <c r="JMW41" s="549"/>
      <c r="JMX41" s="549"/>
      <c r="JMY41" s="549"/>
      <c r="JMZ41" s="549"/>
      <c r="JNA41" s="549"/>
      <c r="JNB41" s="549"/>
      <c r="JNC41" s="549"/>
      <c r="JND41" s="549"/>
      <c r="JNE41" s="549"/>
      <c r="JNF41" s="549"/>
      <c r="JNG41" s="549"/>
      <c r="JNH41" s="549"/>
      <c r="JNI41" s="549"/>
      <c r="JNJ41" s="549"/>
      <c r="JNK41" s="549"/>
      <c r="JNL41" s="549"/>
      <c r="JNM41" s="549"/>
      <c r="JNN41" s="549"/>
      <c r="JNO41" s="549"/>
      <c r="JNP41" s="549"/>
      <c r="JNQ41" s="549"/>
      <c r="JNR41" s="549"/>
      <c r="JNS41" s="549"/>
      <c r="JNT41" s="549"/>
      <c r="JNU41" s="549"/>
      <c r="JNV41" s="549"/>
      <c r="JNW41" s="549"/>
      <c r="JNX41" s="549"/>
      <c r="JNY41" s="549"/>
      <c r="JNZ41" s="549"/>
      <c r="JOA41" s="549"/>
      <c r="JOB41" s="549"/>
      <c r="JOC41" s="549"/>
      <c r="JOD41" s="549"/>
      <c r="JOE41" s="549"/>
      <c r="JOF41" s="549"/>
      <c r="JOG41" s="549"/>
      <c r="JOH41" s="549"/>
      <c r="JOI41" s="549"/>
      <c r="JOJ41" s="549"/>
      <c r="JOK41" s="549"/>
      <c r="JOL41" s="549"/>
      <c r="JOM41" s="549"/>
      <c r="JON41" s="549"/>
      <c r="JOO41" s="549"/>
      <c r="JOP41" s="549"/>
      <c r="JOQ41" s="549"/>
      <c r="JOR41" s="549"/>
      <c r="JOS41" s="549"/>
      <c r="JOT41" s="549"/>
      <c r="JOU41" s="549"/>
      <c r="JOV41" s="549"/>
      <c r="JOW41" s="549"/>
      <c r="JOX41" s="549"/>
      <c r="JOY41" s="549"/>
      <c r="JOZ41" s="549"/>
      <c r="JPA41" s="549"/>
      <c r="JPB41" s="549"/>
      <c r="JPC41" s="549"/>
      <c r="JPD41" s="549"/>
      <c r="JPE41" s="549"/>
      <c r="JPF41" s="549"/>
      <c r="JPG41" s="549"/>
      <c r="JPH41" s="549"/>
      <c r="JPI41" s="549"/>
      <c r="JPJ41" s="549"/>
      <c r="JPK41" s="549"/>
      <c r="JPL41" s="549"/>
      <c r="JPM41" s="549"/>
      <c r="JPN41" s="549"/>
      <c r="JPO41" s="549"/>
      <c r="JPP41" s="549"/>
      <c r="JPQ41" s="549"/>
      <c r="JPR41" s="549"/>
      <c r="JPS41" s="549"/>
      <c r="JPT41" s="549"/>
      <c r="JPU41" s="549"/>
      <c r="JPV41" s="549"/>
      <c r="JPW41" s="549"/>
      <c r="JPX41" s="549"/>
      <c r="JPY41" s="549"/>
      <c r="JPZ41" s="549"/>
      <c r="JQA41" s="549"/>
      <c r="JQB41" s="549"/>
      <c r="JQC41" s="549"/>
      <c r="JQD41" s="549"/>
      <c r="JQE41" s="549"/>
      <c r="JQF41" s="549"/>
      <c r="JQG41" s="549"/>
      <c r="JQH41" s="549"/>
      <c r="JQI41" s="549"/>
      <c r="JQJ41" s="549"/>
      <c r="JQK41" s="549"/>
      <c r="JQL41" s="549"/>
      <c r="JQM41" s="549"/>
      <c r="JQN41" s="549"/>
      <c r="JQO41" s="549"/>
      <c r="JQP41" s="549"/>
      <c r="JQQ41" s="549"/>
      <c r="JQR41" s="549"/>
      <c r="JQS41" s="549"/>
      <c r="JQT41" s="549"/>
      <c r="JQU41" s="549"/>
      <c r="JQV41" s="549"/>
      <c r="JQW41" s="549"/>
      <c r="JQX41" s="549"/>
      <c r="JQY41" s="549"/>
      <c r="JQZ41" s="549"/>
      <c r="JRA41" s="549"/>
      <c r="JRB41" s="549"/>
      <c r="JRC41" s="549"/>
      <c r="JRD41" s="549"/>
      <c r="JRE41" s="549"/>
      <c r="JRF41" s="549"/>
      <c r="JRG41" s="549"/>
      <c r="JRH41" s="549"/>
      <c r="JRI41" s="549"/>
      <c r="JRJ41" s="549"/>
      <c r="JRK41" s="549"/>
      <c r="JRL41" s="549"/>
      <c r="JRM41" s="549"/>
      <c r="JRN41" s="549"/>
      <c r="JRO41" s="549"/>
      <c r="JRP41" s="549"/>
      <c r="JRQ41" s="549"/>
      <c r="JRR41" s="549"/>
      <c r="JRS41" s="549"/>
      <c r="JRT41" s="549"/>
      <c r="JRU41" s="549"/>
      <c r="JRV41" s="549"/>
      <c r="JRW41" s="549"/>
      <c r="JRX41" s="549"/>
      <c r="JRY41" s="549"/>
      <c r="JRZ41" s="549"/>
      <c r="JSA41" s="549"/>
      <c r="JSB41" s="549"/>
      <c r="JSC41" s="549"/>
      <c r="JSD41" s="549"/>
      <c r="JSE41" s="549"/>
      <c r="JSF41" s="549"/>
      <c r="JSG41" s="549"/>
      <c r="JSH41" s="549"/>
      <c r="JSI41" s="549"/>
      <c r="JSJ41" s="549"/>
      <c r="JSK41" s="549"/>
      <c r="JSL41" s="549"/>
      <c r="JSM41" s="549"/>
      <c r="JSN41" s="549"/>
      <c r="JSO41" s="549"/>
      <c r="JSP41" s="549"/>
      <c r="JSQ41" s="549"/>
      <c r="JSR41" s="549"/>
      <c r="JSS41" s="549"/>
      <c r="JST41" s="549"/>
      <c r="JSU41" s="549"/>
      <c r="JSV41" s="549"/>
      <c r="JSW41" s="549"/>
      <c r="JSX41" s="549"/>
      <c r="JSY41" s="549"/>
      <c r="JSZ41" s="549"/>
      <c r="JTA41" s="549"/>
      <c r="JTB41" s="549"/>
      <c r="JTC41" s="549"/>
      <c r="JTD41" s="549"/>
      <c r="JTE41" s="549"/>
      <c r="JTF41" s="549"/>
      <c r="JTG41" s="549"/>
      <c r="JTH41" s="549"/>
      <c r="JTI41" s="549"/>
      <c r="JTJ41" s="549"/>
      <c r="JTK41" s="549"/>
      <c r="JTL41" s="549"/>
      <c r="JTM41" s="549"/>
      <c r="JTN41" s="549"/>
      <c r="JTO41" s="549"/>
      <c r="JTP41" s="549"/>
      <c r="JTQ41" s="549"/>
      <c r="JTR41" s="549"/>
      <c r="JTS41" s="549"/>
      <c r="JTT41" s="549"/>
      <c r="JTU41" s="549"/>
      <c r="JTV41" s="549"/>
      <c r="JTW41" s="549"/>
      <c r="JTX41" s="549"/>
      <c r="JTY41" s="549"/>
      <c r="JTZ41" s="549"/>
      <c r="JUA41" s="549"/>
      <c r="JUB41" s="549"/>
      <c r="JUC41" s="549"/>
      <c r="JUD41" s="549"/>
      <c r="JUE41" s="549"/>
      <c r="JUF41" s="549"/>
      <c r="JUG41" s="549"/>
      <c r="JUH41" s="549"/>
      <c r="JUI41" s="549"/>
      <c r="JUJ41" s="549"/>
      <c r="JUK41" s="549"/>
      <c r="JUL41" s="549"/>
      <c r="JUM41" s="549"/>
      <c r="JUN41" s="549"/>
      <c r="JUO41" s="549"/>
      <c r="JUP41" s="549"/>
      <c r="JUQ41" s="549"/>
      <c r="JUR41" s="549"/>
      <c r="JUS41" s="549"/>
      <c r="JUT41" s="549"/>
      <c r="JUU41" s="549"/>
      <c r="JUV41" s="549"/>
      <c r="JUW41" s="549"/>
      <c r="JUX41" s="549"/>
      <c r="JUY41" s="549"/>
      <c r="JUZ41" s="549"/>
      <c r="JVA41" s="549"/>
      <c r="JVB41" s="549"/>
      <c r="JVC41" s="549"/>
      <c r="JVD41" s="549"/>
      <c r="JVE41" s="549"/>
      <c r="JVF41" s="549"/>
      <c r="JVG41" s="549"/>
      <c r="JVH41" s="549"/>
      <c r="JVI41" s="549"/>
      <c r="JVJ41" s="549"/>
      <c r="JVK41" s="549"/>
      <c r="JVL41" s="549"/>
      <c r="JVM41" s="549"/>
      <c r="JVN41" s="549"/>
      <c r="JVO41" s="549"/>
      <c r="JVP41" s="549"/>
      <c r="JVQ41" s="549"/>
      <c r="JVR41" s="549"/>
      <c r="JVS41" s="549"/>
      <c r="JVT41" s="549"/>
      <c r="JVU41" s="549"/>
      <c r="JVV41" s="549"/>
      <c r="JVW41" s="549"/>
      <c r="JVX41" s="549"/>
      <c r="JVY41" s="549"/>
      <c r="JVZ41" s="549"/>
      <c r="JWA41" s="549"/>
      <c r="JWB41" s="549"/>
      <c r="JWC41" s="549"/>
      <c r="JWD41" s="549"/>
      <c r="JWE41" s="549"/>
      <c r="JWF41" s="549"/>
      <c r="JWG41" s="549"/>
      <c r="JWH41" s="549"/>
      <c r="JWI41" s="549"/>
      <c r="JWJ41" s="549"/>
      <c r="JWK41" s="549"/>
      <c r="JWL41" s="549"/>
      <c r="JWM41" s="549"/>
      <c r="JWN41" s="549"/>
      <c r="JWO41" s="549"/>
      <c r="JWP41" s="549"/>
      <c r="JWQ41" s="549"/>
      <c r="JWR41" s="549"/>
      <c r="JWS41" s="549"/>
      <c r="JWT41" s="549"/>
      <c r="JWU41" s="549"/>
      <c r="JWV41" s="549"/>
      <c r="JWW41" s="549"/>
      <c r="JWX41" s="549"/>
      <c r="JWY41" s="549"/>
      <c r="JWZ41" s="549"/>
      <c r="JXA41" s="549"/>
      <c r="JXB41" s="549"/>
      <c r="JXC41" s="549"/>
      <c r="JXD41" s="549"/>
      <c r="JXE41" s="549"/>
      <c r="JXF41" s="549"/>
      <c r="JXG41" s="549"/>
      <c r="JXH41" s="549"/>
      <c r="JXI41" s="549"/>
      <c r="JXJ41" s="549"/>
      <c r="JXK41" s="549"/>
      <c r="JXL41" s="549"/>
      <c r="JXM41" s="549"/>
      <c r="JXN41" s="549"/>
      <c r="JXO41" s="549"/>
      <c r="JXP41" s="549"/>
      <c r="JXQ41" s="549"/>
      <c r="JXR41" s="549"/>
      <c r="JXS41" s="549"/>
      <c r="JXT41" s="549"/>
      <c r="JXU41" s="549"/>
      <c r="JXV41" s="549"/>
      <c r="JXW41" s="549"/>
      <c r="JXX41" s="549"/>
      <c r="JXY41" s="549"/>
      <c r="JXZ41" s="549"/>
      <c r="JYA41" s="549"/>
      <c r="JYB41" s="549"/>
      <c r="JYC41" s="549"/>
      <c r="JYD41" s="549"/>
      <c r="JYE41" s="549"/>
      <c r="JYF41" s="549"/>
      <c r="JYG41" s="549"/>
      <c r="JYH41" s="549"/>
      <c r="JYI41" s="549"/>
      <c r="JYJ41" s="549"/>
      <c r="JYK41" s="549"/>
      <c r="JYL41" s="549"/>
      <c r="JYM41" s="549"/>
      <c r="JYN41" s="549"/>
      <c r="JYO41" s="549"/>
      <c r="JYP41" s="549"/>
      <c r="JYQ41" s="549"/>
      <c r="JYR41" s="549"/>
      <c r="JYS41" s="549"/>
      <c r="JYT41" s="549"/>
      <c r="JYU41" s="549"/>
      <c r="JYV41" s="549"/>
      <c r="JYW41" s="549"/>
      <c r="JYX41" s="549"/>
      <c r="JYY41" s="549"/>
      <c r="JYZ41" s="549"/>
      <c r="JZA41" s="549"/>
      <c r="JZB41" s="549"/>
      <c r="JZC41" s="549"/>
      <c r="JZD41" s="549"/>
      <c r="JZE41" s="549"/>
      <c r="JZF41" s="549"/>
      <c r="JZG41" s="549"/>
      <c r="JZH41" s="549"/>
      <c r="JZI41" s="549"/>
      <c r="JZJ41" s="549"/>
      <c r="JZK41" s="549"/>
      <c r="JZL41" s="549"/>
      <c r="JZM41" s="549"/>
      <c r="JZN41" s="549"/>
      <c r="JZO41" s="549"/>
      <c r="JZP41" s="549"/>
      <c r="JZQ41" s="549"/>
      <c r="JZR41" s="549"/>
      <c r="JZS41" s="549"/>
      <c r="JZT41" s="549"/>
      <c r="JZU41" s="549"/>
      <c r="JZV41" s="549"/>
      <c r="JZW41" s="549"/>
      <c r="JZX41" s="549"/>
      <c r="JZY41" s="549"/>
      <c r="JZZ41" s="549"/>
      <c r="KAA41" s="549"/>
      <c r="KAB41" s="549"/>
      <c r="KAC41" s="549"/>
      <c r="KAD41" s="549"/>
      <c r="KAE41" s="549"/>
      <c r="KAF41" s="549"/>
      <c r="KAG41" s="549"/>
      <c r="KAH41" s="549"/>
      <c r="KAI41" s="549"/>
      <c r="KAJ41" s="549"/>
      <c r="KAK41" s="549"/>
      <c r="KAL41" s="549"/>
      <c r="KAM41" s="549"/>
      <c r="KAN41" s="549"/>
      <c r="KAO41" s="549"/>
      <c r="KAP41" s="549"/>
      <c r="KAQ41" s="549"/>
      <c r="KAR41" s="549"/>
      <c r="KAS41" s="549"/>
      <c r="KAT41" s="549"/>
      <c r="KAU41" s="549"/>
      <c r="KAV41" s="549"/>
      <c r="KAW41" s="549"/>
      <c r="KAX41" s="549"/>
      <c r="KAY41" s="549"/>
      <c r="KAZ41" s="549"/>
      <c r="KBA41" s="549"/>
      <c r="KBB41" s="549"/>
      <c r="KBC41" s="549"/>
      <c r="KBD41" s="549"/>
      <c r="KBE41" s="549"/>
      <c r="KBF41" s="549"/>
      <c r="KBG41" s="549"/>
      <c r="KBH41" s="549"/>
      <c r="KBI41" s="549"/>
      <c r="KBJ41" s="549"/>
      <c r="KBK41" s="549"/>
      <c r="KBL41" s="549"/>
      <c r="KBM41" s="549"/>
      <c r="KBN41" s="549"/>
      <c r="KBO41" s="549"/>
      <c r="KBP41" s="549"/>
      <c r="KBQ41" s="549"/>
      <c r="KBR41" s="549"/>
      <c r="KBS41" s="549"/>
      <c r="KBT41" s="549"/>
      <c r="KBU41" s="549"/>
      <c r="KBV41" s="549"/>
      <c r="KBW41" s="549"/>
      <c r="KBX41" s="549"/>
      <c r="KBY41" s="549"/>
      <c r="KBZ41" s="549"/>
      <c r="KCA41" s="549"/>
      <c r="KCB41" s="549"/>
      <c r="KCC41" s="549"/>
      <c r="KCD41" s="549"/>
      <c r="KCE41" s="549"/>
      <c r="KCF41" s="549"/>
      <c r="KCG41" s="549"/>
      <c r="KCH41" s="549"/>
      <c r="KCI41" s="549"/>
      <c r="KCJ41" s="549"/>
      <c r="KCK41" s="549"/>
      <c r="KCL41" s="549"/>
      <c r="KCM41" s="549"/>
      <c r="KCN41" s="549"/>
      <c r="KCO41" s="549"/>
      <c r="KCP41" s="549"/>
      <c r="KCQ41" s="549"/>
      <c r="KCR41" s="549"/>
      <c r="KCS41" s="549"/>
      <c r="KCT41" s="549"/>
      <c r="KCU41" s="549"/>
      <c r="KCV41" s="549"/>
      <c r="KCW41" s="549"/>
      <c r="KCX41" s="549"/>
      <c r="KCY41" s="549"/>
      <c r="KCZ41" s="549"/>
      <c r="KDA41" s="549"/>
      <c r="KDB41" s="549"/>
      <c r="KDC41" s="549"/>
      <c r="KDD41" s="549"/>
      <c r="KDE41" s="549"/>
      <c r="KDF41" s="549"/>
      <c r="KDG41" s="549"/>
      <c r="KDH41" s="549"/>
      <c r="KDI41" s="549"/>
      <c r="KDJ41" s="549"/>
      <c r="KDK41" s="549"/>
      <c r="KDL41" s="549"/>
      <c r="KDM41" s="549"/>
      <c r="KDN41" s="549"/>
      <c r="KDO41" s="549"/>
      <c r="KDP41" s="549"/>
      <c r="KDQ41" s="549"/>
      <c r="KDR41" s="549"/>
      <c r="KDS41" s="549"/>
      <c r="KDT41" s="549"/>
      <c r="KDU41" s="549"/>
      <c r="KDV41" s="549"/>
      <c r="KDW41" s="549"/>
      <c r="KDX41" s="549"/>
      <c r="KDY41" s="549"/>
      <c r="KDZ41" s="549"/>
      <c r="KEA41" s="549"/>
      <c r="KEB41" s="549"/>
      <c r="KEC41" s="549"/>
      <c r="KED41" s="549"/>
      <c r="KEE41" s="549"/>
      <c r="KEF41" s="549"/>
      <c r="KEG41" s="549"/>
      <c r="KEH41" s="549"/>
      <c r="KEI41" s="549"/>
      <c r="KEJ41" s="549"/>
      <c r="KEK41" s="549"/>
      <c r="KEL41" s="549"/>
      <c r="KEM41" s="549"/>
      <c r="KEN41" s="549"/>
      <c r="KEO41" s="549"/>
      <c r="KEP41" s="549"/>
      <c r="KEQ41" s="549"/>
      <c r="KER41" s="549"/>
      <c r="KES41" s="549"/>
      <c r="KET41" s="549"/>
      <c r="KEU41" s="549"/>
      <c r="KEV41" s="549"/>
      <c r="KEW41" s="549"/>
      <c r="KEX41" s="549"/>
      <c r="KEY41" s="549"/>
      <c r="KEZ41" s="549"/>
      <c r="KFA41" s="549"/>
      <c r="KFB41" s="549"/>
      <c r="KFC41" s="549"/>
      <c r="KFD41" s="549"/>
      <c r="KFE41" s="549"/>
      <c r="KFF41" s="549"/>
      <c r="KFG41" s="549"/>
      <c r="KFH41" s="549"/>
      <c r="KFI41" s="549"/>
      <c r="KFJ41" s="549"/>
      <c r="KFK41" s="549"/>
      <c r="KFL41" s="549"/>
      <c r="KFM41" s="549"/>
      <c r="KFN41" s="549"/>
      <c r="KFO41" s="549"/>
      <c r="KFP41" s="549"/>
      <c r="KFQ41" s="549"/>
      <c r="KFR41" s="549"/>
      <c r="KFS41" s="549"/>
      <c r="KFT41" s="549"/>
      <c r="KFU41" s="549"/>
      <c r="KFV41" s="549"/>
      <c r="KFW41" s="549"/>
      <c r="KFX41" s="549"/>
      <c r="KFY41" s="549"/>
      <c r="KFZ41" s="549"/>
      <c r="KGA41" s="549"/>
      <c r="KGB41" s="549"/>
      <c r="KGC41" s="549"/>
      <c r="KGD41" s="549"/>
      <c r="KGE41" s="549"/>
      <c r="KGF41" s="549"/>
      <c r="KGG41" s="549"/>
      <c r="KGH41" s="549"/>
      <c r="KGI41" s="549"/>
      <c r="KGJ41" s="549"/>
      <c r="KGK41" s="549"/>
      <c r="KGL41" s="549"/>
      <c r="KGM41" s="549"/>
      <c r="KGN41" s="549"/>
      <c r="KGO41" s="549"/>
      <c r="KGP41" s="549"/>
      <c r="KGQ41" s="549"/>
      <c r="KGR41" s="549"/>
      <c r="KGS41" s="549"/>
      <c r="KGT41" s="549"/>
      <c r="KGU41" s="549"/>
      <c r="KGV41" s="549"/>
      <c r="KGW41" s="549"/>
      <c r="KGX41" s="549"/>
      <c r="KGY41" s="549"/>
      <c r="KGZ41" s="549"/>
      <c r="KHA41" s="549"/>
      <c r="KHB41" s="549"/>
      <c r="KHC41" s="549"/>
      <c r="KHD41" s="549"/>
      <c r="KHE41" s="549"/>
      <c r="KHF41" s="549"/>
      <c r="KHG41" s="549"/>
      <c r="KHH41" s="549"/>
      <c r="KHI41" s="549"/>
      <c r="KHJ41" s="549"/>
      <c r="KHK41" s="549"/>
      <c r="KHL41" s="549"/>
      <c r="KHM41" s="549"/>
      <c r="KHN41" s="549"/>
      <c r="KHO41" s="549"/>
      <c r="KHP41" s="549"/>
      <c r="KHQ41" s="549"/>
      <c r="KHR41" s="549"/>
      <c r="KHS41" s="549"/>
      <c r="KHT41" s="549"/>
      <c r="KHU41" s="549"/>
      <c r="KHV41" s="549"/>
      <c r="KHW41" s="549"/>
      <c r="KHX41" s="549"/>
      <c r="KHY41" s="549"/>
      <c r="KHZ41" s="549"/>
      <c r="KIA41" s="549"/>
      <c r="KIB41" s="549"/>
      <c r="KIC41" s="549"/>
      <c r="KID41" s="549"/>
      <c r="KIE41" s="549"/>
      <c r="KIF41" s="549"/>
      <c r="KIG41" s="549"/>
      <c r="KIH41" s="549"/>
      <c r="KII41" s="549"/>
      <c r="KIJ41" s="549"/>
      <c r="KIK41" s="549"/>
      <c r="KIL41" s="549"/>
      <c r="KIM41" s="549"/>
      <c r="KIN41" s="549"/>
      <c r="KIO41" s="549"/>
      <c r="KIP41" s="549"/>
      <c r="KIQ41" s="549"/>
      <c r="KIR41" s="549"/>
      <c r="KIS41" s="549"/>
      <c r="KIT41" s="549"/>
      <c r="KIU41" s="549"/>
      <c r="KIV41" s="549"/>
      <c r="KIW41" s="549"/>
      <c r="KIX41" s="549"/>
      <c r="KIY41" s="549"/>
      <c r="KIZ41" s="549"/>
      <c r="KJA41" s="549"/>
      <c r="KJB41" s="549"/>
      <c r="KJC41" s="549"/>
      <c r="KJD41" s="549"/>
      <c r="KJE41" s="549"/>
      <c r="KJF41" s="549"/>
      <c r="KJG41" s="549"/>
      <c r="KJH41" s="549"/>
      <c r="KJI41" s="549"/>
      <c r="KJJ41" s="549"/>
      <c r="KJK41" s="549"/>
      <c r="KJL41" s="549"/>
      <c r="KJM41" s="549"/>
      <c r="KJN41" s="549"/>
      <c r="KJO41" s="549"/>
      <c r="KJP41" s="549"/>
      <c r="KJQ41" s="549"/>
      <c r="KJR41" s="549"/>
      <c r="KJS41" s="549"/>
      <c r="KJT41" s="549"/>
      <c r="KJU41" s="549"/>
      <c r="KJV41" s="549"/>
      <c r="KJW41" s="549"/>
      <c r="KJX41" s="549"/>
      <c r="KJY41" s="549"/>
      <c r="KJZ41" s="549"/>
      <c r="KKA41" s="549"/>
      <c r="KKB41" s="549"/>
      <c r="KKC41" s="549"/>
      <c r="KKD41" s="549"/>
      <c r="KKE41" s="549"/>
      <c r="KKF41" s="549"/>
      <c r="KKG41" s="549"/>
      <c r="KKH41" s="549"/>
      <c r="KKI41" s="549"/>
      <c r="KKJ41" s="549"/>
      <c r="KKK41" s="549"/>
      <c r="KKL41" s="549"/>
      <c r="KKM41" s="549"/>
      <c r="KKN41" s="549"/>
      <c r="KKO41" s="549"/>
      <c r="KKP41" s="549"/>
      <c r="KKQ41" s="549"/>
      <c r="KKR41" s="549"/>
      <c r="KKS41" s="549"/>
      <c r="KKT41" s="549"/>
      <c r="KKU41" s="549"/>
      <c r="KKV41" s="549"/>
      <c r="KKW41" s="549"/>
      <c r="KKX41" s="549"/>
      <c r="KKY41" s="549"/>
      <c r="KKZ41" s="549"/>
      <c r="KLA41" s="549"/>
      <c r="KLB41" s="549"/>
      <c r="KLC41" s="549"/>
      <c r="KLD41" s="549"/>
      <c r="KLE41" s="549"/>
      <c r="KLF41" s="549"/>
      <c r="KLG41" s="549"/>
      <c r="KLH41" s="549"/>
      <c r="KLI41" s="549"/>
      <c r="KLJ41" s="549"/>
      <c r="KLK41" s="549"/>
      <c r="KLL41" s="549"/>
      <c r="KLM41" s="549"/>
      <c r="KLN41" s="549"/>
      <c r="KLO41" s="549"/>
      <c r="KLP41" s="549"/>
      <c r="KLQ41" s="549"/>
      <c r="KLR41" s="549"/>
      <c r="KLS41" s="549"/>
      <c r="KLT41" s="549"/>
      <c r="KLU41" s="549"/>
      <c r="KLV41" s="549"/>
      <c r="KLW41" s="549"/>
      <c r="KLX41" s="549"/>
      <c r="KLY41" s="549"/>
      <c r="KLZ41" s="549"/>
      <c r="KMA41" s="549"/>
      <c r="KMB41" s="549"/>
      <c r="KMC41" s="549"/>
      <c r="KMD41" s="549"/>
      <c r="KME41" s="549"/>
      <c r="KMF41" s="549"/>
      <c r="KMG41" s="549"/>
      <c r="KMH41" s="549"/>
      <c r="KMI41" s="549"/>
      <c r="KMJ41" s="549"/>
      <c r="KMK41" s="549"/>
      <c r="KML41" s="549"/>
      <c r="KMM41" s="549"/>
      <c r="KMN41" s="549"/>
      <c r="KMO41" s="549"/>
      <c r="KMP41" s="549"/>
      <c r="KMQ41" s="549"/>
      <c r="KMR41" s="549"/>
      <c r="KMS41" s="549"/>
      <c r="KMT41" s="549"/>
      <c r="KMU41" s="549"/>
      <c r="KMV41" s="549"/>
      <c r="KMW41" s="549"/>
      <c r="KMX41" s="549"/>
      <c r="KMY41" s="549"/>
      <c r="KMZ41" s="549"/>
      <c r="KNA41" s="549"/>
      <c r="KNB41" s="549"/>
      <c r="KNC41" s="549"/>
      <c r="KND41" s="549"/>
      <c r="KNE41" s="549"/>
      <c r="KNF41" s="549"/>
      <c r="KNG41" s="549"/>
      <c r="KNH41" s="549"/>
      <c r="KNI41" s="549"/>
      <c r="KNJ41" s="549"/>
      <c r="KNK41" s="549"/>
      <c r="KNL41" s="549"/>
      <c r="KNM41" s="549"/>
      <c r="KNN41" s="549"/>
      <c r="KNO41" s="549"/>
      <c r="KNP41" s="549"/>
      <c r="KNQ41" s="549"/>
      <c r="KNR41" s="549"/>
      <c r="KNS41" s="549"/>
      <c r="KNT41" s="549"/>
      <c r="KNU41" s="549"/>
      <c r="KNV41" s="549"/>
      <c r="KNW41" s="549"/>
      <c r="KNX41" s="549"/>
      <c r="KNY41" s="549"/>
      <c r="KNZ41" s="549"/>
      <c r="KOA41" s="549"/>
      <c r="KOB41" s="549"/>
      <c r="KOC41" s="549"/>
      <c r="KOD41" s="549"/>
      <c r="KOE41" s="549"/>
      <c r="KOF41" s="549"/>
      <c r="KOG41" s="549"/>
      <c r="KOH41" s="549"/>
      <c r="KOI41" s="549"/>
      <c r="KOJ41" s="549"/>
      <c r="KOK41" s="549"/>
      <c r="KOL41" s="549"/>
      <c r="KOM41" s="549"/>
      <c r="KON41" s="549"/>
      <c r="KOO41" s="549"/>
      <c r="KOP41" s="549"/>
      <c r="KOQ41" s="549"/>
      <c r="KOR41" s="549"/>
      <c r="KOS41" s="549"/>
      <c r="KOT41" s="549"/>
      <c r="KOU41" s="549"/>
      <c r="KOV41" s="549"/>
      <c r="KOW41" s="549"/>
      <c r="KOX41" s="549"/>
      <c r="KOY41" s="549"/>
      <c r="KOZ41" s="549"/>
      <c r="KPA41" s="549"/>
      <c r="KPB41" s="549"/>
      <c r="KPC41" s="549"/>
      <c r="KPD41" s="549"/>
      <c r="KPE41" s="549"/>
      <c r="KPF41" s="549"/>
      <c r="KPG41" s="549"/>
      <c r="KPH41" s="549"/>
      <c r="KPI41" s="549"/>
      <c r="KPJ41" s="549"/>
      <c r="KPK41" s="549"/>
      <c r="KPL41" s="549"/>
      <c r="KPM41" s="549"/>
      <c r="KPN41" s="549"/>
      <c r="KPO41" s="549"/>
      <c r="KPP41" s="549"/>
      <c r="KPQ41" s="549"/>
      <c r="KPR41" s="549"/>
      <c r="KPS41" s="549"/>
      <c r="KPT41" s="549"/>
      <c r="KPU41" s="549"/>
      <c r="KPV41" s="549"/>
      <c r="KPW41" s="549"/>
      <c r="KPX41" s="549"/>
      <c r="KPY41" s="549"/>
      <c r="KPZ41" s="549"/>
      <c r="KQA41" s="549"/>
      <c r="KQB41" s="549"/>
      <c r="KQC41" s="549"/>
      <c r="KQD41" s="549"/>
      <c r="KQE41" s="549"/>
      <c r="KQF41" s="549"/>
      <c r="KQG41" s="549"/>
      <c r="KQH41" s="549"/>
      <c r="KQI41" s="549"/>
      <c r="KQJ41" s="549"/>
      <c r="KQK41" s="549"/>
      <c r="KQL41" s="549"/>
      <c r="KQM41" s="549"/>
      <c r="KQN41" s="549"/>
      <c r="KQO41" s="549"/>
      <c r="KQP41" s="549"/>
      <c r="KQQ41" s="549"/>
      <c r="KQR41" s="549"/>
      <c r="KQS41" s="549"/>
      <c r="KQT41" s="549"/>
      <c r="KQU41" s="549"/>
      <c r="KQV41" s="549"/>
      <c r="KQW41" s="549"/>
      <c r="KQX41" s="549"/>
      <c r="KQY41" s="549"/>
      <c r="KQZ41" s="549"/>
      <c r="KRA41" s="549"/>
      <c r="KRB41" s="549"/>
      <c r="KRC41" s="549"/>
      <c r="KRD41" s="549"/>
      <c r="KRE41" s="549"/>
      <c r="KRF41" s="549"/>
      <c r="KRG41" s="549"/>
      <c r="KRH41" s="549"/>
      <c r="KRI41" s="549"/>
      <c r="KRJ41" s="549"/>
      <c r="KRK41" s="549"/>
      <c r="KRL41" s="549"/>
      <c r="KRM41" s="549"/>
      <c r="KRN41" s="549"/>
      <c r="KRO41" s="549"/>
      <c r="KRP41" s="549"/>
      <c r="KRQ41" s="549"/>
      <c r="KRR41" s="549"/>
      <c r="KRS41" s="549"/>
      <c r="KRT41" s="549"/>
      <c r="KRU41" s="549"/>
      <c r="KRV41" s="549"/>
      <c r="KRW41" s="549"/>
      <c r="KRX41" s="549"/>
      <c r="KRY41" s="549"/>
      <c r="KRZ41" s="549"/>
      <c r="KSA41" s="549"/>
      <c r="KSB41" s="549"/>
      <c r="KSC41" s="549"/>
      <c r="KSD41" s="549"/>
      <c r="KSE41" s="549"/>
      <c r="KSF41" s="549"/>
      <c r="KSG41" s="549"/>
      <c r="KSH41" s="549"/>
      <c r="KSI41" s="549"/>
      <c r="KSJ41" s="549"/>
      <c r="KSK41" s="549"/>
      <c r="KSL41" s="549"/>
      <c r="KSM41" s="549"/>
      <c r="KSN41" s="549"/>
      <c r="KSO41" s="549"/>
      <c r="KSP41" s="549"/>
      <c r="KSQ41" s="549"/>
      <c r="KSR41" s="549"/>
      <c r="KSS41" s="549"/>
      <c r="KST41" s="549"/>
      <c r="KSU41" s="549"/>
      <c r="KSV41" s="549"/>
      <c r="KSW41" s="549"/>
      <c r="KSX41" s="549"/>
      <c r="KSY41" s="549"/>
      <c r="KSZ41" s="549"/>
      <c r="KTA41" s="549"/>
      <c r="KTB41" s="549"/>
      <c r="KTC41" s="549"/>
      <c r="KTD41" s="549"/>
      <c r="KTE41" s="549"/>
      <c r="KTF41" s="549"/>
      <c r="KTG41" s="549"/>
      <c r="KTH41" s="549"/>
      <c r="KTI41" s="549"/>
      <c r="KTJ41" s="549"/>
      <c r="KTK41" s="549"/>
      <c r="KTL41" s="549"/>
      <c r="KTM41" s="549"/>
      <c r="KTN41" s="549"/>
      <c r="KTO41" s="549"/>
      <c r="KTP41" s="549"/>
      <c r="KTQ41" s="549"/>
      <c r="KTR41" s="549"/>
      <c r="KTS41" s="549"/>
      <c r="KTT41" s="549"/>
      <c r="KTU41" s="549"/>
      <c r="KTV41" s="549"/>
      <c r="KTW41" s="549"/>
      <c r="KTX41" s="549"/>
      <c r="KTY41" s="549"/>
      <c r="KTZ41" s="549"/>
      <c r="KUA41" s="549"/>
      <c r="KUB41" s="549"/>
      <c r="KUC41" s="549"/>
      <c r="KUD41" s="549"/>
      <c r="KUE41" s="549"/>
      <c r="KUF41" s="549"/>
      <c r="KUG41" s="549"/>
      <c r="KUH41" s="549"/>
      <c r="KUI41" s="549"/>
      <c r="KUJ41" s="549"/>
      <c r="KUK41" s="549"/>
      <c r="KUL41" s="549"/>
      <c r="KUM41" s="549"/>
      <c r="KUN41" s="549"/>
      <c r="KUO41" s="549"/>
      <c r="KUP41" s="549"/>
      <c r="KUQ41" s="549"/>
      <c r="KUR41" s="549"/>
      <c r="KUS41" s="549"/>
      <c r="KUT41" s="549"/>
      <c r="KUU41" s="549"/>
      <c r="KUV41" s="549"/>
      <c r="KUW41" s="549"/>
      <c r="KUX41" s="549"/>
      <c r="KUY41" s="549"/>
      <c r="KUZ41" s="549"/>
      <c r="KVA41" s="549"/>
      <c r="KVB41" s="549"/>
      <c r="KVC41" s="549"/>
      <c r="KVD41" s="549"/>
      <c r="KVE41" s="549"/>
      <c r="KVF41" s="549"/>
      <c r="KVG41" s="549"/>
      <c r="KVH41" s="549"/>
      <c r="KVI41" s="549"/>
      <c r="KVJ41" s="549"/>
      <c r="KVK41" s="549"/>
      <c r="KVL41" s="549"/>
      <c r="KVM41" s="549"/>
      <c r="KVN41" s="549"/>
      <c r="KVO41" s="549"/>
      <c r="KVP41" s="549"/>
      <c r="KVQ41" s="549"/>
      <c r="KVR41" s="549"/>
      <c r="KVS41" s="549"/>
      <c r="KVT41" s="549"/>
      <c r="KVU41" s="549"/>
      <c r="KVV41" s="549"/>
      <c r="KVW41" s="549"/>
      <c r="KVX41" s="549"/>
      <c r="KVY41" s="549"/>
      <c r="KVZ41" s="549"/>
      <c r="KWA41" s="549"/>
      <c r="KWB41" s="549"/>
      <c r="KWC41" s="549"/>
      <c r="KWD41" s="549"/>
      <c r="KWE41" s="549"/>
      <c r="KWF41" s="549"/>
      <c r="KWG41" s="549"/>
      <c r="KWH41" s="549"/>
      <c r="KWI41" s="549"/>
      <c r="KWJ41" s="549"/>
      <c r="KWK41" s="549"/>
      <c r="KWL41" s="549"/>
      <c r="KWM41" s="549"/>
      <c r="KWN41" s="549"/>
      <c r="KWO41" s="549"/>
      <c r="KWP41" s="549"/>
      <c r="KWQ41" s="549"/>
      <c r="KWR41" s="549"/>
      <c r="KWS41" s="549"/>
      <c r="KWT41" s="549"/>
      <c r="KWU41" s="549"/>
      <c r="KWV41" s="549"/>
      <c r="KWW41" s="549"/>
      <c r="KWX41" s="549"/>
      <c r="KWY41" s="549"/>
      <c r="KWZ41" s="549"/>
      <c r="KXA41" s="549"/>
      <c r="KXB41" s="549"/>
      <c r="KXC41" s="549"/>
      <c r="KXD41" s="549"/>
      <c r="KXE41" s="549"/>
      <c r="KXF41" s="549"/>
      <c r="KXG41" s="549"/>
      <c r="KXH41" s="549"/>
      <c r="KXI41" s="549"/>
      <c r="KXJ41" s="549"/>
      <c r="KXK41" s="549"/>
      <c r="KXL41" s="549"/>
      <c r="KXM41" s="549"/>
      <c r="KXN41" s="549"/>
      <c r="KXO41" s="549"/>
      <c r="KXP41" s="549"/>
      <c r="KXQ41" s="549"/>
      <c r="KXR41" s="549"/>
      <c r="KXS41" s="549"/>
      <c r="KXT41" s="549"/>
      <c r="KXU41" s="549"/>
      <c r="KXV41" s="549"/>
      <c r="KXW41" s="549"/>
      <c r="KXX41" s="549"/>
      <c r="KXY41" s="549"/>
      <c r="KXZ41" s="549"/>
      <c r="KYA41" s="549"/>
      <c r="KYB41" s="549"/>
      <c r="KYC41" s="549"/>
      <c r="KYD41" s="549"/>
      <c r="KYE41" s="549"/>
      <c r="KYF41" s="549"/>
      <c r="KYG41" s="549"/>
      <c r="KYH41" s="549"/>
      <c r="KYI41" s="549"/>
      <c r="KYJ41" s="549"/>
      <c r="KYK41" s="549"/>
      <c r="KYL41" s="549"/>
      <c r="KYM41" s="549"/>
      <c r="KYN41" s="549"/>
      <c r="KYO41" s="549"/>
      <c r="KYP41" s="549"/>
      <c r="KYQ41" s="549"/>
      <c r="KYR41" s="549"/>
      <c r="KYS41" s="549"/>
      <c r="KYT41" s="549"/>
      <c r="KYU41" s="549"/>
      <c r="KYV41" s="549"/>
      <c r="KYW41" s="549"/>
      <c r="KYX41" s="549"/>
      <c r="KYY41" s="549"/>
      <c r="KYZ41" s="549"/>
      <c r="KZA41" s="549"/>
      <c r="KZB41" s="549"/>
      <c r="KZC41" s="549"/>
      <c r="KZD41" s="549"/>
      <c r="KZE41" s="549"/>
      <c r="KZF41" s="549"/>
      <c r="KZG41" s="549"/>
      <c r="KZH41" s="549"/>
      <c r="KZI41" s="549"/>
      <c r="KZJ41" s="549"/>
      <c r="KZK41" s="549"/>
      <c r="KZL41" s="549"/>
      <c r="KZM41" s="549"/>
      <c r="KZN41" s="549"/>
      <c r="KZO41" s="549"/>
      <c r="KZP41" s="549"/>
      <c r="KZQ41" s="549"/>
      <c r="KZR41" s="549"/>
      <c r="KZS41" s="549"/>
      <c r="KZT41" s="549"/>
      <c r="KZU41" s="549"/>
      <c r="KZV41" s="549"/>
      <c r="KZW41" s="549"/>
      <c r="KZX41" s="549"/>
      <c r="KZY41" s="549"/>
      <c r="KZZ41" s="549"/>
      <c r="LAA41" s="549"/>
      <c r="LAB41" s="549"/>
      <c r="LAC41" s="549"/>
      <c r="LAD41" s="549"/>
      <c r="LAE41" s="549"/>
      <c r="LAF41" s="549"/>
      <c r="LAG41" s="549"/>
      <c r="LAH41" s="549"/>
      <c r="LAI41" s="549"/>
      <c r="LAJ41" s="549"/>
      <c r="LAK41" s="549"/>
      <c r="LAL41" s="549"/>
      <c r="LAM41" s="549"/>
      <c r="LAN41" s="549"/>
      <c r="LAO41" s="549"/>
      <c r="LAP41" s="549"/>
      <c r="LAQ41" s="549"/>
      <c r="LAR41" s="549"/>
      <c r="LAS41" s="549"/>
      <c r="LAT41" s="549"/>
      <c r="LAU41" s="549"/>
      <c r="LAV41" s="549"/>
      <c r="LAW41" s="549"/>
      <c r="LAX41" s="549"/>
      <c r="LAY41" s="549"/>
      <c r="LAZ41" s="549"/>
      <c r="LBA41" s="549"/>
      <c r="LBB41" s="549"/>
      <c r="LBC41" s="549"/>
      <c r="LBD41" s="549"/>
      <c r="LBE41" s="549"/>
      <c r="LBF41" s="549"/>
      <c r="LBG41" s="549"/>
      <c r="LBH41" s="549"/>
      <c r="LBI41" s="549"/>
      <c r="LBJ41" s="549"/>
      <c r="LBK41" s="549"/>
      <c r="LBL41" s="549"/>
      <c r="LBM41" s="549"/>
      <c r="LBN41" s="549"/>
      <c r="LBO41" s="549"/>
      <c r="LBP41" s="549"/>
      <c r="LBQ41" s="549"/>
      <c r="LBR41" s="549"/>
      <c r="LBS41" s="549"/>
      <c r="LBT41" s="549"/>
      <c r="LBU41" s="549"/>
      <c r="LBV41" s="549"/>
      <c r="LBW41" s="549"/>
      <c r="LBX41" s="549"/>
      <c r="LBY41" s="549"/>
      <c r="LBZ41" s="549"/>
      <c r="LCA41" s="549"/>
      <c r="LCB41" s="549"/>
      <c r="LCC41" s="549"/>
      <c r="LCD41" s="549"/>
      <c r="LCE41" s="549"/>
      <c r="LCF41" s="549"/>
      <c r="LCG41" s="549"/>
      <c r="LCH41" s="549"/>
      <c r="LCI41" s="549"/>
      <c r="LCJ41" s="549"/>
      <c r="LCK41" s="549"/>
      <c r="LCL41" s="549"/>
      <c r="LCM41" s="549"/>
      <c r="LCN41" s="549"/>
      <c r="LCO41" s="549"/>
      <c r="LCP41" s="549"/>
      <c r="LCQ41" s="549"/>
      <c r="LCR41" s="549"/>
      <c r="LCS41" s="549"/>
      <c r="LCT41" s="549"/>
      <c r="LCU41" s="549"/>
      <c r="LCV41" s="549"/>
      <c r="LCW41" s="549"/>
      <c r="LCX41" s="549"/>
      <c r="LCY41" s="549"/>
      <c r="LCZ41" s="549"/>
      <c r="LDA41" s="549"/>
      <c r="LDB41" s="549"/>
      <c r="LDC41" s="549"/>
      <c r="LDD41" s="549"/>
      <c r="LDE41" s="549"/>
      <c r="LDF41" s="549"/>
      <c r="LDG41" s="549"/>
      <c r="LDH41" s="549"/>
      <c r="LDI41" s="549"/>
      <c r="LDJ41" s="549"/>
      <c r="LDK41" s="549"/>
      <c r="LDL41" s="549"/>
      <c r="LDM41" s="549"/>
      <c r="LDN41" s="549"/>
      <c r="LDO41" s="549"/>
      <c r="LDP41" s="549"/>
      <c r="LDQ41" s="549"/>
      <c r="LDR41" s="549"/>
      <c r="LDS41" s="549"/>
      <c r="LDT41" s="549"/>
      <c r="LDU41" s="549"/>
      <c r="LDV41" s="549"/>
      <c r="LDW41" s="549"/>
      <c r="LDX41" s="549"/>
      <c r="LDY41" s="549"/>
      <c r="LDZ41" s="549"/>
      <c r="LEA41" s="549"/>
      <c r="LEB41" s="549"/>
      <c r="LEC41" s="549"/>
      <c r="LED41" s="549"/>
      <c r="LEE41" s="549"/>
      <c r="LEF41" s="549"/>
      <c r="LEG41" s="549"/>
      <c r="LEH41" s="549"/>
      <c r="LEI41" s="549"/>
      <c r="LEJ41" s="549"/>
      <c r="LEK41" s="549"/>
      <c r="LEL41" s="549"/>
      <c r="LEM41" s="549"/>
      <c r="LEN41" s="549"/>
      <c r="LEO41" s="549"/>
      <c r="LEP41" s="549"/>
      <c r="LEQ41" s="549"/>
      <c r="LER41" s="549"/>
      <c r="LES41" s="549"/>
      <c r="LET41" s="549"/>
      <c r="LEU41" s="549"/>
      <c r="LEV41" s="549"/>
      <c r="LEW41" s="549"/>
      <c r="LEX41" s="549"/>
      <c r="LEY41" s="549"/>
      <c r="LEZ41" s="549"/>
      <c r="LFA41" s="549"/>
      <c r="LFB41" s="549"/>
      <c r="LFC41" s="549"/>
      <c r="LFD41" s="549"/>
      <c r="LFE41" s="549"/>
      <c r="LFF41" s="549"/>
      <c r="LFG41" s="549"/>
      <c r="LFH41" s="549"/>
      <c r="LFI41" s="549"/>
      <c r="LFJ41" s="549"/>
      <c r="LFK41" s="549"/>
      <c r="LFL41" s="549"/>
      <c r="LFM41" s="549"/>
      <c r="LFN41" s="549"/>
      <c r="LFO41" s="549"/>
      <c r="LFP41" s="549"/>
      <c r="LFQ41" s="549"/>
      <c r="LFR41" s="549"/>
      <c r="LFS41" s="549"/>
      <c r="LFT41" s="549"/>
      <c r="LFU41" s="549"/>
      <c r="LFV41" s="549"/>
      <c r="LFW41" s="549"/>
      <c r="LFX41" s="549"/>
      <c r="LFY41" s="549"/>
      <c r="LFZ41" s="549"/>
      <c r="LGA41" s="549"/>
      <c r="LGB41" s="549"/>
      <c r="LGC41" s="549"/>
      <c r="LGD41" s="549"/>
      <c r="LGE41" s="549"/>
      <c r="LGF41" s="549"/>
      <c r="LGG41" s="549"/>
      <c r="LGH41" s="549"/>
      <c r="LGI41" s="549"/>
      <c r="LGJ41" s="549"/>
      <c r="LGK41" s="549"/>
      <c r="LGL41" s="549"/>
      <c r="LGM41" s="549"/>
      <c r="LGN41" s="549"/>
      <c r="LGO41" s="549"/>
      <c r="LGP41" s="549"/>
      <c r="LGQ41" s="549"/>
      <c r="LGR41" s="549"/>
      <c r="LGS41" s="549"/>
      <c r="LGT41" s="549"/>
      <c r="LGU41" s="549"/>
      <c r="LGV41" s="549"/>
      <c r="LGW41" s="549"/>
      <c r="LGX41" s="549"/>
      <c r="LGY41" s="549"/>
      <c r="LGZ41" s="549"/>
      <c r="LHA41" s="549"/>
      <c r="LHB41" s="549"/>
      <c r="LHC41" s="549"/>
      <c r="LHD41" s="549"/>
      <c r="LHE41" s="549"/>
      <c r="LHF41" s="549"/>
      <c r="LHG41" s="549"/>
      <c r="LHH41" s="549"/>
      <c r="LHI41" s="549"/>
      <c r="LHJ41" s="549"/>
      <c r="LHK41" s="549"/>
      <c r="LHL41" s="549"/>
      <c r="LHM41" s="549"/>
      <c r="LHN41" s="549"/>
      <c r="LHO41" s="549"/>
      <c r="LHP41" s="549"/>
      <c r="LHQ41" s="549"/>
      <c r="LHR41" s="549"/>
      <c r="LHS41" s="549"/>
      <c r="LHT41" s="549"/>
      <c r="LHU41" s="549"/>
      <c r="LHV41" s="549"/>
      <c r="LHW41" s="549"/>
      <c r="LHX41" s="549"/>
      <c r="LHY41" s="549"/>
      <c r="LHZ41" s="549"/>
      <c r="LIA41" s="549"/>
      <c r="LIB41" s="549"/>
      <c r="LIC41" s="549"/>
      <c r="LID41" s="549"/>
      <c r="LIE41" s="549"/>
      <c r="LIF41" s="549"/>
      <c r="LIG41" s="549"/>
      <c r="LIH41" s="549"/>
      <c r="LII41" s="549"/>
      <c r="LIJ41" s="549"/>
      <c r="LIK41" s="549"/>
      <c r="LIL41" s="549"/>
      <c r="LIM41" s="549"/>
      <c r="LIN41" s="549"/>
      <c r="LIO41" s="549"/>
      <c r="LIP41" s="549"/>
      <c r="LIQ41" s="549"/>
      <c r="LIR41" s="549"/>
      <c r="LIS41" s="549"/>
      <c r="LIT41" s="549"/>
      <c r="LIU41" s="549"/>
      <c r="LIV41" s="549"/>
      <c r="LIW41" s="549"/>
      <c r="LIX41" s="549"/>
      <c r="LIY41" s="549"/>
      <c r="LIZ41" s="549"/>
      <c r="LJA41" s="549"/>
      <c r="LJB41" s="549"/>
      <c r="LJC41" s="549"/>
      <c r="LJD41" s="549"/>
      <c r="LJE41" s="549"/>
      <c r="LJF41" s="549"/>
      <c r="LJG41" s="549"/>
      <c r="LJH41" s="549"/>
      <c r="LJI41" s="549"/>
      <c r="LJJ41" s="549"/>
      <c r="LJK41" s="549"/>
      <c r="LJL41" s="549"/>
      <c r="LJM41" s="549"/>
      <c r="LJN41" s="549"/>
      <c r="LJO41" s="549"/>
      <c r="LJP41" s="549"/>
      <c r="LJQ41" s="549"/>
      <c r="LJR41" s="549"/>
      <c r="LJS41" s="549"/>
      <c r="LJT41" s="549"/>
      <c r="LJU41" s="549"/>
      <c r="LJV41" s="549"/>
      <c r="LJW41" s="549"/>
      <c r="LJX41" s="549"/>
      <c r="LJY41" s="549"/>
      <c r="LJZ41" s="549"/>
      <c r="LKA41" s="549"/>
      <c r="LKB41" s="549"/>
      <c r="LKC41" s="549"/>
      <c r="LKD41" s="549"/>
      <c r="LKE41" s="549"/>
      <c r="LKF41" s="549"/>
      <c r="LKG41" s="549"/>
      <c r="LKH41" s="549"/>
      <c r="LKI41" s="549"/>
      <c r="LKJ41" s="549"/>
      <c r="LKK41" s="549"/>
      <c r="LKL41" s="549"/>
      <c r="LKM41" s="549"/>
      <c r="LKN41" s="549"/>
      <c r="LKO41" s="549"/>
      <c r="LKP41" s="549"/>
      <c r="LKQ41" s="549"/>
      <c r="LKR41" s="549"/>
      <c r="LKS41" s="549"/>
      <c r="LKT41" s="549"/>
      <c r="LKU41" s="549"/>
      <c r="LKV41" s="549"/>
      <c r="LKW41" s="549"/>
      <c r="LKX41" s="549"/>
      <c r="LKY41" s="549"/>
      <c r="LKZ41" s="549"/>
      <c r="LLA41" s="549"/>
      <c r="LLB41" s="549"/>
      <c r="LLC41" s="549"/>
      <c r="LLD41" s="549"/>
      <c r="LLE41" s="549"/>
      <c r="LLF41" s="549"/>
      <c r="LLG41" s="549"/>
      <c r="LLH41" s="549"/>
      <c r="LLI41" s="549"/>
      <c r="LLJ41" s="549"/>
      <c r="LLK41" s="549"/>
      <c r="LLL41" s="549"/>
      <c r="LLM41" s="549"/>
      <c r="LLN41" s="549"/>
      <c r="LLO41" s="549"/>
      <c r="LLP41" s="549"/>
      <c r="LLQ41" s="549"/>
      <c r="LLR41" s="549"/>
      <c r="LLS41" s="549"/>
      <c r="LLT41" s="549"/>
      <c r="LLU41" s="549"/>
      <c r="LLV41" s="549"/>
      <c r="LLW41" s="549"/>
      <c r="LLX41" s="549"/>
      <c r="LLY41" s="549"/>
      <c r="LLZ41" s="549"/>
      <c r="LMA41" s="549"/>
      <c r="LMB41" s="549"/>
      <c r="LMC41" s="549"/>
      <c r="LMD41" s="549"/>
      <c r="LME41" s="549"/>
      <c r="LMF41" s="549"/>
      <c r="LMG41" s="549"/>
      <c r="LMH41" s="549"/>
      <c r="LMI41" s="549"/>
      <c r="LMJ41" s="549"/>
      <c r="LMK41" s="549"/>
      <c r="LML41" s="549"/>
      <c r="LMM41" s="549"/>
      <c r="LMN41" s="549"/>
      <c r="LMO41" s="549"/>
      <c r="LMP41" s="549"/>
      <c r="LMQ41" s="549"/>
      <c r="LMR41" s="549"/>
      <c r="LMS41" s="549"/>
      <c r="LMT41" s="549"/>
      <c r="LMU41" s="549"/>
      <c r="LMV41" s="549"/>
      <c r="LMW41" s="549"/>
      <c r="LMX41" s="549"/>
      <c r="LMY41" s="549"/>
      <c r="LMZ41" s="549"/>
      <c r="LNA41" s="549"/>
      <c r="LNB41" s="549"/>
      <c r="LNC41" s="549"/>
      <c r="LND41" s="549"/>
      <c r="LNE41" s="549"/>
      <c r="LNF41" s="549"/>
      <c r="LNG41" s="549"/>
      <c r="LNH41" s="549"/>
      <c r="LNI41" s="549"/>
      <c r="LNJ41" s="549"/>
      <c r="LNK41" s="549"/>
      <c r="LNL41" s="549"/>
      <c r="LNM41" s="549"/>
      <c r="LNN41" s="549"/>
      <c r="LNO41" s="549"/>
      <c r="LNP41" s="549"/>
      <c r="LNQ41" s="549"/>
      <c r="LNR41" s="549"/>
      <c r="LNS41" s="549"/>
      <c r="LNT41" s="549"/>
      <c r="LNU41" s="549"/>
      <c r="LNV41" s="549"/>
      <c r="LNW41" s="549"/>
      <c r="LNX41" s="549"/>
      <c r="LNY41" s="549"/>
      <c r="LNZ41" s="549"/>
      <c r="LOA41" s="549"/>
      <c r="LOB41" s="549"/>
      <c r="LOC41" s="549"/>
      <c r="LOD41" s="549"/>
      <c r="LOE41" s="549"/>
      <c r="LOF41" s="549"/>
      <c r="LOG41" s="549"/>
      <c r="LOH41" s="549"/>
      <c r="LOI41" s="549"/>
      <c r="LOJ41" s="549"/>
      <c r="LOK41" s="549"/>
      <c r="LOL41" s="549"/>
      <c r="LOM41" s="549"/>
      <c r="LON41" s="549"/>
      <c r="LOO41" s="549"/>
      <c r="LOP41" s="549"/>
      <c r="LOQ41" s="549"/>
      <c r="LOR41" s="549"/>
      <c r="LOS41" s="549"/>
      <c r="LOT41" s="549"/>
      <c r="LOU41" s="549"/>
      <c r="LOV41" s="549"/>
      <c r="LOW41" s="549"/>
      <c r="LOX41" s="549"/>
      <c r="LOY41" s="549"/>
      <c r="LOZ41" s="549"/>
      <c r="LPA41" s="549"/>
      <c r="LPB41" s="549"/>
      <c r="LPC41" s="549"/>
      <c r="LPD41" s="549"/>
      <c r="LPE41" s="549"/>
      <c r="LPF41" s="549"/>
      <c r="LPG41" s="549"/>
      <c r="LPH41" s="549"/>
      <c r="LPI41" s="549"/>
      <c r="LPJ41" s="549"/>
      <c r="LPK41" s="549"/>
      <c r="LPL41" s="549"/>
      <c r="LPM41" s="549"/>
      <c r="LPN41" s="549"/>
      <c r="LPO41" s="549"/>
      <c r="LPP41" s="549"/>
      <c r="LPQ41" s="549"/>
      <c r="LPR41" s="549"/>
      <c r="LPS41" s="549"/>
      <c r="LPT41" s="549"/>
      <c r="LPU41" s="549"/>
      <c r="LPV41" s="549"/>
      <c r="LPW41" s="549"/>
      <c r="LPX41" s="549"/>
      <c r="LPY41" s="549"/>
      <c r="LPZ41" s="549"/>
      <c r="LQA41" s="549"/>
      <c r="LQB41" s="549"/>
      <c r="LQC41" s="549"/>
      <c r="LQD41" s="549"/>
      <c r="LQE41" s="549"/>
      <c r="LQF41" s="549"/>
      <c r="LQG41" s="549"/>
      <c r="LQH41" s="549"/>
      <c r="LQI41" s="549"/>
      <c r="LQJ41" s="549"/>
      <c r="LQK41" s="549"/>
      <c r="LQL41" s="549"/>
      <c r="LQM41" s="549"/>
      <c r="LQN41" s="549"/>
      <c r="LQO41" s="549"/>
      <c r="LQP41" s="549"/>
      <c r="LQQ41" s="549"/>
      <c r="LQR41" s="549"/>
      <c r="LQS41" s="549"/>
      <c r="LQT41" s="549"/>
      <c r="LQU41" s="549"/>
      <c r="LQV41" s="549"/>
      <c r="LQW41" s="549"/>
      <c r="LQX41" s="549"/>
      <c r="LQY41" s="549"/>
      <c r="LQZ41" s="549"/>
      <c r="LRA41" s="549"/>
      <c r="LRB41" s="549"/>
      <c r="LRC41" s="549"/>
      <c r="LRD41" s="549"/>
      <c r="LRE41" s="549"/>
      <c r="LRF41" s="549"/>
      <c r="LRG41" s="549"/>
      <c r="LRH41" s="549"/>
      <c r="LRI41" s="549"/>
      <c r="LRJ41" s="549"/>
      <c r="LRK41" s="549"/>
      <c r="LRL41" s="549"/>
      <c r="LRM41" s="549"/>
      <c r="LRN41" s="549"/>
      <c r="LRO41" s="549"/>
      <c r="LRP41" s="549"/>
      <c r="LRQ41" s="549"/>
      <c r="LRR41" s="549"/>
      <c r="LRS41" s="549"/>
      <c r="LRT41" s="549"/>
      <c r="LRU41" s="549"/>
      <c r="LRV41" s="549"/>
      <c r="LRW41" s="549"/>
      <c r="LRX41" s="549"/>
      <c r="LRY41" s="549"/>
      <c r="LRZ41" s="549"/>
      <c r="LSA41" s="549"/>
      <c r="LSB41" s="549"/>
      <c r="LSC41" s="549"/>
      <c r="LSD41" s="549"/>
      <c r="LSE41" s="549"/>
      <c r="LSF41" s="549"/>
      <c r="LSG41" s="549"/>
      <c r="LSH41" s="549"/>
      <c r="LSI41" s="549"/>
      <c r="LSJ41" s="549"/>
      <c r="LSK41" s="549"/>
      <c r="LSL41" s="549"/>
      <c r="LSM41" s="549"/>
      <c r="LSN41" s="549"/>
      <c r="LSO41" s="549"/>
      <c r="LSP41" s="549"/>
      <c r="LSQ41" s="549"/>
      <c r="LSR41" s="549"/>
      <c r="LSS41" s="549"/>
      <c r="LST41" s="549"/>
      <c r="LSU41" s="549"/>
      <c r="LSV41" s="549"/>
      <c r="LSW41" s="549"/>
      <c r="LSX41" s="549"/>
      <c r="LSY41" s="549"/>
      <c r="LSZ41" s="549"/>
      <c r="LTA41" s="549"/>
      <c r="LTB41" s="549"/>
      <c r="LTC41" s="549"/>
      <c r="LTD41" s="549"/>
      <c r="LTE41" s="549"/>
      <c r="LTF41" s="549"/>
      <c r="LTG41" s="549"/>
      <c r="LTH41" s="549"/>
      <c r="LTI41" s="549"/>
      <c r="LTJ41" s="549"/>
      <c r="LTK41" s="549"/>
      <c r="LTL41" s="549"/>
      <c r="LTM41" s="549"/>
      <c r="LTN41" s="549"/>
      <c r="LTO41" s="549"/>
      <c r="LTP41" s="549"/>
      <c r="LTQ41" s="549"/>
      <c r="LTR41" s="549"/>
      <c r="LTS41" s="549"/>
      <c r="LTT41" s="549"/>
      <c r="LTU41" s="549"/>
      <c r="LTV41" s="549"/>
      <c r="LTW41" s="549"/>
      <c r="LTX41" s="549"/>
      <c r="LTY41" s="549"/>
      <c r="LTZ41" s="549"/>
      <c r="LUA41" s="549"/>
      <c r="LUB41" s="549"/>
      <c r="LUC41" s="549"/>
      <c r="LUD41" s="549"/>
      <c r="LUE41" s="549"/>
      <c r="LUF41" s="549"/>
      <c r="LUG41" s="549"/>
      <c r="LUH41" s="549"/>
      <c r="LUI41" s="549"/>
      <c r="LUJ41" s="549"/>
      <c r="LUK41" s="549"/>
      <c r="LUL41" s="549"/>
      <c r="LUM41" s="549"/>
      <c r="LUN41" s="549"/>
      <c r="LUO41" s="549"/>
      <c r="LUP41" s="549"/>
      <c r="LUQ41" s="549"/>
      <c r="LUR41" s="549"/>
      <c r="LUS41" s="549"/>
      <c r="LUT41" s="549"/>
      <c r="LUU41" s="549"/>
      <c r="LUV41" s="549"/>
      <c r="LUW41" s="549"/>
      <c r="LUX41" s="549"/>
      <c r="LUY41" s="549"/>
      <c r="LUZ41" s="549"/>
      <c r="LVA41" s="549"/>
      <c r="LVB41" s="549"/>
      <c r="LVC41" s="549"/>
      <c r="LVD41" s="549"/>
      <c r="LVE41" s="549"/>
      <c r="LVF41" s="549"/>
      <c r="LVG41" s="549"/>
      <c r="LVH41" s="549"/>
      <c r="LVI41" s="549"/>
      <c r="LVJ41" s="549"/>
      <c r="LVK41" s="549"/>
      <c r="LVL41" s="549"/>
      <c r="LVM41" s="549"/>
      <c r="LVN41" s="549"/>
      <c r="LVO41" s="549"/>
      <c r="LVP41" s="549"/>
      <c r="LVQ41" s="549"/>
      <c r="LVR41" s="549"/>
      <c r="LVS41" s="549"/>
      <c r="LVT41" s="549"/>
      <c r="LVU41" s="549"/>
      <c r="LVV41" s="549"/>
      <c r="LVW41" s="549"/>
      <c r="LVX41" s="549"/>
      <c r="LVY41" s="549"/>
      <c r="LVZ41" s="549"/>
      <c r="LWA41" s="549"/>
      <c r="LWB41" s="549"/>
      <c r="LWC41" s="549"/>
      <c r="LWD41" s="549"/>
      <c r="LWE41" s="549"/>
      <c r="LWF41" s="549"/>
      <c r="LWG41" s="549"/>
      <c r="LWH41" s="549"/>
      <c r="LWI41" s="549"/>
      <c r="LWJ41" s="549"/>
      <c r="LWK41" s="549"/>
      <c r="LWL41" s="549"/>
      <c r="LWM41" s="549"/>
      <c r="LWN41" s="549"/>
      <c r="LWO41" s="549"/>
      <c r="LWP41" s="549"/>
      <c r="LWQ41" s="549"/>
      <c r="LWR41" s="549"/>
      <c r="LWS41" s="549"/>
      <c r="LWT41" s="549"/>
      <c r="LWU41" s="549"/>
      <c r="LWV41" s="549"/>
      <c r="LWW41" s="549"/>
      <c r="LWX41" s="549"/>
      <c r="LWY41" s="549"/>
      <c r="LWZ41" s="549"/>
      <c r="LXA41" s="549"/>
      <c r="LXB41" s="549"/>
      <c r="LXC41" s="549"/>
      <c r="LXD41" s="549"/>
      <c r="LXE41" s="549"/>
      <c r="LXF41" s="549"/>
      <c r="LXG41" s="549"/>
      <c r="LXH41" s="549"/>
      <c r="LXI41" s="549"/>
      <c r="LXJ41" s="549"/>
      <c r="LXK41" s="549"/>
      <c r="LXL41" s="549"/>
      <c r="LXM41" s="549"/>
      <c r="LXN41" s="549"/>
      <c r="LXO41" s="549"/>
      <c r="LXP41" s="549"/>
      <c r="LXQ41" s="549"/>
      <c r="LXR41" s="549"/>
      <c r="LXS41" s="549"/>
      <c r="LXT41" s="549"/>
      <c r="LXU41" s="549"/>
      <c r="LXV41" s="549"/>
      <c r="LXW41" s="549"/>
      <c r="LXX41" s="549"/>
      <c r="LXY41" s="549"/>
      <c r="LXZ41" s="549"/>
      <c r="LYA41" s="549"/>
      <c r="LYB41" s="549"/>
      <c r="LYC41" s="549"/>
      <c r="LYD41" s="549"/>
      <c r="LYE41" s="549"/>
      <c r="LYF41" s="549"/>
      <c r="LYG41" s="549"/>
      <c r="LYH41" s="549"/>
      <c r="LYI41" s="549"/>
      <c r="LYJ41" s="549"/>
      <c r="LYK41" s="549"/>
      <c r="LYL41" s="549"/>
      <c r="LYM41" s="549"/>
      <c r="LYN41" s="549"/>
      <c r="LYO41" s="549"/>
      <c r="LYP41" s="549"/>
      <c r="LYQ41" s="549"/>
      <c r="LYR41" s="549"/>
      <c r="LYS41" s="549"/>
      <c r="LYT41" s="549"/>
      <c r="LYU41" s="549"/>
      <c r="LYV41" s="549"/>
      <c r="LYW41" s="549"/>
      <c r="LYX41" s="549"/>
      <c r="LYY41" s="549"/>
      <c r="LYZ41" s="549"/>
      <c r="LZA41" s="549"/>
      <c r="LZB41" s="549"/>
      <c r="LZC41" s="549"/>
      <c r="LZD41" s="549"/>
      <c r="LZE41" s="549"/>
      <c r="LZF41" s="549"/>
      <c r="LZG41" s="549"/>
      <c r="LZH41" s="549"/>
      <c r="LZI41" s="549"/>
      <c r="LZJ41" s="549"/>
      <c r="LZK41" s="549"/>
      <c r="LZL41" s="549"/>
      <c r="LZM41" s="549"/>
      <c r="LZN41" s="549"/>
      <c r="LZO41" s="549"/>
      <c r="LZP41" s="549"/>
      <c r="LZQ41" s="549"/>
      <c r="LZR41" s="549"/>
      <c r="LZS41" s="549"/>
      <c r="LZT41" s="549"/>
      <c r="LZU41" s="549"/>
      <c r="LZV41" s="549"/>
      <c r="LZW41" s="549"/>
      <c r="LZX41" s="549"/>
      <c r="LZY41" s="549"/>
      <c r="LZZ41" s="549"/>
      <c r="MAA41" s="549"/>
      <c r="MAB41" s="549"/>
      <c r="MAC41" s="549"/>
      <c r="MAD41" s="549"/>
      <c r="MAE41" s="549"/>
      <c r="MAF41" s="549"/>
      <c r="MAG41" s="549"/>
      <c r="MAH41" s="549"/>
      <c r="MAI41" s="549"/>
      <c r="MAJ41" s="549"/>
      <c r="MAK41" s="549"/>
      <c r="MAL41" s="549"/>
      <c r="MAM41" s="549"/>
      <c r="MAN41" s="549"/>
      <c r="MAO41" s="549"/>
      <c r="MAP41" s="549"/>
      <c r="MAQ41" s="549"/>
      <c r="MAR41" s="549"/>
      <c r="MAS41" s="549"/>
      <c r="MAT41" s="549"/>
      <c r="MAU41" s="549"/>
      <c r="MAV41" s="549"/>
      <c r="MAW41" s="549"/>
      <c r="MAX41" s="549"/>
      <c r="MAY41" s="549"/>
      <c r="MAZ41" s="549"/>
      <c r="MBA41" s="549"/>
      <c r="MBB41" s="549"/>
      <c r="MBC41" s="549"/>
      <c r="MBD41" s="549"/>
      <c r="MBE41" s="549"/>
      <c r="MBF41" s="549"/>
      <c r="MBG41" s="549"/>
      <c r="MBH41" s="549"/>
      <c r="MBI41" s="549"/>
      <c r="MBJ41" s="549"/>
      <c r="MBK41" s="549"/>
      <c r="MBL41" s="549"/>
      <c r="MBM41" s="549"/>
      <c r="MBN41" s="549"/>
      <c r="MBO41" s="549"/>
      <c r="MBP41" s="549"/>
      <c r="MBQ41" s="549"/>
      <c r="MBR41" s="549"/>
      <c r="MBS41" s="549"/>
      <c r="MBT41" s="549"/>
      <c r="MBU41" s="549"/>
      <c r="MBV41" s="549"/>
      <c r="MBW41" s="549"/>
      <c r="MBX41" s="549"/>
      <c r="MBY41" s="549"/>
      <c r="MBZ41" s="549"/>
      <c r="MCA41" s="549"/>
      <c r="MCB41" s="549"/>
      <c r="MCC41" s="549"/>
      <c r="MCD41" s="549"/>
      <c r="MCE41" s="549"/>
      <c r="MCF41" s="549"/>
      <c r="MCG41" s="549"/>
      <c r="MCH41" s="549"/>
      <c r="MCI41" s="549"/>
      <c r="MCJ41" s="549"/>
      <c r="MCK41" s="549"/>
      <c r="MCL41" s="549"/>
      <c r="MCM41" s="549"/>
      <c r="MCN41" s="549"/>
      <c r="MCO41" s="549"/>
      <c r="MCP41" s="549"/>
      <c r="MCQ41" s="549"/>
      <c r="MCR41" s="549"/>
      <c r="MCS41" s="549"/>
      <c r="MCT41" s="549"/>
      <c r="MCU41" s="549"/>
      <c r="MCV41" s="549"/>
      <c r="MCW41" s="549"/>
      <c r="MCX41" s="549"/>
      <c r="MCY41" s="549"/>
      <c r="MCZ41" s="549"/>
      <c r="MDA41" s="549"/>
      <c r="MDB41" s="549"/>
      <c r="MDC41" s="549"/>
      <c r="MDD41" s="549"/>
      <c r="MDE41" s="549"/>
      <c r="MDF41" s="549"/>
      <c r="MDG41" s="549"/>
      <c r="MDH41" s="549"/>
      <c r="MDI41" s="549"/>
      <c r="MDJ41" s="549"/>
      <c r="MDK41" s="549"/>
      <c r="MDL41" s="549"/>
      <c r="MDM41" s="549"/>
      <c r="MDN41" s="549"/>
      <c r="MDO41" s="549"/>
      <c r="MDP41" s="549"/>
      <c r="MDQ41" s="549"/>
      <c r="MDR41" s="549"/>
      <c r="MDS41" s="549"/>
      <c r="MDT41" s="549"/>
      <c r="MDU41" s="549"/>
      <c r="MDV41" s="549"/>
      <c r="MDW41" s="549"/>
      <c r="MDX41" s="549"/>
      <c r="MDY41" s="549"/>
      <c r="MDZ41" s="549"/>
      <c r="MEA41" s="549"/>
      <c r="MEB41" s="549"/>
      <c r="MEC41" s="549"/>
      <c r="MED41" s="549"/>
      <c r="MEE41" s="549"/>
      <c r="MEF41" s="549"/>
      <c r="MEG41" s="549"/>
      <c r="MEH41" s="549"/>
      <c r="MEI41" s="549"/>
      <c r="MEJ41" s="549"/>
      <c r="MEK41" s="549"/>
      <c r="MEL41" s="549"/>
      <c r="MEM41" s="549"/>
      <c r="MEN41" s="549"/>
      <c r="MEO41" s="549"/>
      <c r="MEP41" s="549"/>
      <c r="MEQ41" s="549"/>
      <c r="MER41" s="549"/>
      <c r="MES41" s="549"/>
      <c r="MET41" s="549"/>
      <c r="MEU41" s="549"/>
      <c r="MEV41" s="549"/>
      <c r="MEW41" s="549"/>
      <c r="MEX41" s="549"/>
      <c r="MEY41" s="549"/>
      <c r="MEZ41" s="549"/>
      <c r="MFA41" s="549"/>
      <c r="MFB41" s="549"/>
      <c r="MFC41" s="549"/>
      <c r="MFD41" s="549"/>
      <c r="MFE41" s="549"/>
      <c r="MFF41" s="549"/>
      <c r="MFG41" s="549"/>
      <c r="MFH41" s="549"/>
      <c r="MFI41" s="549"/>
      <c r="MFJ41" s="549"/>
      <c r="MFK41" s="549"/>
      <c r="MFL41" s="549"/>
      <c r="MFM41" s="549"/>
      <c r="MFN41" s="549"/>
      <c r="MFO41" s="549"/>
      <c r="MFP41" s="549"/>
      <c r="MFQ41" s="549"/>
      <c r="MFR41" s="549"/>
      <c r="MFS41" s="549"/>
      <c r="MFT41" s="549"/>
      <c r="MFU41" s="549"/>
      <c r="MFV41" s="549"/>
      <c r="MFW41" s="549"/>
      <c r="MFX41" s="549"/>
      <c r="MFY41" s="549"/>
      <c r="MFZ41" s="549"/>
      <c r="MGA41" s="549"/>
      <c r="MGB41" s="549"/>
      <c r="MGC41" s="549"/>
      <c r="MGD41" s="549"/>
      <c r="MGE41" s="549"/>
      <c r="MGF41" s="549"/>
      <c r="MGG41" s="549"/>
      <c r="MGH41" s="549"/>
      <c r="MGI41" s="549"/>
      <c r="MGJ41" s="549"/>
      <c r="MGK41" s="549"/>
      <c r="MGL41" s="549"/>
      <c r="MGM41" s="549"/>
      <c r="MGN41" s="549"/>
      <c r="MGO41" s="549"/>
      <c r="MGP41" s="549"/>
      <c r="MGQ41" s="549"/>
      <c r="MGR41" s="549"/>
      <c r="MGS41" s="549"/>
      <c r="MGT41" s="549"/>
      <c r="MGU41" s="549"/>
      <c r="MGV41" s="549"/>
      <c r="MGW41" s="549"/>
      <c r="MGX41" s="549"/>
      <c r="MGY41" s="549"/>
      <c r="MGZ41" s="549"/>
      <c r="MHA41" s="549"/>
      <c r="MHB41" s="549"/>
      <c r="MHC41" s="549"/>
      <c r="MHD41" s="549"/>
      <c r="MHE41" s="549"/>
      <c r="MHF41" s="549"/>
      <c r="MHG41" s="549"/>
      <c r="MHH41" s="549"/>
      <c r="MHI41" s="549"/>
      <c r="MHJ41" s="549"/>
      <c r="MHK41" s="549"/>
      <c r="MHL41" s="549"/>
      <c r="MHM41" s="549"/>
      <c r="MHN41" s="549"/>
      <c r="MHO41" s="549"/>
      <c r="MHP41" s="549"/>
      <c r="MHQ41" s="549"/>
      <c r="MHR41" s="549"/>
      <c r="MHS41" s="549"/>
      <c r="MHT41" s="549"/>
      <c r="MHU41" s="549"/>
      <c r="MHV41" s="549"/>
      <c r="MHW41" s="549"/>
      <c r="MHX41" s="549"/>
      <c r="MHY41" s="549"/>
      <c r="MHZ41" s="549"/>
      <c r="MIA41" s="549"/>
      <c r="MIB41" s="549"/>
      <c r="MIC41" s="549"/>
      <c r="MID41" s="549"/>
      <c r="MIE41" s="549"/>
      <c r="MIF41" s="549"/>
      <c r="MIG41" s="549"/>
      <c r="MIH41" s="549"/>
      <c r="MII41" s="549"/>
      <c r="MIJ41" s="549"/>
      <c r="MIK41" s="549"/>
      <c r="MIL41" s="549"/>
      <c r="MIM41" s="549"/>
      <c r="MIN41" s="549"/>
      <c r="MIO41" s="549"/>
      <c r="MIP41" s="549"/>
      <c r="MIQ41" s="549"/>
      <c r="MIR41" s="549"/>
      <c r="MIS41" s="549"/>
      <c r="MIT41" s="549"/>
      <c r="MIU41" s="549"/>
      <c r="MIV41" s="549"/>
      <c r="MIW41" s="549"/>
      <c r="MIX41" s="549"/>
      <c r="MIY41" s="549"/>
      <c r="MIZ41" s="549"/>
      <c r="MJA41" s="549"/>
      <c r="MJB41" s="549"/>
      <c r="MJC41" s="549"/>
      <c r="MJD41" s="549"/>
      <c r="MJE41" s="549"/>
      <c r="MJF41" s="549"/>
      <c r="MJG41" s="549"/>
      <c r="MJH41" s="549"/>
      <c r="MJI41" s="549"/>
      <c r="MJJ41" s="549"/>
      <c r="MJK41" s="549"/>
      <c r="MJL41" s="549"/>
      <c r="MJM41" s="549"/>
      <c r="MJN41" s="549"/>
      <c r="MJO41" s="549"/>
      <c r="MJP41" s="549"/>
      <c r="MJQ41" s="549"/>
      <c r="MJR41" s="549"/>
      <c r="MJS41" s="549"/>
      <c r="MJT41" s="549"/>
      <c r="MJU41" s="549"/>
      <c r="MJV41" s="549"/>
      <c r="MJW41" s="549"/>
      <c r="MJX41" s="549"/>
      <c r="MJY41" s="549"/>
      <c r="MJZ41" s="549"/>
      <c r="MKA41" s="549"/>
      <c r="MKB41" s="549"/>
      <c r="MKC41" s="549"/>
      <c r="MKD41" s="549"/>
      <c r="MKE41" s="549"/>
      <c r="MKF41" s="549"/>
      <c r="MKG41" s="549"/>
      <c r="MKH41" s="549"/>
      <c r="MKI41" s="549"/>
      <c r="MKJ41" s="549"/>
      <c r="MKK41" s="549"/>
      <c r="MKL41" s="549"/>
      <c r="MKM41" s="549"/>
      <c r="MKN41" s="549"/>
      <c r="MKO41" s="549"/>
      <c r="MKP41" s="549"/>
      <c r="MKQ41" s="549"/>
      <c r="MKR41" s="549"/>
      <c r="MKS41" s="549"/>
      <c r="MKT41" s="549"/>
      <c r="MKU41" s="549"/>
      <c r="MKV41" s="549"/>
      <c r="MKW41" s="549"/>
      <c r="MKX41" s="549"/>
      <c r="MKY41" s="549"/>
      <c r="MKZ41" s="549"/>
      <c r="MLA41" s="549"/>
      <c r="MLB41" s="549"/>
      <c r="MLC41" s="549"/>
      <c r="MLD41" s="549"/>
      <c r="MLE41" s="549"/>
      <c r="MLF41" s="549"/>
      <c r="MLG41" s="549"/>
      <c r="MLH41" s="549"/>
      <c r="MLI41" s="549"/>
      <c r="MLJ41" s="549"/>
      <c r="MLK41" s="549"/>
      <c r="MLL41" s="549"/>
      <c r="MLM41" s="549"/>
      <c r="MLN41" s="549"/>
      <c r="MLO41" s="549"/>
      <c r="MLP41" s="549"/>
      <c r="MLQ41" s="549"/>
      <c r="MLR41" s="549"/>
      <c r="MLS41" s="549"/>
      <c r="MLT41" s="549"/>
      <c r="MLU41" s="549"/>
      <c r="MLV41" s="549"/>
      <c r="MLW41" s="549"/>
      <c r="MLX41" s="549"/>
      <c r="MLY41" s="549"/>
      <c r="MLZ41" s="549"/>
      <c r="MMA41" s="549"/>
      <c r="MMB41" s="549"/>
      <c r="MMC41" s="549"/>
      <c r="MMD41" s="549"/>
      <c r="MME41" s="549"/>
      <c r="MMF41" s="549"/>
      <c r="MMG41" s="549"/>
      <c r="MMH41" s="549"/>
      <c r="MMI41" s="549"/>
      <c r="MMJ41" s="549"/>
      <c r="MMK41" s="549"/>
      <c r="MML41" s="549"/>
      <c r="MMM41" s="549"/>
      <c r="MMN41" s="549"/>
      <c r="MMO41" s="549"/>
      <c r="MMP41" s="549"/>
      <c r="MMQ41" s="549"/>
      <c r="MMR41" s="549"/>
      <c r="MMS41" s="549"/>
      <c r="MMT41" s="549"/>
      <c r="MMU41" s="549"/>
      <c r="MMV41" s="549"/>
      <c r="MMW41" s="549"/>
      <c r="MMX41" s="549"/>
      <c r="MMY41" s="549"/>
      <c r="MMZ41" s="549"/>
      <c r="MNA41" s="549"/>
      <c r="MNB41" s="549"/>
      <c r="MNC41" s="549"/>
      <c r="MND41" s="549"/>
      <c r="MNE41" s="549"/>
      <c r="MNF41" s="549"/>
      <c r="MNG41" s="549"/>
      <c r="MNH41" s="549"/>
      <c r="MNI41" s="549"/>
      <c r="MNJ41" s="549"/>
      <c r="MNK41" s="549"/>
      <c r="MNL41" s="549"/>
      <c r="MNM41" s="549"/>
      <c r="MNN41" s="549"/>
      <c r="MNO41" s="549"/>
      <c r="MNP41" s="549"/>
      <c r="MNQ41" s="549"/>
      <c r="MNR41" s="549"/>
      <c r="MNS41" s="549"/>
      <c r="MNT41" s="549"/>
      <c r="MNU41" s="549"/>
      <c r="MNV41" s="549"/>
      <c r="MNW41" s="549"/>
      <c r="MNX41" s="549"/>
      <c r="MNY41" s="549"/>
      <c r="MNZ41" s="549"/>
      <c r="MOA41" s="549"/>
      <c r="MOB41" s="549"/>
      <c r="MOC41" s="549"/>
      <c r="MOD41" s="549"/>
      <c r="MOE41" s="549"/>
      <c r="MOF41" s="549"/>
      <c r="MOG41" s="549"/>
      <c r="MOH41" s="549"/>
      <c r="MOI41" s="549"/>
      <c r="MOJ41" s="549"/>
      <c r="MOK41" s="549"/>
      <c r="MOL41" s="549"/>
      <c r="MOM41" s="549"/>
      <c r="MON41" s="549"/>
      <c r="MOO41" s="549"/>
      <c r="MOP41" s="549"/>
      <c r="MOQ41" s="549"/>
      <c r="MOR41" s="549"/>
      <c r="MOS41" s="549"/>
      <c r="MOT41" s="549"/>
      <c r="MOU41" s="549"/>
      <c r="MOV41" s="549"/>
      <c r="MOW41" s="549"/>
      <c r="MOX41" s="549"/>
      <c r="MOY41" s="549"/>
      <c r="MOZ41" s="549"/>
      <c r="MPA41" s="549"/>
      <c r="MPB41" s="549"/>
      <c r="MPC41" s="549"/>
      <c r="MPD41" s="549"/>
      <c r="MPE41" s="549"/>
      <c r="MPF41" s="549"/>
      <c r="MPG41" s="549"/>
      <c r="MPH41" s="549"/>
      <c r="MPI41" s="549"/>
      <c r="MPJ41" s="549"/>
      <c r="MPK41" s="549"/>
      <c r="MPL41" s="549"/>
      <c r="MPM41" s="549"/>
      <c r="MPN41" s="549"/>
      <c r="MPO41" s="549"/>
      <c r="MPP41" s="549"/>
      <c r="MPQ41" s="549"/>
      <c r="MPR41" s="549"/>
      <c r="MPS41" s="549"/>
      <c r="MPT41" s="549"/>
      <c r="MPU41" s="549"/>
      <c r="MPV41" s="549"/>
      <c r="MPW41" s="549"/>
      <c r="MPX41" s="549"/>
      <c r="MPY41" s="549"/>
      <c r="MPZ41" s="549"/>
      <c r="MQA41" s="549"/>
      <c r="MQB41" s="549"/>
      <c r="MQC41" s="549"/>
      <c r="MQD41" s="549"/>
      <c r="MQE41" s="549"/>
      <c r="MQF41" s="549"/>
      <c r="MQG41" s="549"/>
      <c r="MQH41" s="549"/>
      <c r="MQI41" s="549"/>
      <c r="MQJ41" s="549"/>
      <c r="MQK41" s="549"/>
      <c r="MQL41" s="549"/>
      <c r="MQM41" s="549"/>
      <c r="MQN41" s="549"/>
      <c r="MQO41" s="549"/>
      <c r="MQP41" s="549"/>
      <c r="MQQ41" s="549"/>
      <c r="MQR41" s="549"/>
      <c r="MQS41" s="549"/>
      <c r="MQT41" s="549"/>
      <c r="MQU41" s="549"/>
      <c r="MQV41" s="549"/>
      <c r="MQW41" s="549"/>
      <c r="MQX41" s="549"/>
      <c r="MQY41" s="549"/>
      <c r="MQZ41" s="549"/>
      <c r="MRA41" s="549"/>
      <c r="MRB41" s="549"/>
      <c r="MRC41" s="549"/>
      <c r="MRD41" s="549"/>
      <c r="MRE41" s="549"/>
      <c r="MRF41" s="549"/>
      <c r="MRG41" s="549"/>
      <c r="MRH41" s="549"/>
      <c r="MRI41" s="549"/>
      <c r="MRJ41" s="549"/>
      <c r="MRK41" s="549"/>
      <c r="MRL41" s="549"/>
      <c r="MRM41" s="549"/>
      <c r="MRN41" s="549"/>
      <c r="MRO41" s="549"/>
      <c r="MRP41" s="549"/>
      <c r="MRQ41" s="549"/>
      <c r="MRR41" s="549"/>
      <c r="MRS41" s="549"/>
      <c r="MRT41" s="549"/>
      <c r="MRU41" s="549"/>
      <c r="MRV41" s="549"/>
      <c r="MRW41" s="549"/>
      <c r="MRX41" s="549"/>
      <c r="MRY41" s="549"/>
      <c r="MRZ41" s="549"/>
      <c r="MSA41" s="549"/>
      <c r="MSB41" s="549"/>
      <c r="MSC41" s="549"/>
      <c r="MSD41" s="549"/>
      <c r="MSE41" s="549"/>
      <c r="MSF41" s="549"/>
      <c r="MSG41" s="549"/>
      <c r="MSH41" s="549"/>
      <c r="MSI41" s="549"/>
      <c r="MSJ41" s="549"/>
      <c r="MSK41" s="549"/>
      <c r="MSL41" s="549"/>
      <c r="MSM41" s="549"/>
      <c r="MSN41" s="549"/>
      <c r="MSO41" s="549"/>
      <c r="MSP41" s="549"/>
      <c r="MSQ41" s="549"/>
      <c r="MSR41" s="549"/>
      <c r="MSS41" s="549"/>
      <c r="MST41" s="549"/>
      <c r="MSU41" s="549"/>
      <c r="MSV41" s="549"/>
      <c r="MSW41" s="549"/>
      <c r="MSX41" s="549"/>
      <c r="MSY41" s="549"/>
      <c r="MSZ41" s="549"/>
      <c r="MTA41" s="549"/>
      <c r="MTB41" s="549"/>
      <c r="MTC41" s="549"/>
      <c r="MTD41" s="549"/>
      <c r="MTE41" s="549"/>
      <c r="MTF41" s="549"/>
      <c r="MTG41" s="549"/>
      <c r="MTH41" s="549"/>
      <c r="MTI41" s="549"/>
      <c r="MTJ41" s="549"/>
      <c r="MTK41" s="549"/>
      <c r="MTL41" s="549"/>
      <c r="MTM41" s="549"/>
      <c r="MTN41" s="549"/>
      <c r="MTO41" s="549"/>
      <c r="MTP41" s="549"/>
      <c r="MTQ41" s="549"/>
      <c r="MTR41" s="549"/>
      <c r="MTS41" s="549"/>
      <c r="MTT41" s="549"/>
      <c r="MTU41" s="549"/>
      <c r="MTV41" s="549"/>
      <c r="MTW41" s="549"/>
      <c r="MTX41" s="549"/>
      <c r="MTY41" s="549"/>
      <c r="MTZ41" s="549"/>
      <c r="MUA41" s="549"/>
      <c r="MUB41" s="549"/>
      <c r="MUC41" s="549"/>
      <c r="MUD41" s="549"/>
      <c r="MUE41" s="549"/>
      <c r="MUF41" s="549"/>
      <c r="MUG41" s="549"/>
      <c r="MUH41" s="549"/>
      <c r="MUI41" s="549"/>
      <c r="MUJ41" s="549"/>
      <c r="MUK41" s="549"/>
      <c r="MUL41" s="549"/>
      <c r="MUM41" s="549"/>
      <c r="MUN41" s="549"/>
      <c r="MUO41" s="549"/>
      <c r="MUP41" s="549"/>
      <c r="MUQ41" s="549"/>
      <c r="MUR41" s="549"/>
      <c r="MUS41" s="549"/>
      <c r="MUT41" s="549"/>
      <c r="MUU41" s="549"/>
      <c r="MUV41" s="549"/>
      <c r="MUW41" s="549"/>
      <c r="MUX41" s="549"/>
      <c r="MUY41" s="549"/>
      <c r="MUZ41" s="549"/>
      <c r="MVA41" s="549"/>
      <c r="MVB41" s="549"/>
      <c r="MVC41" s="549"/>
      <c r="MVD41" s="549"/>
      <c r="MVE41" s="549"/>
      <c r="MVF41" s="549"/>
      <c r="MVG41" s="549"/>
      <c r="MVH41" s="549"/>
      <c r="MVI41" s="549"/>
      <c r="MVJ41" s="549"/>
      <c r="MVK41" s="549"/>
      <c r="MVL41" s="549"/>
      <c r="MVM41" s="549"/>
      <c r="MVN41" s="549"/>
      <c r="MVO41" s="549"/>
      <c r="MVP41" s="549"/>
      <c r="MVQ41" s="549"/>
      <c r="MVR41" s="549"/>
      <c r="MVS41" s="549"/>
      <c r="MVT41" s="549"/>
      <c r="MVU41" s="549"/>
      <c r="MVV41" s="549"/>
      <c r="MVW41" s="549"/>
      <c r="MVX41" s="549"/>
      <c r="MVY41" s="549"/>
      <c r="MVZ41" s="549"/>
      <c r="MWA41" s="549"/>
      <c r="MWB41" s="549"/>
      <c r="MWC41" s="549"/>
      <c r="MWD41" s="549"/>
      <c r="MWE41" s="549"/>
      <c r="MWF41" s="549"/>
      <c r="MWG41" s="549"/>
      <c r="MWH41" s="549"/>
      <c r="MWI41" s="549"/>
      <c r="MWJ41" s="549"/>
      <c r="MWK41" s="549"/>
      <c r="MWL41" s="549"/>
      <c r="MWM41" s="549"/>
      <c r="MWN41" s="549"/>
      <c r="MWO41" s="549"/>
      <c r="MWP41" s="549"/>
      <c r="MWQ41" s="549"/>
      <c r="MWR41" s="549"/>
      <c r="MWS41" s="549"/>
      <c r="MWT41" s="549"/>
      <c r="MWU41" s="549"/>
      <c r="MWV41" s="549"/>
      <c r="MWW41" s="549"/>
      <c r="MWX41" s="549"/>
      <c r="MWY41" s="549"/>
      <c r="MWZ41" s="549"/>
      <c r="MXA41" s="549"/>
      <c r="MXB41" s="549"/>
      <c r="MXC41" s="549"/>
      <c r="MXD41" s="549"/>
      <c r="MXE41" s="549"/>
      <c r="MXF41" s="549"/>
      <c r="MXG41" s="549"/>
      <c r="MXH41" s="549"/>
      <c r="MXI41" s="549"/>
      <c r="MXJ41" s="549"/>
      <c r="MXK41" s="549"/>
      <c r="MXL41" s="549"/>
      <c r="MXM41" s="549"/>
      <c r="MXN41" s="549"/>
      <c r="MXO41" s="549"/>
      <c r="MXP41" s="549"/>
      <c r="MXQ41" s="549"/>
      <c r="MXR41" s="549"/>
      <c r="MXS41" s="549"/>
      <c r="MXT41" s="549"/>
      <c r="MXU41" s="549"/>
      <c r="MXV41" s="549"/>
      <c r="MXW41" s="549"/>
      <c r="MXX41" s="549"/>
      <c r="MXY41" s="549"/>
      <c r="MXZ41" s="549"/>
      <c r="MYA41" s="549"/>
      <c r="MYB41" s="549"/>
      <c r="MYC41" s="549"/>
      <c r="MYD41" s="549"/>
      <c r="MYE41" s="549"/>
      <c r="MYF41" s="549"/>
      <c r="MYG41" s="549"/>
      <c r="MYH41" s="549"/>
      <c r="MYI41" s="549"/>
      <c r="MYJ41" s="549"/>
      <c r="MYK41" s="549"/>
      <c r="MYL41" s="549"/>
      <c r="MYM41" s="549"/>
      <c r="MYN41" s="549"/>
      <c r="MYO41" s="549"/>
      <c r="MYP41" s="549"/>
      <c r="MYQ41" s="549"/>
      <c r="MYR41" s="549"/>
      <c r="MYS41" s="549"/>
      <c r="MYT41" s="549"/>
      <c r="MYU41" s="549"/>
      <c r="MYV41" s="549"/>
      <c r="MYW41" s="549"/>
      <c r="MYX41" s="549"/>
      <c r="MYY41" s="549"/>
      <c r="MYZ41" s="549"/>
      <c r="MZA41" s="549"/>
      <c r="MZB41" s="549"/>
      <c r="MZC41" s="549"/>
      <c r="MZD41" s="549"/>
      <c r="MZE41" s="549"/>
      <c r="MZF41" s="549"/>
      <c r="MZG41" s="549"/>
      <c r="MZH41" s="549"/>
      <c r="MZI41" s="549"/>
      <c r="MZJ41" s="549"/>
      <c r="MZK41" s="549"/>
      <c r="MZL41" s="549"/>
      <c r="MZM41" s="549"/>
      <c r="MZN41" s="549"/>
      <c r="MZO41" s="549"/>
      <c r="MZP41" s="549"/>
      <c r="MZQ41" s="549"/>
      <c r="MZR41" s="549"/>
      <c r="MZS41" s="549"/>
      <c r="MZT41" s="549"/>
      <c r="MZU41" s="549"/>
      <c r="MZV41" s="549"/>
      <c r="MZW41" s="549"/>
      <c r="MZX41" s="549"/>
      <c r="MZY41" s="549"/>
      <c r="MZZ41" s="549"/>
      <c r="NAA41" s="549"/>
      <c r="NAB41" s="549"/>
      <c r="NAC41" s="549"/>
      <c r="NAD41" s="549"/>
      <c r="NAE41" s="549"/>
      <c r="NAF41" s="549"/>
      <c r="NAG41" s="549"/>
      <c r="NAH41" s="549"/>
      <c r="NAI41" s="549"/>
      <c r="NAJ41" s="549"/>
      <c r="NAK41" s="549"/>
      <c r="NAL41" s="549"/>
      <c r="NAM41" s="549"/>
      <c r="NAN41" s="549"/>
      <c r="NAO41" s="549"/>
      <c r="NAP41" s="549"/>
      <c r="NAQ41" s="549"/>
      <c r="NAR41" s="549"/>
      <c r="NAS41" s="549"/>
      <c r="NAT41" s="549"/>
      <c r="NAU41" s="549"/>
      <c r="NAV41" s="549"/>
      <c r="NAW41" s="549"/>
      <c r="NAX41" s="549"/>
      <c r="NAY41" s="549"/>
      <c r="NAZ41" s="549"/>
      <c r="NBA41" s="549"/>
      <c r="NBB41" s="549"/>
      <c r="NBC41" s="549"/>
      <c r="NBD41" s="549"/>
      <c r="NBE41" s="549"/>
      <c r="NBF41" s="549"/>
      <c r="NBG41" s="549"/>
      <c r="NBH41" s="549"/>
      <c r="NBI41" s="549"/>
      <c r="NBJ41" s="549"/>
      <c r="NBK41" s="549"/>
      <c r="NBL41" s="549"/>
      <c r="NBM41" s="549"/>
      <c r="NBN41" s="549"/>
      <c r="NBO41" s="549"/>
      <c r="NBP41" s="549"/>
      <c r="NBQ41" s="549"/>
      <c r="NBR41" s="549"/>
      <c r="NBS41" s="549"/>
      <c r="NBT41" s="549"/>
      <c r="NBU41" s="549"/>
      <c r="NBV41" s="549"/>
      <c r="NBW41" s="549"/>
      <c r="NBX41" s="549"/>
      <c r="NBY41" s="549"/>
      <c r="NBZ41" s="549"/>
      <c r="NCA41" s="549"/>
      <c r="NCB41" s="549"/>
      <c r="NCC41" s="549"/>
      <c r="NCD41" s="549"/>
      <c r="NCE41" s="549"/>
      <c r="NCF41" s="549"/>
      <c r="NCG41" s="549"/>
      <c r="NCH41" s="549"/>
      <c r="NCI41" s="549"/>
      <c r="NCJ41" s="549"/>
      <c r="NCK41" s="549"/>
      <c r="NCL41" s="549"/>
      <c r="NCM41" s="549"/>
      <c r="NCN41" s="549"/>
      <c r="NCO41" s="549"/>
      <c r="NCP41" s="549"/>
      <c r="NCQ41" s="549"/>
      <c r="NCR41" s="549"/>
      <c r="NCS41" s="549"/>
      <c r="NCT41" s="549"/>
      <c r="NCU41" s="549"/>
      <c r="NCV41" s="549"/>
      <c r="NCW41" s="549"/>
      <c r="NCX41" s="549"/>
      <c r="NCY41" s="549"/>
      <c r="NCZ41" s="549"/>
      <c r="NDA41" s="549"/>
      <c r="NDB41" s="549"/>
      <c r="NDC41" s="549"/>
      <c r="NDD41" s="549"/>
      <c r="NDE41" s="549"/>
      <c r="NDF41" s="549"/>
      <c r="NDG41" s="549"/>
      <c r="NDH41" s="549"/>
      <c r="NDI41" s="549"/>
      <c r="NDJ41" s="549"/>
      <c r="NDK41" s="549"/>
      <c r="NDL41" s="549"/>
      <c r="NDM41" s="549"/>
      <c r="NDN41" s="549"/>
      <c r="NDO41" s="549"/>
      <c r="NDP41" s="549"/>
      <c r="NDQ41" s="549"/>
      <c r="NDR41" s="549"/>
      <c r="NDS41" s="549"/>
      <c r="NDT41" s="549"/>
      <c r="NDU41" s="549"/>
      <c r="NDV41" s="549"/>
      <c r="NDW41" s="549"/>
      <c r="NDX41" s="549"/>
      <c r="NDY41" s="549"/>
      <c r="NDZ41" s="549"/>
      <c r="NEA41" s="549"/>
      <c r="NEB41" s="549"/>
      <c r="NEC41" s="549"/>
      <c r="NED41" s="549"/>
      <c r="NEE41" s="549"/>
      <c r="NEF41" s="549"/>
      <c r="NEG41" s="549"/>
      <c r="NEH41" s="549"/>
      <c r="NEI41" s="549"/>
      <c r="NEJ41" s="549"/>
      <c r="NEK41" s="549"/>
      <c r="NEL41" s="549"/>
      <c r="NEM41" s="549"/>
      <c r="NEN41" s="549"/>
      <c r="NEO41" s="549"/>
      <c r="NEP41" s="549"/>
      <c r="NEQ41" s="549"/>
      <c r="NER41" s="549"/>
      <c r="NES41" s="549"/>
      <c r="NET41" s="549"/>
      <c r="NEU41" s="549"/>
      <c r="NEV41" s="549"/>
      <c r="NEW41" s="549"/>
      <c r="NEX41" s="549"/>
      <c r="NEY41" s="549"/>
      <c r="NEZ41" s="549"/>
      <c r="NFA41" s="549"/>
      <c r="NFB41" s="549"/>
      <c r="NFC41" s="549"/>
      <c r="NFD41" s="549"/>
      <c r="NFE41" s="549"/>
      <c r="NFF41" s="549"/>
      <c r="NFG41" s="549"/>
      <c r="NFH41" s="549"/>
      <c r="NFI41" s="549"/>
      <c r="NFJ41" s="549"/>
      <c r="NFK41" s="549"/>
      <c r="NFL41" s="549"/>
      <c r="NFM41" s="549"/>
      <c r="NFN41" s="549"/>
      <c r="NFO41" s="549"/>
      <c r="NFP41" s="549"/>
      <c r="NFQ41" s="549"/>
      <c r="NFR41" s="549"/>
      <c r="NFS41" s="549"/>
      <c r="NFT41" s="549"/>
      <c r="NFU41" s="549"/>
      <c r="NFV41" s="549"/>
      <c r="NFW41" s="549"/>
      <c r="NFX41" s="549"/>
      <c r="NFY41" s="549"/>
      <c r="NFZ41" s="549"/>
      <c r="NGA41" s="549"/>
      <c r="NGB41" s="549"/>
      <c r="NGC41" s="549"/>
      <c r="NGD41" s="549"/>
      <c r="NGE41" s="549"/>
      <c r="NGF41" s="549"/>
      <c r="NGG41" s="549"/>
      <c r="NGH41" s="549"/>
      <c r="NGI41" s="549"/>
      <c r="NGJ41" s="549"/>
      <c r="NGK41" s="549"/>
      <c r="NGL41" s="549"/>
      <c r="NGM41" s="549"/>
      <c r="NGN41" s="549"/>
      <c r="NGO41" s="549"/>
      <c r="NGP41" s="549"/>
      <c r="NGQ41" s="549"/>
      <c r="NGR41" s="549"/>
      <c r="NGS41" s="549"/>
      <c r="NGT41" s="549"/>
      <c r="NGU41" s="549"/>
      <c r="NGV41" s="549"/>
      <c r="NGW41" s="549"/>
      <c r="NGX41" s="549"/>
      <c r="NGY41" s="549"/>
      <c r="NGZ41" s="549"/>
      <c r="NHA41" s="549"/>
      <c r="NHB41" s="549"/>
      <c r="NHC41" s="549"/>
      <c r="NHD41" s="549"/>
      <c r="NHE41" s="549"/>
      <c r="NHF41" s="549"/>
      <c r="NHG41" s="549"/>
      <c r="NHH41" s="549"/>
      <c r="NHI41" s="549"/>
      <c r="NHJ41" s="549"/>
      <c r="NHK41" s="549"/>
      <c r="NHL41" s="549"/>
      <c r="NHM41" s="549"/>
      <c r="NHN41" s="549"/>
      <c r="NHO41" s="549"/>
      <c r="NHP41" s="549"/>
      <c r="NHQ41" s="549"/>
      <c r="NHR41" s="549"/>
      <c r="NHS41" s="549"/>
      <c r="NHT41" s="549"/>
      <c r="NHU41" s="549"/>
      <c r="NHV41" s="549"/>
      <c r="NHW41" s="549"/>
      <c r="NHX41" s="549"/>
      <c r="NHY41" s="549"/>
      <c r="NHZ41" s="549"/>
      <c r="NIA41" s="549"/>
      <c r="NIB41" s="549"/>
      <c r="NIC41" s="549"/>
      <c r="NID41" s="549"/>
      <c r="NIE41" s="549"/>
      <c r="NIF41" s="549"/>
      <c r="NIG41" s="549"/>
      <c r="NIH41" s="549"/>
      <c r="NII41" s="549"/>
      <c r="NIJ41" s="549"/>
      <c r="NIK41" s="549"/>
      <c r="NIL41" s="549"/>
      <c r="NIM41" s="549"/>
      <c r="NIN41" s="549"/>
      <c r="NIO41" s="549"/>
      <c r="NIP41" s="549"/>
      <c r="NIQ41" s="549"/>
      <c r="NIR41" s="549"/>
      <c r="NIS41" s="549"/>
      <c r="NIT41" s="549"/>
      <c r="NIU41" s="549"/>
      <c r="NIV41" s="549"/>
      <c r="NIW41" s="549"/>
      <c r="NIX41" s="549"/>
      <c r="NIY41" s="549"/>
      <c r="NIZ41" s="549"/>
      <c r="NJA41" s="549"/>
      <c r="NJB41" s="549"/>
      <c r="NJC41" s="549"/>
      <c r="NJD41" s="549"/>
      <c r="NJE41" s="549"/>
      <c r="NJF41" s="549"/>
      <c r="NJG41" s="549"/>
      <c r="NJH41" s="549"/>
      <c r="NJI41" s="549"/>
      <c r="NJJ41" s="549"/>
      <c r="NJK41" s="549"/>
      <c r="NJL41" s="549"/>
      <c r="NJM41" s="549"/>
      <c r="NJN41" s="549"/>
      <c r="NJO41" s="549"/>
      <c r="NJP41" s="549"/>
      <c r="NJQ41" s="549"/>
      <c r="NJR41" s="549"/>
      <c r="NJS41" s="549"/>
      <c r="NJT41" s="549"/>
      <c r="NJU41" s="549"/>
      <c r="NJV41" s="549"/>
      <c r="NJW41" s="549"/>
      <c r="NJX41" s="549"/>
      <c r="NJY41" s="549"/>
      <c r="NJZ41" s="549"/>
      <c r="NKA41" s="549"/>
      <c r="NKB41" s="549"/>
      <c r="NKC41" s="549"/>
      <c r="NKD41" s="549"/>
      <c r="NKE41" s="549"/>
      <c r="NKF41" s="549"/>
      <c r="NKG41" s="549"/>
      <c r="NKH41" s="549"/>
      <c r="NKI41" s="549"/>
      <c r="NKJ41" s="549"/>
      <c r="NKK41" s="549"/>
      <c r="NKL41" s="549"/>
      <c r="NKM41" s="549"/>
      <c r="NKN41" s="549"/>
      <c r="NKO41" s="549"/>
      <c r="NKP41" s="549"/>
      <c r="NKQ41" s="549"/>
      <c r="NKR41" s="549"/>
      <c r="NKS41" s="549"/>
      <c r="NKT41" s="549"/>
      <c r="NKU41" s="549"/>
      <c r="NKV41" s="549"/>
      <c r="NKW41" s="549"/>
      <c r="NKX41" s="549"/>
      <c r="NKY41" s="549"/>
      <c r="NKZ41" s="549"/>
      <c r="NLA41" s="549"/>
      <c r="NLB41" s="549"/>
      <c r="NLC41" s="549"/>
      <c r="NLD41" s="549"/>
      <c r="NLE41" s="549"/>
      <c r="NLF41" s="549"/>
      <c r="NLG41" s="549"/>
      <c r="NLH41" s="549"/>
      <c r="NLI41" s="549"/>
      <c r="NLJ41" s="549"/>
      <c r="NLK41" s="549"/>
      <c r="NLL41" s="549"/>
      <c r="NLM41" s="549"/>
      <c r="NLN41" s="549"/>
      <c r="NLO41" s="549"/>
      <c r="NLP41" s="549"/>
      <c r="NLQ41" s="549"/>
      <c r="NLR41" s="549"/>
      <c r="NLS41" s="549"/>
      <c r="NLT41" s="549"/>
      <c r="NLU41" s="549"/>
      <c r="NLV41" s="549"/>
      <c r="NLW41" s="549"/>
      <c r="NLX41" s="549"/>
      <c r="NLY41" s="549"/>
      <c r="NLZ41" s="549"/>
      <c r="NMA41" s="549"/>
      <c r="NMB41" s="549"/>
      <c r="NMC41" s="549"/>
      <c r="NMD41" s="549"/>
      <c r="NME41" s="549"/>
      <c r="NMF41" s="549"/>
      <c r="NMG41" s="549"/>
      <c r="NMH41" s="549"/>
      <c r="NMI41" s="549"/>
      <c r="NMJ41" s="549"/>
      <c r="NMK41" s="549"/>
      <c r="NML41" s="549"/>
      <c r="NMM41" s="549"/>
      <c r="NMN41" s="549"/>
      <c r="NMO41" s="549"/>
      <c r="NMP41" s="549"/>
      <c r="NMQ41" s="549"/>
      <c r="NMR41" s="549"/>
      <c r="NMS41" s="549"/>
      <c r="NMT41" s="549"/>
      <c r="NMU41" s="549"/>
      <c r="NMV41" s="549"/>
      <c r="NMW41" s="549"/>
      <c r="NMX41" s="549"/>
      <c r="NMY41" s="549"/>
      <c r="NMZ41" s="549"/>
      <c r="NNA41" s="549"/>
      <c r="NNB41" s="549"/>
      <c r="NNC41" s="549"/>
      <c r="NND41" s="549"/>
      <c r="NNE41" s="549"/>
      <c r="NNF41" s="549"/>
      <c r="NNG41" s="549"/>
      <c r="NNH41" s="549"/>
      <c r="NNI41" s="549"/>
      <c r="NNJ41" s="549"/>
      <c r="NNK41" s="549"/>
      <c r="NNL41" s="549"/>
      <c r="NNM41" s="549"/>
      <c r="NNN41" s="549"/>
      <c r="NNO41" s="549"/>
      <c r="NNP41" s="549"/>
      <c r="NNQ41" s="549"/>
      <c r="NNR41" s="549"/>
      <c r="NNS41" s="549"/>
      <c r="NNT41" s="549"/>
      <c r="NNU41" s="549"/>
      <c r="NNV41" s="549"/>
      <c r="NNW41" s="549"/>
      <c r="NNX41" s="549"/>
      <c r="NNY41" s="549"/>
      <c r="NNZ41" s="549"/>
      <c r="NOA41" s="549"/>
      <c r="NOB41" s="549"/>
      <c r="NOC41" s="549"/>
      <c r="NOD41" s="549"/>
      <c r="NOE41" s="549"/>
      <c r="NOF41" s="549"/>
      <c r="NOG41" s="549"/>
      <c r="NOH41" s="549"/>
      <c r="NOI41" s="549"/>
      <c r="NOJ41" s="549"/>
      <c r="NOK41" s="549"/>
      <c r="NOL41" s="549"/>
      <c r="NOM41" s="549"/>
      <c r="NON41" s="549"/>
      <c r="NOO41" s="549"/>
      <c r="NOP41" s="549"/>
      <c r="NOQ41" s="549"/>
      <c r="NOR41" s="549"/>
      <c r="NOS41" s="549"/>
      <c r="NOT41" s="549"/>
      <c r="NOU41" s="549"/>
      <c r="NOV41" s="549"/>
      <c r="NOW41" s="549"/>
      <c r="NOX41" s="549"/>
      <c r="NOY41" s="549"/>
      <c r="NOZ41" s="549"/>
      <c r="NPA41" s="549"/>
      <c r="NPB41" s="549"/>
      <c r="NPC41" s="549"/>
      <c r="NPD41" s="549"/>
      <c r="NPE41" s="549"/>
      <c r="NPF41" s="549"/>
      <c r="NPG41" s="549"/>
      <c r="NPH41" s="549"/>
      <c r="NPI41" s="549"/>
      <c r="NPJ41" s="549"/>
      <c r="NPK41" s="549"/>
      <c r="NPL41" s="549"/>
      <c r="NPM41" s="549"/>
      <c r="NPN41" s="549"/>
      <c r="NPO41" s="549"/>
      <c r="NPP41" s="549"/>
      <c r="NPQ41" s="549"/>
      <c r="NPR41" s="549"/>
      <c r="NPS41" s="549"/>
      <c r="NPT41" s="549"/>
      <c r="NPU41" s="549"/>
      <c r="NPV41" s="549"/>
      <c r="NPW41" s="549"/>
      <c r="NPX41" s="549"/>
      <c r="NPY41" s="549"/>
      <c r="NPZ41" s="549"/>
      <c r="NQA41" s="549"/>
      <c r="NQB41" s="549"/>
      <c r="NQC41" s="549"/>
      <c r="NQD41" s="549"/>
      <c r="NQE41" s="549"/>
      <c r="NQF41" s="549"/>
      <c r="NQG41" s="549"/>
      <c r="NQH41" s="549"/>
      <c r="NQI41" s="549"/>
      <c r="NQJ41" s="549"/>
      <c r="NQK41" s="549"/>
      <c r="NQL41" s="549"/>
      <c r="NQM41" s="549"/>
      <c r="NQN41" s="549"/>
      <c r="NQO41" s="549"/>
      <c r="NQP41" s="549"/>
      <c r="NQQ41" s="549"/>
      <c r="NQR41" s="549"/>
      <c r="NQS41" s="549"/>
      <c r="NQT41" s="549"/>
      <c r="NQU41" s="549"/>
      <c r="NQV41" s="549"/>
      <c r="NQW41" s="549"/>
      <c r="NQX41" s="549"/>
      <c r="NQY41" s="549"/>
      <c r="NQZ41" s="549"/>
      <c r="NRA41" s="549"/>
      <c r="NRB41" s="549"/>
      <c r="NRC41" s="549"/>
      <c r="NRD41" s="549"/>
      <c r="NRE41" s="549"/>
      <c r="NRF41" s="549"/>
      <c r="NRG41" s="549"/>
      <c r="NRH41" s="549"/>
      <c r="NRI41" s="549"/>
      <c r="NRJ41" s="549"/>
      <c r="NRK41" s="549"/>
      <c r="NRL41" s="549"/>
      <c r="NRM41" s="549"/>
      <c r="NRN41" s="549"/>
      <c r="NRO41" s="549"/>
      <c r="NRP41" s="549"/>
      <c r="NRQ41" s="549"/>
      <c r="NRR41" s="549"/>
      <c r="NRS41" s="549"/>
      <c r="NRT41" s="549"/>
      <c r="NRU41" s="549"/>
      <c r="NRV41" s="549"/>
      <c r="NRW41" s="549"/>
      <c r="NRX41" s="549"/>
      <c r="NRY41" s="549"/>
      <c r="NRZ41" s="549"/>
      <c r="NSA41" s="549"/>
      <c r="NSB41" s="549"/>
      <c r="NSC41" s="549"/>
      <c r="NSD41" s="549"/>
      <c r="NSE41" s="549"/>
      <c r="NSF41" s="549"/>
      <c r="NSG41" s="549"/>
      <c r="NSH41" s="549"/>
      <c r="NSI41" s="549"/>
      <c r="NSJ41" s="549"/>
      <c r="NSK41" s="549"/>
      <c r="NSL41" s="549"/>
      <c r="NSM41" s="549"/>
      <c r="NSN41" s="549"/>
      <c r="NSO41" s="549"/>
      <c r="NSP41" s="549"/>
      <c r="NSQ41" s="549"/>
      <c r="NSR41" s="549"/>
      <c r="NSS41" s="549"/>
      <c r="NST41" s="549"/>
      <c r="NSU41" s="549"/>
      <c r="NSV41" s="549"/>
      <c r="NSW41" s="549"/>
      <c r="NSX41" s="549"/>
      <c r="NSY41" s="549"/>
      <c r="NSZ41" s="549"/>
      <c r="NTA41" s="549"/>
      <c r="NTB41" s="549"/>
      <c r="NTC41" s="549"/>
      <c r="NTD41" s="549"/>
      <c r="NTE41" s="549"/>
      <c r="NTF41" s="549"/>
      <c r="NTG41" s="549"/>
      <c r="NTH41" s="549"/>
      <c r="NTI41" s="549"/>
      <c r="NTJ41" s="549"/>
      <c r="NTK41" s="549"/>
      <c r="NTL41" s="549"/>
      <c r="NTM41" s="549"/>
      <c r="NTN41" s="549"/>
      <c r="NTO41" s="549"/>
      <c r="NTP41" s="549"/>
      <c r="NTQ41" s="549"/>
      <c r="NTR41" s="549"/>
      <c r="NTS41" s="549"/>
      <c r="NTT41" s="549"/>
      <c r="NTU41" s="549"/>
      <c r="NTV41" s="549"/>
      <c r="NTW41" s="549"/>
      <c r="NTX41" s="549"/>
      <c r="NTY41" s="549"/>
      <c r="NTZ41" s="549"/>
      <c r="NUA41" s="549"/>
      <c r="NUB41" s="549"/>
      <c r="NUC41" s="549"/>
      <c r="NUD41" s="549"/>
      <c r="NUE41" s="549"/>
      <c r="NUF41" s="549"/>
      <c r="NUG41" s="549"/>
      <c r="NUH41" s="549"/>
      <c r="NUI41" s="549"/>
      <c r="NUJ41" s="549"/>
      <c r="NUK41" s="549"/>
      <c r="NUL41" s="549"/>
      <c r="NUM41" s="549"/>
      <c r="NUN41" s="549"/>
      <c r="NUO41" s="549"/>
      <c r="NUP41" s="549"/>
      <c r="NUQ41" s="549"/>
      <c r="NUR41" s="549"/>
      <c r="NUS41" s="549"/>
      <c r="NUT41" s="549"/>
      <c r="NUU41" s="549"/>
      <c r="NUV41" s="549"/>
      <c r="NUW41" s="549"/>
      <c r="NUX41" s="549"/>
      <c r="NUY41" s="549"/>
      <c r="NUZ41" s="549"/>
      <c r="NVA41" s="549"/>
      <c r="NVB41" s="549"/>
      <c r="NVC41" s="549"/>
      <c r="NVD41" s="549"/>
      <c r="NVE41" s="549"/>
      <c r="NVF41" s="549"/>
      <c r="NVG41" s="549"/>
      <c r="NVH41" s="549"/>
      <c r="NVI41" s="549"/>
      <c r="NVJ41" s="549"/>
      <c r="NVK41" s="549"/>
      <c r="NVL41" s="549"/>
      <c r="NVM41" s="549"/>
      <c r="NVN41" s="549"/>
      <c r="NVO41" s="549"/>
      <c r="NVP41" s="549"/>
      <c r="NVQ41" s="549"/>
      <c r="NVR41" s="549"/>
      <c r="NVS41" s="549"/>
      <c r="NVT41" s="549"/>
      <c r="NVU41" s="549"/>
      <c r="NVV41" s="549"/>
      <c r="NVW41" s="549"/>
      <c r="NVX41" s="549"/>
      <c r="NVY41" s="549"/>
      <c r="NVZ41" s="549"/>
      <c r="NWA41" s="549"/>
      <c r="NWB41" s="549"/>
      <c r="NWC41" s="549"/>
      <c r="NWD41" s="549"/>
      <c r="NWE41" s="549"/>
      <c r="NWF41" s="549"/>
      <c r="NWG41" s="549"/>
      <c r="NWH41" s="549"/>
      <c r="NWI41" s="549"/>
      <c r="NWJ41" s="549"/>
      <c r="NWK41" s="549"/>
      <c r="NWL41" s="549"/>
      <c r="NWM41" s="549"/>
      <c r="NWN41" s="549"/>
      <c r="NWO41" s="549"/>
      <c r="NWP41" s="549"/>
      <c r="NWQ41" s="549"/>
      <c r="NWR41" s="549"/>
      <c r="NWS41" s="549"/>
      <c r="NWT41" s="549"/>
      <c r="NWU41" s="549"/>
      <c r="NWV41" s="549"/>
      <c r="NWW41" s="549"/>
      <c r="NWX41" s="549"/>
      <c r="NWY41" s="549"/>
      <c r="NWZ41" s="549"/>
      <c r="NXA41" s="549"/>
      <c r="NXB41" s="549"/>
      <c r="NXC41" s="549"/>
      <c r="NXD41" s="549"/>
      <c r="NXE41" s="549"/>
      <c r="NXF41" s="549"/>
      <c r="NXG41" s="549"/>
      <c r="NXH41" s="549"/>
      <c r="NXI41" s="549"/>
      <c r="NXJ41" s="549"/>
      <c r="NXK41" s="549"/>
      <c r="NXL41" s="549"/>
      <c r="NXM41" s="549"/>
      <c r="NXN41" s="549"/>
      <c r="NXO41" s="549"/>
      <c r="NXP41" s="549"/>
      <c r="NXQ41" s="549"/>
      <c r="NXR41" s="549"/>
      <c r="NXS41" s="549"/>
      <c r="NXT41" s="549"/>
      <c r="NXU41" s="549"/>
      <c r="NXV41" s="549"/>
      <c r="NXW41" s="549"/>
      <c r="NXX41" s="549"/>
      <c r="NXY41" s="549"/>
      <c r="NXZ41" s="549"/>
      <c r="NYA41" s="549"/>
      <c r="NYB41" s="549"/>
      <c r="NYC41" s="549"/>
      <c r="NYD41" s="549"/>
      <c r="NYE41" s="549"/>
      <c r="NYF41" s="549"/>
      <c r="NYG41" s="549"/>
      <c r="NYH41" s="549"/>
      <c r="NYI41" s="549"/>
      <c r="NYJ41" s="549"/>
      <c r="NYK41" s="549"/>
      <c r="NYL41" s="549"/>
      <c r="NYM41" s="549"/>
      <c r="NYN41" s="549"/>
      <c r="NYO41" s="549"/>
      <c r="NYP41" s="549"/>
      <c r="NYQ41" s="549"/>
      <c r="NYR41" s="549"/>
      <c r="NYS41" s="549"/>
      <c r="NYT41" s="549"/>
      <c r="NYU41" s="549"/>
      <c r="NYV41" s="549"/>
      <c r="NYW41" s="549"/>
      <c r="NYX41" s="549"/>
      <c r="NYY41" s="549"/>
      <c r="NYZ41" s="549"/>
      <c r="NZA41" s="549"/>
      <c r="NZB41" s="549"/>
      <c r="NZC41" s="549"/>
      <c r="NZD41" s="549"/>
      <c r="NZE41" s="549"/>
      <c r="NZF41" s="549"/>
      <c r="NZG41" s="549"/>
      <c r="NZH41" s="549"/>
      <c r="NZI41" s="549"/>
      <c r="NZJ41" s="549"/>
      <c r="NZK41" s="549"/>
      <c r="NZL41" s="549"/>
      <c r="NZM41" s="549"/>
      <c r="NZN41" s="549"/>
      <c r="NZO41" s="549"/>
      <c r="NZP41" s="549"/>
      <c r="NZQ41" s="549"/>
      <c r="NZR41" s="549"/>
      <c r="NZS41" s="549"/>
      <c r="NZT41" s="549"/>
      <c r="NZU41" s="549"/>
      <c r="NZV41" s="549"/>
      <c r="NZW41" s="549"/>
      <c r="NZX41" s="549"/>
      <c r="NZY41" s="549"/>
      <c r="NZZ41" s="549"/>
      <c r="OAA41" s="549"/>
      <c r="OAB41" s="549"/>
      <c r="OAC41" s="549"/>
      <c r="OAD41" s="549"/>
      <c r="OAE41" s="549"/>
      <c r="OAF41" s="549"/>
      <c r="OAG41" s="549"/>
      <c r="OAH41" s="549"/>
      <c r="OAI41" s="549"/>
      <c r="OAJ41" s="549"/>
      <c r="OAK41" s="549"/>
      <c r="OAL41" s="549"/>
      <c r="OAM41" s="549"/>
      <c r="OAN41" s="549"/>
      <c r="OAO41" s="549"/>
      <c r="OAP41" s="549"/>
      <c r="OAQ41" s="549"/>
      <c r="OAR41" s="549"/>
      <c r="OAS41" s="549"/>
      <c r="OAT41" s="549"/>
      <c r="OAU41" s="549"/>
      <c r="OAV41" s="549"/>
      <c r="OAW41" s="549"/>
      <c r="OAX41" s="549"/>
      <c r="OAY41" s="549"/>
      <c r="OAZ41" s="549"/>
      <c r="OBA41" s="549"/>
      <c r="OBB41" s="549"/>
      <c r="OBC41" s="549"/>
      <c r="OBD41" s="549"/>
      <c r="OBE41" s="549"/>
      <c r="OBF41" s="549"/>
      <c r="OBG41" s="549"/>
      <c r="OBH41" s="549"/>
      <c r="OBI41" s="549"/>
      <c r="OBJ41" s="549"/>
      <c r="OBK41" s="549"/>
      <c r="OBL41" s="549"/>
      <c r="OBM41" s="549"/>
      <c r="OBN41" s="549"/>
      <c r="OBO41" s="549"/>
      <c r="OBP41" s="549"/>
      <c r="OBQ41" s="549"/>
      <c r="OBR41" s="549"/>
      <c r="OBS41" s="549"/>
      <c r="OBT41" s="549"/>
      <c r="OBU41" s="549"/>
      <c r="OBV41" s="549"/>
      <c r="OBW41" s="549"/>
      <c r="OBX41" s="549"/>
      <c r="OBY41" s="549"/>
      <c r="OBZ41" s="549"/>
      <c r="OCA41" s="549"/>
      <c r="OCB41" s="549"/>
      <c r="OCC41" s="549"/>
      <c r="OCD41" s="549"/>
      <c r="OCE41" s="549"/>
      <c r="OCF41" s="549"/>
      <c r="OCG41" s="549"/>
      <c r="OCH41" s="549"/>
      <c r="OCI41" s="549"/>
      <c r="OCJ41" s="549"/>
      <c r="OCK41" s="549"/>
      <c r="OCL41" s="549"/>
      <c r="OCM41" s="549"/>
      <c r="OCN41" s="549"/>
      <c r="OCO41" s="549"/>
      <c r="OCP41" s="549"/>
      <c r="OCQ41" s="549"/>
      <c r="OCR41" s="549"/>
      <c r="OCS41" s="549"/>
      <c r="OCT41" s="549"/>
      <c r="OCU41" s="549"/>
      <c r="OCV41" s="549"/>
      <c r="OCW41" s="549"/>
      <c r="OCX41" s="549"/>
      <c r="OCY41" s="549"/>
      <c r="OCZ41" s="549"/>
      <c r="ODA41" s="549"/>
      <c r="ODB41" s="549"/>
      <c r="ODC41" s="549"/>
      <c r="ODD41" s="549"/>
      <c r="ODE41" s="549"/>
      <c r="ODF41" s="549"/>
      <c r="ODG41" s="549"/>
      <c r="ODH41" s="549"/>
      <c r="ODI41" s="549"/>
      <c r="ODJ41" s="549"/>
      <c r="ODK41" s="549"/>
      <c r="ODL41" s="549"/>
      <c r="ODM41" s="549"/>
      <c r="ODN41" s="549"/>
      <c r="ODO41" s="549"/>
      <c r="ODP41" s="549"/>
      <c r="ODQ41" s="549"/>
      <c r="ODR41" s="549"/>
      <c r="ODS41" s="549"/>
      <c r="ODT41" s="549"/>
      <c r="ODU41" s="549"/>
      <c r="ODV41" s="549"/>
      <c r="ODW41" s="549"/>
      <c r="ODX41" s="549"/>
      <c r="ODY41" s="549"/>
      <c r="ODZ41" s="549"/>
      <c r="OEA41" s="549"/>
      <c r="OEB41" s="549"/>
      <c r="OEC41" s="549"/>
      <c r="OED41" s="549"/>
      <c r="OEE41" s="549"/>
      <c r="OEF41" s="549"/>
      <c r="OEG41" s="549"/>
      <c r="OEH41" s="549"/>
      <c r="OEI41" s="549"/>
      <c r="OEJ41" s="549"/>
      <c r="OEK41" s="549"/>
      <c r="OEL41" s="549"/>
      <c r="OEM41" s="549"/>
      <c r="OEN41" s="549"/>
      <c r="OEO41" s="549"/>
      <c r="OEP41" s="549"/>
      <c r="OEQ41" s="549"/>
      <c r="OER41" s="549"/>
      <c r="OES41" s="549"/>
      <c r="OET41" s="549"/>
      <c r="OEU41" s="549"/>
      <c r="OEV41" s="549"/>
      <c r="OEW41" s="549"/>
      <c r="OEX41" s="549"/>
      <c r="OEY41" s="549"/>
      <c r="OEZ41" s="549"/>
      <c r="OFA41" s="549"/>
      <c r="OFB41" s="549"/>
      <c r="OFC41" s="549"/>
      <c r="OFD41" s="549"/>
      <c r="OFE41" s="549"/>
      <c r="OFF41" s="549"/>
      <c r="OFG41" s="549"/>
      <c r="OFH41" s="549"/>
      <c r="OFI41" s="549"/>
      <c r="OFJ41" s="549"/>
      <c r="OFK41" s="549"/>
      <c r="OFL41" s="549"/>
      <c r="OFM41" s="549"/>
      <c r="OFN41" s="549"/>
      <c r="OFO41" s="549"/>
      <c r="OFP41" s="549"/>
      <c r="OFQ41" s="549"/>
      <c r="OFR41" s="549"/>
      <c r="OFS41" s="549"/>
      <c r="OFT41" s="549"/>
      <c r="OFU41" s="549"/>
      <c r="OFV41" s="549"/>
      <c r="OFW41" s="549"/>
      <c r="OFX41" s="549"/>
      <c r="OFY41" s="549"/>
      <c r="OFZ41" s="549"/>
      <c r="OGA41" s="549"/>
      <c r="OGB41" s="549"/>
      <c r="OGC41" s="549"/>
      <c r="OGD41" s="549"/>
      <c r="OGE41" s="549"/>
      <c r="OGF41" s="549"/>
      <c r="OGG41" s="549"/>
      <c r="OGH41" s="549"/>
      <c r="OGI41" s="549"/>
      <c r="OGJ41" s="549"/>
      <c r="OGK41" s="549"/>
      <c r="OGL41" s="549"/>
      <c r="OGM41" s="549"/>
      <c r="OGN41" s="549"/>
      <c r="OGO41" s="549"/>
      <c r="OGP41" s="549"/>
      <c r="OGQ41" s="549"/>
      <c r="OGR41" s="549"/>
      <c r="OGS41" s="549"/>
      <c r="OGT41" s="549"/>
      <c r="OGU41" s="549"/>
      <c r="OGV41" s="549"/>
      <c r="OGW41" s="549"/>
      <c r="OGX41" s="549"/>
      <c r="OGY41" s="549"/>
      <c r="OGZ41" s="549"/>
      <c r="OHA41" s="549"/>
      <c r="OHB41" s="549"/>
      <c r="OHC41" s="549"/>
      <c r="OHD41" s="549"/>
      <c r="OHE41" s="549"/>
      <c r="OHF41" s="549"/>
      <c r="OHG41" s="549"/>
      <c r="OHH41" s="549"/>
      <c r="OHI41" s="549"/>
      <c r="OHJ41" s="549"/>
      <c r="OHK41" s="549"/>
      <c r="OHL41" s="549"/>
      <c r="OHM41" s="549"/>
      <c r="OHN41" s="549"/>
      <c r="OHO41" s="549"/>
      <c r="OHP41" s="549"/>
      <c r="OHQ41" s="549"/>
      <c r="OHR41" s="549"/>
      <c r="OHS41" s="549"/>
      <c r="OHT41" s="549"/>
      <c r="OHU41" s="549"/>
      <c r="OHV41" s="549"/>
      <c r="OHW41" s="549"/>
      <c r="OHX41" s="549"/>
      <c r="OHY41" s="549"/>
      <c r="OHZ41" s="549"/>
      <c r="OIA41" s="549"/>
      <c r="OIB41" s="549"/>
      <c r="OIC41" s="549"/>
      <c r="OID41" s="549"/>
      <c r="OIE41" s="549"/>
      <c r="OIF41" s="549"/>
      <c r="OIG41" s="549"/>
      <c r="OIH41" s="549"/>
      <c r="OII41" s="549"/>
      <c r="OIJ41" s="549"/>
      <c r="OIK41" s="549"/>
      <c r="OIL41" s="549"/>
      <c r="OIM41" s="549"/>
      <c r="OIN41" s="549"/>
      <c r="OIO41" s="549"/>
      <c r="OIP41" s="549"/>
      <c r="OIQ41" s="549"/>
      <c r="OIR41" s="549"/>
      <c r="OIS41" s="549"/>
      <c r="OIT41" s="549"/>
      <c r="OIU41" s="549"/>
      <c r="OIV41" s="549"/>
      <c r="OIW41" s="549"/>
      <c r="OIX41" s="549"/>
      <c r="OIY41" s="549"/>
      <c r="OIZ41" s="549"/>
      <c r="OJA41" s="549"/>
      <c r="OJB41" s="549"/>
      <c r="OJC41" s="549"/>
      <c r="OJD41" s="549"/>
      <c r="OJE41" s="549"/>
      <c r="OJF41" s="549"/>
      <c r="OJG41" s="549"/>
      <c r="OJH41" s="549"/>
      <c r="OJI41" s="549"/>
      <c r="OJJ41" s="549"/>
      <c r="OJK41" s="549"/>
      <c r="OJL41" s="549"/>
      <c r="OJM41" s="549"/>
      <c r="OJN41" s="549"/>
      <c r="OJO41" s="549"/>
      <c r="OJP41" s="549"/>
      <c r="OJQ41" s="549"/>
      <c r="OJR41" s="549"/>
      <c r="OJS41" s="549"/>
      <c r="OJT41" s="549"/>
      <c r="OJU41" s="549"/>
      <c r="OJV41" s="549"/>
      <c r="OJW41" s="549"/>
      <c r="OJX41" s="549"/>
      <c r="OJY41" s="549"/>
      <c r="OJZ41" s="549"/>
      <c r="OKA41" s="549"/>
      <c r="OKB41" s="549"/>
      <c r="OKC41" s="549"/>
      <c r="OKD41" s="549"/>
      <c r="OKE41" s="549"/>
      <c r="OKF41" s="549"/>
      <c r="OKG41" s="549"/>
      <c r="OKH41" s="549"/>
      <c r="OKI41" s="549"/>
      <c r="OKJ41" s="549"/>
      <c r="OKK41" s="549"/>
      <c r="OKL41" s="549"/>
      <c r="OKM41" s="549"/>
      <c r="OKN41" s="549"/>
      <c r="OKO41" s="549"/>
      <c r="OKP41" s="549"/>
      <c r="OKQ41" s="549"/>
      <c r="OKR41" s="549"/>
      <c r="OKS41" s="549"/>
      <c r="OKT41" s="549"/>
      <c r="OKU41" s="549"/>
      <c r="OKV41" s="549"/>
      <c r="OKW41" s="549"/>
      <c r="OKX41" s="549"/>
      <c r="OKY41" s="549"/>
      <c r="OKZ41" s="549"/>
      <c r="OLA41" s="549"/>
      <c r="OLB41" s="549"/>
      <c r="OLC41" s="549"/>
      <c r="OLD41" s="549"/>
      <c r="OLE41" s="549"/>
      <c r="OLF41" s="549"/>
      <c r="OLG41" s="549"/>
      <c r="OLH41" s="549"/>
      <c r="OLI41" s="549"/>
      <c r="OLJ41" s="549"/>
      <c r="OLK41" s="549"/>
      <c r="OLL41" s="549"/>
      <c r="OLM41" s="549"/>
      <c r="OLN41" s="549"/>
      <c r="OLO41" s="549"/>
      <c r="OLP41" s="549"/>
      <c r="OLQ41" s="549"/>
      <c r="OLR41" s="549"/>
      <c r="OLS41" s="549"/>
      <c r="OLT41" s="549"/>
      <c r="OLU41" s="549"/>
      <c r="OLV41" s="549"/>
      <c r="OLW41" s="549"/>
      <c r="OLX41" s="549"/>
      <c r="OLY41" s="549"/>
      <c r="OLZ41" s="549"/>
      <c r="OMA41" s="549"/>
      <c r="OMB41" s="549"/>
      <c r="OMC41" s="549"/>
      <c r="OMD41" s="549"/>
      <c r="OME41" s="549"/>
      <c r="OMF41" s="549"/>
      <c r="OMG41" s="549"/>
      <c r="OMH41" s="549"/>
      <c r="OMI41" s="549"/>
      <c r="OMJ41" s="549"/>
      <c r="OMK41" s="549"/>
      <c r="OML41" s="549"/>
      <c r="OMM41" s="549"/>
      <c r="OMN41" s="549"/>
      <c r="OMO41" s="549"/>
      <c r="OMP41" s="549"/>
      <c r="OMQ41" s="549"/>
      <c r="OMR41" s="549"/>
      <c r="OMS41" s="549"/>
      <c r="OMT41" s="549"/>
      <c r="OMU41" s="549"/>
      <c r="OMV41" s="549"/>
      <c r="OMW41" s="549"/>
      <c r="OMX41" s="549"/>
      <c r="OMY41" s="549"/>
      <c r="OMZ41" s="549"/>
      <c r="ONA41" s="549"/>
      <c r="ONB41" s="549"/>
      <c r="ONC41" s="549"/>
      <c r="OND41" s="549"/>
      <c r="ONE41" s="549"/>
      <c r="ONF41" s="549"/>
      <c r="ONG41" s="549"/>
      <c r="ONH41" s="549"/>
      <c r="ONI41" s="549"/>
      <c r="ONJ41" s="549"/>
      <c r="ONK41" s="549"/>
      <c r="ONL41" s="549"/>
      <c r="ONM41" s="549"/>
      <c r="ONN41" s="549"/>
      <c r="ONO41" s="549"/>
      <c r="ONP41" s="549"/>
      <c r="ONQ41" s="549"/>
      <c r="ONR41" s="549"/>
      <c r="ONS41" s="549"/>
      <c r="ONT41" s="549"/>
      <c r="ONU41" s="549"/>
      <c r="ONV41" s="549"/>
      <c r="ONW41" s="549"/>
      <c r="ONX41" s="549"/>
      <c r="ONY41" s="549"/>
      <c r="ONZ41" s="549"/>
      <c r="OOA41" s="549"/>
      <c r="OOB41" s="549"/>
      <c r="OOC41" s="549"/>
      <c r="OOD41" s="549"/>
      <c r="OOE41" s="549"/>
      <c r="OOF41" s="549"/>
      <c r="OOG41" s="549"/>
      <c r="OOH41" s="549"/>
      <c r="OOI41" s="549"/>
      <c r="OOJ41" s="549"/>
      <c r="OOK41" s="549"/>
      <c r="OOL41" s="549"/>
      <c r="OOM41" s="549"/>
      <c r="OON41" s="549"/>
      <c r="OOO41" s="549"/>
      <c r="OOP41" s="549"/>
      <c r="OOQ41" s="549"/>
      <c r="OOR41" s="549"/>
      <c r="OOS41" s="549"/>
      <c r="OOT41" s="549"/>
      <c r="OOU41" s="549"/>
      <c r="OOV41" s="549"/>
      <c r="OOW41" s="549"/>
      <c r="OOX41" s="549"/>
      <c r="OOY41" s="549"/>
      <c r="OOZ41" s="549"/>
      <c r="OPA41" s="549"/>
      <c r="OPB41" s="549"/>
      <c r="OPC41" s="549"/>
      <c r="OPD41" s="549"/>
      <c r="OPE41" s="549"/>
      <c r="OPF41" s="549"/>
      <c r="OPG41" s="549"/>
      <c r="OPH41" s="549"/>
      <c r="OPI41" s="549"/>
      <c r="OPJ41" s="549"/>
      <c r="OPK41" s="549"/>
      <c r="OPL41" s="549"/>
      <c r="OPM41" s="549"/>
      <c r="OPN41" s="549"/>
      <c r="OPO41" s="549"/>
      <c r="OPP41" s="549"/>
      <c r="OPQ41" s="549"/>
      <c r="OPR41" s="549"/>
      <c r="OPS41" s="549"/>
      <c r="OPT41" s="549"/>
      <c r="OPU41" s="549"/>
      <c r="OPV41" s="549"/>
      <c r="OPW41" s="549"/>
      <c r="OPX41" s="549"/>
      <c r="OPY41" s="549"/>
      <c r="OPZ41" s="549"/>
      <c r="OQA41" s="549"/>
      <c r="OQB41" s="549"/>
      <c r="OQC41" s="549"/>
      <c r="OQD41" s="549"/>
      <c r="OQE41" s="549"/>
      <c r="OQF41" s="549"/>
      <c r="OQG41" s="549"/>
      <c r="OQH41" s="549"/>
      <c r="OQI41" s="549"/>
      <c r="OQJ41" s="549"/>
      <c r="OQK41" s="549"/>
      <c r="OQL41" s="549"/>
      <c r="OQM41" s="549"/>
      <c r="OQN41" s="549"/>
      <c r="OQO41" s="549"/>
      <c r="OQP41" s="549"/>
      <c r="OQQ41" s="549"/>
      <c r="OQR41" s="549"/>
      <c r="OQS41" s="549"/>
      <c r="OQT41" s="549"/>
      <c r="OQU41" s="549"/>
      <c r="OQV41" s="549"/>
      <c r="OQW41" s="549"/>
      <c r="OQX41" s="549"/>
      <c r="OQY41" s="549"/>
      <c r="OQZ41" s="549"/>
      <c r="ORA41" s="549"/>
      <c r="ORB41" s="549"/>
      <c r="ORC41" s="549"/>
      <c r="ORD41" s="549"/>
      <c r="ORE41" s="549"/>
      <c r="ORF41" s="549"/>
      <c r="ORG41" s="549"/>
      <c r="ORH41" s="549"/>
      <c r="ORI41" s="549"/>
      <c r="ORJ41" s="549"/>
      <c r="ORK41" s="549"/>
      <c r="ORL41" s="549"/>
      <c r="ORM41" s="549"/>
      <c r="ORN41" s="549"/>
      <c r="ORO41" s="549"/>
      <c r="ORP41" s="549"/>
      <c r="ORQ41" s="549"/>
      <c r="ORR41" s="549"/>
      <c r="ORS41" s="549"/>
      <c r="ORT41" s="549"/>
      <c r="ORU41" s="549"/>
      <c r="ORV41" s="549"/>
      <c r="ORW41" s="549"/>
      <c r="ORX41" s="549"/>
      <c r="ORY41" s="549"/>
      <c r="ORZ41" s="549"/>
      <c r="OSA41" s="549"/>
      <c r="OSB41" s="549"/>
      <c r="OSC41" s="549"/>
      <c r="OSD41" s="549"/>
      <c r="OSE41" s="549"/>
      <c r="OSF41" s="549"/>
      <c r="OSG41" s="549"/>
      <c r="OSH41" s="549"/>
      <c r="OSI41" s="549"/>
      <c r="OSJ41" s="549"/>
      <c r="OSK41" s="549"/>
      <c r="OSL41" s="549"/>
      <c r="OSM41" s="549"/>
      <c r="OSN41" s="549"/>
      <c r="OSO41" s="549"/>
      <c r="OSP41" s="549"/>
      <c r="OSQ41" s="549"/>
      <c r="OSR41" s="549"/>
      <c r="OSS41" s="549"/>
      <c r="OST41" s="549"/>
      <c r="OSU41" s="549"/>
      <c r="OSV41" s="549"/>
      <c r="OSW41" s="549"/>
      <c r="OSX41" s="549"/>
      <c r="OSY41" s="549"/>
      <c r="OSZ41" s="549"/>
      <c r="OTA41" s="549"/>
      <c r="OTB41" s="549"/>
      <c r="OTC41" s="549"/>
      <c r="OTD41" s="549"/>
      <c r="OTE41" s="549"/>
      <c r="OTF41" s="549"/>
      <c r="OTG41" s="549"/>
      <c r="OTH41" s="549"/>
      <c r="OTI41" s="549"/>
      <c r="OTJ41" s="549"/>
      <c r="OTK41" s="549"/>
      <c r="OTL41" s="549"/>
      <c r="OTM41" s="549"/>
      <c r="OTN41" s="549"/>
      <c r="OTO41" s="549"/>
      <c r="OTP41" s="549"/>
      <c r="OTQ41" s="549"/>
      <c r="OTR41" s="549"/>
      <c r="OTS41" s="549"/>
      <c r="OTT41" s="549"/>
      <c r="OTU41" s="549"/>
      <c r="OTV41" s="549"/>
      <c r="OTW41" s="549"/>
      <c r="OTX41" s="549"/>
      <c r="OTY41" s="549"/>
      <c r="OTZ41" s="549"/>
      <c r="OUA41" s="549"/>
      <c r="OUB41" s="549"/>
      <c r="OUC41" s="549"/>
      <c r="OUD41" s="549"/>
      <c r="OUE41" s="549"/>
      <c r="OUF41" s="549"/>
      <c r="OUG41" s="549"/>
      <c r="OUH41" s="549"/>
      <c r="OUI41" s="549"/>
      <c r="OUJ41" s="549"/>
      <c r="OUK41" s="549"/>
      <c r="OUL41" s="549"/>
      <c r="OUM41" s="549"/>
      <c r="OUN41" s="549"/>
      <c r="OUO41" s="549"/>
      <c r="OUP41" s="549"/>
      <c r="OUQ41" s="549"/>
      <c r="OUR41" s="549"/>
      <c r="OUS41" s="549"/>
      <c r="OUT41" s="549"/>
      <c r="OUU41" s="549"/>
      <c r="OUV41" s="549"/>
      <c r="OUW41" s="549"/>
      <c r="OUX41" s="549"/>
      <c r="OUY41" s="549"/>
      <c r="OUZ41" s="549"/>
      <c r="OVA41" s="549"/>
      <c r="OVB41" s="549"/>
      <c r="OVC41" s="549"/>
      <c r="OVD41" s="549"/>
      <c r="OVE41" s="549"/>
      <c r="OVF41" s="549"/>
      <c r="OVG41" s="549"/>
      <c r="OVH41" s="549"/>
      <c r="OVI41" s="549"/>
      <c r="OVJ41" s="549"/>
      <c r="OVK41" s="549"/>
      <c r="OVL41" s="549"/>
      <c r="OVM41" s="549"/>
      <c r="OVN41" s="549"/>
      <c r="OVO41" s="549"/>
      <c r="OVP41" s="549"/>
      <c r="OVQ41" s="549"/>
      <c r="OVR41" s="549"/>
      <c r="OVS41" s="549"/>
      <c r="OVT41" s="549"/>
      <c r="OVU41" s="549"/>
      <c r="OVV41" s="549"/>
      <c r="OVW41" s="549"/>
      <c r="OVX41" s="549"/>
      <c r="OVY41" s="549"/>
      <c r="OVZ41" s="549"/>
      <c r="OWA41" s="549"/>
      <c r="OWB41" s="549"/>
      <c r="OWC41" s="549"/>
      <c r="OWD41" s="549"/>
      <c r="OWE41" s="549"/>
      <c r="OWF41" s="549"/>
      <c r="OWG41" s="549"/>
      <c r="OWH41" s="549"/>
      <c r="OWI41" s="549"/>
      <c r="OWJ41" s="549"/>
      <c r="OWK41" s="549"/>
      <c r="OWL41" s="549"/>
      <c r="OWM41" s="549"/>
      <c r="OWN41" s="549"/>
      <c r="OWO41" s="549"/>
      <c r="OWP41" s="549"/>
      <c r="OWQ41" s="549"/>
      <c r="OWR41" s="549"/>
      <c r="OWS41" s="549"/>
      <c r="OWT41" s="549"/>
      <c r="OWU41" s="549"/>
      <c r="OWV41" s="549"/>
      <c r="OWW41" s="549"/>
      <c r="OWX41" s="549"/>
      <c r="OWY41" s="549"/>
      <c r="OWZ41" s="549"/>
      <c r="OXA41" s="549"/>
      <c r="OXB41" s="549"/>
      <c r="OXC41" s="549"/>
      <c r="OXD41" s="549"/>
      <c r="OXE41" s="549"/>
      <c r="OXF41" s="549"/>
      <c r="OXG41" s="549"/>
      <c r="OXH41" s="549"/>
      <c r="OXI41" s="549"/>
      <c r="OXJ41" s="549"/>
      <c r="OXK41" s="549"/>
      <c r="OXL41" s="549"/>
      <c r="OXM41" s="549"/>
      <c r="OXN41" s="549"/>
      <c r="OXO41" s="549"/>
      <c r="OXP41" s="549"/>
      <c r="OXQ41" s="549"/>
      <c r="OXR41" s="549"/>
      <c r="OXS41" s="549"/>
      <c r="OXT41" s="549"/>
      <c r="OXU41" s="549"/>
      <c r="OXV41" s="549"/>
      <c r="OXW41" s="549"/>
      <c r="OXX41" s="549"/>
      <c r="OXY41" s="549"/>
      <c r="OXZ41" s="549"/>
      <c r="OYA41" s="549"/>
      <c r="OYB41" s="549"/>
      <c r="OYC41" s="549"/>
      <c r="OYD41" s="549"/>
      <c r="OYE41" s="549"/>
      <c r="OYF41" s="549"/>
      <c r="OYG41" s="549"/>
      <c r="OYH41" s="549"/>
      <c r="OYI41" s="549"/>
      <c r="OYJ41" s="549"/>
      <c r="OYK41" s="549"/>
      <c r="OYL41" s="549"/>
      <c r="OYM41" s="549"/>
      <c r="OYN41" s="549"/>
      <c r="OYO41" s="549"/>
      <c r="OYP41" s="549"/>
      <c r="OYQ41" s="549"/>
      <c r="OYR41" s="549"/>
      <c r="OYS41" s="549"/>
      <c r="OYT41" s="549"/>
      <c r="OYU41" s="549"/>
      <c r="OYV41" s="549"/>
      <c r="OYW41" s="549"/>
      <c r="OYX41" s="549"/>
      <c r="OYY41" s="549"/>
      <c r="OYZ41" s="549"/>
      <c r="OZA41" s="549"/>
      <c r="OZB41" s="549"/>
      <c r="OZC41" s="549"/>
      <c r="OZD41" s="549"/>
      <c r="OZE41" s="549"/>
      <c r="OZF41" s="549"/>
      <c r="OZG41" s="549"/>
      <c r="OZH41" s="549"/>
      <c r="OZI41" s="549"/>
      <c r="OZJ41" s="549"/>
      <c r="OZK41" s="549"/>
      <c r="OZL41" s="549"/>
      <c r="OZM41" s="549"/>
      <c r="OZN41" s="549"/>
      <c r="OZO41" s="549"/>
      <c r="OZP41" s="549"/>
      <c r="OZQ41" s="549"/>
      <c r="OZR41" s="549"/>
      <c r="OZS41" s="549"/>
      <c r="OZT41" s="549"/>
      <c r="OZU41" s="549"/>
      <c r="OZV41" s="549"/>
      <c r="OZW41" s="549"/>
      <c r="OZX41" s="549"/>
      <c r="OZY41" s="549"/>
      <c r="OZZ41" s="549"/>
      <c r="PAA41" s="549"/>
      <c r="PAB41" s="549"/>
      <c r="PAC41" s="549"/>
      <c r="PAD41" s="549"/>
      <c r="PAE41" s="549"/>
      <c r="PAF41" s="549"/>
      <c r="PAG41" s="549"/>
      <c r="PAH41" s="549"/>
      <c r="PAI41" s="549"/>
      <c r="PAJ41" s="549"/>
      <c r="PAK41" s="549"/>
      <c r="PAL41" s="549"/>
      <c r="PAM41" s="549"/>
      <c r="PAN41" s="549"/>
      <c r="PAO41" s="549"/>
      <c r="PAP41" s="549"/>
      <c r="PAQ41" s="549"/>
      <c r="PAR41" s="549"/>
      <c r="PAS41" s="549"/>
      <c r="PAT41" s="549"/>
      <c r="PAU41" s="549"/>
      <c r="PAV41" s="549"/>
      <c r="PAW41" s="549"/>
      <c r="PAX41" s="549"/>
      <c r="PAY41" s="549"/>
      <c r="PAZ41" s="549"/>
      <c r="PBA41" s="549"/>
      <c r="PBB41" s="549"/>
      <c r="PBC41" s="549"/>
      <c r="PBD41" s="549"/>
      <c r="PBE41" s="549"/>
      <c r="PBF41" s="549"/>
      <c r="PBG41" s="549"/>
      <c r="PBH41" s="549"/>
      <c r="PBI41" s="549"/>
      <c r="PBJ41" s="549"/>
      <c r="PBK41" s="549"/>
      <c r="PBL41" s="549"/>
      <c r="PBM41" s="549"/>
      <c r="PBN41" s="549"/>
      <c r="PBO41" s="549"/>
      <c r="PBP41" s="549"/>
      <c r="PBQ41" s="549"/>
      <c r="PBR41" s="549"/>
      <c r="PBS41" s="549"/>
      <c r="PBT41" s="549"/>
      <c r="PBU41" s="549"/>
      <c r="PBV41" s="549"/>
      <c r="PBW41" s="549"/>
      <c r="PBX41" s="549"/>
      <c r="PBY41" s="549"/>
      <c r="PBZ41" s="549"/>
      <c r="PCA41" s="549"/>
      <c r="PCB41" s="549"/>
      <c r="PCC41" s="549"/>
      <c r="PCD41" s="549"/>
      <c r="PCE41" s="549"/>
      <c r="PCF41" s="549"/>
      <c r="PCG41" s="549"/>
      <c r="PCH41" s="549"/>
      <c r="PCI41" s="549"/>
      <c r="PCJ41" s="549"/>
      <c r="PCK41" s="549"/>
      <c r="PCL41" s="549"/>
      <c r="PCM41" s="549"/>
      <c r="PCN41" s="549"/>
      <c r="PCO41" s="549"/>
      <c r="PCP41" s="549"/>
      <c r="PCQ41" s="549"/>
      <c r="PCR41" s="549"/>
      <c r="PCS41" s="549"/>
      <c r="PCT41" s="549"/>
      <c r="PCU41" s="549"/>
      <c r="PCV41" s="549"/>
      <c r="PCW41" s="549"/>
      <c r="PCX41" s="549"/>
      <c r="PCY41" s="549"/>
      <c r="PCZ41" s="549"/>
      <c r="PDA41" s="549"/>
      <c r="PDB41" s="549"/>
      <c r="PDC41" s="549"/>
      <c r="PDD41" s="549"/>
      <c r="PDE41" s="549"/>
      <c r="PDF41" s="549"/>
      <c r="PDG41" s="549"/>
      <c r="PDH41" s="549"/>
      <c r="PDI41" s="549"/>
      <c r="PDJ41" s="549"/>
      <c r="PDK41" s="549"/>
      <c r="PDL41" s="549"/>
      <c r="PDM41" s="549"/>
      <c r="PDN41" s="549"/>
      <c r="PDO41" s="549"/>
      <c r="PDP41" s="549"/>
      <c r="PDQ41" s="549"/>
      <c r="PDR41" s="549"/>
      <c r="PDS41" s="549"/>
      <c r="PDT41" s="549"/>
      <c r="PDU41" s="549"/>
      <c r="PDV41" s="549"/>
      <c r="PDW41" s="549"/>
      <c r="PDX41" s="549"/>
      <c r="PDY41" s="549"/>
      <c r="PDZ41" s="549"/>
      <c r="PEA41" s="549"/>
      <c r="PEB41" s="549"/>
      <c r="PEC41" s="549"/>
      <c r="PED41" s="549"/>
      <c r="PEE41" s="549"/>
      <c r="PEF41" s="549"/>
      <c r="PEG41" s="549"/>
      <c r="PEH41" s="549"/>
      <c r="PEI41" s="549"/>
      <c r="PEJ41" s="549"/>
      <c r="PEK41" s="549"/>
      <c r="PEL41" s="549"/>
      <c r="PEM41" s="549"/>
      <c r="PEN41" s="549"/>
      <c r="PEO41" s="549"/>
      <c r="PEP41" s="549"/>
      <c r="PEQ41" s="549"/>
      <c r="PER41" s="549"/>
      <c r="PES41" s="549"/>
      <c r="PET41" s="549"/>
      <c r="PEU41" s="549"/>
      <c r="PEV41" s="549"/>
      <c r="PEW41" s="549"/>
      <c r="PEX41" s="549"/>
      <c r="PEY41" s="549"/>
      <c r="PEZ41" s="549"/>
      <c r="PFA41" s="549"/>
      <c r="PFB41" s="549"/>
      <c r="PFC41" s="549"/>
      <c r="PFD41" s="549"/>
      <c r="PFE41" s="549"/>
      <c r="PFF41" s="549"/>
      <c r="PFG41" s="549"/>
      <c r="PFH41" s="549"/>
      <c r="PFI41" s="549"/>
      <c r="PFJ41" s="549"/>
      <c r="PFK41" s="549"/>
      <c r="PFL41" s="549"/>
      <c r="PFM41" s="549"/>
      <c r="PFN41" s="549"/>
      <c r="PFO41" s="549"/>
      <c r="PFP41" s="549"/>
      <c r="PFQ41" s="549"/>
      <c r="PFR41" s="549"/>
      <c r="PFS41" s="549"/>
      <c r="PFT41" s="549"/>
      <c r="PFU41" s="549"/>
      <c r="PFV41" s="549"/>
      <c r="PFW41" s="549"/>
      <c r="PFX41" s="549"/>
      <c r="PFY41" s="549"/>
      <c r="PFZ41" s="549"/>
      <c r="PGA41" s="549"/>
      <c r="PGB41" s="549"/>
      <c r="PGC41" s="549"/>
      <c r="PGD41" s="549"/>
      <c r="PGE41" s="549"/>
      <c r="PGF41" s="549"/>
      <c r="PGG41" s="549"/>
      <c r="PGH41" s="549"/>
      <c r="PGI41" s="549"/>
      <c r="PGJ41" s="549"/>
      <c r="PGK41" s="549"/>
      <c r="PGL41" s="549"/>
      <c r="PGM41" s="549"/>
      <c r="PGN41" s="549"/>
      <c r="PGO41" s="549"/>
      <c r="PGP41" s="549"/>
      <c r="PGQ41" s="549"/>
      <c r="PGR41" s="549"/>
      <c r="PGS41" s="549"/>
      <c r="PGT41" s="549"/>
      <c r="PGU41" s="549"/>
      <c r="PGV41" s="549"/>
      <c r="PGW41" s="549"/>
      <c r="PGX41" s="549"/>
      <c r="PGY41" s="549"/>
      <c r="PGZ41" s="549"/>
      <c r="PHA41" s="549"/>
      <c r="PHB41" s="549"/>
      <c r="PHC41" s="549"/>
      <c r="PHD41" s="549"/>
      <c r="PHE41" s="549"/>
      <c r="PHF41" s="549"/>
      <c r="PHG41" s="549"/>
      <c r="PHH41" s="549"/>
      <c r="PHI41" s="549"/>
      <c r="PHJ41" s="549"/>
      <c r="PHK41" s="549"/>
      <c r="PHL41" s="549"/>
      <c r="PHM41" s="549"/>
      <c r="PHN41" s="549"/>
      <c r="PHO41" s="549"/>
      <c r="PHP41" s="549"/>
      <c r="PHQ41" s="549"/>
      <c r="PHR41" s="549"/>
      <c r="PHS41" s="549"/>
      <c r="PHT41" s="549"/>
      <c r="PHU41" s="549"/>
      <c r="PHV41" s="549"/>
      <c r="PHW41" s="549"/>
      <c r="PHX41" s="549"/>
      <c r="PHY41" s="549"/>
      <c r="PHZ41" s="549"/>
      <c r="PIA41" s="549"/>
      <c r="PIB41" s="549"/>
      <c r="PIC41" s="549"/>
      <c r="PID41" s="549"/>
      <c r="PIE41" s="549"/>
      <c r="PIF41" s="549"/>
      <c r="PIG41" s="549"/>
      <c r="PIH41" s="549"/>
      <c r="PII41" s="549"/>
      <c r="PIJ41" s="549"/>
      <c r="PIK41" s="549"/>
      <c r="PIL41" s="549"/>
      <c r="PIM41" s="549"/>
      <c r="PIN41" s="549"/>
      <c r="PIO41" s="549"/>
      <c r="PIP41" s="549"/>
      <c r="PIQ41" s="549"/>
      <c r="PIR41" s="549"/>
      <c r="PIS41" s="549"/>
      <c r="PIT41" s="549"/>
      <c r="PIU41" s="549"/>
      <c r="PIV41" s="549"/>
      <c r="PIW41" s="549"/>
      <c r="PIX41" s="549"/>
      <c r="PIY41" s="549"/>
      <c r="PIZ41" s="549"/>
      <c r="PJA41" s="549"/>
      <c r="PJB41" s="549"/>
      <c r="PJC41" s="549"/>
      <c r="PJD41" s="549"/>
      <c r="PJE41" s="549"/>
      <c r="PJF41" s="549"/>
      <c r="PJG41" s="549"/>
      <c r="PJH41" s="549"/>
      <c r="PJI41" s="549"/>
      <c r="PJJ41" s="549"/>
      <c r="PJK41" s="549"/>
      <c r="PJL41" s="549"/>
      <c r="PJM41" s="549"/>
      <c r="PJN41" s="549"/>
      <c r="PJO41" s="549"/>
      <c r="PJP41" s="549"/>
      <c r="PJQ41" s="549"/>
      <c r="PJR41" s="549"/>
      <c r="PJS41" s="549"/>
      <c r="PJT41" s="549"/>
      <c r="PJU41" s="549"/>
      <c r="PJV41" s="549"/>
      <c r="PJW41" s="549"/>
      <c r="PJX41" s="549"/>
      <c r="PJY41" s="549"/>
      <c r="PJZ41" s="549"/>
      <c r="PKA41" s="549"/>
      <c r="PKB41" s="549"/>
      <c r="PKC41" s="549"/>
      <c r="PKD41" s="549"/>
      <c r="PKE41" s="549"/>
      <c r="PKF41" s="549"/>
      <c r="PKG41" s="549"/>
      <c r="PKH41" s="549"/>
      <c r="PKI41" s="549"/>
      <c r="PKJ41" s="549"/>
      <c r="PKK41" s="549"/>
      <c r="PKL41" s="549"/>
      <c r="PKM41" s="549"/>
      <c r="PKN41" s="549"/>
      <c r="PKO41" s="549"/>
      <c r="PKP41" s="549"/>
      <c r="PKQ41" s="549"/>
      <c r="PKR41" s="549"/>
      <c r="PKS41" s="549"/>
      <c r="PKT41" s="549"/>
      <c r="PKU41" s="549"/>
      <c r="PKV41" s="549"/>
      <c r="PKW41" s="549"/>
      <c r="PKX41" s="549"/>
      <c r="PKY41" s="549"/>
      <c r="PKZ41" s="549"/>
      <c r="PLA41" s="549"/>
      <c r="PLB41" s="549"/>
      <c r="PLC41" s="549"/>
      <c r="PLD41" s="549"/>
      <c r="PLE41" s="549"/>
      <c r="PLF41" s="549"/>
      <c r="PLG41" s="549"/>
      <c r="PLH41" s="549"/>
      <c r="PLI41" s="549"/>
      <c r="PLJ41" s="549"/>
      <c r="PLK41" s="549"/>
      <c r="PLL41" s="549"/>
      <c r="PLM41" s="549"/>
      <c r="PLN41" s="549"/>
      <c r="PLO41" s="549"/>
      <c r="PLP41" s="549"/>
      <c r="PLQ41" s="549"/>
      <c r="PLR41" s="549"/>
      <c r="PLS41" s="549"/>
      <c r="PLT41" s="549"/>
      <c r="PLU41" s="549"/>
      <c r="PLV41" s="549"/>
      <c r="PLW41" s="549"/>
      <c r="PLX41" s="549"/>
      <c r="PLY41" s="549"/>
      <c r="PLZ41" s="549"/>
      <c r="PMA41" s="549"/>
      <c r="PMB41" s="549"/>
      <c r="PMC41" s="549"/>
      <c r="PMD41" s="549"/>
      <c r="PME41" s="549"/>
      <c r="PMF41" s="549"/>
      <c r="PMG41" s="549"/>
      <c r="PMH41" s="549"/>
      <c r="PMI41" s="549"/>
      <c r="PMJ41" s="549"/>
      <c r="PMK41" s="549"/>
      <c r="PML41" s="549"/>
      <c r="PMM41" s="549"/>
      <c r="PMN41" s="549"/>
      <c r="PMO41" s="549"/>
      <c r="PMP41" s="549"/>
      <c r="PMQ41" s="549"/>
      <c r="PMR41" s="549"/>
      <c r="PMS41" s="549"/>
      <c r="PMT41" s="549"/>
      <c r="PMU41" s="549"/>
      <c r="PMV41" s="549"/>
      <c r="PMW41" s="549"/>
      <c r="PMX41" s="549"/>
      <c r="PMY41" s="549"/>
      <c r="PMZ41" s="549"/>
      <c r="PNA41" s="549"/>
      <c r="PNB41" s="549"/>
      <c r="PNC41" s="549"/>
      <c r="PND41" s="549"/>
      <c r="PNE41" s="549"/>
      <c r="PNF41" s="549"/>
      <c r="PNG41" s="549"/>
      <c r="PNH41" s="549"/>
      <c r="PNI41" s="549"/>
      <c r="PNJ41" s="549"/>
      <c r="PNK41" s="549"/>
      <c r="PNL41" s="549"/>
      <c r="PNM41" s="549"/>
      <c r="PNN41" s="549"/>
      <c r="PNO41" s="549"/>
      <c r="PNP41" s="549"/>
      <c r="PNQ41" s="549"/>
      <c r="PNR41" s="549"/>
      <c r="PNS41" s="549"/>
      <c r="PNT41" s="549"/>
      <c r="PNU41" s="549"/>
      <c r="PNV41" s="549"/>
      <c r="PNW41" s="549"/>
      <c r="PNX41" s="549"/>
      <c r="PNY41" s="549"/>
      <c r="PNZ41" s="549"/>
      <c r="POA41" s="549"/>
      <c r="POB41" s="549"/>
      <c r="POC41" s="549"/>
      <c r="POD41" s="549"/>
      <c r="POE41" s="549"/>
      <c r="POF41" s="549"/>
      <c r="POG41" s="549"/>
      <c r="POH41" s="549"/>
      <c r="POI41" s="549"/>
      <c r="POJ41" s="549"/>
      <c r="POK41" s="549"/>
      <c r="POL41" s="549"/>
      <c r="POM41" s="549"/>
      <c r="PON41" s="549"/>
      <c r="POO41" s="549"/>
      <c r="POP41" s="549"/>
      <c r="POQ41" s="549"/>
      <c r="POR41" s="549"/>
      <c r="POS41" s="549"/>
      <c r="POT41" s="549"/>
      <c r="POU41" s="549"/>
      <c r="POV41" s="549"/>
      <c r="POW41" s="549"/>
      <c r="POX41" s="549"/>
      <c r="POY41" s="549"/>
      <c r="POZ41" s="549"/>
      <c r="PPA41" s="549"/>
      <c r="PPB41" s="549"/>
      <c r="PPC41" s="549"/>
      <c r="PPD41" s="549"/>
      <c r="PPE41" s="549"/>
      <c r="PPF41" s="549"/>
      <c r="PPG41" s="549"/>
      <c r="PPH41" s="549"/>
      <c r="PPI41" s="549"/>
      <c r="PPJ41" s="549"/>
      <c r="PPK41" s="549"/>
      <c r="PPL41" s="549"/>
      <c r="PPM41" s="549"/>
      <c r="PPN41" s="549"/>
      <c r="PPO41" s="549"/>
      <c r="PPP41" s="549"/>
      <c r="PPQ41" s="549"/>
      <c r="PPR41" s="549"/>
      <c r="PPS41" s="549"/>
      <c r="PPT41" s="549"/>
      <c r="PPU41" s="549"/>
      <c r="PPV41" s="549"/>
      <c r="PPW41" s="549"/>
      <c r="PPX41" s="549"/>
      <c r="PPY41" s="549"/>
      <c r="PPZ41" s="549"/>
      <c r="PQA41" s="549"/>
      <c r="PQB41" s="549"/>
      <c r="PQC41" s="549"/>
      <c r="PQD41" s="549"/>
      <c r="PQE41" s="549"/>
      <c r="PQF41" s="549"/>
      <c r="PQG41" s="549"/>
      <c r="PQH41" s="549"/>
      <c r="PQI41" s="549"/>
      <c r="PQJ41" s="549"/>
      <c r="PQK41" s="549"/>
      <c r="PQL41" s="549"/>
      <c r="PQM41" s="549"/>
      <c r="PQN41" s="549"/>
      <c r="PQO41" s="549"/>
      <c r="PQP41" s="549"/>
      <c r="PQQ41" s="549"/>
      <c r="PQR41" s="549"/>
      <c r="PQS41" s="549"/>
      <c r="PQT41" s="549"/>
      <c r="PQU41" s="549"/>
      <c r="PQV41" s="549"/>
      <c r="PQW41" s="549"/>
      <c r="PQX41" s="549"/>
      <c r="PQY41" s="549"/>
      <c r="PQZ41" s="549"/>
      <c r="PRA41" s="549"/>
      <c r="PRB41" s="549"/>
      <c r="PRC41" s="549"/>
      <c r="PRD41" s="549"/>
      <c r="PRE41" s="549"/>
      <c r="PRF41" s="549"/>
      <c r="PRG41" s="549"/>
      <c r="PRH41" s="549"/>
      <c r="PRI41" s="549"/>
      <c r="PRJ41" s="549"/>
      <c r="PRK41" s="549"/>
      <c r="PRL41" s="549"/>
      <c r="PRM41" s="549"/>
      <c r="PRN41" s="549"/>
      <c r="PRO41" s="549"/>
      <c r="PRP41" s="549"/>
      <c r="PRQ41" s="549"/>
      <c r="PRR41" s="549"/>
      <c r="PRS41" s="549"/>
      <c r="PRT41" s="549"/>
      <c r="PRU41" s="549"/>
      <c r="PRV41" s="549"/>
      <c r="PRW41" s="549"/>
      <c r="PRX41" s="549"/>
      <c r="PRY41" s="549"/>
      <c r="PRZ41" s="549"/>
      <c r="PSA41" s="549"/>
      <c r="PSB41" s="549"/>
      <c r="PSC41" s="549"/>
      <c r="PSD41" s="549"/>
      <c r="PSE41" s="549"/>
      <c r="PSF41" s="549"/>
      <c r="PSG41" s="549"/>
      <c r="PSH41" s="549"/>
      <c r="PSI41" s="549"/>
      <c r="PSJ41" s="549"/>
      <c r="PSK41" s="549"/>
      <c r="PSL41" s="549"/>
      <c r="PSM41" s="549"/>
      <c r="PSN41" s="549"/>
      <c r="PSO41" s="549"/>
      <c r="PSP41" s="549"/>
      <c r="PSQ41" s="549"/>
      <c r="PSR41" s="549"/>
      <c r="PSS41" s="549"/>
      <c r="PST41" s="549"/>
      <c r="PSU41" s="549"/>
      <c r="PSV41" s="549"/>
      <c r="PSW41" s="549"/>
      <c r="PSX41" s="549"/>
      <c r="PSY41" s="549"/>
      <c r="PSZ41" s="549"/>
      <c r="PTA41" s="549"/>
      <c r="PTB41" s="549"/>
      <c r="PTC41" s="549"/>
      <c r="PTD41" s="549"/>
      <c r="PTE41" s="549"/>
      <c r="PTF41" s="549"/>
      <c r="PTG41" s="549"/>
      <c r="PTH41" s="549"/>
      <c r="PTI41" s="549"/>
      <c r="PTJ41" s="549"/>
      <c r="PTK41" s="549"/>
      <c r="PTL41" s="549"/>
      <c r="PTM41" s="549"/>
      <c r="PTN41" s="549"/>
      <c r="PTO41" s="549"/>
      <c r="PTP41" s="549"/>
      <c r="PTQ41" s="549"/>
      <c r="PTR41" s="549"/>
      <c r="PTS41" s="549"/>
      <c r="PTT41" s="549"/>
      <c r="PTU41" s="549"/>
      <c r="PTV41" s="549"/>
      <c r="PTW41" s="549"/>
      <c r="PTX41" s="549"/>
      <c r="PTY41" s="549"/>
      <c r="PTZ41" s="549"/>
      <c r="PUA41" s="549"/>
      <c r="PUB41" s="549"/>
      <c r="PUC41" s="549"/>
      <c r="PUD41" s="549"/>
      <c r="PUE41" s="549"/>
      <c r="PUF41" s="549"/>
      <c r="PUG41" s="549"/>
      <c r="PUH41" s="549"/>
      <c r="PUI41" s="549"/>
      <c r="PUJ41" s="549"/>
      <c r="PUK41" s="549"/>
      <c r="PUL41" s="549"/>
      <c r="PUM41" s="549"/>
      <c r="PUN41" s="549"/>
      <c r="PUO41" s="549"/>
      <c r="PUP41" s="549"/>
      <c r="PUQ41" s="549"/>
      <c r="PUR41" s="549"/>
      <c r="PUS41" s="549"/>
      <c r="PUT41" s="549"/>
      <c r="PUU41" s="549"/>
      <c r="PUV41" s="549"/>
      <c r="PUW41" s="549"/>
      <c r="PUX41" s="549"/>
      <c r="PUY41" s="549"/>
      <c r="PUZ41" s="549"/>
      <c r="PVA41" s="549"/>
      <c r="PVB41" s="549"/>
      <c r="PVC41" s="549"/>
      <c r="PVD41" s="549"/>
      <c r="PVE41" s="549"/>
      <c r="PVF41" s="549"/>
      <c r="PVG41" s="549"/>
      <c r="PVH41" s="549"/>
      <c r="PVI41" s="549"/>
      <c r="PVJ41" s="549"/>
      <c r="PVK41" s="549"/>
      <c r="PVL41" s="549"/>
      <c r="PVM41" s="549"/>
      <c r="PVN41" s="549"/>
      <c r="PVO41" s="549"/>
      <c r="PVP41" s="549"/>
      <c r="PVQ41" s="549"/>
      <c r="PVR41" s="549"/>
      <c r="PVS41" s="549"/>
      <c r="PVT41" s="549"/>
      <c r="PVU41" s="549"/>
      <c r="PVV41" s="549"/>
      <c r="PVW41" s="549"/>
      <c r="PVX41" s="549"/>
      <c r="PVY41" s="549"/>
      <c r="PVZ41" s="549"/>
      <c r="PWA41" s="549"/>
      <c r="PWB41" s="549"/>
      <c r="PWC41" s="549"/>
      <c r="PWD41" s="549"/>
      <c r="PWE41" s="549"/>
      <c r="PWF41" s="549"/>
      <c r="PWG41" s="549"/>
      <c r="PWH41" s="549"/>
      <c r="PWI41" s="549"/>
      <c r="PWJ41" s="549"/>
      <c r="PWK41" s="549"/>
      <c r="PWL41" s="549"/>
      <c r="PWM41" s="549"/>
      <c r="PWN41" s="549"/>
      <c r="PWO41" s="549"/>
      <c r="PWP41" s="549"/>
      <c r="PWQ41" s="549"/>
      <c r="PWR41" s="549"/>
      <c r="PWS41" s="549"/>
      <c r="PWT41" s="549"/>
      <c r="PWU41" s="549"/>
      <c r="PWV41" s="549"/>
      <c r="PWW41" s="549"/>
      <c r="PWX41" s="549"/>
      <c r="PWY41" s="549"/>
      <c r="PWZ41" s="549"/>
      <c r="PXA41" s="549"/>
      <c r="PXB41" s="549"/>
      <c r="PXC41" s="549"/>
      <c r="PXD41" s="549"/>
      <c r="PXE41" s="549"/>
      <c r="PXF41" s="549"/>
      <c r="PXG41" s="549"/>
      <c r="PXH41" s="549"/>
      <c r="PXI41" s="549"/>
      <c r="PXJ41" s="549"/>
      <c r="PXK41" s="549"/>
      <c r="PXL41" s="549"/>
      <c r="PXM41" s="549"/>
      <c r="PXN41" s="549"/>
      <c r="PXO41" s="549"/>
      <c r="PXP41" s="549"/>
      <c r="PXQ41" s="549"/>
      <c r="PXR41" s="549"/>
      <c r="PXS41" s="549"/>
      <c r="PXT41" s="549"/>
      <c r="PXU41" s="549"/>
      <c r="PXV41" s="549"/>
      <c r="PXW41" s="549"/>
      <c r="PXX41" s="549"/>
      <c r="PXY41" s="549"/>
      <c r="PXZ41" s="549"/>
      <c r="PYA41" s="549"/>
      <c r="PYB41" s="549"/>
      <c r="PYC41" s="549"/>
      <c r="PYD41" s="549"/>
      <c r="PYE41" s="549"/>
      <c r="PYF41" s="549"/>
      <c r="PYG41" s="549"/>
      <c r="PYH41" s="549"/>
      <c r="PYI41" s="549"/>
      <c r="PYJ41" s="549"/>
      <c r="PYK41" s="549"/>
      <c r="PYL41" s="549"/>
      <c r="PYM41" s="549"/>
      <c r="PYN41" s="549"/>
      <c r="PYO41" s="549"/>
      <c r="PYP41" s="549"/>
      <c r="PYQ41" s="549"/>
      <c r="PYR41" s="549"/>
      <c r="PYS41" s="549"/>
      <c r="PYT41" s="549"/>
      <c r="PYU41" s="549"/>
      <c r="PYV41" s="549"/>
      <c r="PYW41" s="549"/>
      <c r="PYX41" s="549"/>
      <c r="PYY41" s="549"/>
      <c r="PYZ41" s="549"/>
      <c r="PZA41" s="549"/>
      <c r="PZB41" s="549"/>
      <c r="PZC41" s="549"/>
      <c r="PZD41" s="549"/>
      <c r="PZE41" s="549"/>
      <c r="PZF41" s="549"/>
      <c r="PZG41" s="549"/>
      <c r="PZH41" s="549"/>
      <c r="PZI41" s="549"/>
      <c r="PZJ41" s="549"/>
      <c r="PZK41" s="549"/>
      <c r="PZL41" s="549"/>
      <c r="PZM41" s="549"/>
      <c r="PZN41" s="549"/>
      <c r="PZO41" s="549"/>
      <c r="PZP41" s="549"/>
      <c r="PZQ41" s="549"/>
      <c r="PZR41" s="549"/>
      <c r="PZS41" s="549"/>
      <c r="PZT41" s="549"/>
      <c r="PZU41" s="549"/>
      <c r="PZV41" s="549"/>
      <c r="PZW41" s="549"/>
      <c r="PZX41" s="549"/>
      <c r="PZY41" s="549"/>
      <c r="PZZ41" s="549"/>
      <c r="QAA41" s="549"/>
      <c r="QAB41" s="549"/>
      <c r="QAC41" s="549"/>
      <c r="QAD41" s="549"/>
      <c r="QAE41" s="549"/>
      <c r="QAF41" s="549"/>
      <c r="QAG41" s="549"/>
      <c r="QAH41" s="549"/>
      <c r="QAI41" s="549"/>
      <c r="QAJ41" s="549"/>
      <c r="QAK41" s="549"/>
      <c r="QAL41" s="549"/>
      <c r="QAM41" s="549"/>
      <c r="QAN41" s="549"/>
      <c r="QAO41" s="549"/>
      <c r="QAP41" s="549"/>
      <c r="QAQ41" s="549"/>
      <c r="QAR41" s="549"/>
      <c r="QAS41" s="549"/>
      <c r="QAT41" s="549"/>
      <c r="QAU41" s="549"/>
      <c r="QAV41" s="549"/>
      <c r="QAW41" s="549"/>
      <c r="QAX41" s="549"/>
      <c r="QAY41" s="549"/>
      <c r="QAZ41" s="549"/>
      <c r="QBA41" s="549"/>
      <c r="QBB41" s="549"/>
      <c r="QBC41" s="549"/>
      <c r="QBD41" s="549"/>
      <c r="QBE41" s="549"/>
      <c r="QBF41" s="549"/>
      <c r="QBG41" s="549"/>
      <c r="QBH41" s="549"/>
      <c r="QBI41" s="549"/>
      <c r="QBJ41" s="549"/>
      <c r="QBK41" s="549"/>
      <c r="QBL41" s="549"/>
      <c r="QBM41" s="549"/>
      <c r="QBN41" s="549"/>
      <c r="QBO41" s="549"/>
      <c r="QBP41" s="549"/>
      <c r="QBQ41" s="549"/>
      <c r="QBR41" s="549"/>
      <c r="QBS41" s="549"/>
      <c r="QBT41" s="549"/>
      <c r="QBU41" s="549"/>
      <c r="QBV41" s="549"/>
      <c r="QBW41" s="549"/>
      <c r="QBX41" s="549"/>
      <c r="QBY41" s="549"/>
      <c r="QBZ41" s="549"/>
      <c r="QCA41" s="549"/>
      <c r="QCB41" s="549"/>
      <c r="QCC41" s="549"/>
      <c r="QCD41" s="549"/>
      <c r="QCE41" s="549"/>
      <c r="QCF41" s="549"/>
      <c r="QCG41" s="549"/>
      <c r="QCH41" s="549"/>
      <c r="QCI41" s="549"/>
      <c r="QCJ41" s="549"/>
      <c r="QCK41" s="549"/>
      <c r="QCL41" s="549"/>
      <c r="QCM41" s="549"/>
      <c r="QCN41" s="549"/>
      <c r="QCO41" s="549"/>
      <c r="QCP41" s="549"/>
      <c r="QCQ41" s="549"/>
      <c r="QCR41" s="549"/>
      <c r="QCS41" s="549"/>
      <c r="QCT41" s="549"/>
      <c r="QCU41" s="549"/>
      <c r="QCV41" s="549"/>
      <c r="QCW41" s="549"/>
      <c r="QCX41" s="549"/>
      <c r="QCY41" s="549"/>
      <c r="QCZ41" s="549"/>
      <c r="QDA41" s="549"/>
      <c r="QDB41" s="549"/>
      <c r="QDC41" s="549"/>
      <c r="QDD41" s="549"/>
      <c r="QDE41" s="549"/>
      <c r="QDF41" s="549"/>
      <c r="QDG41" s="549"/>
      <c r="QDH41" s="549"/>
      <c r="QDI41" s="549"/>
      <c r="QDJ41" s="549"/>
      <c r="QDK41" s="549"/>
      <c r="QDL41" s="549"/>
      <c r="QDM41" s="549"/>
      <c r="QDN41" s="549"/>
      <c r="QDO41" s="549"/>
      <c r="QDP41" s="549"/>
      <c r="QDQ41" s="549"/>
      <c r="QDR41" s="549"/>
      <c r="QDS41" s="549"/>
      <c r="QDT41" s="549"/>
      <c r="QDU41" s="549"/>
      <c r="QDV41" s="549"/>
      <c r="QDW41" s="549"/>
      <c r="QDX41" s="549"/>
      <c r="QDY41" s="549"/>
      <c r="QDZ41" s="549"/>
      <c r="QEA41" s="549"/>
      <c r="QEB41" s="549"/>
      <c r="QEC41" s="549"/>
      <c r="QED41" s="549"/>
      <c r="QEE41" s="549"/>
      <c r="QEF41" s="549"/>
      <c r="QEG41" s="549"/>
      <c r="QEH41" s="549"/>
      <c r="QEI41" s="549"/>
      <c r="QEJ41" s="549"/>
      <c r="QEK41" s="549"/>
      <c r="QEL41" s="549"/>
      <c r="QEM41" s="549"/>
      <c r="QEN41" s="549"/>
      <c r="QEO41" s="549"/>
      <c r="QEP41" s="549"/>
      <c r="QEQ41" s="549"/>
      <c r="QER41" s="549"/>
      <c r="QES41" s="549"/>
      <c r="QET41" s="549"/>
      <c r="QEU41" s="549"/>
      <c r="QEV41" s="549"/>
      <c r="QEW41" s="549"/>
      <c r="QEX41" s="549"/>
      <c r="QEY41" s="549"/>
      <c r="QEZ41" s="549"/>
      <c r="QFA41" s="549"/>
      <c r="QFB41" s="549"/>
      <c r="QFC41" s="549"/>
      <c r="QFD41" s="549"/>
      <c r="QFE41" s="549"/>
      <c r="QFF41" s="549"/>
      <c r="QFG41" s="549"/>
      <c r="QFH41" s="549"/>
      <c r="QFI41" s="549"/>
      <c r="QFJ41" s="549"/>
      <c r="QFK41" s="549"/>
      <c r="QFL41" s="549"/>
      <c r="QFM41" s="549"/>
      <c r="QFN41" s="549"/>
      <c r="QFO41" s="549"/>
      <c r="QFP41" s="549"/>
      <c r="QFQ41" s="549"/>
      <c r="QFR41" s="549"/>
      <c r="QFS41" s="549"/>
      <c r="QFT41" s="549"/>
      <c r="QFU41" s="549"/>
      <c r="QFV41" s="549"/>
      <c r="QFW41" s="549"/>
      <c r="QFX41" s="549"/>
      <c r="QFY41" s="549"/>
      <c r="QFZ41" s="549"/>
      <c r="QGA41" s="549"/>
      <c r="QGB41" s="549"/>
      <c r="QGC41" s="549"/>
      <c r="QGD41" s="549"/>
      <c r="QGE41" s="549"/>
      <c r="QGF41" s="549"/>
      <c r="QGG41" s="549"/>
      <c r="QGH41" s="549"/>
      <c r="QGI41" s="549"/>
      <c r="QGJ41" s="549"/>
      <c r="QGK41" s="549"/>
      <c r="QGL41" s="549"/>
      <c r="QGM41" s="549"/>
      <c r="QGN41" s="549"/>
      <c r="QGO41" s="549"/>
      <c r="QGP41" s="549"/>
      <c r="QGQ41" s="549"/>
      <c r="QGR41" s="549"/>
      <c r="QGS41" s="549"/>
      <c r="QGT41" s="549"/>
      <c r="QGU41" s="549"/>
      <c r="QGV41" s="549"/>
      <c r="QGW41" s="549"/>
      <c r="QGX41" s="549"/>
      <c r="QGY41" s="549"/>
      <c r="QGZ41" s="549"/>
      <c r="QHA41" s="549"/>
      <c r="QHB41" s="549"/>
      <c r="QHC41" s="549"/>
      <c r="QHD41" s="549"/>
      <c r="QHE41" s="549"/>
      <c r="QHF41" s="549"/>
      <c r="QHG41" s="549"/>
      <c r="QHH41" s="549"/>
      <c r="QHI41" s="549"/>
      <c r="QHJ41" s="549"/>
      <c r="QHK41" s="549"/>
      <c r="QHL41" s="549"/>
      <c r="QHM41" s="549"/>
      <c r="QHN41" s="549"/>
      <c r="QHO41" s="549"/>
      <c r="QHP41" s="549"/>
      <c r="QHQ41" s="549"/>
      <c r="QHR41" s="549"/>
      <c r="QHS41" s="549"/>
      <c r="QHT41" s="549"/>
      <c r="QHU41" s="549"/>
      <c r="QHV41" s="549"/>
      <c r="QHW41" s="549"/>
      <c r="QHX41" s="549"/>
      <c r="QHY41" s="549"/>
      <c r="QHZ41" s="549"/>
      <c r="QIA41" s="549"/>
      <c r="QIB41" s="549"/>
      <c r="QIC41" s="549"/>
      <c r="QID41" s="549"/>
      <c r="QIE41" s="549"/>
      <c r="QIF41" s="549"/>
      <c r="QIG41" s="549"/>
      <c r="QIH41" s="549"/>
      <c r="QII41" s="549"/>
      <c r="QIJ41" s="549"/>
      <c r="QIK41" s="549"/>
      <c r="QIL41" s="549"/>
      <c r="QIM41" s="549"/>
      <c r="QIN41" s="549"/>
      <c r="QIO41" s="549"/>
      <c r="QIP41" s="549"/>
      <c r="QIQ41" s="549"/>
      <c r="QIR41" s="549"/>
      <c r="QIS41" s="549"/>
      <c r="QIT41" s="549"/>
      <c r="QIU41" s="549"/>
      <c r="QIV41" s="549"/>
      <c r="QIW41" s="549"/>
      <c r="QIX41" s="549"/>
      <c r="QIY41" s="549"/>
      <c r="QIZ41" s="549"/>
      <c r="QJA41" s="549"/>
      <c r="QJB41" s="549"/>
      <c r="QJC41" s="549"/>
      <c r="QJD41" s="549"/>
      <c r="QJE41" s="549"/>
      <c r="QJF41" s="549"/>
      <c r="QJG41" s="549"/>
      <c r="QJH41" s="549"/>
      <c r="QJI41" s="549"/>
      <c r="QJJ41" s="549"/>
      <c r="QJK41" s="549"/>
      <c r="QJL41" s="549"/>
      <c r="QJM41" s="549"/>
      <c r="QJN41" s="549"/>
      <c r="QJO41" s="549"/>
      <c r="QJP41" s="549"/>
      <c r="QJQ41" s="549"/>
      <c r="QJR41" s="549"/>
      <c r="QJS41" s="549"/>
      <c r="QJT41" s="549"/>
      <c r="QJU41" s="549"/>
      <c r="QJV41" s="549"/>
      <c r="QJW41" s="549"/>
      <c r="QJX41" s="549"/>
      <c r="QJY41" s="549"/>
      <c r="QJZ41" s="549"/>
      <c r="QKA41" s="549"/>
      <c r="QKB41" s="549"/>
      <c r="QKC41" s="549"/>
      <c r="QKD41" s="549"/>
      <c r="QKE41" s="549"/>
      <c r="QKF41" s="549"/>
      <c r="QKG41" s="549"/>
      <c r="QKH41" s="549"/>
      <c r="QKI41" s="549"/>
      <c r="QKJ41" s="549"/>
      <c r="QKK41" s="549"/>
      <c r="QKL41" s="549"/>
      <c r="QKM41" s="549"/>
      <c r="QKN41" s="549"/>
      <c r="QKO41" s="549"/>
      <c r="QKP41" s="549"/>
      <c r="QKQ41" s="549"/>
      <c r="QKR41" s="549"/>
      <c r="QKS41" s="549"/>
      <c r="QKT41" s="549"/>
      <c r="QKU41" s="549"/>
      <c r="QKV41" s="549"/>
      <c r="QKW41" s="549"/>
      <c r="QKX41" s="549"/>
      <c r="QKY41" s="549"/>
      <c r="QKZ41" s="549"/>
      <c r="QLA41" s="549"/>
      <c r="QLB41" s="549"/>
      <c r="QLC41" s="549"/>
      <c r="QLD41" s="549"/>
      <c r="QLE41" s="549"/>
      <c r="QLF41" s="549"/>
      <c r="QLG41" s="549"/>
      <c r="QLH41" s="549"/>
      <c r="QLI41" s="549"/>
      <c r="QLJ41" s="549"/>
      <c r="QLK41" s="549"/>
      <c r="QLL41" s="549"/>
      <c r="QLM41" s="549"/>
      <c r="QLN41" s="549"/>
      <c r="QLO41" s="549"/>
      <c r="QLP41" s="549"/>
      <c r="QLQ41" s="549"/>
      <c r="QLR41" s="549"/>
      <c r="QLS41" s="549"/>
      <c r="QLT41" s="549"/>
      <c r="QLU41" s="549"/>
      <c r="QLV41" s="549"/>
      <c r="QLW41" s="549"/>
      <c r="QLX41" s="549"/>
      <c r="QLY41" s="549"/>
      <c r="QLZ41" s="549"/>
      <c r="QMA41" s="549"/>
      <c r="QMB41" s="549"/>
      <c r="QMC41" s="549"/>
      <c r="QMD41" s="549"/>
      <c r="QME41" s="549"/>
      <c r="QMF41" s="549"/>
      <c r="QMG41" s="549"/>
      <c r="QMH41" s="549"/>
      <c r="QMI41" s="549"/>
      <c r="QMJ41" s="549"/>
      <c r="QMK41" s="549"/>
      <c r="QML41" s="549"/>
      <c r="QMM41" s="549"/>
      <c r="QMN41" s="549"/>
      <c r="QMO41" s="549"/>
      <c r="QMP41" s="549"/>
      <c r="QMQ41" s="549"/>
      <c r="QMR41" s="549"/>
      <c r="QMS41" s="549"/>
      <c r="QMT41" s="549"/>
      <c r="QMU41" s="549"/>
      <c r="QMV41" s="549"/>
      <c r="QMW41" s="549"/>
      <c r="QMX41" s="549"/>
      <c r="QMY41" s="549"/>
      <c r="QMZ41" s="549"/>
      <c r="QNA41" s="549"/>
      <c r="QNB41" s="549"/>
      <c r="QNC41" s="549"/>
      <c r="QND41" s="549"/>
      <c r="QNE41" s="549"/>
      <c r="QNF41" s="549"/>
      <c r="QNG41" s="549"/>
      <c r="QNH41" s="549"/>
      <c r="QNI41" s="549"/>
      <c r="QNJ41" s="549"/>
      <c r="QNK41" s="549"/>
      <c r="QNL41" s="549"/>
      <c r="QNM41" s="549"/>
      <c r="QNN41" s="549"/>
      <c r="QNO41" s="549"/>
      <c r="QNP41" s="549"/>
      <c r="QNQ41" s="549"/>
      <c r="QNR41" s="549"/>
      <c r="QNS41" s="549"/>
      <c r="QNT41" s="549"/>
      <c r="QNU41" s="549"/>
      <c r="QNV41" s="549"/>
      <c r="QNW41" s="549"/>
      <c r="QNX41" s="549"/>
      <c r="QNY41" s="549"/>
      <c r="QNZ41" s="549"/>
      <c r="QOA41" s="549"/>
      <c r="QOB41" s="549"/>
      <c r="QOC41" s="549"/>
      <c r="QOD41" s="549"/>
      <c r="QOE41" s="549"/>
      <c r="QOF41" s="549"/>
      <c r="QOG41" s="549"/>
      <c r="QOH41" s="549"/>
      <c r="QOI41" s="549"/>
      <c r="QOJ41" s="549"/>
      <c r="QOK41" s="549"/>
      <c r="QOL41" s="549"/>
      <c r="QOM41" s="549"/>
      <c r="QON41" s="549"/>
      <c r="QOO41" s="549"/>
      <c r="QOP41" s="549"/>
      <c r="QOQ41" s="549"/>
      <c r="QOR41" s="549"/>
      <c r="QOS41" s="549"/>
      <c r="QOT41" s="549"/>
      <c r="QOU41" s="549"/>
      <c r="QOV41" s="549"/>
      <c r="QOW41" s="549"/>
      <c r="QOX41" s="549"/>
      <c r="QOY41" s="549"/>
      <c r="QOZ41" s="549"/>
      <c r="QPA41" s="549"/>
      <c r="QPB41" s="549"/>
      <c r="QPC41" s="549"/>
      <c r="QPD41" s="549"/>
      <c r="QPE41" s="549"/>
      <c r="QPF41" s="549"/>
      <c r="QPG41" s="549"/>
      <c r="QPH41" s="549"/>
      <c r="QPI41" s="549"/>
      <c r="QPJ41" s="549"/>
      <c r="QPK41" s="549"/>
      <c r="QPL41" s="549"/>
      <c r="QPM41" s="549"/>
      <c r="QPN41" s="549"/>
      <c r="QPO41" s="549"/>
      <c r="QPP41" s="549"/>
      <c r="QPQ41" s="549"/>
      <c r="QPR41" s="549"/>
      <c r="QPS41" s="549"/>
      <c r="QPT41" s="549"/>
      <c r="QPU41" s="549"/>
      <c r="QPV41" s="549"/>
      <c r="QPW41" s="549"/>
      <c r="QPX41" s="549"/>
      <c r="QPY41" s="549"/>
      <c r="QPZ41" s="549"/>
      <c r="QQA41" s="549"/>
      <c r="QQB41" s="549"/>
      <c r="QQC41" s="549"/>
      <c r="QQD41" s="549"/>
      <c r="QQE41" s="549"/>
      <c r="QQF41" s="549"/>
      <c r="QQG41" s="549"/>
      <c r="QQH41" s="549"/>
      <c r="QQI41" s="549"/>
      <c r="QQJ41" s="549"/>
      <c r="QQK41" s="549"/>
      <c r="QQL41" s="549"/>
      <c r="QQM41" s="549"/>
      <c r="QQN41" s="549"/>
      <c r="QQO41" s="549"/>
      <c r="QQP41" s="549"/>
      <c r="QQQ41" s="549"/>
      <c r="QQR41" s="549"/>
      <c r="QQS41" s="549"/>
      <c r="QQT41" s="549"/>
      <c r="QQU41" s="549"/>
      <c r="QQV41" s="549"/>
      <c r="QQW41" s="549"/>
      <c r="QQX41" s="549"/>
      <c r="QQY41" s="549"/>
      <c r="QQZ41" s="549"/>
      <c r="QRA41" s="549"/>
      <c r="QRB41" s="549"/>
      <c r="QRC41" s="549"/>
      <c r="QRD41" s="549"/>
      <c r="QRE41" s="549"/>
      <c r="QRF41" s="549"/>
      <c r="QRG41" s="549"/>
      <c r="QRH41" s="549"/>
      <c r="QRI41" s="549"/>
      <c r="QRJ41" s="549"/>
      <c r="QRK41" s="549"/>
      <c r="QRL41" s="549"/>
      <c r="QRM41" s="549"/>
      <c r="QRN41" s="549"/>
      <c r="QRO41" s="549"/>
      <c r="QRP41" s="549"/>
      <c r="QRQ41" s="549"/>
      <c r="QRR41" s="549"/>
      <c r="QRS41" s="549"/>
      <c r="QRT41" s="549"/>
      <c r="QRU41" s="549"/>
      <c r="QRV41" s="549"/>
      <c r="QRW41" s="549"/>
      <c r="QRX41" s="549"/>
      <c r="QRY41" s="549"/>
      <c r="QRZ41" s="549"/>
      <c r="QSA41" s="549"/>
      <c r="QSB41" s="549"/>
      <c r="QSC41" s="549"/>
      <c r="QSD41" s="549"/>
      <c r="QSE41" s="549"/>
      <c r="QSF41" s="549"/>
      <c r="QSG41" s="549"/>
      <c r="QSH41" s="549"/>
      <c r="QSI41" s="549"/>
      <c r="QSJ41" s="549"/>
      <c r="QSK41" s="549"/>
      <c r="QSL41" s="549"/>
      <c r="QSM41" s="549"/>
      <c r="QSN41" s="549"/>
      <c r="QSO41" s="549"/>
      <c r="QSP41" s="549"/>
      <c r="QSQ41" s="549"/>
      <c r="QSR41" s="549"/>
      <c r="QSS41" s="549"/>
      <c r="QST41" s="549"/>
      <c r="QSU41" s="549"/>
      <c r="QSV41" s="549"/>
      <c r="QSW41" s="549"/>
      <c r="QSX41" s="549"/>
      <c r="QSY41" s="549"/>
      <c r="QSZ41" s="549"/>
      <c r="QTA41" s="549"/>
      <c r="QTB41" s="549"/>
      <c r="QTC41" s="549"/>
      <c r="QTD41" s="549"/>
      <c r="QTE41" s="549"/>
      <c r="QTF41" s="549"/>
      <c r="QTG41" s="549"/>
      <c r="QTH41" s="549"/>
      <c r="QTI41" s="549"/>
      <c r="QTJ41" s="549"/>
      <c r="QTK41" s="549"/>
      <c r="QTL41" s="549"/>
      <c r="QTM41" s="549"/>
      <c r="QTN41" s="549"/>
      <c r="QTO41" s="549"/>
      <c r="QTP41" s="549"/>
      <c r="QTQ41" s="549"/>
      <c r="QTR41" s="549"/>
      <c r="QTS41" s="549"/>
      <c r="QTT41" s="549"/>
      <c r="QTU41" s="549"/>
      <c r="QTV41" s="549"/>
      <c r="QTW41" s="549"/>
      <c r="QTX41" s="549"/>
      <c r="QTY41" s="549"/>
      <c r="QTZ41" s="549"/>
      <c r="QUA41" s="549"/>
      <c r="QUB41" s="549"/>
      <c r="QUC41" s="549"/>
      <c r="QUD41" s="549"/>
      <c r="QUE41" s="549"/>
      <c r="QUF41" s="549"/>
      <c r="QUG41" s="549"/>
      <c r="QUH41" s="549"/>
      <c r="QUI41" s="549"/>
      <c r="QUJ41" s="549"/>
      <c r="QUK41" s="549"/>
      <c r="QUL41" s="549"/>
      <c r="QUM41" s="549"/>
      <c r="QUN41" s="549"/>
      <c r="QUO41" s="549"/>
      <c r="QUP41" s="549"/>
      <c r="QUQ41" s="549"/>
      <c r="QUR41" s="549"/>
      <c r="QUS41" s="549"/>
      <c r="QUT41" s="549"/>
      <c r="QUU41" s="549"/>
      <c r="QUV41" s="549"/>
      <c r="QUW41" s="549"/>
      <c r="QUX41" s="549"/>
      <c r="QUY41" s="549"/>
      <c r="QUZ41" s="549"/>
      <c r="QVA41" s="549"/>
      <c r="QVB41" s="549"/>
      <c r="QVC41" s="549"/>
      <c r="QVD41" s="549"/>
      <c r="QVE41" s="549"/>
      <c r="QVF41" s="549"/>
      <c r="QVG41" s="549"/>
      <c r="QVH41" s="549"/>
      <c r="QVI41" s="549"/>
      <c r="QVJ41" s="549"/>
      <c r="QVK41" s="549"/>
      <c r="QVL41" s="549"/>
      <c r="QVM41" s="549"/>
      <c r="QVN41" s="549"/>
      <c r="QVO41" s="549"/>
      <c r="QVP41" s="549"/>
      <c r="QVQ41" s="549"/>
      <c r="QVR41" s="549"/>
      <c r="QVS41" s="549"/>
      <c r="QVT41" s="549"/>
      <c r="QVU41" s="549"/>
      <c r="QVV41" s="549"/>
      <c r="QVW41" s="549"/>
      <c r="QVX41" s="549"/>
      <c r="QVY41" s="549"/>
      <c r="QVZ41" s="549"/>
      <c r="QWA41" s="549"/>
      <c r="QWB41" s="549"/>
      <c r="QWC41" s="549"/>
      <c r="QWD41" s="549"/>
      <c r="QWE41" s="549"/>
      <c r="QWF41" s="549"/>
      <c r="QWG41" s="549"/>
      <c r="QWH41" s="549"/>
      <c r="QWI41" s="549"/>
      <c r="QWJ41" s="549"/>
      <c r="QWK41" s="549"/>
      <c r="QWL41" s="549"/>
      <c r="QWM41" s="549"/>
      <c r="QWN41" s="549"/>
      <c r="QWO41" s="549"/>
      <c r="QWP41" s="549"/>
      <c r="QWQ41" s="549"/>
      <c r="QWR41" s="549"/>
      <c r="QWS41" s="549"/>
      <c r="QWT41" s="549"/>
      <c r="QWU41" s="549"/>
      <c r="QWV41" s="549"/>
      <c r="QWW41" s="549"/>
      <c r="QWX41" s="549"/>
      <c r="QWY41" s="549"/>
      <c r="QWZ41" s="549"/>
      <c r="QXA41" s="549"/>
      <c r="QXB41" s="549"/>
      <c r="QXC41" s="549"/>
      <c r="QXD41" s="549"/>
      <c r="QXE41" s="549"/>
      <c r="QXF41" s="549"/>
      <c r="QXG41" s="549"/>
      <c r="QXH41" s="549"/>
      <c r="QXI41" s="549"/>
      <c r="QXJ41" s="549"/>
      <c r="QXK41" s="549"/>
      <c r="QXL41" s="549"/>
      <c r="QXM41" s="549"/>
      <c r="QXN41" s="549"/>
      <c r="QXO41" s="549"/>
      <c r="QXP41" s="549"/>
      <c r="QXQ41" s="549"/>
      <c r="QXR41" s="549"/>
      <c r="QXS41" s="549"/>
      <c r="QXT41" s="549"/>
      <c r="QXU41" s="549"/>
      <c r="QXV41" s="549"/>
      <c r="QXW41" s="549"/>
      <c r="QXX41" s="549"/>
      <c r="QXY41" s="549"/>
      <c r="QXZ41" s="549"/>
      <c r="QYA41" s="549"/>
      <c r="QYB41" s="549"/>
      <c r="QYC41" s="549"/>
      <c r="QYD41" s="549"/>
      <c r="QYE41" s="549"/>
      <c r="QYF41" s="549"/>
      <c r="QYG41" s="549"/>
      <c r="QYH41" s="549"/>
      <c r="QYI41" s="549"/>
      <c r="QYJ41" s="549"/>
      <c r="QYK41" s="549"/>
      <c r="QYL41" s="549"/>
      <c r="QYM41" s="549"/>
      <c r="QYN41" s="549"/>
      <c r="QYO41" s="549"/>
      <c r="QYP41" s="549"/>
      <c r="QYQ41" s="549"/>
      <c r="QYR41" s="549"/>
      <c r="QYS41" s="549"/>
      <c r="QYT41" s="549"/>
      <c r="QYU41" s="549"/>
      <c r="QYV41" s="549"/>
      <c r="QYW41" s="549"/>
      <c r="QYX41" s="549"/>
      <c r="QYY41" s="549"/>
      <c r="QYZ41" s="549"/>
      <c r="QZA41" s="549"/>
      <c r="QZB41" s="549"/>
      <c r="QZC41" s="549"/>
      <c r="QZD41" s="549"/>
      <c r="QZE41" s="549"/>
      <c r="QZF41" s="549"/>
      <c r="QZG41" s="549"/>
      <c r="QZH41" s="549"/>
      <c r="QZI41" s="549"/>
      <c r="QZJ41" s="549"/>
      <c r="QZK41" s="549"/>
      <c r="QZL41" s="549"/>
      <c r="QZM41" s="549"/>
      <c r="QZN41" s="549"/>
      <c r="QZO41" s="549"/>
      <c r="QZP41" s="549"/>
      <c r="QZQ41" s="549"/>
      <c r="QZR41" s="549"/>
      <c r="QZS41" s="549"/>
      <c r="QZT41" s="549"/>
      <c r="QZU41" s="549"/>
      <c r="QZV41" s="549"/>
      <c r="QZW41" s="549"/>
      <c r="QZX41" s="549"/>
      <c r="QZY41" s="549"/>
      <c r="QZZ41" s="549"/>
      <c r="RAA41" s="549"/>
      <c r="RAB41" s="549"/>
      <c r="RAC41" s="549"/>
      <c r="RAD41" s="549"/>
      <c r="RAE41" s="549"/>
      <c r="RAF41" s="549"/>
      <c r="RAG41" s="549"/>
      <c r="RAH41" s="549"/>
      <c r="RAI41" s="549"/>
      <c r="RAJ41" s="549"/>
      <c r="RAK41" s="549"/>
      <c r="RAL41" s="549"/>
      <c r="RAM41" s="549"/>
      <c r="RAN41" s="549"/>
      <c r="RAO41" s="549"/>
      <c r="RAP41" s="549"/>
      <c r="RAQ41" s="549"/>
      <c r="RAR41" s="549"/>
      <c r="RAS41" s="549"/>
      <c r="RAT41" s="549"/>
      <c r="RAU41" s="549"/>
      <c r="RAV41" s="549"/>
      <c r="RAW41" s="549"/>
      <c r="RAX41" s="549"/>
      <c r="RAY41" s="549"/>
      <c r="RAZ41" s="549"/>
      <c r="RBA41" s="549"/>
      <c r="RBB41" s="549"/>
      <c r="RBC41" s="549"/>
      <c r="RBD41" s="549"/>
      <c r="RBE41" s="549"/>
      <c r="RBF41" s="549"/>
      <c r="RBG41" s="549"/>
      <c r="RBH41" s="549"/>
      <c r="RBI41" s="549"/>
      <c r="RBJ41" s="549"/>
      <c r="RBK41" s="549"/>
      <c r="RBL41" s="549"/>
      <c r="RBM41" s="549"/>
      <c r="RBN41" s="549"/>
      <c r="RBO41" s="549"/>
      <c r="RBP41" s="549"/>
      <c r="RBQ41" s="549"/>
      <c r="RBR41" s="549"/>
      <c r="RBS41" s="549"/>
      <c r="RBT41" s="549"/>
      <c r="RBU41" s="549"/>
      <c r="RBV41" s="549"/>
      <c r="RBW41" s="549"/>
      <c r="RBX41" s="549"/>
      <c r="RBY41" s="549"/>
      <c r="RBZ41" s="549"/>
      <c r="RCA41" s="549"/>
      <c r="RCB41" s="549"/>
      <c r="RCC41" s="549"/>
      <c r="RCD41" s="549"/>
      <c r="RCE41" s="549"/>
      <c r="RCF41" s="549"/>
      <c r="RCG41" s="549"/>
      <c r="RCH41" s="549"/>
      <c r="RCI41" s="549"/>
      <c r="RCJ41" s="549"/>
      <c r="RCK41" s="549"/>
      <c r="RCL41" s="549"/>
      <c r="RCM41" s="549"/>
      <c r="RCN41" s="549"/>
      <c r="RCO41" s="549"/>
      <c r="RCP41" s="549"/>
      <c r="RCQ41" s="549"/>
      <c r="RCR41" s="549"/>
      <c r="RCS41" s="549"/>
      <c r="RCT41" s="549"/>
      <c r="RCU41" s="549"/>
      <c r="RCV41" s="549"/>
      <c r="RCW41" s="549"/>
      <c r="RCX41" s="549"/>
      <c r="RCY41" s="549"/>
      <c r="RCZ41" s="549"/>
      <c r="RDA41" s="549"/>
      <c r="RDB41" s="549"/>
      <c r="RDC41" s="549"/>
      <c r="RDD41" s="549"/>
      <c r="RDE41" s="549"/>
      <c r="RDF41" s="549"/>
      <c r="RDG41" s="549"/>
      <c r="RDH41" s="549"/>
      <c r="RDI41" s="549"/>
      <c r="RDJ41" s="549"/>
      <c r="RDK41" s="549"/>
      <c r="RDL41" s="549"/>
      <c r="RDM41" s="549"/>
      <c r="RDN41" s="549"/>
      <c r="RDO41" s="549"/>
      <c r="RDP41" s="549"/>
      <c r="RDQ41" s="549"/>
      <c r="RDR41" s="549"/>
      <c r="RDS41" s="549"/>
      <c r="RDT41" s="549"/>
      <c r="RDU41" s="549"/>
      <c r="RDV41" s="549"/>
      <c r="RDW41" s="549"/>
      <c r="RDX41" s="549"/>
      <c r="RDY41" s="549"/>
      <c r="RDZ41" s="549"/>
      <c r="REA41" s="549"/>
      <c r="REB41" s="549"/>
      <c r="REC41" s="549"/>
      <c r="RED41" s="549"/>
      <c r="REE41" s="549"/>
      <c r="REF41" s="549"/>
      <c r="REG41" s="549"/>
      <c r="REH41" s="549"/>
      <c r="REI41" s="549"/>
      <c r="REJ41" s="549"/>
      <c r="REK41" s="549"/>
      <c r="REL41" s="549"/>
      <c r="REM41" s="549"/>
      <c r="REN41" s="549"/>
      <c r="REO41" s="549"/>
      <c r="REP41" s="549"/>
      <c r="REQ41" s="549"/>
      <c r="RER41" s="549"/>
      <c r="RES41" s="549"/>
      <c r="RET41" s="549"/>
      <c r="REU41" s="549"/>
      <c r="REV41" s="549"/>
      <c r="REW41" s="549"/>
      <c r="REX41" s="549"/>
      <c r="REY41" s="549"/>
      <c r="REZ41" s="549"/>
      <c r="RFA41" s="549"/>
      <c r="RFB41" s="549"/>
      <c r="RFC41" s="549"/>
      <c r="RFD41" s="549"/>
      <c r="RFE41" s="549"/>
      <c r="RFF41" s="549"/>
      <c r="RFG41" s="549"/>
      <c r="RFH41" s="549"/>
      <c r="RFI41" s="549"/>
      <c r="RFJ41" s="549"/>
      <c r="RFK41" s="549"/>
      <c r="RFL41" s="549"/>
      <c r="RFM41" s="549"/>
      <c r="RFN41" s="549"/>
      <c r="RFO41" s="549"/>
      <c r="RFP41" s="549"/>
      <c r="RFQ41" s="549"/>
      <c r="RFR41" s="549"/>
      <c r="RFS41" s="549"/>
      <c r="RFT41" s="549"/>
      <c r="RFU41" s="549"/>
      <c r="RFV41" s="549"/>
      <c r="RFW41" s="549"/>
      <c r="RFX41" s="549"/>
      <c r="RFY41" s="549"/>
      <c r="RFZ41" s="549"/>
      <c r="RGA41" s="549"/>
      <c r="RGB41" s="549"/>
      <c r="RGC41" s="549"/>
      <c r="RGD41" s="549"/>
      <c r="RGE41" s="549"/>
      <c r="RGF41" s="549"/>
      <c r="RGG41" s="549"/>
      <c r="RGH41" s="549"/>
      <c r="RGI41" s="549"/>
      <c r="RGJ41" s="549"/>
      <c r="RGK41" s="549"/>
      <c r="RGL41" s="549"/>
      <c r="RGM41" s="549"/>
      <c r="RGN41" s="549"/>
      <c r="RGO41" s="549"/>
      <c r="RGP41" s="549"/>
      <c r="RGQ41" s="549"/>
      <c r="RGR41" s="549"/>
      <c r="RGS41" s="549"/>
      <c r="RGT41" s="549"/>
      <c r="RGU41" s="549"/>
      <c r="RGV41" s="549"/>
      <c r="RGW41" s="549"/>
      <c r="RGX41" s="549"/>
      <c r="RGY41" s="549"/>
      <c r="RGZ41" s="549"/>
      <c r="RHA41" s="549"/>
      <c r="RHB41" s="549"/>
      <c r="RHC41" s="549"/>
      <c r="RHD41" s="549"/>
      <c r="RHE41" s="549"/>
      <c r="RHF41" s="549"/>
      <c r="RHG41" s="549"/>
      <c r="RHH41" s="549"/>
      <c r="RHI41" s="549"/>
      <c r="RHJ41" s="549"/>
      <c r="RHK41" s="549"/>
      <c r="RHL41" s="549"/>
      <c r="RHM41" s="549"/>
      <c r="RHN41" s="549"/>
      <c r="RHO41" s="549"/>
      <c r="RHP41" s="549"/>
      <c r="RHQ41" s="549"/>
      <c r="RHR41" s="549"/>
      <c r="RHS41" s="549"/>
      <c r="RHT41" s="549"/>
      <c r="RHU41" s="549"/>
      <c r="RHV41" s="549"/>
      <c r="RHW41" s="549"/>
      <c r="RHX41" s="549"/>
      <c r="RHY41" s="549"/>
      <c r="RHZ41" s="549"/>
      <c r="RIA41" s="549"/>
      <c r="RIB41" s="549"/>
      <c r="RIC41" s="549"/>
      <c r="RID41" s="549"/>
      <c r="RIE41" s="549"/>
      <c r="RIF41" s="549"/>
      <c r="RIG41" s="549"/>
      <c r="RIH41" s="549"/>
      <c r="RII41" s="549"/>
      <c r="RIJ41" s="549"/>
      <c r="RIK41" s="549"/>
      <c r="RIL41" s="549"/>
      <c r="RIM41" s="549"/>
      <c r="RIN41" s="549"/>
      <c r="RIO41" s="549"/>
      <c r="RIP41" s="549"/>
      <c r="RIQ41" s="549"/>
      <c r="RIR41" s="549"/>
      <c r="RIS41" s="549"/>
      <c r="RIT41" s="549"/>
      <c r="RIU41" s="549"/>
      <c r="RIV41" s="549"/>
      <c r="RIW41" s="549"/>
      <c r="RIX41" s="549"/>
      <c r="RIY41" s="549"/>
      <c r="RIZ41" s="549"/>
      <c r="RJA41" s="549"/>
      <c r="RJB41" s="549"/>
      <c r="RJC41" s="549"/>
      <c r="RJD41" s="549"/>
      <c r="RJE41" s="549"/>
      <c r="RJF41" s="549"/>
      <c r="RJG41" s="549"/>
      <c r="RJH41" s="549"/>
      <c r="RJI41" s="549"/>
      <c r="RJJ41" s="549"/>
      <c r="RJK41" s="549"/>
      <c r="RJL41" s="549"/>
      <c r="RJM41" s="549"/>
      <c r="RJN41" s="549"/>
      <c r="RJO41" s="549"/>
      <c r="RJP41" s="549"/>
      <c r="RJQ41" s="549"/>
      <c r="RJR41" s="549"/>
      <c r="RJS41" s="549"/>
      <c r="RJT41" s="549"/>
      <c r="RJU41" s="549"/>
      <c r="RJV41" s="549"/>
      <c r="RJW41" s="549"/>
      <c r="RJX41" s="549"/>
      <c r="RJY41" s="549"/>
      <c r="RJZ41" s="549"/>
      <c r="RKA41" s="549"/>
      <c r="RKB41" s="549"/>
      <c r="RKC41" s="549"/>
      <c r="RKD41" s="549"/>
      <c r="RKE41" s="549"/>
      <c r="RKF41" s="549"/>
      <c r="RKG41" s="549"/>
      <c r="RKH41" s="549"/>
      <c r="RKI41" s="549"/>
      <c r="RKJ41" s="549"/>
      <c r="RKK41" s="549"/>
      <c r="RKL41" s="549"/>
      <c r="RKM41" s="549"/>
      <c r="RKN41" s="549"/>
      <c r="RKO41" s="549"/>
      <c r="RKP41" s="549"/>
      <c r="RKQ41" s="549"/>
      <c r="RKR41" s="549"/>
      <c r="RKS41" s="549"/>
      <c r="RKT41" s="549"/>
      <c r="RKU41" s="549"/>
      <c r="RKV41" s="549"/>
      <c r="RKW41" s="549"/>
      <c r="RKX41" s="549"/>
      <c r="RKY41" s="549"/>
      <c r="RKZ41" s="549"/>
      <c r="RLA41" s="549"/>
      <c r="RLB41" s="549"/>
      <c r="RLC41" s="549"/>
      <c r="RLD41" s="549"/>
      <c r="RLE41" s="549"/>
      <c r="RLF41" s="549"/>
      <c r="RLG41" s="549"/>
      <c r="RLH41" s="549"/>
      <c r="RLI41" s="549"/>
      <c r="RLJ41" s="549"/>
      <c r="RLK41" s="549"/>
      <c r="RLL41" s="549"/>
      <c r="RLM41" s="549"/>
      <c r="RLN41" s="549"/>
      <c r="RLO41" s="549"/>
      <c r="RLP41" s="549"/>
      <c r="RLQ41" s="549"/>
      <c r="RLR41" s="549"/>
      <c r="RLS41" s="549"/>
      <c r="RLT41" s="549"/>
      <c r="RLU41" s="549"/>
      <c r="RLV41" s="549"/>
      <c r="RLW41" s="549"/>
      <c r="RLX41" s="549"/>
      <c r="RLY41" s="549"/>
      <c r="RLZ41" s="549"/>
      <c r="RMA41" s="549"/>
      <c r="RMB41" s="549"/>
      <c r="RMC41" s="549"/>
      <c r="RMD41" s="549"/>
      <c r="RME41" s="549"/>
      <c r="RMF41" s="549"/>
      <c r="RMG41" s="549"/>
      <c r="RMH41" s="549"/>
      <c r="RMI41" s="549"/>
      <c r="RMJ41" s="549"/>
      <c r="RMK41" s="549"/>
      <c r="RML41" s="549"/>
      <c r="RMM41" s="549"/>
      <c r="RMN41" s="549"/>
      <c r="RMO41" s="549"/>
      <c r="RMP41" s="549"/>
      <c r="RMQ41" s="549"/>
      <c r="RMR41" s="549"/>
      <c r="RMS41" s="549"/>
      <c r="RMT41" s="549"/>
      <c r="RMU41" s="549"/>
      <c r="RMV41" s="549"/>
      <c r="RMW41" s="549"/>
      <c r="RMX41" s="549"/>
      <c r="RMY41" s="549"/>
      <c r="RMZ41" s="549"/>
      <c r="RNA41" s="549"/>
      <c r="RNB41" s="549"/>
      <c r="RNC41" s="549"/>
      <c r="RND41" s="549"/>
      <c r="RNE41" s="549"/>
      <c r="RNF41" s="549"/>
      <c r="RNG41" s="549"/>
      <c r="RNH41" s="549"/>
      <c r="RNI41" s="549"/>
      <c r="RNJ41" s="549"/>
      <c r="RNK41" s="549"/>
      <c r="RNL41" s="549"/>
      <c r="RNM41" s="549"/>
      <c r="RNN41" s="549"/>
      <c r="RNO41" s="549"/>
      <c r="RNP41" s="549"/>
      <c r="RNQ41" s="549"/>
      <c r="RNR41" s="549"/>
      <c r="RNS41" s="549"/>
      <c r="RNT41" s="549"/>
      <c r="RNU41" s="549"/>
      <c r="RNV41" s="549"/>
      <c r="RNW41" s="549"/>
      <c r="RNX41" s="549"/>
      <c r="RNY41" s="549"/>
      <c r="RNZ41" s="549"/>
      <c r="ROA41" s="549"/>
      <c r="ROB41" s="549"/>
      <c r="ROC41" s="549"/>
      <c r="ROD41" s="549"/>
      <c r="ROE41" s="549"/>
      <c r="ROF41" s="549"/>
      <c r="ROG41" s="549"/>
      <c r="ROH41" s="549"/>
      <c r="ROI41" s="549"/>
      <c r="ROJ41" s="549"/>
      <c r="ROK41" s="549"/>
      <c r="ROL41" s="549"/>
      <c r="ROM41" s="549"/>
      <c r="RON41" s="549"/>
      <c r="ROO41" s="549"/>
      <c r="ROP41" s="549"/>
      <c r="ROQ41" s="549"/>
      <c r="ROR41" s="549"/>
      <c r="ROS41" s="549"/>
      <c r="ROT41" s="549"/>
      <c r="ROU41" s="549"/>
      <c r="ROV41" s="549"/>
      <c r="ROW41" s="549"/>
      <c r="ROX41" s="549"/>
      <c r="ROY41" s="549"/>
      <c r="ROZ41" s="549"/>
      <c r="RPA41" s="549"/>
      <c r="RPB41" s="549"/>
      <c r="RPC41" s="549"/>
      <c r="RPD41" s="549"/>
      <c r="RPE41" s="549"/>
      <c r="RPF41" s="549"/>
      <c r="RPG41" s="549"/>
      <c r="RPH41" s="549"/>
      <c r="RPI41" s="549"/>
      <c r="RPJ41" s="549"/>
      <c r="RPK41" s="549"/>
      <c r="RPL41" s="549"/>
      <c r="RPM41" s="549"/>
      <c r="RPN41" s="549"/>
      <c r="RPO41" s="549"/>
      <c r="RPP41" s="549"/>
      <c r="RPQ41" s="549"/>
      <c r="RPR41" s="549"/>
      <c r="RPS41" s="549"/>
      <c r="RPT41" s="549"/>
      <c r="RPU41" s="549"/>
      <c r="RPV41" s="549"/>
      <c r="RPW41" s="549"/>
      <c r="RPX41" s="549"/>
      <c r="RPY41" s="549"/>
      <c r="RPZ41" s="549"/>
      <c r="RQA41" s="549"/>
      <c r="RQB41" s="549"/>
      <c r="RQC41" s="549"/>
      <c r="RQD41" s="549"/>
      <c r="RQE41" s="549"/>
      <c r="RQF41" s="549"/>
      <c r="RQG41" s="549"/>
      <c r="RQH41" s="549"/>
      <c r="RQI41" s="549"/>
      <c r="RQJ41" s="549"/>
      <c r="RQK41" s="549"/>
      <c r="RQL41" s="549"/>
      <c r="RQM41" s="549"/>
      <c r="RQN41" s="549"/>
      <c r="RQO41" s="549"/>
      <c r="RQP41" s="549"/>
      <c r="RQQ41" s="549"/>
      <c r="RQR41" s="549"/>
      <c r="RQS41" s="549"/>
      <c r="RQT41" s="549"/>
      <c r="RQU41" s="549"/>
      <c r="RQV41" s="549"/>
      <c r="RQW41" s="549"/>
      <c r="RQX41" s="549"/>
      <c r="RQY41" s="549"/>
      <c r="RQZ41" s="549"/>
      <c r="RRA41" s="549"/>
      <c r="RRB41" s="549"/>
      <c r="RRC41" s="549"/>
      <c r="RRD41" s="549"/>
      <c r="RRE41" s="549"/>
      <c r="RRF41" s="549"/>
      <c r="RRG41" s="549"/>
      <c r="RRH41" s="549"/>
      <c r="RRI41" s="549"/>
      <c r="RRJ41" s="549"/>
      <c r="RRK41" s="549"/>
      <c r="RRL41" s="549"/>
      <c r="RRM41" s="549"/>
      <c r="RRN41" s="549"/>
      <c r="RRO41" s="549"/>
      <c r="RRP41" s="549"/>
      <c r="RRQ41" s="549"/>
      <c r="RRR41" s="549"/>
      <c r="RRS41" s="549"/>
      <c r="RRT41" s="549"/>
      <c r="RRU41" s="549"/>
      <c r="RRV41" s="549"/>
      <c r="RRW41" s="549"/>
      <c r="RRX41" s="549"/>
      <c r="RRY41" s="549"/>
      <c r="RRZ41" s="549"/>
      <c r="RSA41" s="549"/>
      <c r="RSB41" s="549"/>
      <c r="RSC41" s="549"/>
      <c r="RSD41" s="549"/>
      <c r="RSE41" s="549"/>
      <c r="RSF41" s="549"/>
      <c r="RSG41" s="549"/>
      <c r="RSH41" s="549"/>
      <c r="RSI41" s="549"/>
      <c r="RSJ41" s="549"/>
      <c r="RSK41" s="549"/>
      <c r="RSL41" s="549"/>
      <c r="RSM41" s="549"/>
      <c r="RSN41" s="549"/>
      <c r="RSO41" s="549"/>
      <c r="RSP41" s="549"/>
      <c r="RSQ41" s="549"/>
      <c r="RSR41" s="549"/>
      <c r="RSS41" s="549"/>
      <c r="RST41" s="549"/>
      <c r="RSU41" s="549"/>
      <c r="RSV41" s="549"/>
      <c r="RSW41" s="549"/>
      <c r="RSX41" s="549"/>
      <c r="RSY41" s="549"/>
      <c r="RSZ41" s="549"/>
      <c r="RTA41" s="549"/>
      <c r="RTB41" s="549"/>
      <c r="RTC41" s="549"/>
      <c r="RTD41" s="549"/>
      <c r="RTE41" s="549"/>
      <c r="RTF41" s="549"/>
      <c r="RTG41" s="549"/>
      <c r="RTH41" s="549"/>
      <c r="RTI41" s="549"/>
      <c r="RTJ41" s="549"/>
      <c r="RTK41" s="549"/>
      <c r="RTL41" s="549"/>
      <c r="RTM41" s="549"/>
      <c r="RTN41" s="549"/>
      <c r="RTO41" s="549"/>
      <c r="RTP41" s="549"/>
      <c r="RTQ41" s="549"/>
      <c r="RTR41" s="549"/>
      <c r="RTS41" s="549"/>
      <c r="RTT41" s="549"/>
      <c r="RTU41" s="549"/>
      <c r="RTV41" s="549"/>
      <c r="RTW41" s="549"/>
      <c r="RTX41" s="549"/>
      <c r="RTY41" s="549"/>
      <c r="RTZ41" s="549"/>
      <c r="RUA41" s="549"/>
      <c r="RUB41" s="549"/>
      <c r="RUC41" s="549"/>
      <c r="RUD41" s="549"/>
      <c r="RUE41" s="549"/>
      <c r="RUF41" s="549"/>
      <c r="RUG41" s="549"/>
      <c r="RUH41" s="549"/>
      <c r="RUI41" s="549"/>
      <c r="RUJ41" s="549"/>
      <c r="RUK41" s="549"/>
      <c r="RUL41" s="549"/>
      <c r="RUM41" s="549"/>
      <c r="RUN41" s="549"/>
      <c r="RUO41" s="549"/>
      <c r="RUP41" s="549"/>
      <c r="RUQ41" s="549"/>
      <c r="RUR41" s="549"/>
      <c r="RUS41" s="549"/>
      <c r="RUT41" s="549"/>
      <c r="RUU41" s="549"/>
      <c r="RUV41" s="549"/>
      <c r="RUW41" s="549"/>
      <c r="RUX41" s="549"/>
      <c r="RUY41" s="549"/>
      <c r="RUZ41" s="549"/>
      <c r="RVA41" s="549"/>
      <c r="RVB41" s="549"/>
      <c r="RVC41" s="549"/>
      <c r="RVD41" s="549"/>
      <c r="RVE41" s="549"/>
      <c r="RVF41" s="549"/>
      <c r="RVG41" s="549"/>
      <c r="RVH41" s="549"/>
      <c r="RVI41" s="549"/>
      <c r="RVJ41" s="549"/>
      <c r="RVK41" s="549"/>
      <c r="RVL41" s="549"/>
      <c r="RVM41" s="549"/>
      <c r="RVN41" s="549"/>
      <c r="RVO41" s="549"/>
      <c r="RVP41" s="549"/>
      <c r="RVQ41" s="549"/>
      <c r="RVR41" s="549"/>
      <c r="RVS41" s="549"/>
      <c r="RVT41" s="549"/>
      <c r="RVU41" s="549"/>
      <c r="RVV41" s="549"/>
      <c r="RVW41" s="549"/>
      <c r="RVX41" s="549"/>
      <c r="RVY41" s="549"/>
      <c r="RVZ41" s="549"/>
      <c r="RWA41" s="549"/>
      <c r="RWB41" s="549"/>
      <c r="RWC41" s="549"/>
      <c r="RWD41" s="549"/>
      <c r="RWE41" s="549"/>
      <c r="RWF41" s="549"/>
      <c r="RWG41" s="549"/>
      <c r="RWH41" s="549"/>
      <c r="RWI41" s="549"/>
      <c r="RWJ41" s="549"/>
      <c r="RWK41" s="549"/>
      <c r="RWL41" s="549"/>
      <c r="RWM41" s="549"/>
      <c r="RWN41" s="549"/>
      <c r="RWO41" s="549"/>
      <c r="RWP41" s="549"/>
      <c r="RWQ41" s="549"/>
      <c r="RWR41" s="549"/>
      <c r="RWS41" s="549"/>
      <c r="RWT41" s="549"/>
      <c r="RWU41" s="549"/>
      <c r="RWV41" s="549"/>
      <c r="RWW41" s="549"/>
      <c r="RWX41" s="549"/>
      <c r="RWY41" s="549"/>
      <c r="RWZ41" s="549"/>
      <c r="RXA41" s="549"/>
      <c r="RXB41" s="549"/>
      <c r="RXC41" s="549"/>
      <c r="RXD41" s="549"/>
      <c r="RXE41" s="549"/>
      <c r="RXF41" s="549"/>
      <c r="RXG41" s="549"/>
      <c r="RXH41" s="549"/>
      <c r="RXI41" s="549"/>
      <c r="RXJ41" s="549"/>
      <c r="RXK41" s="549"/>
      <c r="RXL41" s="549"/>
      <c r="RXM41" s="549"/>
      <c r="RXN41" s="549"/>
      <c r="RXO41" s="549"/>
      <c r="RXP41" s="549"/>
      <c r="RXQ41" s="549"/>
      <c r="RXR41" s="549"/>
      <c r="RXS41" s="549"/>
      <c r="RXT41" s="549"/>
      <c r="RXU41" s="549"/>
      <c r="RXV41" s="549"/>
      <c r="RXW41" s="549"/>
      <c r="RXX41" s="549"/>
      <c r="RXY41" s="549"/>
      <c r="RXZ41" s="549"/>
      <c r="RYA41" s="549"/>
      <c r="RYB41" s="549"/>
      <c r="RYC41" s="549"/>
      <c r="RYD41" s="549"/>
      <c r="RYE41" s="549"/>
      <c r="RYF41" s="549"/>
      <c r="RYG41" s="549"/>
      <c r="RYH41" s="549"/>
      <c r="RYI41" s="549"/>
      <c r="RYJ41" s="549"/>
      <c r="RYK41" s="549"/>
      <c r="RYL41" s="549"/>
      <c r="RYM41" s="549"/>
      <c r="RYN41" s="549"/>
      <c r="RYO41" s="549"/>
      <c r="RYP41" s="549"/>
      <c r="RYQ41" s="549"/>
      <c r="RYR41" s="549"/>
      <c r="RYS41" s="549"/>
      <c r="RYT41" s="549"/>
      <c r="RYU41" s="549"/>
      <c r="RYV41" s="549"/>
      <c r="RYW41" s="549"/>
      <c r="RYX41" s="549"/>
      <c r="RYY41" s="549"/>
      <c r="RYZ41" s="549"/>
      <c r="RZA41" s="549"/>
      <c r="RZB41" s="549"/>
      <c r="RZC41" s="549"/>
      <c r="RZD41" s="549"/>
      <c r="RZE41" s="549"/>
      <c r="RZF41" s="549"/>
      <c r="RZG41" s="549"/>
      <c r="RZH41" s="549"/>
      <c r="RZI41" s="549"/>
      <c r="RZJ41" s="549"/>
      <c r="RZK41" s="549"/>
      <c r="RZL41" s="549"/>
      <c r="RZM41" s="549"/>
      <c r="RZN41" s="549"/>
      <c r="RZO41" s="549"/>
      <c r="RZP41" s="549"/>
      <c r="RZQ41" s="549"/>
      <c r="RZR41" s="549"/>
      <c r="RZS41" s="549"/>
      <c r="RZT41" s="549"/>
      <c r="RZU41" s="549"/>
      <c r="RZV41" s="549"/>
      <c r="RZW41" s="549"/>
      <c r="RZX41" s="549"/>
      <c r="RZY41" s="549"/>
      <c r="RZZ41" s="549"/>
      <c r="SAA41" s="549"/>
      <c r="SAB41" s="549"/>
      <c r="SAC41" s="549"/>
      <c r="SAD41" s="549"/>
      <c r="SAE41" s="549"/>
      <c r="SAF41" s="549"/>
      <c r="SAG41" s="549"/>
      <c r="SAH41" s="549"/>
      <c r="SAI41" s="549"/>
      <c r="SAJ41" s="549"/>
      <c r="SAK41" s="549"/>
      <c r="SAL41" s="549"/>
      <c r="SAM41" s="549"/>
      <c r="SAN41" s="549"/>
      <c r="SAO41" s="549"/>
      <c r="SAP41" s="549"/>
      <c r="SAQ41" s="549"/>
      <c r="SAR41" s="549"/>
      <c r="SAS41" s="549"/>
      <c r="SAT41" s="549"/>
      <c r="SAU41" s="549"/>
      <c r="SAV41" s="549"/>
      <c r="SAW41" s="549"/>
      <c r="SAX41" s="549"/>
      <c r="SAY41" s="549"/>
      <c r="SAZ41" s="549"/>
      <c r="SBA41" s="549"/>
      <c r="SBB41" s="549"/>
      <c r="SBC41" s="549"/>
      <c r="SBD41" s="549"/>
      <c r="SBE41" s="549"/>
      <c r="SBF41" s="549"/>
      <c r="SBG41" s="549"/>
      <c r="SBH41" s="549"/>
      <c r="SBI41" s="549"/>
      <c r="SBJ41" s="549"/>
      <c r="SBK41" s="549"/>
      <c r="SBL41" s="549"/>
      <c r="SBM41" s="549"/>
      <c r="SBN41" s="549"/>
      <c r="SBO41" s="549"/>
      <c r="SBP41" s="549"/>
      <c r="SBQ41" s="549"/>
      <c r="SBR41" s="549"/>
      <c r="SBS41" s="549"/>
      <c r="SBT41" s="549"/>
      <c r="SBU41" s="549"/>
      <c r="SBV41" s="549"/>
      <c r="SBW41" s="549"/>
      <c r="SBX41" s="549"/>
      <c r="SBY41" s="549"/>
      <c r="SBZ41" s="549"/>
      <c r="SCA41" s="549"/>
      <c r="SCB41" s="549"/>
      <c r="SCC41" s="549"/>
      <c r="SCD41" s="549"/>
      <c r="SCE41" s="549"/>
      <c r="SCF41" s="549"/>
      <c r="SCG41" s="549"/>
      <c r="SCH41" s="549"/>
      <c r="SCI41" s="549"/>
      <c r="SCJ41" s="549"/>
      <c r="SCK41" s="549"/>
      <c r="SCL41" s="549"/>
      <c r="SCM41" s="549"/>
      <c r="SCN41" s="549"/>
      <c r="SCO41" s="549"/>
      <c r="SCP41" s="549"/>
      <c r="SCQ41" s="549"/>
      <c r="SCR41" s="549"/>
      <c r="SCS41" s="549"/>
      <c r="SCT41" s="549"/>
      <c r="SCU41" s="549"/>
      <c r="SCV41" s="549"/>
      <c r="SCW41" s="549"/>
      <c r="SCX41" s="549"/>
      <c r="SCY41" s="549"/>
      <c r="SCZ41" s="549"/>
      <c r="SDA41" s="549"/>
      <c r="SDB41" s="549"/>
      <c r="SDC41" s="549"/>
      <c r="SDD41" s="549"/>
      <c r="SDE41" s="549"/>
      <c r="SDF41" s="549"/>
      <c r="SDG41" s="549"/>
      <c r="SDH41" s="549"/>
      <c r="SDI41" s="549"/>
      <c r="SDJ41" s="549"/>
      <c r="SDK41" s="549"/>
      <c r="SDL41" s="549"/>
      <c r="SDM41" s="549"/>
      <c r="SDN41" s="549"/>
      <c r="SDO41" s="549"/>
      <c r="SDP41" s="549"/>
      <c r="SDQ41" s="549"/>
      <c r="SDR41" s="549"/>
      <c r="SDS41" s="549"/>
      <c r="SDT41" s="549"/>
      <c r="SDU41" s="549"/>
      <c r="SDV41" s="549"/>
      <c r="SDW41" s="549"/>
      <c r="SDX41" s="549"/>
      <c r="SDY41" s="549"/>
      <c r="SDZ41" s="549"/>
      <c r="SEA41" s="549"/>
      <c r="SEB41" s="549"/>
      <c r="SEC41" s="549"/>
      <c r="SED41" s="549"/>
      <c r="SEE41" s="549"/>
      <c r="SEF41" s="549"/>
      <c r="SEG41" s="549"/>
      <c r="SEH41" s="549"/>
      <c r="SEI41" s="549"/>
      <c r="SEJ41" s="549"/>
      <c r="SEK41" s="549"/>
      <c r="SEL41" s="549"/>
      <c r="SEM41" s="549"/>
      <c r="SEN41" s="549"/>
      <c r="SEO41" s="549"/>
      <c r="SEP41" s="549"/>
      <c r="SEQ41" s="549"/>
      <c r="SER41" s="549"/>
      <c r="SES41" s="549"/>
      <c r="SET41" s="549"/>
      <c r="SEU41" s="549"/>
      <c r="SEV41" s="549"/>
      <c r="SEW41" s="549"/>
      <c r="SEX41" s="549"/>
      <c r="SEY41" s="549"/>
      <c r="SEZ41" s="549"/>
      <c r="SFA41" s="549"/>
      <c r="SFB41" s="549"/>
      <c r="SFC41" s="549"/>
      <c r="SFD41" s="549"/>
      <c r="SFE41" s="549"/>
      <c r="SFF41" s="549"/>
      <c r="SFG41" s="549"/>
      <c r="SFH41" s="549"/>
      <c r="SFI41" s="549"/>
      <c r="SFJ41" s="549"/>
      <c r="SFK41" s="549"/>
      <c r="SFL41" s="549"/>
      <c r="SFM41" s="549"/>
      <c r="SFN41" s="549"/>
      <c r="SFO41" s="549"/>
      <c r="SFP41" s="549"/>
      <c r="SFQ41" s="549"/>
      <c r="SFR41" s="549"/>
      <c r="SFS41" s="549"/>
      <c r="SFT41" s="549"/>
      <c r="SFU41" s="549"/>
      <c r="SFV41" s="549"/>
      <c r="SFW41" s="549"/>
      <c r="SFX41" s="549"/>
      <c r="SFY41" s="549"/>
      <c r="SFZ41" s="549"/>
      <c r="SGA41" s="549"/>
      <c r="SGB41" s="549"/>
      <c r="SGC41" s="549"/>
      <c r="SGD41" s="549"/>
      <c r="SGE41" s="549"/>
      <c r="SGF41" s="549"/>
      <c r="SGG41" s="549"/>
      <c r="SGH41" s="549"/>
      <c r="SGI41" s="549"/>
      <c r="SGJ41" s="549"/>
      <c r="SGK41" s="549"/>
      <c r="SGL41" s="549"/>
      <c r="SGM41" s="549"/>
      <c r="SGN41" s="549"/>
      <c r="SGO41" s="549"/>
      <c r="SGP41" s="549"/>
      <c r="SGQ41" s="549"/>
      <c r="SGR41" s="549"/>
      <c r="SGS41" s="549"/>
      <c r="SGT41" s="549"/>
      <c r="SGU41" s="549"/>
      <c r="SGV41" s="549"/>
      <c r="SGW41" s="549"/>
      <c r="SGX41" s="549"/>
      <c r="SGY41" s="549"/>
      <c r="SGZ41" s="549"/>
      <c r="SHA41" s="549"/>
      <c r="SHB41" s="549"/>
      <c r="SHC41" s="549"/>
      <c r="SHD41" s="549"/>
      <c r="SHE41" s="549"/>
      <c r="SHF41" s="549"/>
      <c r="SHG41" s="549"/>
      <c r="SHH41" s="549"/>
      <c r="SHI41" s="549"/>
      <c r="SHJ41" s="549"/>
      <c r="SHK41" s="549"/>
      <c r="SHL41" s="549"/>
      <c r="SHM41" s="549"/>
      <c r="SHN41" s="549"/>
      <c r="SHO41" s="549"/>
      <c r="SHP41" s="549"/>
      <c r="SHQ41" s="549"/>
      <c r="SHR41" s="549"/>
      <c r="SHS41" s="549"/>
      <c r="SHT41" s="549"/>
      <c r="SHU41" s="549"/>
      <c r="SHV41" s="549"/>
      <c r="SHW41" s="549"/>
      <c r="SHX41" s="549"/>
      <c r="SHY41" s="549"/>
      <c r="SHZ41" s="549"/>
      <c r="SIA41" s="549"/>
      <c r="SIB41" s="549"/>
      <c r="SIC41" s="549"/>
      <c r="SID41" s="549"/>
      <c r="SIE41" s="549"/>
      <c r="SIF41" s="549"/>
      <c r="SIG41" s="549"/>
      <c r="SIH41" s="549"/>
      <c r="SII41" s="549"/>
      <c r="SIJ41" s="549"/>
      <c r="SIK41" s="549"/>
      <c r="SIL41" s="549"/>
      <c r="SIM41" s="549"/>
      <c r="SIN41" s="549"/>
      <c r="SIO41" s="549"/>
      <c r="SIP41" s="549"/>
      <c r="SIQ41" s="549"/>
      <c r="SIR41" s="549"/>
      <c r="SIS41" s="549"/>
      <c r="SIT41" s="549"/>
      <c r="SIU41" s="549"/>
      <c r="SIV41" s="549"/>
      <c r="SIW41" s="549"/>
      <c r="SIX41" s="549"/>
      <c r="SIY41" s="549"/>
      <c r="SIZ41" s="549"/>
      <c r="SJA41" s="549"/>
      <c r="SJB41" s="549"/>
      <c r="SJC41" s="549"/>
      <c r="SJD41" s="549"/>
      <c r="SJE41" s="549"/>
      <c r="SJF41" s="549"/>
      <c r="SJG41" s="549"/>
      <c r="SJH41" s="549"/>
      <c r="SJI41" s="549"/>
      <c r="SJJ41" s="549"/>
      <c r="SJK41" s="549"/>
      <c r="SJL41" s="549"/>
      <c r="SJM41" s="549"/>
      <c r="SJN41" s="549"/>
      <c r="SJO41" s="549"/>
      <c r="SJP41" s="549"/>
      <c r="SJQ41" s="549"/>
      <c r="SJR41" s="549"/>
      <c r="SJS41" s="549"/>
      <c r="SJT41" s="549"/>
      <c r="SJU41" s="549"/>
      <c r="SJV41" s="549"/>
      <c r="SJW41" s="549"/>
      <c r="SJX41" s="549"/>
      <c r="SJY41" s="549"/>
      <c r="SJZ41" s="549"/>
      <c r="SKA41" s="549"/>
      <c r="SKB41" s="549"/>
      <c r="SKC41" s="549"/>
      <c r="SKD41" s="549"/>
      <c r="SKE41" s="549"/>
      <c r="SKF41" s="549"/>
      <c r="SKG41" s="549"/>
      <c r="SKH41" s="549"/>
      <c r="SKI41" s="549"/>
      <c r="SKJ41" s="549"/>
      <c r="SKK41" s="549"/>
      <c r="SKL41" s="549"/>
      <c r="SKM41" s="549"/>
      <c r="SKN41" s="549"/>
      <c r="SKO41" s="549"/>
      <c r="SKP41" s="549"/>
      <c r="SKQ41" s="549"/>
      <c r="SKR41" s="549"/>
      <c r="SKS41" s="549"/>
      <c r="SKT41" s="549"/>
      <c r="SKU41" s="549"/>
      <c r="SKV41" s="549"/>
      <c r="SKW41" s="549"/>
      <c r="SKX41" s="549"/>
      <c r="SKY41" s="549"/>
      <c r="SKZ41" s="549"/>
      <c r="SLA41" s="549"/>
      <c r="SLB41" s="549"/>
      <c r="SLC41" s="549"/>
      <c r="SLD41" s="549"/>
      <c r="SLE41" s="549"/>
      <c r="SLF41" s="549"/>
      <c r="SLG41" s="549"/>
      <c r="SLH41" s="549"/>
      <c r="SLI41" s="549"/>
      <c r="SLJ41" s="549"/>
      <c r="SLK41" s="549"/>
      <c r="SLL41" s="549"/>
      <c r="SLM41" s="549"/>
      <c r="SLN41" s="549"/>
      <c r="SLO41" s="549"/>
      <c r="SLP41" s="549"/>
      <c r="SLQ41" s="549"/>
      <c r="SLR41" s="549"/>
      <c r="SLS41" s="549"/>
      <c r="SLT41" s="549"/>
      <c r="SLU41" s="549"/>
      <c r="SLV41" s="549"/>
      <c r="SLW41" s="549"/>
      <c r="SLX41" s="549"/>
      <c r="SLY41" s="549"/>
      <c r="SLZ41" s="549"/>
      <c r="SMA41" s="549"/>
      <c r="SMB41" s="549"/>
      <c r="SMC41" s="549"/>
      <c r="SMD41" s="549"/>
      <c r="SME41" s="549"/>
      <c r="SMF41" s="549"/>
      <c r="SMG41" s="549"/>
      <c r="SMH41" s="549"/>
      <c r="SMI41" s="549"/>
      <c r="SMJ41" s="549"/>
      <c r="SMK41" s="549"/>
      <c r="SML41" s="549"/>
      <c r="SMM41" s="549"/>
      <c r="SMN41" s="549"/>
      <c r="SMO41" s="549"/>
      <c r="SMP41" s="549"/>
      <c r="SMQ41" s="549"/>
      <c r="SMR41" s="549"/>
      <c r="SMS41" s="549"/>
      <c r="SMT41" s="549"/>
      <c r="SMU41" s="549"/>
      <c r="SMV41" s="549"/>
      <c r="SMW41" s="549"/>
      <c r="SMX41" s="549"/>
      <c r="SMY41" s="549"/>
      <c r="SMZ41" s="549"/>
      <c r="SNA41" s="549"/>
      <c r="SNB41" s="549"/>
      <c r="SNC41" s="549"/>
      <c r="SND41" s="549"/>
      <c r="SNE41" s="549"/>
      <c r="SNF41" s="549"/>
      <c r="SNG41" s="549"/>
      <c r="SNH41" s="549"/>
      <c r="SNI41" s="549"/>
      <c r="SNJ41" s="549"/>
      <c r="SNK41" s="549"/>
      <c r="SNL41" s="549"/>
      <c r="SNM41" s="549"/>
      <c r="SNN41" s="549"/>
      <c r="SNO41" s="549"/>
      <c r="SNP41" s="549"/>
      <c r="SNQ41" s="549"/>
      <c r="SNR41" s="549"/>
      <c r="SNS41" s="549"/>
      <c r="SNT41" s="549"/>
      <c r="SNU41" s="549"/>
      <c r="SNV41" s="549"/>
      <c r="SNW41" s="549"/>
      <c r="SNX41" s="549"/>
      <c r="SNY41" s="549"/>
      <c r="SNZ41" s="549"/>
      <c r="SOA41" s="549"/>
      <c r="SOB41" s="549"/>
      <c r="SOC41" s="549"/>
      <c r="SOD41" s="549"/>
      <c r="SOE41" s="549"/>
      <c r="SOF41" s="549"/>
      <c r="SOG41" s="549"/>
      <c r="SOH41" s="549"/>
      <c r="SOI41" s="549"/>
      <c r="SOJ41" s="549"/>
      <c r="SOK41" s="549"/>
      <c r="SOL41" s="549"/>
      <c r="SOM41" s="549"/>
      <c r="SON41" s="549"/>
      <c r="SOO41" s="549"/>
      <c r="SOP41" s="549"/>
      <c r="SOQ41" s="549"/>
      <c r="SOR41" s="549"/>
      <c r="SOS41" s="549"/>
      <c r="SOT41" s="549"/>
      <c r="SOU41" s="549"/>
      <c r="SOV41" s="549"/>
      <c r="SOW41" s="549"/>
      <c r="SOX41" s="549"/>
      <c r="SOY41" s="549"/>
      <c r="SOZ41" s="549"/>
      <c r="SPA41" s="549"/>
      <c r="SPB41" s="549"/>
      <c r="SPC41" s="549"/>
      <c r="SPD41" s="549"/>
      <c r="SPE41" s="549"/>
      <c r="SPF41" s="549"/>
      <c r="SPG41" s="549"/>
      <c r="SPH41" s="549"/>
      <c r="SPI41" s="549"/>
      <c r="SPJ41" s="549"/>
      <c r="SPK41" s="549"/>
      <c r="SPL41" s="549"/>
      <c r="SPM41" s="549"/>
      <c r="SPN41" s="549"/>
      <c r="SPO41" s="549"/>
      <c r="SPP41" s="549"/>
      <c r="SPQ41" s="549"/>
      <c r="SPR41" s="549"/>
      <c r="SPS41" s="549"/>
      <c r="SPT41" s="549"/>
      <c r="SPU41" s="549"/>
      <c r="SPV41" s="549"/>
      <c r="SPW41" s="549"/>
      <c r="SPX41" s="549"/>
      <c r="SPY41" s="549"/>
      <c r="SPZ41" s="549"/>
      <c r="SQA41" s="549"/>
      <c r="SQB41" s="549"/>
      <c r="SQC41" s="549"/>
      <c r="SQD41" s="549"/>
      <c r="SQE41" s="549"/>
      <c r="SQF41" s="549"/>
      <c r="SQG41" s="549"/>
      <c r="SQH41" s="549"/>
      <c r="SQI41" s="549"/>
      <c r="SQJ41" s="549"/>
      <c r="SQK41" s="549"/>
      <c r="SQL41" s="549"/>
      <c r="SQM41" s="549"/>
      <c r="SQN41" s="549"/>
      <c r="SQO41" s="549"/>
      <c r="SQP41" s="549"/>
      <c r="SQQ41" s="549"/>
      <c r="SQR41" s="549"/>
      <c r="SQS41" s="549"/>
      <c r="SQT41" s="549"/>
      <c r="SQU41" s="549"/>
      <c r="SQV41" s="549"/>
      <c r="SQW41" s="549"/>
      <c r="SQX41" s="549"/>
      <c r="SQY41" s="549"/>
      <c r="SQZ41" s="549"/>
      <c r="SRA41" s="549"/>
      <c r="SRB41" s="549"/>
      <c r="SRC41" s="549"/>
      <c r="SRD41" s="549"/>
      <c r="SRE41" s="549"/>
      <c r="SRF41" s="549"/>
      <c r="SRG41" s="549"/>
      <c r="SRH41" s="549"/>
      <c r="SRI41" s="549"/>
      <c r="SRJ41" s="549"/>
      <c r="SRK41" s="549"/>
      <c r="SRL41" s="549"/>
      <c r="SRM41" s="549"/>
      <c r="SRN41" s="549"/>
      <c r="SRO41" s="549"/>
      <c r="SRP41" s="549"/>
      <c r="SRQ41" s="549"/>
      <c r="SRR41" s="549"/>
      <c r="SRS41" s="549"/>
      <c r="SRT41" s="549"/>
      <c r="SRU41" s="549"/>
      <c r="SRV41" s="549"/>
      <c r="SRW41" s="549"/>
      <c r="SRX41" s="549"/>
      <c r="SRY41" s="549"/>
      <c r="SRZ41" s="549"/>
      <c r="SSA41" s="549"/>
      <c r="SSB41" s="549"/>
      <c r="SSC41" s="549"/>
      <c r="SSD41" s="549"/>
      <c r="SSE41" s="549"/>
      <c r="SSF41" s="549"/>
      <c r="SSG41" s="549"/>
      <c r="SSH41" s="549"/>
      <c r="SSI41" s="549"/>
      <c r="SSJ41" s="549"/>
      <c r="SSK41" s="549"/>
      <c r="SSL41" s="549"/>
      <c r="SSM41" s="549"/>
      <c r="SSN41" s="549"/>
      <c r="SSO41" s="549"/>
      <c r="SSP41" s="549"/>
      <c r="SSQ41" s="549"/>
      <c r="SSR41" s="549"/>
      <c r="SSS41" s="549"/>
      <c r="SST41" s="549"/>
      <c r="SSU41" s="549"/>
      <c r="SSV41" s="549"/>
      <c r="SSW41" s="549"/>
      <c r="SSX41" s="549"/>
      <c r="SSY41" s="549"/>
      <c r="SSZ41" s="549"/>
      <c r="STA41" s="549"/>
      <c r="STB41" s="549"/>
      <c r="STC41" s="549"/>
      <c r="STD41" s="549"/>
      <c r="STE41" s="549"/>
      <c r="STF41" s="549"/>
      <c r="STG41" s="549"/>
      <c r="STH41" s="549"/>
      <c r="STI41" s="549"/>
      <c r="STJ41" s="549"/>
      <c r="STK41" s="549"/>
      <c r="STL41" s="549"/>
      <c r="STM41" s="549"/>
      <c r="STN41" s="549"/>
      <c r="STO41" s="549"/>
      <c r="STP41" s="549"/>
      <c r="STQ41" s="549"/>
      <c r="STR41" s="549"/>
      <c r="STS41" s="549"/>
      <c r="STT41" s="549"/>
      <c r="STU41" s="549"/>
      <c r="STV41" s="549"/>
      <c r="STW41" s="549"/>
      <c r="STX41" s="549"/>
      <c r="STY41" s="549"/>
      <c r="STZ41" s="549"/>
      <c r="SUA41" s="549"/>
      <c r="SUB41" s="549"/>
      <c r="SUC41" s="549"/>
      <c r="SUD41" s="549"/>
      <c r="SUE41" s="549"/>
      <c r="SUF41" s="549"/>
      <c r="SUG41" s="549"/>
      <c r="SUH41" s="549"/>
      <c r="SUI41" s="549"/>
      <c r="SUJ41" s="549"/>
      <c r="SUK41" s="549"/>
      <c r="SUL41" s="549"/>
      <c r="SUM41" s="549"/>
      <c r="SUN41" s="549"/>
      <c r="SUO41" s="549"/>
      <c r="SUP41" s="549"/>
      <c r="SUQ41" s="549"/>
      <c r="SUR41" s="549"/>
      <c r="SUS41" s="549"/>
      <c r="SUT41" s="549"/>
      <c r="SUU41" s="549"/>
      <c r="SUV41" s="549"/>
      <c r="SUW41" s="549"/>
      <c r="SUX41" s="549"/>
      <c r="SUY41" s="549"/>
      <c r="SUZ41" s="549"/>
      <c r="SVA41" s="549"/>
      <c r="SVB41" s="549"/>
      <c r="SVC41" s="549"/>
      <c r="SVD41" s="549"/>
      <c r="SVE41" s="549"/>
      <c r="SVF41" s="549"/>
      <c r="SVG41" s="549"/>
      <c r="SVH41" s="549"/>
      <c r="SVI41" s="549"/>
      <c r="SVJ41" s="549"/>
      <c r="SVK41" s="549"/>
      <c r="SVL41" s="549"/>
      <c r="SVM41" s="549"/>
      <c r="SVN41" s="549"/>
      <c r="SVO41" s="549"/>
      <c r="SVP41" s="549"/>
      <c r="SVQ41" s="549"/>
      <c r="SVR41" s="549"/>
      <c r="SVS41" s="549"/>
      <c r="SVT41" s="549"/>
      <c r="SVU41" s="549"/>
      <c r="SVV41" s="549"/>
      <c r="SVW41" s="549"/>
      <c r="SVX41" s="549"/>
      <c r="SVY41" s="549"/>
      <c r="SVZ41" s="549"/>
      <c r="SWA41" s="549"/>
      <c r="SWB41" s="549"/>
      <c r="SWC41" s="549"/>
      <c r="SWD41" s="549"/>
      <c r="SWE41" s="549"/>
      <c r="SWF41" s="549"/>
      <c r="SWG41" s="549"/>
      <c r="SWH41" s="549"/>
      <c r="SWI41" s="549"/>
      <c r="SWJ41" s="549"/>
      <c r="SWK41" s="549"/>
      <c r="SWL41" s="549"/>
      <c r="SWM41" s="549"/>
      <c r="SWN41" s="549"/>
      <c r="SWO41" s="549"/>
      <c r="SWP41" s="549"/>
      <c r="SWQ41" s="549"/>
      <c r="SWR41" s="549"/>
      <c r="SWS41" s="549"/>
      <c r="SWT41" s="549"/>
      <c r="SWU41" s="549"/>
      <c r="SWV41" s="549"/>
      <c r="SWW41" s="549"/>
      <c r="SWX41" s="549"/>
      <c r="SWY41" s="549"/>
      <c r="SWZ41" s="549"/>
      <c r="SXA41" s="549"/>
      <c r="SXB41" s="549"/>
      <c r="SXC41" s="549"/>
      <c r="SXD41" s="549"/>
      <c r="SXE41" s="549"/>
      <c r="SXF41" s="549"/>
      <c r="SXG41" s="549"/>
      <c r="SXH41" s="549"/>
      <c r="SXI41" s="549"/>
      <c r="SXJ41" s="549"/>
      <c r="SXK41" s="549"/>
      <c r="SXL41" s="549"/>
      <c r="SXM41" s="549"/>
      <c r="SXN41" s="549"/>
      <c r="SXO41" s="549"/>
      <c r="SXP41" s="549"/>
      <c r="SXQ41" s="549"/>
      <c r="SXR41" s="549"/>
      <c r="SXS41" s="549"/>
      <c r="SXT41" s="549"/>
      <c r="SXU41" s="549"/>
      <c r="SXV41" s="549"/>
      <c r="SXW41" s="549"/>
      <c r="SXX41" s="549"/>
      <c r="SXY41" s="549"/>
      <c r="SXZ41" s="549"/>
      <c r="SYA41" s="549"/>
      <c r="SYB41" s="549"/>
      <c r="SYC41" s="549"/>
      <c r="SYD41" s="549"/>
      <c r="SYE41" s="549"/>
      <c r="SYF41" s="549"/>
      <c r="SYG41" s="549"/>
      <c r="SYH41" s="549"/>
      <c r="SYI41" s="549"/>
      <c r="SYJ41" s="549"/>
      <c r="SYK41" s="549"/>
      <c r="SYL41" s="549"/>
      <c r="SYM41" s="549"/>
      <c r="SYN41" s="549"/>
      <c r="SYO41" s="549"/>
      <c r="SYP41" s="549"/>
      <c r="SYQ41" s="549"/>
      <c r="SYR41" s="549"/>
      <c r="SYS41" s="549"/>
      <c r="SYT41" s="549"/>
      <c r="SYU41" s="549"/>
      <c r="SYV41" s="549"/>
      <c r="SYW41" s="549"/>
      <c r="SYX41" s="549"/>
      <c r="SYY41" s="549"/>
      <c r="SYZ41" s="549"/>
      <c r="SZA41" s="549"/>
      <c r="SZB41" s="549"/>
      <c r="SZC41" s="549"/>
      <c r="SZD41" s="549"/>
      <c r="SZE41" s="549"/>
      <c r="SZF41" s="549"/>
      <c r="SZG41" s="549"/>
      <c r="SZH41" s="549"/>
      <c r="SZI41" s="549"/>
      <c r="SZJ41" s="549"/>
      <c r="SZK41" s="549"/>
      <c r="SZL41" s="549"/>
      <c r="SZM41" s="549"/>
      <c r="SZN41" s="549"/>
      <c r="SZO41" s="549"/>
      <c r="SZP41" s="549"/>
      <c r="SZQ41" s="549"/>
      <c r="SZR41" s="549"/>
      <c r="SZS41" s="549"/>
      <c r="SZT41" s="549"/>
      <c r="SZU41" s="549"/>
      <c r="SZV41" s="549"/>
      <c r="SZW41" s="549"/>
      <c r="SZX41" s="549"/>
      <c r="SZY41" s="549"/>
      <c r="SZZ41" s="549"/>
      <c r="TAA41" s="549"/>
      <c r="TAB41" s="549"/>
      <c r="TAC41" s="549"/>
      <c r="TAD41" s="549"/>
      <c r="TAE41" s="549"/>
      <c r="TAF41" s="549"/>
      <c r="TAG41" s="549"/>
      <c r="TAH41" s="549"/>
      <c r="TAI41" s="549"/>
      <c r="TAJ41" s="549"/>
      <c r="TAK41" s="549"/>
      <c r="TAL41" s="549"/>
      <c r="TAM41" s="549"/>
      <c r="TAN41" s="549"/>
      <c r="TAO41" s="549"/>
      <c r="TAP41" s="549"/>
      <c r="TAQ41" s="549"/>
      <c r="TAR41" s="549"/>
      <c r="TAS41" s="549"/>
      <c r="TAT41" s="549"/>
      <c r="TAU41" s="549"/>
      <c r="TAV41" s="549"/>
      <c r="TAW41" s="549"/>
      <c r="TAX41" s="549"/>
      <c r="TAY41" s="549"/>
      <c r="TAZ41" s="549"/>
      <c r="TBA41" s="549"/>
      <c r="TBB41" s="549"/>
      <c r="TBC41" s="549"/>
      <c r="TBD41" s="549"/>
      <c r="TBE41" s="549"/>
      <c r="TBF41" s="549"/>
      <c r="TBG41" s="549"/>
      <c r="TBH41" s="549"/>
      <c r="TBI41" s="549"/>
      <c r="TBJ41" s="549"/>
      <c r="TBK41" s="549"/>
      <c r="TBL41" s="549"/>
      <c r="TBM41" s="549"/>
      <c r="TBN41" s="549"/>
      <c r="TBO41" s="549"/>
      <c r="TBP41" s="549"/>
      <c r="TBQ41" s="549"/>
      <c r="TBR41" s="549"/>
      <c r="TBS41" s="549"/>
      <c r="TBT41" s="549"/>
      <c r="TBU41" s="549"/>
      <c r="TBV41" s="549"/>
      <c r="TBW41" s="549"/>
      <c r="TBX41" s="549"/>
      <c r="TBY41" s="549"/>
      <c r="TBZ41" s="549"/>
      <c r="TCA41" s="549"/>
      <c r="TCB41" s="549"/>
      <c r="TCC41" s="549"/>
      <c r="TCD41" s="549"/>
      <c r="TCE41" s="549"/>
      <c r="TCF41" s="549"/>
      <c r="TCG41" s="549"/>
      <c r="TCH41" s="549"/>
      <c r="TCI41" s="549"/>
      <c r="TCJ41" s="549"/>
      <c r="TCK41" s="549"/>
      <c r="TCL41" s="549"/>
      <c r="TCM41" s="549"/>
      <c r="TCN41" s="549"/>
      <c r="TCO41" s="549"/>
      <c r="TCP41" s="549"/>
      <c r="TCQ41" s="549"/>
      <c r="TCR41" s="549"/>
      <c r="TCS41" s="549"/>
      <c r="TCT41" s="549"/>
      <c r="TCU41" s="549"/>
      <c r="TCV41" s="549"/>
      <c r="TCW41" s="549"/>
      <c r="TCX41" s="549"/>
      <c r="TCY41" s="549"/>
      <c r="TCZ41" s="549"/>
      <c r="TDA41" s="549"/>
      <c r="TDB41" s="549"/>
      <c r="TDC41" s="549"/>
      <c r="TDD41" s="549"/>
      <c r="TDE41" s="549"/>
      <c r="TDF41" s="549"/>
      <c r="TDG41" s="549"/>
      <c r="TDH41" s="549"/>
      <c r="TDI41" s="549"/>
      <c r="TDJ41" s="549"/>
      <c r="TDK41" s="549"/>
      <c r="TDL41" s="549"/>
      <c r="TDM41" s="549"/>
      <c r="TDN41" s="549"/>
      <c r="TDO41" s="549"/>
      <c r="TDP41" s="549"/>
      <c r="TDQ41" s="549"/>
      <c r="TDR41" s="549"/>
      <c r="TDS41" s="549"/>
      <c r="TDT41" s="549"/>
      <c r="TDU41" s="549"/>
      <c r="TDV41" s="549"/>
      <c r="TDW41" s="549"/>
      <c r="TDX41" s="549"/>
      <c r="TDY41" s="549"/>
      <c r="TDZ41" s="549"/>
      <c r="TEA41" s="549"/>
      <c r="TEB41" s="549"/>
      <c r="TEC41" s="549"/>
      <c r="TED41" s="549"/>
      <c r="TEE41" s="549"/>
      <c r="TEF41" s="549"/>
      <c r="TEG41" s="549"/>
      <c r="TEH41" s="549"/>
      <c r="TEI41" s="549"/>
      <c r="TEJ41" s="549"/>
      <c r="TEK41" s="549"/>
      <c r="TEL41" s="549"/>
      <c r="TEM41" s="549"/>
      <c r="TEN41" s="549"/>
      <c r="TEO41" s="549"/>
      <c r="TEP41" s="549"/>
      <c r="TEQ41" s="549"/>
      <c r="TER41" s="549"/>
      <c r="TES41" s="549"/>
      <c r="TET41" s="549"/>
      <c r="TEU41" s="549"/>
      <c r="TEV41" s="549"/>
      <c r="TEW41" s="549"/>
      <c r="TEX41" s="549"/>
      <c r="TEY41" s="549"/>
      <c r="TEZ41" s="549"/>
      <c r="TFA41" s="549"/>
      <c r="TFB41" s="549"/>
      <c r="TFC41" s="549"/>
      <c r="TFD41" s="549"/>
      <c r="TFE41" s="549"/>
      <c r="TFF41" s="549"/>
      <c r="TFG41" s="549"/>
      <c r="TFH41" s="549"/>
      <c r="TFI41" s="549"/>
      <c r="TFJ41" s="549"/>
      <c r="TFK41" s="549"/>
      <c r="TFL41" s="549"/>
      <c r="TFM41" s="549"/>
      <c r="TFN41" s="549"/>
      <c r="TFO41" s="549"/>
      <c r="TFP41" s="549"/>
      <c r="TFQ41" s="549"/>
      <c r="TFR41" s="549"/>
      <c r="TFS41" s="549"/>
      <c r="TFT41" s="549"/>
      <c r="TFU41" s="549"/>
      <c r="TFV41" s="549"/>
      <c r="TFW41" s="549"/>
      <c r="TFX41" s="549"/>
      <c r="TFY41" s="549"/>
      <c r="TFZ41" s="549"/>
      <c r="TGA41" s="549"/>
      <c r="TGB41" s="549"/>
      <c r="TGC41" s="549"/>
      <c r="TGD41" s="549"/>
      <c r="TGE41" s="549"/>
      <c r="TGF41" s="549"/>
      <c r="TGG41" s="549"/>
      <c r="TGH41" s="549"/>
      <c r="TGI41" s="549"/>
      <c r="TGJ41" s="549"/>
      <c r="TGK41" s="549"/>
      <c r="TGL41" s="549"/>
      <c r="TGM41" s="549"/>
      <c r="TGN41" s="549"/>
      <c r="TGO41" s="549"/>
      <c r="TGP41" s="549"/>
      <c r="TGQ41" s="549"/>
      <c r="TGR41" s="549"/>
      <c r="TGS41" s="549"/>
      <c r="TGT41" s="549"/>
      <c r="TGU41" s="549"/>
      <c r="TGV41" s="549"/>
      <c r="TGW41" s="549"/>
      <c r="TGX41" s="549"/>
      <c r="TGY41" s="549"/>
      <c r="TGZ41" s="549"/>
      <c r="THA41" s="549"/>
      <c r="THB41" s="549"/>
      <c r="THC41" s="549"/>
      <c r="THD41" s="549"/>
      <c r="THE41" s="549"/>
      <c r="THF41" s="549"/>
      <c r="THG41" s="549"/>
      <c r="THH41" s="549"/>
      <c r="THI41" s="549"/>
      <c r="THJ41" s="549"/>
      <c r="THK41" s="549"/>
      <c r="THL41" s="549"/>
      <c r="THM41" s="549"/>
      <c r="THN41" s="549"/>
      <c r="THO41" s="549"/>
      <c r="THP41" s="549"/>
      <c r="THQ41" s="549"/>
      <c r="THR41" s="549"/>
      <c r="THS41" s="549"/>
      <c r="THT41" s="549"/>
      <c r="THU41" s="549"/>
      <c r="THV41" s="549"/>
      <c r="THW41" s="549"/>
      <c r="THX41" s="549"/>
      <c r="THY41" s="549"/>
      <c r="THZ41" s="549"/>
      <c r="TIA41" s="549"/>
      <c r="TIB41" s="549"/>
      <c r="TIC41" s="549"/>
      <c r="TID41" s="549"/>
      <c r="TIE41" s="549"/>
      <c r="TIF41" s="549"/>
      <c r="TIG41" s="549"/>
      <c r="TIH41" s="549"/>
      <c r="TII41" s="549"/>
      <c r="TIJ41" s="549"/>
      <c r="TIK41" s="549"/>
      <c r="TIL41" s="549"/>
      <c r="TIM41" s="549"/>
      <c r="TIN41" s="549"/>
      <c r="TIO41" s="549"/>
      <c r="TIP41" s="549"/>
      <c r="TIQ41" s="549"/>
      <c r="TIR41" s="549"/>
      <c r="TIS41" s="549"/>
      <c r="TIT41" s="549"/>
      <c r="TIU41" s="549"/>
      <c r="TIV41" s="549"/>
      <c r="TIW41" s="549"/>
      <c r="TIX41" s="549"/>
      <c r="TIY41" s="549"/>
      <c r="TIZ41" s="549"/>
      <c r="TJA41" s="549"/>
      <c r="TJB41" s="549"/>
      <c r="TJC41" s="549"/>
      <c r="TJD41" s="549"/>
      <c r="TJE41" s="549"/>
      <c r="TJF41" s="549"/>
      <c r="TJG41" s="549"/>
      <c r="TJH41" s="549"/>
      <c r="TJI41" s="549"/>
      <c r="TJJ41" s="549"/>
      <c r="TJK41" s="549"/>
      <c r="TJL41" s="549"/>
      <c r="TJM41" s="549"/>
      <c r="TJN41" s="549"/>
      <c r="TJO41" s="549"/>
      <c r="TJP41" s="549"/>
      <c r="TJQ41" s="549"/>
      <c r="TJR41" s="549"/>
      <c r="TJS41" s="549"/>
      <c r="TJT41" s="549"/>
      <c r="TJU41" s="549"/>
      <c r="TJV41" s="549"/>
      <c r="TJW41" s="549"/>
      <c r="TJX41" s="549"/>
      <c r="TJY41" s="549"/>
      <c r="TJZ41" s="549"/>
      <c r="TKA41" s="549"/>
      <c r="TKB41" s="549"/>
      <c r="TKC41" s="549"/>
      <c r="TKD41" s="549"/>
      <c r="TKE41" s="549"/>
      <c r="TKF41" s="549"/>
      <c r="TKG41" s="549"/>
      <c r="TKH41" s="549"/>
      <c r="TKI41" s="549"/>
      <c r="TKJ41" s="549"/>
      <c r="TKK41" s="549"/>
      <c r="TKL41" s="549"/>
      <c r="TKM41" s="549"/>
      <c r="TKN41" s="549"/>
      <c r="TKO41" s="549"/>
      <c r="TKP41" s="549"/>
      <c r="TKQ41" s="549"/>
      <c r="TKR41" s="549"/>
      <c r="TKS41" s="549"/>
      <c r="TKT41" s="549"/>
      <c r="TKU41" s="549"/>
      <c r="TKV41" s="549"/>
      <c r="TKW41" s="549"/>
      <c r="TKX41" s="549"/>
      <c r="TKY41" s="549"/>
      <c r="TKZ41" s="549"/>
      <c r="TLA41" s="549"/>
      <c r="TLB41" s="549"/>
      <c r="TLC41" s="549"/>
      <c r="TLD41" s="549"/>
      <c r="TLE41" s="549"/>
      <c r="TLF41" s="549"/>
      <c r="TLG41" s="549"/>
      <c r="TLH41" s="549"/>
      <c r="TLI41" s="549"/>
      <c r="TLJ41" s="549"/>
      <c r="TLK41" s="549"/>
      <c r="TLL41" s="549"/>
      <c r="TLM41" s="549"/>
      <c r="TLN41" s="549"/>
      <c r="TLO41" s="549"/>
      <c r="TLP41" s="549"/>
      <c r="TLQ41" s="549"/>
      <c r="TLR41" s="549"/>
      <c r="TLS41" s="549"/>
      <c r="TLT41" s="549"/>
      <c r="TLU41" s="549"/>
      <c r="TLV41" s="549"/>
      <c r="TLW41" s="549"/>
      <c r="TLX41" s="549"/>
      <c r="TLY41" s="549"/>
      <c r="TLZ41" s="549"/>
      <c r="TMA41" s="549"/>
      <c r="TMB41" s="549"/>
      <c r="TMC41" s="549"/>
      <c r="TMD41" s="549"/>
      <c r="TME41" s="549"/>
      <c r="TMF41" s="549"/>
      <c r="TMG41" s="549"/>
      <c r="TMH41" s="549"/>
      <c r="TMI41" s="549"/>
      <c r="TMJ41" s="549"/>
      <c r="TMK41" s="549"/>
      <c r="TML41" s="549"/>
      <c r="TMM41" s="549"/>
      <c r="TMN41" s="549"/>
      <c r="TMO41" s="549"/>
      <c r="TMP41" s="549"/>
      <c r="TMQ41" s="549"/>
      <c r="TMR41" s="549"/>
      <c r="TMS41" s="549"/>
      <c r="TMT41" s="549"/>
      <c r="TMU41" s="549"/>
      <c r="TMV41" s="549"/>
      <c r="TMW41" s="549"/>
      <c r="TMX41" s="549"/>
      <c r="TMY41" s="549"/>
      <c r="TMZ41" s="549"/>
      <c r="TNA41" s="549"/>
      <c r="TNB41" s="549"/>
      <c r="TNC41" s="549"/>
      <c r="TND41" s="549"/>
      <c r="TNE41" s="549"/>
      <c r="TNF41" s="549"/>
      <c r="TNG41" s="549"/>
      <c r="TNH41" s="549"/>
      <c r="TNI41" s="549"/>
      <c r="TNJ41" s="549"/>
      <c r="TNK41" s="549"/>
      <c r="TNL41" s="549"/>
      <c r="TNM41" s="549"/>
      <c r="TNN41" s="549"/>
      <c r="TNO41" s="549"/>
      <c r="TNP41" s="549"/>
      <c r="TNQ41" s="549"/>
      <c r="TNR41" s="549"/>
      <c r="TNS41" s="549"/>
      <c r="TNT41" s="549"/>
      <c r="TNU41" s="549"/>
      <c r="TNV41" s="549"/>
      <c r="TNW41" s="549"/>
      <c r="TNX41" s="549"/>
      <c r="TNY41" s="549"/>
      <c r="TNZ41" s="549"/>
      <c r="TOA41" s="549"/>
      <c r="TOB41" s="549"/>
      <c r="TOC41" s="549"/>
      <c r="TOD41" s="549"/>
      <c r="TOE41" s="549"/>
      <c r="TOF41" s="549"/>
      <c r="TOG41" s="549"/>
      <c r="TOH41" s="549"/>
      <c r="TOI41" s="549"/>
      <c r="TOJ41" s="549"/>
      <c r="TOK41" s="549"/>
      <c r="TOL41" s="549"/>
      <c r="TOM41" s="549"/>
      <c r="TON41" s="549"/>
      <c r="TOO41" s="549"/>
      <c r="TOP41" s="549"/>
      <c r="TOQ41" s="549"/>
      <c r="TOR41" s="549"/>
      <c r="TOS41" s="549"/>
      <c r="TOT41" s="549"/>
      <c r="TOU41" s="549"/>
      <c r="TOV41" s="549"/>
      <c r="TOW41" s="549"/>
      <c r="TOX41" s="549"/>
      <c r="TOY41" s="549"/>
      <c r="TOZ41" s="549"/>
      <c r="TPA41" s="549"/>
      <c r="TPB41" s="549"/>
      <c r="TPC41" s="549"/>
      <c r="TPD41" s="549"/>
      <c r="TPE41" s="549"/>
      <c r="TPF41" s="549"/>
      <c r="TPG41" s="549"/>
      <c r="TPH41" s="549"/>
      <c r="TPI41" s="549"/>
      <c r="TPJ41" s="549"/>
      <c r="TPK41" s="549"/>
      <c r="TPL41" s="549"/>
      <c r="TPM41" s="549"/>
      <c r="TPN41" s="549"/>
      <c r="TPO41" s="549"/>
      <c r="TPP41" s="549"/>
      <c r="TPQ41" s="549"/>
      <c r="TPR41" s="549"/>
      <c r="TPS41" s="549"/>
      <c r="TPT41" s="549"/>
      <c r="TPU41" s="549"/>
      <c r="TPV41" s="549"/>
      <c r="TPW41" s="549"/>
      <c r="TPX41" s="549"/>
      <c r="TPY41" s="549"/>
      <c r="TPZ41" s="549"/>
      <c r="TQA41" s="549"/>
      <c r="TQB41" s="549"/>
      <c r="TQC41" s="549"/>
      <c r="TQD41" s="549"/>
      <c r="TQE41" s="549"/>
      <c r="TQF41" s="549"/>
      <c r="TQG41" s="549"/>
      <c r="TQH41" s="549"/>
      <c r="TQI41" s="549"/>
      <c r="TQJ41" s="549"/>
      <c r="TQK41" s="549"/>
      <c r="TQL41" s="549"/>
      <c r="TQM41" s="549"/>
      <c r="TQN41" s="549"/>
      <c r="TQO41" s="549"/>
      <c r="TQP41" s="549"/>
      <c r="TQQ41" s="549"/>
      <c r="TQR41" s="549"/>
      <c r="TQS41" s="549"/>
      <c r="TQT41" s="549"/>
      <c r="TQU41" s="549"/>
      <c r="TQV41" s="549"/>
      <c r="TQW41" s="549"/>
      <c r="TQX41" s="549"/>
      <c r="TQY41" s="549"/>
      <c r="TQZ41" s="549"/>
      <c r="TRA41" s="549"/>
      <c r="TRB41" s="549"/>
      <c r="TRC41" s="549"/>
      <c r="TRD41" s="549"/>
      <c r="TRE41" s="549"/>
      <c r="TRF41" s="549"/>
      <c r="TRG41" s="549"/>
      <c r="TRH41" s="549"/>
      <c r="TRI41" s="549"/>
      <c r="TRJ41" s="549"/>
      <c r="TRK41" s="549"/>
      <c r="TRL41" s="549"/>
      <c r="TRM41" s="549"/>
      <c r="TRN41" s="549"/>
      <c r="TRO41" s="549"/>
      <c r="TRP41" s="549"/>
      <c r="TRQ41" s="549"/>
      <c r="TRR41" s="549"/>
      <c r="TRS41" s="549"/>
      <c r="TRT41" s="549"/>
      <c r="TRU41" s="549"/>
      <c r="TRV41" s="549"/>
      <c r="TRW41" s="549"/>
      <c r="TRX41" s="549"/>
      <c r="TRY41" s="549"/>
      <c r="TRZ41" s="549"/>
      <c r="TSA41" s="549"/>
      <c r="TSB41" s="549"/>
      <c r="TSC41" s="549"/>
      <c r="TSD41" s="549"/>
      <c r="TSE41" s="549"/>
      <c r="TSF41" s="549"/>
      <c r="TSG41" s="549"/>
      <c r="TSH41" s="549"/>
      <c r="TSI41" s="549"/>
      <c r="TSJ41" s="549"/>
      <c r="TSK41" s="549"/>
      <c r="TSL41" s="549"/>
      <c r="TSM41" s="549"/>
      <c r="TSN41" s="549"/>
      <c r="TSO41" s="549"/>
      <c r="TSP41" s="549"/>
      <c r="TSQ41" s="549"/>
      <c r="TSR41" s="549"/>
      <c r="TSS41" s="549"/>
      <c r="TST41" s="549"/>
      <c r="TSU41" s="549"/>
      <c r="TSV41" s="549"/>
      <c r="TSW41" s="549"/>
      <c r="TSX41" s="549"/>
      <c r="TSY41" s="549"/>
      <c r="TSZ41" s="549"/>
      <c r="TTA41" s="549"/>
      <c r="TTB41" s="549"/>
      <c r="TTC41" s="549"/>
      <c r="TTD41" s="549"/>
      <c r="TTE41" s="549"/>
      <c r="TTF41" s="549"/>
      <c r="TTG41" s="549"/>
      <c r="TTH41" s="549"/>
      <c r="TTI41" s="549"/>
      <c r="TTJ41" s="549"/>
      <c r="TTK41" s="549"/>
      <c r="TTL41" s="549"/>
      <c r="TTM41" s="549"/>
      <c r="TTN41" s="549"/>
      <c r="TTO41" s="549"/>
      <c r="TTP41" s="549"/>
      <c r="TTQ41" s="549"/>
      <c r="TTR41" s="549"/>
      <c r="TTS41" s="549"/>
      <c r="TTT41" s="549"/>
      <c r="TTU41" s="549"/>
      <c r="TTV41" s="549"/>
      <c r="TTW41" s="549"/>
      <c r="TTX41" s="549"/>
      <c r="TTY41" s="549"/>
      <c r="TTZ41" s="549"/>
      <c r="TUA41" s="549"/>
      <c r="TUB41" s="549"/>
      <c r="TUC41" s="549"/>
      <c r="TUD41" s="549"/>
      <c r="TUE41" s="549"/>
      <c r="TUF41" s="549"/>
      <c r="TUG41" s="549"/>
      <c r="TUH41" s="549"/>
      <c r="TUI41" s="549"/>
      <c r="TUJ41" s="549"/>
      <c r="TUK41" s="549"/>
      <c r="TUL41" s="549"/>
      <c r="TUM41" s="549"/>
      <c r="TUN41" s="549"/>
      <c r="TUO41" s="549"/>
      <c r="TUP41" s="549"/>
      <c r="TUQ41" s="549"/>
      <c r="TUR41" s="549"/>
      <c r="TUS41" s="549"/>
      <c r="TUT41" s="549"/>
      <c r="TUU41" s="549"/>
      <c r="TUV41" s="549"/>
      <c r="TUW41" s="549"/>
      <c r="TUX41" s="549"/>
      <c r="TUY41" s="549"/>
      <c r="TUZ41" s="549"/>
      <c r="TVA41" s="549"/>
      <c r="TVB41" s="549"/>
      <c r="TVC41" s="549"/>
      <c r="TVD41" s="549"/>
      <c r="TVE41" s="549"/>
      <c r="TVF41" s="549"/>
      <c r="TVG41" s="549"/>
      <c r="TVH41" s="549"/>
      <c r="TVI41" s="549"/>
      <c r="TVJ41" s="549"/>
      <c r="TVK41" s="549"/>
      <c r="TVL41" s="549"/>
      <c r="TVM41" s="549"/>
      <c r="TVN41" s="549"/>
      <c r="TVO41" s="549"/>
      <c r="TVP41" s="549"/>
      <c r="TVQ41" s="549"/>
      <c r="TVR41" s="549"/>
      <c r="TVS41" s="549"/>
      <c r="TVT41" s="549"/>
      <c r="TVU41" s="549"/>
      <c r="TVV41" s="549"/>
      <c r="TVW41" s="549"/>
      <c r="TVX41" s="549"/>
      <c r="TVY41" s="549"/>
      <c r="TVZ41" s="549"/>
      <c r="TWA41" s="549"/>
      <c r="TWB41" s="549"/>
      <c r="TWC41" s="549"/>
      <c r="TWD41" s="549"/>
      <c r="TWE41" s="549"/>
      <c r="TWF41" s="549"/>
      <c r="TWG41" s="549"/>
      <c r="TWH41" s="549"/>
      <c r="TWI41" s="549"/>
      <c r="TWJ41" s="549"/>
      <c r="TWK41" s="549"/>
      <c r="TWL41" s="549"/>
      <c r="TWM41" s="549"/>
      <c r="TWN41" s="549"/>
      <c r="TWO41" s="549"/>
      <c r="TWP41" s="549"/>
      <c r="TWQ41" s="549"/>
      <c r="TWR41" s="549"/>
      <c r="TWS41" s="549"/>
      <c r="TWT41" s="549"/>
      <c r="TWU41" s="549"/>
      <c r="TWV41" s="549"/>
      <c r="TWW41" s="549"/>
      <c r="TWX41" s="549"/>
      <c r="TWY41" s="549"/>
      <c r="TWZ41" s="549"/>
      <c r="TXA41" s="549"/>
      <c r="TXB41" s="549"/>
      <c r="TXC41" s="549"/>
      <c r="TXD41" s="549"/>
      <c r="TXE41" s="549"/>
      <c r="TXF41" s="549"/>
      <c r="TXG41" s="549"/>
      <c r="TXH41" s="549"/>
      <c r="TXI41" s="549"/>
      <c r="TXJ41" s="549"/>
      <c r="TXK41" s="549"/>
      <c r="TXL41" s="549"/>
      <c r="TXM41" s="549"/>
      <c r="TXN41" s="549"/>
      <c r="TXO41" s="549"/>
      <c r="TXP41" s="549"/>
      <c r="TXQ41" s="549"/>
      <c r="TXR41" s="549"/>
      <c r="TXS41" s="549"/>
      <c r="TXT41" s="549"/>
      <c r="TXU41" s="549"/>
      <c r="TXV41" s="549"/>
      <c r="TXW41" s="549"/>
      <c r="TXX41" s="549"/>
      <c r="TXY41" s="549"/>
      <c r="TXZ41" s="549"/>
      <c r="TYA41" s="549"/>
      <c r="TYB41" s="549"/>
      <c r="TYC41" s="549"/>
      <c r="TYD41" s="549"/>
      <c r="TYE41" s="549"/>
      <c r="TYF41" s="549"/>
      <c r="TYG41" s="549"/>
      <c r="TYH41" s="549"/>
      <c r="TYI41" s="549"/>
      <c r="TYJ41" s="549"/>
      <c r="TYK41" s="549"/>
      <c r="TYL41" s="549"/>
      <c r="TYM41" s="549"/>
      <c r="TYN41" s="549"/>
      <c r="TYO41" s="549"/>
      <c r="TYP41" s="549"/>
      <c r="TYQ41" s="549"/>
      <c r="TYR41" s="549"/>
      <c r="TYS41" s="549"/>
      <c r="TYT41" s="549"/>
      <c r="TYU41" s="549"/>
      <c r="TYV41" s="549"/>
      <c r="TYW41" s="549"/>
      <c r="TYX41" s="549"/>
      <c r="TYY41" s="549"/>
      <c r="TYZ41" s="549"/>
      <c r="TZA41" s="549"/>
      <c r="TZB41" s="549"/>
      <c r="TZC41" s="549"/>
      <c r="TZD41" s="549"/>
      <c r="TZE41" s="549"/>
      <c r="TZF41" s="549"/>
      <c r="TZG41" s="549"/>
      <c r="TZH41" s="549"/>
      <c r="TZI41" s="549"/>
      <c r="TZJ41" s="549"/>
      <c r="TZK41" s="549"/>
      <c r="TZL41" s="549"/>
      <c r="TZM41" s="549"/>
      <c r="TZN41" s="549"/>
      <c r="TZO41" s="549"/>
      <c r="TZP41" s="549"/>
      <c r="TZQ41" s="549"/>
      <c r="TZR41" s="549"/>
      <c r="TZS41" s="549"/>
      <c r="TZT41" s="549"/>
      <c r="TZU41" s="549"/>
      <c r="TZV41" s="549"/>
      <c r="TZW41" s="549"/>
      <c r="TZX41" s="549"/>
      <c r="TZY41" s="549"/>
      <c r="TZZ41" s="549"/>
      <c r="UAA41" s="549"/>
      <c r="UAB41" s="549"/>
      <c r="UAC41" s="549"/>
      <c r="UAD41" s="549"/>
      <c r="UAE41" s="549"/>
      <c r="UAF41" s="549"/>
      <c r="UAG41" s="549"/>
      <c r="UAH41" s="549"/>
      <c r="UAI41" s="549"/>
      <c r="UAJ41" s="549"/>
      <c r="UAK41" s="549"/>
      <c r="UAL41" s="549"/>
      <c r="UAM41" s="549"/>
      <c r="UAN41" s="549"/>
      <c r="UAO41" s="549"/>
      <c r="UAP41" s="549"/>
      <c r="UAQ41" s="549"/>
      <c r="UAR41" s="549"/>
      <c r="UAS41" s="549"/>
      <c r="UAT41" s="549"/>
      <c r="UAU41" s="549"/>
      <c r="UAV41" s="549"/>
      <c r="UAW41" s="549"/>
      <c r="UAX41" s="549"/>
      <c r="UAY41" s="549"/>
      <c r="UAZ41" s="549"/>
      <c r="UBA41" s="549"/>
      <c r="UBB41" s="549"/>
      <c r="UBC41" s="549"/>
      <c r="UBD41" s="549"/>
      <c r="UBE41" s="549"/>
      <c r="UBF41" s="549"/>
      <c r="UBG41" s="549"/>
      <c r="UBH41" s="549"/>
      <c r="UBI41" s="549"/>
      <c r="UBJ41" s="549"/>
      <c r="UBK41" s="549"/>
      <c r="UBL41" s="549"/>
      <c r="UBM41" s="549"/>
      <c r="UBN41" s="549"/>
      <c r="UBO41" s="549"/>
      <c r="UBP41" s="549"/>
      <c r="UBQ41" s="549"/>
      <c r="UBR41" s="549"/>
      <c r="UBS41" s="549"/>
      <c r="UBT41" s="549"/>
      <c r="UBU41" s="549"/>
      <c r="UBV41" s="549"/>
      <c r="UBW41" s="549"/>
      <c r="UBX41" s="549"/>
      <c r="UBY41" s="549"/>
      <c r="UBZ41" s="549"/>
      <c r="UCA41" s="549"/>
      <c r="UCB41" s="549"/>
      <c r="UCC41" s="549"/>
      <c r="UCD41" s="549"/>
      <c r="UCE41" s="549"/>
      <c r="UCF41" s="549"/>
      <c r="UCG41" s="549"/>
      <c r="UCH41" s="549"/>
      <c r="UCI41" s="549"/>
      <c r="UCJ41" s="549"/>
      <c r="UCK41" s="549"/>
      <c r="UCL41" s="549"/>
      <c r="UCM41" s="549"/>
      <c r="UCN41" s="549"/>
      <c r="UCO41" s="549"/>
      <c r="UCP41" s="549"/>
      <c r="UCQ41" s="549"/>
      <c r="UCR41" s="549"/>
      <c r="UCS41" s="549"/>
      <c r="UCT41" s="549"/>
      <c r="UCU41" s="549"/>
      <c r="UCV41" s="549"/>
      <c r="UCW41" s="549"/>
      <c r="UCX41" s="549"/>
      <c r="UCY41" s="549"/>
      <c r="UCZ41" s="549"/>
      <c r="UDA41" s="549"/>
      <c r="UDB41" s="549"/>
      <c r="UDC41" s="549"/>
      <c r="UDD41" s="549"/>
      <c r="UDE41" s="549"/>
      <c r="UDF41" s="549"/>
      <c r="UDG41" s="549"/>
      <c r="UDH41" s="549"/>
      <c r="UDI41" s="549"/>
      <c r="UDJ41" s="549"/>
      <c r="UDK41" s="549"/>
      <c r="UDL41" s="549"/>
      <c r="UDM41" s="549"/>
      <c r="UDN41" s="549"/>
      <c r="UDO41" s="549"/>
      <c r="UDP41" s="549"/>
      <c r="UDQ41" s="549"/>
      <c r="UDR41" s="549"/>
      <c r="UDS41" s="549"/>
      <c r="UDT41" s="549"/>
      <c r="UDU41" s="549"/>
      <c r="UDV41" s="549"/>
      <c r="UDW41" s="549"/>
      <c r="UDX41" s="549"/>
      <c r="UDY41" s="549"/>
      <c r="UDZ41" s="549"/>
      <c r="UEA41" s="549"/>
      <c r="UEB41" s="549"/>
      <c r="UEC41" s="549"/>
      <c r="UED41" s="549"/>
      <c r="UEE41" s="549"/>
      <c r="UEF41" s="549"/>
      <c r="UEG41" s="549"/>
      <c r="UEH41" s="549"/>
      <c r="UEI41" s="549"/>
      <c r="UEJ41" s="549"/>
      <c r="UEK41" s="549"/>
      <c r="UEL41" s="549"/>
      <c r="UEM41" s="549"/>
      <c r="UEN41" s="549"/>
      <c r="UEO41" s="549"/>
      <c r="UEP41" s="549"/>
      <c r="UEQ41" s="549"/>
      <c r="UER41" s="549"/>
      <c r="UES41" s="549"/>
      <c r="UET41" s="549"/>
      <c r="UEU41" s="549"/>
      <c r="UEV41" s="549"/>
      <c r="UEW41" s="549"/>
      <c r="UEX41" s="549"/>
      <c r="UEY41" s="549"/>
      <c r="UEZ41" s="549"/>
      <c r="UFA41" s="549"/>
      <c r="UFB41" s="549"/>
      <c r="UFC41" s="549"/>
      <c r="UFD41" s="549"/>
      <c r="UFE41" s="549"/>
      <c r="UFF41" s="549"/>
      <c r="UFG41" s="549"/>
      <c r="UFH41" s="549"/>
      <c r="UFI41" s="549"/>
      <c r="UFJ41" s="549"/>
      <c r="UFK41" s="549"/>
      <c r="UFL41" s="549"/>
      <c r="UFM41" s="549"/>
      <c r="UFN41" s="549"/>
      <c r="UFO41" s="549"/>
      <c r="UFP41" s="549"/>
      <c r="UFQ41" s="549"/>
      <c r="UFR41" s="549"/>
      <c r="UFS41" s="549"/>
      <c r="UFT41" s="549"/>
      <c r="UFU41" s="549"/>
      <c r="UFV41" s="549"/>
      <c r="UFW41" s="549"/>
      <c r="UFX41" s="549"/>
      <c r="UFY41" s="549"/>
      <c r="UFZ41" s="549"/>
      <c r="UGA41" s="549"/>
      <c r="UGB41" s="549"/>
      <c r="UGC41" s="549"/>
      <c r="UGD41" s="549"/>
      <c r="UGE41" s="549"/>
      <c r="UGF41" s="549"/>
      <c r="UGG41" s="549"/>
      <c r="UGH41" s="549"/>
      <c r="UGI41" s="549"/>
      <c r="UGJ41" s="549"/>
      <c r="UGK41" s="549"/>
      <c r="UGL41" s="549"/>
      <c r="UGM41" s="549"/>
      <c r="UGN41" s="549"/>
      <c r="UGO41" s="549"/>
      <c r="UGP41" s="549"/>
      <c r="UGQ41" s="549"/>
      <c r="UGR41" s="549"/>
      <c r="UGS41" s="549"/>
      <c r="UGT41" s="549"/>
      <c r="UGU41" s="549"/>
      <c r="UGV41" s="549"/>
      <c r="UGW41" s="549"/>
      <c r="UGX41" s="549"/>
      <c r="UGY41" s="549"/>
      <c r="UGZ41" s="549"/>
      <c r="UHA41" s="549"/>
      <c r="UHB41" s="549"/>
      <c r="UHC41" s="549"/>
      <c r="UHD41" s="549"/>
      <c r="UHE41" s="549"/>
      <c r="UHF41" s="549"/>
      <c r="UHG41" s="549"/>
      <c r="UHH41" s="549"/>
      <c r="UHI41" s="549"/>
      <c r="UHJ41" s="549"/>
      <c r="UHK41" s="549"/>
      <c r="UHL41" s="549"/>
      <c r="UHM41" s="549"/>
      <c r="UHN41" s="549"/>
      <c r="UHO41" s="549"/>
      <c r="UHP41" s="549"/>
      <c r="UHQ41" s="549"/>
      <c r="UHR41" s="549"/>
      <c r="UHS41" s="549"/>
      <c r="UHT41" s="549"/>
      <c r="UHU41" s="549"/>
      <c r="UHV41" s="549"/>
      <c r="UHW41" s="549"/>
      <c r="UHX41" s="549"/>
      <c r="UHY41" s="549"/>
      <c r="UHZ41" s="549"/>
      <c r="UIA41" s="549"/>
      <c r="UIB41" s="549"/>
      <c r="UIC41" s="549"/>
      <c r="UID41" s="549"/>
      <c r="UIE41" s="549"/>
      <c r="UIF41" s="549"/>
      <c r="UIG41" s="549"/>
      <c r="UIH41" s="549"/>
      <c r="UII41" s="549"/>
      <c r="UIJ41" s="549"/>
      <c r="UIK41" s="549"/>
      <c r="UIL41" s="549"/>
      <c r="UIM41" s="549"/>
      <c r="UIN41" s="549"/>
      <c r="UIO41" s="549"/>
      <c r="UIP41" s="549"/>
      <c r="UIQ41" s="549"/>
      <c r="UIR41" s="549"/>
      <c r="UIS41" s="549"/>
      <c r="UIT41" s="549"/>
      <c r="UIU41" s="549"/>
      <c r="UIV41" s="549"/>
      <c r="UIW41" s="549"/>
      <c r="UIX41" s="549"/>
      <c r="UIY41" s="549"/>
      <c r="UIZ41" s="549"/>
      <c r="UJA41" s="549"/>
      <c r="UJB41" s="549"/>
      <c r="UJC41" s="549"/>
      <c r="UJD41" s="549"/>
      <c r="UJE41" s="549"/>
      <c r="UJF41" s="549"/>
      <c r="UJG41" s="549"/>
      <c r="UJH41" s="549"/>
      <c r="UJI41" s="549"/>
      <c r="UJJ41" s="549"/>
      <c r="UJK41" s="549"/>
      <c r="UJL41" s="549"/>
      <c r="UJM41" s="549"/>
      <c r="UJN41" s="549"/>
      <c r="UJO41" s="549"/>
      <c r="UJP41" s="549"/>
      <c r="UJQ41" s="549"/>
      <c r="UJR41" s="549"/>
      <c r="UJS41" s="549"/>
      <c r="UJT41" s="549"/>
      <c r="UJU41" s="549"/>
      <c r="UJV41" s="549"/>
      <c r="UJW41" s="549"/>
      <c r="UJX41" s="549"/>
      <c r="UJY41" s="549"/>
      <c r="UJZ41" s="549"/>
      <c r="UKA41" s="549"/>
      <c r="UKB41" s="549"/>
      <c r="UKC41" s="549"/>
      <c r="UKD41" s="549"/>
      <c r="UKE41" s="549"/>
      <c r="UKF41" s="549"/>
      <c r="UKG41" s="549"/>
      <c r="UKH41" s="549"/>
      <c r="UKI41" s="549"/>
      <c r="UKJ41" s="549"/>
      <c r="UKK41" s="549"/>
      <c r="UKL41" s="549"/>
      <c r="UKM41" s="549"/>
      <c r="UKN41" s="549"/>
      <c r="UKO41" s="549"/>
      <c r="UKP41" s="549"/>
      <c r="UKQ41" s="549"/>
      <c r="UKR41" s="549"/>
      <c r="UKS41" s="549"/>
      <c r="UKT41" s="549"/>
      <c r="UKU41" s="549"/>
      <c r="UKV41" s="549"/>
      <c r="UKW41" s="549"/>
      <c r="UKX41" s="549"/>
      <c r="UKY41" s="549"/>
      <c r="UKZ41" s="549"/>
      <c r="ULA41" s="549"/>
      <c r="ULB41" s="549"/>
      <c r="ULC41" s="549"/>
      <c r="ULD41" s="549"/>
      <c r="ULE41" s="549"/>
      <c r="ULF41" s="549"/>
      <c r="ULG41" s="549"/>
      <c r="ULH41" s="549"/>
      <c r="ULI41" s="549"/>
      <c r="ULJ41" s="549"/>
      <c r="ULK41" s="549"/>
      <c r="ULL41" s="549"/>
      <c r="ULM41" s="549"/>
      <c r="ULN41" s="549"/>
      <c r="ULO41" s="549"/>
      <c r="ULP41" s="549"/>
      <c r="ULQ41" s="549"/>
      <c r="ULR41" s="549"/>
      <c r="ULS41" s="549"/>
      <c r="ULT41" s="549"/>
      <c r="ULU41" s="549"/>
      <c r="ULV41" s="549"/>
      <c r="ULW41" s="549"/>
      <c r="ULX41" s="549"/>
      <c r="ULY41" s="549"/>
      <c r="ULZ41" s="549"/>
      <c r="UMA41" s="549"/>
      <c r="UMB41" s="549"/>
      <c r="UMC41" s="549"/>
      <c r="UMD41" s="549"/>
      <c r="UME41" s="549"/>
      <c r="UMF41" s="549"/>
      <c r="UMG41" s="549"/>
      <c r="UMH41" s="549"/>
      <c r="UMI41" s="549"/>
      <c r="UMJ41" s="549"/>
      <c r="UMK41" s="549"/>
      <c r="UML41" s="549"/>
      <c r="UMM41" s="549"/>
      <c r="UMN41" s="549"/>
      <c r="UMO41" s="549"/>
      <c r="UMP41" s="549"/>
      <c r="UMQ41" s="549"/>
      <c r="UMR41" s="549"/>
      <c r="UMS41" s="549"/>
      <c r="UMT41" s="549"/>
      <c r="UMU41" s="549"/>
      <c r="UMV41" s="549"/>
      <c r="UMW41" s="549"/>
      <c r="UMX41" s="549"/>
      <c r="UMY41" s="549"/>
      <c r="UMZ41" s="549"/>
      <c r="UNA41" s="549"/>
      <c r="UNB41" s="549"/>
      <c r="UNC41" s="549"/>
      <c r="UND41" s="549"/>
      <c r="UNE41" s="549"/>
      <c r="UNF41" s="549"/>
      <c r="UNG41" s="549"/>
      <c r="UNH41" s="549"/>
      <c r="UNI41" s="549"/>
      <c r="UNJ41" s="549"/>
      <c r="UNK41" s="549"/>
      <c r="UNL41" s="549"/>
      <c r="UNM41" s="549"/>
      <c r="UNN41" s="549"/>
      <c r="UNO41" s="549"/>
      <c r="UNP41" s="549"/>
      <c r="UNQ41" s="549"/>
      <c r="UNR41" s="549"/>
      <c r="UNS41" s="549"/>
      <c r="UNT41" s="549"/>
      <c r="UNU41" s="549"/>
      <c r="UNV41" s="549"/>
      <c r="UNW41" s="549"/>
      <c r="UNX41" s="549"/>
      <c r="UNY41" s="549"/>
      <c r="UNZ41" s="549"/>
      <c r="UOA41" s="549"/>
      <c r="UOB41" s="549"/>
      <c r="UOC41" s="549"/>
      <c r="UOD41" s="549"/>
      <c r="UOE41" s="549"/>
      <c r="UOF41" s="549"/>
      <c r="UOG41" s="549"/>
      <c r="UOH41" s="549"/>
      <c r="UOI41" s="549"/>
      <c r="UOJ41" s="549"/>
      <c r="UOK41" s="549"/>
      <c r="UOL41" s="549"/>
      <c r="UOM41" s="549"/>
      <c r="UON41" s="549"/>
      <c r="UOO41" s="549"/>
      <c r="UOP41" s="549"/>
      <c r="UOQ41" s="549"/>
      <c r="UOR41" s="549"/>
      <c r="UOS41" s="549"/>
      <c r="UOT41" s="549"/>
      <c r="UOU41" s="549"/>
      <c r="UOV41" s="549"/>
      <c r="UOW41" s="549"/>
      <c r="UOX41" s="549"/>
      <c r="UOY41" s="549"/>
      <c r="UOZ41" s="549"/>
      <c r="UPA41" s="549"/>
      <c r="UPB41" s="549"/>
      <c r="UPC41" s="549"/>
      <c r="UPD41" s="549"/>
      <c r="UPE41" s="549"/>
      <c r="UPF41" s="549"/>
      <c r="UPG41" s="549"/>
      <c r="UPH41" s="549"/>
      <c r="UPI41" s="549"/>
      <c r="UPJ41" s="549"/>
      <c r="UPK41" s="549"/>
      <c r="UPL41" s="549"/>
      <c r="UPM41" s="549"/>
      <c r="UPN41" s="549"/>
      <c r="UPO41" s="549"/>
      <c r="UPP41" s="549"/>
      <c r="UPQ41" s="549"/>
      <c r="UPR41" s="549"/>
      <c r="UPS41" s="549"/>
      <c r="UPT41" s="549"/>
      <c r="UPU41" s="549"/>
      <c r="UPV41" s="549"/>
      <c r="UPW41" s="549"/>
      <c r="UPX41" s="549"/>
      <c r="UPY41" s="549"/>
      <c r="UPZ41" s="549"/>
      <c r="UQA41" s="549"/>
      <c r="UQB41" s="549"/>
      <c r="UQC41" s="549"/>
      <c r="UQD41" s="549"/>
      <c r="UQE41" s="549"/>
      <c r="UQF41" s="549"/>
      <c r="UQG41" s="549"/>
      <c r="UQH41" s="549"/>
      <c r="UQI41" s="549"/>
      <c r="UQJ41" s="549"/>
      <c r="UQK41" s="549"/>
      <c r="UQL41" s="549"/>
      <c r="UQM41" s="549"/>
      <c r="UQN41" s="549"/>
      <c r="UQO41" s="549"/>
      <c r="UQP41" s="549"/>
      <c r="UQQ41" s="549"/>
      <c r="UQR41" s="549"/>
      <c r="UQS41" s="549"/>
      <c r="UQT41" s="549"/>
      <c r="UQU41" s="549"/>
      <c r="UQV41" s="549"/>
      <c r="UQW41" s="549"/>
      <c r="UQX41" s="549"/>
      <c r="UQY41" s="549"/>
      <c r="UQZ41" s="549"/>
      <c r="URA41" s="549"/>
      <c r="URB41" s="549"/>
      <c r="URC41" s="549"/>
      <c r="URD41" s="549"/>
      <c r="URE41" s="549"/>
      <c r="URF41" s="549"/>
      <c r="URG41" s="549"/>
      <c r="URH41" s="549"/>
      <c r="URI41" s="549"/>
      <c r="URJ41" s="549"/>
      <c r="URK41" s="549"/>
      <c r="URL41" s="549"/>
      <c r="URM41" s="549"/>
      <c r="URN41" s="549"/>
      <c r="URO41" s="549"/>
      <c r="URP41" s="549"/>
      <c r="URQ41" s="549"/>
      <c r="URR41" s="549"/>
      <c r="URS41" s="549"/>
      <c r="URT41" s="549"/>
      <c r="URU41" s="549"/>
      <c r="URV41" s="549"/>
      <c r="URW41" s="549"/>
      <c r="URX41" s="549"/>
      <c r="URY41" s="549"/>
      <c r="URZ41" s="549"/>
      <c r="USA41" s="549"/>
      <c r="USB41" s="549"/>
      <c r="USC41" s="549"/>
      <c r="USD41" s="549"/>
      <c r="USE41" s="549"/>
      <c r="USF41" s="549"/>
      <c r="USG41" s="549"/>
      <c r="USH41" s="549"/>
      <c r="USI41" s="549"/>
      <c r="USJ41" s="549"/>
      <c r="USK41" s="549"/>
      <c r="USL41" s="549"/>
      <c r="USM41" s="549"/>
      <c r="USN41" s="549"/>
      <c r="USO41" s="549"/>
      <c r="USP41" s="549"/>
      <c r="USQ41" s="549"/>
      <c r="USR41" s="549"/>
      <c r="USS41" s="549"/>
      <c r="UST41" s="549"/>
      <c r="USU41" s="549"/>
      <c r="USV41" s="549"/>
      <c r="USW41" s="549"/>
      <c r="USX41" s="549"/>
      <c r="USY41" s="549"/>
      <c r="USZ41" s="549"/>
      <c r="UTA41" s="549"/>
      <c r="UTB41" s="549"/>
      <c r="UTC41" s="549"/>
      <c r="UTD41" s="549"/>
      <c r="UTE41" s="549"/>
      <c r="UTF41" s="549"/>
      <c r="UTG41" s="549"/>
      <c r="UTH41" s="549"/>
      <c r="UTI41" s="549"/>
      <c r="UTJ41" s="549"/>
      <c r="UTK41" s="549"/>
      <c r="UTL41" s="549"/>
      <c r="UTM41" s="549"/>
      <c r="UTN41" s="549"/>
      <c r="UTO41" s="549"/>
      <c r="UTP41" s="549"/>
      <c r="UTQ41" s="549"/>
      <c r="UTR41" s="549"/>
      <c r="UTS41" s="549"/>
      <c r="UTT41" s="549"/>
      <c r="UTU41" s="549"/>
      <c r="UTV41" s="549"/>
      <c r="UTW41" s="549"/>
      <c r="UTX41" s="549"/>
      <c r="UTY41" s="549"/>
      <c r="UTZ41" s="549"/>
      <c r="UUA41" s="549"/>
      <c r="UUB41" s="549"/>
      <c r="UUC41" s="549"/>
      <c r="UUD41" s="549"/>
      <c r="UUE41" s="549"/>
      <c r="UUF41" s="549"/>
      <c r="UUG41" s="549"/>
      <c r="UUH41" s="549"/>
      <c r="UUI41" s="549"/>
      <c r="UUJ41" s="549"/>
      <c r="UUK41" s="549"/>
      <c r="UUL41" s="549"/>
      <c r="UUM41" s="549"/>
      <c r="UUN41" s="549"/>
      <c r="UUO41" s="549"/>
      <c r="UUP41" s="549"/>
      <c r="UUQ41" s="549"/>
      <c r="UUR41" s="549"/>
      <c r="UUS41" s="549"/>
      <c r="UUT41" s="549"/>
      <c r="UUU41" s="549"/>
      <c r="UUV41" s="549"/>
      <c r="UUW41" s="549"/>
      <c r="UUX41" s="549"/>
      <c r="UUY41" s="549"/>
      <c r="UUZ41" s="549"/>
      <c r="UVA41" s="549"/>
      <c r="UVB41" s="549"/>
      <c r="UVC41" s="549"/>
      <c r="UVD41" s="549"/>
      <c r="UVE41" s="549"/>
      <c r="UVF41" s="549"/>
      <c r="UVG41" s="549"/>
      <c r="UVH41" s="549"/>
      <c r="UVI41" s="549"/>
      <c r="UVJ41" s="549"/>
      <c r="UVK41" s="549"/>
      <c r="UVL41" s="549"/>
      <c r="UVM41" s="549"/>
      <c r="UVN41" s="549"/>
      <c r="UVO41" s="549"/>
      <c r="UVP41" s="549"/>
      <c r="UVQ41" s="549"/>
      <c r="UVR41" s="549"/>
      <c r="UVS41" s="549"/>
      <c r="UVT41" s="549"/>
      <c r="UVU41" s="549"/>
      <c r="UVV41" s="549"/>
      <c r="UVW41" s="549"/>
      <c r="UVX41" s="549"/>
      <c r="UVY41" s="549"/>
      <c r="UVZ41" s="549"/>
      <c r="UWA41" s="549"/>
      <c r="UWB41" s="549"/>
      <c r="UWC41" s="549"/>
      <c r="UWD41" s="549"/>
      <c r="UWE41" s="549"/>
      <c r="UWF41" s="549"/>
      <c r="UWG41" s="549"/>
      <c r="UWH41" s="549"/>
      <c r="UWI41" s="549"/>
      <c r="UWJ41" s="549"/>
      <c r="UWK41" s="549"/>
      <c r="UWL41" s="549"/>
      <c r="UWM41" s="549"/>
      <c r="UWN41" s="549"/>
      <c r="UWO41" s="549"/>
      <c r="UWP41" s="549"/>
      <c r="UWQ41" s="549"/>
      <c r="UWR41" s="549"/>
      <c r="UWS41" s="549"/>
      <c r="UWT41" s="549"/>
      <c r="UWU41" s="549"/>
      <c r="UWV41" s="549"/>
      <c r="UWW41" s="549"/>
      <c r="UWX41" s="549"/>
      <c r="UWY41" s="549"/>
      <c r="UWZ41" s="549"/>
      <c r="UXA41" s="549"/>
      <c r="UXB41" s="549"/>
      <c r="UXC41" s="549"/>
      <c r="UXD41" s="549"/>
      <c r="UXE41" s="549"/>
      <c r="UXF41" s="549"/>
      <c r="UXG41" s="549"/>
      <c r="UXH41" s="549"/>
      <c r="UXI41" s="549"/>
      <c r="UXJ41" s="549"/>
      <c r="UXK41" s="549"/>
      <c r="UXL41" s="549"/>
      <c r="UXM41" s="549"/>
      <c r="UXN41" s="549"/>
      <c r="UXO41" s="549"/>
      <c r="UXP41" s="549"/>
      <c r="UXQ41" s="549"/>
      <c r="UXR41" s="549"/>
      <c r="UXS41" s="549"/>
      <c r="UXT41" s="549"/>
      <c r="UXU41" s="549"/>
      <c r="UXV41" s="549"/>
      <c r="UXW41" s="549"/>
      <c r="UXX41" s="549"/>
      <c r="UXY41" s="549"/>
      <c r="UXZ41" s="549"/>
      <c r="UYA41" s="549"/>
      <c r="UYB41" s="549"/>
      <c r="UYC41" s="549"/>
      <c r="UYD41" s="549"/>
      <c r="UYE41" s="549"/>
      <c r="UYF41" s="549"/>
      <c r="UYG41" s="549"/>
      <c r="UYH41" s="549"/>
      <c r="UYI41" s="549"/>
      <c r="UYJ41" s="549"/>
      <c r="UYK41" s="549"/>
      <c r="UYL41" s="549"/>
      <c r="UYM41" s="549"/>
      <c r="UYN41" s="549"/>
      <c r="UYO41" s="549"/>
      <c r="UYP41" s="549"/>
      <c r="UYQ41" s="549"/>
      <c r="UYR41" s="549"/>
      <c r="UYS41" s="549"/>
      <c r="UYT41" s="549"/>
      <c r="UYU41" s="549"/>
      <c r="UYV41" s="549"/>
      <c r="UYW41" s="549"/>
      <c r="UYX41" s="549"/>
      <c r="UYY41" s="549"/>
      <c r="UYZ41" s="549"/>
      <c r="UZA41" s="549"/>
      <c r="UZB41" s="549"/>
      <c r="UZC41" s="549"/>
      <c r="UZD41" s="549"/>
      <c r="UZE41" s="549"/>
      <c r="UZF41" s="549"/>
      <c r="UZG41" s="549"/>
      <c r="UZH41" s="549"/>
      <c r="UZI41" s="549"/>
      <c r="UZJ41" s="549"/>
      <c r="UZK41" s="549"/>
      <c r="UZL41" s="549"/>
      <c r="UZM41" s="549"/>
      <c r="UZN41" s="549"/>
      <c r="UZO41" s="549"/>
      <c r="UZP41" s="549"/>
      <c r="UZQ41" s="549"/>
      <c r="UZR41" s="549"/>
      <c r="UZS41" s="549"/>
      <c r="UZT41" s="549"/>
      <c r="UZU41" s="549"/>
      <c r="UZV41" s="549"/>
      <c r="UZW41" s="549"/>
      <c r="UZX41" s="549"/>
      <c r="UZY41" s="549"/>
      <c r="UZZ41" s="549"/>
      <c r="VAA41" s="549"/>
      <c r="VAB41" s="549"/>
      <c r="VAC41" s="549"/>
      <c r="VAD41" s="549"/>
      <c r="VAE41" s="549"/>
      <c r="VAF41" s="549"/>
      <c r="VAG41" s="549"/>
      <c r="VAH41" s="549"/>
      <c r="VAI41" s="549"/>
      <c r="VAJ41" s="549"/>
      <c r="VAK41" s="549"/>
      <c r="VAL41" s="549"/>
      <c r="VAM41" s="549"/>
      <c r="VAN41" s="549"/>
      <c r="VAO41" s="549"/>
      <c r="VAP41" s="549"/>
      <c r="VAQ41" s="549"/>
      <c r="VAR41" s="549"/>
      <c r="VAS41" s="549"/>
      <c r="VAT41" s="549"/>
      <c r="VAU41" s="549"/>
      <c r="VAV41" s="549"/>
      <c r="VAW41" s="549"/>
      <c r="VAX41" s="549"/>
      <c r="VAY41" s="549"/>
      <c r="VAZ41" s="549"/>
      <c r="VBA41" s="549"/>
      <c r="VBB41" s="549"/>
      <c r="VBC41" s="549"/>
      <c r="VBD41" s="549"/>
      <c r="VBE41" s="549"/>
      <c r="VBF41" s="549"/>
      <c r="VBG41" s="549"/>
      <c r="VBH41" s="549"/>
      <c r="VBI41" s="549"/>
      <c r="VBJ41" s="549"/>
      <c r="VBK41" s="549"/>
      <c r="VBL41" s="549"/>
      <c r="VBM41" s="549"/>
      <c r="VBN41" s="549"/>
      <c r="VBO41" s="549"/>
      <c r="VBP41" s="549"/>
      <c r="VBQ41" s="549"/>
      <c r="VBR41" s="549"/>
      <c r="VBS41" s="549"/>
      <c r="VBT41" s="549"/>
      <c r="VBU41" s="549"/>
      <c r="VBV41" s="549"/>
      <c r="VBW41" s="549"/>
      <c r="VBX41" s="549"/>
      <c r="VBY41" s="549"/>
      <c r="VBZ41" s="549"/>
      <c r="VCA41" s="549"/>
      <c r="VCB41" s="549"/>
      <c r="VCC41" s="549"/>
      <c r="VCD41" s="549"/>
      <c r="VCE41" s="549"/>
      <c r="VCF41" s="549"/>
      <c r="VCG41" s="549"/>
      <c r="VCH41" s="549"/>
      <c r="VCI41" s="549"/>
      <c r="VCJ41" s="549"/>
      <c r="VCK41" s="549"/>
      <c r="VCL41" s="549"/>
      <c r="VCM41" s="549"/>
      <c r="VCN41" s="549"/>
      <c r="VCO41" s="549"/>
      <c r="VCP41" s="549"/>
      <c r="VCQ41" s="549"/>
      <c r="VCR41" s="549"/>
      <c r="VCS41" s="549"/>
      <c r="VCT41" s="549"/>
      <c r="VCU41" s="549"/>
      <c r="VCV41" s="549"/>
      <c r="VCW41" s="549"/>
      <c r="VCX41" s="549"/>
      <c r="VCY41" s="549"/>
      <c r="VCZ41" s="549"/>
      <c r="VDA41" s="549"/>
      <c r="VDB41" s="549"/>
      <c r="VDC41" s="549"/>
      <c r="VDD41" s="549"/>
      <c r="VDE41" s="549"/>
      <c r="VDF41" s="549"/>
      <c r="VDG41" s="549"/>
      <c r="VDH41" s="549"/>
      <c r="VDI41" s="549"/>
      <c r="VDJ41" s="549"/>
      <c r="VDK41" s="549"/>
      <c r="VDL41" s="549"/>
      <c r="VDM41" s="549"/>
      <c r="VDN41" s="549"/>
      <c r="VDO41" s="549"/>
      <c r="VDP41" s="549"/>
      <c r="VDQ41" s="549"/>
      <c r="VDR41" s="549"/>
      <c r="VDS41" s="549"/>
      <c r="VDT41" s="549"/>
      <c r="VDU41" s="549"/>
      <c r="VDV41" s="549"/>
      <c r="VDW41" s="549"/>
      <c r="VDX41" s="549"/>
      <c r="VDY41" s="549"/>
      <c r="VDZ41" s="549"/>
      <c r="VEA41" s="549"/>
      <c r="VEB41" s="549"/>
      <c r="VEC41" s="549"/>
      <c r="VED41" s="549"/>
      <c r="VEE41" s="549"/>
      <c r="VEF41" s="549"/>
      <c r="VEG41" s="549"/>
      <c r="VEH41" s="549"/>
      <c r="VEI41" s="549"/>
      <c r="VEJ41" s="549"/>
      <c r="VEK41" s="549"/>
      <c r="VEL41" s="549"/>
      <c r="VEM41" s="549"/>
      <c r="VEN41" s="549"/>
      <c r="VEO41" s="549"/>
      <c r="VEP41" s="549"/>
      <c r="VEQ41" s="549"/>
      <c r="VER41" s="549"/>
      <c r="VES41" s="549"/>
      <c r="VET41" s="549"/>
      <c r="VEU41" s="549"/>
      <c r="VEV41" s="549"/>
      <c r="VEW41" s="549"/>
      <c r="VEX41" s="549"/>
      <c r="VEY41" s="549"/>
      <c r="VEZ41" s="549"/>
      <c r="VFA41" s="549"/>
      <c r="VFB41" s="549"/>
      <c r="VFC41" s="549"/>
      <c r="VFD41" s="549"/>
      <c r="VFE41" s="549"/>
      <c r="VFF41" s="549"/>
      <c r="VFG41" s="549"/>
      <c r="VFH41" s="549"/>
      <c r="VFI41" s="549"/>
      <c r="VFJ41" s="549"/>
      <c r="VFK41" s="549"/>
      <c r="VFL41" s="549"/>
      <c r="VFM41" s="549"/>
      <c r="VFN41" s="549"/>
      <c r="VFO41" s="549"/>
      <c r="VFP41" s="549"/>
      <c r="VFQ41" s="549"/>
      <c r="VFR41" s="549"/>
      <c r="VFS41" s="549"/>
      <c r="VFT41" s="549"/>
      <c r="VFU41" s="549"/>
      <c r="VFV41" s="549"/>
      <c r="VFW41" s="549"/>
      <c r="VFX41" s="549"/>
      <c r="VFY41" s="549"/>
      <c r="VFZ41" s="549"/>
      <c r="VGA41" s="549"/>
      <c r="VGB41" s="549"/>
      <c r="VGC41" s="549"/>
      <c r="VGD41" s="549"/>
      <c r="VGE41" s="549"/>
      <c r="VGF41" s="549"/>
      <c r="VGG41" s="549"/>
      <c r="VGH41" s="549"/>
      <c r="VGI41" s="549"/>
      <c r="VGJ41" s="549"/>
      <c r="VGK41" s="549"/>
      <c r="VGL41" s="549"/>
      <c r="VGM41" s="549"/>
      <c r="VGN41" s="549"/>
      <c r="VGO41" s="549"/>
      <c r="VGP41" s="549"/>
      <c r="VGQ41" s="549"/>
      <c r="VGR41" s="549"/>
      <c r="VGS41" s="549"/>
      <c r="VGT41" s="549"/>
      <c r="VGU41" s="549"/>
      <c r="VGV41" s="549"/>
      <c r="VGW41" s="549"/>
      <c r="VGX41" s="549"/>
      <c r="VGY41" s="549"/>
      <c r="VGZ41" s="549"/>
      <c r="VHA41" s="549"/>
      <c r="VHB41" s="549"/>
      <c r="VHC41" s="549"/>
      <c r="VHD41" s="549"/>
      <c r="VHE41" s="549"/>
      <c r="VHF41" s="549"/>
      <c r="VHG41" s="549"/>
      <c r="VHH41" s="549"/>
      <c r="VHI41" s="549"/>
      <c r="VHJ41" s="549"/>
      <c r="VHK41" s="549"/>
      <c r="VHL41" s="549"/>
      <c r="VHM41" s="549"/>
      <c r="VHN41" s="549"/>
      <c r="VHO41" s="549"/>
      <c r="VHP41" s="549"/>
      <c r="VHQ41" s="549"/>
      <c r="VHR41" s="549"/>
      <c r="VHS41" s="549"/>
      <c r="VHT41" s="549"/>
      <c r="VHU41" s="549"/>
      <c r="VHV41" s="549"/>
      <c r="VHW41" s="549"/>
      <c r="VHX41" s="549"/>
      <c r="VHY41" s="549"/>
      <c r="VHZ41" s="549"/>
      <c r="VIA41" s="549"/>
      <c r="VIB41" s="549"/>
      <c r="VIC41" s="549"/>
      <c r="VID41" s="549"/>
      <c r="VIE41" s="549"/>
      <c r="VIF41" s="549"/>
      <c r="VIG41" s="549"/>
      <c r="VIH41" s="549"/>
      <c r="VII41" s="549"/>
      <c r="VIJ41" s="549"/>
      <c r="VIK41" s="549"/>
      <c r="VIL41" s="549"/>
      <c r="VIM41" s="549"/>
      <c r="VIN41" s="549"/>
      <c r="VIO41" s="549"/>
      <c r="VIP41" s="549"/>
      <c r="VIQ41" s="549"/>
      <c r="VIR41" s="549"/>
      <c r="VIS41" s="549"/>
      <c r="VIT41" s="549"/>
      <c r="VIU41" s="549"/>
      <c r="VIV41" s="549"/>
      <c r="VIW41" s="549"/>
      <c r="VIX41" s="549"/>
      <c r="VIY41" s="549"/>
      <c r="VIZ41" s="549"/>
      <c r="VJA41" s="549"/>
      <c r="VJB41" s="549"/>
      <c r="VJC41" s="549"/>
      <c r="VJD41" s="549"/>
      <c r="VJE41" s="549"/>
      <c r="VJF41" s="549"/>
      <c r="VJG41" s="549"/>
      <c r="VJH41" s="549"/>
      <c r="VJI41" s="549"/>
      <c r="VJJ41" s="549"/>
      <c r="VJK41" s="549"/>
      <c r="VJL41" s="549"/>
      <c r="VJM41" s="549"/>
      <c r="VJN41" s="549"/>
      <c r="VJO41" s="549"/>
      <c r="VJP41" s="549"/>
      <c r="VJQ41" s="549"/>
      <c r="VJR41" s="549"/>
      <c r="VJS41" s="549"/>
      <c r="VJT41" s="549"/>
      <c r="VJU41" s="549"/>
      <c r="VJV41" s="549"/>
      <c r="VJW41" s="549"/>
      <c r="VJX41" s="549"/>
      <c r="VJY41" s="549"/>
      <c r="VJZ41" s="549"/>
      <c r="VKA41" s="549"/>
      <c r="VKB41" s="549"/>
      <c r="VKC41" s="549"/>
      <c r="VKD41" s="549"/>
      <c r="VKE41" s="549"/>
      <c r="VKF41" s="549"/>
      <c r="VKG41" s="549"/>
      <c r="VKH41" s="549"/>
      <c r="VKI41" s="549"/>
      <c r="VKJ41" s="549"/>
      <c r="VKK41" s="549"/>
      <c r="VKL41" s="549"/>
      <c r="VKM41" s="549"/>
      <c r="VKN41" s="549"/>
      <c r="VKO41" s="549"/>
      <c r="VKP41" s="549"/>
      <c r="VKQ41" s="549"/>
      <c r="VKR41" s="549"/>
      <c r="VKS41" s="549"/>
      <c r="VKT41" s="549"/>
      <c r="VKU41" s="549"/>
      <c r="VKV41" s="549"/>
      <c r="VKW41" s="549"/>
      <c r="VKX41" s="549"/>
      <c r="VKY41" s="549"/>
      <c r="VKZ41" s="549"/>
      <c r="VLA41" s="549"/>
      <c r="VLB41" s="549"/>
      <c r="VLC41" s="549"/>
      <c r="VLD41" s="549"/>
      <c r="VLE41" s="549"/>
      <c r="VLF41" s="549"/>
      <c r="VLG41" s="549"/>
      <c r="VLH41" s="549"/>
      <c r="VLI41" s="549"/>
      <c r="VLJ41" s="549"/>
      <c r="VLK41" s="549"/>
      <c r="VLL41" s="549"/>
      <c r="VLM41" s="549"/>
      <c r="VLN41" s="549"/>
      <c r="VLO41" s="549"/>
      <c r="VLP41" s="549"/>
      <c r="VLQ41" s="549"/>
      <c r="VLR41" s="549"/>
      <c r="VLS41" s="549"/>
      <c r="VLT41" s="549"/>
      <c r="VLU41" s="549"/>
      <c r="VLV41" s="549"/>
      <c r="VLW41" s="549"/>
      <c r="VLX41" s="549"/>
      <c r="VLY41" s="549"/>
      <c r="VLZ41" s="549"/>
      <c r="VMA41" s="549"/>
      <c r="VMB41" s="549"/>
      <c r="VMC41" s="549"/>
      <c r="VMD41" s="549"/>
      <c r="VME41" s="549"/>
      <c r="VMF41" s="549"/>
      <c r="VMG41" s="549"/>
      <c r="VMH41" s="549"/>
      <c r="VMI41" s="549"/>
      <c r="VMJ41" s="549"/>
      <c r="VMK41" s="549"/>
      <c r="VML41" s="549"/>
      <c r="VMM41" s="549"/>
      <c r="VMN41" s="549"/>
      <c r="VMO41" s="549"/>
      <c r="VMP41" s="549"/>
      <c r="VMQ41" s="549"/>
      <c r="VMR41" s="549"/>
      <c r="VMS41" s="549"/>
      <c r="VMT41" s="549"/>
      <c r="VMU41" s="549"/>
      <c r="VMV41" s="549"/>
      <c r="VMW41" s="549"/>
      <c r="VMX41" s="549"/>
      <c r="VMY41" s="549"/>
      <c r="VMZ41" s="549"/>
      <c r="VNA41" s="549"/>
      <c r="VNB41" s="549"/>
      <c r="VNC41" s="549"/>
      <c r="VND41" s="549"/>
      <c r="VNE41" s="549"/>
      <c r="VNF41" s="549"/>
      <c r="VNG41" s="549"/>
      <c r="VNH41" s="549"/>
      <c r="VNI41" s="549"/>
      <c r="VNJ41" s="549"/>
      <c r="VNK41" s="549"/>
      <c r="VNL41" s="549"/>
      <c r="VNM41" s="549"/>
      <c r="VNN41" s="549"/>
      <c r="VNO41" s="549"/>
      <c r="VNP41" s="549"/>
      <c r="VNQ41" s="549"/>
      <c r="VNR41" s="549"/>
      <c r="VNS41" s="549"/>
      <c r="VNT41" s="549"/>
      <c r="VNU41" s="549"/>
      <c r="VNV41" s="549"/>
      <c r="VNW41" s="549"/>
      <c r="VNX41" s="549"/>
      <c r="VNY41" s="549"/>
      <c r="VNZ41" s="549"/>
      <c r="VOA41" s="549"/>
      <c r="VOB41" s="549"/>
      <c r="VOC41" s="549"/>
      <c r="VOD41" s="549"/>
      <c r="VOE41" s="549"/>
      <c r="VOF41" s="549"/>
      <c r="VOG41" s="549"/>
      <c r="VOH41" s="549"/>
      <c r="VOI41" s="549"/>
      <c r="VOJ41" s="549"/>
      <c r="VOK41" s="549"/>
      <c r="VOL41" s="549"/>
      <c r="VOM41" s="549"/>
      <c r="VON41" s="549"/>
      <c r="VOO41" s="549"/>
      <c r="VOP41" s="549"/>
      <c r="VOQ41" s="549"/>
      <c r="VOR41" s="549"/>
      <c r="VOS41" s="549"/>
      <c r="VOT41" s="549"/>
      <c r="VOU41" s="549"/>
      <c r="VOV41" s="549"/>
      <c r="VOW41" s="549"/>
      <c r="VOX41" s="549"/>
      <c r="VOY41" s="549"/>
      <c r="VOZ41" s="549"/>
      <c r="VPA41" s="549"/>
      <c r="VPB41" s="549"/>
      <c r="VPC41" s="549"/>
      <c r="VPD41" s="549"/>
      <c r="VPE41" s="549"/>
      <c r="VPF41" s="549"/>
      <c r="VPG41" s="549"/>
      <c r="VPH41" s="549"/>
      <c r="VPI41" s="549"/>
      <c r="VPJ41" s="549"/>
      <c r="VPK41" s="549"/>
      <c r="VPL41" s="549"/>
      <c r="VPM41" s="549"/>
      <c r="VPN41" s="549"/>
      <c r="VPO41" s="549"/>
      <c r="VPP41" s="549"/>
      <c r="VPQ41" s="549"/>
      <c r="VPR41" s="549"/>
      <c r="VPS41" s="549"/>
      <c r="VPT41" s="549"/>
      <c r="VPU41" s="549"/>
      <c r="VPV41" s="549"/>
      <c r="VPW41" s="549"/>
      <c r="VPX41" s="549"/>
      <c r="VPY41" s="549"/>
      <c r="VPZ41" s="549"/>
      <c r="VQA41" s="549"/>
      <c r="VQB41" s="549"/>
      <c r="VQC41" s="549"/>
      <c r="VQD41" s="549"/>
      <c r="VQE41" s="549"/>
      <c r="VQF41" s="549"/>
      <c r="VQG41" s="549"/>
      <c r="VQH41" s="549"/>
      <c r="VQI41" s="549"/>
      <c r="VQJ41" s="549"/>
      <c r="VQK41" s="549"/>
      <c r="VQL41" s="549"/>
      <c r="VQM41" s="549"/>
      <c r="VQN41" s="549"/>
      <c r="VQO41" s="549"/>
      <c r="VQP41" s="549"/>
      <c r="VQQ41" s="549"/>
      <c r="VQR41" s="549"/>
      <c r="VQS41" s="549"/>
      <c r="VQT41" s="549"/>
      <c r="VQU41" s="549"/>
      <c r="VQV41" s="549"/>
      <c r="VQW41" s="549"/>
      <c r="VQX41" s="549"/>
      <c r="VQY41" s="549"/>
      <c r="VQZ41" s="549"/>
      <c r="VRA41" s="549"/>
      <c r="VRB41" s="549"/>
      <c r="VRC41" s="549"/>
      <c r="VRD41" s="549"/>
      <c r="VRE41" s="549"/>
      <c r="VRF41" s="549"/>
      <c r="VRG41" s="549"/>
      <c r="VRH41" s="549"/>
      <c r="VRI41" s="549"/>
      <c r="VRJ41" s="549"/>
      <c r="VRK41" s="549"/>
      <c r="VRL41" s="549"/>
      <c r="VRM41" s="549"/>
      <c r="VRN41" s="549"/>
      <c r="VRO41" s="549"/>
      <c r="VRP41" s="549"/>
      <c r="VRQ41" s="549"/>
      <c r="VRR41" s="549"/>
      <c r="VRS41" s="549"/>
      <c r="VRT41" s="549"/>
      <c r="VRU41" s="549"/>
      <c r="VRV41" s="549"/>
      <c r="VRW41" s="549"/>
      <c r="VRX41" s="549"/>
      <c r="VRY41" s="549"/>
      <c r="VRZ41" s="549"/>
      <c r="VSA41" s="549"/>
      <c r="VSB41" s="549"/>
      <c r="VSC41" s="549"/>
      <c r="VSD41" s="549"/>
      <c r="VSE41" s="549"/>
      <c r="VSF41" s="549"/>
      <c r="VSG41" s="549"/>
      <c r="VSH41" s="549"/>
      <c r="VSI41" s="549"/>
      <c r="VSJ41" s="549"/>
      <c r="VSK41" s="549"/>
      <c r="VSL41" s="549"/>
      <c r="VSM41" s="549"/>
      <c r="VSN41" s="549"/>
      <c r="VSO41" s="549"/>
      <c r="VSP41" s="549"/>
      <c r="VSQ41" s="549"/>
      <c r="VSR41" s="549"/>
      <c r="VSS41" s="549"/>
      <c r="VST41" s="549"/>
      <c r="VSU41" s="549"/>
      <c r="VSV41" s="549"/>
      <c r="VSW41" s="549"/>
      <c r="VSX41" s="549"/>
      <c r="VSY41" s="549"/>
      <c r="VSZ41" s="549"/>
      <c r="VTA41" s="549"/>
      <c r="VTB41" s="549"/>
      <c r="VTC41" s="549"/>
      <c r="VTD41" s="549"/>
      <c r="VTE41" s="549"/>
      <c r="VTF41" s="549"/>
      <c r="VTG41" s="549"/>
      <c r="VTH41" s="549"/>
      <c r="VTI41" s="549"/>
      <c r="VTJ41" s="549"/>
      <c r="VTK41" s="549"/>
      <c r="VTL41" s="549"/>
      <c r="VTM41" s="549"/>
      <c r="VTN41" s="549"/>
      <c r="VTO41" s="549"/>
      <c r="VTP41" s="549"/>
      <c r="VTQ41" s="549"/>
      <c r="VTR41" s="549"/>
      <c r="VTS41" s="549"/>
      <c r="VTT41" s="549"/>
      <c r="VTU41" s="549"/>
      <c r="VTV41" s="549"/>
      <c r="VTW41" s="549"/>
      <c r="VTX41" s="549"/>
      <c r="VTY41" s="549"/>
      <c r="VTZ41" s="549"/>
      <c r="VUA41" s="549"/>
      <c r="VUB41" s="549"/>
      <c r="VUC41" s="549"/>
      <c r="VUD41" s="549"/>
      <c r="VUE41" s="549"/>
      <c r="VUF41" s="549"/>
      <c r="VUG41" s="549"/>
      <c r="VUH41" s="549"/>
      <c r="VUI41" s="549"/>
      <c r="VUJ41" s="549"/>
      <c r="VUK41" s="549"/>
      <c r="VUL41" s="549"/>
      <c r="VUM41" s="549"/>
      <c r="VUN41" s="549"/>
      <c r="VUO41" s="549"/>
      <c r="VUP41" s="549"/>
      <c r="VUQ41" s="549"/>
      <c r="VUR41" s="549"/>
      <c r="VUS41" s="549"/>
      <c r="VUT41" s="549"/>
      <c r="VUU41" s="549"/>
      <c r="VUV41" s="549"/>
      <c r="VUW41" s="549"/>
      <c r="VUX41" s="549"/>
      <c r="VUY41" s="549"/>
      <c r="VUZ41" s="549"/>
      <c r="VVA41" s="549"/>
      <c r="VVB41" s="549"/>
      <c r="VVC41" s="549"/>
      <c r="VVD41" s="549"/>
      <c r="VVE41" s="549"/>
      <c r="VVF41" s="549"/>
      <c r="VVG41" s="549"/>
      <c r="VVH41" s="549"/>
      <c r="VVI41" s="549"/>
      <c r="VVJ41" s="549"/>
      <c r="VVK41" s="549"/>
      <c r="VVL41" s="549"/>
      <c r="VVM41" s="549"/>
      <c r="VVN41" s="549"/>
      <c r="VVO41" s="549"/>
      <c r="VVP41" s="549"/>
      <c r="VVQ41" s="549"/>
      <c r="VVR41" s="549"/>
      <c r="VVS41" s="549"/>
      <c r="VVT41" s="549"/>
      <c r="VVU41" s="549"/>
      <c r="VVV41" s="549"/>
      <c r="VVW41" s="549"/>
      <c r="VVX41" s="549"/>
      <c r="VVY41" s="549"/>
      <c r="VVZ41" s="549"/>
      <c r="VWA41" s="549"/>
      <c r="VWB41" s="549"/>
      <c r="VWC41" s="549"/>
      <c r="VWD41" s="549"/>
      <c r="VWE41" s="549"/>
      <c r="VWF41" s="549"/>
      <c r="VWG41" s="549"/>
      <c r="VWH41" s="549"/>
      <c r="VWI41" s="549"/>
      <c r="VWJ41" s="549"/>
      <c r="VWK41" s="549"/>
      <c r="VWL41" s="549"/>
      <c r="VWM41" s="549"/>
      <c r="VWN41" s="549"/>
      <c r="VWO41" s="549"/>
      <c r="VWP41" s="549"/>
      <c r="VWQ41" s="549"/>
      <c r="VWR41" s="549"/>
      <c r="VWS41" s="549"/>
      <c r="VWT41" s="549"/>
      <c r="VWU41" s="549"/>
      <c r="VWV41" s="549"/>
      <c r="VWW41" s="549"/>
      <c r="VWX41" s="549"/>
      <c r="VWY41" s="549"/>
      <c r="VWZ41" s="549"/>
      <c r="VXA41" s="549"/>
      <c r="VXB41" s="549"/>
      <c r="VXC41" s="549"/>
      <c r="VXD41" s="549"/>
      <c r="VXE41" s="549"/>
      <c r="VXF41" s="549"/>
      <c r="VXG41" s="549"/>
      <c r="VXH41" s="549"/>
      <c r="VXI41" s="549"/>
      <c r="VXJ41" s="549"/>
      <c r="VXK41" s="549"/>
      <c r="VXL41" s="549"/>
      <c r="VXM41" s="549"/>
      <c r="VXN41" s="549"/>
      <c r="VXO41" s="549"/>
      <c r="VXP41" s="549"/>
      <c r="VXQ41" s="549"/>
      <c r="VXR41" s="549"/>
      <c r="VXS41" s="549"/>
      <c r="VXT41" s="549"/>
      <c r="VXU41" s="549"/>
      <c r="VXV41" s="549"/>
      <c r="VXW41" s="549"/>
      <c r="VXX41" s="549"/>
      <c r="VXY41" s="549"/>
      <c r="VXZ41" s="549"/>
      <c r="VYA41" s="549"/>
      <c r="VYB41" s="549"/>
      <c r="VYC41" s="549"/>
      <c r="VYD41" s="549"/>
      <c r="VYE41" s="549"/>
      <c r="VYF41" s="549"/>
      <c r="VYG41" s="549"/>
      <c r="VYH41" s="549"/>
      <c r="VYI41" s="549"/>
      <c r="VYJ41" s="549"/>
      <c r="VYK41" s="549"/>
      <c r="VYL41" s="549"/>
      <c r="VYM41" s="549"/>
      <c r="VYN41" s="549"/>
      <c r="VYO41" s="549"/>
      <c r="VYP41" s="549"/>
      <c r="VYQ41" s="549"/>
      <c r="VYR41" s="549"/>
      <c r="VYS41" s="549"/>
      <c r="VYT41" s="549"/>
      <c r="VYU41" s="549"/>
      <c r="VYV41" s="549"/>
      <c r="VYW41" s="549"/>
      <c r="VYX41" s="549"/>
      <c r="VYY41" s="549"/>
      <c r="VYZ41" s="549"/>
      <c r="VZA41" s="549"/>
      <c r="VZB41" s="549"/>
      <c r="VZC41" s="549"/>
      <c r="VZD41" s="549"/>
      <c r="VZE41" s="549"/>
      <c r="VZF41" s="549"/>
      <c r="VZG41" s="549"/>
      <c r="VZH41" s="549"/>
      <c r="VZI41" s="549"/>
      <c r="VZJ41" s="549"/>
      <c r="VZK41" s="549"/>
      <c r="VZL41" s="549"/>
      <c r="VZM41" s="549"/>
      <c r="VZN41" s="549"/>
      <c r="VZO41" s="549"/>
      <c r="VZP41" s="549"/>
      <c r="VZQ41" s="549"/>
      <c r="VZR41" s="549"/>
      <c r="VZS41" s="549"/>
      <c r="VZT41" s="549"/>
      <c r="VZU41" s="549"/>
      <c r="VZV41" s="549"/>
      <c r="VZW41" s="549"/>
      <c r="VZX41" s="549"/>
      <c r="VZY41" s="549"/>
      <c r="VZZ41" s="549"/>
      <c r="WAA41" s="549"/>
      <c r="WAB41" s="549"/>
      <c r="WAC41" s="549"/>
      <c r="WAD41" s="549"/>
      <c r="WAE41" s="549"/>
      <c r="WAF41" s="549"/>
      <c r="WAG41" s="549"/>
      <c r="WAH41" s="549"/>
      <c r="WAI41" s="549"/>
      <c r="WAJ41" s="549"/>
      <c r="WAK41" s="549"/>
      <c r="WAL41" s="549"/>
      <c r="WAM41" s="549"/>
      <c r="WAN41" s="549"/>
      <c r="WAO41" s="549"/>
      <c r="WAP41" s="549"/>
      <c r="WAQ41" s="549"/>
      <c r="WAR41" s="549"/>
      <c r="WAS41" s="549"/>
      <c r="WAT41" s="549"/>
      <c r="WAU41" s="549"/>
      <c r="WAV41" s="549"/>
      <c r="WAW41" s="549"/>
      <c r="WAX41" s="549"/>
      <c r="WAY41" s="549"/>
      <c r="WAZ41" s="549"/>
      <c r="WBA41" s="549"/>
      <c r="WBB41" s="549"/>
      <c r="WBC41" s="549"/>
      <c r="WBD41" s="549"/>
      <c r="WBE41" s="549"/>
      <c r="WBF41" s="549"/>
      <c r="WBG41" s="549"/>
      <c r="WBH41" s="549"/>
      <c r="WBI41" s="549"/>
      <c r="WBJ41" s="549"/>
      <c r="WBK41" s="549"/>
      <c r="WBL41" s="549"/>
      <c r="WBM41" s="549"/>
      <c r="WBN41" s="549"/>
      <c r="WBO41" s="549"/>
      <c r="WBP41" s="549"/>
      <c r="WBQ41" s="549"/>
      <c r="WBR41" s="549"/>
      <c r="WBS41" s="549"/>
      <c r="WBT41" s="549"/>
      <c r="WBU41" s="549"/>
      <c r="WBV41" s="549"/>
      <c r="WBW41" s="549"/>
      <c r="WBX41" s="549"/>
      <c r="WBY41" s="549"/>
      <c r="WBZ41" s="549"/>
      <c r="WCA41" s="549"/>
      <c r="WCB41" s="549"/>
      <c r="WCC41" s="549"/>
      <c r="WCD41" s="549"/>
      <c r="WCE41" s="549"/>
      <c r="WCF41" s="549"/>
      <c r="WCG41" s="549"/>
      <c r="WCH41" s="549"/>
      <c r="WCI41" s="549"/>
      <c r="WCJ41" s="549"/>
      <c r="WCK41" s="549"/>
      <c r="WCL41" s="549"/>
      <c r="WCM41" s="549"/>
      <c r="WCN41" s="549"/>
      <c r="WCO41" s="549"/>
      <c r="WCP41" s="549"/>
      <c r="WCQ41" s="549"/>
      <c r="WCR41" s="549"/>
      <c r="WCS41" s="549"/>
      <c r="WCT41" s="549"/>
      <c r="WCU41" s="549"/>
      <c r="WCV41" s="549"/>
      <c r="WCW41" s="549"/>
      <c r="WCX41" s="549"/>
      <c r="WCY41" s="549"/>
      <c r="WCZ41" s="549"/>
      <c r="WDA41" s="549"/>
      <c r="WDB41" s="549"/>
      <c r="WDC41" s="549"/>
      <c r="WDD41" s="549"/>
      <c r="WDE41" s="549"/>
      <c r="WDF41" s="549"/>
      <c r="WDG41" s="549"/>
      <c r="WDH41" s="549"/>
      <c r="WDI41" s="549"/>
      <c r="WDJ41" s="549"/>
      <c r="WDK41" s="549"/>
      <c r="WDL41" s="549"/>
      <c r="WDM41" s="549"/>
      <c r="WDN41" s="549"/>
      <c r="WDO41" s="549"/>
      <c r="WDP41" s="549"/>
      <c r="WDQ41" s="549"/>
      <c r="WDR41" s="549"/>
      <c r="WDS41" s="549"/>
      <c r="WDT41" s="549"/>
      <c r="WDU41" s="549"/>
      <c r="WDV41" s="549"/>
      <c r="WDW41" s="549"/>
      <c r="WDX41" s="549"/>
      <c r="WDY41" s="549"/>
      <c r="WDZ41" s="549"/>
      <c r="WEA41" s="549"/>
      <c r="WEB41" s="549"/>
      <c r="WEC41" s="549"/>
      <c r="WED41" s="549"/>
      <c r="WEE41" s="549"/>
      <c r="WEF41" s="549"/>
      <c r="WEG41" s="549"/>
      <c r="WEH41" s="549"/>
      <c r="WEI41" s="549"/>
      <c r="WEJ41" s="549"/>
      <c r="WEK41" s="549"/>
      <c r="WEL41" s="549"/>
      <c r="WEM41" s="549"/>
      <c r="WEN41" s="549"/>
      <c r="WEO41" s="549"/>
      <c r="WEP41" s="549"/>
      <c r="WEQ41" s="549"/>
      <c r="WER41" s="549"/>
      <c r="WES41" s="549"/>
      <c r="WET41" s="549"/>
      <c r="WEU41" s="549"/>
      <c r="WEV41" s="549"/>
      <c r="WEW41" s="549"/>
      <c r="WEX41" s="549"/>
      <c r="WEY41" s="549"/>
      <c r="WEZ41" s="549"/>
      <c r="WFA41" s="549"/>
      <c r="WFB41" s="549"/>
      <c r="WFC41" s="549"/>
      <c r="WFD41" s="549"/>
      <c r="WFE41" s="549"/>
      <c r="WFF41" s="549"/>
      <c r="WFG41" s="549"/>
      <c r="WFH41" s="549"/>
      <c r="WFI41" s="549"/>
      <c r="WFJ41" s="549"/>
      <c r="WFK41" s="549"/>
      <c r="WFL41" s="549"/>
      <c r="WFM41" s="549"/>
      <c r="WFN41" s="549"/>
      <c r="WFO41" s="549"/>
      <c r="WFP41" s="549"/>
      <c r="WFQ41" s="549"/>
      <c r="WFR41" s="549"/>
      <c r="WFS41" s="549"/>
      <c r="WFT41" s="549"/>
      <c r="WFU41" s="549"/>
      <c r="WFV41" s="549"/>
      <c r="WFW41" s="549"/>
      <c r="WFX41" s="549"/>
      <c r="WFY41" s="549"/>
      <c r="WFZ41" s="549"/>
      <c r="WGA41" s="549"/>
      <c r="WGB41" s="549"/>
      <c r="WGC41" s="549"/>
      <c r="WGD41" s="549"/>
      <c r="WGE41" s="549"/>
      <c r="WGF41" s="549"/>
      <c r="WGG41" s="549"/>
      <c r="WGH41" s="549"/>
      <c r="WGI41" s="549"/>
      <c r="WGJ41" s="549"/>
      <c r="WGK41" s="549"/>
      <c r="WGL41" s="549"/>
      <c r="WGM41" s="549"/>
      <c r="WGN41" s="549"/>
      <c r="WGO41" s="549"/>
      <c r="WGP41" s="549"/>
      <c r="WGQ41" s="549"/>
      <c r="WGR41" s="549"/>
      <c r="WGS41" s="549"/>
      <c r="WGT41" s="549"/>
      <c r="WGU41" s="549"/>
      <c r="WGV41" s="549"/>
      <c r="WGW41" s="549"/>
      <c r="WGX41" s="549"/>
      <c r="WGY41" s="549"/>
      <c r="WGZ41" s="549"/>
      <c r="WHA41" s="549"/>
      <c r="WHB41" s="549"/>
      <c r="WHC41" s="549"/>
      <c r="WHD41" s="549"/>
      <c r="WHE41" s="549"/>
      <c r="WHF41" s="549"/>
      <c r="WHG41" s="549"/>
      <c r="WHH41" s="549"/>
      <c r="WHI41" s="549"/>
      <c r="WHJ41" s="549"/>
      <c r="WHK41" s="549"/>
      <c r="WHL41" s="549"/>
      <c r="WHM41" s="549"/>
      <c r="WHN41" s="549"/>
      <c r="WHO41" s="549"/>
      <c r="WHP41" s="549"/>
      <c r="WHQ41" s="549"/>
      <c r="WHR41" s="549"/>
      <c r="WHS41" s="549"/>
      <c r="WHT41" s="549"/>
      <c r="WHU41" s="549"/>
      <c r="WHV41" s="549"/>
      <c r="WHW41" s="549"/>
      <c r="WHX41" s="549"/>
      <c r="WHY41" s="549"/>
      <c r="WHZ41" s="549"/>
      <c r="WIA41" s="549"/>
      <c r="WIB41" s="549"/>
      <c r="WIC41" s="549"/>
      <c r="WID41" s="549"/>
      <c r="WIE41" s="549"/>
      <c r="WIF41" s="549"/>
      <c r="WIG41" s="549"/>
      <c r="WIH41" s="549"/>
      <c r="WII41" s="549"/>
      <c r="WIJ41" s="549"/>
      <c r="WIK41" s="549"/>
      <c r="WIL41" s="549"/>
      <c r="WIM41" s="549"/>
      <c r="WIN41" s="549"/>
      <c r="WIO41" s="549"/>
      <c r="WIP41" s="549"/>
      <c r="WIQ41" s="549"/>
      <c r="WIR41" s="549"/>
      <c r="WIS41" s="549"/>
      <c r="WIT41" s="549"/>
      <c r="WIU41" s="549"/>
      <c r="WIV41" s="549"/>
      <c r="WIW41" s="549"/>
      <c r="WIX41" s="549"/>
      <c r="WIY41" s="549"/>
      <c r="WIZ41" s="549"/>
      <c r="WJA41" s="549"/>
      <c r="WJB41" s="549"/>
      <c r="WJC41" s="549"/>
      <c r="WJD41" s="549"/>
      <c r="WJE41" s="549"/>
      <c r="WJF41" s="549"/>
      <c r="WJG41" s="549"/>
      <c r="WJH41" s="549"/>
      <c r="WJI41" s="549"/>
      <c r="WJJ41" s="549"/>
      <c r="WJK41" s="549"/>
      <c r="WJL41" s="549"/>
      <c r="WJM41" s="549"/>
      <c r="WJN41" s="549"/>
      <c r="WJO41" s="549"/>
      <c r="WJP41" s="549"/>
      <c r="WJQ41" s="549"/>
      <c r="WJR41" s="549"/>
      <c r="WJS41" s="549"/>
      <c r="WJT41" s="549"/>
      <c r="WJU41" s="549"/>
      <c r="WJV41" s="549"/>
      <c r="WJW41" s="549"/>
      <c r="WJX41" s="549"/>
      <c r="WJY41" s="549"/>
      <c r="WJZ41" s="549"/>
      <c r="WKA41" s="549"/>
      <c r="WKB41" s="549"/>
      <c r="WKC41" s="549"/>
      <c r="WKD41" s="549"/>
      <c r="WKE41" s="549"/>
      <c r="WKF41" s="549"/>
      <c r="WKG41" s="549"/>
      <c r="WKH41" s="549"/>
      <c r="WKI41" s="549"/>
      <c r="WKJ41" s="549"/>
      <c r="WKK41" s="549"/>
      <c r="WKL41" s="549"/>
      <c r="WKM41" s="549"/>
      <c r="WKN41" s="549"/>
      <c r="WKO41" s="549"/>
      <c r="WKP41" s="549"/>
      <c r="WKQ41" s="549"/>
      <c r="WKR41" s="549"/>
      <c r="WKS41" s="549"/>
      <c r="WKT41" s="549"/>
      <c r="WKU41" s="549"/>
      <c r="WKV41" s="549"/>
      <c r="WKW41" s="549"/>
      <c r="WKX41" s="549"/>
      <c r="WKY41" s="549"/>
      <c r="WKZ41" s="549"/>
      <c r="WLA41" s="549"/>
      <c r="WLB41" s="549"/>
      <c r="WLC41" s="549"/>
      <c r="WLD41" s="549"/>
      <c r="WLE41" s="549"/>
      <c r="WLF41" s="549"/>
      <c r="WLG41" s="549"/>
      <c r="WLH41" s="549"/>
      <c r="WLI41" s="549"/>
      <c r="WLJ41" s="549"/>
      <c r="WLK41" s="549"/>
      <c r="WLL41" s="549"/>
      <c r="WLM41" s="549"/>
      <c r="WLN41" s="549"/>
      <c r="WLO41" s="549"/>
      <c r="WLP41" s="549"/>
      <c r="WLQ41" s="549"/>
      <c r="WLR41" s="549"/>
      <c r="WLS41" s="549"/>
      <c r="WLT41" s="549"/>
      <c r="WLU41" s="549"/>
      <c r="WLV41" s="549"/>
      <c r="WLW41" s="549"/>
      <c r="WLX41" s="549"/>
      <c r="WLY41" s="549"/>
      <c r="WLZ41" s="549"/>
      <c r="WMA41" s="549"/>
      <c r="WMB41" s="549"/>
      <c r="WMC41" s="549"/>
      <c r="WMD41" s="549"/>
      <c r="WME41" s="549"/>
      <c r="WMF41" s="549"/>
      <c r="WMG41" s="549"/>
      <c r="WMH41" s="549"/>
      <c r="WMI41" s="549"/>
      <c r="WMJ41" s="549"/>
      <c r="WMK41" s="549"/>
      <c r="WML41" s="549"/>
      <c r="WMM41" s="549"/>
      <c r="WMN41" s="549"/>
      <c r="WMO41" s="549"/>
      <c r="WMP41" s="549"/>
      <c r="WMQ41" s="549"/>
      <c r="WMR41" s="549"/>
      <c r="WMS41" s="549"/>
      <c r="WMT41" s="549"/>
      <c r="WMU41" s="549"/>
      <c r="WMV41" s="549"/>
      <c r="WMW41" s="549"/>
      <c r="WMX41" s="549"/>
      <c r="WMY41" s="549"/>
      <c r="WMZ41" s="549"/>
      <c r="WNA41" s="549"/>
      <c r="WNB41" s="549"/>
      <c r="WNC41" s="549"/>
      <c r="WND41" s="549"/>
      <c r="WNE41" s="549"/>
      <c r="WNF41" s="549"/>
      <c r="WNG41" s="549"/>
      <c r="WNH41" s="549"/>
      <c r="WNI41" s="549"/>
      <c r="WNJ41" s="549"/>
      <c r="WNK41" s="549"/>
      <c r="WNL41" s="549"/>
      <c r="WNM41" s="549"/>
      <c r="WNN41" s="549"/>
      <c r="WNO41" s="549"/>
      <c r="WNP41" s="549"/>
      <c r="WNQ41" s="549"/>
      <c r="WNR41" s="549"/>
      <c r="WNS41" s="549"/>
      <c r="WNT41" s="549"/>
      <c r="WNU41" s="549"/>
      <c r="WNV41" s="549"/>
      <c r="WNW41" s="549"/>
      <c r="WNX41" s="549"/>
      <c r="WNY41" s="549"/>
      <c r="WNZ41" s="549"/>
      <c r="WOA41" s="549"/>
      <c r="WOB41" s="549"/>
      <c r="WOC41" s="549"/>
      <c r="WOD41" s="549"/>
      <c r="WOE41" s="549"/>
      <c r="WOF41" s="549"/>
      <c r="WOG41" s="549"/>
      <c r="WOH41" s="549"/>
      <c r="WOI41" s="549"/>
      <c r="WOJ41" s="549"/>
      <c r="WOK41" s="549"/>
      <c r="WOL41" s="549"/>
      <c r="WOM41" s="549"/>
      <c r="WON41" s="549"/>
      <c r="WOO41" s="549"/>
      <c r="WOP41" s="549"/>
      <c r="WOQ41" s="549"/>
      <c r="WOR41" s="549"/>
      <c r="WOS41" s="549"/>
      <c r="WOT41" s="549"/>
      <c r="WOU41" s="549"/>
      <c r="WOV41" s="549"/>
      <c r="WOW41" s="549"/>
      <c r="WOX41" s="549"/>
      <c r="WOY41" s="549"/>
      <c r="WOZ41" s="549"/>
      <c r="WPA41" s="549"/>
      <c r="WPB41" s="549"/>
      <c r="WPC41" s="549"/>
      <c r="WPD41" s="549"/>
      <c r="WPE41" s="549"/>
      <c r="WPF41" s="549"/>
      <c r="WPG41" s="549"/>
      <c r="WPH41" s="549"/>
      <c r="WPI41" s="549"/>
      <c r="WPJ41" s="549"/>
      <c r="WPK41" s="549"/>
      <c r="WPL41" s="549"/>
      <c r="WPM41" s="549"/>
      <c r="WPN41" s="549"/>
      <c r="WPO41" s="549"/>
      <c r="WPP41" s="549"/>
      <c r="WPQ41" s="549"/>
      <c r="WPR41" s="549"/>
      <c r="WPS41" s="549"/>
      <c r="WPT41" s="549"/>
      <c r="WPU41" s="549"/>
      <c r="WPV41" s="549"/>
      <c r="WPW41" s="549"/>
      <c r="WPX41" s="549"/>
      <c r="WPY41" s="549"/>
      <c r="WPZ41" s="549"/>
      <c r="WQA41" s="549"/>
      <c r="WQB41" s="549"/>
      <c r="WQC41" s="549"/>
      <c r="WQD41" s="549"/>
      <c r="WQE41" s="549"/>
      <c r="WQF41" s="549"/>
      <c r="WQG41" s="549"/>
      <c r="WQH41" s="549"/>
      <c r="WQI41" s="549"/>
      <c r="WQJ41" s="549"/>
      <c r="WQK41" s="549"/>
      <c r="WQL41" s="549"/>
      <c r="WQM41" s="549"/>
      <c r="WQN41" s="549"/>
      <c r="WQO41" s="549"/>
      <c r="WQP41" s="549"/>
      <c r="WQQ41" s="549"/>
      <c r="WQR41" s="549"/>
      <c r="WQS41" s="549"/>
      <c r="WQT41" s="549"/>
      <c r="WQU41" s="549"/>
      <c r="WQV41" s="549"/>
      <c r="WQW41" s="549"/>
      <c r="WQX41" s="549"/>
      <c r="WQY41" s="549"/>
      <c r="WQZ41" s="549"/>
      <c r="WRA41" s="549"/>
      <c r="WRB41" s="549"/>
      <c r="WRC41" s="549"/>
      <c r="WRD41" s="549"/>
      <c r="WRE41" s="549"/>
      <c r="WRF41" s="549"/>
      <c r="WRG41" s="549"/>
      <c r="WRH41" s="549"/>
      <c r="WRI41" s="549"/>
      <c r="WRJ41" s="549"/>
      <c r="WRK41" s="549"/>
      <c r="WRL41" s="549"/>
      <c r="WRM41" s="549"/>
      <c r="WRN41" s="549"/>
      <c r="WRO41" s="549"/>
      <c r="WRP41" s="549"/>
      <c r="WRQ41" s="549"/>
      <c r="WRR41" s="549"/>
      <c r="WRS41" s="549"/>
      <c r="WRT41" s="549"/>
      <c r="WRU41" s="549"/>
      <c r="WRV41" s="549"/>
      <c r="WRW41" s="549"/>
      <c r="WRX41" s="549"/>
      <c r="WRY41" s="549"/>
      <c r="WRZ41" s="549"/>
      <c r="WSA41" s="549"/>
      <c r="WSB41" s="549"/>
      <c r="WSC41" s="549"/>
      <c r="WSD41" s="549"/>
      <c r="WSE41" s="549"/>
      <c r="WSF41" s="549"/>
      <c r="WSG41" s="549"/>
      <c r="WSH41" s="549"/>
      <c r="WSI41" s="549"/>
      <c r="WSJ41" s="549"/>
      <c r="WSK41" s="549"/>
      <c r="WSL41" s="549"/>
      <c r="WSM41" s="549"/>
      <c r="WSN41" s="549"/>
      <c r="WSO41" s="549"/>
      <c r="WSP41" s="549"/>
      <c r="WSQ41" s="549"/>
      <c r="WSR41" s="549"/>
      <c r="WSS41" s="549"/>
      <c r="WST41" s="549"/>
      <c r="WSU41" s="549"/>
      <c r="WSV41" s="549"/>
      <c r="WSW41" s="549"/>
      <c r="WSX41" s="549"/>
      <c r="WSY41" s="549"/>
      <c r="WSZ41" s="549"/>
      <c r="WTA41" s="549"/>
      <c r="WTB41" s="549"/>
      <c r="WTC41" s="549"/>
      <c r="WTD41" s="549"/>
      <c r="WTE41" s="549"/>
      <c r="WTF41" s="549"/>
      <c r="WTG41" s="549"/>
      <c r="WTH41" s="549"/>
      <c r="WTI41" s="549"/>
      <c r="WTJ41" s="549"/>
      <c r="WTK41" s="549"/>
      <c r="WTL41" s="549"/>
      <c r="WTM41" s="549"/>
      <c r="WTN41" s="549"/>
      <c r="WTO41" s="549"/>
      <c r="WTP41" s="549"/>
      <c r="WTQ41" s="549"/>
      <c r="WTR41" s="549"/>
      <c r="WTS41" s="549"/>
      <c r="WTT41" s="549"/>
      <c r="WTU41" s="549"/>
      <c r="WTV41" s="549"/>
      <c r="WTW41" s="549"/>
      <c r="WTX41" s="549"/>
      <c r="WTY41" s="549"/>
      <c r="WTZ41" s="549"/>
      <c r="WUA41" s="549"/>
      <c r="WUB41" s="549"/>
      <c r="WUC41" s="549"/>
      <c r="WUD41" s="549"/>
      <c r="WUE41" s="549"/>
      <c r="WUF41" s="549"/>
      <c r="WUG41" s="549"/>
      <c r="WUH41" s="549"/>
      <c r="WUI41" s="549"/>
      <c r="WUJ41" s="549"/>
      <c r="WUK41" s="549"/>
      <c r="WUL41" s="549"/>
      <c r="WUM41" s="549"/>
      <c r="WUN41" s="549"/>
      <c r="WUO41" s="549"/>
      <c r="WUP41" s="549"/>
      <c r="WUQ41" s="549"/>
      <c r="WUR41" s="549"/>
      <c r="WUS41" s="549"/>
      <c r="WUT41" s="549"/>
      <c r="WUU41" s="549"/>
      <c r="WUV41" s="549"/>
      <c r="WUW41" s="549"/>
      <c r="WUX41" s="549"/>
      <c r="WUY41" s="549"/>
      <c r="WUZ41" s="549"/>
      <c r="WVA41" s="549"/>
      <c r="WVB41" s="549"/>
      <c r="WVC41" s="549"/>
      <c r="WVD41" s="549"/>
      <c r="WVE41" s="549"/>
      <c r="WVF41" s="549"/>
      <c r="WVG41" s="549"/>
      <c r="WVH41" s="549"/>
      <c r="WVI41" s="549"/>
      <c r="WVJ41" s="549"/>
      <c r="WVK41" s="549"/>
      <c r="WVL41" s="549"/>
      <c r="WVM41" s="549"/>
      <c r="WVN41" s="549"/>
      <c r="WVO41" s="549"/>
      <c r="WVP41" s="549"/>
      <c r="WVQ41" s="549"/>
      <c r="WVR41" s="549"/>
      <c r="WVS41" s="549"/>
      <c r="WVT41" s="549"/>
      <c r="WVU41" s="549"/>
      <c r="WVV41" s="549"/>
      <c r="WVW41" s="549"/>
      <c r="WVX41" s="549"/>
      <c r="WVY41" s="549"/>
      <c r="WVZ41" s="549"/>
      <c r="WWA41" s="549"/>
      <c r="WWB41" s="549"/>
      <c r="WWC41" s="549"/>
      <c r="WWD41" s="549"/>
      <c r="WWE41" s="549"/>
      <c r="WWF41" s="549"/>
      <c r="WWG41" s="549"/>
      <c r="WWH41" s="549"/>
      <c r="WWI41" s="549"/>
      <c r="WWJ41" s="549"/>
      <c r="WWK41" s="549"/>
      <c r="WWL41" s="549"/>
      <c r="WWM41" s="549"/>
      <c r="WWN41" s="549"/>
      <c r="WWO41" s="549"/>
      <c r="WWP41" s="549"/>
      <c r="WWQ41" s="549"/>
      <c r="WWR41" s="549"/>
      <c r="WWS41" s="549"/>
      <c r="WWT41" s="549"/>
      <c r="WWU41" s="549"/>
      <c r="WWV41" s="549"/>
      <c r="WWW41" s="549"/>
      <c r="WWX41" s="549"/>
      <c r="WWY41" s="549"/>
      <c r="WWZ41" s="549"/>
      <c r="WXA41" s="549"/>
      <c r="WXB41" s="549"/>
      <c r="WXC41" s="549"/>
      <c r="WXD41" s="549"/>
      <c r="WXE41" s="549"/>
      <c r="WXF41" s="549"/>
      <c r="WXG41" s="549"/>
      <c r="WXH41" s="549"/>
      <c r="WXI41" s="549"/>
      <c r="WXJ41" s="549"/>
      <c r="WXK41" s="549"/>
      <c r="WXL41" s="549"/>
      <c r="WXM41" s="549"/>
      <c r="WXN41" s="549"/>
      <c r="WXO41" s="549"/>
      <c r="WXP41" s="549"/>
      <c r="WXQ41" s="549"/>
      <c r="WXR41" s="549"/>
      <c r="WXS41" s="549"/>
      <c r="WXT41" s="549"/>
      <c r="WXU41" s="549"/>
      <c r="WXV41" s="549"/>
      <c r="WXW41" s="549"/>
      <c r="WXX41" s="549"/>
      <c r="WXY41" s="549"/>
      <c r="WXZ41" s="549"/>
      <c r="WYA41" s="549"/>
      <c r="WYB41" s="549"/>
      <c r="WYC41" s="549"/>
      <c r="WYD41" s="549"/>
      <c r="WYE41" s="549"/>
      <c r="WYF41" s="549"/>
      <c r="WYG41" s="549"/>
      <c r="WYH41" s="549"/>
      <c r="WYI41" s="549"/>
      <c r="WYJ41" s="549"/>
      <c r="WYK41" s="549"/>
      <c r="WYL41" s="549"/>
      <c r="WYM41" s="549"/>
      <c r="WYN41" s="549"/>
      <c r="WYO41" s="549"/>
      <c r="WYP41" s="549"/>
      <c r="WYQ41" s="549"/>
      <c r="WYR41" s="549"/>
      <c r="WYS41" s="549"/>
      <c r="WYT41" s="549"/>
      <c r="WYU41" s="549"/>
      <c r="WYV41" s="549"/>
      <c r="WYW41" s="549"/>
      <c r="WYX41" s="549"/>
      <c r="WYY41" s="549"/>
      <c r="WYZ41" s="549"/>
      <c r="WZA41" s="549"/>
      <c r="WZB41" s="549"/>
      <c r="WZC41" s="549"/>
      <c r="WZD41" s="549"/>
      <c r="WZE41" s="549"/>
      <c r="WZF41" s="549"/>
      <c r="WZG41" s="549"/>
      <c r="WZH41" s="549"/>
      <c r="WZI41" s="549"/>
      <c r="WZJ41" s="549"/>
      <c r="WZK41" s="549"/>
      <c r="WZL41" s="549"/>
      <c r="WZM41" s="549"/>
      <c r="WZN41" s="549"/>
      <c r="WZO41" s="549"/>
      <c r="WZP41" s="549"/>
      <c r="WZQ41" s="549"/>
      <c r="WZR41" s="549"/>
      <c r="WZS41" s="549"/>
      <c r="WZT41" s="549"/>
      <c r="WZU41" s="549"/>
      <c r="WZV41" s="549"/>
      <c r="WZW41" s="549"/>
      <c r="WZX41" s="549"/>
      <c r="WZY41" s="549"/>
      <c r="WZZ41" s="549"/>
      <c r="XAA41" s="549"/>
      <c r="XAB41" s="549"/>
      <c r="XAC41" s="549"/>
      <c r="XAD41" s="549"/>
      <c r="XAE41" s="549"/>
      <c r="XAF41" s="549"/>
      <c r="XAG41" s="549"/>
      <c r="XAH41" s="549"/>
      <c r="XAI41" s="549"/>
      <c r="XAJ41" s="549"/>
      <c r="XAK41" s="549"/>
      <c r="XAL41" s="549"/>
      <c r="XAM41" s="549"/>
      <c r="XAN41" s="549"/>
      <c r="XAO41" s="549"/>
      <c r="XAP41" s="549"/>
      <c r="XAQ41" s="549"/>
      <c r="XAR41" s="549"/>
      <c r="XAS41" s="549"/>
      <c r="XAT41" s="549"/>
      <c r="XAU41" s="549"/>
      <c r="XAV41" s="549"/>
      <c r="XAW41" s="549"/>
      <c r="XAX41" s="549"/>
      <c r="XAY41" s="549"/>
      <c r="XAZ41" s="549"/>
      <c r="XBA41" s="549"/>
      <c r="XBB41" s="549"/>
      <c r="XBC41" s="549"/>
      <c r="XBD41" s="549"/>
      <c r="XBE41" s="549"/>
      <c r="XBF41" s="549"/>
      <c r="XBG41" s="549"/>
      <c r="XBH41" s="549"/>
      <c r="XBI41" s="549"/>
      <c r="XBJ41" s="549"/>
      <c r="XBK41" s="549"/>
      <c r="XBL41" s="549"/>
      <c r="XBM41" s="549"/>
      <c r="XBN41" s="549"/>
      <c r="XBO41" s="549"/>
      <c r="XBP41" s="549"/>
      <c r="XBQ41" s="549"/>
      <c r="XBR41" s="549"/>
      <c r="XBS41" s="549"/>
      <c r="XBT41" s="549"/>
      <c r="XBU41" s="549"/>
      <c r="XBV41" s="549"/>
      <c r="XBW41" s="549"/>
      <c r="XBX41" s="549"/>
      <c r="XBY41" s="549"/>
      <c r="XBZ41" s="549"/>
      <c r="XCA41" s="549"/>
      <c r="XCB41" s="549"/>
      <c r="XCC41" s="549"/>
      <c r="XCD41" s="549"/>
      <c r="XCE41" s="549"/>
      <c r="XCF41" s="549"/>
      <c r="XCG41" s="549"/>
      <c r="XCH41" s="549"/>
      <c r="XCI41" s="549"/>
      <c r="XCJ41" s="549"/>
      <c r="XCK41" s="549"/>
      <c r="XCL41" s="549"/>
      <c r="XCM41" s="549"/>
      <c r="XCN41" s="549"/>
      <c r="XCO41" s="549"/>
      <c r="XCP41" s="549"/>
      <c r="XCQ41" s="549"/>
      <c r="XCR41" s="549"/>
      <c r="XCS41" s="549"/>
      <c r="XCT41" s="549"/>
      <c r="XCU41" s="549"/>
      <c r="XCV41" s="549"/>
      <c r="XCW41" s="549"/>
      <c r="XCX41" s="549"/>
      <c r="XCY41" s="549"/>
      <c r="XCZ41" s="549"/>
      <c r="XDA41" s="549"/>
      <c r="XDB41" s="549"/>
      <c r="XDC41" s="549"/>
      <c r="XDD41" s="549"/>
      <c r="XDE41" s="549"/>
      <c r="XDF41" s="549"/>
      <c r="XDG41" s="549"/>
      <c r="XDH41" s="549"/>
      <c r="XDI41" s="549"/>
      <c r="XDJ41" s="549"/>
      <c r="XDK41" s="549"/>
      <c r="XDL41" s="549"/>
      <c r="XDM41" s="549"/>
      <c r="XDN41" s="549"/>
      <c r="XDO41" s="549"/>
      <c r="XDP41" s="549"/>
      <c r="XDQ41" s="549"/>
      <c r="XDR41" s="549"/>
      <c r="XDS41" s="549"/>
      <c r="XDT41" s="549"/>
      <c r="XDU41" s="549"/>
      <c r="XDV41" s="549"/>
      <c r="XDW41" s="549"/>
      <c r="XDX41" s="549"/>
      <c r="XDY41" s="549"/>
      <c r="XDZ41" s="549"/>
      <c r="XEA41" s="549"/>
      <c r="XEB41" s="549"/>
      <c r="XEC41" s="549"/>
      <c r="XED41" s="549"/>
      <c r="XEE41" s="549"/>
      <c r="XEF41" s="549"/>
      <c r="XEG41" s="549"/>
      <c r="XEH41" s="549"/>
      <c r="XEI41" s="549"/>
      <c r="XEJ41" s="549"/>
      <c r="XEK41" s="549"/>
      <c r="XEL41" s="549"/>
      <c r="XEM41" s="549"/>
      <c r="XEN41" s="549"/>
      <c r="XEO41" s="549"/>
      <c r="XEP41" s="549"/>
      <c r="XEQ41" s="549"/>
      <c r="XER41" s="549"/>
      <c r="XES41" s="549"/>
      <c r="XET41" s="549"/>
      <c r="XEU41" s="549"/>
      <c r="XEV41" s="549"/>
      <c r="XEW41" s="549"/>
      <c r="XEX41" s="549"/>
      <c r="XEY41" s="549"/>
      <c r="XEZ41" s="549"/>
      <c r="XFA41" s="549"/>
    </row>
    <row r="43" spans="1:16381" ht="15" customHeight="1">
      <c r="A43" s="276" t="s">
        <v>138</v>
      </c>
      <c r="B43" s="277" t="s">
        <v>139</v>
      </c>
      <c r="C43" s="278" t="s">
        <v>147</v>
      </c>
      <c r="D43" s="262"/>
      <c r="E43" s="262"/>
    </row>
    <row r="44" spans="1:16381" ht="15" customHeight="1">
      <c r="A44" s="279"/>
      <c r="B44" s="277" t="s">
        <v>140</v>
      </c>
      <c r="C44" s="278" t="s">
        <v>146</v>
      </c>
      <c r="D44" s="262"/>
      <c r="E44" s="262"/>
    </row>
    <row r="45" spans="1:16381" ht="15" customHeight="1">
      <c r="A45" s="279"/>
      <c r="B45" s="280" t="s">
        <v>141</v>
      </c>
      <c r="C45" s="278" t="s">
        <v>142</v>
      </c>
      <c r="D45" s="262"/>
      <c r="E45" s="262"/>
    </row>
  </sheetData>
  <mergeCells count="208"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GD5:KP5"/>
    <mergeCell ref="KQ5:KQ8"/>
    <mergeCell ref="KR5:KR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IU7:IV7"/>
    <mergeCell ref="IX7:IY7"/>
    <mergeCell ref="JA7:JB7"/>
    <mergeCell ref="JD7:JE7"/>
    <mergeCell ref="KH7:KI7"/>
    <mergeCell ref="KK7:KL7"/>
    <mergeCell ref="KN7:KO7"/>
    <mergeCell ref="JG7:JH7"/>
    <mergeCell ref="JJ7:JK7"/>
    <mergeCell ref="JM7:JN7"/>
    <mergeCell ref="JP7:JQ7"/>
    <mergeCell ref="JS7:JT7"/>
    <mergeCell ref="JV7:JW7"/>
    <mergeCell ref="JY7:JZ7"/>
    <mergeCell ref="KB7:KC7"/>
    <mergeCell ref="KE7:KF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Y48"/>
  <sheetViews>
    <sheetView zoomScale="85" workbookViewId="0">
      <pane xSplit="5" ySplit="9" topLeftCell="BB28" activePane="bottomRight" state="frozen"/>
      <selection activeCell="P221" sqref="P221"/>
      <selection pane="topRight" activeCell="P221" sqref="P221"/>
      <selection pane="bottomLeft" activeCell="P221" sqref="P221"/>
      <selection pane="bottomRight" activeCell="E64" sqref="E64"/>
    </sheetView>
  </sheetViews>
  <sheetFormatPr defaultColWidth="9.140625" defaultRowHeight="12.75"/>
  <cols>
    <col min="1" max="1" width="8" customWidth="1"/>
    <col min="4" max="4" width="12.5703125" customWidth="1"/>
    <col min="5" max="5" width="10" customWidth="1"/>
    <col min="6" max="6" width="10.5703125" customWidth="1"/>
    <col min="7" max="7" width="13.1406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customWidth="1"/>
    <col min="28" max="28" width="8.28515625" customWidth="1"/>
    <col min="29" max="29" width="14.42578125" customWidth="1"/>
    <col min="30" max="30" width="8" customWidth="1"/>
    <col min="31" max="31" width="10.5703125" hidden="1" customWidth="1"/>
    <col min="32" max="32" width="13.140625" hidden="1" customWidth="1"/>
    <col min="33" max="33" width="11.5703125" hidden="1" customWidth="1"/>
    <col min="34" max="34" width="13.140625" hidden="1" customWidth="1"/>
    <col min="35" max="35" width="14.28515625" hidden="1" customWidth="1"/>
    <col min="36" max="36" width="13.140625" hidden="1" customWidth="1"/>
    <col min="37" max="37" width="11.5703125" hidden="1" customWidth="1"/>
    <col min="38" max="38" width="13.140625" hidden="1" customWidth="1"/>
    <col min="39" max="39" width="13.140625" customWidth="1"/>
    <col min="40" max="40" width="8.28515625" customWidth="1"/>
    <col min="41" max="41" width="14.42578125" customWidth="1"/>
    <col min="42" max="42" width="8" customWidth="1"/>
    <col min="43" max="43" width="11.5703125" hidden="1" customWidth="1"/>
    <col min="44" max="44" width="13.140625" hidden="1" customWidth="1"/>
    <col min="45" max="45" width="11.5703125" hidden="1" customWidth="1"/>
    <col min="46" max="46" width="13.140625" hidden="1" customWidth="1"/>
    <col min="47" max="47" width="10.5703125" hidden="1" customWidth="1"/>
    <col min="48" max="48" width="7" hidden="1" customWidth="1"/>
    <col min="49" max="49" width="10.5703125" hidden="1" customWidth="1"/>
    <col min="50" max="50" width="7" hidden="1" customWidth="1"/>
    <col min="51" max="51" width="11.5703125" customWidth="1"/>
    <col min="52" max="52" width="8" customWidth="1"/>
    <col min="53" max="53" width="11.5703125" customWidth="1"/>
    <col min="54" max="54" width="7" customWidth="1"/>
    <col min="55" max="67" width="13.42578125" hidden="1" customWidth="1"/>
    <col min="68" max="68" width="7.28515625" hidden="1" customWidth="1"/>
    <col min="69" max="69" width="13.42578125" hidden="1" customWidth="1"/>
    <col min="70" max="70" width="6" hidden="1" customWidth="1"/>
    <col min="71" max="82" width="13.42578125" hidden="1" customWidth="1"/>
    <col min="83" max="86" width="13.140625" hidden="1" customWidth="1"/>
    <col min="87" max="87" width="12.85546875" hidden="1" customWidth="1"/>
    <col min="88" max="88" width="7.7109375" hidden="1" customWidth="1"/>
    <col min="89" max="89" width="12.42578125" hidden="1" customWidth="1"/>
    <col min="90" max="90" width="7.7109375" hidden="1" customWidth="1"/>
    <col min="91" max="91" width="13.140625" hidden="1" customWidth="1"/>
    <col min="92" max="92" width="7.7109375" hidden="1" customWidth="1"/>
    <col min="93" max="93" width="13.140625" hidden="1" customWidth="1"/>
    <col min="94" max="94" width="8.85546875" hidden="1" customWidth="1"/>
    <col min="95" max="95" width="17.7109375" hidden="1" customWidth="1"/>
    <col min="96" max="96" width="9.28515625" hidden="1" customWidth="1"/>
    <col min="97" max="97" width="14.42578125" hidden="1" customWidth="1"/>
    <col min="98" max="98" width="8.140625" hidden="1" customWidth="1"/>
    <col min="99" max="99" width="17.7109375" hidden="1" customWidth="1"/>
    <col min="100" max="100" width="9.28515625" hidden="1" customWidth="1"/>
    <col min="101" max="101" width="14.42578125" hidden="1" customWidth="1"/>
    <col min="102" max="102" width="8.140625" hidden="1" customWidth="1"/>
    <col min="103" max="103" width="13.140625" hidden="1" customWidth="1"/>
    <col min="104" max="104" width="7.7109375" hidden="1" customWidth="1"/>
    <col min="105" max="105" width="13.140625" hidden="1" customWidth="1"/>
    <col min="106" max="106" width="8.85546875" hidden="1" customWidth="1"/>
    <col min="107" max="107" width="13.140625" hidden="1" customWidth="1"/>
    <col min="108" max="108" width="7.7109375" hidden="1" customWidth="1"/>
    <col min="109" max="109" width="13.140625" hidden="1" customWidth="1"/>
    <col min="110" max="110" width="8.85546875" hidden="1" customWidth="1"/>
    <col min="111" max="111" width="11.28515625" customWidth="1"/>
    <col min="112" max="112" width="7.7109375" customWidth="1"/>
    <col min="113" max="113" width="13.140625" bestFit="1" customWidth="1"/>
    <col min="114" max="114" width="7.7109375" customWidth="1"/>
    <col min="115" max="115" width="11.7109375" hidden="1" customWidth="1"/>
    <col min="116" max="116" width="8.140625" hidden="1" customWidth="1"/>
    <col min="117" max="117" width="11.42578125" hidden="1" customWidth="1"/>
    <col min="118" max="118" width="7.7109375" hidden="1" customWidth="1"/>
    <col min="119" max="122" width="10.85546875" customWidth="1"/>
    <col min="123" max="123" width="12.7109375" customWidth="1"/>
    <col min="124" max="124" width="14.42578125" bestFit="1" customWidth="1"/>
    <col min="125" max="125" width="8.85546875" bestFit="1" customWidth="1"/>
    <col min="126" max="126" width="10.28515625" bestFit="1" customWidth="1"/>
    <col min="127" max="127" width="13.28515625" bestFit="1" customWidth="1"/>
    <col min="128" max="128" width="10.42578125" bestFit="1" customWidth="1"/>
    <col min="129" max="129" width="12.28515625" customWidth="1"/>
  </cols>
  <sheetData>
    <row r="1" spans="1:129" ht="15.75">
      <c r="A1" s="151"/>
      <c r="BC1">
        <v>1</v>
      </c>
      <c r="BG1">
        <v>1</v>
      </c>
      <c r="CL1" s="3"/>
      <c r="CQ1" s="254"/>
      <c r="CU1" s="254"/>
      <c r="DJ1" t="s">
        <v>1</v>
      </c>
    </row>
    <row r="2" spans="1:129" ht="15.75">
      <c r="A2" s="151"/>
      <c r="CQ2" s="254"/>
      <c r="CU2" s="254"/>
    </row>
    <row r="3" spans="1:129" ht="15">
      <c r="A3" s="153"/>
      <c r="CQ3" s="254"/>
      <c r="CU3" s="254"/>
    </row>
    <row r="4" spans="1:129" ht="15.75">
      <c r="A4" s="154" t="s">
        <v>285</v>
      </c>
      <c r="G4" s="14"/>
      <c r="BC4" s="14"/>
      <c r="BG4" s="14"/>
      <c r="BK4" s="14"/>
      <c r="BO4" s="14"/>
      <c r="BS4" s="14"/>
      <c r="BW4" s="14"/>
      <c r="CQ4" s="254"/>
      <c r="CU4" s="254"/>
    </row>
    <row r="5" spans="1:129" ht="15.75">
      <c r="A5" s="154"/>
      <c r="G5" s="14"/>
      <c r="BC5" s="14"/>
      <c r="BG5" s="14"/>
      <c r="BK5" s="14"/>
      <c r="BO5" s="14"/>
      <c r="BS5" s="14"/>
      <c r="BW5" s="14"/>
      <c r="CQ5" s="14"/>
      <c r="CU5" s="14"/>
    </row>
    <row r="6" spans="1:129" ht="18">
      <c r="A6" s="255"/>
      <c r="BC6" s="14"/>
      <c r="BG6" s="14"/>
      <c r="BK6" s="14"/>
      <c r="BO6" s="14"/>
      <c r="BS6" s="14"/>
      <c r="BW6" s="14"/>
      <c r="CQ6" s="14"/>
      <c r="CU6" s="14"/>
      <c r="DP6" s="14"/>
      <c r="DQ6" s="14"/>
      <c r="DR6" s="14"/>
      <c r="DT6" s="14"/>
    </row>
    <row r="7" spans="1:129" ht="16.5" thickBot="1">
      <c r="A7" s="256"/>
      <c r="B7" s="256"/>
      <c r="C7" s="256"/>
      <c r="D7" s="256"/>
      <c r="E7" s="256"/>
      <c r="F7" s="256"/>
      <c r="G7" s="504">
        <v>230.59</v>
      </c>
      <c r="K7" s="256">
        <v>250</v>
      </c>
      <c r="O7" s="477">
        <v>214.10599999999999</v>
      </c>
      <c r="S7">
        <v>248.91800000000001</v>
      </c>
      <c r="W7" s="257">
        <v>250</v>
      </c>
      <c r="X7" s="257"/>
      <c r="Y7" s="257"/>
      <c r="Z7" s="257"/>
      <c r="AA7" s="256"/>
      <c r="AB7" s="256"/>
      <c r="AC7" s="257"/>
      <c r="AD7" s="257"/>
      <c r="AE7" s="257">
        <v>251.43899999999999</v>
      </c>
      <c r="AF7" s="257"/>
      <c r="AG7" s="257"/>
      <c r="AH7" s="257"/>
      <c r="AI7" s="257">
        <v>242.36500000000001</v>
      </c>
      <c r="AJ7" s="257"/>
      <c r="AK7" s="257"/>
      <c r="AL7" s="257"/>
      <c r="AM7" s="256"/>
      <c r="AN7" s="256"/>
      <c r="AO7" s="257"/>
      <c r="AP7" s="257"/>
      <c r="AQ7" s="257">
        <v>250</v>
      </c>
      <c r="AR7" s="257"/>
      <c r="AS7" s="257"/>
      <c r="AT7" s="257"/>
      <c r="AU7" s="257">
        <v>250</v>
      </c>
      <c r="AV7" s="257"/>
      <c r="AW7" s="257"/>
      <c r="AX7" s="257"/>
      <c r="AY7" s="257"/>
      <c r="AZ7" s="257"/>
      <c r="BA7" s="257"/>
      <c r="BB7" s="257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Q7" s="256"/>
      <c r="CR7" s="256"/>
      <c r="CS7" s="256"/>
      <c r="CT7" s="256"/>
      <c r="CU7" s="256"/>
      <c r="CV7" s="256"/>
      <c r="CW7" s="256"/>
      <c r="CX7" s="256"/>
      <c r="DJ7" s="256"/>
      <c r="DK7" s="256"/>
      <c r="DL7" s="256"/>
      <c r="DM7" s="256"/>
      <c r="DN7" s="256"/>
      <c r="DO7" s="257">
        <v>193.95</v>
      </c>
      <c r="DP7" s="257"/>
      <c r="DQ7" s="256"/>
      <c r="DR7" s="256"/>
      <c r="DS7" s="256"/>
      <c r="DT7" s="256"/>
      <c r="DU7" s="256"/>
      <c r="DV7" s="256"/>
    </row>
    <row r="8" spans="1:129" ht="38.25" customHeight="1" thickTop="1">
      <c r="A8" s="750" t="s">
        <v>31</v>
      </c>
      <c r="B8" s="750" t="s">
        <v>5</v>
      </c>
      <c r="C8" s="750" t="s">
        <v>6</v>
      </c>
      <c r="D8" s="752" t="s">
        <v>46</v>
      </c>
      <c r="E8" s="754" t="s">
        <v>44</v>
      </c>
      <c r="F8" s="755"/>
      <c r="G8" s="742" t="s">
        <v>413</v>
      </c>
      <c r="H8" s="748"/>
      <c r="I8" s="748"/>
      <c r="J8" s="743"/>
      <c r="K8" s="742" t="s">
        <v>506</v>
      </c>
      <c r="L8" s="748"/>
      <c r="M8" s="748"/>
      <c r="N8" s="743"/>
      <c r="O8" s="742" t="s">
        <v>381</v>
      </c>
      <c r="P8" s="748"/>
      <c r="Q8" s="748"/>
      <c r="R8" s="743"/>
      <c r="S8" s="742" t="s">
        <v>393</v>
      </c>
      <c r="T8" s="748"/>
      <c r="U8" s="748"/>
      <c r="V8" s="743"/>
      <c r="W8" s="742" t="s">
        <v>385</v>
      </c>
      <c r="X8" s="748"/>
      <c r="Y8" s="748"/>
      <c r="Z8" s="748"/>
      <c r="AA8" s="742" t="s">
        <v>47</v>
      </c>
      <c r="AB8" s="748"/>
      <c r="AC8" s="748"/>
      <c r="AD8" s="748"/>
      <c r="AE8" s="742" t="s">
        <v>553</v>
      </c>
      <c r="AF8" s="748"/>
      <c r="AG8" s="748"/>
      <c r="AH8" s="748"/>
      <c r="AI8" s="742" t="s">
        <v>554</v>
      </c>
      <c r="AJ8" s="748"/>
      <c r="AK8" s="748"/>
      <c r="AL8" s="748"/>
      <c r="AM8" s="742" t="s">
        <v>555</v>
      </c>
      <c r="AN8" s="748"/>
      <c r="AO8" s="748"/>
      <c r="AP8" s="748"/>
      <c r="AQ8" s="742" t="s">
        <v>508</v>
      </c>
      <c r="AR8" s="748"/>
      <c r="AS8" s="748"/>
      <c r="AT8" s="748"/>
      <c r="AU8" s="742"/>
      <c r="AV8" s="748"/>
      <c r="AW8" s="748"/>
      <c r="AX8" s="748"/>
      <c r="AY8" s="742" t="s">
        <v>507</v>
      </c>
      <c r="AZ8" s="748"/>
      <c r="BA8" s="748"/>
      <c r="BB8" s="748"/>
      <c r="BC8" s="749" t="s">
        <v>394</v>
      </c>
      <c r="BD8" s="748"/>
      <c r="BE8" s="748"/>
      <c r="BF8" s="743"/>
      <c r="BG8" s="749" t="s">
        <v>395</v>
      </c>
      <c r="BH8" s="748"/>
      <c r="BI8" s="748"/>
      <c r="BJ8" s="743"/>
      <c r="BK8" s="749" t="s">
        <v>396</v>
      </c>
      <c r="BL8" s="748"/>
      <c r="BM8" s="748"/>
      <c r="BN8" s="743"/>
      <c r="BO8" s="749" t="s">
        <v>397</v>
      </c>
      <c r="BP8" s="748"/>
      <c r="BQ8" s="748"/>
      <c r="BR8" s="743"/>
      <c r="BS8" s="749" t="s">
        <v>399</v>
      </c>
      <c r="BT8" s="748"/>
      <c r="BU8" s="748"/>
      <c r="BV8" s="743"/>
      <c r="BW8" s="749" t="s">
        <v>398</v>
      </c>
      <c r="BX8" s="748"/>
      <c r="BY8" s="748"/>
      <c r="BZ8" s="743"/>
      <c r="CA8" s="749" t="s">
        <v>400</v>
      </c>
      <c r="CB8" s="748"/>
      <c r="CC8" s="748"/>
      <c r="CD8" s="748"/>
      <c r="CE8" s="749" t="s">
        <v>414</v>
      </c>
      <c r="CF8" s="748"/>
      <c r="CG8" s="748"/>
      <c r="CH8" s="743"/>
      <c r="CI8" s="745" t="s">
        <v>415</v>
      </c>
      <c r="CJ8" s="746"/>
      <c r="CK8" s="746"/>
      <c r="CL8" s="747"/>
      <c r="CM8" s="745" t="s">
        <v>401</v>
      </c>
      <c r="CN8" s="746"/>
      <c r="CO8" s="746"/>
      <c r="CP8" s="747"/>
      <c r="CQ8" s="745" t="s">
        <v>404</v>
      </c>
      <c r="CR8" s="746"/>
      <c r="CS8" s="746"/>
      <c r="CT8" s="747"/>
      <c r="CU8" s="745" t="s">
        <v>402</v>
      </c>
      <c r="CV8" s="746"/>
      <c r="CW8" s="746"/>
      <c r="CX8" s="747"/>
      <c r="CY8" s="745" t="s">
        <v>403</v>
      </c>
      <c r="CZ8" s="746"/>
      <c r="DA8" s="746"/>
      <c r="DB8" s="747"/>
      <c r="DC8" s="745" t="s">
        <v>404</v>
      </c>
      <c r="DD8" s="746"/>
      <c r="DE8" s="746"/>
      <c r="DF8" s="747"/>
      <c r="DG8" s="742" t="s">
        <v>405</v>
      </c>
      <c r="DH8" s="748"/>
      <c r="DI8" s="748"/>
      <c r="DJ8" s="743"/>
      <c r="DK8" s="742" t="s">
        <v>406</v>
      </c>
      <c r="DL8" s="748"/>
      <c r="DM8" s="748"/>
      <c r="DN8" s="743"/>
      <c r="DO8" s="742" t="s">
        <v>403</v>
      </c>
      <c r="DP8" s="748"/>
      <c r="DQ8" s="748"/>
      <c r="DR8" s="748"/>
      <c r="DS8" s="742" t="s">
        <v>48</v>
      </c>
      <c r="DT8" s="743"/>
      <c r="DU8" s="742" t="s">
        <v>49</v>
      </c>
      <c r="DV8" s="743"/>
      <c r="DW8" s="744" t="s">
        <v>286</v>
      </c>
      <c r="DX8" s="744"/>
      <c r="DY8" s="594" t="s">
        <v>287</v>
      </c>
    </row>
    <row r="9" spans="1:129">
      <c r="A9" s="751"/>
      <c r="B9" s="751"/>
      <c r="C9" s="751"/>
      <c r="D9" s="753"/>
      <c r="E9" s="2" t="s">
        <v>42</v>
      </c>
      <c r="F9" s="2" t="s">
        <v>42</v>
      </c>
      <c r="G9" s="9" t="s">
        <v>42</v>
      </c>
      <c r="H9" s="9" t="s">
        <v>12</v>
      </c>
      <c r="I9" s="593" t="s">
        <v>43</v>
      </c>
      <c r="J9" s="593" t="s">
        <v>12</v>
      </c>
      <c r="K9" s="9" t="s">
        <v>42</v>
      </c>
      <c r="L9" s="9" t="s">
        <v>12</v>
      </c>
      <c r="M9" s="593" t="s">
        <v>43</v>
      </c>
      <c r="N9" s="593" t="s">
        <v>12</v>
      </c>
      <c r="O9" s="9" t="s">
        <v>42</v>
      </c>
      <c r="P9" s="9" t="s">
        <v>12</v>
      </c>
      <c r="Q9" s="593" t="s">
        <v>43</v>
      </c>
      <c r="R9" s="593" t="s">
        <v>12</v>
      </c>
      <c r="S9" s="9" t="s">
        <v>42</v>
      </c>
      <c r="T9" s="9" t="s">
        <v>12</v>
      </c>
      <c r="U9" s="593" t="s">
        <v>43</v>
      </c>
      <c r="V9" s="593" t="s">
        <v>12</v>
      </c>
      <c r="W9" s="9" t="s">
        <v>42</v>
      </c>
      <c r="X9" s="9" t="s">
        <v>12</v>
      </c>
      <c r="Y9" s="593" t="s">
        <v>43</v>
      </c>
      <c r="Z9" s="593" t="s">
        <v>12</v>
      </c>
      <c r="AA9" s="593" t="s">
        <v>42</v>
      </c>
      <c r="AB9" s="593" t="s">
        <v>12</v>
      </c>
      <c r="AC9" s="593" t="s">
        <v>43</v>
      </c>
      <c r="AD9" s="593" t="s">
        <v>12</v>
      </c>
      <c r="AE9" s="600" t="s">
        <v>42</v>
      </c>
      <c r="AF9" s="600" t="s">
        <v>12</v>
      </c>
      <c r="AG9" s="600" t="s">
        <v>43</v>
      </c>
      <c r="AH9" s="600" t="s">
        <v>12</v>
      </c>
      <c r="AI9" s="600" t="s">
        <v>42</v>
      </c>
      <c r="AJ9" s="600" t="s">
        <v>12</v>
      </c>
      <c r="AK9" s="600" t="s">
        <v>43</v>
      </c>
      <c r="AL9" s="600" t="s">
        <v>12</v>
      </c>
      <c r="AM9" s="600" t="s">
        <v>42</v>
      </c>
      <c r="AN9" s="600" t="s">
        <v>12</v>
      </c>
      <c r="AO9" s="600" t="s">
        <v>43</v>
      </c>
      <c r="AP9" s="600" t="s">
        <v>12</v>
      </c>
      <c r="AQ9" s="593" t="s">
        <v>42</v>
      </c>
      <c r="AR9" s="593" t="s">
        <v>12</v>
      </c>
      <c r="AS9" s="593" t="s">
        <v>43</v>
      </c>
      <c r="AT9" s="593" t="s">
        <v>12</v>
      </c>
      <c r="AU9" s="593" t="s">
        <v>42</v>
      </c>
      <c r="AV9" s="593" t="s">
        <v>12</v>
      </c>
      <c r="AW9" s="593" t="s">
        <v>43</v>
      </c>
      <c r="AX9" s="593" t="s">
        <v>12</v>
      </c>
      <c r="AY9" s="593" t="s">
        <v>42</v>
      </c>
      <c r="AZ9" s="593" t="s">
        <v>12</v>
      </c>
      <c r="BA9" s="593" t="s">
        <v>43</v>
      </c>
      <c r="BB9" s="593" t="s">
        <v>12</v>
      </c>
      <c r="BC9" s="593" t="s">
        <v>42</v>
      </c>
      <c r="BD9" s="593" t="s">
        <v>12</v>
      </c>
      <c r="BE9" s="593" t="s">
        <v>43</v>
      </c>
      <c r="BF9" s="593" t="s">
        <v>12</v>
      </c>
      <c r="BG9" s="593" t="s">
        <v>42</v>
      </c>
      <c r="BH9" s="593" t="s">
        <v>12</v>
      </c>
      <c r="BI9" s="593" t="s">
        <v>43</v>
      </c>
      <c r="BJ9" s="593" t="s">
        <v>12</v>
      </c>
      <c r="BK9" s="593" t="s">
        <v>42</v>
      </c>
      <c r="BL9" s="593" t="s">
        <v>12</v>
      </c>
      <c r="BM9" s="593" t="s">
        <v>43</v>
      </c>
      <c r="BN9" s="593" t="s">
        <v>12</v>
      </c>
      <c r="BO9" s="593" t="s">
        <v>42</v>
      </c>
      <c r="BP9" s="593" t="s">
        <v>12</v>
      </c>
      <c r="BQ9" s="593" t="s">
        <v>43</v>
      </c>
      <c r="BR9" s="593" t="s">
        <v>12</v>
      </c>
      <c r="BS9" s="593" t="s">
        <v>42</v>
      </c>
      <c r="BT9" s="593" t="s">
        <v>12</v>
      </c>
      <c r="BU9" s="593" t="s">
        <v>43</v>
      </c>
      <c r="BV9" s="593" t="s">
        <v>12</v>
      </c>
      <c r="BW9" s="593" t="s">
        <v>42</v>
      </c>
      <c r="BX9" s="593" t="s">
        <v>12</v>
      </c>
      <c r="BY9" s="593" t="s">
        <v>43</v>
      </c>
      <c r="BZ9" s="593" t="s">
        <v>12</v>
      </c>
      <c r="CA9" s="593" t="s">
        <v>42</v>
      </c>
      <c r="CB9" s="593" t="s">
        <v>12</v>
      </c>
      <c r="CC9" s="593" t="s">
        <v>43</v>
      </c>
      <c r="CD9" s="593" t="s">
        <v>12</v>
      </c>
      <c r="CE9" s="593" t="s">
        <v>42</v>
      </c>
      <c r="CF9" s="593" t="s">
        <v>12</v>
      </c>
      <c r="CG9" s="593" t="s">
        <v>43</v>
      </c>
      <c r="CH9" s="593" t="s">
        <v>12</v>
      </c>
      <c r="CI9" s="593" t="s">
        <v>42</v>
      </c>
      <c r="CJ9" s="593" t="s">
        <v>12</v>
      </c>
      <c r="CK9" s="593" t="s">
        <v>43</v>
      </c>
      <c r="CL9" s="593" t="s">
        <v>12</v>
      </c>
      <c r="CM9" s="593" t="s">
        <v>42</v>
      </c>
      <c r="CN9" s="593" t="s">
        <v>12</v>
      </c>
      <c r="CO9" s="593" t="s">
        <v>43</v>
      </c>
      <c r="CP9" s="593" t="s">
        <v>12</v>
      </c>
      <c r="CQ9" s="593" t="s">
        <v>42</v>
      </c>
      <c r="CR9" s="593" t="s">
        <v>12</v>
      </c>
      <c r="CS9" s="593" t="s">
        <v>43</v>
      </c>
      <c r="CT9" s="593" t="s">
        <v>12</v>
      </c>
      <c r="CU9" s="593" t="s">
        <v>42</v>
      </c>
      <c r="CV9" s="593" t="s">
        <v>12</v>
      </c>
      <c r="CW9" s="593" t="s">
        <v>43</v>
      </c>
      <c r="CX9" s="593" t="s">
        <v>12</v>
      </c>
      <c r="CY9" s="593" t="s">
        <v>42</v>
      </c>
      <c r="CZ9" s="593" t="s">
        <v>12</v>
      </c>
      <c r="DA9" s="593" t="s">
        <v>43</v>
      </c>
      <c r="DB9" s="593" t="s">
        <v>12</v>
      </c>
      <c r="DC9" s="593" t="s">
        <v>42</v>
      </c>
      <c r="DD9" s="593" t="s">
        <v>12</v>
      </c>
      <c r="DE9" s="593" t="s">
        <v>43</v>
      </c>
      <c r="DF9" s="593" t="s">
        <v>12</v>
      </c>
      <c r="DG9" s="593" t="s">
        <v>42</v>
      </c>
      <c r="DH9" s="593" t="s">
        <v>12</v>
      </c>
      <c r="DI9" s="593" t="s">
        <v>43</v>
      </c>
      <c r="DJ9" s="593" t="s">
        <v>12</v>
      </c>
      <c r="DK9" s="593" t="s">
        <v>42</v>
      </c>
      <c r="DL9" s="593" t="s">
        <v>12</v>
      </c>
      <c r="DM9" s="593" t="s">
        <v>43</v>
      </c>
      <c r="DN9" s="593" t="s">
        <v>12</v>
      </c>
      <c r="DO9" s="593" t="s">
        <v>42</v>
      </c>
      <c r="DP9" s="593" t="s">
        <v>12</v>
      </c>
      <c r="DQ9" s="593" t="s">
        <v>43</v>
      </c>
      <c r="DR9" s="593" t="s">
        <v>12</v>
      </c>
      <c r="DS9" s="593" t="s">
        <v>42</v>
      </c>
      <c r="DT9" s="593" t="s">
        <v>43</v>
      </c>
      <c r="DU9" s="593" t="s">
        <v>42</v>
      </c>
      <c r="DV9" s="593" t="s">
        <v>43</v>
      </c>
      <c r="DW9" s="593" t="s">
        <v>42</v>
      </c>
      <c r="DX9" s="593" t="s">
        <v>43</v>
      </c>
      <c r="DY9" s="5" t="s">
        <v>407</v>
      </c>
    </row>
    <row r="10" spans="1:129">
      <c r="A10" s="17">
        <f>+Chem!A9</f>
        <v>45717</v>
      </c>
      <c r="B10" s="5" t="str">
        <f>+Chem!B9</f>
        <v>Towel</v>
      </c>
      <c r="C10" s="5" t="str">
        <f>+Chem!C9</f>
        <v>38/36</v>
      </c>
      <c r="D10" s="8">
        <f>+Chem!D9</f>
        <v>81.467000000000013</v>
      </c>
      <c r="E10" s="6">
        <f>+Chem!E9</f>
        <v>80.168999999999997</v>
      </c>
      <c r="F10" s="6">
        <f>+E10</f>
        <v>80.168999999999997</v>
      </c>
      <c r="G10" s="99">
        <f>16*G7</f>
        <v>3689.44</v>
      </c>
      <c r="H10" s="10">
        <f t="shared" ref="H10:H40" si="0">G10/DS10*100</f>
        <v>4.0861006746522746</v>
      </c>
      <c r="I10" s="8">
        <f>G10</f>
        <v>3689.44</v>
      </c>
      <c r="J10" s="10">
        <f t="shared" ref="J10:J40" si="1">I10/DT10*100</f>
        <v>4.0861006746522746</v>
      </c>
      <c r="K10" s="99">
        <v>0</v>
      </c>
      <c r="L10" s="10">
        <f t="shared" ref="L10:L40" si="2">+K10/DS10*100</f>
        <v>0</v>
      </c>
      <c r="M10" s="10">
        <f>+K10</f>
        <v>0</v>
      </c>
      <c r="N10" s="10">
        <f t="shared" ref="N10:N40" si="3">+M10/DT10*100</f>
        <v>0</v>
      </c>
      <c r="O10" s="99"/>
      <c r="P10" s="10">
        <f t="shared" ref="P10:P40" si="4">+O10/DS10*100</f>
        <v>0</v>
      </c>
      <c r="Q10" s="10">
        <f>+O10</f>
        <v>0</v>
      </c>
      <c r="R10" s="10">
        <f t="shared" ref="R10:R40" si="5">+Q10/DT10*100</f>
        <v>0</v>
      </c>
      <c r="S10" s="99"/>
      <c r="T10" s="10">
        <f t="shared" ref="T10:T40" si="6">+S10/DS10*100</f>
        <v>0</v>
      </c>
      <c r="U10" s="10">
        <f>+S10</f>
        <v>0</v>
      </c>
      <c r="V10" s="10">
        <f t="shared" ref="V10:V40" si="7">+U10/DT10*100</f>
        <v>0</v>
      </c>
      <c r="W10" s="10">
        <v>0</v>
      </c>
      <c r="X10" s="10">
        <f t="shared" ref="X10:X40" si="8">+W10/DS10*100</f>
        <v>0</v>
      </c>
      <c r="Y10" s="10">
        <f>+W10</f>
        <v>0</v>
      </c>
      <c r="Z10" s="10">
        <f t="shared" ref="Z10:Z40" si="9">+Y10/DT10*100</f>
        <v>0</v>
      </c>
      <c r="AA10" s="10">
        <f>G10+K10+W10+S10+O10</f>
        <v>3689.44</v>
      </c>
      <c r="AB10" s="10">
        <f t="shared" ref="AB10:AB40" si="10">AA10/DS10*100</f>
        <v>4.0861006746522746</v>
      </c>
      <c r="AC10" s="10">
        <f>AA10</f>
        <v>3689.44</v>
      </c>
      <c r="AD10" s="10">
        <f t="shared" ref="AD10:AD40" si="11">AC10/DT10*100</f>
        <v>4.0861006746522746</v>
      </c>
      <c r="AE10" s="10">
        <v>0</v>
      </c>
      <c r="AF10" s="10">
        <f t="shared" ref="AF10:AF40" si="12">AE10/DS10*100</f>
        <v>0</v>
      </c>
      <c r="AG10" s="10">
        <f>AE10</f>
        <v>0</v>
      </c>
      <c r="AH10" s="10">
        <f t="shared" ref="AH10:AH40" si="13">AG10/DT10*100</f>
        <v>0</v>
      </c>
      <c r="AI10" s="10">
        <v>0</v>
      </c>
      <c r="AJ10" s="10">
        <f t="shared" ref="AJ10:AJ40" si="14">AI10/DS10*100</f>
        <v>0</v>
      </c>
      <c r="AK10" s="10">
        <f>AI10</f>
        <v>0</v>
      </c>
      <c r="AL10" s="10">
        <f t="shared" ref="AL10:AL40" si="15">AK10/DT10*100</f>
        <v>0</v>
      </c>
      <c r="AM10" s="10">
        <f>+AE10+AI10</f>
        <v>0</v>
      </c>
      <c r="AN10" s="10">
        <f t="shared" ref="AN10:AN40" si="16">AM10/DS10*100</f>
        <v>0</v>
      </c>
      <c r="AO10" s="10">
        <f>AM10</f>
        <v>0</v>
      </c>
      <c r="AP10" s="10">
        <f t="shared" ref="AP10:AP40" si="17">AO10/DT10*100</f>
        <v>0</v>
      </c>
      <c r="AQ10" s="10">
        <v>0</v>
      </c>
      <c r="AR10" s="10">
        <f t="shared" ref="AR10:AR40" si="18">AQ10/DS10*100</f>
        <v>0</v>
      </c>
      <c r="AS10" s="10">
        <f>AQ10</f>
        <v>0</v>
      </c>
      <c r="AT10" s="10">
        <f t="shared" ref="AT10:AT40" si="19">AS10/DT10*100</f>
        <v>0</v>
      </c>
      <c r="AU10" s="10"/>
      <c r="AV10" s="10">
        <f t="shared" ref="AV10:AV40" si="20">AU10/DS10*100</f>
        <v>0</v>
      </c>
      <c r="AW10" s="10">
        <f>AU10</f>
        <v>0</v>
      </c>
      <c r="AX10" s="10">
        <f t="shared" ref="AX10:AX40" si="21">AW10/DT10*100</f>
        <v>0</v>
      </c>
      <c r="AY10" s="10">
        <f>+AQ10+AU10</f>
        <v>0</v>
      </c>
      <c r="AZ10" s="10">
        <f t="shared" ref="AZ10:AZ40" si="22">AY10/DS10*100</f>
        <v>0</v>
      </c>
      <c r="BA10" s="10">
        <f>AY10</f>
        <v>0</v>
      </c>
      <c r="BB10" s="10">
        <f t="shared" ref="BB10:BB40" si="23">BA10/DT10*100</f>
        <v>0</v>
      </c>
      <c r="BC10" s="99">
        <v>38878</v>
      </c>
      <c r="BD10" s="10">
        <f t="shared" ref="BD10:BD40" si="24">BC10/DS10*100</f>
        <v>43.057868410688641</v>
      </c>
      <c r="BE10" s="10">
        <f>BC10</f>
        <v>38878</v>
      </c>
      <c r="BF10" s="10">
        <f t="shared" ref="BF10:BF40" si="25">BE10/DT10*100</f>
        <v>43.057868410688641</v>
      </c>
      <c r="BG10" s="99"/>
      <c r="BH10" s="10" t="e">
        <f t="shared" ref="BH10:BH40" si="26">BG10/ER10*100</f>
        <v>#DIV/0!</v>
      </c>
      <c r="BI10" s="10">
        <f>BG10</f>
        <v>0</v>
      </c>
      <c r="BJ10" s="10" t="e">
        <f t="shared" ref="BJ10:BJ40" si="27">BI10/ES10*100</f>
        <v>#DIV/0!</v>
      </c>
      <c r="BK10" s="99">
        <v>11430</v>
      </c>
      <c r="BL10" s="10">
        <f t="shared" ref="BL10:BL40" si="28">BK10/DS10*100</f>
        <v>12.658867121101169</v>
      </c>
      <c r="BM10" s="10">
        <f>BK10</f>
        <v>11430</v>
      </c>
      <c r="BN10" s="10">
        <f t="shared" ref="BN10:BN40" si="29">BM10/DT10*100</f>
        <v>12.658867121101169</v>
      </c>
      <c r="BO10" s="99"/>
      <c r="BP10" s="10">
        <f t="shared" ref="BP10:BP40" si="30">BO10/DS10*100</f>
        <v>0</v>
      </c>
      <c r="BQ10" s="10">
        <f>BO10</f>
        <v>0</v>
      </c>
      <c r="BR10" s="10">
        <f t="shared" ref="BR10:BR40" si="31">BQ10/DT10*100</f>
        <v>0</v>
      </c>
      <c r="BS10" s="99"/>
      <c r="BT10" s="10">
        <f t="shared" ref="BT10:BT40" si="32">BS10/DS10*100</f>
        <v>0</v>
      </c>
      <c r="BU10" s="10">
        <f>BS10</f>
        <v>0</v>
      </c>
      <c r="BV10" s="10">
        <f t="shared" ref="BV10:BV40" si="33">BU10/DT10*100</f>
        <v>0</v>
      </c>
      <c r="BW10" s="99"/>
      <c r="BX10" s="10">
        <f t="shared" ref="BX10:BX40" si="34">BW10/DS10*100</f>
        <v>0</v>
      </c>
      <c r="BY10" s="10">
        <f>BW10</f>
        <v>0</v>
      </c>
      <c r="BZ10" s="10">
        <f t="shared" ref="BZ10:BZ40" si="35">BY10/DT10*100</f>
        <v>0</v>
      </c>
      <c r="CA10" s="99">
        <v>27775</v>
      </c>
      <c r="CB10" s="10">
        <f t="shared" ref="CB10:CB37" si="36">CA10/DS10*100</f>
        <v>30.761157855519244</v>
      </c>
      <c r="CC10" s="10">
        <f>CA10</f>
        <v>27775</v>
      </c>
      <c r="CD10" s="10">
        <f t="shared" ref="CD10:CD37" si="37">CC10/DT10*100</f>
        <v>30.761157855519244</v>
      </c>
      <c r="CE10" s="99"/>
      <c r="CF10" s="10">
        <f t="shared" ref="CF10:CF37" si="38">CE10/DS10*100</f>
        <v>0</v>
      </c>
      <c r="CG10" s="10">
        <f>CE10</f>
        <v>0</v>
      </c>
      <c r="CH10" s="10">
        <f t="shared" ref="CH10:CH37" si="39">CG10/DT10*100</f>
        <v>0</v>
      </c>
      <c r="CI10" s="99">
        <v>3490</v>
      </c>
      <c r="CJ10" s="10">
        <f t="shared" ref="CJ10:CJ37" si="40">CI10/DS10*100</f>
        <v>3.8652183948069183</v>
      </c>
      <c r="CK10" s="10">
        <f>CI10</f>
        <v>3490</v>
      </c>
      <c r="CL10" s="10">
        <f t="shared" ref="CL10:CL37" si="41">CK10/DT10*100</f>
        <v>3.8652183948069183</v>
      </c>
      <c r="CM10" s="99"/>
      <c r="CN10" s="10">
        <f t="shared" ref="CN10:CN37" si="42">CM10/DS10*100</f>
        <v>0</v>
      </c>
      <c r="CO10" s="10">
        <f>CM10</f>
        <v>0</v>
      </c>
      <c r="CP10" s="10">
        <f t="shared" ref="CP10:CP37" si="43">CO10/DT10*100</f>
        <v>0</v>
      </c>
      <c r="CQ10" s="99">
        <v>5030</v>
      </c>
      <c r="CR10" s="10">
        <f t="shared" ref="CR10:CR37" si="44">CQ10/DS10*100</f>
        <v>5.5707875432317477</v>
      </c>
      <c r="CS10" s="10">
        <f>CQ10</f>
        <v>5030</v>
      </c>
      <c r="CT10" s="10">
        <f t="shared" ref="CT10:CT37" si="45">CS10/DT10*100</f>
        <v>5.5707875432317477</v>
      </c>
      <c r="CU10" s="99"/>
      <c r="CV10" s="10">
        <f t="shared" ref="CV10:CV37" si="46">CU10/DS10*100</f>
        <v>0</v>
      </c>
      <c r="CW10" s="10">
        <f>CU10</f>
        <v>0</v>
      </c>
      <c r="CX10" s="10">
        <f t="shared" ref="CX10:CX37" si="47">CW10/DT10*100</f>
        <v>0</v>
      </c>
      <c r="CY10" s="99"/>
      <c r="CZ10" s="10">
        <f t="shared" ref="CZ10:CZ37" si="48">CY10/DS10*100</f>
        <v>0</v>
      </c>
      <c r="DA10" s="10">
        <f>CY10</f>
        <v>0</v>
      </c>
      <c r="DB10" s="10">
        <f t="shared" ref="DB10:DB37" si="49">DA10/DT10*100</f>
        <v>0</v>
      </c>
      <c r="DC10" s="99"/>
      <c r="DD10" s="10">
        <f t="shared" ref="DD10:DD37" si="50">DC10/DS10*100</f>
        <v>0</v>
      </c>
      <c r="DE10" s="10">
        <f>DC10</f>
        <v>0</v>
      </c>
      <c r="DF10" s="10">
        <f t="shared" ref="DF10:DF37" si="51">DE10/DT10*100</f>
        <v>0</v>
      </c>
      <c r="DG10" s="99">
        <f t="shared" ref="DG10:DG42" si="52">+BC10+BK10+CA10+CE10+CI10+CM10+CQ10+CU10+CY10+DC10+BG10+BW10+BO10+BS10</f>
        <v>86603</v>
      </c>
      <c r="DH10" s="10">
        <f t="shared" ref="DH10:DH37" si="53">DG10/DS10*100</f>
        <v>95.913899325347714</v>
      </c>
      <c r="DI10" s="10">
        <f>DG10</f>
        <v>86603</v>
      </c>
      <c r="DJ10" s="10">
        <f t="shared" ref="DJ10:DJ37" si="54">DI10/DT10*100</f>
        <v>95.913899325347714</v>
      </c>
      <c r="DK10" s="99"/>
      <c r="DL10" s="16">
        <f t="shared" ref="DL10:DL37" si="55">DK10/DS10*100</f>
        <v>0</v>
      </c>
      <c r="DM10" s="10">
        <f>DK10</f>
        <v>0</v>
      </c>
      <c r="DN10" s="10">
        <f t="shared" ref="DN10:DN37" si="56">DM10/DT10*100</f>
        <v>0</v>
      </c>
      <c r="DO10" s="10"/>
      <c r="DP10" s="10">
        <f t="shared" ref="DP10:DP37" si="57">DO10/DS10*100</f>
        <v>0</v>
      </c>
      <c r="DQ10" s="10">
        <f>DO10</f>
        <v>0</v>
      </c>
      <c r="DR10" s="10">
        <f t="shared" ref="DR10:DR37" si="58">DQ10/DT10*100</f>
        <v>0</v>
      </c>
      <c r="DS10" s="10">
        <f t="shared" ref="DS10:DS15" si="59">+AA10+DG10+DK10+DO10+AY10</f>
        <v>90292.44</v>
      </c>
      <c r="DT10" s="10">
        <f>DS10</f>
        <v>90292.44</v>
      </c>
      <c r="DU10" s="10">
        <f t="shared" ref="DU10:DU40" si="60">DS10/1000/E10</f>
        <v>1.1262762414399581</v>
      </c>
      <c r="DV10" s="10">
        <f t="shared" ref="DV10:DV40" si="61">(DT10/1000)/F10</f>
        <v>1.1262762414399581</v>
      </c>
      <c r="DW10" s="505">
        <f t="shared" ref="DW10:DW40" si="62">+(E10*1000)/DG10</f>
        <v>0.92570696165259869</v>
      </c>
      <c r="DX10" s="506">
        <f t="shared" ref="DX10:DX13" si="63">+(F10*1000)/DI10</f>
        <v>0.92570696165259869</v>
      </c>
      <c r="DY10" s="5" t="str">
        <f>+Efficiency1!D6</f>
        <v>RC BR</v>
      </c>
    </row>
    <row r="11" spans="1:129">
      <c r="A11" s="17">
        <f>+Chem!A10</f>
        <v>45718</v>
      </c>
      <c r="B11" s="5" t="str">
        <f>+Chem!B10</f>
        <v>Towel/Napkin</v>
      </c>
      <c r="C11" s="5" t="str">
        <f>+Chem!C10</f>
        <v>36/34/30/20/20</v>
      </c>
      <c r="D11" s="8">
        <f>+Chem!D10</f>
        <v>70.802999999999997</v>
      </c>
      <c r="E11" s="6">
        <f>+Chem!E10</f>
        <v>68.052000000000007</v>
      </c>
      <c r="F11" s="6">
        <f>+E11+F10</f>
        <v>148.221</v>
      </c>
      <c r="G11" s="99">
        <v>0</v>
      </c>
      <c r="H11" s="10">
        <f t="shared" si="0"/>
        <v>0</v>
      </c>
      <c r="I11" s="8">
        <f t="shared" ref="I11:I37" si="64">G11+I10</f>
        <v>3689.44</v>
      </c>
      <c r="J11" s="10">
        <f t="shared" si="1"/>
        <v>2.1576500244687753</v>
      </c>
      <c r="K11" s="99">
        <v>0</v>
      </c>
      <c r="L11" s="10">
        <f t="shared" si="2"/>
        <v>0</v>
      </c>
      <c r="M11" s="10">
        <f t="shared" ref="M11:M37" si="65">+K11+M10</f>
        <v>0</v>
      </c>
      <c r="N11" s="10">
        <f t="shared" si="3"/>
        <v>0</v>
      </c>
      <c r="O11" s="99"/>
      <c r="P11" s="10">
        <f t="shared" si="4"/>
        <v>0</v>
      </c>
      <c r="Q11" s="10">
        <f t="shared" ref="Q11:Q37" si="66">+O11+Q10</f>
        <v>0</v>
      </c>
      <c r="R11" s="10">
        <f t="shared" si="5"/>
        <v>0</v>
      </c>
      <c r="S11" s="99"/>
      <c r="T11" s="10">
        <f t="shared" si="6"/>
        <v>0</v>
      </c>
      <c r="U11" s="10">
        <f t="shared" ref="U11:U37" si="67">+S11+U10</f>
        <v>0</v>
      </c>
      <c r="V11" s="10">
        <f t="shared" si="7"/>
        <v>0</v>
      </c>
      <c r="W11" s="10"/>
      <c r="X11" s="10">
        <f t="shared" si="8"/>
        <v>0</v>
      </c>
      <c r="Y11" s="10">
        <f t="shared" ref="Y11:Y37" si="68">+W11+Y10</f>
        <v>0</v>
      </c>
      <c r="Z11" s="10">
        <f t="shared" si="9"/>
        <v>0</v>
      </c>
      <c r="AA11" s="10">
        <f t="shared" ref="AA11:AA37" si="69">G11+K11+W11+S11+O11</f>
        <v>0</v>
      </c>
      <c r="AB11" s="10">
        <f t="shared" si="10"/>
        <v>0</v>
      </c>
      <c r="AC11" s="10">
        <f t="shared" ref="AC11:AC37" si="70">AA11+AC10</f>
        <v>3689.44</v>
      </c>
      <c r="AD11" s="10">
        <f t="shared" si="11"/>
        <v>2.1576500244687753</v>
      </c>
      <c r="AE11" s="10">
        <v>0</v>
      </c>
      <c r="AF11" s="10">
        <f t="shared" si="12"/>
        <v>0</v>
      </c>
      <c r="AG11" s="10">
        <f>+AE11+AG10</f>
        <v>0</v>
      </c>
      <c r="AH11" s="10">
        <f t="shared" si="13"/>
        <v>0</v>
      </c>
      <c r="AI11" s="10">
        <v>0</v>
      </c>
      <c r="AJ11" s="10">
        <f t="shared" si="14"/>
        <v>0</v>
      </c>
      <c r="AK11" s="10">
        <f>+AI11+AK10</f>
        <v>0</v>
      </c>
      <c r="AL11" s="10">
        <f t="shared" si="15"/>
        <v>0</v>
      </c>
      <c r="AM11" s="10">
        <f t="shared" ref="AM11:AM42" si="71">+AE11+AI11</f>
        <v>0</v>
      </c>
      <c r="AN11" s="10">
        <f t="shared" si="16"/>
        <v>0</v>
      </c>
      <c r="AO11" s="10">
        <f t="shared" ref="AO11:AO40" si="72">AM11+AO10</f>
        <v>0</v>
      </c>
      <c r="AP11" s="10">
        <f t="shared" si="17"/>
        <v>0</v>
      </c>
      <c r="AQ11" s="10">
        <v>0</v>
      </c>
      <c r="AR11" s="10">
        <f t="shared" si="18"/>
        <v>0</v>
      </c>
      <c r="AS11" s="10">
        <f>+AQ11+AS10</f>
        <v>0</v>
      </c>
      <c r="AT11" s="10">
        <f t="shared" si="19"/>
        <v>0</v>
      </c>
      <c r="AU11" s="10"/>
      <c r="AV11" s="10">
        <f t="shared" si="20"/>
        <v>0</v>
      </c>
      <c r="AW11" s="10">
        <f>+AU11+AW10</f>
        <v>0</v>
      </c>
      <c r="AX11" s="10">
        <f t="shared" si="21"/>
        <v>0</v>
      </c>
      <c r="AY11" s="10">
        <f t="shared" ref="AY11:AY37" si="73">+AQ11+AU11</f>
        <v>0</v>
      </c>
      <c r="AZ11" s="10">
        <f t="shared" si="22"/>
        <v>0</v>
      </c>
      <c r="BA11" s="10">
        <f>+AY11+BA10</f>
        <v>0</v>
      </c>
      <c r="BB11" s="10">
        <f t="shared" si="23"/>
        <v>0</v>
      </c>
      <c r="BC11" s="99">
        <v>35756</v>
      </c>
      <c r="BD11" s="10">
        <f t="shared" si="24"/>
        <v>44.306761997992588</v>
      </c>
      <c r="BE11" s="10">
        <f t="shared" ref="BE11:BE37" si="74">BC11+BE10</f>
        <v>74634</v>
      </c>
      <c r="BF11" s="10">
        <f t="shared" si="25"/>
        <v>43.647288457381755</v>
      </c>
      <c r="BG11" s="99"/>
      <c r="BH11" s="10" t="e">
        <f t="shared" si="26"/>
        <v>#DIV/0!</v>
      </c>
      <c r="BI11" s="10">
        <f t="shared" ref="BI11:BI37" si="75">BG11+BI10</f>
        <v>0</v>
      </c>
      <c r="BJ11" s="10" t="e">
        <f t="shared" si="27"/>
        <v>#DIV/0!</v>
      </c>
      <c r="BK11" s="99">
        <v>11485</v>
      </c>
      <c r="BL11" s="10">
        <f t="shared" si="28"/>
        <v>14.23154607749594</v>
      </c>
      <c r="BM11" s="10">
        <f t="shared" ref="BM11:BM37" si="76">BK11+BM10</f>
        <v>22915</v>
      </c>
      <c r="BN11" s="10">
        <f t="shared" si="29"/>
        <v>13.401098895957647</v>
      </c>
      <c r="BO11" s="99"/>
      <c r="BP11" s="10">
        <f t="shared" si="30"/>
        <v>0</v>
      </c>
      <c r="BQ11" s="10">
        <f t="shared" ref="BQ11:BQ32" si="77">BO11+BQ10</f>
        <v>0</v>
      </c>
      <c r="BR11" s="10">
        <f t="shared" si="31"/>
        <v>0</v>
      </c>
      <c r="BS11" s="99"/>
      <c r="BT11" s="10">
        <f t="shared" si="32"/>
        <v>0</v>
      </c>
      <c r="BU11" s="10">
        <f t="shared" ref="BU11:BU37" si="78">BS11+BU10</f>
        <v>0</v>
      </c>
      <c r="BV11" s="10">
        <f t="shared" si="33"/>
        <v>0</v>
      </c>
      <c r="BW11" s="99"/>
      <c r="BX11" s="10">
        <f t="shared" si="34"/>
        <v>0</v>
      </c>
      <c r="BY11" s="10">
        <f t="shared" ref="BY11:BY37" si="79">BW11+BY10</f>
        <v>0</v>
      </c>
      <c r="BZ11" s="10">
        <f t="shared" si="35"/>
        <v>0</v>
      </c>
      <c r="CA11" s="99">
        <v>25780</v>
      </c>
      <c r="CB11" s="10">
        <f t="shared" si="36"/>
        <v>31.945081225759285</v>
      </c>
      <c r="CC11" s="10">
        <f t="shared" ref="CC11:CC37" si="80">CA11+CC10</f>
        <v>53555</v>
      </c>
      <c r="CD11" s="10">
        <f t="shared" si="37"/>
        <v>31.319914962819627</v>
      </c>
      <c r="CE11" s="99"/>
      <c r="CF11" s="10">
        <f t="shared" si="38"/>
        <v>0</v>
      </c>
      <c r="CG11" s="10">
        <f t="shared" ref="CG11:CG37" si="81">CE11+CG10</f>
        <v>0</v>
      </c>
      <c r="CH11" s="10">
        <f t="shared" si="39"/>
        <v>0</v>
      </c>
      <c r="CI11" s="99">
        <v>3210</v>
      </c>
      <c r="CJ11" s="10">
        <f t="shared" si="40"/>
        <v>3.9776458779940773</v>
      </c>
      <c r="CK11" s="10">
        <f t="shared" ref="CK11:CK37" si="82">CI11+CK10</f>
        <v>6700</v>
      </c>
      <c r="CL11" s="10">
        <f t="shared" si="41"/>
        <v>3.91827897023418</v>
      </c>
      <c r="CM11" s="99"/>
      <c r="CN11" s="10">
        <f t="shared" si="42"/>
        <v>0</v>
      </c>
      <c r="CO11" s="10">
        <f t="shared" ref="CO11:CO37" si="83">CM11+CO10</f>
        <v>0</v>
      </c>
      <c r="CP11" s="10">
        <f t="shared" si="43"/>
        <v>0</v>
      </c>
      <c r="CQ11" s="99">
        <v>4470</v>
      </c>
      <c r="CR11" s="10">
        <f t="shared" si="44"/>
        <v>5.5389648207581068</v>
      </c>
      <c r="CS11" s="10">
        <f t="shared" ref="CS11:CS37" si="84">CQ11+CS10</f>
        <v>9500</v>
      </c>
      <c r="CT11" s="10">
        <f t="shared" si="45"/>
        <v>5.5557686891380156</v>
      </c>
      <c r="CU11" s="99"/>
      <c r="CV11" s="10">
        <f t="shared" si="46"/>
        <v>0</v>
      </c>
      <c r="CW11" s="10">
        <f t="shared" ref="CW11:CW37" si="85">CU11+CW10</f>
        <v>0</v>
      </c>
      <c r="CX11" s="10">
        <f t="shared" si="47"/>
        <v>0</v>
      </c>
      <c r="CY11" s="99"/>
      <c r="CZ11" s="10">
        <f t="shared" si="48"/>
        <v>0</v>
      </c>
      <c r="DA11" s="10">
        <f t="shared" ref="DA11:DA37" si="86">CY11+DA10</f>
        <v>0</v>
      </c>
      <c r="DB11" s="10">
        <f t="shared" si="49"/>
        <v>0</v>
      </c>
      <c r="DC11" s="99"/>
      <c r="DD11" s="10">
        <f t="shared" si="50"/>
        <v>0</v>
      </c>
      <c r="DE11" s="10">
        <f t="shared" ref="DE11:DE37" si="87">DC11+DE10</f>
        <v>0</v>
      </c>
      <c r="DF11" s="10">
        <f t="shared" si="51"/>
        <v>0</v>
      </c>
      <c r="DG11" s="99">
        <f t="shared" si="52"/>
        <v>80701</v>
      </c>
      <c r="DH11" s="10">
        <f t="shared" si="53"/>
        <v>100</v>
      </c>
      <c r="DI11" s="10">
        <f t="shared" ref="DI11:DI37" si="88">DG11+DI10</f>
        <v>167304</v>
      </c>
      <c r="DJ11" s="10">
        <f t="shared" si="54"/>
        <v>97.842349975531235</v>
      </c>
      <c r="DK11" s="99"/>
      <c r="DL11" s="16">
        <f t="shared" si="55"/>
        <v>0</v>
      </c>
      <c r="DM11" s="10">
        <f t="shared" ref="DM11:DM37" si="89">DK11+DM10</f>
        <v>0</v>
      </c>
      <c r="DN11" s="10">
        <f t="shared" si="56"/>
        <v>0</v>
      </c>
      <c r="DO11" s="10"/>
      <c r="DP11" s="10">
        <f t="shared" si="57"/>
        <v>0</v>
      </c>
      <c r="DQ11" s="10">
        <f t="shared" ref="DQ11:DQ37" si="90">DO11+DQ10</f>
        <v>0</v>
      </c>
      <c r="DR11" s="10">
        <f t="shared" si="58"/>
        <v>0</v>
      </c>
      <c r="DS11" s="10">
        <f t="shared" si="59"/>
        <v>80701</v>
      </c>
      <c r="DT11" s="10">
        <f t="shared" ref="DT11:DT37" si="91">DS11+DT10</f>
        <v>170993.44</v>
      </c>
      <c r="DU11" s="10">
        <f t="shared" si="60"/>
        <v>1.1858725680362074</v>
      </c>
      <c r="DV11" s="10">
        <f t="shared" si="61"/>
        <v>1.153638418307797</v>
      </c>
      <c r="DW11" s="505">
        <f t="shared" si="62"/>
        <v>0.84326092613474435</v>
      </c>
      <c r="DX11" s="506">
        <f t="shared" si="63"/>
        <v>0.88593817242863293</v>
      </c>
      <c r="DY11" s="5" t="str">
        <f>+Efficiency1!D10</f>
        <v>RC BR</v>
      </c>
    </row>
    <row r="12" spans="1:129">
      <c r="A12" s="17">
        <f>+Chem!A11</f>
        <v>45719</v>
      </c>
      <c r="B12" s="5" t="str">
        <f>+Chem!B11</f>
        <v>Napkin</v>
      </c>
      <c r="C12" s="5" t="str">
        <f>+Chem!C11</f>
        <v>20/17,5</v>
      </c>
      <c r="D12" s="8">
        <f>+Chem!D11</f>
        <v>54.210999999999999</v>
      </c>
      <c r="E12" s="6">
        <f>+Chem!E11</f>
        <v>53.136000000000003</v>
      </c>
      <c r="F12" s="6">
        <f t="shared" ref="F12:F37" si="92">+E12+F11</f>
        <v>201.357</v>
      </c>
      <c r="G12" s="99">
        <v>0</v>
      </c>
      <c r="H12" s="10">
        <f t="shared" si="0"/>
        <v>0</v>
      </c>
      <c r="I12" s="8">
        <f t="shared" si="64"/>
        <v>3689.44</v>
      </c>
      <c r="J12" s="10">
        <f t="shared" si="1"/>
        <v>1.5465560556147164</v>
      </c>
      <c r="K12" s="99">
        <v>0</v>
      </c>
      <c r="L12" s="10">
        <f t="shared" si="2"/>
        <v>0</v>
      </c>
      <c r="M12" s="10">
        <f t="shared" si="65"/>
        <v>0</v>
      </c>
      <c r="N12" s="10">
        <f t="shared" si="3"/>
        <v>0</v>
      </c>
      <c r="O12" s="99"/>
      <c r="P12" s="10">
        <f t="shared" si="4"/>
        <v>0</v>
      </c>
      <c r="Q12" s="10">
        <f t="shared" si="66"/>
        <v>0</v>
      </c>
      <c r="R12" s="10">
        <f t="shared" si="5"/>
        <v>0</v>
      </c>
      <c r="S12" s="99"/>
      <c r="T12" s="10">
        <f t="shared" si="6"/>
        <v>0</v>
      </c>
      <c r="U12" s="10">
        <f t="shared" si="67"/>
        <v>0</v>
      </c>
      <c r="V12" s="10">
        <f t="shared" si="7"/>
        <v>0</v>
      </c>
      <c r="W12" s="10"/>
      <c r="X12" s="10">
        <f t="shared" si="8"/>
        <v>0</v>
      </c>
      <c r="Y12" s="10">
        <f t="shared" si="68"/>
        <v>0</v>
      </c>
      <c r="Z12" s="10">
        <f t="shared" si="9"/>
        <v>0</v>
      </c>
      <c r="AA12" s="10">
        <f t="shared" si="69"/>
        <v>0</v>
      </c>
      <c r="AB12" s="10">
        <f t="shared" si="10"/>
        <v>0</v>
      </c>
      <c r="AC12" s="10">
        <f t="shared" si="70"/>
        <v>3689.44</v>
      </c>
      <c r="AD12" s="10">
        <f t="shared" si="11"/>
        <v>1.5465560556147164</v>
      </c>
      <c r="AE12" s="10">
        <v>0</v>
      </c>
      <c r="AF12" s="10">
        <f t="shared" si="12"/>
        <v>0</v>
      </c>
      <c r="AG12" s="10">
        <f t="shared" ref="AG12:AG40" si="93">+AE12+AG11</f>
        <v>0</v>
      </c>
      <c r="AH12" s="10">
        <f t="shared" si="13"/>
        <v>0</v>
      </c>
      <c r="AI12" s="10">
        <v>0</v>
      </c>
      <c r="AJ12" s="10">
        <f t="shared" si="14"/>
        <v>0</v>
      </c>
      <c r="AK12" s="10">
        <f t="shared" ref="AK12:AK40" si="94">+AI12+AK11</f>
        <v>0</v>
      </c>
      <c r="AL12" s="10">
        <f t="shared" si="15"/>
        <v>0</v>
      </c>
      <c r="AM12" s="10">
        <f t="shared" si="71"/>
        <v>0</v>
      </c>
      <c r="AN12" s="10">
        <f t="shared" si="16"/>
        <v>0</v>
      </c>
      <c r="AO12" s="10">
        <f t="shared" si="72"/>
        <v>0</v>
      </c>
      <c r="AP12" s="10">
        <f t="shared" si="17"/>
        <v>0</v>
      </c>
      <c r="AQ12" s="10">
        <v>0</v>
      </c>
      <c r="AR12" s="10">
        <f t="shared" si="18"/>
        <v>0</v>
      </c>
      <c r="AS12" s="10">
        <f t="shared" ref="AS12:AS37" si="95">+AQ12+AS11</f>
        <v>0</v>
      </c>
      <c r="AT12" s="10">
        <f t="shared" si="19"/>
        <v>0</v>
      </c>
      <c r="AU12" s="10"/>
      <c r="AV12" s="10">
        <f t="shared" si="20"/>
        <v>0</v>
      </c>
      <c r="AW12" s="10">
        <f t="shared" ref="AW12:AW37" si="96">+AU12+AW11</f>
        <v>0</v>
      </c>
      <c r="AX12" s="10">
        <f t="shared" si="21"/>
        <v>0</v>
      </c>
      <c r="AY12" s="10">
        <f t="shared" si="73"/>
        <v>0</v>
      </c>
      <c r="AZ12" s="10">
        <f t="shared" si="22"/>
        <v>0</v>
      </c>
      <c r="BA12" s="10">
        <f t="shared" ref="BA12:BA37" si="97">+AY12+BA11</f>
        <v>0</v>
      </c>
      <c r="BB12" s="10">
        <f t="shared" si="23"/>
        <v>0</v>
      </c>
      <c r="BC12" s="99">
        <v>30320</v>
      </c>
      <c r="BD12" s="10">
        <f t="shared" si="24"/>
        <v>44.875305261599941</v>
      </c>
      <c r="BE12" s="10">
        <f t="shared" si="74"/>
        <v>104954</v>
      </c>
      <c r="BF12" s="10">
        <f t="shared" si="25"/>
        <v>43.995089840460054</v>
      </c>
      <c r="BG12" s="99"/>
      <c r="BH12" s="10" t="e">
        <f t="shared" si="26"/>
        <v>#DIV/0!</v>
      </c>
      <c r="BI12" s="10">
        <f t="shared" si="75"/>
        <v>0</v>
      </c>
      <c r="BJ12" s="10" t="e">
        <f t="shared" si="27"/>
        <v>#DIV/0!</v>
      </c>
      <c r="BK12" s="99">
        <v>9660</v>
      </c>
      <c r="BL12" s="10">
        <f t="shared" si="28"/>
        <v>14.297343299045364</v>
      </c>
      <c r="BM12" s="10">
        <f t="shared" si="76"/>
        <v>32575</v>
      </c>
      <c r="BN12" s="10">
        <f t="shared" si="29"/>
        <v>13.654935033948076</v>
      </c>
      <c r="BO12" s="99"/>
      <c r="BP12" s="10">
        <f t="shared" si="30"/>
        <v>0</v>
      </c>
      <c r="BQ12" s="10">
        <f t="shared" si="77"/>
        <v>0</v>
      </c>
      <c r="BR12" s="10">
        <f t="shared" si="31"/>
        <v>0</v>
      </c>
      <c r="BS12" s="99"/>
      <c r="BT12" s="10">
        <f t="shared" si="32"/>
        <v>0</v>
      </c>
      <c r="BU12" s="10">
        <f t="shared" si="78"/>
        <v>0</v>
      </c>
      <c r="BV12" s="10">
        <f t="shared" si="33"/>
        <v>0</v>
      </c>
      <c r="BW12" s="99"/>
      <c r="BX12" s="10">
        <f t="shared" si="34"/>
        <v>0</v>
      </c>
      <c r="BY12" s="10">
        <f t="shared" si="79"/>
        <v>0</v>
      </c>
      <c r="BZ12" s="10">
        <f t="shared" si="35"/>
        <v>0</v>
      </c>
      <c r="CA12" s="99">
        <v>21210</v>
      </c>
      <c r="CB12" s="10">
        <f t="shared" si="36"/>
        <v>31.391992895730038</v>
      </c>
      <c r="CC12" s="10">
        <f t="shared" si="80"/>
        <v>74765</v>
      </c>
      <c r="CD12" s="10">
        <f t="shared" si="37"/>
        <v>31.340329019589497</v>
      </c>
      <c r="CE12" s="99"/>
      <c r="CF12" s="10">
        <f t="shared" si="38"/>
        <v>0</v>
      </c>
      <c r="CG12" s="10">
        <f t="shared" si="81"/>
        <v>0</v>
      </c>
      <c r="CH12" s="10">
        <f t="shared" si="39"/>
        <v>0</v>
      </c>
      <c r="CI12" s="99">
        <v>2690</v>
      </c>
      <c r="CJ12" s="10">
        <f t="shared" si="40"/>
        <v>3.9813512913490716</v>
      </c>
      <c r="CK12" s="10">
        <f t="shared" si="82"/>
        <v>9390</v>
      </c>
      <c r="CL12" s="10">
        <f t="shared" si="41"/>
        <v>3.9361424395632367</v>
      </c>
      <c r="CM12" s="99"/>
      <c r="CN12" s="10">
        <f t="shared" si="42"/>
        <v>0</v>
      </c>
      <c r="CO12" s="10">
        <f t="shared" si="83"/>
        <v>0</v>
      </c>
      <c r="CP12" s="10">
        <f t="shared" si="43"/>
        <v>0</v>
      </c>
      <c r="CQ12" s="99">
        <v>3685</v>
      </c>
      <c r="CR12" s="10">
        <f t="shared" si="44"/>
        <v>5.454007252275586</v>
      </c>
      <c r="CS12" s="10">
        <f t="shared" si="84"/>
        <v>13185</v>
      </c>
      <c r="CT12" s="10">
        <f t="shared" si="45"/>
        <v>5.5269476108244167</v>
      </c>
      <c r="CU12" s="99"/>
      <c r="CV12" s="10">
        <f t="shared" si="46"/>
        <v>0</v>
      </c>
      <c r="CW12" s="10">
        <f t="shared" si="85"/>
        <v>0</v>
      </c>
      <c r="CX12" s="10">
        <f t="shared" si="47"/>
        <v>0</v>
      </c>
      <c r="CY12" s="99"/>
      <c r="CZ12" s="10">
        <f t="shared" si="48"/>
        <v>0</v>
      </c>
      <c r="DA12" s="10">
        <f t="shared" si="86"/>
        <v>0</v>
      </c>
      <c r="DB12" s="10">
        <f t="shared" si="49"/>
        <v>0</v>
      </c>
      <c r="DC12" s="99"/>
      <c r="DD12" s="10">
        <f t="shared" si="50"/>
        <v>0</v>
      </c>
      <c r="DE12" s="10">
        <f t="shared" si="87"/>
        <v>0</v>
      </c>
      <c r="DF12" s="10">
        <f t="shared" si="51"/>
        <v>0</v>
      </c>
      <c r="DG12" s="99">
        <f t="shared" si="52"/>
        <v>67565</v>
      </c>
      <c r="DH12" s="10">
        <f t="shared" si="53"/>
        <v>100</v>
      </c>
      <c r="DI12" s="10">
        <f t="shared" si="88"/>
        <v>234869</v>
      </c>
      <c r="DJ12" s="10">
        <f t="shared" si="54"/>
        <v>98.45344394438527</v>
      </c>
      <c r="DK12" s="99"/>
      <c r="DL12" s="16">
        <f t="shared" si="55"/>
        <v>0</v>
      </c>
      <c r="DM12" s="10">
        <f t="shared" si="89"/>
        <v>0</v>
      </c>
      <c r="DN12" s="10">
        <f t="shared" si="56"/>
        <v>0</v>
      </c>
      <c r="DO12" s="10">
        <v>0</v>
      </c>
      <c r="DP12" s="10">
        <f t="shared" si="57"/>
        <v>0</v>
      </c>
      <c r="DQ12" s="10">
        <f t="shared" si="90"/>
        <v>0</v>
      </c>
      <c r="DR12" s="10">
        <f t="shared" si="58"/>
        <v>0</v>
      </c>
      <c r="DS12" s="10">
        <f t="shared" si="59"/>
        <v>67565</v>
      </c>
      <c r="DT12" s="10">
        <f t="shared" si="91"/>
        <v>238558.44</v>
      </c>
      <c r="DU12" s="10">
        <f t="shared" si="60"/>
        <v>1.2715484793736824</v>
      </c>
      <c r="DV12" s="10">
        <f t="shared" si="61"/>
        <v>1.1847536465084403</v>
      </c>
      <c r="DW12" s="505">
        <f t="shared" si="62"/>
        <v>0.78644268482202329</v>
      </c>
      <c r="DX12" s="506">
        <f t="shared" si="63"/>
        <v>0.85731620605529035</v>
      </c>
      <c r="DY12" s="5" t="str">
        <f>+Efficiency1!D16</f>
        <v>RC BR</v>
      </c>
    </row>
    <row r="13" spans="1:129">
      <c r="A13" s="17">
        <f>+Chem!A12</f>
        <v>45720</v>
      </c>
      <c r="B13" s="5" t="str">
        <f>+Chem!B12</f>
        <v>Napkin</v>
      </c>
      <c r="C13" s="5" t="str">
        <f>+Chem!C12</f>
        <v>17,5/16/15,5</v>
      </c>
      <c r="D13" s="8">
        <f>+Chem!D12</f>
        <v>48.460999999999999</v>
      </c>
      <c r="E13" s="6">
        <f>+Chem!E12</f>
        <v>42.997999999999998</v>
      </c>
      <c r="F13" s="6">
        <f t="shared" si="92"/>
        <v>244.35499999999999</v>
      </c>
      <c r="G13" s="99">
        <f>26*G7</f>
        <v>5995.34</v>
      </c>
      <c r="H13" s="10">
        <f t="shared" si="0"/>
        <v>16.529594153239259</v>
      </c>
      <c r="I13" s="8">
        <f t="shared" si="64"/>
        <v>9684.7800000000007</v>
      </c>
      <c r="J13" s="10">
        <f t="shared" si="1"/>
        <v>3.5239322461061025</v>
      </c>
      <c r="K13" s="99">
        <v>0</v>
      </c>
      <c r="L13" s="10">
        <f t="shared" si="2"/>
        <v>0</v>
      </c>
      <c r="M13" s="10">
        <f t="shared" si="65"/>
        <v>0</v>
      </c>
      <c r="N13" s="10">
        <f t="shared" si="3"/>
        <v>0</v>
      </c>
      <c r="O13" s="99"/>
      <c r="P13" s="10">
        <f t="shared" si="4"/>
        <v>0</v>
      </c>
      <c r="Q13" s="10">
        <f t="shared" si="66"/>
        <v>0</v>
      </c>
      <c r="R13" s="10">
        <f t="shared" si="5"/>
        <v>0</v>
      </c>
      <c r="S13" s="99"/>
      <c r="T13" s="10">
        <f t="shared" si="6"/>
        <v>0</v>
      </c>
      <c r="U13" s="10">
        <f t="shared" si="67"/>
        <v>0</v>
      </c>
      <c r="V13" s="10">
        <f t="shared" si="7"/>
        <v>0</v>
      </c>
      <c r="W13" s="10"/>
      <c r="X13" s="10">
        <f t="shared" si="8"/>
        <v>0</v>
      </c>
      <c r="Y13" s="10">
        <f t="shared" si="68"/>
        <v>0</v>
      </c>
      <c r="Z13" s="10">
        <f t="shared" si="9"/>
        <v>0</v>
      </c>
      <c r="AA13" s="10">
        <f t="shared" si="69"/>
        <v>5995.34</v>
      </c>
      <c r="AB13" s="10">
        <f t="shared" si="10"/>
        <v>16.529594153239259</v>
      </c>
      <c r="AC13" s="10">
        <f t="shared" si="70"/>
        <v>9684.7800000000007</v>
      </c>
      <c r="AD13" s="10">
        <f t="shared" si="11"/>
        <v>3.5239322461061025</v>
      </c>
      <c r="AE13" s="10">
        <v>0</v>
      </c>
      <c r="AF13" s="10">
        <f t="shared" si="12"/>
        <v>0</v>
      </c>
      <c r="AG13" s="10">
        <f t="shared" si="93"/>
        <v>0</v>
      </c>
      <c r="AH13" s="10">
        <f t="shared" si="13"/>
        <v>0</v>
      </c>
      <c r="AI13" s="10">
        <v>0</v>
      </c>
      <c r="AJ13" s="10">
        <f t="shared" si="14"/>
        <v>0</v>
      </c>
      <c r="AK13" s="10">
        <f t="shared" si="94"/>
        <v>0</v>
      </c>
      <c r="AL13" s="10">
        <f t="shared" si="15"/>
        <v>0</v>
      </c>
      <c r="AM13" s="10">
        <f t="shared" si="71"/>
        <v>0</v>
      </c>
      <c r="AN13" s="10">
        <f t="shared" si="16"/>
        <v>0</v>
      </c>
      <c r="AO13" s="10">
        <f t="shared" si="72"/>
        <v>0</v>
      </c>
      <c r="AP13" s="10">
        <f t="shared" si="17"/>
        <v>0</v>
      </c>
      <c r="AQ13" s="10">
        <v>0</v>
      </c>
      <c r="AR13" s="10">
        <f t="shared" si="18"/>
        <v>0</v>
      </c>
      <c r="AS13" s="10">
        <f t="shared" si="95"/>
        <v>0</v>
      </c>
      <c r="AT13" s="10">
        <f t="shared" si="19"/>
        <v>0</v>
      </c>
      <c r="AU13" s="10"/>
      <c r="AV13" s="10">
        <f t="shared" si="20"/>
        <v>0</v>
      </c>
      <c r="AW13" s="10">
        <f t="shared" si="96"/>
        <v>0</v>
      </c>
      <c r="AX13" s="10">
        <f t="shared" si="21"/>
        <v>0</v>
      </c>
      <c r="AY13" s="10">
        <f t="shared" si="73"/>
        <v>0</v>
      </c>
      <c r="AZ13" s="10">
        <f t="shared" si="22"/>
        <v>0</v>
      </c>
      <c r="BA13" s="10">
        <f t="shared" si="97"/>
        <v>0</v>
      </c>
      <c r="BB13" s="10">
        <f t="shared" si="23"/>
        <v>0</v>
      </c>
      <c r="BC13" s="99">
        <v>13680</v>
      </c>
      <c r="BD13" s="10">
        <f t="shared" si="24"/>
        <v>37.716768025885614</v>
      </c>
      <c r="BE13" s="10">
        <f t="shared" si="74"/>
        <v>118634</v>
      </c>
      <c r="BF13" s="10">
        <f t="shared" si="25"/>
        <v>43.166512619238787</v>
      </c>
      <c r="BG13" s="99"/>
      <c r="BH13" s="10" t="e">
        <f t="shared" si="26"/>
        <v>#DIV/0!</v>
      </c>
      <c r="BI13" s="10">
        <f t="shared" si="75"/>
        <v>0</v>
      </c>
      <c r="BJ13" s="10" t="e">
        <f t="shared" si="27"/>
        <v>#DIV/0!</v>
      </c>
      <c r="BK13" s="99">
        <v>4210</v>
      </c>
      <c r="BL13" s="10">
        <f t="shared" si="28"/>
        <v>11.607280218492576</v>
      </c>
      <c r="BM13" s="10">
        <f t="shared" si="76"/>
        <v>36785</v>
      </c>
      <c r="BN13" s="10">
        <f t="shared" si="29"/>
        <v>13.384697192193626</v>
      </c>
      <c r="BO13" s="99"/>
      <c r="BP13" s="10">
        <f t="shared" si="30"/>
        <v>0</v>
      </c>
      <c r="BQ13" s="10">
        <f t="shared" si="77"/>
        <v>0</v>
      </c>
      <c r="BR13" s="10">
        <f t="shared" si="31"/>
        <v>0</v>
      </c>
      <c r="BS13" s="99"/>
      <c r="BT13" s="10">
        <f t="shared" si="32"/>
        <v>0</v>
      </c>
      <c r="BU13" s="10">
        <f t="shared" si="78"/>
        <v>0</v>
      </c>
      <c r="BV13" s="10">
        <f t="shared" si="33"/>
        <v>0</v>
      </c>
      <c r="BW13" s="99"/>
      <c r="BX13" s="10">
        <f t="shared" si="34"/>
        <v>0</v>
      </c>
      <c r="BY13" s="10">
        <f t="shared" si="79"/>
        <v>0</v>
      </c>
      <c r="BZ13" s="10">
        <f t="shared" si="35"/>
        <v>0</v>
      </c>
      <c r="CA13" s="99">
        <v>9435</v>
      </c>
      <c r="CB13" s="10">
        <f t="shared" si="36"/>
        <v>26.012990228379447</v>
      </c>
      <c r="CC13" s="10">
        <f t="shared" si="80"/>
        <v>84200</v>
      </c>
      <c r="CD13" s="10">
        <f t="shared" si="37"/>
        <v>30.637257131512936</v>
      </c>
      <c r="CE13" s="99"/>
      <c r="CF13" s="10">
        <f t="shared" si="38"/>
        <v>0</v>
      </c>
      <c r="CG13" s="10">
        <f t="shared" si="81"/>
        <v>0</v>
      </c>
      <c r="CH13" s="10">
        <f t="shared" si="39"/>
        <v>0</v>
      </c>
      <c r="CI13" s="99">
        <v>1240</v>
      </c>
      <c r="CJ13" s="10">
        <f t="shared" si="40"/>
        <v>3.4187713707674092</v>
      </c>
      <c r="CK13" s="10">
        <f t="shared" si="82"/>
        <v>10630</v>
      </c>
      <c r="CL13" s="10">
        <f t="shared" si="41"/>
        <v>3.8678627471256823</v>
      </c>
      <c r="CM13" s="99"/>
      <c r="CN13" s="10">
        <f t="shared" si="42"/>
        <v>0</v>
      </c>
      <c r="CO13" s="10">
        <f t="shared" si="83"/>
        <v>0</v>
      </c>
      <c r="CP13" s="10">
        <f t="shared" si="43"/>
        <v>0</v>
      </c>
      <c r="CQ13" s="99">
        <v>1710</v>
      </c>
      <c r="CR13" s="10">
        <f t="shared" si="44"/>
        <v>4.7145960032357017</v>
      </c>
      <c r="CS13" s="10">
        <f t="shared" si="84"/>
        <v>14895</v>
      </c>
      <c r="CT13" s="10">
        <f t="shared" si="45"/>
        <v>5.419738063822864</v>
      </c>
      <c r="CU13" s="99"/>
      <c r="CV13" s="10">
        <f t="shared" si="46"/>
        <v>0</v>
      </c>
      <c r="CW13" s="10">
        <f t="shared" si="85"/>
        <v>0</v>
      </c>
      <c r="CX13" s="10">
        <f t="shared" si="47"/>
        <v>0</v>
      </c>
      <c r="CY13" s="99"/>
      <c r="CZ13" s="10">
        <f t="shared" si="48"/>
        <v>0</v>
      </c>
      <c r="DA13" s="10">
        <f t="shared" si="86"/>
        <v>0</v>
      </c>
      <c r="DB13" s="10">
        <f t="shared" si="49"/>
        <v>0</v>
      </c>
      <c r="DC13" s="99"/>
      <c r="DD13" s="10">
        <f t="shared" si="50"/>
        <v>0</v>
      </c>
      <c r="DE13" s="10">
        <f t="shared" si="87"/>
        <v>0</v>
      </c>
      <c r="DF13" s="10">
        <f t="shared" si="51"/>
        <v>0</v>
      </c>
      <c r="DG13" s="99">
        <f t="shared" si="52"/>
        <v>30275</v>
      </c>
      <c r="DH13" s="10">
        <f t="shared" si="53"/>
        <v>83.470405846760755</v>
      </c>
      <c r="DI13" s="10">
        <f t="shared" si="88"/>
        <v>265144</v>
      </c>
      <c r="DJ13" s="10">
        <f t="shared" si="54"/>
        <v>96.476067753893886</v>
      </c>
      <c r="DK13" s="99"/>
      <c r="DL13" s="16">
        <f t="shared" si="55"/>
        <v>0</v>
      </c>
      <c r="DM13" s="10">
        <f t="shared" si="89"/>
        <v>0</v>
      </c>
      <c r="DN13" s="10">
        <f t="shared" si="56"/>
        <v>0</v>
      </c>
      <c r="DO13" s="10">
        <v>0</v>
      </c>
      <c r="DP13" s="10">
        <f t="shared" si="57"/>
        <v>0</v>
      </c>
      <c r="DQ13" s="10">
        <f t="shared" si="90"/>
        <v>0</v>
      </c>
      <c r="DR13" s="10">
        <f t="shared" si="58"/>
        <v>0</v>
      </c>
      <c r="DS13" s="10">
        <f t="shared" si="59"/>
        <v>36270.339999999997</v>
      </c>
      <c r="DT13" s="10">
        <f t="shared" si="91"/>
        <v>274828.78000000003</v>
      </c>
      <c r="DU13" s="10">
        <f t="shared" si="60"/>
        <v>0.84353551327968745</v>
      </c>
      <c r="DV13" s="10">
        <f t="shared" si="61"/>
        <v>1.1247110965603326</v>
      </c>
      <c r="DW13" s="505">
        <f t="shared" si="62"/>
        <v>1.4202477291494633</v>
      </c>
      <c r="DX13" s="506">
        <f t="shared" si="63"/>
        <v>0.92159354916573633</v>
      </c>
      <c r="DY13" s="5" t="str">
        <f>+Efficiency1!D20</f>
        <v>RC BR</v>
      </c>
    </row>
    <row r="14" spans="1:129">
      <c r="A14" s="17">
        <f>+Chem!A13</f>
        <v>45721</v>
      </c>
      <c r="B14" s="5" t="str">
        <f>+Chem!B13</f>
        <v>Napkin</v>
      </c>
      <c r="C14" s="5" t="str">
        <f>+Chem!C13</f>
        <v>16/17</v>
      </c>
      <c r="D14" s="8">
        <f>+Chem!D13</f>
        <v>1.7759999999999998</v>
      </c>
      <c r="E14" s="6">
        <f>+Chem!E13</f>
        <v>2.3740000000000001</v>
      </c>
      <c r="F14" s="6">
        <f t="shared" si="92"/>
        <v>246.72899999999998</v>
      </c>
      <c r="G14" s="99">
        <f>8*G7</f>
        <v>1844.72</v>
      </c>
      <c r="H14" s="90">
        <f t="shared" si="0"/>
        <v>25.462957850682983</v>
      </c>
      <c r="I14" s="8">
        <f t="shared" si="64"/>
        <v>11529.5</v>
      </c>
      <c r="J14" s="90">
        <f t="shared" si="1"/>
        <v>4.0874098417611009</v>
      </c>
      <c r="K14" s="99">
        <v>0</v>
      </c>
      <c r="L14" s="90">
        <f t="shared" si="2"/>
        <v>0</v>
      </c>
      <c r="M14" s="90">
        <f t="shared" si="65"/>
        <v>0</v>
      </c>
      <c r="N14" s="90">
        <f t="shared" si="3"/>
        <v>0</v>
      </c>
      <c r="O14" s="99"/>
      <c r="P14" s="90">
        <f t="shared" si="4"/>
        <v>0</v>
      </c>
      <c r="Q14" s="90">
        <f t="shared" si="66"/>
        <v>0</v>
      </c>
      <c r="R14" s="90">
        <f t="shared" si="5"/>
        <v>0</v>
      </c>
      <c r="S14" s="99"/>
      <c r="T14" s="90">
        <f t="shared" si="6"/>
        <v>0</v>
      </c>
      <c r="U14" s="90">
        <f t="shared" si="67"/>
        <v>0</v>
      </c>
      <c r="V14" s="90">
        <f t="shared" si="7"/>
        <v>0</v>
      </c>
      <c r="W14" s="10"/>
      <c r="X14" s="90">
        <f t="shared" si="8"/>
        <v>0</v>
      </c>
      <c r="Y14" s="90">
        <f t="shared" si="68"/>
        <v>0</v>
      </c>
      <c r="Z14" s="90">
        <f t="shared" si="9"/>
        <v>0</v>
      </c>
      <c r="AA14" s="10">
        <f t="shared" si="69"/>
        <v>1844.72</v>
      </c>
      <c r="AB14" s="90">
        <f t="shared" si="10"/>
        <v>25.462957850682983</v>
      </c>
      <c r="AC14" s="90">
        <f t="shared" si="70"/>
        <v>11529.5</v>
      </c>
      <c r="AD14" s="90">
        <f t="shared" si="11"/>
        <v>4.0874098417611009</v>
      </c>
      <c r="AE14" s="10">
        <v>0</v>
      </c>
      <c r="AF14" s="10">
        <f t="shared" si="12"/>
        <v>0</v>
      </c>
      <c r="AG14" s="10">
        <f t="shared" si="93"/>
        <v>0</v>
      </c>
      <c r="AH14" s="10">
        <f t="shared" si="13"/>
        <v>0</v>
      </c>
      <c r="AI14" s="10">
        <v>0</v>
      </c>
      <c r="AJ14" s="10">
        <f t="shared" si="14"/>
        <v>0</v>
      </c>
      <c r="AK14" s="10">
        <f t="shared" si="94"/>
        <v>0</v>
      </c>
      <c r="AL14" s="10">
        <f t="shared" si="15"/>
        <v>0</v>
      </c>
      <c r="AM14" s="10">
        <f t="shared" si="71"/>
        <v>0</v>
      </c>
      <c r="AN14" s="10">
        <f t="shared" si="16"/>
        <v>0</v>
      </c>
      <c r="AO14" s="90">
        <f t="shared" si="72"/>
        <v>0</v>
      </c>
      <c r="AP14" s="10">
        <f t="shared" si="17"/>
        <v>0</v>
      </c>
      <c r="AQ14" s="90">
        <v>0</v>
      </c>
      <c r="AR14" s="10">
        <f t="shared" si="18"/>
        <v>0</v>
      </c>
      <c r="AS14" s="10">
        <f t="shared" si="95"/>
        <v>0</v>
      </c>
      <c r="AT14" s="10">
        <f t="shared" si="19"/>
        <v>0</v>
      </c>
      <c r="AU14" s="10"/>
      <c r="AV14" s="10">
        <f t="shared" si="20"/>
        <v>0</v>
      </c>
      <c r="AW14" s="10">
        <f t="shared" si="96"/>
        <v>0</v>
      </c>
      <c r="AX14" s="10">
        <f t="shared" si="21"/>
        <v>0</v>
      </c>
      <c r="AY14" s="10">
        <f t="shared" si="73"/>
        <v>0</v>
      </c>
      <c r="AZ14" s="10">
        <f t="shared" si="22"/>
        <v>0</v>
      </c>
      <c r="BA14" s="10">
        <f t="shared" si="97"/>
        <v>0</v>
      </c>
      <c r="BB14" s="10">
        <f t="shared" si="23"/>
        <v>0</v>
      </c>
      <c r="BC14" s="99"/>
      <c r="BD14" s="10">
        <f t="shared" si="24"/>
        <v>0</v>
      </c>
      <c r="BE14" s="90">
        <f t="shared" si="74"/>
        <v>118634</v>
      </c>
      <c r="BF14" s="10">
        <f t="shared" si="25"/>
        <v>42.05783244438063</v>
      </c>
      <c r="BG14" s="99"/>
      <c r="BH14" s="10" t="e">
        <f t="shared" si="26"/>
        <v>#DIV/0!</v>
      </c>
      <c r="BI14" s="90">
        <f t="shared" si="75"/>
        <v>0</v>
      </c>
      <c r="BJ14" s="10" t="e">
        <f t="shared" si="27"/>
        <v>#DIV/0!</v>
      </c>
      <c r="BK14" s="100"/>
      <c r="BL14" s="90">
        <f t="shared" si="28"/>
        <v>0</v>
      </c>
      <c r="BM14" s="90">
        <f t="shared" si="76"/>
        <v>36785</v>
      </c>
      <c r="BN14" s="90">
        <f t="shared" si="29"/>
        <v>13.040927276046846</v>
      </c>
      <c r="BO14" s="99"/>
      <c r="BP14" s="10">
        <f t="shared" si="30"/>
        <v>0</v>
      </c>
      <c r="BQ14" s="90">
        <f t="shared" si="77"/>
        <v>0</v>
      </c>
      <c r="BR14" s="10">
        <f t="shared" si="31"/>
        <v>0</v>
      </c>
      <c r="BS14" s="100"/>
      <c r="BT14" s="10">
        <f t="shared" si="32"/>
        <v>0</v>
      </c>
      <c r="BU14" s="90">
        <f t="shared" si="78"/>
        <v>0</v>
      </c>
      <c r="BV14" s="10">
        <f t="shared" si="33"/>
        <v>0</v>
      </c>
      <c r="BW14" s="100"/>
      <c r="BX14" s="10">
        <f t="shared" si="34"/>
        <v>0</v>
      </c>
      <c r="BY14" s="90">
        <f t="shared" si="79"/>
        <v>0</v>
      </c>
      <c r="BZ14" s="10">
        <f t="shared" si="35"/>
        <v>0</v>
      </c>
      <c r="CA14" s="100"/>
      <c r="CB14" s="90">
        <f t="shared" si="36"/>
        <v>0</v>
      </c>
      <c r="CC14" s="90">
        <f t="shared" si="80"/>
        <v>84200</v>
      </c>
      <c r="CD14" s="90">
        <f t="shared" si="37"/>
        <v>29.850375877209306</v>
      </c>
      <c r="CE14" s="100"/>
      <c r="CF14" s="90">
        <f t="shared" si="38"/>
        <v>0</v>
      </c>
      <c r="CG14" s="90">
        <f t="shared" si="81"/>
        <v>0</v>
      </c>
      <c r="CH14" s="90">
        <f t="shared" si="39"/>
        <v>0</v>
      </c>
      <c r="CI14" s="100"/>
      <c r="CJ14" s="90">
        <f t="shared" si="40"/>
        <v>0</v>
      </c>
      <c r="CK14" s="90">
        <f t="shared" si="82"/>
        <v>10630</v>
      </c>
      <c r="CL14" s="90">
        <f t="shared" si="41"/>
        <v>3.7685213251156169</v>
      </c>
      <c r="CM14" s="100"/>
      <c r="CN14" s="90">
        <f t="shared" si="42"/>
        <v>0</v>
      </c>
      <c r="CO14" s="90">
        <f t="shared" si="83"/>
        <v>0</v>
      </c>
      <c r="CP14" s="90">
        <f t="shared" si="43"/>
        <v>0</v>
      </c>
      <c r="CQ14" s="100"/>
      <c r="CR14" s="10">
        <f t="shared" si="44"/>
        <v>0</v>
      </c>
      <c r="CS14" s="90">
        <f t="shared" si="84"/>
        <v>14895</v>
      </c>
      <c r="CT14" s="10">
        <f t="shared" si="45"/>
        <v>5.2805385830288918</v>
      </c>
      <c r="CU14" s="100"/>
      <c r="CV14" s="90">
        <f t="shared" si="46"/>
        <v>0</v>
      </c>
      <c r="CW14" s="90">
        <f t="shared" si="85"/>
        <v>0</v>
      </c>
      <c r="CX14" s="90">
        <f t="shared" si="47"/>
        <v>0</v>
      </c>
      <c r="CY14" s="100"/>
      <c r="CZ14" s="10">
        <f t="shared" si="48"/>
        <v>0</v>
      </c>
      <c r="DA14" s="90">
        <f t="shared" si="86"/>
        <v>0</v>
      </c>
      <c r="DB14" s="10">
        <f t="shared" si="49"/>
        <v>0</v>
      </c>
      <c r="DC14" s="100"/>
      <c r="DD14" s="10">
        <f t="shared" si="50"/>
        <v>0</v>
      </c>
      <c r="DE14" s="90">
        <f t="shared" si="87"/>
        <v>0</v>
      </c>
      <c r="DF14" s="10">
        <f t="shared" si="51"/>
        <v>0</v>
      </c>
      <c r="DG14" s="99">
        <f t="shared" si="52"/>
        <v>0</v>
      </c>
      <c r="DH14" s="10">
        <f t="shared" si="53"/>
        <v>0</v>
      </c>
      <c r="DI14" s="10">
        <f t="shared" si="88"/>
        <v>265144</v>
      </c>
      <c r="DJ14" s="10">
        <f t="shared" si="54"/>
        <v>93.998195505781297</v>
      </c>
      <c r="DK14" s="100"/>
      <c r="DL14" s="91">
        <f t="shared" si="55"/>
        <v>0</v>
      </c>
      <c r="DM14" s="90">
        <f t="shared" si="89"/>
        <v>0</v>
      </c>
      <c r="DN14" s="90">
        <f t="shared" si="56"/>
        <v>0</v>
      </c>
      <c r="DO14" s="10">
        <v>5400</v>
      </c>
      <c r="DP14" s="90">
        <f t="shared" si="57"/>
        <v>74.537042149317017</v>
      </c>
      <c r="DQ14" s="90">
        <f t="shared" si="90"/>
        <v>5400</v>
      </c>
      <c r="DR14" s="90">
        <f t="shared" si="58"/>
        <v>1.9143946524576041</v>
      </c>
      <c r="DS14" s="10">
        <f t="shared" si="59"/>
        <v>7244.72</v>
      </c>
      <c r="DT14" s="90">
        <f t="shared" si="91"/>
        <v>282073.5</v>
      </c>
      <c r="DU14" s="90">
        <f t="shared" si="60"/>
        <v>3.0516933445661332</v>
      </c>
      <c r="DV14" s="90">
        <f t="shared" si="61"/>
        <v>1.1432523132667827</v>
      </c>
      <c r="DW14" s="505" t="e">
        <f t="shared" si="62"/>
        <v>#DIV/0!</v>
      </c>
      <c r="DX14" s="506">
        <f>+(($F$13+$E$14)*1000)/$DI$14</f>
        <v>0.93054717436562762</v>
      </c>
      <c r="DY14" s="5" t="s">
        <v>493</v>
      </c>
    </row>
    <row r="15" spans="1:129">
      <c r="A15" s="17">
        <f>+Chem!A14</f>
        <v>45722</v>
      </c>
      <c r="B15" s="5" t="str">
        <f>+Chem!B14</f>
        <v>Napkin</v>
      </c>
      <c r="C15" s="5" t="str">
        <f>+Chem!C14</f>
        <v>17/16</v>
      </c>
      <c r="D15" s="8">
        <f>+Chem!D14</f>
        <v>43.224000000000004</v>
      </c>
      <c r="E15" s="6">
        <f>+Chem!E14</f>
        <v>33.033000000000001</v>
      </c>
      <c r="F15" s="6">
        <f t="shared" si="92"/>
        <v>279.762</v>
      </c>
      <c r="G15" s="99">
        <f>18*G7</f>
        <v>4150.62</v>
      </c>
      <c r="H15" s="90">
        <f t="shared" si="0"/>
        <v>7.7363877621544734</v>
      </c>
      <c r="I15" s="8">
        <f t="shared" si="64"/>
        <v>15680.119999999999</v>
      </c>
      <c r="J15" s="90">
        <f t="shared" si="1"/>
        <v>4.67053722562442</v>
      </c>
      <c r="K15" s="99">
        <f>30*K7</f>
        <v>7500</v>
      </c>
      <c r="L15" s="90">
        <f t="shared" si="2"/>
        <v>13.979335187552353</v>
      </c>
      <c r="M15" s="90">
        <f t="shared" si="65"/>
        <v>7500</v>
      </c>
      <c r="N15" s="90">
        <f t="shared" si="3"/>
        <v>2.2339771119215386</v>
      </c>
      <c r="O15" s="99"/>
      <c r="P15" s="90">
        <f t="shared" si="4"/>
        <v>0</v>
      </c>
      <c r="Q15" s="90">
        <f t="shared" si="66"/>
        <v>0</v>
      </c>
      <c r="R15" s="90">
        <f t="shared" si="5"/>
        <v>0</v>
      </c>
      <c r="S15" s="99"/>
      <c r="T15" s="90">
        <f t="shared" si="6"/>
        <v>0</v>
      </c>
      <c r="U15" s="90">
        <f t="shared" si="67"/>
        <v>0</v>
      </c>
      <c r="V15" s="90">
        <f t="shared" si="7"/>
        <v>0</v>
      </c>
      <c r="W15" s="10"/>
      <c r="X15" s="90">
        <f t="shared" si="8"/>
        <v>0</v>
      </c>
      <c r="Y15" s="90">
        <f t="shared" si="68"/>
        <v>0</v>
      </c>
      <c r="Z15" s="90">
        <f t="shared" si="9"/>
        <v>0</v>
      </c>
      <c r="AA15" s="10">
        <f t="shared" si="69"/>
        <v>11650.619999999999</v>
      </c>
      <c r="AB15" s="90">
        <f t="shared" si="10"/>
        <v>21.715722949706826</v>
      </c>
      <c r="AC15" s="90">
        <f t="shared" si="70"/>
        <v>23180.12</v>
      </c>
      <c r="AD15" s="90">
        <f t="shared" si="11"/>
        <v>6.9045143375459581</v>
      </c>
      <c r="AE15" s="10">
        <v>0</v>
      </c>
      <c r="AF15" s="10">
        <f t="shared" si="12"/>
        <v>0</v>
      </c>
      <c r="AG15" s="10">
        <f t="shared" si="93"/>
        <v>0</v>
      </c>
      <c r="AH15" s="10">
        <f t="shared" si="13"/>
        <v>0</v>
      </c>
      <c r="AI15" s="10">
        <v>0</v>
      </c>
      <c r="AJ15" s="10">
        <f t="shared" si="14"/>
        <v>0</v>
      </c>
      <c r="AK15" s="10">
        <f t="shared" si="94"/>
        <v>0</v>
      </c>
      <c r="AL15" s="10">
        <f t="shared" si="15"/>
        <v>0</v>
      </c>
      <c r="AM15" s="10">
        <f t="shared" si="71"/>
        <v>0</v>
      </c>
      <c r="AN15" s="10">
        <f t="shared" si="16"/>
        <v>0</v>
      </c>
      <c r="AO15" s="90">
        <f t="shared" si="72"/>
        <v>0</v>
      </c>
      <c r="AP15" s="10">
        <f t="shared" si="17"/>
        <v>0</v>
      </c>
      <c r="AQ15" s="90">
        <f>168*AQ7</f>
        <v>42000</v>
      </c>
      <c r="AR15" s="10">
        <f t="shared" si="18"/>
        <v>78.284277050293184</v>
      </c>
      <c r="AS15" s="10">
        <f t="shared" si="95"/>
        <v>42000</v>
      </c>
      <c r="AT15" s="10">
        <f t="shared" si="19"/>
        <v>12.510271826760617</v>
      </c>
      <c r="AU15" s="10"/>
      <c r="AV15" s="10">
        <f t="shared" si="20"/>
        <v>0</v>
      </c>
      <c r="AW15" s="10">
        <f t="shared" si="96"/>
        <v>0</v>
      </c>
      <c r="AX15" s="10">
        <f t="shared" si="21"/>
        <v>0</v>
      </c>
      <c r="AY15" s="10">
        <f t="shared" si="73"/>
        <v>42000</v>
      </c>
      <c r="AZ15" s="10">
        <f t="shared" si="22"/>
        <v>78.284277050293184</v>
      </c>
      <c r="BA15" s="10">
        <f t="shared" si="97"/>
        <v>42000</v>
      </c>
      <c r="BB15" s="10">
        <f t="shared" si="23"/>
        <v>12.510271826760617</v>
      </c>
      <c r="BC15" s="99"/>
      <c r="BD15" s="10">
        <f t="shared" si="24"/>
        <v>0</v>
      </c>
      <c r="BE15" s="90">
        <f t="shared" si="74"/>
        <v>118634</v>
      </c>
      <c r="BF15" s="10">
        <f t="shared" si="25"/>
        <v>35.336752092759973</v>
      </c>
      <c r="BG15" s="99"/>
      <c r="BH15" s="10" t="e">
        <f t="shared" si="26"/>
        <v>#DIV/0!</v>
      </c>
      <c r="BI15" s="90">
        <f t="shared" si="75"/>
        <v>0</v>
      </c>
      <c r="BJ15" s="10" t="e">
        <f t="shared" si="27"/>
        <v>#DIV/0!</v>
      </c>
      <c r="BK15" s="100"/>
      <c r="BL15" s="90">
        <f t="shared" si="28"/>
        <v>0</v>
      </c>
      <c r="BM15" s="90">
        <f t="shared" si="76"/>
        <v>36785</v>
      </c>
      <c r="BN15" s="90">
        <f t="shared" si="29"/>
        <v>10.956913074937839</v>
      </c>
      <c r="BO15" s="99"/>
      <c r="BP15" s="10">
        <f t="shared" si="30"/>
        <v>0</v>
      </c>
      <c r="BQ15" s="90">
        <f t="shared" si="77"/>
        <v>0</v>
      </c>
      <c r="BR15" s="10">
        <f t="shared" si="31"/>
        <v>0</v>
      </c>
      <c r="BS15" s="100"/>
      <c r="BT15" s="10">
        <f t="shared" si="32"/>
        <v>0</v>
      </c>
      <c r="BU15" s="90">
        <f t="shared" si="78"/>
        <v>0</v>
      </c>
      <c r="BV15" s="10">
        <f t="shared" si="33"/>
        <v>0</v>
      </c>
      <c r="BW15" s="100"/>
      <c r="BX15" s="10">
        <f t="shared" si="34"/>
        <v>0</v>
      </c>
      <c r="BY15" s="90">
        <f t="shared" si="79"/>
        <v>0</v>
      </c>
      <c r="BZ15" s="10">
        <f t="shared" si="35"/>
        <v>0</v>
      </c>
      <c r="CA15" s="100"/>
      <c r="CB15" s="90">
        <f t="shared" si="36"/>
        <v>0</v>
      </c>
      <c r="CC15" s="90">
        <f t="shared" si="80"/>
        <v>84200</v>
      </c>
      <c r="CD15" s="90">
        <f t="shared" si="37"/>
        <v>25.080116376505806</v>
      </c>
      <c r="CE15" s="100"/>
      <c r="CF15" s="90">
        <f t="shared" si="38"/>
        <v>0</v>
      </c>
      <c r="CG15" s="90">
        <f t="shared" si="81"/>
        <v>0</v>
      </c>
      <c r="CH15" s="90">
        <f t="shared" si="39"/>
        <v>0</v>
      </c>
      <c r="CI15" s="100"/>
      <c r="CJ15" s="90">
        <f t="shared" si="40"/>
        <v>0</v>
      </c>
      <c r="CK15" s="90">
        <f t="shared" si="82"/>
        <v>10630</v>
      </c>
      <c r="CL15" s="90">
        <f t="shared" si="41"/>
        <v>3.1662902266301272</v>
      </c>
      <c r="CM15" s="100"/>
      <c r="CN15" s="90">
        <f t="shared" si="42"/>
        <v>0</v>
      </c>
      <c r="CO15" s="90">
        <f t="shared" si="83"/>
        <v>0</v>
      </c>
      <c r="CP15" s="90">
        <f t="shared" si="43"/>
        <v>0</v>
      </c>
      <c r="CQ15" s="100"/>
      <c r="CR15" s="10">
        <f t="shared" si="44"/>
        <v>0</v>
      </c>
      <c r="CS15" s="90">
        <f t="shared" si="84"/>
        <v>14895</v>
      </c>
      <c r="CT15" s="10">
        <f t="shared" si="45"/>
        <v>4.4366785442761758</v>
      </c>
      <c r="CU15" s="100"/>
      <c r="CV15" s="90">
        <f t="shared" si="46"/>
        <v>0</v>
      </c>
      <c r="CW15" s="90">
        <f t="shared" si="85"/>
        <v>0</v>
      </c>
      <c r="CX15" s="90">
        <f t="shared" si="47"/>
        <v>0</v>
      </c>
      <c r="CY15" s="100"/>
      <c r="CZ15" s="10">
        <f t="shared" si="48"/>
        <v>0</v>
      </c>
      <c r="DA15" s="90">
        <f t="shared" si="86"/>
        <v>0</v>
      </c>
      <c r="DB15" s="10">
        <f t="shared" si="49"/>
        <v>0</v>
      </c>
      <c r="DC15" s="100"/>
      <c r="DD15" s="10">
        <f t="shared" si="50"/>
        <v>0</v>
      </c>
      <c r="DE15" s="90">
        <f t="shared" si="87"/>
        <v>0</v>
      </c>
      <c r="DF15" s="10">
        <f t="shared" si="51"/>
        <v>0</v>
      </c>
      <c r="DG15" s="99">
        <f t="shared" si="52"/>
        <v>0</v>
      </c>
      <c r="DH15" s="10">
        <f t="shared" si="53"/>
        <v>0</v>
      </c>
      <c r="DI15" s="10">
        <f t="shared" si="88"/>
        <v>265144</v>
      </c>
      <c r="DJ15" s="10">
        <f t="shared" si="54"/>
        <v>78.976750315109925</v>
      </c>
      <c r="DK15" s="100"/>
      <c r="DL15" s="91">
        <f t="shared" si="55"/>
        <v>0</v>
      </c>
      <c r="DM15" s="90">
        <f t="shared" si="89"/>
        <v>0</v>
      </c>
      <c r="DN15" s="90">
        <f t="shared" si="56"/>
        <v>0</v>
      </c>
      <c r="DO15" s="10">
        <v>0</v>
      </c>
      <c r="DP15" s="90">
        <f t="shared" si="57"/>
        <v>0</v>
      </c>
      <c r="DQ15" s="90">
        <f t="shared" si="90"/>
        <v>5400</v>
      </c>
      <c r="DR15" s="90">
        <f t="shared" si="58"/>
        <v>1.6084635205835078</v>
      </c>
      <c r="DS15" s="10">
        <f t="shared" si="59"/>
        <v>53650.619999999995</v>
      </c>
      <c r="DT15" s="90">
        <f t="shared" si="91"/>
        <v>335724.12</v>
      </c>
      <c r="DU15" s="90">
        <f t="shared" si="60"/>
        <v>1.6241522114249385</v>
      </c>
      <c r="DV15" s="90">
        <f t="shared" si="61"/>
        <v>1.2000347438179595</v>
      </c>
      <c r="DW15" s="505" t="e">
        <f t="shared" si="62"/>
        <v>#DIV/0!</v>
      </c>
      <c r="DX15" s="506">
        <f t="shared" ref="DX15:DX35" si="98">+(($F$13+$E$14)*1000)/$DI$14</f>
        <v>0.93054717436562762</v>
      </c>
      <c r="DY15" s="5" t="str">
        <f>+Efficiency1!D30</f>
        <v>VP OW</v>
      </c>
    </row>
    <row r="16" spans="1:129">
      <c r="A16" s="17">
        <f>+Chem!A15</f>
        <v>45723</v>
      </c>
      <c r="B16" s="5" t="str">
        <f>+Chem!B15</f>
        <v>Napkin</v>
      </c>
      <c r="C16" s="5" t="str">
        <f>+Chem!C15</f>
        <v>16/19</v>
      </c>
      <c r="D16" s="8">
        <f>+Chem!D15</f>
        <v>34.624000000000002</v>
      </c>
      <c r="E16" s="6">
        <f>+Chem!E15</f>
        <v>31.478000000000002</v>
      </c>
      <c r="F16" s="6">
        <f t="shared" si="92"/>
        <v>311.24</v>
      </c>
      <c r="G16" s="99"/>
      <c r="H16" s="90">
        <f t="shared" si="0"/>
        <v>0</v>
      </c>
      <c r="I16" s="8">
        <f t="shared" si="64"/>
        <v>15680.119999999999</v>
      </c>
      <c r="J16" s="90">
        <f t="shared" si="1"/>
        <v>4.1733067336746972</v>
      </c>
      <c r="K16" s="99">
        <f>40*K7</f>
        <v>10000</v>
      </c>
      <c r="L16" s="90">
        <f t="shared" si="2"/>
        <v>25</v>
      </c>
      <c r="M16" s="90">
        <f t="shared" si="65"/>
        <v>17500</v>
      </c>
      <c r="N16" s="90">
        <f t="shared" si="3"/>
        <v>4.6576727626642649</v>
      </c>
      <c r="O16" s="99"/>
      <c r="P16" s="90">
        <f t="shared" si="4"/>
        <v>0</v>
      </c>
      <c r="Q16" s="90">
        <f t="shared" si="66"/>
        <v>0</v>
      </c>
      <c r="R16" s="90">
        <f t="shared" si="5"/>
        <v>0</v>
      </c>
      <c r="S16" s="99"/>
      <c r="T16" s="90">
        <f t="shared" si="6"/>
        <v>0</v>
      </c>
      <c r="U16" s="90">
        <f t="shared" si="67"/>
        <v>0</v>
      </c>
      <c r="V16" s="90">
        <f t="shared" si="7"/>
        <v>0</v>
      </c>
      <c r="W16" s="10"/>
      <c r="X16" s="90">
        <f t="shared" si="8"/>
        <v>0</v>
      </c>
      <c r="Y16" s="90">
        <f t="shared" si="68"/>
        <v>0</v>
      </c>
      <c r="Z16" s="90">
        <f t="shared" si="9"/>
        <v>0</v>
      </c>
      <c r="AA16" s="10">
        <f t="shared" si="69"/>
        <v>10000</v>
      </c>
      <c r="AB16" s="90">
        <f t="shared" si="10"/>
        <v>25</v>
      </c>
      <c r="AC16" s="90">
        <f t="shared" si="70"/>
        <v>33180.119999999995</v>
      </c>
      <c r="AD16" s="90">
        <f t="shared" si="11"/>
        <v>8.8309794963389621</v>
      </c>
      <c r="AE16" s="10">
        <v>0</v>
      </c>
      <c r="AF16" s="10">
        <f t="shared" si="12"/>
        <v>0</v>
      </c>
      <c r="AG16" s="10">
        <f t="shared" si="93"/>
        <v>0</v>
      </c>
      <c r="AH16" s="10">
        <f t="shared" si="13"/>
        <v>0</v>
      </c>
      <c r="AI16" s="10">
        <v>0</v>
      </c>
      <c r="AJ16" s="10">
        <f t="shared" si="14"/>
        <v>0</v>
      </c>
      <c r="AK16" s="10">
        <f t="shared" si="94"/>
        <v>0</v>
      </c>
      <c r="AL16" s="10">
        <f t="shared" si="15"/>
        <v>0</v>
      </c>
      <c r="AM16" s="10">
        <f t="shared" si="71"/>
        <v>0</v>
      </c>
      <c r="AN16" s="10">
        <f t="shared" si="16"/>
        <v>0</v>
      </c>
      <c r="AO16" s="90">
        <f t="shared" si="72"/>
        <v>0</v>
      </c>
      <c r="AP16" s="10">
        <f t="shared" si="17"/>
        <v>0</v>
      </c>
      <c r="AQ16" s="90">
        <f>120*AQ7</f>
        <v>30000</v>
      </c>
      <c r="AR16" s="10">
        <f t="shared" si="18"/>
        <v>75</v>
      </c>
      <c r="AS16" s="10">
        <f t="shared" si="95"/>
        <v>72000</v>
      </c>
      <c r="AT16" s="10">
        <f t="shared" si="19"/>
        <v>19.162996509247261</v>
      </c>
      <c r="AU16" s="10"/>
      <c r="AV16" s="10">
        <f t="shared" si="20"/>
        <v>0</v>
      </c>
      <c r="AW16" s="10">
        <f t="shared" si="96"/>
        <v>0</v>
      </c>
      <c r="AX16" s="10">
        <f t="shared" si="21"/>
        <v>0</v>
      </c>
      <c r="AY16" s="10">
        <f t="shared" si="73"/>
        <v>30000</v>
      </c>
      <c r="AZ16" s="10">
        <f t="shared" si="22"/>
        <v>75</v>
      </c>
      <c r="BA16" s="10">
        <f t="shared" si="97"/>
        <v>72000</v>
      </c>
      <c r="BB16" s="10">
        <f t="shared" si="23"/>
        <v>19.162996509247261</v>
      </c>
      <c r="BC16" s="99"/>
      <c r="BD16" s="10">
        <f t="shared" si="24"/>
        <v>0</v>
      </c>
      <c r="BE16" s="90">
        <f t="shared" si="74"/>
        <v>118634</v>
      </c>
      <c r="BF16" s="10">
        <f t="shared" si="25"/>
        <v>31.574762887194996</v>
      </c>
      <c r="BG16" s="99"/>
      <c r="BH16" s="10" t="e">
        <f t="shared" si="26"/>
        <v>#DIV/0!</v>
      </c>
      <c r="BI16" s="90">
        <f t="shared" si="75"/>
        <v>0</v>
      </c>
      <c r="BJ16" s="10" t="e">
        <f t="shared" si="27"/>
        <v>#DIV/0!</v>
      </c>
      <c r="BK16" s="100"/>
      <c r="BL16" s="90">
        <f t="shared" si="28"/>
        <v>0</v>
      </c>
      <c r="BM16" s="90">
        <f t="shared" si="76"/>
        <v>36785</v>
      </c>
      <c r="BN16" s="90">
        <f t="shared" si="29"/>
        <v>9.7904281471202861</v>
      </c>
      <c r="BO16" s="99"/>
      <c r="BP16" s="10">
        <f t="shared" si="30"/>
        <v>0</v>
      </c>
      <c r="BQ16" s="90">
        <f t="shared" si="77"/>
        <v>0</v>
      </c>
      <c r="BR16" s="10">
        <f t="shared" si="31"/>
        <v>0</v>
      </c>
      <c r="BS16" s="100"/>
      <c r="BT16" s="10">
        <f t="shared" si="32"/>
        <v>0</v>
      </c>
      <c r="BU16" s="90">
        <f t="shared" si="78"/>
        <v>0</v>
      </c>
      <c r="BV16" s="10">
        <f t="shared" si="33"/>
        <v>0</v>
      </c>
      <c r="BW16" s="100"/>
      <c r="BX16" s="10">
        <f t="shared" si="34"/>
        <v>0</v>
      </c>
      <c r="BY16" s="90">
        <f t="shared" si="79"/>
        <v>0</v>
      </c>
      <c r="BZ16" s="10">
        <f t="shared" si="35"/>
        <v>0</v>
      </c>
      <c r="CA16" s="100"/>
      <c r="CB16" s="90">
        <f t="shared" si="36"/>
        <v>0</v>
      </c>
      <c r="CC16" s="90">
        <f t="shared" si="80"/>
        <v>84200</v>
      </c>
      <c r="CD16" s="90">
        <f t="shared" si="37"/>
        <v>22.410059806647496</v>
      </c>
      <c r="CE16" s="100"/>
      <c r="CF16" s="90">
        <f t="shared" si="38"/>
        <v>0</v>
      </c>
      <c r="CG16" s="90">
        <f t="shared" si="81"/>
        <v>0</v>
      </c>
      <c r="CH16" s="90">
        <f t="shared" si="39"/>
        <v>0</v>
      </c>
      <c r="CI16" s="100"/>
      <c r="CJ16" s="90">
        <f t="shared" si="40"/>
        <v>0</v>
      </c>
      <c r="CK16" s="90">
        <f t="shared" si="82"/>
        <v>10630</v>
      </c>
      <c r="CL16" s="90">
        <f t="shared" si="41"/>
        <v>2.8292035124069224</v>
      </c>
      <c r="CM16" s="100"/>
      <c r="CN16" s="90">
        <f t="shared" si="42"/>
        <v>0</v>
      </c>
      <c r="CO16" s="90">
        <f t="shared" si="83"/>
        <v>0</v>
      </c>
      <c r="CP16" s="90">
        <f t="shared" si="43"/>
        <v>0</v>
      </c>
      <c r="CQ16" s="100"/>
      <c r="CR16" s="10">
        <f t="shared" si="44"/>
        <v>0</v>
      </c>
      <c r="CS16" s="90">
        <f t="shared" si="84"/>
        <v>14895</v>
      </c>
      <c r="CT16" s="10">
        <f t="shared" si="45"/>
        <v>3.9643449028505278</v>
      </c>
      <c r="CU16" s="100"/>
      <c r="CV16" s="90">
        <f t="shared" si="46"/>
        <v>0</v>
      </c>
      <c r="CW16" s="90">
        <f t="shared" si="85"/>
        <v>0</v>
      </c>
      <c r="CX16" s="90">
        <f t="shared" si="47"/>
        <v>0</v>
      </c>
      <c r="CY16" s="100"/>
      <c r="CZ16" s="10">
        <f t="shared" si="48"/>
        <v>0</v>
      </c>
      <c r="DA16" s="90">
        <f t="shared" si="86"/>
        <v>0</v>
      </c>
      <c r="DB16" s="10">
        <f t="shared" si="49"/>
        <v>0</v>
      </c>
      <c r="DC16" s="100"/>
      <c r="DD16" s="10">
        <f t="shared" si="50"/>
        <v>0</v>
      </c>
      <c r="DE16" s="90">
        <f t="shared" si="87"/>
        <v>0</v>
      </c>
      <c r="DF16" s="10">
        <f t="shared" si="51"/>
        <v>0</v>
      </c>
      <c r="DG16" s="99">
        <f t="shared" si="52"/>
        <v>0</v>
      </c>
      <c r="DH16" s="10">
        <f t="shared" si="53"/>
        <v>0</v>
      </c>
      <c r="DI16" s="10">
        <f t="shared" si="88"/>
        <v>265144</v>
      </c>
      <c r="DJ16" s="10">
        <f t="shared" si="54"/>
        <v>70.568799256220231</v>
      </c>
      <c r="DK16" s="100"/>
      <c r="DL16" s="91">
        <f t="shared" si="55"/>
        <v>0</v>
      </c>
      <c r="DM16" s="90">
        <f t="shared" si="89"/>
        <v>0</v>
      </c>
      <c r="DN16" s="90">
        <f t="shared" si="56"/>
        <v>0</v>
      </c>
      <c r="DO16" s="10">
        <v>0</v>
      </c>
      <c r="DP16" s="90">
        <f t="shared" si="57"/>
        <v>0</v>
      </c>
      <c r="DQ16" s="90">
        <f t="shared" si="90"/>
        <v>5400</v>
      </c>
      <c r="DR16" s="90">
        <f t="shared" si="58"/>
        <v>1.4372247381935448</v>
      </c>
      <c r="DS16" s="10">
        <f>+AA16+DG16+DK16+DO16+AY16+AM16</f>
        <v>40000</v>
      </c>
      <c r="DT16" s="90">
        <f t="shared" si="91"/>
        <v>375724.12</v>
      </c>
      <c r="DU16" s="90">
        <f t="shared" si="60"/>
        <v>1.2707287629455493</v>
      </c>
      <c r="DV16" s="90">
        <f t="shared" si="61"/>
        <v>1.207184552114124</v>
      </c>
      <c r="DW16" s="505" t="e">
        <f t="shared" si="62"/>
        <v>#DIV/0!</v>
      </c>
      <c r="DX16" s="506">
        <f t="shared" si="98"/>
        <v>0.93054717436562762</v>
      </c>
      <c r="DY16" s="5" t="str">
        <f>+Efficiency1!D37</f>
        <v>VP OW</v>
      </c>
    </row>
    <row r="17" spans="1:129">
      <c r="A17" s="17">
        <f>+Chem!A16</f>
        <v>45724</v>
      </c>
      <c r="B17" s="5" t="str">
        <f>+Chem!B16</f>
        <v>Napkin</v>
      </c>
      <c r="C17" s="5" t="str">
        <f>+Chem!C16</f>
        <v>19/25</v>
      </c>
      <c r="D17" s="8">
        <f>+Chem!D16</f>
        <v>69.406999999999996</v>
      </c>
      <c r="E17" s="6">
        <f>+Chem!E16</f>
        <v>68.77</v>
      </c>
      <c r="F17" s="6">
        <f t="shared" si="92"/>
        <v>380.01</v>
      </c>
      <c r="G17" s="99"/>
      <c r="H17" s="90">
        <f t="shared" si="0"/>
        <v>0</v>
      </c>
      <c r="I17" s="8">
        <f t="shared" si="64"/>
        <v>15680.119999999999</v>
      </c>
      <c r="J17" s="90">
        <f t="shared" si="1"/>
        <v>3.4877618842040956</v>
      </c>
      <c r="K17" s="99">
        <f>52*K7</f>
        <v>13000</v>
      </c>
      <c r="L17" s="90">
        <f t="shared" si="2"/>
        <v>17.602940915214273</v>
      </c>
      <c r="M17" s="90">
        <f t="shared" si="65"/>
        <v>30500</v>
      </c>
      <c r="N17" s="90">
        <f t="shared" si="3"/>
        <v>6.7841787861460832</v>
      </c>
      <c r="O17" s="99"/>
      <c r="P17" s="90">
        <f t="shared" si="4"/>
        <v>0</v>
      </c>
      <c r="Q17" s="90">
        <f t="shared" si="66"/>
        <v>0</v>
      </c>
      <c r="R17" s="90">
        <f t="shared" si="5"/>
        <v>0</v>
      </c>
      <c r="S17" s="99"/>
      <c r="T17" s="90">
        <f t="shared" si="6"/>
        <v>0</v>
      </c>
      <c r="U17" s="90">
        <f t="shared" si="67"/>
        <v>0</v>
      </c>
      <c r="V17" s="90">
        <f t="shared" si="7"/>
        <v>0</v>
      </c>
      <c r="W17" s="10"/>
      <c r="X17" s="90">
        <f t="shared" si="8"/>
        <v>0</v>
      </c>
      <c r="Y17" s="90">
        <f t="shared" si="68"/>
        <v>0</v>
      </c>
      <c r="Z17" s="90">
        <f t="shared" si="9"/>
        <v>0</v>
      </c>
      <c r="AA17" s="10">
        <f t="shared" si="69"/>
        <v>13000</v>
      </c>
      <c r="AB17" s="90">
        <f t="shared" si="10"/>
        <v>17.602940915214273</v>
      </c>
      <c r="AC17" s="90">
        <f t="shared" si="70"/>
        <v>46180.119999999995</v>
      </c>
      <c r="AD17" s="90">
        <f t="shared" si="11"/>
        <v>10.271940670350176</v>
      </c>
      <c r="AE17" s="10">
        <f>24*AE7</f>
        <v>6034.5360000000001</v>
      </c>
      <c r="AF17" s="10">
        <f t="shared" si="12"/>
        <v>8.1711985122102657</v>
      </c>
      <c r="AG17" s="10">
        <f t="shared" si="93"/>
        <v>6034.5360000000001</v>
      </c>
      <c r="AH17" s="10">
        <f t="shared" si="13"/>
        <v>1.3422744628011423</v>
      </c>
      <c r="AI17" s="90">
        <f>24*AI7</f>
        <v>5816.76</v>
      </c>
      <c r="AJ17" s="10">
        <f t="shared" si="14"/>
        <v>7.8763140459985976</v>
      </c>
      <c r="AK17" s="10">
        <f t="shared" si="94"/>
        <v>5816.76</v>
      </c>
      <c r="AL17" s="10">
        <f t="shared" si="15"/>
        <v>1.2938340916755113</v>
      </c>
      <c r="AM17" s="10">
        <f t="shared" si="71"/>
        <v>11851.296</v>
      </c>
      <c r="AN17" s="10">
        <f t="shared" si="16"/>
        <v>16.047512558208862</v>
      </c>
      <c r="AO17" s="90">
        <f t="shared" si="72"/>
        <v>11851.296</v>
      </c>
      <c r="AP17" s="10">
        <f t="shared" si="17"/>
        <v>2.6361085544766532</v>
      </c>
      <c r="AQ17" s="90">
        <f>196*AQ7</f>
        <v>49000</v>
      </c>
      <c r="AR17" s="10">
        <f t="shared" si="18"/>
        <v>66.349546526576859</v>
      </c>
      <c r="AS17" s="10">
        <f t="shared" si="95"/>
        <v>121000</v>
      </c>
      <c r="AT17" s="10">
        <f t="shared" si="19"/>
        <v>26.914283053235277</v>
      </c>
      <c r="AU17" s="10"/>
      <c r="AV17" s="10">
        <f t="shared" si="20"/>
        <v>0</v>
      </c>
      <c r="AW17" s="10">
        <f t="shared" si="96"/>
        <v>0</v>
      </c>
      <c r="AX17" s="10">
        <f t="shared" si="21"/>
        <v>0</v>
      </c>
      <c r="AY17" s="10">
        <f t="shared" si="73"/>
        <v>49000</v>
      </c>
      <c r="AZ17" s="10">
        <f t="shared" si="22"/>
        <v>66.349546526576859</v>
      </c>
      <c r="BA17" s="10">
        <f t="shared" si="97"/>
        <v>121000</v>
      </c>
      <c r="BB17" s="10">
        <f t="shared" si="23"/>
        <v>26.914283053235277</v>
      </c>
      <c r="BC17" s="99"/>
      <c r="BD17" s="10">
        <f t="shared" si="24"/>
        <v>0</v>
      </c>
      <c r="BE17" s="90">
        <f t="shared" si="74"/>
        <v>118634</v>
      </c>
      <c r="BF17" s="10">
        <f t="shared" si="25"/>
        <v>26.388008725103422</v>
      </c>
      <c r="BG17" s="99"/>
      <c r="BH17" s="10" t="e">
        <f t="shared" si="26"/>
        <v>#DIV/0!</v>
      </c>
      <c r="BI17" s="90">
        <f t="shared" si="75"/>
        <v>0</v>
      </c>
      <c r="BJ17" s="10" t="e">
        <f t="shared" si="27"/>
        <v>#DIV/0!</v>
      </c>
      <c r="BK17" s="100"/>
      <c r="BL17" s="90">
        <f t="shared" si="28"/>
        <v>0</v>
      </c>
      <c r="BM17" s="90">
        <f t="shared" si="76"/>
        <v>36785</v>
      </c>
      <c r="BN17" s="90">
        <f t="shared" si="29"/>
        <v>8.1821644802748743</v>
      </c>
      <c r="BO17" s="99"/>
      <c r="BP17" s="10">
        <f t="shared" si="30"/>
        <v>0</v>
      </c>
      <c r="BQ17" s="90">
        <f t="shared" si="77"/>
        <v>0</v>
      </c>
      <c r="BR17" s="10">
        <f t="shared" si="31"/>
        <v>0</v>
      </c>
      <c r="BS17" s="100"/>
      <c r="BT17" s="10">
        <f t="shared" si="32"/>
        <v>0</v>
      </c>
      <c r="BU17" s="90">
        <f t="shared" si="78"/>
        <v>0</v>
      </c>
      <c r="BV17" s="10">
        <f t="shared" si="33"/>
        <v>0</v>
      </c>
      <c r="BW17" s="100"/>
      <c r="BX17" s="10">
        <f t="shared" si="34"/>
        <v>0</v>
      </c>
      <c r="BY17" s="90">
        <f t="shared" si="79"/>
        <v>0</v>
      </c>
      <c r="BZ17" s="10">
        <f t="shared" si="35"/>
        <v>0</v>
      </c>
      <c r="CA17" s="100"/>
      <c r="CB17" s="90">
        <f t="shared" si="36"/>
        <v>0</v>
      </c>
      <c r="CC17" s="90">
        <f t="shared" si="80"/>
        <v>84200</v>
      </c>
      <c r="CD17" s="90">
        <f t="shared" si="37"/>
        <v>18.728782091590173</v>
      </c>
      <c r="CE17" s="100"/>
      <c r="CF17" s="90">
        <f t="shared" si="38"/>
        <v>0</v>
      </c>
      <c r="CG17" s="90">
        <f t="shared" si="81"/>
        <v>0</v>
      </c>
      <c r="CH17" s="90">
        <f t="shared" si="39"/>
        <v>0</v>
      </c>
      <c r="CI17" s="100"/>
      <c r="CJ17" s="90">
        <f t="shared" si="40"/>
        <v>0</v>
      </c>
      <c r="CK17" s="90">
        <f t="shared" si="82"/>
        <v>10630</v>
      </c>
      <c r="CL17" s="90">
        <f t="shared" si="41"/>
        <v>2.3644531310404218</v>
      </c>
      <c r="CM17" s="100"/>
      <c r="CN17" s="90">
        <f t="shared" si="42"/>
        <v>0</v>
      </c>
      <c r="CO17" s="90">
        <f t="shared" si="83"/>
        <v>0</v>
      </c>
      <c r="CP17" s="90">
        <f t="shared" si="43"/>
        <v>0</v>
      </c>
      <c r="CQ17" s="100"/>
      <c r="CR17" s="10">
        <f t="shared" si="44"/>
        <v>0</v>
      </c>
      <c r="CS17" s="90">
        <f t="shared" si="84"/>
        <v>14895</v>
      </c>
      <c r="CT17" s="10">
        <f t="shared" si="45"/>
        <v>3.3131260006441279</v>
      </c>
      <c r="CU17" s="100"/>
      <c r="CV17" s="90">
        <f t="shared" si="46"/>
        <v>0</v>
      </c>
      <c r="CW17" s="90">
        <f t="shared" si="85"/>
        <v>0</v>
      </c>
      <c r="CX17" s="90">
        <f t="shared" si="47"/>
        <v>0</v>
      </c>
      <c r="CY17" s="100"/>
      <c r="CZ17" s="10">
        <f t="shared" si="48"/>
        <v>0</v>
      </c>
      <c r="DA17" s="90">
        <f t="shared" si="86"/>
        <v>0</v>
      </c>
      <c r="DB17" s="10">
        <f t="shared" si="49"/>
        <v>0</v>
      </c>
      <c r="DC17" s="100"/>
      <c r="DD17" s="10">
        <f t="shared" si="50"/>
        <v>0</v>
      </c>
      <c r="DE17" s="90">
        <f t="shared" si="87"/>
        <v>0</v>
      </c>
      <c r="DF17" s="10">
        <f t="shared" si="51"/>
        <v>0</v>
      </c>
      <c r="DG17" s="99">
        <f t="shared" si="52"/>
        <v>0</v>
      </c>
      <c r="DH17" s="10">
        <f t="shared" si="53"/>
        <v>0</v>
      </c>
      <c r="DI17" s="10">
        <f t="shared" si="88"/>
        <v>265144</v>
      </c>
      <c r="DJ17" s="10">
        <f t="shared" si="54"/>
        <v>58.976534428653018</v>
      </c>
      <c r="DK17" s="100"/>
      <c r="DL17" s="91">
        <f t="shared" si="55"/>
        <v>0</v>
      </c>
      <c r="DM17" s="90">
        <f t="shared" si="89"/>
        <v>0</v>
      </c>
      <c r="DN17" s="90">
        <f t="shared" si="56"/>
        <v>0</v>
      </c>
      <c r="DO17" s="10">
        <v>0</v>
      </c>
      <c r="DP17" s="90">
        <f t="shared" si="57"/>
        <v>0</v>
      </c>
      <c r="DQ17" s="90">
        <f t="shared" si="90"/>
        <v>5400</v>
      </c>
      <c r="DR17" s="90">
        <f t="shared" si="58"/>
        <v>1.2011332932848804</v>
      </c>
      <c r="DS17" s="10">
        <f>+AA17+DG17+DK17+DO17+AY17+AM17</f>
        <v>73851.296000000002</v>
      </c>
      <c r="DT17" s="90">
        <f t="shared" si="91"/>
        <v>449575.41599999997</v>
      </c>
      <c r="DU17" s="90">
        <f t="shared" si="60"/>
        <v>1.0738882652319326</v>
      </c>
      <c r="DV17" s="90">
        <f t="shared" si="61"/>
        <v>1.1830620667877161</v>
      </c>
      <c r="DW17" s="505" t="e">
        <f t="shared" si="62"/>
        <v>#DIV/0!</v>
      </c>
      <c r="DX17" s="506">
        <f t="shared" si="98"/>
        <v>0.93054717436562762</v>
      </c>
      <c r="DY17" s="5" t="str">
        <f>+Efficiency1!D38</f>
        <v>VP OW</v>
      </c>
    </row>
    <row r="18" spans="1:129">
      <c r="A18" s="17">
        <f>+Chem!A17</f>
        <v>45725</v>
      </c>
      <c r="B18" s="5" t="str">
        <f>+Chem!B17</f>
        <v>Napkin</v>
      </c>
      <c r="C18" s="5" t="str">
        <f>+Chem!C17</f>
        <v>25/23</v>
      </c>
      <c r="D18" s="8">
        <f>+Chem!D17</f>
        <v>70.388999999999996</v>
      </c>
      <c r="E18" s="6">
        <f>+Chem!E17</f>
        <v>67.869</v>
      </c>
      <c r="F18" s="6">
        <f t="shared" si="92"/>
        <v>447.87900000000002</v>
      </c>
      <c r="G18" s="99"/>
      <c r="H18" s="10">
        <f t="shared" si="0"/>
        <v>0</v>
      </c>
      <c r="I18" s="8">
        <f t="shared" si="64"/>
        <v>15680.119999999999</v>
      </c>
      <c r="J18" s="10">
        <f t="shared" si="1"/>
        <v>2.9948159368888323</v>
      </c>
      <c r="K18" s="99">
        <f>52*K7</f>
        <v>13000</v>
      </c>
      <c r="L18" s="10">
        <f t="shared" si="2"/>
        <v>17.567567567567568</v>
      </c>
      <c r="M18" s="10">
        <f t="shared" si="65"/>
        <v>43500</v>
      </c>
      <c r="N18" s="10">
        <f t="shared" si="3"/>
        <v>8.3082586902819742</v>
      </c>
      <c r="O18" s="99"/>
      <c r="P18" s="10">
        <f t="shared" si="4"/>
        <v>0</v>
      </c>
      <c r="Q18" s="10">
        <f t="shared" si="66"/>
        <v>0</v>
      </c>
      <c r="R18" s="10">
        <f t="shared" si="5"/>
        <v>0</v>
      </c>
      <c r="S18" s="99"/>
      <c r="T18" s="10">
        <f t="shared" si="6"/>
        <v>0</v>
      </c>
      <c r="U18" s="10">
        <f t="shared" si="67"/>
        <v>0</v>
      </c>
      <c r="V18" s="10">
        <f t="shared" si="7"/>
        <v>0</v>
      </c>
      <c r="W18" s="10"/>
      <c r="X18" s="10">
        <f t="shared" si="8"/>
        <v>0</v>
      </c>
      <c r="Y18" s="10">
        <f t="shared" si="68"/>
        <v>0</v>
      </c>
      <c r="Z18" s="10">
        <f t="shared" si="9"/>
        <v>0</v>
      </c>
      <c r="AA18" s="10">
        <f t="shared" si="69"/>
        <v>13000</v>
      </c>
      <c r="AB18" s="10">
        <f t="shared" si="10"/>
        <v>17.567567567567568</v>
      </c>
      <c r="AC18" s="10">
        <f t="shared" si="70"/>
        <v>59180.119999999995</v>
      </c>
      <c r="AD18" s="10">
        <f t="shared" si="11"/>
        <v>11.303074627170806</v>
      </c>
      <c r="AE18" s="10"/>
      <c r="AF18" s="10">
        <f t="shared" si="12"/>
        <v>0</v>
      </c>
      <c r="AG18" s="10">
        <f t="shared" si="93"/>
        <v>6034.5360000000001</v>
      </c>
      <c r="AH18" s="10">
        <f t="shared" si="13"/>
        <v>1.152562900317688</v>
      </c>
      <c r="AI18" s="10">
        <f>8*AI7</f>
        <v>1938.92</v>
      </c>
      <c r="AJ18" s="10">
        <f t="shared" si="14"/>
        <v>2.6201621621621625</v>
      </c>
      <c r="AK18" s="10">
        <f t="shared" si="94"/>
        <v>7755.68</v>
      </c>
      <c r="AL18" s="10">
        <f t="shared" si="15"/>
        <v>1.4812918565297957</v>
      </c>
      <c r="AM18" s="10">
        <f t="shared" si="71"/>
        <v>1938.92</v>
      </c>
      <c r="AN18" s="10">
        <f t="shared" si="16"/>
        <v>2.6201621621621625</v>
      </c>
      <c r="AO18" s="10">
        <f t="shared" si="72"/>
        <v>13790.216</v>
      </c>
      <c r="AP18" s="10">
        <f t="shared" si="17"/>
        <v>2.6338547568474837</v>
      </c>
      <c r="AQ18" s="10">
        <f>244*AQ7</f>
        <v>61000</v>
      </c>
      <c r="AR18" s="10">
        <f t="shared" si="18"/>
        <v>82.432432432432435</v>
      </c>
      <c r="AS18" s="10">
        <f t="shared" si="95"/>
        <v>182000</v>
      </c>
      <c r="AT18" s="10">
        <f t="shared" si="19"/>
        <v>34.760990382329183</v>
      </c>
      <c r="AU18" s="10"/>
      <c r="AV18" s="10">
        <f t="shared" si="20"/>
        <v>0</v>
      </c>
      <c r="AW18" s="10">
        <f t="shared" si="96"/>
        <v>0</v>
      </c>
      <c r="AX18" s="10">
        <f t="shared" si="21"/>
        <v>0</v>
      </c>
      <c r="AY18" s="10">
        <f t="shared" si="73"/>
        <v>61000</v>
      </c>
      <c r="AZ18" s="10">
        <f t="shared" si="22"/>
        <v>82.432432432432435</v>
      </c>
      <c r="BA18" s="10">
        <f t="shared" si="97"/>
        <v>182000</v>
      </c>
      <c r="BB18" s="10">
        <f t="shared" si="23"/>
        <v>34.760990382329183</v>
      </c>
      <c r="BC18" s="99"/>
      <c r="BD18" s="10">
        <f t="shared" si="24"/>
        <v>0</v>
      </c>
      <c r="BE18" s="10">
        <f t="shared" si="74"/>
        <v>118634</v>
      </c>
      <c r="BF18" s="10">
        <f t="shared" si="25"/>
        <v>22.658435895699121</v>
      </c>
      <c r="BG18" s="99"/>
      <c r="BH18" s="10" t="e">
        <f t="shared" si="26"/>
        <v>#DIV/0!</v>
      </c>
      <c r="BI18" s="10">
        <f t="shared" si="75"/>
        <v>0</v>
      </c>
      <c r="BJ18" s="10" t="e">
        <f t="shared" si="27"/>
        <v>#DIV/0!</v>
      </c>
      <c r="BK18" s="99"/>
      <c r="BL18" s="10">
        <f t="shared" si="28"/>
        <v>0</v>
      </c>
      <c r="BM18" s="10">
        <f t="shared" si="76"/>
        <v>36785</v>
      </c>
      <c r="BN18" s="10">
        <f t="shared" si="29"/>
        <v>7.0257309407361479</v>
      </c>
      <c r="BO18" s="99"/>
      <c r="BP18" s="10">
        <f t="shared" si="30"/>
        <v>0</v>
      </c>
      <c r="BQ18" s="10">
        <f t="shared" si="77"/>
        <v>0</v>
      </c>
      <c r="BR18" s="10">
        <f t="shared" si="31"/>
        <v>0</v>
      </c>
      <c r="BS18" s="99"/>
      <c r="BT18" s="10">
        <f t="shared" si="32"/>
        <v>0</v>
      </c>
      <c r="BU18" s="10">
        <f t="shared" si="78"/>
        <v>0</v>
      </c>
      <c r="BV18" s="10">
        <f t="shared" si="33"/>
        <v>0</v>
      </c>
      <c r="BW18" s="99"/>
      <c r="BX18" s="10">
        <f t="shared" si="34"/>
        <v>0</v>
      </c>
      <c r="BY18" s="10">
        <f t="shared" si="79"/>
        <v>0</v>
      </c>
      <c r="BZ18" s="10">
        <f t="shared" si="35"/>
        <v>0</v>
      </c>
      <c r="CA18" s="99"/>
      <c r="CB18" s="10">
        <f t="shared" si="36"/>
        <v>0</v>
      </c>
      <c r="CC18" s="10">
        <f t="shared" si="80"/>
        <v>84200</v>
      </c>
      <c r="CD18" s="10">
        <f t="shared" si="37"/>
        <v>16.081732913143501</v>
      </c>
      <c r="CE18" s="99"/>
      <c r="CF18" s="10">
        <f t="shared" si="38"/>
        <v>0</v>
      </c>
      <c r="CG18" s="10">
        <f t="shared" si="81"/>
        <v>0</v>
      </c>
      <c r="CH18" s="10">
        <f t="shared" si="39"/>
        <v>0</v>
      </c>
      <c r="CI18" s="99"/>
      <c r="CJ18" s="10">
        <f t="shared" si="40"/>
        <v>0</v>
      </c>
      <c r="CK18" s="10">
        <f t="shared" si="82"/>
        <v>10630</v>
      </c>
      <c r="CL18" s="10">
        <f t="shared" si="41"/>
        <v>2.0302710316712043</v>
      </c>
      <c r="CM18" s="99"/>
      <c r="CN18" s="10">
        <f t="shared" si="42"/>
        <v>0</v>
      </c>
      <c r="CO18" s="10">
        <f t="shared" si="83"/>
        <v>0</v>
      </c>
      <c r="CP18" s="10">
        <f t="shared" si="43"/>
        <v>0</v>
      </c>
      <c r="CQ18" s="99"/>
      <c r="CR18" s="10">
        <f t="shared" si="44"/>
        <v>0</v>
      </c>
      <c r="CS18" s="10">
        <f t="shared" si="84"/>
        <v>14895</v>
      </c>
      <c r="CT18" s="10">
        <f t="shared" si="45"/>
        <v>2.8448623722241386</v>
      </c>
      <c r="CU18" s="99"/>
      <c r="CV18" s="10">
        <f t="shared" si="46"/>
        <v>0</v>
      </c>
      <c r="CW18" s="10">
        <f t="shared" si="85"/>
        <v>0</v>
      </c>
      <c r="CX18" s="10">
        <f t="shared" si="47"/>
        <v>0</v>
      </c>
      <c r="CY18" s="99"/>
      <c r="CZ18" s="10">
        <f t="shared" si="48"/>
        <v>0</v>
      </c>
      <c r="DA18" s="10">
        <f t="shared" si="86"/>
        <v>0</v>
      </c>
      <c r="DB18" s="10">
        <f t="shared" si="49"/>
        <v>0</v>
      </c>
      <c r="DC18" s="99"/>
      <c r="DD18" s="10">
        <f t="shared" si="50"/>
        <v>0</v>
      </c>
      <c r="DE18" s="10">
        <f t="shared" si="87"/>
        <v>0</v>
      </c>
      <c r="DF18" s="10">
        <f t="shared" si="51"/>
        <v>0</v>
      </c>
      <c r="DG18" s="99">
        <f t="shared" si="52"/>
        <v>0</v>
      </c>
      <c r="DH18" s="10">
        <f t="shared" si="53"/>
        <v>0</v>
      </c>
      <c r="DI18" s="10">
        <f t="shared" si="88"/>
        <v>265144</v>
      </c>
      <c r="DJ18" s="10">
        <f>DI18/DT18*100</f>
        <v>50.641033153474112</v>
      </c>
      <c r="DK18" s="99"/>
      <c r="DL18" s="16">
        <f t="shared" si="55"/>
        <v>0</v>
      </c>
      <c r="DM18" s="10">
        <f t="shared" si="89"/>
        <v>0</v>
      </c>
      <c r="DN18" s="10">
        <f t="shared" si="56"/>
        <v>0</v>
      </c>
      <c r="DO18" s="10">
        <v>0</v>
      </c>
      <c r="DP18" s="10">
        <f t="shared" si="57"/>
        <v>0</v>
      </c>
      <c r="DQ18" s="10">
        <f t="shared" si="90"/>
        <v>5400</v>
      </c>
      <c r="DR18" s="10">
        <f t="shared" si="58"/>
        <v>1.031370044310866</v>
      </c>
      <c r="DS18" s="10">
        <f t="shared" ref="DS18:DS40" si="99">+AA18+DG18+DK18+DO18+AY18</f>
        <v>74000</v>
      </c>
      <c r="DT18" s="10">
        <f t="shared" si="91"/>
        <v>523575.41599999997</v>
      </c>
      <c r="DU18" s="10">
        <f t="shared" si="60"/>
        <v>1.0903357939560034</v>
      </c>
      <c r="DV18" s="10">
        <f t="shared" si="61"/>
        <v>1.1690108623087931</v>
      </c>
      <c r="DW18" s="505" t="e">
        <f t="shared" si="62"/>
        <v>#DIV/0!</v>
      </c>
      <c r="DX18" s="506">
        <f t="shared" si="98"/>
        <v>0.93054717436562762</v>
      </c>
      <c r="DY18" s="5" t="s">
        <v>491</v>
      </c>
    </row>
    <row r="19" spans="1:129">
      <c r="A19" s="17">
        <f>+Chem!A18</f>
        <v>45726</v>
      </c>
      <c r="B19" s="5" t="str">
        <f>+Chem!B18</f>
        <v>Napkin/Towel</v>
      </c>
      <c r="C19" s="5" t="str">
        <f>+Chem!C18</f>
        <v>23/23/17</v>
      </c>
      <c r="D19" s="8">
        <f>+Chem!D18</f>
        <v>74.045000000000002</v>
      </c>
      <c r="E19" s="6">
        <f>+Chem!E18</f>
        <v>75.066999999999993</v>
      </c>
      <c r="F19" s="6">
        <f t="shared" si="92"/>
        <v>522.94600000000003</v>
      </c>
      <c r="G19" s="99"/>
      <c r="H19" s="10">
        <f t="shared" si="0"/>
        <v>0</v>
      </c>
      <c r="I19" s="8">
        <f t="shared" si="64"/>
        <v>15680.119999999999</v>
      </c>
      <c r="J19" s="10">
        <f t="shared" si="1"/>
        <v>2.6152039562609417</v>
      </c>
      <c r="K19" s="99">
        <f>48*K7</f>
        <v>12000</v>
      </c>
      <c r="L19" s="10">
        <f t="shared" si="2"/>
        <v>15.789473684210526</v>
      </c>
      <c r="M19" s="10">
        <f t="shared" si="65"/>
        <v>55500</v>
      </c>
      <c r="N19" s="10">
        <f t="shared" si="3"/>
        <v>9.2565503052580134</v>
      </c>
      <c r="O19" s="99"/>
      <c r="P19" s="10">
        <f t="shared" si="4"/>
        <v>0</v>
      </c>
      <c r="Q19" s="10">
        <f t="shared" si="66"/>
        <v>0</v>
      </c>
      <c r="R19" s="10">
        <f t="shared" si="5"/>
        <v>0</v>
      </c>
      <c r="S19" s="99"/>
      <c r="T19" s="10">
        <f t="shared" si="6"/>
        <v>0</v>
      </c>
      <c r="U19" s="10">
        <f t="shared" si="67"/>
        <v>0</v>
      </c>
      <c r="V19" s="10">
        <f t="shared" si="7"/>
        <v>0</v>
      </c>
      <c r="W19" s="10"/>
      <c r="X19" s="10">
        <f t="shared" si="8"/>
        <v>0</v>
      </c>
      <c r="Y19" s="10">
        <f t="shared" si="68"/>
        <v>0</v>
      </c>
      <c r="Z19" s="10">
        <f t="shared" si="9"/>
        <v>0</v>
      </c>
      <c r="AA19" s="10">
        <f t="shared" si="69"/>
        <v>12000</v>
      </c>
      <c r="AB19" s="10">
        <f t="shared" si="10"/>
        <v>15.789473684210526</v>
      </c>
      <c r="AC19" s="10">
        <f t="shared" si="70"/>
        <v>71180.12</v>
      </c>
      <c r="AD19" s="10">
        <f t="shared" si="11"/>
        <v>11.871754261518955</v>
      </c>
      <c r="AE19" s="10"/>
      <c r="AF19" s="10">
        <f t="shared" si="12"/>
        <v>0</v>
      </c>
      <c r="AG19" s="10">
        <f t="shared" si="93"/>
        <v>6034.5360000000001</v>
      </c>
      <c r="AH19" s="10">
        <f t="shared" si="13"/>
        <v>1.0064682171691977</v>
      </c>
      <c r="AI19" s="10"/>
      <c r="AJ19" s="10">
        <f t="shared" si="14"/>
        <v>0</v>
      </c>
      <c r="AK19" s="10">
        <f t="shared" si="94"/>
        <v>7755.68</v>
      </c>
      <c r="AL19" s="10">
        <f t="shared" si="15"/>
        <v>1.2935286859726753</v>
      </c>
      <c r="AM19" s="10">
        <f t="shared" si="71"/>
        <v>0</v>
      </c>
      <c r="AN19" s="10">
        <f t="shared" si="16"/>
        <v>0</v>
      </c>
      <c r="AO19" s="10">
        <f t="shared" si="72"/>
        <v>13790.216</v>
      </c>
      <c r="AP19" s="10">
        <f t="shared" si="17"/>
        <v>2.2999969031418726</v>
      </c>
      <c r="AQ19" s="10">
        <f>256*AQ7</f>
        <v>64000</v>
      </c>
      <c r="AR19" s="10">
        <f t="shared" si="18"/>
        <v>84.210526315789465</v>
      </c>
      <c r="AS19" s="10">
        <f t="shared" si="95"/>
        <v>246000</v>
      </c>
      <c r="AT19" s="10">
        <f t="shared" si="19"/>
        <v>41.029033785467952</v>
      </c>
      <c r="AU19" s="10"/>
      <c r="AV19" s="10">
        <f t="shared" si="20"/>
        <v>0</v>
      </c>
      <c r="AW19" s="10">
        <f t="shared" si="96"/>
        <v>0</v>
      </c>
      <c r="AX19" s="10">
        <f t="shared" si="21"/>
        <v>0</v>
      </c>
      <c r="AY19" s="10">
        <f t="shared" si="73"/>
        <v>64000</v>
      </c>
      <c r="AZ19" s="10">
        <f t="shared" si="22"/>
        <v>84.210526315789465</v>
      </c>
      <c r="BA19" s="10">
        <f t="shared" si="97"/>
        <v>246000</v>
      </c>
      <c r="BB19" s="10">
        <f t="shared" si="23"/>
        <v>41.029033785467952</v>
      </c>
      <c r="BC19" s="99"/>
      <c r="BD19" s="10">
        <f t="shared" si="24"/>
        <v>0</v>
      </c>
      <c r="BE19" s="10">
        <f t="shared" si="74"/>
        <v>118634</v>
      </c>
      <c r="BF19" s="10">
        <f t="shared" si="25"/>
        <v>19.786334935387011</v>
      </c>
      <c r="BG19" s="99"/>
      <c r="BH19" s="10" t="e">
        <f t="shared" si="26"/>
        <v>#DIV/0!</v>
      </c>
      <c r="BI19" s="10">
        <f t="shared" si="75"/>
        <v>0</v>
      </c>
      <c r="BJ19" s="10" t="e">
        <f t="shared" si="27"/>
        <v>#DIV/0!</v>
      </c>
      <c r="BK19" s="99"/>
      <c r="BL19" s="10">
        <f t="shared" si="28"/>
        <v>0</v>
      </c>
      <c r="BM19" s="10">
        <f t="shared" si="76"/>
        <v>36785</v>
      </c>
      <c r="BN19" s="10">
        <f t="shared" si="29"/>
        <v>6.1351748284489371</v>
      </c>
      <c r="BO19" s="99"/>
      <c r="BP19" s="10">
        <f t="shared" si="30"/>
        <v>0</v>
      </c>
      <c r="BQ19" s="10">
        <f t="shared" si="77"/>
        <v>0</v>
      </c>
      <c r="BR19" s="10">
        <f t="shared" si="31"/>
        <v>0</v>
      </c>
      <c r="BS19" s="99"/>
      <c r="BT19" s="10">
        <f t="shared" si="32"/>
        <v>0</v>
      </c>
      <c r="BU19" s="10">
        <f t="shared" si="78"/>
        <v>0</v>
      </c>
      <c r="BV19" s="10">
        <f t="shared" si="33"/>
        <v>0</v>
      </c>
      <c r="BW19" s="99"/>
      <c r="BX19" s="10">
        <f t="shared" si="34"/>
        <v>0</v>
      </c>
      <c r="BY19" s="10">
        <f t="shared" si="79"/>
        <v>0</v>
      </c>
      <c r="BZ19" s="10">
        <f t="shared" si="35"/>
        <v>0</v>
      </c>
      <c r="CA19" s="99"/>
      <c r="CB19" s="10">
        <f t="shared" si="36"/>
        <v>0</v>
      </c>
      <c r="CC19" s="10">
        <f t="shared" si="80"/>
        <v>84200</v>
      </c>
      <c r="CD19" s="10">
        <f t="shared" si="37"/>
        <v>14.043270913562608</v>
      </c>
      <c r="CE19" s="99"/>
      <c r="CF19" s="10">
        <f t="shared" si="38"/>
        <v>0</v>
      </c>
      <c r="CG19" s="10">
        <f t="shared" si="81"/>
        <v>0</v>
      </c>
      <c r="CH19" s="10">
        <f t="shared" si="39"/>
        <v>0</v>
      </c>
      <c r="CI19" s="99"/>
      <c r="CJ19" s="10">
        <f t="shared" si="40"/>
        <v>0</v>
      </c>
      <c r="CK19" s="10">
        <f t="shared" si="82"/>
        <v>10630</v>
      </c>
      <c r="CL19" s="10">
        <f t="shared" si="41"/>
        <v>1.772921256664733</v>
      </c>
      <c r="CM19" s="99"/>
      <c r="CN19" s="10">
        <f t="shared" si="42"/>
        <v>0</v>
      </c>
      <c r="CO19" s="10">
        <f t="shared" si="83"/>
        <v>0</v>
      </c>
      <c r="CP19" s="10">
        <f t="shared" si="43"/>
        <v>0</v>
      </c>
      <c r="CQ19" s="99"/>
      <c r="CR19" s="10">
        <f t="shared" si="44"/>
        <v>0</v>
      </c>
      <c r="CS19" s="10">
        <f t="shared" si="84"/>
        <v>14895</v>
      </c>
      <c r="CT19" s="10">
        <f t="shared" si="45"/>
        <v>2.484257960303029</v>
      </c>
      <c r="CU19" s="99"/>
      <c r="CV19" s="10">
        <f t="shared" si="46"/>
        <v>0</v>
      </c>
      <c r="CW19" s="10">
        <f t="shared" si="85"/>
        <v>0</v>
      </c>
      <c r="CX19" s="10">
        <f t="shared" si="47"/>
        <v>0</v>
      </c>
      <c r="CY19" s="99"/>
      <c r="CZ19" s="10">
        <f t="shared" si="48"/>
        <v>0</v>
      </c>
      <c r="DA19" s="10">
        <f t="shared" si="86"/>
        <v>0</v>
      </c>
      <c r="DB19" s="10">
        <f t="shared" si="49"/>
        <v>0</v>
      </c>
      <c r="DC19" s="99"/>
      <c r="DD19" s="10">
        <f t="shared" si="50"/>
        <v>0</v>
      </c>
      <c r="DE19" s="10">
        <f t="shared" si="87"/>
        <v>0</v>
      </c>
      <c r="DF19" s="10">
        <f t="shared" si="51"/>
        <v>0</v>
      </c>
      <c r="DG19" s="99">
        <f t="shared" si="52"/>
        <v>0</v>
      </c>
      <c r="DH19" s="10">
        <f t="shared" si="53"/>
        <v>0</v>
      </c>
      <c r="DI19" s="10">
        <f t="shared" si="88"/>
        <v>265144</v>
      </c>
      <c r="DJ19" s="10">
        <f t="shared" si="54"/>
        <v>44.221959894366321</v>
      </c>
      <c r="DK19" s="99"/>
      <c r="DL19" s="16">
        <f t="shared" si="55"/>
        <v>0</v>
      </c>
      <c r="DM19" s="10">
        <f t="shared" si="89"/>
        <v>0</v>
      </c>
      <c r="DN19" s="10">
        <f t="shared" si="56"/>
        <v>0</v>
      </c>
      <c r="DO19" s="10">
        <v>0</v>
      </c>
      <c r="DP19" s="10">
        <f t="shared" si="57"/>
        <v>0</v>
      </c>
      <c r="DQ19" s="10">
        <f t="shared" si="90"/>
        <v>5400</v>
      </c>
      <c r="DR19" s="10">
        <f t="shared" si="58"/>
        <v>0.90063732699807697</v>
      </c>
      <c r="DS19" s="10">
        <f t="shared" si="99"/>
        <v>76000</v>
      </c>
      <c r="DT19" s="10">
        <f t="shared" si="91"/>
        <v>599575.41599999997</v>
      </c>
      <c r="DU19" s="10">
        <f t="shared" si="60"/>
        <v>1.0124288968521455</v>
      </c>
      <c r="DV19" s="10">
        <f t="shared" si="61"/>
        <v>1.1465340895618286</v>
      </c>
      <c r="DW19" s="505" t="e">
        <f t="shared" si="62"/>
        <v>#DIV/0!</v>
      </c>
      <c r="DX19" s="506">
        <f t="shared" si="98"/>
        <v>0.93054717436562762</v>
      </c>
      <c r="DY19" s="5" t="s">
        <v>491</v>
      </c>
    </row>
    <row r="20" spans="1:129">
      <c r="A20" s="17">
        <f>+Chem!A19</f>
        <v>45727</v>
      </c>
      <c r="B20" s="5" t="str">
        <f>+Chem!B19</f>
        <v>Napkin</v>
      </c>
      <c r="C20" s="5" t="str">
        <f>+Chem!C19</f>
        <v>17</v>
      </c>
      <c r="D20" s="8">
        <f>+Chem!D19</f>
        <v>49.765999999999998</v>
      </c>
      <c r="E20" s="6">
        <f>+Chem!E19</f>
        <v>47.152999999999999</v>
      </c>
      <c r="F20" s="6">
        <f t="shared" si="92"/>
        <v>570.09900000000005</v>
      </c>
      <c r="G20" s="99"/>
      <c r="H20" s="10">
        <f t="shared" si="0"/>
        <v>0</v>
      </c>
      <c r="I20" s="8">
        <f t="shared" si="64"/>
        <v>15680.119999999999</v>
      </c>
      <c r="J20" s="10">
        <f t="shared" si="1"/>
        <v>2.3991294066666669</v>
      </c>
      <c r="K20" s="99">
        <f>56*K7</f>
        <v>14000</v>
      </c>
      <c r="L20" s="10">
        <f t="shared" si="2"/>
        <v>25.925925925925924</v>
      </c>
      <c r="M20" s="10">
        <f t="shared" si="65"/>
        <v>69500</v>
      </c>
      <c r="N20" s="10">
        <f t="shared" si="3"/>
        <v>10.633814904690357</v>
      </c>
      <c r="O20" s="99"/>
      <c r="P20" s="10">
        <f t="shared" si="4"/>
        <v>0</v>
      </c>
      <c r="Q20" s="10">
        <f t="shared" si="66"/>
        <v>0</v>
      </c>
      <c r="R20" s="10">
        <f t="shared" si="5"/>
        <v>0</v>
      </c>
      <c r="S20" s="99"/>
      <c r="T20" s="10">
        <f t="shared" si="6"/>
        <v>0</v>
      </c>
      <c r="U20" s="10">
        <f t="shared" si="67"/>
        <v>0</v>
      </c>
      <c r="V20" s="10">
        <f t="shared" si="7"/>
        <v>0</v>
      </c>
      <c r="W20" s="10"/>
      <c r="X20" s="10">
        <f t="shared" si="8"/>
        <v>0</v>
      </c>
      <c r="Y20" s="10">
        <f t="shared" si="68"/>
        <v>0</v>
      </c>
      <c r="Z20" s="10">
        <f t="shared" si="9"/>
        <v>0</v>
      </c>
      <c r="AA20" s="10">
        <f t="shared" si="69"/>
        <v>14000</v>
      </c>
      <c r="AB20" s="10">
        <f t="shared" si="10"/>
        <v>25.925925925925924</v>
      </c>
      <c r="AC20" s="10">
        <f t="shared" si="70"/>
        <v>85180.12</v>
      </c>
      <c r="AD20" s="10">
        <f t="shared" si="11"/>
        <v>13.032944311357022</v>
      </c>
      <c r="AE20" s="10"/>
      <c r="AF20" s="10">
        <f t="shared" si="12"/>
        <v>0</v>
      </c>
      <c r="AG20" s="10">
        <f t="shared" si="93"/>
        <v>6034.5360000000001</v>
      </c>
      <c r="AH20" s="10">
        <f t="shared" si="13"/>
        <v>0.92331135049914426</v>
      </c>
      <c r="AI20" s="10"/>
      <c r="AJ20" s="10">
        <f t="shared" si="14"/>
        <v>0</v>
      </c>
      <c r="AK20" s="10">
        <f t="shared" si="94"/>
        <v>7755.68</v>
      </c>
      <c r="AL20" s="10">
        <f t="shared" si="15"/>
        <v>1.1866541810073226</v>
      </c>
      <c r="AM20" s="10">
        <f t="shared" si="71"/>
        <v>0</v>
      </c>
      <c r="AN20" s="10">
        <f t="shared" si="16"/>
        <v>0</v>
      </c>
      <c r="AO20" s="10">
        <f t="shared" si="72"/>
        <v>13790.216</v>
      </c>
      <c r="AP20" s="10">
        <f t="shared" si="17"/>
        <v>2.1099655315064667</v>
      </c>
      <c r="AQ20" s="10">
        <f>160*AQ7</f>
        <v>40000</v>
      </c>
      <c r="AR20" s="10">
        <f t="shared" si="18"/>
        <v>74.074074074074076</v>
      </c>
      <c r="AS20" s="10">
        <f t="shared" si="95"/>
        <v>286000</v>
      </c>
      <c r="AT20" s="10">
        <f t="shared" si="19"/>
        <v>43.75929586678334</v>
      </c>
      <c r="AU20" s="10"/>
      <c r="AV20" s="10">
        <f t="shared" si="20"/>
        <v>0</v>
      </c>
      <c r="AW20" s="10">
        <f t="shared" si="96"/>
        <v>0</v>
      </c>
      <c r="AX20" s="10">
        <f t="shared" si="21"/>
        <v>0</v>
      </c>
      <c r="AY20" s="10">
        <f t="shared" si="73"/>
        <v>40000</v>
      </c>
      <c r="AZ20" s="10">
        <f t="shared" si="22"/>
        <v>74.074074074074076</v>
      </c>
      <c r="BA20" s="10">
        <f t="shared" si="97"/>
        <v>286000</v>
      </c>
      <c r="BB20" s="10">
        <f t="shared" si="23"/>
        <v>43.75929586678334</v>
      </c>
      <c r="BC20" s="99"/>
      <c r="BD20" s="10">
        <f t="shared" si="24"/>
        <v>0</v>
      </c>
      <c r="BE20" s="10">
        <f t="shared" si="74"/>
        <v>118634</v>
      </c>
      <c r="BF20" s="10">
        <f t="shared" si="25"/>
        <v>18.151539530978933</v>
      </c>
      <c r="BG20" s="99"/>
      <c r="BH20" s="10" t="e">
        <f t="shared" si="26"/>
        <v>#DIV/0!</v>
      </c>
      <c r="BI20" s="10">
        <f t="shared" si="75"/>
        <v>0</v>
      </c>
      <c r="BJ20" s="10" t="e">
        <f t="shared" si="27"/>
        <v>#DIV/0!</v>
      </c>
      <c r="BK20" s="99"/>
      <c r="BL20" s="10">
        <f t="shared" si="28"/>
        <v>0</v>
      </c>
      <c r="BM20" s="10">
        <f t="shared" si="76"/>
        <v>36785</v>
      </c>
      <c r="BN20" s="10">
        <f t="shared" si="29"/>
        <v>5.6282716729357523</v>
      </c>
      <c r="BO20" s="99"/>
      <c r="BP20" s="10">
        <f t="shared" si="30"/>
        <v>0</v>
      </c>
      <c r="BQ20" s="10">
        <f t="shared" si="77"/>
        <v>0</v>
      </c>
      <c r="BR20" s="10">
        <f t="shared" si="31"/>
        <v>0</v>
      </c>
      <c r="BS20" s="99"/>
      <c r="BT20" s="10">
        <f t="shared" si="32"/>
        <v>0</v>
      </c>
      <c r="BU20" s="10">
        <f t="shared" si="78"/>
        <v>0</v>
      </c>
      <c r="BV20" s="10">
        <f t="shared" si="33"/>
        <v>0</v>
      </c>
      <c r="BW20" s="99"/>
      <c r="BX20" s="10">
        <f t="shared" si="34"/>
        <v>0</v>
      </c>
      <c r="BY20" s="10">
        <f t="shared" si="79"/>
        <v>0</v>
      </c>
      <c r="BZ20" s="10">
        <f t="shared" si="35"/>
        <v>0</v>
      </c>
      <c r="CA20" s="99"/>
      <c r="CB20" s="10">
        <f t="shared" si="36"/>
        <v>0</v>
      </c>
      <c r="CC20" s="10">
        <f t="shared" si="80"/>
        <v>84200</v>
      </c>
      <c r="CD20" s="10">
        <f t="shared" si="37"/>
        <v>12.88298151043062</v>
      </c>
      <c r="CE20" s="99"/>
      <c r="CF20" s="10">
        <f t="shared" si="38"/>
        <v>0</v>
      </c>
      <c r="CG20" s="10">
        <f t="shared" si="81"/>
        <v>0</v>
      </c>
      <c r="CH20" s="10">
        <f t="shared" si="39"/>
        <v>0</v>
      </c>
      <c r="CI20" s="99"/>
      <c r="CJ20" s="10">
        <f t="shared" si="40"/>
        <v>0</v>
      </c>
      <c r="CK20" s="10">
        <f t="shared" si="82"/>
        <v>10630</v>
      </c>
      <c r="CL20" s="10">
        <f t="shared" si="41"/>
        <v>1.6264381645591151</v>
      </c>
      <c r="CM20" s="99"/>
      <c r="CN20" s="10">
        <f t="shared" si="42"/>
        <v>0</v>
      </c>
      <c r="CO20" s="10">
        <f t="shared" si="83"/>
        <v>0</v>
      </c>
      <c r="CP20" s="10">
        <f t="shared" si="43"/>
        <v>0</v>
      </c>
      <c r="CQ20" s="99"/>
      <c r="CR20" s="10">
        <f t="shared" si="44"/>
        <v>0</v>
      </c>
      <c r="CS20" s="10">
        <f t="shared" si="84"/>
        <v>14895</v>
      </c>
      <c r="CT20" s="10">
        <f t="shared" si="45"/>
        <v>2.2790024892857965</v>
      </c>
      <c r="CU20" s="99"/>
      <c r="CV20" s="10">
        <f t="shared" si="46"/>
        <v>0</v>
      </c>
      <c r="CW20" s="10">
        <f t="shared" si="85"/>
        <v>0</v>
      </c>
      <c r="CX20" s="10">
        <f t="shared" si="47"/>
        <v>0</v>
      </c>
      <c r="CY20" s="99"/>
      <c r="CZ20" s="10">
        <f t="shared" si="48"/>
        <v>0</v>
      </c>
      <c r="DA20" s="10">
        <f t="shared" si="86"/>
        <v>0</v>
      </c>
      <c r="DB20" s="10">
        <f t="shared" si="49"/>
        <v>0</v>
      </c>
      <c r="DC20" s="99"/>
      <c r="DD20" s="10">
        <f t="shared" si="50"/>
        <v>0</v>
      </c>
      <c r="DE20" s="10">
        <f t="shared" si="87"/>
        <v>0</v>
      </c>
      <c r="DF20" s="10">
        <f t="shared" si="51"/>
        <v>0</v>
      </c>
      <c r="DG20" s="99">
        <f t="shared" si="52"/>
        <v>0</v>
      </c>
      <c r="DH20" s="10">
        <f t="shared" si="53"/>
        <v>0</v>
      </c>
      <c r="DI20" s="10">
        <f t="shared" si="88"/>
        <v>265144</v>
      </c>
      <c r="DJ20" s="10">
        <f t="shared" si="54"/>
        <v>40.568233368190214</v>
      </c>
      <c r="DK20" s="99"/>
      <c r="DL20" s="16">
        <f t="shared" si="55"/>
        <v>0</v>
      </c>
      <c r="DM20" s="10">
        <f t="shared" si="89"/>
        <v>0</v>
      </c>
      <c r="DN20" s="10">
        <f t="shared" si="56"/>
        <v>0</v>
      </c>
      <c r="DO20" s="10">
        <v>0</v>
      </c>
      <c r="DP20" s="10">
        <f t="shared" si="57"/>
        <v>0</v>
      </c>
      <c r="DQ20" s="10">
        <f t="shared" si="90"/>
        <v>5400</v>
      </c>
      <c r="DR20" s="10">
        <f t="shared" si="58"/>
        <v>0.82622446741479028</v>
      </c>
      <c r="DS20" s="10">
        <f t="shared" si="99"/>
        <v>54000</v>
      </c>
      <c r="DT20" s="10">
        <f t="shared" si="91"/>
        <v>653575.41599999997</v>
      </c>
      <c r="DU20" s="10">
        <f t="shared" si="60"/>
        <v>1.1452081521854389</v>
      </c>
      <c r="DV20" s="10">
        <f t="shared" si="61"/>
        <v>1.1464244210216119</v>
      </c>
      <c r="DW20" s="505" t="e">
        <f t="shared" si="62"/>
        <v>#DIV/0!</v>
      </c>
      <c r="DX20" s="506">
        <f t="shared" si="98"/>
        <v>0.93054717436562762</v>
      </c>
      <c r="DY20" s="5" t="s">
        <v>491</v>
      </c>
    </row>
    <row r="21" spans="1:129">
      <c r="A21" s="17">
        <f>+Chem!A20</f>
        <v>45728</v>
      </c>
      <c r="B21" s="5" t="str">
        <f>+Chem!B20</f>
        <v>Napkin</v>
      </c>
      <c r="C21" s="5" t="str">
        <f>+Chem!C20</f>
        <v>17</v>
      </c>
      <c r="D21" s="8">
        <f>+Chem!D20</f>
        <v>50.506999999999998</v>
      </c>
      <c r="E21" s="6">
        <f>+Chem!E20</f>
        <v>49.026000000000003</v>
      </c>
      <c r="F21" s="6">
        <f t="shared" si="92"/>
        <v>619.125</v>
      </c>
      <c r="G21" s="99"/>
      <c r="H21" s="10">
        <f t="shared" si="0"/>
        <v>0</v>
      </c>
      <c r="I21" s="8">
        <f t="shared" si="64"/>
        <v>15680.119999999999</v>
      </c>
      <c r="J21" s="10">
        <f t="shared" si="1"/>
        <v>2.2223166573592752</v>
      </c>
      <c r="K21" s="99">
        <f>64*K7</f>
        <v>16000</v>
      </c>
      <c r="L21" s="10">
        <f t="shared" si="2"/>
        <v>30.76923076923077</v>
      </c>
      <c r="M21" s="10">
        <f t="shared" si="65"/>
        <v>85500</v>
      </c>
      <c r="N21" s="10">
        <f t="shared" si="3"/>
        <v>12.117769137239895</v>
      </c>
      <c r="O21" s="99"/>
      <c r="P21" s="10">
        <f t="shared" si="4"/>
        <v>0</v>
      </c>
      <c r="Q21" s="10">
        <f t="shared" si="66"/>
        <v>0</v>
      </c>
      <c r="R21" s="10">
        <f t="shared" si="5"/>
        <v>0</v>
      </c>
      <c r="S21" s="99"/>
      <c r="T21" s="10">
        <f t="shared" si="6"/>
        <v>0</v>
      </c>
      <c r="U21" s="10">
        <f t="shared" si="67"/>
        <v>0</v>
      </c>
      <c r="V21" s="10">
        <f t="shared" si="7"/>
        <v>0</v>
      </c>
      <c r="W21" s="10"/>
      <c r="X21" s="10">
        <f t="shared" si="8"/>
        <v>0</v>
      </c>
      <c r="Y21" s="10">
        <f t="shared" si="68"/>
        <v>0</v>
      </c>
      <c r="Z21" s="10">
        <f t="shared" si="9"/>
        <v>0</v>
      </c>
      <c r="AA21" s="10">
        <f t="shared" si="69"/>
        <v>16000</v>
      </c>
      <c r="AB21" s="10">
        <f t="shared" si="10"/>
        <v>30.76923076923077</v>
      </c>
      <c r="AC21" s="10">
        <f t="shared" si="70"/>
        <v>101180.12</v>
      </c>
      <c r="AD21" s="10">
        <f t="shared" si="11"/>
        <v>14.340085794599169</v>
      </c>
      <c r="AE21" s="10"/>
      <c r="AF21" s="10">
        <f t="shared" si="12"/>
        <v>0</v>
      </c>
      <c r="AG21" s="10">
        <f t="shared" si="93"/>
        <v>6034.5360000000001</v>
      </c>
      <c r="AH21" s="10">
        <f t="shared" si="13"/>
        <v>0.85526449237851576</v>
      </c>
      <c r="AI21" s="10"/>
      <c r="AJ21" s="10">
        <f t="shared" si="14"/>
        <v>0</v>
      </c>
      <c r="AK21" s="10">
        <f t="shared" si="94"/>
        <v>7755.68</v>
      </c>
      <c r="AL21" s="10">
        <f t="shared" si="15"/>
        <v>1.0991992952316809</v>
      </c>
      <c r="AM21" s="10">
        <f t="shared" si="71"/>
        <v>0</v>
      </c>
      <c r="AN21" s="10">
        <f t="shared" si="16"/>
        <v>0</v>
      </c>
      <c r="AO21" s="10">
        <f t="shared" si="72"/>
        <v>13790.216</v>
      </c>
      <c r="AP21" s="10">
        <f t="shared" si="17"/>
        <v>1.9544637876101965</v>
      </c>
      <c r="AQ21" s="10">
        <f>144*AQ7</f>
        <v>36000</v>
      </c>
      <c r="AR21" s="10">
        <f t="shared" si="18"/>
        <v>69.230769230769226</v>
      </c>
      <c r="AS21" s="10">
        <f t="shared" si="95"/>
        <v>322000</v>
      </c>
      <c r="AT21" s="10">
        <f t="shared" si="19"/>
        <v>45.636510668903469</v>
      </c>
      <c r="AU21" s="10"/>
      <c r="AV21" s="10">
        <f t="shared" si="20"/>
        <v>0</v>
      </c>
      <c r="AW21" s="10">
        <f t="shared" si="96"/>
        <v>0</v>
      </c>
      <c r="AX21" s="10">
        <f t="shared" si="21"/>
        <v>0</v>
      </c>
      <c r="AY21" s="10">
        <f t="shared" si="73"/>
        <v>36000</v>
      </c>
      <c r="AZ21" s="10">
        <f t="shared" si="22"/>
        <v>69.230769230769226</v>
      </c>
      <c r="BA21" s="10">
        <f t="shared" si="97"/>
        <v>322000</v>
      </c>
      <c r="BB21" s="10">
        <f t="shared" si="23"/>
        <v>45.636510668903469</v>
      </c>
      <c r="BC21" s="99"/>
      <c r="BD21" s="10">
        <f t="shared" si="24"/>
        <v>0</v>
      </c>
      <c r="BE21" s="10">
        <f t="shared" si="74"/>
        <v>118634</v>
      </c>
      <c r="BF21" s="10">
        <f t="shared" si="25"/>
        <v>16.813794430728862</v>
      </c>
      <c r="BG21" s="99"/>
      <c r="BH21" s="10" t="e">
        <f t="shared" si="26"/>
        <v>#DIV/0!</v>
      </c>
      <c r="BI21" s="10">
        <f t="shared" si="75"/>
        <v>0</v>
      </c>
      <c r="BJ21" s="10" t="e">
        <f t="shared" si="27"/>
        <v>#DIV/0!</v>
      </c>
      <c r="BK21" s="99"/>
      <c r="BL21" s="10">
        <f t="shared" si="28"/>
        <v>0</v>
      </c>
      <c r="BM21" s="10">
        <f t="shared" si="76"/>
        <v>36785</v>
      </c>
      <c r="BN21" s="10">
        <f t="shared" si="29"/>
        <v>5.213475294893211</v>
      </c>
      <c r="BO21" s="99"/>
      <c r="BP21" s="10">
        <f t="shared" si="30"/>
        <v>0</v>
      </c>
      <c r="BQ21" s="10">
        <f t="shared" si="77"/>
        <v>0</v>
      </c>
      <c r="BR21" s="10">
        <f t="shared" si="31"/>
        <v>0</v>
      </c>
      <c r="BS21" s="99"/>
      <c r="BT21" s="10">
        <f t="shared" si="32"/>
        <v>0</v>
      </c>
      <c r="BU21" s="10">
        <f t="shared" si="78"/>
        <v>0</v>
      </c>
      <c r="BV21" s="10">
        <f t="shared" si="33"/>
        <v>0</v>
      </c>
      <c r="BW21" s="99"/>
      <c r="BX21" s="10">
        <f t="shared" si="34"/>
        <v>0</v>
      </c>
      <c r="BY21" s="10">
        <f t="shared" si="79"/>
        <v>0</v>
      </c>
      <c r="BZ21" s="10">
        <f t="shared" si="35"/>
        <v>0</v>
      </c>
      <c r="CA21" s="99"/>
      <c r="CB21" s="10">
        <f t="shared" si="36"/>
        <v>0</v>
      </c>
      <c r="CC21" s="10">
        <f t="shared" si="80"/>
        <v>84200</v>
      </c>
      <c r="CD21" s="10">
        <f t="shared" si="37"/>
        <v>11.933522355036247</v>
      </c>
      <c r="CE21" s="99"/>
      <c r="CF21" s="10">
        <f t="shared" si="38"/>
        <v>0</v>
      </c>
      <c r="CG21" s="10">
        <f t="shared" si="81"/>
        <v>0</v>
      </c>
      <c r="CH21" s="10">
        <f t="shared" si="39"/>
        <v>0</v>
      </c>
      <c r="CI21" s="99"/>
      <c r="CJ21" s="10">
        <f t="shared" si="40"/>
        <v>0</v>
      </c>
      <c r="CK21" s="10">
        <f t="shared" si="82"/>
        <v>10630</v>
      </c>
      <c r="CL21" s="10">
        <f t="shared" si="41"/>
        <v>1.5065717652498256</v>
      </c>
      <c r="CM21" s="99"/>
      <c r="CN21" s="10">
        <f t="shared" si="42"/>
        <v>0</v>
      </c>
      <c r="CO21" s="10">
        <f t="shared" si="83"/>
        <v>0</v>
      </c>
      <c r="CP21" s="10">
        <f t="shared" si="43"/>
        <v>0</v>
      </c>
      <c r="CQ21" s="99"/>
      <c r="CR21" s="10">
        <f t="shared" si="44"/>
        <v>0</v>
      </c>
      <c r="CS21" s="10">
        <f t="shared" si="84"/>
        <v>14895</v>
      </c>
      <c r="CT21" s="10">
        <f t="shared" si="45"/>
        <v>2.1110429391717922</v>
      </c>
      <c r="CU21" s="99"/>
      <c r="CV21" s="10">
        <f t="shared" si="46"/>
        <v>0</v>
      </c>
      <c r="CW21" s="10">
        <f t="shared" si="85"/>
        <v>0</v>
      </c>
      <c r="CX21" s="10">
        <f t="shared" si="47"/>
        <v>0</v>
      </c>
      <c r="CY21" s="99"/>
      <c r="CZ21" s="10">
        <f t="shared" si="48"/>
        <v>0</v>
      </c>
      <c r="DA21" s="10">
        <f t="shared" si="86"/>
        <v>0</v>
      </c>
      <c r="DB21" s="10">
        <f t="shared" si="49"/>
        <v>0</v>
      </c>
      <c r="DC21" s="99"/>
      <c r="DD21" s="10">
        <f t="shared" si="50"/>
        <v>0</v>
      </c>
      <c r="DE21" s="10">
        <f t="shared" si="87"/>
        <v>0</v>
      </c>
      <c r="DF21" s="10">
        <f t="shared" si="51"/>
        <v>0</v>
      </c>
      <c r="DG21" s="99">
        <f t="shared" si="52"/>
        <v>0</v>
      </c>
      <c r="DH21" s="10">
        <f t="shared" si="53"/>
        <v>0</v>
      </c>
      <c r="DI21" s="10">
        <f t="shared" si="88"/>
        <v>265144</v>
      </c>
      <c r="DJ21" s="10">
        <f t="shared" si="54"/>
        <v>37.578406785079935</v>
      </c>
      <c r="DK21" s="99"/>
      <c r="DL21" s="16">
        <f t="shared" si="55"/>
        <v>0</v>
      </c>
      <c r="DM21" s="10">
        <f t="shared" si="89"/>
        <v>0</v>
      </c>
      <c r="DN21" s="10">
        <f t="shared" si="56"/>
        <v>0</v>
      </c>
      <c r="DO21" s="10">
        <v>0</v>
      </c>
      <c r="DP21" s="10">
        <f t="shared" si="57"/>
        <v>0</v>
      </c>
      <c r="DQ21" s="10">
        <f t="shared" si="90"/>
        <v>5400</v>
      </c>
      <c r="DR21" s="10">
        <f t="shared" si="58"/>
        <v>0.76533278761515133</v>
      </c>
      <c r="DS21" s="10">
        <f t="shared" si="99"/>
        <v>52000</v>
      </c>
      <c r="DT21" s="10">
        <f t="shared" si="91"/>
        <v>705575.41599999997</v>
      </c>
      <c r="DU21" s="10">
        <f t="shared" si="60"/>
        <v>1.0606616897156611</v>
      </c>
      <c r="DV21" s="10">
        <f t="shared" si="61"/>
        <v>1.1396332178477691</v>
      </c>
      <c r="DW21" s="505" t="e">
        <f t="shared" si="62"/>
        <v>#DIV/0!</v>
      </c>
      <c r="DX21" s="506">
        <f t="shared" si="98"/>
        <v>0.93054717436562762</v>
      </c>
      <c r="DY21" s="5" t="s">
        <v>491</v>
      </c>
    </row>
    <row r="22" spans="1:129">
      <c r="A22" s="17">
        <f>+Chem!A21</f>
        <v>45729</v>
      </c>
      <c r="B22" s="5" t="str">
        <f>+Chem!B21</f>
        <v>Napkin</v>
      </c>
      <c r="C22" s="5" t="str">
        <f>+Chem!C21</f>
        <v>17/16</v>
      </c>
      <c r="D22" s="8">
        <f>+Chem!D21</f>
        <v>47.524999999999999</v>
      </c>
      <c r="E22" s="6">
        <f>+Chem!E21</f>
        <v>43.253999999999998</v>
      </c>
      <c r="F22" s="6">
        <f t="shared" si="92"/>
        <v>662.37900000000002</v>
      </c>
      <c r="G22" s="99"/>
      <c r="H22" s="10">
        <f t="shared" si="0"/>
        <v>0</v>
      </c>
      <c r="I22" s="8">
        <f t="shared" si="64"/>
        <v>15680.119999999999</v>
      </c>
      <c r="J22" s="10">
        <f t="shared" si="1"/>
        <v>2.0725124909424757</v>
      </c>
      <c r="K22" s="99">
        <f>64*K7</f>
        <v>16000</v>
      </c>
      <c r="L22" s="10">
        <f t="shared" si="2"/>
        <v>31.372549019607842</v>
      </c>
      <c r="M22" s="10">
        <f t="shared" si="65"/>
        <v>101500</v>
      </c>
      <c r="N22" s="10">
        <f t="shared" si="3"/>
        <v>13.415714792403458</v>
      </c>
      <c r="O22" s="99"/>
      <c r="P22" s="10">
        <f t="shared" si="4"/>
        <v>0</v>
      </c>
      <c r="Q22" s="10">
        <f t="shared" si="66"/>
        <v>0</v>
      </c>
      <c r="R22" s="10">
        <f t="shared" si="5"/>
        <v>0</v>
      </c>
      <c r="S22" s="99"/>
      <c r="T22" s="10">
        <f t="shared" si="6"/>
        <v>0</v>
      </c>
      <c r="U22" s="10">
        <f t="shared" si="67"/>
        <v>0</v>
      </c>
      <c r="V22" s="10">
        <f t="shared" si="7"/>
        <v>0</v>
      </c>
      <c r="W22" s="10"/>
      <c r="X22" s="10">
        <f t="shared" si="8"/>
        <v>0</v>
      </c>
      <c r="Y22" s="10">
        <f t="shared" si="68"/>
        <v>0</v>
      </c>
      <c r="Z22" s="10">
        <f t="shared" si="9"/>
        <v>0</v>
      </c>
      <c r="AA22" s="10">
        <f t="shared" si="69"/>
        <v>16000</v>
      </c>
      <c r="AB22" s="10">
        <f t="shared" si="10"/>
        <v>31.372549019607842</v>
      </c>
      <c r="AC22" s="10">
        <f t="shared" si="70"/>
        <v>117180.12</v>
      </c>
      <c r="AD22" s="10">
        <f t="shared" si="11"/>
        <v>15.488227283345935</v>
      </c>
      <c r="AE22" s="10"/>
      <c r="AF22" s="10">
        <f t="shared" si="12"/>
        <v>0</v>
      </c>
      <c r="AG22" s="10">
        <f t="shared" si="93"/>
        <v>6034.5360000000001</v>
      </c>
      <c r="AH22" s="10">
        <f t="shared" si="13"/>
        <v>0.79761195941370644</v>
      </c>
      <c r="AI22" s="10"/>
      <c r="AJ22" s="10">
        <f t="shared" si="14"/>
        <v>0</v>
      </c>
      <c r="AK22" s="10">
        <f t="shared" si="94"/>
        <v>7755.68</v>
      </c>
      <c r="AL22" s="10">
        <f t="shared" si="15"/>
        <v>1.0251033586319966</v>
      </c>
      <c r="AM22" s="10">
        <f t="shared" si="71"/>
        <v>0</v>
      </c>
      <c r="AN22" s="10">
        <f t="shared" si="16"/>
        <v>0</v>
      </c>
      <c r="AO22" s="10">
        <f t="shared" si="72"/>
        <v>13790.216</v>
      </c>
      <c r="AP22" s="10">
        <f t="shared" si="17"/>
        <v>1.822715318045703</v>
      </c>
      <c r="AQ22" s="10">
        <f>140*AQ7</f>
        <v>35000</v>
      </c>
      <c r="AR22" s="10">
        <f t="shared" si="18"/>
        <v>68.627450980392155</v>
      </c>
      <c r="AS22" s="10">
        <f t="shared" si="95"/>
        <v>357000</v>
      </c>
      <c r="AT22" s="10">
        <f t="shared" si="19"/>
        <v>47.18630720086734</v>
      </c>
      <c r="AU22" s="10"/>
      <c r="AV22" s="10">
        <f t="shared" si="20"/>
        <v>0</v>
      </c>
      <c r="AW22" s="10">
        <f t="shared" si="96"/>
        <v>0</v>
      </c>
      <c r="AX22" s="10">
        <f t="shared" si="21"/>
        <v>0</v>
      </c>
      <c r="AY22" s="10">
        <f t="shared" si="73"/>
        <v>35000</v>
      </c>
      <c r="AZ22" s="10">
        <f t="shared" si="22"/>
        <v>68.627450980392155</v>
      </c>
      <c r="BA22" s="10">
        <f t="shared" si="97"/>
        <v>357000</v>
      </c>
      <c r="BB22" s="10">
        <f t="shared" si="23"/>
        <v>47.18630720086734</v>
      </c>
      <c r="BC22" s="99"/>
      <c r="BD22" s="10">
        <f t="shared" si="24"/>
        <v>0</v>
      </c>
      <c r="BE22" s="10">
        <f t="shared" si="74"/>
        <v>118634</v>
      </c>
      <c r="BF22" s="10">
        <f t="shared" si="25"/>
        <v>15.680393188985143</v>
      </c>
      <c r="BG22" s="99"/>
      <c r="BH22" s="10" t="e">
        <f t="shared" si="26"/>
        <v>#DIV/0!</v>
      </c>
      <c r="BI22" s="10">
        <f t="shared" si="75"/>
        <v>0</v>
      </c>
      <c r="BJ22" s="10" t="e">
        <f t="shared" si="27"/>
        <v>#DIV/0!</v>
      </c>
      <c r="BK22" s="99"/>
      <c r="BL22" s="10">
        <f t="shared" si="28"/>
        <v>0</v>
      </c>
      <c r="BM22" s="10">
        <f t="shared" si="76"/>
        <v>36785</v>
      </c>
      <c r="BN22" s="10">
        <f t="shared" si="29"/>
        <v>4.862040085108978</v>
      </c>
      <c r="BO22" s="99"/>
      <c r="BP22" s="10">
        <f t="shared" si="30"/>
        <v>0</v>
      </c>
      <c r="BQ22" s="10">
        <f t="shared" si="77"/>
        <v>0</v>
      </c>
      <c r="BR22" s="10">
        <f t="shared" si="31"/>
        <v>0</v>
      </c>
      <c r="BS22" s="99"/>
      <c r="BT22" s="10">
        <f t="shared" si="32"/>
        <v>0</v>
      </c>
      <c r="BU22" s="10">
        <f t="shared" si="78"/>
        <v>0</v>
      </c>
      <c r="BV22" s="10">
        <f t="shared" si="33"/>
        <v>0</v>
      </c>
      <c r="BW22" s="99"/>
      <c r="BX22" s="10">
        <f t="shared" si="34"/>
        <v>0</v>
      </c>
      <c r="BY22" s="10">
        <f t="shared" si="79"/>
        <v>0</v>
      </c>
      <c r="BZ22" s="10">
        <f t="shared" si="35"/>
        <v>0</v>
      </c>
      <c r="CA22" s="99"/>
      <c r="CB22" s="10">
        <f t="shared" si="36"/>
        <v>0</v>
      </c>
      <c r="CC22" s="10">
        <f t="shared" si="80"/>
        <v>84200</v>
      </c>
      <c r="CD22" s="10">
        <f t="shared" si="37"/>
        <v>11.129095423846023</v>
      </c>
      <c r="CE22" s="99"/>
      <c r="CF22" s="10">
        <f t="shared" si="38"/>
        <v>0</v>
      </c>
      <c r="CG22" s="10">
        <f t="shared" si="81"/>
        <v>0</v>
      </c>
      <c r="CH22" s="10">
        <f t="shared" si="39"/>
        <v>0</v>
      </c>
      <c r="CI22" s="99"/>
      <c r="CJ22" s="10">
        <f t="shared" si="40"/>
        <v>0</v>
      </c>
      <c r="CK22" s="10">
        <f t="shared" si="82"/>
        <v>10630</v>
      </c>
      <c r="CL22" s="10">
        <f t="shared" si="41"/>
        <v>1.4050152536280667</v>
      </c>
      <c r="CM22" s="99"/>
      <c r="CN22" s="10">
        <f t="shared" si="42"/>
        <v>0</v>
      </c>
      <c r="CO22" s="10">
        <f t="shared" si="83"/>
        <v>0</v>
      </c>
      <c r="CP22" s="10">
        <f t="shared" si="43"/>
        <v>0</v>
      </c>
      <c r="CQ22" s="99"/>
      <c r="CR22" s="10">
        <f t="shared" si="44"/>
        <v>0</v>
      </c>
      <c r="CS22" s="10">
        <f t="shared" si="84"/>
        <v>14895</v>
      </c>
      <c r="CT22" s="10">
        <f t="shared" si="45"/>
        <v>1.9687396239689607</v>
      </c>
      <c r="CU22" s="99"/>
      <c r="CV22" s="10">
        <f t="shared" si="46"/>
        <v>0</v>
      </c>
      <c r="CW22" s="10">
        <f t="shared" si="85"/>
        <v>0</v>
      </c>
      <c r="CX22" s="10">
        <f t="shared" si="47"/>
        <v>0</v>
      </c>
      <c r="CY22" s="99"/>
      <c r="CZ22" s="10">
        <f t="shared" si="48"/>
        <v>0</v>
      </c>
      <c r="DA22" s="10">
        <f t="shared" si="86"/>
        <v>0</v>
      </c>
      <c r="DB22" s="10">
        <f t="shared" si="49"/>
        <v>0</v>
      </c>
      <c r="DC22" s="99"/>
      <c r="DD22" s="10">
        <f t="shared" si="50"/>
        <v>0</v>
      </c>
      <c r="DE22" s="10">
        <f t="shared" si="87"/>
        <v>0</v>
      </c>
      <c r="DF22" s="10">
        <f t="shared" si="51"/>
        <v>0</v>
      </c>
      <c r="DG22" s="99">
        <f t="shared" si="52"/>
        <v>0</v>
      </c>
      <c r="DH22" s="10">
        <f t="shared" si="53"/>
        <v>0</v>
      </c>
      <c r="DI22" s="10">
        <f t="shared" si="88"/>
        <v>265144</v>
      </c>
      <c r="DJ22" s="10">
        <f t="shared" si="54"/>
        <v>35.045283575537169</v>
      </c>
      <c r="DK22" s="99"/>
      <c r="DL22" s="16">
        <f t="shared" si="55"/>
        <v>0</v>
      </c>
      <c r="DM22" s="10">
        <f t="shared" si="89"/>
        <v>0</v>
      </c>
      <c r="DN22" s="10">
        <f t="shared" si="56"/>
        <v>0</v>
      </c>
      <c r="DO22" s="10">
        <v>0</v>
      </c>
      <c r="DP22" s="10">
        <f t="shared" si="57"/>
        <v>0</v>
      </c>
      <c r="DQ22" s="10">
        <f t="shared" si="90"/>
        <v>5400</v>
      </c>
      <c r="DR22" s="10">
        <f t="shared" si="58"/>
        <v>0.71374246186185886</v>
      </c>
      <c r="DS22" s="10">
        <f t="shared" si="99"/>
        <v>51000</v>
      </c>
      <c r="DT22" s="10">
        <f t="shared" si="91"/>
        <v>756575.41599999997</v>
      </c>
      <c r="DU22" s="10">
        <f t="shared" si="60"/>
        <v>1.1790817034262728</v>
      </c>
      <c r="DV22" s="10">
        <f t="shared" si="61"/>
        <v>1.1422092427447126</v>
      </c>
      <c r="DW22" s="505" t="e">
        <f t="shared" si="62"/>
        <v>#DIV/0!</v>
      </c>
      <c r="DX22" s="506">
        <f t="shared" si="98"/>
        <v>0.93054717436562762</v>
      </c>
      <c r="DY22" s="5" t="s">
        <v>491</v>
      </c>
    </row>
    <row r="23" spans="1:129">
      <c r="A23" s="17">
        <f>+Chem!A22</f>
        <v>45730</v>
      </c>
      <c r="B23" s="5" t="str">
        <f>+Chem!B22</f>
        <v>Napkin</v>
      </c>
      <c r="C23" s="5" t="str">
        <f>+Chem!C22</f>
        <v>16</v>
      </c>
      <c r="D23" s="8">
        <f>+Chem!D22</f>
        <v>48.076000000000001</v>
      </c>
      <c r="E23" s="6">
        <f>+Chem!E22</f>
        <v>45.267000000000003</v>
      </c>
      <c r="F23" s="6">
        <f t="shared" si="92"/>
        <v>707.64600000000007</v>
      </c>
      <c r="G23" s="99"/>
      <c r="H23" s="10">
        <f t="shared" si="0"/>
        <v>0</v>
      </c>
      <c r="I23" s="8">
        <f t="shared" si="64"/>
        <v>15680.119999999999</v>
      </c>
      <c r="J23" s="10">
        <f t="shared" si="1"/>
        <v>1.9416291889697641</v>
      </c>
      <c r="K23" s="99">
        <f>56*K7</f>
        <v>14000</v>
      </c>
      <c r="L23" s="10">
        <f t="shared" si="2"/>
        <v>27.450980392156865</v>
      </c>
      <c r="M23" s="10">
        <f t="shared" si="65"/>
        <v>115500</v>
      </c>
      <c r="N23" s="10">
        <f t="shared" si="3"/>
        <v>14.302069839134379</v>
      </c>
      <c r="O23" s="99"/>
      <c r="P23" s="10">
        <f t="shared" si="4"/>
        <v>0</v>
      </c>
      <c r="Q23" s="10">
        <f t="shared" si="66"/>
        <v>0</v>
      </c>
      <c r="R23" s="10">
        <f t="shared" si="5"/>
        <v>0</v>
      </c>
      <c r="S23" s="99"/>
      <c r="T23" s="10">
        <f t="shared" si="6"/>
        <v>0</v>
      </c>
      <c r="U23" s="10">
        <f t="shared" si="67"/>
        <v>0</v>
      </c>
      <c r="V23" s="10">
        <f t="shared" si="7"/>
        <v>0</v>
      </c>
      <c r="W23" s="10"/>
      <c r="X23" s="10">
        <f t="shared" si="8"/>
        <v>0</v>
      </c>
      <c r="Y23" s="10">
        <f t="shared" si="68"/>
        <v>0</v>
      </c>
      <c r="Z23" s="10">
        <f t="shared" si="9"/>
        <v>0</v>
      </c>
      <c r="AA23" s="10">
        <f t="shared" si="69"/>
        <v>14000</v>
      </c>
      <c r="AB23" s="10">
        <f t="shared" si="10"/>
        <v>27.450980392156865</v>
      </c>
      <c r="AC23" s="10">
        <f t="shared" si="70"/>
        <v>131180.12</v>
      </c>
      <c r="AD23" s="10">
        <f t="shared" si="11"/>
        <v>16.243699028104146</v>
      </c>
      <c r="AE23" s="10"/>
      <c r="AF23" s="10">
        <f t="shared" si="12"/>
        <v>0</v>
      </c>
      <c r="AG23" s="10">
        <f t="shared" si="93"/>
        <v>6034.5360000000001</v>
      </c>
      <c r="AH23" s="10">
        <f t="shared" si="13"/>
        <v>0.74724117159108761</v>
      </c>
      <c r="AI23" s="10"/>
      <c r="AJ23" s="10">
        <f t="shared" si="14"/>
        <v>0</v>
      </c>
      <c r="AK23" s="10">
        <f t="shared" si="94"/>
        <v>7755.68</v>
      </c>
      <c r="AL23" s="10">
        <f t="shared" si="15"/>
        <v>0.96036603471842186</v>
      </c>
      <c r="AM23" s="10">
        <f t="shared" si="71"/>
        <v>0</v>
      </c>
      <c r="AN23" s="10">
        <f t="shared" si="16"/>
        <v>0</v>
      </c>
      <c r="AO23" s="10">
        <f t="shared" si="72"/>
        <v>13790.216</v>
      </c>
      <c r="AP23" s="10">
        <f t="shared" si="17"/>
        <v>1.7076072063095096</v>
      </c>
      <c r="AQ23" s="10">
        <f>148*AQ7</f>
        <v>37000</v>
      </c>
      <c r="AR23" s="10">
        <f t="shared" si="18"/>
        <v>72.549019607843135</v>
      </c>
      <c r="AS23" s="10">
        <f t="shared" si="95"/>
        <v>394000</v>
      </c>
      <c r="AT23" s="10">
        <f t="shared" si="19"/>
        <v>48.788013130899962</v>
      </c>
      <c r="AU23" s="10"/>
      <c r="AV23" s="10">
        <f t="shared" si="20"/>
        <v>0</v>
      </c>
      <c r="AW23" s="10">
        <f t="shared" si="96"/>
        <v>0</v>
      </c>
      <c r="AX23" s="10">
        <f t="shared" si="21"/>
        <v>0</v>
      </c>
      <c r="AY23" s="10">
        <f t="shared" si="73"/>
        <v>37000</v>
      </c>
      <c r="AZ23" s="10">
        <f t="shared" si="22"/>
        <v>72.549019607843135</v>
      </c>
      <c r="BA23" s="10">
        <f t="shared" si="97"/>
        <v>394000</v>
      </c>
      <c r="BB23" s="10">
        <f t="shared" si="23"/>
        <v>48.788013130899962</v>
      </c>
      <c r="BC23" s="99"/>
      <c r="BD23" s="10">
        <f t="shared" si="24"/>
        <v>0</v>
      </c>
      <c r="BE23" s="10">
        <f t="shared" si="74"/>
        <v>118634</v>
      </c>
      <c r="BF23" s="10">
        <f t="shared" si="25"/>
        <v>14.690145050180675</v>
      </c>
      <c r="BG23" s="99"/>
      <c r="BH23" s="10" t="e">
        <f t="shared" si="26"/>
        <v>#DIV/0!</v>
      </c>
      <c r="BI23" s="10">
        <f t="shared" si="75"/>
        <v>0</v>
      </c>
      <c r="BJ23" s="10" t="e">
        <f t="shared" si="27"/>
        <v>#DIV/0!</v>
      </c>
      <c r="BK23" s="99"/>
      <c r="BL23" s="10">
        <f t="shared" si="28"/>
        <v>0</v>
      </c>
      <c r="BM23" s="10">
        <f t="shared" si="76"/>
        <v>36785</v>
      </c>
      <c r="BN23" s="10">
        <f t="shared" si="29"/>
        <v>4.5549925457364342</v>
      </c>
      <c r="BO23" s="99"/>
      <c r="BP23" s="10">
        <f t="shared" si="30"/>
        <v>0</v>
      </c>
      <c r="BQ23" s="10">
        <f t="shared" si="77"/>
        <v>0</v>
      </c>
      <c r="BR23" s="10">
        <f t="shared" si="31"/>
        <v>0</v>
      </c>
      <c r="BS23" s="99"/>
      <c r="BT23" s="10">
        <f t="shared" si="32"/>
        <v>0</v>
      </c>
      <c r="BU23" s="10">
        <f t="shared" si="78"/>
        <v>0</v>
      </c>
      <c r="BV23" s="10">
        <f t="shared" si="33"/>
        <v>0</v>
      </c>
      <c r="BW23" s="99"/>
      <c r="BX23" s="10">
        <f t="shared" si="34"/>
        <v>0</v>
      </c>
      <c r="BY23" s="10">
        <f t="shared" si="79"/>
        <v>0</v>
      </c>
      <c r="BZ23" s="10">
        <f t="shared" si="35"/>
        <v>0</v>
      </c>
      <c r="CA23" s="99"/>
      <c r="CB23" s="10">
        <f t="shared" si="36"/>
        <v>0</v>
      </c>
      <c r="CC23" s="10">
        <f t="shared" si="80"/>
        <v>84200</v>
      </c>
      <c r="CD23" s="10">
        <f t="shared" si="37"/>
        <v>10.42627082645121</v>
      </c>
      <c r="CE23" s="99"/>
      <c r="CF23" s="10">
        <f t="shared" si="38"/>
        <v>0</v>
      </c>
      <c r="CG23" s="10">
        <f t="shared" si="81"/>
        <v>0</v>
      </c>
      <c r="CH23" s="10">
        <f t="shared" si="39"/>
        <v>0</v>
      </c>
      <c r="CI23" s="99"/>
      <c r="CJ23" s="10">
        <f t="shared" si="40"/>
        <v>0</v>
      </c>
      <c r="CK23" s="10">
        <f t="shared" si="82"/>
        <v>10630</v>
      </c>
      <c r="CL23" s="10">
        <f t="shared" si="41"/>
        <v>1.3162857349783417</v>
      </c>
      <c r="CM23" s="99"/>
      <c r="CN23" s="10">
        <f t="shared" si="42"/>
        <v>0</v>
      </c>
      <c r="CO23" s="10">
        <f t="shared" si="83"/>
        <v>0</v>
      </c>
      <c r="CP23" s="10">
        <f t="shared" si="43"/>
        <v>0</v>
      </c>
      <c r="CQ23" s="99"/>
      <c r="CR23" s="10">
        <f t="shared" si="44"/>
        <v>0</v>
      </c>
      <c r="CS23" s="10">
        <f t="shared" si="84"/>
        <v>14895</v>
      </c>
      <c r="CT23" s="10">
        <f t="shared" si="45"/>
        <v>1.844409785748109</v>
      </c>
      <c r="CU23" s="99"/>
      <c r="CV23" s="10">
        <f t="shared" si="46"/>
        <v>0</v>
      </c>
      <c r="CW23" s="10">
        <f t="shared" si="85"/>
        <v>0</v>
      </c>
      <c r="CX23" s="10">
        <f t="shared" si="47"/>
        <v>0</v>
      </c>
      <c r="CY23" s="99"/>
      <c r="CZ23" s="10">
        <f t="shared" si="48"/>
        <v>0</v>
      </c>
      <c r="DA23" s="10">
        <f t="shared" si="86"/>
        <v>0</v>
      </c>
      <c r="DB23" s="10">
        <f t="shared" si="49"/>
        <v>0</v>
      </c>
      <c r="DC23" s="99"/>
      <c r="DD23" s="10">
        <f t="shared" si="50"/>
        <v>0</v>
      </c>
      <c r="DE23" s="10">
        <f t="shared" si="87"/>
        <v>0</v>
      </c>
      <c r="DF23" s="10">
        <f t="shared" si="51"/>
        <v>0</v>
      </c>
      <c r="DG23" s="99">
        <f t="shared" si="52"/>
        <v>0</v>
      </c>
      <c r="DH23" s="10">
        <f t="shared" si="53"/>
        <v>0</v>
      </c>
      <c r="DI23" s="10">
        <f t="shared" si="88"/>
        <v>265144</v>
      </c>
      <c r="DJ23" s="10">
        <f t="shared" si="54"/>
        <v>32.832103943094772</v>
      </c>
      <c r="DK23" s="99"/>
      <c r="DL23" s="16">
        <f t="shared" si="55"/>
        <v>0</v>
      </c>
      <c r="DM23" s="10">
        <f t="shared" si="89"/>
        <v>0</v>
      </c>
      <c r="DN23" s="10">
        <f t="shared" si="56"/>
        <v>0</v>
      </c>
      <c r="DO23" s="10">
        <v>0</v>
      </c>
      <c r="DP23" s="10">
        <f t="shared" si="57"/>
        <v>0</v>
      </c>
      <c r="DQ23" s="10">
        <f t="shared" si="90"/>
        <v>5400</v>
      </c>
      <c r="DR23" s="10">
        <f t="shared" si="58"/>
        <v>0.66866820027121776</v>
      </c>
      <c r="DS23" s="10">
        <f t="shared" si="99"/>
        <v>51000</v>
      </c>
      <c r="DT23" s="10">
        <f t="shared" si="91"/>
        <v>807575.41599999997</v>
      </c>
      <c r="DU23" s="10">
        <f t="shared" si="60"/>
        <v>1.1266485519252434</v>
      </c>
      <c r="DV23" s="10">
        <f t="shared" si="61"/>
        <v>1.1412138498627844</v>
      </c>
      <c r="DW23" s="505" t="e">
        <f t="shared" si="62"/>
        <v>#DIV/0!</v>
      </c>
      <c r="DX23" s="506">
        <f t="shared" si="98"/>
        <v>0.93054717436562762</v>
      </c>
      <c r="DY23" s="5" t="s">
        <v>491</v>
      </c>
    </row>
    <row r="24" spans="1:129">
      <c r="A24" s="17">
        <f>+Chem!A23</f>
        <v>45731</v>
      </c>
      <c r="B24" s="5" t="str">
        <f>+Chem!B23</f>
        <v>Napkin</v>
      </c>
      <c r="C24" s="5" t="str">
        <f>+Chem!C23</f>
        <v>16</v>
      </c>
      <c r="D24" s="8">
        <f>+Chem!D23</f>
        <v>48.972999999999999</v>
      </c>
      <c r="E24" s="6">
        <f>+Chem!E23</f>
        <v>48.418999999999997</v>
      </c>
      <c r="F24" s="6">
        <f t="shared" si="92"/>
        <v>756.06500000000005</v>
      </c>
      <c r="G24" s="99"/>
      <c r="H24" s="10">
        <f t="shared" si="0"/>
        <v>0</v>
      </c>
      <c r="I24" s="8">
        <f t="shared" si="64"/>
        <v>15680.119999999999</v>
      </c>
      <c r="J24" s="10">
        <f t="shared" si="1"/>
        <v>1.8369929248290346</v>
      </c>
      <c r="K24" s="99">
        <f>52*K7</f>
        <v>13000</v>
      </c>
      <c r="L24" s="10">
        <f t="shared" si="2"/>
        <v>28.260869565217391</v>
      </c>
      <c r="M24" s="10">
        <f t="shared" si="65"/>
        <v>128500</v>
      </c>
      <c r="N24" s="10">
        <f t="shared" si="3"/>
        <v>15.054322979704937</v>
      </c>
      <c r="O24" s="99"/>
      <c r="P24" s="10">
        <f t="shared" si="4"/>
        <v>0</v>
      </c>
      <c r="Q24" s="10">
        <f t="shared" si="66"/>
        <v>0</v>
      </c>
      <c r="R24" s="10">
        <f t="shared" si="5"/>
        <v>0</v>
      </c>
      <c r="S24" s="99"/>
      <c r="T24" s="10">
        <f t="shared" si="6"/>
        <v>0</v>
      </c>
      <c r="U24" s="10">
        <f t="shared" si="67"/>
        <v>0</v>
      </c>
      <c r="V24" s="10">
        <f t="shared" si="7"/>
        <v>0</v>
      </c>
      <c r="W24" s="10"/>
      <c r="X24" s="10">
        <f t="shared" si="8"/>
        <v>0</v>
      </c>
      <c r="Y24" s="10">
        <f t="shared" si="68"/>
        <v>0</v>
      </c>
      <c r="Z24" s="10">
        <f t="shared" si="9"/>
        <v>0</v>
      </c>
      <c r="AA24" s="10">
        <f t="shared" si="69"/>
        <v>13000</v>
      </c>
      <c r="AB24" s="10">
        <f t="shared" si="10"/>
        <v>28.260869565217391</v>
      </c>
      <c r="AC24" s="10">
        <f t="shared" si="70"/>
        <v>144180.12</v>
      </c>
      <c r="AD24" s="10">
        <f t="shared" si="11"/>
        <v>16.891315904533972</v>
      </c>
      <c r="AE24" s="10"/>
      <c r="AF24" s="10">
        <f t="shared" si="12"/>
        <v>0</v>
      </c>
      <c r="AG24" s="10">
        <f t="shared" si="93"/>
        <v>6034.5360000000001</v>
      </c>
      <c r="AH24" s="10">
        <f t="shared" si="13"/>
        <v>0.70697162627748411</v>
      </c>
      <c r="AI24" s="10"/>
      <c r="AJ24" s="10">
        <f t="shared" si="14"/>
        <v>0</v>
      </c>
      <c r="AK24" s="10">
        <f t="shared" si="94"/>
        <v>7755.68</v>
      </c>
      <c r="AL24" s="10">
        <f t="shared" si="15"/>
        <v>0.90861098558161857</v>
      </c>
      <c r="AM24" s="10">
        <f t="shared" si="71"/>
        <v>0</v>
      </c>
      <c r="AN24" s="10">
        <f t="shared" si="16"/>
        <v>0</v>
      </c>
      <c r="AO24" s="10">
        <f t="shared" si="72"/>
        <v>13790.216</v>
      </c>
      <c r="AP24" s="10">
        <f t="shared" si="17"/>
        <v>1.6155826118591028</v>
      </c>
      <c r="AQ24" s="10">
        <f>132*AQ7</f>
        <v>33000</v>
      </c>
      <c r="AR24" s="10">
        <f t="shared" si="18"/>
        <v>71.739130434782609</v>
      </c>
      <c r="AS24" s="10">
        <f t="shared" si="95"/>
        <v>427000</v>
      </c>
      <c r="AT24" s="10">
        <f t="shared" si="19"/>
        <v>50.024870913105126</v>
      </c>
      <c r="AU24" s="10"/>
      <c r="AV24" s="10">
        <f t="shared" si="20"/>
        <v>0</v>
      </c>
      <c r="AW24" s="10">
        <f t="shared" si="96"/>
        <v>0</v>
      </c>
      <c r="AX24" s="10">
        <f t="shared" si="21"/>
        <v>0</v>
      </c>
      <c r="AY24" s="10">
        <f t="shared" si="73"/>
        <v>33000</v>
      </c>
      <c r="AZ24" s="10">
        <f t="shared" si="22"/>
        <v>71.739130434782609</v>
      </c>
      <c r="BA24" s="10">
        <f t="shared" si="97"/>
        <v>427000</v>
      </c>
      <c r="BB24" s="10">
        <f t="shared" si="23"/>
        <v>50.024870913105126</v>
      </c>
      <c r="BC24" s="99"/>
      <c r="BD24" s="10">
        <f t="shared" si="24"/>
        <v>0</v>
      </c>
      <c r="BE24" s="10">
        <f t="shared" si="74"/>
        <v>118634</v>
      </c>
      <c r="BF24" s="10">
        <f t="shared" si="25"/>
        <v>13.89847900680401</v>
      </c>
      <c r="BG24" s="99"/>
      <c r="BH24" s="10" t="e">
        <f t="shared" si="26"/>
        <v>#DIV/0!</v>
      </c>
      <c r="BI24" s="10">
        <f t="shared" si="75"/>
        <v>0</v>
      </c>
      <c r="BJ24" s="10" t="e">
        <f t="shared" si="27"/>
        <v>#DIV/0!</v>
      </c>
      <c r="BK24" s="99"/>
      <c r="BL24" s="10">
        <f t="shared" si="28"/>
        <v>0</v>
      </c>
      <c r="BM24" s="10">
        <f t="shared" si="76"/>
        <v>36785</v>
      </c>
      <c r="BN24" s="10">
        <f t="shared" si="29"/>
        <v>4.3095196171863508</v>
      </c>
      <c r="BO24" s="99"/>
      <c r="BP24" s="10">
        <f t="shared" si="30"/>
        <v>0</v>
      </c>
      <c r="BQ24" s="10">
        <f t="shared" si="77"/>
        <v>0</v>
      </c>
      <c r="BR24" s="10">
        <f t="shared" si="31"/>
        <v>0</v>
      </c>
      <c r="BS24" s="99"/>
      <c r="BT24" s="10">
        <f t="shared" si="32"/>
        <v>0</v>
      </c>
      <c r="BU24" s="10">
        <f t="shared" si="78"/>
        <v>0</v>
      </c>
      <c r="BV24" s="10">
        <f t="shared" si="33"/>
        <v>0</v>
      </c>
      <c r="BW24" s="99"/>
      <c r="BX24" s="10">
        <f t="shared" si="34"/>
        <v>0</v>
      </c>
      <c r="BY24" s="10">
        <f t="shared" si="79"/>
        <v>0</v>
      </c>
      <c r="BZ24" s="10">
        <f t="shared" si="35"/>
        <v>0</v>
      </c>
      <c r="CA24" s="99"/>
      <c r="CB24" s="10">
        <f t="shared" si="36"/>
        <v>0</v>
      </c>
      <c r="CC24" s="10">
        <f t="shared" si="80"/>
        <v>84200</v>
      </c>
      <c r="CD24" s="10">
        <f t="shared" si="37"/>
        <v>9.8643890653008217</v>
      </c>
      <c r="CE24" s="99"/>
      <c r="CF24" s="10">
        <f t="shared" si="38"/>
        <v>0</v>
      </c>
      <c r="CG24" s="10">
        <f t="shared" si="81"/>
        <v>0</v>
      </c>
      <c r="CH24" s="10">
        <f t="shared" si="39"/>
        <v>0</v>
      </c>
      <c r="CI24" s="99"/>
      <c r="CJ24" s="10">
        <f t="shared" si="40"/>
        <v>0</v>
      </c>
      <c r="CK24" s="10">
        <f t="shared" si="82"/>
        <v>10630</v>
      </c>
      <c r="CL24" s="10">
        <f t="shared" si="41"/>
        <v>1.2453498309281203</v>
      </c>
      <c r="CM24" s="99"/>
      <c r="CN24" s="10">
        <f t="shared" si="42"/>
        <v>0</v>
      </c>
      <c r="CO24" s="10">
        <f t="shared" si="83"/>
        <v>0</v>
      </c>
      <c r="CP24" s="10">
        <f t="shared" si="43"/>
        <v>0</v>
      </c>
      <c r="CQ24" s="99"/>
      <c r="CR24" s="10">
        <f t="shared" si="44"/>
        <v>0</v>
      </c>
      <c r="CS24" s="10">
        <f t="shared" si="84"/>
        <v>14895</v>
      </c>
      <c r="CT24" s="10">
        <f t="shared" si="45"/>
        <v>1.7450127687370043</v>
      </c>
      <c r="CU24" s="99"/>
      <c r="CV24" s="10">
        <f t="shared" si="46"/>
        <v>0</v>
      </c>
      <c r="CW24" s="10">
        <f t="shared" si="85"/>
        <v>0</v>
      </c>
      <c r="CX24" s="10">
        <f t="shared" si="47"/>
        <v>0</v>
      </c>
      <c r="CY24" s="99"/>
      <c r="CZ24" s="10">
        <f t="shared" si="48"/>
        <v>0</v>
      </c>
      <c r="DA24" s="10">
        <f t="shared" si="86"/>
        <v>0</v>
      </c>
      <c r="DB24" s="10">
        <f t="shared" si="49"/>
        <v>0</v>
      </c>
      <c r="DC24" s="99"/>
      <c r="DD24" s="10">
        <f t="shared" si="50"/>
        <v>0</v>
      </c>
      <c r="DE24" s="10">
        <f t="shared" si="87"/>
        <v>0</v>
      </c>
      <c r="DF24" s="10">
        <f t="shared" si="51"/>
        <v>0</v>
      </c>
      <c r="DG24" s="99">
        <f t="shared" si="52"/>
        <v>0</v>
      </c>
      <c r="DH24" s="10">
        <f t="shared" si="53"/>
        <v>0</v>
      </c>
      <c r="DI24" s="10">
        <f t="shared" si="88"/>
        <v>265144</v>
      </c>
      <c r="DJ24" s="10">
        <f t="shared" si="54"/>
        <v>31.062750288956309</v>
      </c>
      <c r="DK24" s="99"/>
      <c r="DL24" s="16">
        <f t="shared" si="55"/>
        <v>0</v>
      </c>
      <c r="DM24" s="10">
        <f t="shared" si="89"/>
        <v>0</v>
      </c>
      <c r="DN24" s="10">
        <f t="shared" si="56"/>
        <v>0</v>
      </c>
      <c r="DO24" s="10">
        <v>0</v>
      </c>
      <c r="DP24" s="10">
        <f t="shared" si="57"/>
        <v>0</v>
      </c>
      <c r="DQ24" s="10">
        <f t="shared" si="90"/>
        <v>5400</v>
      </c>
      <c r="DR24" s="10">
        <f t="shared" si="58"/>
        <v>0.63263302794090781</v>
      </c>
      <c r="DS24" s="10">
        <f t="shared" si="99"/>
        <v>46000</v>
      </c>
      <c r="DT24" s="10">
        <f t="shared" si="91"/>
        <v>853575.41599999997</v>
      </c>
      <c r="DU24" s="10">
        <f t="shared" si="60"/>
        <v>0.95004027344637443</v>
      </c>
      <c r="DV24" s="10">
        <f t="shared" si="61"/>
        <v>1.1289709429744796</v>
      </c>
      <c r="DW24" s="505" t="e">
        <f t="shared" si="62"/>
        <v>#DIV/0!</v>
      </c>
      <c r="DX24" s="506">
        <f t="shared" si="98"/>
        <v>0.93054717436562762</v>
      </c>
      <c r="DY24" s="5" t="s">
        <v>491</v>
      </c>
    </row>
    <row r="25" spans="1:129">
      <c r="A25" s="17">
        <f>+Chem!A24</f>
        <v>45732</v>
      </c>
      <c r="B25" s="5" t="str">
        <f>+Chem!B24</f>
        <v>Napkin</v>
      </c>
      <c r="C25" s="5" t="str">
        <f>+Chem!C24</f>
        <v>16</v>
      </c>
      <c r="D25" s="8">
        <f>+Chem!D24</f>
        <v>48.844999999999999</v>
      </c>
      <c r="E25" s="6">
        <f>+Chem!E24</f>
        <v>48.912999999999997</v>
      </c>
      <c r="F25" s="6">
        <f t="shared" si="92"/>
        <v>804.97800000000007</v>
      </c>
      <c r="G25" s="99"/>
      <c r="H25" s="10">
        <f t="shared" si="0"/>
        <v>0</v>
      </c>
      <c r="I25" s="8">
        <f t="shared" si="64"/>
        <v>15680.119999999999</v>
      </c>
      <c r="J25" s="10">
        <f t="shared" si="1"/>
        <v>1.7334231864643113</v>
      </c>
      <c r="K25" s="99">
        <f>52*K7</f>
        <v>13000</v>
      </c>
      <c r="L25" s="10">
        <f t="shared" si="2"/>
        <v>25.490196078431371</v>
      </c>
      <c r="M25" s="10">
        <f t="shared" si="65"/>
        <v>141500</v>
      </c>
      <c r="N25" s="10">
        <f t="shared" si="3"/>
        <v>15.642697943937932</v>
      </c>
      <c r="O25" s="99"/>
      <c r="P25" s="10">
        <f t="shared" si="4"/>
        <v>0</v>
      </c>
      <c r="Q25" s="10">
        <f t="shared" si="66"/>
        <v>0</v>
      </c>
      <c r="R25" s="10">
        <f t="shared" si="5"/>
        <v>0</v>
      </c>
      <c r="S25" s="99"/>
      <c r="T25" s="10">
        <f t="shared" si="6"/>
        <v>0</v>
      </c>
      <c r="U25" s="10">
        <f t="shared" si="67"/>
        <v>0</v>
      </c>
      <c r="V25" s="10">
        <f t="shared" si="7"/>
        <v>0</v>
      </c>
      <c r="W25" s="99"/>
      <c r="X25" s="10">
        <f t="shared" si="8"/>
        <v>0</v>
      </c>
      <c r="Y25" s="10">
        <f t="shared" si="68"/>
        <v>0</v>
      </c>
      <c r="Z25" s="10">
        <f t="shared" si="9"/>
        <v>0</v>
      </c>
      <c r="AA25" s="10">
        <f t="shared" si="69"/>
        <v>13000</v>
      </c>
      <c r="AB25" s="10">
        <f t="shared" si="10"/>
        <v>25.490196078431371</v>
      </c>
      <c r="AC25" s="10">
        <f t="shared" si="70"/>
        <v>157180.12</v>
      </c>
      <c r="AD25" s="10">
        <f t="shared" si="11"/>
        <v>17.376121130402243</v>
      </c>
      <c r="AE25" s="10"/>
      <c r="AF25" s="10">
        <f t="shared" si="12"/>
        <v>0</v>
      </c>
      <c r="AG25" s="10">
        <f t="shared" si="93"/>
        <v>6034.5360000000001</v>
      </c>
      <c r="AH25" s="10">
        <f t="shared" si="13"/>
        <v>0.66711253625314093</v>
      </c>
      <c r="AI25" s="10"/>
      <c r="AJ25" s="10">
        <f t="shared" si="14"/>
        <v>0</v>
      </c>
      <c r="AK25" s="10">
        <f t="shared" si="94"/>
        <v>7755.68</v>
      </c>
      <c r="AL25" s="10">
        <f t="shared" si="15"/>
        <v>0.85738345999887311</v>
      </c>
      <c r="AM25" s="10">
        <f t="shared" si="71"/>
        <v>0</v>
      </c>
      <c r="AN25" s="10">
        <f t="shared" si="16"/>
        <v>0</v>
      </c>
      <c r="AO25" s="10">
        <f t="shared" si="72"/>
        <v>13790.216</v>
      </c>
      <c r="AP25" s="10">
        <f t="shared" si="17"/>
        <v>1.5244959962520142</v>
      </c>
      <c r="AQ25" s="10">
        <f>152*AQ7</f>
        <v>38000</v>
      </c>
      <c r="AR25" s="10">
        <f t="shared" si="18"/>
        <v>74.509803921568633</v>
      </c>
      <c r="AS25" s="10">
        <f t="shared" si="95"/>
        <v>465000</v>
      </c>
      <c r="AT25" s="10">
        <f t="shared" si="19"/>
        <v>51.40533246594444</v>
      </c>
      <c r="AU25" s="10"/>
      <c r="AV25" s="10">
        <f t="shared" si="20"/>
        <v>0</v>
      </c>
      <c r="AW25" s="10">
        <f t="shared" si="96"/>
        <v>0</v>
      </c>
      <c r="AX25" s="10">
        <f t="shared" si="21"/>
        <v>0</v>
      </c>
      <c r="AY25" s="10">
        <f t="shared" si="73"/>
        <v>38000</v>
      </c>
      <c r="AZ25" s="10">
        <f t="shared" si="22"/>
        <v>74.509803921568633</v>
      </c>
      <c r="BA25" s="10">
        <f t="shared" si="97"/>
        <v>465000</v>
      </c>
      <c r="BB25" s="10">
        <f t="shared" si="23"/>
        <v>51.40533246594444</v>
      </c>
      <c r="BC25" s="99"/>
      <c r="BD25" s="10">
        <f t="shared" si="24"/>
        <v>0</v>
      </c>
      <c r="BE25" s="10">
        <f t="shared" si="74"/>
        <v>118634</v>
      </c>
      <c r="BF25" s="10">
        <f t="shared" si="25"/>
        <v>13.114882175838394</v>
      </c>
      <c r="BG25" s="99"/>
      <c r="BH25" s="10" t="e">
        <f t="shared" si="26"/>
        <v>#DIV/0!</v>
      </c>
      <c r="BI25" s="10">
        <f t="shared" si="75"/>
        <v>0</v>
      </c>
      <c r="BJ25" s="10" t="e">
        <f t="shared" si="27"/>
        <v>#DIV/0!</v>
      </c>
      <c r="BK25" s="99"/>
      <c r="BL25" s="10">
        <f t="shared" si="28"/>
        <v>0</v>
      </c>
      <c r="BM25" s="10">
        <f t="shared" si="76"/>
        <v>36785</v>
      </c>
      <c r="BN25" s="10">
        <f t="shared" si="29"/>
        <v>4.0665487199134764</v>
      </c>
      <c r="BO25" s="99"/>
      <c r="BP25" s="10">
        <f t="shared" si="30"/>
        <v>0</v>
      </c>
      <c r="BQ25" s="10">
        <f t="shared" si="77"/>
        <v>0</v>
      </c>
      <c r="BR25" s="10">
        <f t="shared" si="31"/>
        <v>0</v>
      </c>
      <c r="BS25" s="99"/>
      <c r="BT25" s="10">
        <f t="shared" si="32"/>
        <v>0</v>
      </c>
      <c r="BU25" s="10">
        <f t="shared" si="78"/>
        <v>0</v>
      </c>
      <c r="BV25" s="10">
        <f t="shared" si="33"/>
        <v>0</v>
      </c>
      <c r="BW25" s="99"/>
      <c r="BX25" s="10">
        <f t="shared" si="34"/>
        <v>0</v>
      </c>
      <c r="BY25" s="10">
        <f t="shared" si="79"/>
        <v>0</v>
      </c>
      <c r="BZ25" s="10">
        <f t="shared" si="35"/>
        <v>0</v>
      </c>
      <c r="CA25" s="99"/>
      <c r="CB25" s="10">
        <f t="shared" si="36"/>
        <v>0</v>
      </c>
      <c r="CC25" s="10">
        <f t="shared" si="80"/>
        <v>84200</v>
      </c>
      <c r="CD25" s="10">
        <f t="shared" si="37"/>
        <v>9.3082343949086503</v>
      </c>
      <c r="CE25" s="99"/>
      <c r="CF25" s="10">
        <f t="shared" si="38"/>
        <v>0</v>
      </c>
      <c r="CG25" s="10">
        <f t="shared" si="81"/>
        <v>0</v>
      </c>
      <c r="CH25" s="10">
        <f t="shared" si="39"/>
        <v>0</v>
      </c>
      <c r="CI25" s="99"/>
      <c r="CJ25" s="10">
        <f t="shared" si="40"/>
        <v>0</v>
      </c>
      <c r="CK25" s="10">
        <f t="shared" si="82"/>
        <v>10630</v>
      </c>
      <c r="CL25" s="10">
        <f t="shared" si="41"/>
        <v>1.1751369550816977</v>
      </c>
      <c r="CM25" s="99"/>
      <c r="CN25" s="10">
        <f t="shared" si="42"/>
        <v>0</v>
      </c>
      <c r="CO25" s="10">
        <f t="shared" si="83"/>
        <v>0</v>
      </c>
      <c r="CP25" s="10">
        <f t="shared" si="43"/>
        <v>0</v>
      </c>
      <c r="CQ25" s="99"/>
      <c r="CR25" s="10">
        <f t="shared" si="44"/>
        <v>0</v>
      </c>
      <c r="CS25" s="10">
        <f t="shared" si="84"/>
        <v>14895</v>
      </c>
      <c r="CT25" s="10">
        <f t="shared" si="45"/>
        <v>1.6466288754413818</v>
      </c>
      <c r="CU25" s="99"/>
      <c r="CV25" s="10">
        <f t="shared" si="46"/>
        <v>0</v>
      </c>
      <c r="CW25" s="10">
        <f t="shared" si="85"/>
        <v>0</v>
      </c>
      <c r="CX25" s="10">
        <f t="shared" si="47"/>
        <v>0</v>
      </c>
      <c r="CY25" s="99"/>
      <c r="CZ25" s="10">
        <f t="shared" si="48"/>
        <v>0</v>
      </c>
      <c r="DA25" s="10">
        <f t="shared" si="86"/>
        <v>0</v>
      </c>
      <c r="DB25" s="10">
        <f t="shared" si="49"/>
        <v>0</v>
      </c>
      <c r="DC25" s="99"/>
      <c r="DD25" s="10">
        <f t="shared" si="50"/>
        <v>0</v>
      </c>
      <c r="DE25" s="10">
        <f t="shared" si="87"/>
        <v>0</v>
      </c>
      <c r="DF25" s="10">
        <f t="shared" si="51"/>
        <v>0</v>
      </c>
      <c r="DG25" s="99">
        <f t="shared" si="52"/>
        <v>0</v>
      </c>
      <c r="DH25" s="10">
        <f t="shared" si="53"/>
        <v>0</v>
      </c>
      <c r="DI25" s="10">
        <f t="shared" si="88"/>
        <v>265144</v>
      </c>
      <c r="DJ25" s="10">
        <f t="shared" si="54"/>
        <v>29.311431121183602</v>
      </c>
      <c r="DK25" s="99"/>
      <c r="DL25" s="16">
        <f t="shared" si="55"/>
        <v>0</v>
      </c>
      <c r="DM25" s="10">
        <f t="shared" si="89"/>
        <v>0</v>
      </c>
      <c r="DN25" s="10">
        <f t="shared" si="56"/>
        <v>0</v>
      </c>
      <c r="DO25" s="10">
        <v>0</v>
      </c>
      <c r="DP25" s="10">
        <f t="shared" si="57"/>
        <v>0</v>
      </c>
      <c r="DQ25" s="10">
        <f t="shared" si="90"/>
        <v>5400</v>
      </c>
      <c r="DR25" s="10">
        <f t="shared" si="58"/>
        <v>0.59696515121741933</v>
      </c>
      <c r="DS25" s="10">
        <f t="shared" si="99"/>
        <v>51000</v>
      </c>
      <c r="DT25" s="10">
        <f t="shared" si="91"/>
        <v>904575.41599999997</v>
      </c>
      <c r="DU25" s="10">
        <f t="shared" si="60"/>
        <v>1.0426675934823053</v>
      </c>
      <c r="DV25" s="10">
        <f t="shared" si="61"/>
        <v>1.1237268794923587</v>
      </c>
      <c r="DW25" s="505" t="e">
        <f t="shared" si="62"/>
        <v>#DIV/0!</v>
      </c>
      <c r="DX25" s="506">
        <f t="shared" si="98"/>
        <v>0.93054717436562762</v>
      </c>
      <c r="DY25" s="5" t="s">
        <v>491</v>
      </c>
    </row>
    <row r="26" spans="1:129">
      <c r="A26" s="17">
        <f>+Chem!A25</f>
        <v>45733</v>
      </c>
      <c r="B26" s="5" t="str">
        <f>+Chem!B25</f>
        <v>Napkin</v>
      </c>
      <c r="C26" s="5" t="str">
        <f>+Chem!C25</f>
        <v>16</v>
      </c>
      <c r="D26" s="8">
        <f>+Chem!D25</f>
        <v>48.537000000000006</v>
      </c>
      <c r="E26" s="6">
        <f>+Chem!E25</f>
        <v>49.252000000000002</v>
      </c>
      <c r="F26" s="6">
        <f t="shared" si="92"/>
        <v>854.23</v>
      </c>
      <c r="G26" s="99"/>
      <c r="H26" s="10">
        <f t="shared" si="0"/>
        <v>0</v>
      </c>
      <c r="I26" s="8">
        <f t="shared" si="64"/>
        <v>15680.119999999999</v>
      </c>
      <c r="J26" s="10">
        <f t="shared" si="1"/>
        <v>1.6409086857462647</v>
      </c>
      <c r="K26" s="99">
        <f>48*K7</f>
        <v>12000</v>
      </c>
      <c r="L26" s="10">
        <f t="shared" si="2"/>
        <v>23.52941176470588</v>
      </c>
      <c r="M26" s="10">
        <f t="shared" si="65"/>
        <v>153500</v>
      </c>
      <c r="N26" s="10">
        <f t="shared" si="3"/>
        <v>16.06361961911335</v>
      </c>
      <c r="O26" s="99"/>
      <c r="P26" s="10">
        <f t="shared" si="4"/>
        <v>0</v>
      </c>
      <c r="Q26" s="10">
        <f t="shared" si="66"/>
        <v>0</v>
      </c>
      <c r="R26" s="10">
        <f t="shared" si="5"/>
        <v>0</v>
      </c>
      <c r="S26" s="99"/>
      <c r="T26" s="10">
        <f t="shared" si="6"/>
        <v>0</v>
      </c>
      <c r="U26" s="10">
        <f t="shared" si="67"/>
        <v>0</v>
      </c>
      <c r="V26" s="10">
        <f t="shared" si="7"/>
        <v>0</v>
      </c>
      <c r="W26" s="99"/>
      <c r="X26" s="10">
        <f t="shared" si="8"/>
        <v>0</v>
      </c>
      <c r="Y26" s="10">
        <f t="shared" si="68"/>
        <v>0</v>
      </c>
      <c r="Z26" s="10">
        <f t="shared" si="9"/>
        <v>0</v>
      </c>
      <c r="AA26" s="10">
        <f t="shared" si="69"/>
        <v>12000</v>
      </c>
      <c r="AB26" s="10">
        <f t="shared" si="10"/>
        <v>23.52941176470588</v>
      </c>
      <c r="AC26" s="10">
        <f t="shared" si="70"/>
        <v>169180.12</v>
      </c>
      <c r="AD26" s="10">
        <f t="shared" si="11"/>
        <v>17.704528304859611</v>
      </c>
      <c r="AE26" s="10"/>
      <c r="AF26" s="10">
        <f t="shared" si="12"/>
        <v>0</v>
      </c>
      <c r="AG26" s="10">
        <f t="shared" si="93"/>
        <v>6034.5360000000001</v>
      </c>
      <c r="AH26" s="10">
        <f t="shared" si="13"/>
        <v>0.63150808392081947</v>
      </c>
      <c r="AI26" s="10"/>
      <c r="AJ26" s="10">
        <f t="shared" si="14"/>
        <v>0</v>
      </c>
      <c r="AK26" s="10">
        <f t="shared" si="94"/>
        <v>7755.68</v>
      </c>
      <c r="AL26" s="10">
        <f t="shared" si="15"/>
        <v>0.81162406128706854</v>
      </c>
      <c r="AM26" s="10">
        <f t="shared" si="71"/>
        <v>0</v>
      </c>
      <c r="AN26" s="10">
        <f t="shared" si="16"/>
        <v>0</v>
      </c>
      <c r="AO26" s="10">
        <f t="shared" si="72"/>
        <v>13790.216</v>
      </c>
      <c r="AP26" s="10">
        <f t="shared" si="17"/>
        <v>1.4431321452078882</v>
      </c>
      <c r="AQ26" s="10">
        <f>156*AQ7</f>
        <v>39000</v>
      </c>
      <c r="AR26" s="10">
        <f t="shared" si="18"/>
        <v>76.470588235294116</v>
      </c>
      <c r="AS26" s="10">
        <f t="shared" si="95"/>
        <v>504000</v>
      </c>
      <c r="AT26" s="10">
        <f t="shared" si="19"/>
        <v>52.743089824320052</v>
      </c>
      <c r="AU26" s="10"/>
      <c r="AV26" s="10">
        <f t="shared" si="20"/>
        <v>0</v>
      </c>
      <c r="AW26" s="10">
        <f t="shared" si="96"/>
        <v>0</v>
      </c>
      <c r="AX26" s="10">
        <f t="shared" si="21"/>
        <v>0</v>
      </c>
      <c r="AY26" s="10">
        <f t="shared" si="73"/>
        <v>39000</v>
      </c>
      <c r="AZ26" s="10">
        <f t="shared" si="22"/>
        <v>76.470588235294116</v>
      </c>
      <c r="BA26" s="10">
        <f t="shared" si="97"/>
        <v>504000</v>
      </c>
      <c r="BB26" s="10">
        <f t="shared" si="23"/>
        <v>52.743089824320052</v>
      </c>
      <c r="BC26" s="99"/>
      <c r="BD26" s="10">
        <f t="shared" si="24"/>
        <v>0</v>
      </c>
      <c r="BE26" s="10">
        <f t="shared" si="74"/>
        <v>118634</v>
      </c>
      <c r="BF26" s="10">
        <f t="shared" si="25"/>
        <v>12.414928012338065</v>
      </c>
      <c r="BG26" s="99"/>
      <c r="BH26" s="10" t="e">
        <f t="shared" si="26"/>
        <v>#DIV/0!</v>
      </c>
      <c r="BI26" s="10">
        <f t="shared" si="75"/>
        <v>0</v>
      </c>
      <c r="BJ26" s="10" t="e">
        <f t="shared" si="27"/>
        <v>#DIV/0!</v>
      </c>
      <c r="BK26" s="99"/>
      <c r="BL26" s="10">
        <f t="shared" si="28"/>
        <v>0</v>
      </c>
      <c r="BM26" s="10">
        <f t="shared" si="76"/>
        <v>36785</v>
      </c>
      <c r="BN26" s="10">
        <f t="shared" si="29"/>
        <v>3.8495130142611371</v>
      </c>
      <c r="BO26" s="99"/>
      <c r="BP26" s="10">
        <f t="shared" si="30"/>
        <v>0</v>
      </c>
      <c r="BQ26" s="10">
        <f t="shared" si="77"/>
        <v>0</v>
      </c>
      <c r="BR26" s="10">
        <f t="shared" si="31"/>
        <v>0</v>
      </c>
      <c r="BS26" s="99"/>
      <c r="BT26" s="10">
        <f t="shared" si="32"/>
        <v>0</v>
      </c>
      <c r="BU26" s="10">
        <f t="shared" si="78"/>
        <v>0</v>
      </c>
      <c r="BV26" s="10">
        <f t="shared" si="33"/>
        <v>0</v>
      </c>
      <c r="BW26" s="99"/>
      <c r="BX26" s="10">
        <f t="shared" si="34"/>
        <v>0</v>
      </c>
      <c r="BY26" s="10">
        <f t="shared" si="79"/>
        <v>0</v>
      </c>
      <c r="BZ26" s="10">
        <f t="shared" si="35"/>
        <v>0</v>
      </c>
      <c r="CA26" s="99"/>
      <c r="CB26" s="10">
        <f t="shared" si="36"/>
        <v>0</v>
      </c>
      <c r="CC26" s="10">
        <f t="shared" si="80"/>
        <v>84200</v>
      </c>
      <c r="CD26" s="10">
        <f t="shared" si="37"/>
        <v>8.8114447682693431</v>
      </c>
      <c r="CE26" s="99"/>
      <c r="CF26" s="10">
        <f t="shared" si="38"/>
        <v>0</v>
      </c>
      <c r="CG26" s="10">
        <f t="shared" si="81"/>
        <v>0</v>
      </c>
      <c r="CH26" s="10">
        <f t="shared" si="39"/>
        <v>0</v>
      </c>
      <c r="CI26" s="99"/>
      <c r="CJ26" s="10">
        <f t="shared" si="40"/>
        <v>0</v>
      </c>
      <c r="CK26" s="10">
        <f t="shared" si="82"/>
        <v>10630</v>
      </c>
      <c r="CL26" s="10">
        <f t="shared" si="41"/>
        <v>1.112418739747068</v>
      </c>
      <c r="CM26" s="99"/>
      <c r="CN26" s="10">
        <f t="shared" si="42"/>
        <v>0</v>
      </c>
      <c r="CO26" s="10">
        <f t="shared" si="83"/>
        <v>0</v>
      </c>
      <c r="CP26" s="10">
        <f t="shared" si="43"/>
        <v>0</v>
      </c>
      <c r="CQ26" s="99"/>
      <c r="CR26" s="10">
        <f t="shared" si="44"/>
        <v>0</v>
      </c>
      <c r="CS26" s="10">
        <f t="shared" si="84"/>
        <v>14895</v>
      </c>
      <c r="CT26" s="10">
        <f t="shared" si="45"/>
        <v>1.5587466724866015</v>
      </c>
      <c r="CU26" s="99"/>
      <c r="CV26" s="10">
        <f t="shared" si="46"/>
        <v>0</v>
      </c>
      <c r="CW26" s="10">
        <f t="shared" si="85"/>
        <v>0</v>
      </c>
      <c r="CX26" s="10">
        <f t="shared" si="47"/>
        <v>0</v>
      </c>
      <c r="CY26" s="99"/>
      <c r="CZ26" s="10">
        <f t="shared" si="48"/>
        <v>0</v>
      </c>
      <c r="DA26" s="10">
        <f t="shared" si="86"/>
        <v>0</v>
      </c>
      <c r="DB26" s="10">
        <f t="shared" si="49"/>
        <v>0</v>
      </c>
      <c r="DC26" s="99"/>
      <c r="DD26" s="10">
        <f t="shared" si="50"/>
        <v>0</v>
      </c>
      <c r="DE26" s="10">
        <f t="shared" si="87"/>
        <v>0</v>
      </c>
      <c r="DF26" s="10">
        <f t="shared" si="51"/>
        <v>0</v>
      </c>
      <c r="DG26" s="99">
        <f t="shared" si="52"/>
        <v>0</v>
      </c>
      <c r="DH26" s="10">
        <f t="shared" si="53"/>
        <v>0</v>
      </c>
      <c r="DI26" s="10">
        <f t="shared" si="88"/>
        <v>265144</v>
      </c>
      <c r="DJ26" s="10">
        <f t="shared" si="54"/>
        <v>27.747051207102214</v>
      </c>
      <c r="DK26" s="99"/>
      <c r="DL26" s="16">
        <f t="shared" si="55"/>
        <v>0</v>
      </c>
      <c r="DM26" s="10">
        <f t="shared" si="89"/>
        <v>0</v>
      </c>
      <c r="DN26" s="10">
        <f t="shared" si="56"/>
        <v>0</v>
      </c>
      <c r="DO26" s="10">
        <v>0</v>
      </c>
      <c r="DP26" s="10">
        <f t="shared" si="57"/>
        <v>0</v>
      </c>
      <c r="DQ26" s="10">
        <f t="shared" si="90"/>
        <v>5400</v>
      </c>
      <c r="DR26" s="10">
        <f t="shared" si="58"/>
        <v>0.56510453383200066</v>
      </c>
      <c r="DS26" s="10">
        <f t="shared" si="99"/>
        <v>51000</v>
      </c>
      <c r="DT26" s="10">
        <f t="shared" si="91"/>
        <v>955575.41599999997</v>
      </c>
      <c r="DU26" s="10">
        <f t="shared" si="60"/>
        <v>1.0354909445301712</v>
      </c>
      <c r="DV26" s="10">
        <f t="shared" si="61"/>
        <v>1.1186394952179155</v>
      </c>
      <c r="DW26" s="505" t="e">
        <f t="shared" si="62"/>
        <v>#DIV/0!</v>
      </c>
      <c r="DX26" s="506">
        <f t="shared" si="98"/>
        <v>0.93054717436562762</v>
      </c>
      <c r="DY26" s="5" t="s">
        <v>491</v>
      </c>
    </row>
    <row r="27" spans="1:129">
      <c r="A27" s="17">
        <f>+Chem!A26</f>
        <v>45734</v>
      </c>
      <c r="B27" s="5" t="str">
        <f>+Chem!B26</f>
        <v>Napkin/Towel</v>
      </c>
      <c r="C27" s="5" t="str">
        <f>+Chem!C26</f>
        <v>16/23</v>
      </c>
      <c r="D27" s="8">
        <f>+Chem!D26</f>
        <v>63.814999999999998</v>
      </c>
      <c r="E27" s="6">
        <f>+Chem!E26</f>
        <v>62.594000000000001</v>
      </c>
      <c r="F27" s="6">
        <f t="shared" si="92"/>
        <v>916.82400000000007</v>
      </c>
      <c r="G27" s="99"/>
      <c r="H27" s="10">
        <f t="shared" si="0"/>
        <v>0</v>
      </c>
      <c r="I27" s="8">
        <f t="shared" si="64"/>
        <v>15680.119999999999</v>
      </c>
      <c r="J27" s="10">
        <f t="shared" si="1"/>
        <v>1.5333949706453729</v>
      </c>
      <c r="K27" s="99">
        <f>52*K7</f>
        <v>13000</v>
      </c>
      <c r="L27" s="10">
        <f t="shared" si="2"/>
        <v>19.402985074626866</v>
      </c>
      <c r="M27" s="10">
        <f t="shared" si="65"/>
        <v>166500</v>
      </c>
      <c r="N27" s="10">
        <f t="shared" si="3"/>
        <v>16.282417648108215</v>
      </c>
      <c r="O27" s="99"/>
      <c r="P27" s="10">
        <f t="shared" si="4"/>
        <v>0</v>
      </c>
      <c r="Q27" s="10">
        <f t="shared" si="66"/>
        <v>0</v>
      </c>
      <c r="R27" s="10">
        <f t="shared" si="5"/>
        <v>0</v>
      </c>
      <c r="S27" s="99"/>
      <c r="T27" s="10">
        <f t="shared" si="6"/>
        <v>0</v>
      </c>
      <c r="U27" s="10">
        <f t="shared" si="67"/>
        <v>0</v>
      </c>
      <c r="V27" s="10">
        <f t="shared" si="7"/>
        <v>0</v>
      </c>
      <c r="W27" s="99"/>
      <c r="X27" s="10">
        <f t="shared" si="8"/>
        <v>0</v>
      </c>
      <c r="Y27" s="10">
        <f t="shared" si="68"/>
        <v>0</v>
      </c>
      <c r="Z27" s="10">
        <f t="shared" si="9"/>
        <v>0</v>
      </c>
      <c r="AA27" s="10">
        <f t="shared" si="69"/>
        <v>13000</v>
      </c>
      <c r="AB27" s="10">
        <f t="shared" si="10"/>
        <v>19.402985074626866</v>
      </c>
      <c r="AC27" s="10">
        <f t="shared" si="70"/>
        <v>182180.12</v>
      </c>
      <c r="AD27" s="10">
        <f t="shared" si="11"/>
        <v>17.815812618753586</v>
      </c>
      <c r="AE27" s="10"/>
      <c r="AF27" s="10">
        <f t="shared" si="12"/>
        <v>0</v>
      </c>
      <c r="AG27" s="10">
        <f t="shared" si="93"/>
        <v>6034.5360000000001</v>
      </c>
      <c r="AH27" s="10">
        <f t="shared" si="13"/>
        <v>0.59013114393119737</v>
      </c>
      <c r="AI27" s="10"/>
      <c r="AJ27" s="10">
        <f t="shared" si="14"/>
        <v>0</v>
      </c>
      <c r="AK27" s="10">
        <f t="shared" si="94"/>
        <v>7755.68</v>
      </c>
      <c r="AL27" s="10">
        <f t="shared" si="15"/>
        <v>0.75844577120168133</v>
      </c>
      <c r="AM27" s="10">
        <f t="shared" si="71"/>
        <v>0</v>
      </c>
      <c r="AN27" s="10">
        <f t="shared" si="16"/>
        <v>0</v>
      </c>
      <c r="AO27" s="10">
        <f t="shared" si="72"/>
        <v>13790.216</v>
      </c>
      <c r="AP27" s="10">
        <f t="shared" si="17"/>
        <v>1.3485769151328786</v>
      </c>
      <c r="AQ27" s="10">
        <f>216*AQ7</f>
        <v>54000</v>
      </c>
      <c r="AR27" s="10">
        <f t="shared" si="18"/>
        <v>80.597014925373131</v>
      </c>
      <c r="AS27" s="10">
        <f t="shared" si="95"/>
        <v>558000</v>
      </c>
      <c r="AT27" s="10">
        <f t="shared" si="19"/>
        <v>54.568102388254559</v>
      </c>
      <c r="AU27" s="10"/>
      <c r="AV27" s="10">
        <f t="shared" si="20"/>
        <v>0</v>
      </c>
      <c r="AW27" s="10">
        <f t="shared" si="96"/>
        <v>0</v>
      </c>
      <c r="AX27" s="10">
        <f t="shared" si="21"/>
        <v>0</v>
      </c>
      <c r="AY27" s="10">
        <f t="shared" si="73"/>
        <v>54000</v>
      </c>
      <c r="AZ27" s="10">
        <f t="shared" si="22"/>
        <v>80.597014925373131</v>
      </c>
      <c r="BA27" s="10">
        <f t="shared" si="97"/>
        <v>558000</v>
      </c>
      <c r="BB27" s="10">
        <f t="shared" si="23"/>
        <v>54.568102388254559</v>
      </c>
      <c r="BC27" s="99"/>
      <c r="BD27" s="10">
        <f t="shared" si="24"/>
        <v>0</v>
      </c>
      <c r="BE27" s="10">
        <f t="shared" si="74"/>
        <v>118634</v>
      </c>
      <c r="BF27" s="10">
        <f t="shared" si="25"/>
        <v>11.601491503097119</v>
      </c>
      <c r="BG27" s="99"/>
      <c r="BH27" s="10" t="e">
        <f t="shared" si="26"/>
        <v>#DIV/0!</v>
      </c>
      <c r="BI27" s="10">
        <f t="shared" si="75"/>
        <v>0</v>
      </c>
      <c r="BJ27" s="10" t="e">
        <f t="shared" si="27"/>
        <v>#DIV/0!</v>
      </c>
      <c r="BK27" s="99"/>
      <c r="BL27" s="10">
        <f t="shared" si="28"/>
        <v>0</v>
      </c>
      <c r="BM27" s="10">
        <f t="shared" si="76"/>
        <v>36785</v>
      </c>
      <c r="BN27" s="10">
        <f t="shared" si="29"/>
        <v>3.5972896888027668</v>
      </c>
      <c r="BO27" s="99"/>
      <c r="BP27" s="10">
        <f t="shared" si="30"/>
        <v>0</v>
      </c>
      <c r="BQ27" s="10">
        <f t="shared" si="77"/>
        <v>0</v>
      </c>
      <c r="BR27" s="10">
        <f t="shared" si="31"/>
        <v>0</v>
      </c>
      <c r="BS27" s="99"/>
      <c r="BT27" s="10">
        <f t="shared" si="32"/>
        <v>0</v>
      </c>
      <c r="BU27" s="10">
        <f t="shared" si="78"/>
        <v>0</v>
      </c>
      <c r="BV27" s="10">
        <f t="shared" si="33"/>
        <v>0</v>
      </c>
      <c r="BW27" s="99"/>
      <c r="BX27" s="10">
        <f t="shared" si="34"/>
        <v>0</v>
      </c>
      <c r="BY27" s="10">
        <f t="shared" si="79"/>
        <v>0</v>
      </c>
      <c r="BZ27" s="10">
        <f t="shared" si="35"/>
        <v>0</v>
      </c>
      <c r="CA27" s="99"/>
      <c r="CB27" s="10">
        <f t="shared" si="36"/>
        <v>0</v>
      </c>
      <c r="CC27" s="10">
        <f t="shared" si="80"/>
        <v>84200</v>
      </c>
      <c r="CD27" s="10">
        <f t="shared" si="37"/>
        <v>8.2341115073316029</v>
      </c>
      <c r="CE27" s="99"/>
      <c r="CF27" s="10">
        <f t="shared" si="38"/>
        <v>0</v>
      </c>
      <c r="CG27" s="10">
        <f t="shared" si="81"/>
        <v>0</v>
      </c>
      <c r="CH27" s="10">
        <f t="shared" si="39"/>
        <v>0</v>
      </c>
      <c r="CI27" s="99"/>
      <c r="CJ27" s="10">
        <f t="shared" si="40"/>
        <v>0</v>
      </c>
      <c r="CK27" s="10">
        <f t="shared" si="82"/>
        <v>10630</v>
      </c>
      <c r="CL27" s="10">
        <f t="shared" si="41"/>
        <v>1.039532129726068</v>
      </c>
      <c r="CM27" s="99"/>
      <c r="CN27" s="10">
        <f t="shared" si="42"/>
        <v>0</v>
      </c>
      <c r="CO27" s="10">
        <f t="shared" si="83"/>
        <v>0</v>
      </c>
      <c r="CP27" s="10">
        <f t="shared" si="43"/>
        <v>0</v>
      </c>
      <c r="CQ27" s="99"/>
      <c r="CR27" s="10">
        <f t="shared" si="44"/>
        <v>0</v>
      </c>
      <c r="CS27" s="10">
        <f t="shared" si="84"/>
        <v>14895</v>
      </c>
      <c r="CT27" s="10">
        <f t="shared" si="45"/>
        <v>1.456616281492924</v>
      </c>
      <c r="CU27" s="99"/>
      <c r="CV27" s="10">
        <f t="shared" si="46"/>
        <v>0</v>
      </c>
      <c r="CW27" s="10">
        <f t="shared" si="85"/>
        <v>0</v>
      </c>
      <c r="CX27" s="10">
        <f t="shared" si="47"/>
        <v>0</v>
      </c>
      <c r="CY27" s="99"/>
      <c r="CZ27" s="10">
        <f t="shared" si="48"/>
        <v>0</v>
      </c>
      <c r="DA27" s="10">
        <f t="shared" si="86"/>
        <v>0</v>
      </c>
      <c r="DB27" s="10">
        <f t="shared" si="49"/>
        <v>0</v>
      </c>
      <c r="DC27" s="99"/>
      <c r="DD27" s="10">
        <f t="shared" si="50"/>
        <v>0</v>
      </c>
      <c r="DE27" s="10">
        <f t="shared" si="87"/>
        <v>0</v>
      </c>
      <c r="DF27" s="10">
        <f t="shared" si="51"/>
        <v>0</v>
      </c>
      <c r="DG27" s="99">
        <f t="shared" si="52"/>
        <v>0</v>
      </c>
      <c r="DH27" s="10">
        <f t="shared" si="53"/>
        <v>0</v>
      </c>
      <c r="DI27" s="10">
        <f t="shared" si="88"/>
        <v>265144</v>
      </c>
      <c r="DJ27" s="10">
        <f t="shared" si="54"/>
        <v>25.929041110450481</v>
      </c>
      <c r="DK27" s="99"/>
      <c r="DL27" s="16">
        <f t="shared" si="55"/>
        <v>0</v>
      </c>
      <c r="DM27" s="10">
        <f t="shared" si="89"/>
        <v>0</v>
      </c>
      <c r="DN27" s="10">
        <f t="shared" si="56"/>
        <v>0</v>
      </c>
      <c r="DO27" s="10">
        <v>0</v>
      </c>
      <c r="DP27" s="10">
        <f t="shared" si="57"/>
        <v>0</v>
      </c>
      <c r="DQ27" s="10">
        <f t="shared" si="90"/>
        <v>5400</v>
      </c>
      <c r="DR27" s="10">
        <f t="shared" si="58"/>
        <v>0.52807841020891511</v>
      </c>
      <c r="DS27" s="10">
        <f t="shared" si="99"/>
        <v>67000</v>
      </c>
      <c r="DT27" s="10">
        <f t="shared" si="91"/>
        <v>1022575.416</v>
      </c>
      <c r="DU27" s="10">
        <f t="shared" si="60"/>
        <v>1.0703901332396075</v>
      </c>
      <c r="DV27" s="10">
        <f t="shared" si="61"/>
        <v>1.1153453836287008</v>
      </c>
      <c r="DW27" s="505" t="e">
        <f t="shared" si="62"/>
        <v>#DIV/0!</v>
      </c>
      <c r="DX27" s="506">
        <f t="shared" si="98"/>
        <v>0.93054717436562762</v>
      </c>
      <c r="DY27" s="6" t="str">
        <f>+Efficiency1!D87</f>
        <v>VP OW</v>
      </c>
    </row>
    <row r="28" spans="1:129">
      <c r="A28" s="17">
        <f>+Chem!A27</f>
        <v>45735</v>
      </c>
      <c r="B28" s="5" t="str">
        <f>+Chem!B27</f>
        <v>Towel</v>
      </c>
      <c r="C28" s="5" t="str">
        <f>+Chem!C27</f>
        <v>23/17</v>
      </c>
      <c r="D28" s="8">
        <f>+Chem!D27</f>
        <v>65.876000000000005</v>
      </c>
      <c r="E28" s="6">
        <f>+Chem!E27</f>
        <v>61.991999999999997</v>
      </c>
      <c r="F28" s="6">
        <f t="shared" si="92"/>
        <v>978.81600000000003</v>
      </c>
      <c r="G28" s="99"/>
      <c r="H28" s="10">
        <f t="shared" si="0"/>
        <v>0</v>
      </c>
      <c r="I28" s="8">
        <f t="shared" si="64"/>
        <v>15680.119999999999</v>
      </c>
      <c r="J28" s="10">
        <f t="shared" si="1"/>
        <v>1.4351521890732346</v>
      </c>
      <c r="K28" s="99">
        <f>80*K7</f>
        <v>20000</v>
      </c>
      <c r="L28" s="10">
        <f t="shared" si="2"/>
        <v>28.571428571428569</v>
      </c>
      <c r="M28" s="10">
        <f t="shared" si="65"/>
        <v>186500</v>
      </c>
      <c r="N28" s="10">
        <f t="shared" si="3"/>
        <v>17.069759878250821</v>
      </c>
      <c r="O28" s="99"/>
      <c r="P28" s="10">
        <f t="shared" si="4"/>
        <v>0</v>
      </c>
      <c r="Q28" s="10">
        <f t="shared" si="66"/>
        <v>0</v>
      </c>
      <c r="R28" s="10">
        <f t="shared" si="5"/>
        <v>0</v>
      </c>
      <c r="S28" s="99"/>
      <c r="T28" s="10">
        <f t="shared" si="6"/>
        <v>0</v>
      </c>
      <c r="U28" s="10">
        <f t="shared" si="67"/>
        <v>0</v>
      </c>
      <c r="V28" s="10">
        <f t="shared" si="7"/>
        <v>0</v>
      </c>
      <c r="W28" s="99"/>
      <c r="X28" s="10">
        <f t="shared" si="8"/>
        <v>0</v>
      </c>
      <c r="Y28" s="10">
        <f t="shared" si="68"/>
        <v>0</v>
      </c>
      <c r="Z28" s="10">
        <f t="shared" si="9"/>
        <v>0</v>
      </c>
      <c r="AA28" s="10">
        <f t="shared" si="69"/>
        <v>20000</v>
      </c>
      <c r="AB28" s="10">
        <f t="shared" si="10"/>
        <v>28.571428571428569</v>
      </c>
      <c r="AC28" s="10">
        <f t="shared" si="70"/>
        <v>202180.12</v>
      </c>
      <c r="AD28" s="10">
        <f t="shared" si="11"/>
        <v>18.504912067324057</v>
      </c>
      <c r="AE28" s="10"/>
      <c r="AF28" s="10">
        <f t="shared" si="12"/>
        <v>0</v>
      </c>
      <c r="AG28" s="10">
        <f t="shared" si="93"/>
        <v>6034.5360000000001</v>
      </c>
      <c r="AH28" s="10">
        <f t="shared" si="13"/>
        <v>0.55232214743517527</v>
      </c>
      <c r="AI28" s="10"/>
      <c r="AJ28" s="10">
        <f t="shared" si="14"/>
        <v>0</v>
      </c>
      <c r="AK28" s="10">
        <f t="shared" si="94"/>
        <v>7755.68</v>
      </c>
      <c r="AL28" s="10">
        <f t="shared" si="15"/>
        <v>0.7098530578689134</v>
      </c>
      <c r="AM28" s="10">
        <f t="shared" si="71"/>
        <v>0</v>
      </c>
      <c r="AN28" s="10">
        <f t="shared" si="16"/>
        <v>0</v>
      </c>
      <c r="AO28" s="10">
        <f t="shared" si="72"/>
        <v>13790.216</v>
      </c>
      <c r="AP28" s="10">
        <f t="shared" si="17"/>
        <v>1.2621752053040887</v>
      </c>
      <c r="AQ28" s="10">
        <f>200*AQ7</f>
        <v>50000</v>
      </c>
      <c r="AR28" s="10">
        <f t="shared" si="18"/>
        <v>71.428571428571431</v>
      </c>
      <c r="AS28" s="10">
        <f t="shared" si="95"/>
        <v>608000</v>
      </c>
      <c r="AT28" s="10">
        <f t="shared" si="19"/>
        <v>55.648332471723862</v>
      </c>
      <c r="AU28" s="10"/>
      <c r="AV28" s="10">
        <f t="shared" si="20"/>
        <v>0</v>
      </c>
      <c r="AW28" s="10">
        <f t="shared" si="96"/>
        <v>0</v>
      </c>
      <c r="AX28" s="10">
        <f t="shared" si="21"/>
        <v>0</v>
      </c>
      <c r="AY28" s="10">
        <f t="shared" si="73"/>
        <v>50000</v>
      </c>
      <c r="AZ28" s="10">
        <f t="shared" si="22"/>
        <v>71.428571428571431</v>
      </c>
      <c r="BA28" s="10">
        <f t="shared" si="97"/>
        <v>608000</v>
      </c>
      <c r="BB28" s="10">
        <f t="shared" si="23"/>
        <v>55.648332471723862</v>
      </c>
      <c r="BC28" s="99"/>
      <c r="BD28" s="10">
        <f t="shared" si="24"/>
        <v>0</v>
      </c>
      <c r="BE28" s="10">
        <f t="shared" si="74"/>
        <v>118634</v>
      </c>
      <c r="BF28" s="10">
        <f t="shared" si="25"/>
        <v>10.858197819819882</v>
      </c>
      <c r="BG28" s="99"/>
      <c r="BH28" s="10" t="e">
        <f t="shared" si="26"/>
        <v>#DIV/0!</v>
      </c>
      <c r="BI28" s="10">
        <f t="shared" si="75"/>
        <v>0</v>
      </c>
      <c r="BJ28" s="10" t="e">
        <f t="shared" si="27"/>
        <v>#DIV/0!</v>
      </c>
      <c r="BK28" s="99"/>
      <c r="BL28" s="10">
        <f t="shared" si="28"/>
        <v>0</v>
      </c>
      <c r="BM28" s="10">
        <f t="shared" si="76"/>
        <v>36785</v>
      </c>
      <c r="BN28" s="10">
        <f t="shared" si="29"/>
        <v>3.3668156414019115</v>
      </c>
      <c r="BO28" s="99"/>
      <c r="BP28" s="10">
        <f t="shared" si="30"/>
        <v>0</v>
      </c>
      <c r="BQ28" s="10">
        <f t="shared" si="77"/>
        <v>0</v>
      </c>
      <c r="BR28" s="10">
        <f t="shared" si="31"/>
        <v>0</v>
      </c>
      <c r="BS28" s="99"/>
      <c r="BT28" s="10">
        <f t="shared" si="32"/>
        <v>0</v>
      </c>
      <c r="BU28" s="10">
        <f t="shared" si="78"/>
        <v>0</v>
      </c>
      <c r="BV28" s="10">
        <f t="shared" si="33"/>
        <v>0</v>
      </c>
      <c r="BW28" s="99"/>
      <c r="BX28" s="10">
        <f t="shared" si="34"/>
        <v>0</v>
      </c>
      <c r="BY28" s="10">
        <f t="shared" si="79"/>
        <v>0</v>
      </c>
      <c r="BZ28" s="10">
        <f t="shared" si="35"/>
        <v>0</v>
      </c>
      <c r="CA28" s="99"/>
      <c r="CB28" s="10">
        <f t="shared" si="36"/>
        <v>0</v>
      </c>
      <c r="CC28" s="10">
        <f t="shared" si="80"/>
        <v>84200</v>
      </c>
      <c r="CD28" s="10">
        <f t="shared" si="37"/>
        <v>7.7065618324328105</v>
      </c>
      <c r="CE28" s="99"/>
      <c r="CF28" s="10">
        <f t="shared" si="38"/>
        <v>0</v>
      </c>
      <c r="CG28" s="10">
        <f t="shared" si="81"/>
        <v>0</v>
      </c>
      <c r="CH28" s="10">
        <f t="shared" si="39"/>
        <v>0</v>
      </c>
      <c r="CI28" s="99"/>
      <c r="CJ28" s="10">
        <f t="shared" si="40"/>
        <v>0</v>
      </c>
      <c r="CK28" s="10">
        <f t="shared" si="82"/>
        <v>10630</v>
      </c>
      <c r="CL28" s="10">
        <f t="shared" si="41"/>
        <v>0.97293054962898773</v>
      </c>
      <c r="CM28" s="99"/>
      <c r="CN28" s="10">
        <f t="shared" si="42"/>
        <v>0</v>
      </c>
      <c r="CO28" s="10">
        <f t="shared" si="83"/>
        <v>0</v>
      </c>
      <c r="CP28" s="10">
        <f t="shared" si="43"/>
        <v>0</v>
      </c>
      <c r="CQ28" s="99"/>
      <c r="CR28" s="10">
        <f t="shared" si="44"/>
        <v>0</v>
      </c>
      <c r="CS28" s="10">
        <f t="shared" si="84"/>
        <v>14895</v>
      </c>
      <c r="CT28" s="10">
        <f t="shared" si="45"/>
        <v>1.3632926186946166</v>
      </c>
      <c r="CU28" s="99"/>
      <c r="CV28" s="10">
        <f t="shared" si="46"/>
        <v>0</v>
      </c>
      <c r="CW28" s="10">
        <f t="shared" si="85"/>
        <v>0</v>
      </c>
      <c r="CX28" s="10">
        <f t="shared" si="47"/>
        <v>0</v>
      </c>
      <c r="CY28" s="99"/>
      <c r="CZ28" s="10">
        <f t="shared" si="48"/>
        <v>0</v>
      </c>
      <c r="DA28" s="10">
        <f t="shared" si="86"/>
        <v>0</v>
      </c>
      <c r="DB28" s="10">
        <f t="shared" si="49"/>
        <v>0</v>
      </c>
      <c r="DC28" s="99"/>
      <c r="DD28" s="10">
        <f t="shared" si="50"/>
        <v>0</v>
      </c>
      <c r="DE28" s="10">
        <f t="shared" si="87"/>
        <v>0</v>
      </c>
      <c r="DF28" s="10">
        <f t="shared" si="51"/>
        <v>0</v>
      </c>
      <c r="DG28" s="99">
        <f t="shared" si="52"/>
        <v>0</v>
      </c>
      <c r="DH28" s="10">
        <f t="shared" si="53"/>
        <v>0</v>
      </c>
      <c r="DI28" s="10">
        <f t="shared" si="88"/>
        <v>265144</v>
      </c>
      <c r="DJ28" s="10">
        <f t="shared" si="54"/>
        <v>24.267798461978206</v>
      </c>
      <c r="DK28" s="99"/>
      <c r="DL28" s="16">
        <f t="shared" si="55"/>
        <v>0</v>
      </c>
      <c r="DM28" s="10">
        <f t="shared" si="89"/>
        <v>0</v>
      </c>
      <c r="DN28" s="10">
        <f t="shared" si="56"/>
        <v>0</v>
      </c>
      <c r="DO28" s="10">
        <v>0</v>
      </c>
      <c r="DP28" s="10">
        <f t="shared" si="57"/>
        <v>0</v>
      </c>
      <c r="DQ28" s="10">
        <f t="shared" si="90"/>
        <v>5400</v>
      </c>
      <c r="DR28" s="10">
        <f t="shared" si="58"/>
        <v>0.49424505813702108</v>
      </c>
      <c r="DS28" s="10">
        <f t="shared" si="99"/>
        <v>70000</v>
      </c>
      <c r="DT28" s="10">
        <f t="shared" si="91"/>
        <v>1092575.416</v>
      </c>
      <c r="DU28" s="10">
        <f t="shared" si="60"/>
        <v>1.1291779584462511</v>
      </c>
      <c r="DV28" s="10">
        <f t="shared" si="61"/>
        <v>1.1162214512227016</v>
      </c>
      <c r="DW28" s="505" t="e">
        <f t="shared" si="62"/>
        <v>#DIV/0!</v>
      </c>
      <c r="DX28" s="506">
        <f t="shared" si="98"/>
        <v>0.93054717436562762</v>
      </c>
      <c r="DY28" s="6" t="str">
        <f>+Efficiency1!D88</f>
        <v>VP OW</v>
      </c>
    </row>
    <row r="29" spans="1:129">
      <c r="A29" s="17">
        <f>+Chem!A28</f>
        <v>45736</v>
      </c>
      <c r="B29" s="5" t="str">
        <f>+Chem!B28</f>
        <v>Towel</v>
      </c>
      <c r="C29" s="5" t="str">
        <f>+Chem!C28</f>
        <v>17</v>
      </c>
      <c r="D29" s="8">
        <f>+Chem!D28</f>
        <v>50.709000000000003</v>
      </c>
      <c r="E29" s="6">
        <f>+Chem!E28</f>
        <v>50.192999999999998</v>
      </c>
      <c r="F29" s="6">
        <f t="shared" si="92"/>
        <v>1029.009</v>
      </c>
      <c r="G29" s="99"/>
      <c r="H29" s="10">
        <f t="shared" si="0"/>
        <v>0</v>
      </c>
      <c r="I29" s="8">
        <f t="shared" si="64"/>
        <v>15680.119999999999</v>
      </c>
      <c r="J29" s="10">
        <f t="shared" si="1"/>
        <v>1.3675611548259465</v>
      </c>
      <c r="K29" s="99">
        <f>64*K7</f>
        <v>16000</v>
      </c>
      <c r="L29" s="10">
        <f t="shared" si="2"/>
        <v>29.629629629629626</v>
      </c>
      <c r="M29" s="10">
        <f t="shared" si="65"/>
        <v>202500</v>
      </c>
      <c r="N29" s="10">
        <f t="shared" si="3"/>
        <v>17.661289189894859</v>
      </c>
      <c r="O29" s="99"/>
      <c r="P29" s="10">
        <f t="shared" si="4"/>
        <v>0</v>
      </c>
      <c r="Q29" s="10">
        <f t="shared" si="66"/>
        <v>0</v>
      </c>
      <c r="R29" s="10">
        <f t="shared" si="5"/>
        <v>0</v>
      </c>
      <c r="S29" s="99"/>
      <c r="T29" s="10">
        <f t="shared" si="6"/>
        <v>0</v>
      </c>
      <c r="U29" s="10">
        <f t="shared" si="67"/>
        <v>0</v>
      </c>
      <c r="V29" s="10">
        <f t="shared" si="7"/>
        <v>0</v>
      </c>
      <c r="W29" s="99"/>
      <c r="X29" s="10">
        <f t="shared" si="8"/>
        <v>0</v>
      </c>
      <c r="Y29" s="10">
        <f t="shared" si="68"/>
        <v>0</v>
      </c>
      <c r="Z29" s="10">
        <f t="shared" si="9"/>
        <v>0</v>
      </c>
      <c r="AA29" s="10">
        <f t="shared" si="69"/>
        <v>16000</v>
      </c>
      <c r="AB29" s="10">
        <f t="shared" si="10"/>
        <v>29.629629629629626</v>
      </c>
      <c r="AC29" s="10">
        <f t="shared" si="70"/>
        <v>218180.12</v>
      </c>
      <c r="AD29" s="10">
        <f t="shared" si="11"/>
        <v>19.028850344720805</v>
      </c>
      <c r="AE29" s="10"/>
      <c r="AF29" s="10">
        <f t="shared" si="12"/>
        <v>0</v>
      </c>
      <c r="AG29" s="10">
        <f t="shared" si="93"/>
        <v>6034.5360000000001</v>
      </c>
      <c r="AH29" s="10">
        <f t="shared" si="13"/>
        <v>0.52630955764361165</v>
      </c>
      <c r="AI29" s="10"/>
      <c r="AJ29" s="10">
        <f t="shared" si="14"/>
        <v>0</v>
      </c>
      <c r="AK29" s="10">
        <f t="shared" si="94"/>
        <v>7755.68</v>
      </c>
      <c r="AL29" s="10">
        <f t="shared" si="15"/>
        <v>0.67642127083596915</v>
      </c>
      <c r="AM29" s="10">
        <f t="shared" si="71"/>
        <v>0</v>
      </c>
      <c r="AN29" s="10">
        <f t="shared" si="16"/>
        <v>0</v>
      </c>
      <c r="AO29" s="10">
        <f t="shared" si="72"/>
        <v>13790.216</v>
      </c>
      <c r="AP29" s="10">
        <f t="shared" si="17"/>
        <v>1.2027308284795808</v>
      </c>
      <c r="AQ29" s="10">
        <f>152*AQ7</f>
        <v>38000</v>
      </c>
      <c r="AR29" s="10">
        <f t="shared" si="18"/>
        <v>70.370370370370367</v>
      </c>
      <c r="AS29" s="10">
        <f t="shared" si="95"/>
        <v>646000</v>
      </c>
      <c r="AT29" s="10">
        <f t="shared" si="19"/>
        <v>56.341692921837428</v>
      </c>
      <c r="AU29" s="10"/>
      <c r="AV29" s="10">
        <f t="shared" si="20"/>
        <v>0</v>
      </c>
      <c r="AW29" s="10">
        <f t="shared" si="96"/>
        <v>0</v>
      </c>
      <c r="AX29" s="10">
        <f t="shared" si="21"/>
        <v>0</v>
      </c>
      <c r="AY29" s="10">
        <f t="shared" si="73"/>
        <v>38000</v>
      </c>
      <c r="AZ29" s="10">
        <f t="shared" si="22"/>
        <v>70.370370370370367</v>
      </c>
      <c r="BA29" s="10">
        <f t="shared" si="97"/>
        <v>646000</v>
      </c>
      <c r="BB29" s="10">
        <f t="shared" si="23"/>
        <v>56.341692921837428</v>
      </c>
      <c r="BC29" s="99"/>
      <c r="BD29" s="10">
        <f t="shared" si="24"/>
        <v>0</v>
      </c>
      <c r="BE29" s="10">
        <f t="shared" si="74"/>
        <v>118634</v>
      </c>
      <c r="BF29" s="10">
        <f t="shared" si="25"/>
        <v>10.346811761748082</v>
      </c>
      <c r="BG29" s="99"/>
      <c r="BH29" s="10" t="e">
        <f t="shared" si="26"/>
        <v>#DIV/0!</v>
      </c>
      <c r="BI29" s="10">
        <f t="shared" si="75"/>
        <v>0</v>
      </c>
      <c r="BJ29" s="10" t="e">
        <f t="shared" si="27"/>
        <v>#DIV/0!</v>
      </c>
      <c r="BK29" s="99"/>
      <c r="BL29" s="10">
        <f t="shared" si="28"/>
        <v>0</v>
      </c>
      <c r="BM29" s="10">
        <f t="shared" si="76"/>
        <v>36785</v>
      </c>
      <c r="BN29" s="10">
        <f t="shared" si="29"/>
        <v>3.20824949555695</v>
      </c>
      <c r="BO29" s="99"/>
      <c r="BP29" s="10">
        <f t="shared" si="30"/>
        <v>0</v>
      </c>
      <c r="BQ29" s="10">
        <f t="shared" si="77"/>
        <v>0</v>
      </c>
      <c r="BR29" s="10">
        <f t="shared" si="31"/>
        <v>0</v>
      </c>
      <c r="BS29" s="99"/>
      <c r="BT29" s="10">
        <f t="shared" si="32"/>
        <v>0</v>
      </c>
      <c r="BU29" s="10">
        <f t="shared" si="78"/>
        <v>0</v>
      </c>
      <c r="BV29" s="10">
        <f t="shared" si="33"/>
        <v>0</v>
      </c>
      <c r="BW29" s="99"/>
      <c r="BX29" s="10">
        <f t="shared" si="34"/>
        <v>0</v>
      </c>
      <c r="BY29" s="10">
        <f t="shared" si="79"/>
        <v>0</v>
      </c>
      <c r="BZ29" s="10">
        <f t="shared" si="35"/>
        <v>0</v>
      </c>
      <c r="CA29" s="99"/>
      <c r="CB29" s="10">
        <f t="shared" si="36"/>
        <v>0</v>
      </c>
      <c r="CC29" s="10">
        <f t="shared" si="80"/>
        <v>84200</v>
      </c>
      <c r="CD29" s="10">
        <f t="shared" si="37"/>
        <v>7.3436076532797392</v>
      </c>
      <c r="CE29" s="99"/>
      <c r="CF29" s="10">
        <f t="shared" si="38"/>
        <v>0</v>
      </c>
      <c r="CG29" s="10">
        <f t="shared" si="81"/>
        <v>0</v>
      </c>
      <c r="CH29" s="10">
        <f t="shared" si="39"/>
        <v>0</v>
      </c>
      <c r="CI29" s="99"/>
      <c r="CJ29" s="10">
        <f t="shared" si="40"/>
        <v>0</v>
      </c>
      <c r="CK29" s="10">
        <f t="shared" si="82"/>
        <v>10630</v>
      </c>
      <c r="CL29" s="10">
        <f t="shared" si="41"/>
        <v>0.92710866216583876</v>
      </c>
      <c r="CM29" s="99"/>
      <c r="CN29" s="10">
        <f t="shared" si="42"/>
        <v>0</v>
      </c>
      <c r="CO29" s="10">
        <f t="shared" si="83"/>
        <v>0</v>
      </c>
      <c r="CP29" s="10">
        <f t="shared" si="43"/>
        <v>0</v>
      </c>
      <c r="CQ29" s="99"/>
      <c r="CR29" s="10">
        <f t="shared" si="44"/>
        <v>0</v>
      </c>
      <c r="CS29" s="10">
        <f t="shared" si="84"/>
        <v>14895</v>
      </c>
      <c r="CT29" s="10">
        <f t="shared" si="45"/>
        <v>1.2990859381900441</v>
      </c>
      <c r="CU29" s="99"/>
      <c r="CV29" s="10">
        <f t="shared" si="46"/>
        <v>0</v>
      </c>
      <c r="CW29" s="10">
        <f t="shared" si="85"/>
        <v>0</v>
      </c>
      <c r="CX29" s="10">
        <f t="shared" si="47"/>
        <v>0</v>
      </c>
      <c r="CY29" s="99"/>
      <c r="CZ29" s="10">
        <f t="shared" si="48"/>
        <v>0</v>
      </c>
      <c r="DA29" s="10">
        <f t="shared" si="86"/>
        <v>0</v>
      </c>
      <c r="DB29" s="10">
        <f t="shared" si="49"/>
        <v>0</v>
      </c>
      <c r="DC29" s="99"/>
      <c r="DD29" s="10">
        <f t="shared" si="50"/>
        <v>0</v>
      </c>
      <c r="DE29" s="10">
        <f t="shared" si="87"/>
        <v>0</v>
      </c>
      <c r="DF29" s="10">
        <f t="shared" si="51"/>
        <v>0</v>
      </c>
      <c r="DG29" s="99">
        <f t="shared" si="52"/>
        <v>0</v>
      </c>
      <c r="DH29" s="10">
        <f t="shared" si="53"/>
        <v>0</v>
      </c>
      <c r="DI29" s="10">
        <f t="shared" si="88"/>
        <v>265144</v>
      </c>
      <c r="DJ29" s="10">
        <f t="shared" si="54"/>
        <v>23.124863510940656</v>
      </c>
      <c r="DK29" s="99"/>
      <c r="DL29" s="16">
        <f t="shared" si="55"/>
        <v>0</v>
      </c>
      <c r="DM29" s="10">
        <f t="shared" si="89"/>
        <v>0</v>
      </c>
      <c r="DN29" s="10">
        <f t="shared" si="56"/>
        <v>0</v>
      </c>
      <c r="DO29" s="10">
        <v>0</v>
      </c>
      <c r="DP29" s="10">
        <f t="shared" si="57"/>
        <v>0</v>
      </c>
      <c r="DQ29" s="10">
        <f t="shared" si="90"/>
        <v>5400</v>
      </c>
      <c r="DR29" s="10">
        <f t="shared" si="58"/>
        <v>0.47096771173052954</v>
      </c>
      <c r="DS29" s="10">
        <f t="shared" si="99"/>
        <v>54000</v>
      </c>
      <c r="DT29" s="10">
        <f t="shared" si="91"/>
        <v>1146575.416</v>
      </c>
      <c r="DU29" s="10">
        <f t="shared" si="60"/>
        <v>1.0758472296933836</v>
      </c>
      <c r="DV29" s="10">
        <f t="shared" si="61"/>
        <v>1.114252077484259</v>
      </c>
      <c r="DW29" s="505" t="e">
        <f t="shared" si="62"/>
        <v>#DIV/0!</v>
      </c>
      <c r="DX29" s="506">
        <f t="shared" si="98"/>
        <v>0.93054717436562762</v>
      </c>
      <c r="DY29" s="6" t="str">
        <f>+Efficiency1!D97</f>
        <v>VP OW</v>
      </c>
    </row>
    <row r="30" spans="1:129">
      <c r="A30" s="17">
        <f>+Chem!A29</f>
        <v>45737</v>
      </c>
      <c r="B30" s="5" t="str">
        <f>+Chem!B29</f>
        <v>Towel</v>
      </c>
      <c r="C30" s="5" t="str">
        <f>+Chem!C29</f>
        <v>17</v>
      </c>
      <c r="D30" s="8">
        <f>+Chem!D29</f>
        <v>50.822000000000003</v>
      </c>
      <c r="E30" s="6">
        <f>+Chem!E29</f>
        <v>49.95</v>
      </c>
      <c r="F30" s="6">
        <f t="shared" si="92"/>
        <v>1078.9590000000001</v>
      </c>
      <c r="G30" s="99"/>
      <c r="H30" s="10">
        <f t="shared" si="0"/>
        <v>0</v>
      </c>
      <c r="I30" s="8">
        <f t="shared" si="64"/>
        <v>15680.119999999999</v>
      </c>
      <c r="J30" s="10">
        <f t="shared" si="1"/>
        <v>1.3071391586437779</v>
      </c>
      <c r="K30" s="99">
        <f>64*K7</f>
        <v>16000</v>
      </c>
      <c r="L30" s="10">
        <f t="shared" si="2"/>
        <v>30.188679245283019</v>
      </c>
      <c r="M30" s="10">
        <f t="shared" si="65"/>
        <v>218500</v>
      </c>
      <c r="N30" s="10">
        <f t="shared" si="3"/>
        <v>18.214778086115764</v>
      </c>
      <c r="O30" s="99"/>
      <c r="P30" s="10">
        <f t="shared" si="4"/>
        <v>0</v>
      </c>
      <c r="Q30" s="10">
        <f t="shared" si="66"/>
        <v>0</v>
      </c>
      <c r="R30" s="10">
        <f t="shared" si="5"/>
        <v>0</v>
      </c>
      <c r="S30" s="99"/>
      <c r="T30" s="10">
        <f t="shared" si="6"/>
        <v>0</v>
      </c>
      <c r="U30" s="10">
        <f t="shared" si="67"/>
        <v>0</v>
      </c>
      <c r="V30" s="10">
        <f t="shared" si="7"/>
        <v>0</v>
      </c>
      <c r="W30" s="99"/>
      <c r="X30" s="10">
        <f t="shared" si="8"/>
        <v>0</v>
      </c>
      <c r="Y30" s="10">
        <f t="shared" si="68"/>
        <v>0</v>
      </c>
      <c r="Z30" s="10">
        <f t="shared" si="9"/>
        <v>0</v>
      </c>
      <c r="AA30" s="10">
        <f t="shared" si="69"/>
        <v>16000</v>
      </c>
      <c r="AB30" s="10">
        <f t="shared" si="10"/>
        <v>30.188679245283019</v>
      </c>
      <c r="AC30" s="10">
        <f t="shared" si="70"/>
        <v>234180.12</v>
      </c>
      <c r="AD30" s="10">
        <f t="shared" si="11"/>
        <v>19.521917244759539</v>
      </c>
      <c r="AE30" s="10"/>
      <c r="AF30" s="10">
        <f t="shared" si="12"/>
        <v>0</v>
      </c>
      <c r="AG30" s="10">
        <f t="shared" si="93"/>
        <v>6034.5360000000001</v>
      </c>
      <c r="AH30" s="10">
        <f t="shared" si="13"/>
        <v>0.50305599127083145</v>
      </c>
      <c r="AI30" s="10"/>
      <c r="AJ30" s="10">
        <f t="shared" si="14"/>
        <v>0</v>
      </c>
      <c r="AK30" s="10">
        <f t="shared" si="94"/>
        <v>7755.68</v>
      </c>
      <c r="AL30" s="10">
        <f t="shared" si="15"/>
        <v>0.64653542383032636</v>
      </c>
      <c r="AM30" s="10">
        <f t="shared" si="71"/>
        <v>0</v>
      </c>
      <c r="AN30" s="10">
        <f t="shared" si="16"/>
        <v>0</v>
      </c>
      <c r="AO30" s="10">
        <f t="shared" si="72"/>
        <v>13790.216</v>
      </c>
      <c r="AP30" s="10">
        <f t="shared" si="17"/>
        <v>1.1495914151011577</v>
      </c>
      <c r="AQ30" s="10">
        <f>148*AQ7</f>
        <v>37000</v>
      </c>
      <c r="AR30" s="10">
        <f t="shared" si="18"/>
        <v>69.811320754716974</v>
      </c>
      <c r="AS30" s="10">
        <f t="shared" si="95"/>
        <v>683000</v>
      </c>
      <c r="AT30" s="10">
        <f t="shared" si="19"/>
        <v>56.936812049506024</v>
      </c>
      <c r="AU30" s="10"/>
      <c r="AV30" s="10">
        <f t="shared" si="20"/>
        <v>0</v>
      </c>
      <c r="AW30" s="10">
        <f t="shared" si="96"/>
        <v>0</v>
      </c>
      <c r="AX30" s="10">
        <f t="shared" si="21"/>
        <v>0</v>
      </c>
      <c r="AY30" s="10">
        <f t="shared" si="73"/>
        <v>37000</v>
      </c>
      <c r="AZ30" s="10">
        <f t="shared" si="22"/>
        <v>69.811320754716974</v>
      </c>
      <c r="BA30" s="10">
        <f t="shared" si="97"/>
        <v>683000</v>
      </c>
      <c r="BB30" s="10">
        <f t="shared" si="23"/>
        <v>56.936812049506024</v>
      </c>
      <c r="BC30" s="99"/>
      <c r="BD30" s="10">
        <f t="shared" si="24"/>
        <v>0</v>
      </c>
      <c r="BE30" s="10">
        <f t="shared" si="74"/>
        <v>118634</v>
      </c>
      <c r="BF30" s="10">
        <f t="shared" si="25"/>
        <v>9.8896658282300116</v>
      </c>
      <c r="BG30" s="99"/>
      <c r="BH30" s="10" t="e">
        <f t="shared" si="26"/>
        <v>#DIV/0!</v>
      </c>
      <c r="BI30" s="10">
        <f t="shared" si="75"/>
        <v>0</v>
      </c>
      <c r="BJ30" s="10" t="e">
        <f t="shared" si="27"/>
        <v>#DIV/0!</v>
      </c>
      <c r="BK30" s="99"/>
      <c r="BL30" s="10">
        <f t="shared" si="28"/>
        <v>0</v>
      </c>
      <c r="BM30" s="10">
        <f t="shared" si="76"/>
        <v>36785</v>
      </c>
      <c r="BN30" s="10">
        <f t="shared" si="29"/>
        <v>3.0665016562826928</v>
      </c>
      <c r="BO30" s="99"/>
      <c r="BP30" s="10">
        <f t="shared" si="30"/>
        <v>0</v>
      </c>
      <c r="BQ30" s="10">
        <f t="shared" si="77"/>
        <v>0</v>
      </c>
      <c r="BR30" s="10">
        <f t="shared" si="31"/>
        <v>0</v>
      </c>
      <c r="BS30" s="99"/>
      <c r="BT30" s="10">
        <f t="shared" si="32"/>
        <v>0</v>
      </c>
      <c r="BU30" s="10">
        <f t="shared" si="78"/>
        <v>0</v>
      </c>
      <c r="BV30" s="10">
        <f t="shared" si="33"/>
        <v>0</v>
      </c>
      <c r="BW30" s="99"/>
      <c r="BX30" s="10">
        <f t="shared" si="34"/>
        <v>0</v>
      </c>
      <c r="BY30" s="10">
        <f t="shared" si="79"/>
        <v>0</v>
      </c>
      <c r="BZ30" s="10">
        <f t="shared" si="35"/>
        <v>0</v>
      </c>
      <c r="CA30" s="99"/>
      <c r="CB30" s="10">
        <f t="shared" si="36"/>
        <v>0</v>
      </c>
      <c r="CC30" s="10">
        <f t="shared" si="80"/>
        <v>84200</v>
      </c>
      <c r="CD30" s="10">
        <f t="shared" si="37"/>
        <v>7.0191501823841982</v>
      </c>
      <c r="CE30" s="99"/>
      <c r="CF30" s="10">
        <f t="shared" si="38"/>
        <v>0</v>
      </c>
      <c r="CG30" s="10">
        <f t="shared" si="81"/>
        <v>0</v>
      </c>
      <c r="CH30" s="10">
        <f t="shared" si="39"/>
        <v>0</v>
      </c>
      <c r="CI30" s="99"/>
      <c r="CJ30" s="10">
        <f t="shared" si="40"/>
        <v>0</v>
      </c>
      <c r="CK30" s="10">
        <f t="shared" si="82"/>
        <v>10630</v>
      </c>
      <c r="CL30" s="10">
        <f t="shared" si="41"/>
        <v>0.88614686981881263</v>
      </c>
      <c r="CM30" s="99"/>
      <c r="CN30" s="10">
        <f t="shared" si="42"/>
        <v>0</v>
      </c>
      <c r="CO30" s="10">
        <f t="shared" si="83"/>
        <v>0</v>
      </c>
      <c r="CP30" s="10">
        <f t="shared" si="43"/>
        <v>0</v>
      </c>
      <c r="CQ30" s="99"/>
      <c r="CR30" s="10">
        <f t="shared" si="44"/>
        <v>0</v>
      </c>
      <c r="CS30" s="10">
        <f t="shared" si="84"/>
        <v>14895</v>
      </c>
      <c r="CT30" s="10">
        <f t="shared" si="45"/>
        <v>1.2416893345203401</v>
      </c>
      <c r="CU30" s="99"/>
      <c r="CV30" s="10">
        <f t="shared" si="46"/>
        <v>0</v>
      </c>
      <c r="CW30" s="10">
        <f t="shared" si="85"/>
        <v>0</v>
      </c>
      <c r="CX30" s="10">
        <f t="shared" si="47"/>
        <v>0</v>
      </c>
      <c r="CY30" s="99"/>
      <c r="CZ30" s="10">
        <f t="shared" si="48"/>
        <v>0</v>
      </c>
      <c r="DA30" s="10">
        <f t="shared" si="86"/>
        <v>0</v>
      </c>
      <c r="DB30" s="10">
        <f t="shared" si="49"/>
        <v>0</v>
      </c>
      <c r="DC30" s="99"/>
      <c r="DD30" s="10">
        <f t="shared" si="50"/>
        <v>0</v>
      </c>
      <c r="DE30" s="10">
        <f t="shared" si="87"/>
        <v>0</v>
      </c>
      <c r="DF30" s="10">
        <f t="shared" si="51"/>
        <v>0</v>
      </c>
      <c r="DG30" s="99">
        <f t="shared" si="52"/>
        <v>0</v>
      </c>
      <c r="DH30" s="10">
        <f t="shared" si="53"/>
        <v>0</v>
      </c>
      <c r="DI30" s="10">
        <f t="shared" si="88"/>
        <v>265144</v>
      </c>
      <c r="DJ30" s="10">
        <f t="shared" si="54"/>
        <v>22.103153871236056</v>
      </c>
      <c r="DK30" s="99"/>
      <c r="DL30" s="16">
        <f t="shared" si="55"/>
        <v>0</v>
      </c>
      <c r="DM30" s="10">
        <f t="shared" si="89"/>
        <v>0</v>
      </c>
      <c r="DN30" s="10">
        <f t="shared" si="56"/>
        <v>0</v>
      </c>
      <c r="DO30" s="10">
        <v>0</v>
      </c>
      <c r="DP30" s="10">
        <f t="shared" si="57"/>
        <v>0</v>
      </c>
      <c r="DQ30" s="10">
        <f t="shared" si="90"/>
        <v>5400</v>
      </c>
      <c r="DR30" s="10">
        <f t="shared" si="58"/>
        <v>0.45015927535480604</v>
      </c>
      <c r="DS30" s="10">
        <f t="shared" si="99"/>
        <v>53000</v>
      </c>
      <c r="DT30" s="10">
        <f t="shared" si="91"/>
        <v>1199575.416</v>
      </c>
      <c r="DU30" s="10">
        <f t="shared" si="60"/>
        <v>1.0610610610610609</v>
      </c>
      <c r="DV30" s="10">
        <f t="shared" si="61"/>
        <v>1.1117896194387367</v>
      </c>
      <c r="DW30" s="505" t="e">
        <f t="shared" si="62"/>
        <v>#DIV/0!</v>
      </c>
      <c r="DX30" s="506">
        <f t="shared" si="98"/>
        <v>0.93054717436562762</v>
      </c>
      <c r="DY30" s="6" t="str">
        <f>+Efficiency1!D101</f>
        <v>VP OW</v>
      </c>
    </row>
    <row r="31" spans="1:129">
      <c r="A31" s="17">
        <f>+Chem!A30</f>
        <v>45738</v>
      </c>
      <c r="B31" s="5" t="str">
        <f>+Chem!B30</f>
        <v>Towel</v>
      </c>
      <c r="C31" s="5" t="str">
        <f>+Chem!C30</f>
        <v>17/16</v>
      </c>
      <c r="D31" s="8">
        <f>+Chem!D30</f>
        <v>50.204999999999998</v>
      </c>
      <c r="E31" s="6">
        <f>+Chem!E30</f>
        <v>49.984999999999999</v>
      </c>
      <c r="F31" s="6">
        <f t="shared" si="92"/>
        <v>1128.944</v>
      </c>
      <c r="G31" s="99"/>
      <c r="H31" s="10">
        <f t="shared" si="0"/>
        <v>0</v>
      </c>
      <c r="I31" s="8">
        <f t="shared" si="64"/>
        <v>15680.119999999999</v>
      </c>
      <c r="J31" s="10">
        <f t="shared" si="1"/>
        <v>1.251830412740593</v>
      </c>
      <c r="K31" s="99">
        <f>64*K7</f>
        <v>16000</v>
      </c>
      <c r="L31" s="10">
        <f t="shared" si="2"/>
        <v>30.188679245283019</v>
      </c>
      <c r="M31" s="10">
        <f t="shared" si="65"/>
        <v>234500</v>
      </c>
      <c r="N31" s="10">
        <f t="shared" si="3"/>
        <v>18.721427628593982</v>
      </c>
      <c r="O31" s="99"/>
      <c r="P31" s="10">
        <f t="shared" si="4"/>
        <v>0</v>
      </c>
      <c r="Q31" s="10">
        <f t="shared" si="66"/>
        <v>0</v>
      </c>
      <c r="R31" s="10">
        <f t="shared" si="5"/>
        <v>0</v>
      </c>
      <c r="S31" s="99"/>
      <c r="T31" s="10">
        <f t="shared" si="6"/>
        <v>0</v>
      </c>
      <c r="U31" s="10">
        <f t="shared" si="67"/>
        <v>0</v>
      </c>
      <c r="V31" s="10">
        <f t="shared" si="7"/>
        <v>0</v>
      </c>
      <c r="W31" s="99"/>
      <c r="X31" s="10">
        <f t="shared" si="8"/>
        <v>0</v>
      </c>
      <c r="Y31" s="10">
        <f t="shared" si="68"/>
        <v>0</v>
      </c>
      <c r="Z31" s="10">
        <f t="shared" si="9"/>
        <v>0</v>
      </c>
      <c r="AA31" s="10">
        <f t="shared" si="69"/>
        <v>16000</v>
      </c>
      <c r="AB31" s="10">
        <f t="shared" si="10"/>
        <v>30.188679245283019</v>
      </c>
      <c r="AC31" s="10">
        <f t="shared" si="70"/>
        <v>250180.12</v>
      </c>
      <c r="AD31" s="10">
        <f t="shared" si="11"/>
        <v>19.973258041334574</v>
      </c>
      <c r="AE31" s="10"/>
      <c r="AF31" s="10">
        <f t="shared" si="12"/>
        <v>0</v>
      </c>
      <c r="AG31" s="10">
        <f t="shared" si="93"/>
        <v>6034.5360000000001</v>
      </c>
      <c r="AH31" s="10">
        <f t="shared" si="13"/>
        <v>0.48177027290466956</v>
      </c>
      <c r="AI31" s="10"/>
      <c r="AJ31" s="10">
        <f t="shared" si="14"/>
        <v>0</v>
      </c>
      <c r="AK31" s="10">
        <f t="shared" si="94"/>
        <v>7755.68</v>
      </c>
      <c r="AL31" s="10">
        <f t="shared" si="15"/>
        <v>0.61917868584449365</v>
      </c>
      <c r="AM31" s="10">
        <f t="shared" si="71"/>
        <v>0</v>
      </c>
      <c r="AN31" s="10">
        <f t="shared" si="16"/>
        <v>0</v>
      </c>
      <c r="AO31" s="10">
        <f t="shared" si="72"/>
        <v>13790.216</v>
      </c>
      <c r="AP31" s="10">
        <f t="shared" si="17"/>
        <v>1.1009489587491632</v>
      </c>
      <c r="AQ31" s="10">
        <f>148*AQ7</f>
        <v>37000</v>
      </c>
      <c r="AR31" s="10">
        <f t="shared" si="18"/>
        <v>69.811320754716974</v>
      </c>
      <c r="AS31" s="10">
        <f t="shared" si="95"/>
        <v>720000</v>
      </c>
      <c r="AT31" s="10">
        <f t="shared" si="19"/>
        <v>57.481568838326936</v>
      </c>
      <c r="AU31" s="10"/>
      <c r="AV31" s="10">
        <f t="shared" si="20"/>
        <v>0</v>
      </c>
      <c r="AW31" s="10">
        <f t="shared" si="96"/>
        <v>0</v>
      </c>
      <c r="AX31" s="10">
        <f t="shared" si="21"/>
        <v>0</v>
      </c>
      <c r="AY31" s="10">
        <f t="shared" si="73"/>
        <v>37000</v>
      </c>
      <c r="AZ31" s="10">
        <f t="shared" si="22"/>
        <v>69.811320754716974</v>
      </c>
      <c r="BA31" s="10">
        <f t="shared" si="97"/>
        <v>720000</v>
      </c>
      <c r="BB31" s="10">
        <f t="shared" si="23"/>
        <v>57.481568838326936</v>
      </c>
      <c r="BC31" s="99"/>
      <c r="BD31" s="10">
        <f t="shared" si="24"/>
        <v>0</v>
      </c>
      <c r="BE31" s="10">
        <f t="shared" si="74"/>
        <v>118634</v>
      </c>
      <c r="BF31" s="10">
        <f t="shared" si="25"/>
        <v>9.4712061632862188</v>
      </c>
      <c r="BG31" s="99"/>
      <c r="BH31" s="10" t="e">
        <f t="shared" si="26"/>
        <v>#DIV/0!</v>
      </c>
      <c r="BI31" s="10">
        <f t="shared" si="75"/>
        <v>0</v>
      </c>
      <c r="BJ31" s="10" t="e">
        <f t="shared" si="27"/>
        <v>#DIV/0!</v>
      </c>
      <c r="BK31" s="99"/>
      <c r="BL31" s="10">
        <f t="shared" si="28"/>
        <v>0</v>
      </c>
      <c r="BM31" s="10">
        <f t="shared" si="76"/>
        <v>36785</v>
      </c>
      <c r="BN31" s="10">
        <f t="shared" si="29"/>
        <v>2.9367493190525784</v>
      </c>
      <c r="BO31" s="99"/>
      <c r="BP31" s="10">
        <f t="shared" si="30"/>
        <v>0</v>
      </c>
      <c r="BQ31" s="10">
        <f t="shared" si="77"/>
        <v>0</v>
      </c>
      <c r="BR31" s="10">
        <f t="shared" si="31"/>
        <v>0</v>
      </c>
      <c r="BS31" s="99"/>
      <c r="BT31" s="10">
        <f t="shared" si="32"/>
        <v>0</v>
      </c>
      <c r="BU31" s="10">
        <f t="shared" si="78"/>
        <v>0</v>
      </c>
      <c r="BV31" s="10">
        <f t="shared" si="33"/>
        <v>0</v>
      </c>
      <c r="BW31" s="99"/>
      <c r="BX31" s="10">
        <f t="shared" si="34"/>
        <v>0</v>
      </c>
      <c r="BY31" s="10">
        <f t="shared" si="79"/>
        <v>0</v>
      </c>
      <c r="BZ31" s="10">
        <f t="shared" si="35"/>
        <v>0</v>
      </c>
      <c r="CA31" s="99"/>
      <c r="CB31" s="10">
        <f t="shared" si="36"/>
        <v>0</v>
      </c>
      <c r="CC31" s="10">
        <f t="shared" si="80"/>
        <v>84200</v>
      </c>
      <c r="CD31" s="10">
        <f t="shared" si="37"/>
        <v>6.7221501335932343</v>
      </c>
      <c r="CE31" s="99"/>
      <c r="CF31" s="10">
        <f t="shared" si="38"/>
        <v>0</v>
      </c>
      <c r="CG31" s="10">
        <f t="shared" si="81"/>
        <v>0</v>
      </c>
      <c r="CH31" s="10">
        <f t="shared" si="39"/>
        <v>0</v>
      </c>
      <c r="CI31" s="99"/>
      <c r="CJ31" s="10">
        <f t="shared" si="40"/>
        <v>0</v>
      </c>
      <c r="CK31" s="10">
        <f t="shared" si="82"/>
        <v>10630</v>
      </c>
      <c r="CL31" s="10">
        <f t="shared" si="41"/>
        <v>0.84865149548807683</v>
      </c>
      <c r="CM31" s="99"/>
      <c r="CN31" s="10">
        <f t="shared" si="42"/>
        <v>0</v>
      </c>
      <c r="CO31" s="10">
        <f t="shared" si="83"/>
        <v>0</v>
      </c>
      <c r="CP31" s="10">
        <f t="shared" si="43"/>
        <v>0</v>
      </c>
      <c r="CQ31" s="99"/>
      <c r="CR31" s="10">
        <f t="shared" si="44"/>
        <v>0</v>
      </c>
      <c r="CS31" s="10">
        <f t="shared" si="84"/>
        <v>14895</v>
      </c>
      <c r="CT31" s="10">
        <f t="shared" si="45"/>
        <v>1.1891499553428886</v>
      </c>
      <c r="CU31" s="99"/>
      <c r="CV31" s="10">
        <f t="shared" si="46"/>
        <v>0</v>
      </c>
      <c r="CW31" s="10">
        <f t="shared" si="85"/>
        <v>0</v>
      </c>
      <c r="CX31" s="10">
        <f t="shared" si="47"/>
        <v>0</v>
      </c>
      <c r="CY31" s="99"/>
      <c r="CZ31" s="10">
        <f t="shared" si="48"/>
        <v>0</v>
      </c>
      <c r="DA31" s="10">
        <f t="shared" si="86"/>
        <v>0</v>
      </c>
      <c r="DB31" s="10">
        <f t="shared" si="49"/>
        <v>0</v>
      </c>
      <c r="DC31" s="99"/>
      <c r="DD31" s="10">
        <f t="shared" si="50"/>
        <v>0</v>
      </c>
      <c r="DE31" s="10">
        <f t="shared" si="87"/>
        <v>0</v>
      </c>
      <c r="DF31" s="10">
        <f t="shared" si="51"/>
        <v>0</v>
      </c>
      <c r="DG31" s="99">
        <f t="shared" si="52"/>
        <v>0</v>
      </c>
      <c r="DH31" s="10">
        <f t="shared" si="53"/>
        <v>0</v>
      </c>
      <c r="DI31" s="10">
        <f t="shared" si="88"/>
        <v>265144</v>
      </c>
      <c r="DJ31" s="10">
        <f t="shared" si="54"/>
        <v>21.167907066762996</v>
      </c>
      <c r="DK31" s="99">
        <v>0</v>
      </c>
      <c r="DL31" s="16">
        <f t="shared" si="55"/>
        <v>0</v>
      </c>
      <c r="DM31" s="10">
        <f t="shared" si="89"/>
        <v>0</v>
      </c>
      <c r="DN31" s="10">
        <f t="shared" si="56"/>
        <v>0</v>
      </c>
      <c r="DO31" s="10">
        <v>0</v>
      </c>
      <c r="DP31" s="10">
        <f t="shared" si="57"/>
        <v>0</v>
      </c>
      <c r="DQ31" s="10">
        <f t="shared" si="90"/>
        <v>5400</v>
      </c>
      <c r="DR31" s="10">
        <f t="shared" si="58"/>
        <v>0.43111176628745207</v>
      </c>
      <c r="DS31" s="10">
        <f t="shared" si="99"/>
        <v>53000</v>
      </c>
      <c r="DT31" s="10">
        <f t="shared" si="91"/>
        <v>1252575.416</v>
      </c>
      <c r="DU31" s="10">
        <f t="shared" si="60"/>
        <v>1.0603180954286286</v>
      </c>
      <c r="DV31" s="10">
        <f t="shared" si="61"/>
        <v>1.1095106719199535</v>
      </c>
      <c r="DW31" s="505" t="e">
        <f t="shared" si="62"/>
        <v>#DIV/0!</v>
      </c>
      <c r="DX31" s="506">
        <f t="shared" si="98"/>
        <v>0.93054717436562762</v>
      </c>
      <c r="DY31" s="6" t="str">
        <f>+Efficiency1!D105</f>
        <v>VP OW</v>
      </c>
    </row>
    <row r="32" spans="1:129">
      <c r="A32" s="17">
        <f>+Chem!A31</f>
        <v>45739</v>
      </c>
      <c r="B32" s="5" t="str">
        <f>+Chem!B31</f>
        <v>Towel</v>
      </c>
      <c r="C32" s="5" t="str">
        <f>+Chem!C31</f>
        <v>16</v>
      </c>
      <c r="D32" s="8">
        <f>+Chem!D31</f>
        <v>49.180999999999997</v>
      </c>
      <c r="E32" s="6">
        <f>+Chem!E31</f>
        <v>50.241</v>
      </c>
      <c r="F32" s="6">
        <f t="shared" si="92"/>
        <v>1179.1849999999999</v>
      </c>
      <c r="G32" s="99"/>
      <c r="H32" s="10">
        <f t="shared" si="0"/>
        <v>0</v>
      </c>
      <c r="I32" s="8">
        <f t="shared" si="64"/>
        <v>15680.119999999999</v>
      </c>
      <c r="J32" s="10">
        <f t="shared" si="1"/>
        <v>1.2028548411962381</v>
      </c>
      <c r="K32" s="99">
        <f>64*K7</f>
        <v>16000</v>
      </c>
      <c r="L32" s="10">
        <f t="shared" si="2"/>
        <v>31.372549019607842</v>
      </c>
      <c r="M32" s="10">
        <f t="shared" si="65"/>
        <v>250500</v>
      </c>
      <c r="N32" s="10">
        <f t="shared" si="3"/>
        <v>19.216379576154878</v>
      </c>
      <c r="O32" s="99"/>
      <c r="P32" s="10">
        <f t="shared" si="4"/>
        <v>0</v>
      </c>
      <c r="Q32" s="10">
        <f t="shared" si="66"/>
        <v>0</v>
      </c>
      <c r="R32" s="10">
        <f t="shared" si="5"/>
        <v>0</v>
      </c>
      <c r="S32" s="99"/>
      <c r="T32" s="10">
        <f t="shared" si="6"/>
        <v>0</v>
      </c>
      <c r="U32" s="10">
        <f t="shared" si="67"/>
        <v>0</v>
      </c>
      <c r="V32" s="10">
        <f t="shared" si="7"/>
        <v>0</v>
      </c>
      <c r="W32" s="99"/>
      <c r="X32" s="10">
        <f t="shared" si="8"/>
        <v>0</v>
      </c>
      <c r="Y32" s="10">
        <f t="shared" si="68"/>
        <v>0</v>
      </c>
      <c r="Z32" s="10">
        <f t="shared" si="9"/>
        <v>0</v>
      </c>
      <c r="AA32" s="10">
        <f t="shared" si="69"/>
        <v>16000</v>
      </c>
      <c r="AB32" s="10">
        <f t="shared" si="10"/>
        <v>31.372549019607842</v>
      </c>
      <c r="AC32" s="10">
        <f t="shared" si="70"/>
        <v>266180.12</v>
      </c>
      <c r="AD32" s="10">
        <f t="shared" si="11"/>
        <v>20.419234417351117</v>
      </c>
      <c r="AE32" s="10"/>
      <c r="AF32" s="10">
        <f t="shared" si="12"/>
        <v>0</v>
      </c>
      <c r="AG32" s="10">
        <f t="shared" si="93"/>
        <v>6034.5360000000001</v>
      </c>
      <c r="AH32" s="10">
        <f t="shared" si="13"/>
        <v>0.462921893580724</v>
      </c>
      <c r="AI32" s="10"/>
      <c r="AJ32" s="10">
        <f t="shared" si="14"/>
        <v>0</v>
      </c>
      <c r="AK32" s="10">
        <f t="shared" si="94"/>
        <v>7755.68</v>
      </c>
      <c r="AL32" s="10">
        <f t="shared" si="15"/>
        <v>0.59495445409657832</v>
      </c>
      <c r="AM32" s="10">
        <f t="shared" si="71"/>
        <v>0</v>
      </c>
      <c r="AN32" s="10">
        <f t="shared" si="16"/>
        <v>0</v>
      </c>
      <c r="AO32" s="10">
        <f t="shared" si="72"/>
        <v>13790.216</v>
      </c>
      <c r="AP32" s="10">
        <f t="shared" si="17"/>
        <v>1.0578763476773023</v>
      </c>
      <c r="AQ32" s="10">
        <f>140*AQ7</f>
        <v>35000</v>
      </c>
      <c r="AR32" s="10">
        <f t="shared" si="18"/>
        <v>68.627450980392155</v>
      </c>
      <c r="AS32" s="10">
        <f t="shared" si="95"/>
        <v>755000</v>
      </c>
      <c r="AT32" s="10">
        <f t="shared" si="19"/>
        <v>57.917631057871986</v>
      </c>
      <c r="AU32" s="10"/>
      <c r="AV32" s="10">
        <f t="shared" si="20"/>
        <v>0</v>
      </c>
      <c r="AW32" s="10">
        <f t="shared" si="96"/>
        <v>0</v>
      </c>
      <c r="AX32" s="10">
        <f t="shared" si="21"/>
        <v>0</v>
      </c>
      <c r="AY32" s="10">
        <f t="shared" si="73"/>
        <v>35000</v>
      </c>
      <c r="AZ32" s="10">
        <f t="shared" si="22"/>
        <v>68.627450980392155</v>
      </c>
      <c r="BA32" s="10">
        <f t="shared" si="97"/>
        <v>755000</v>
      </c>
      <c r="BB32" s="10">
        <f t="shared" si="23"/>
        <v>57.917631057871986</v>
      </c>
      <c r="BC32" s="99"/>
      <c r="BD32" s="10">
        <f t="shared" si="24"/>
        <v>0</v>
      </c>
      <c r="BE32" s="10">
        <f t="shared" si="74"/>
        <v>118634</v>
      </c>
      <c r="BF32" s="10">
        <f t="shared" si="25"/>
        <v>9.1006625734034241</v>
      </c>
      <c r="BG32" s="99"/>
      <c r="BH32" s="10" t="e">
        <f t="shared" si="26"/>
        <v>#DIV/0!</v>
      </c>
      <c r="BI32" s="10">
        <f t="shared" si="75"/>
        <v>0</v>
      </c>
      <c r="BJ32" s="10" t="e">
        <f t="shared" si="27"/>
        <v>#DIV/0!</v>
      </c>
      <c r="BK32" s="99"/>
      <c r="BL32" s="10">
        <f t="shared" si="28"/>
        <v>0</v>
      </c>
      <c r="BM32" s="10">
        <f t="shared" si="76"/>
        <v>36785</v>
      </c>
      <c r="BN32" s="10">
        <f t="shared" si="29"/>
        <v>2.8218543820712862</v>
      </c>
      <c r="BO32" s="99"/>
      <c r="BP32" s="10">
        <f t="shared" si="30"/>
        <v>0</v>
      </c>
      <c r="BQ32" s="10">
        <f t="shared" si="77"/>
        <v>0</v>
      </c>
      <c r="BR32" s="10">
        <f t="shared" si="31"/>
        <v>0</v>
      </c>
      <c r="BS32" s="99"/>
      <c r="BT32" s="10">
        <f t="shared" si="32"/>
        <v>0</v>
      </c>
      <c r="BU32" s="10">
        <f t="shared" si="78"/>
        <v>0</v>
      </c>
      <c r="BV32" s="10">
        <f t="shared" si="33"/>
        <v>0</v>
      </c>
      <c r="BW32" s="99"/>
      <c r="BX32" s="10">
        <f t="shared" si="34"/>
        <v>0</v>
      </c>
      <c r="BY32" s="10">
        <f t="shared" si="79"/>
        <v>0</v>
      </c>
      <c r="BZ32" s="10">
        <f t="shared" si="35"/>
        <v>0</v>
      </c>
      <c r="CA32" s="99"/>
      <c r="CB32" s="10">
        <f t="shared" si="36"/>
        <v>0</v>
      </c>
      <c r="CC32" s="10">
        <f t="shared" si="80"/>
        <v>84200</v>
      </c>
      <c r="CD32" s="10">
        <f t="shared" si="37"/>
        <v>6.4591583245997635</v>
      </c>
      <c r="CE32" s="99"/>
      <c r="CF32" s="10">
        <f t="shared" si="38"/>
        <v>0</v>
      </c>
      <c r="CG32" s="10">
        <f t="shared" si="81"/>
        <v>0</v>
      </c>
      <c r="CH32" s="10">
        <f t="shared" si="39"/>
        <v>0</v>
      </c>
      <c r="CI32" s="99"/>
      <c r="CJ32" s="10">
        <f t="shared" si="40"/>
        <v>0</v>
      </c>
      <c r="CK32" s="10">
        <f t="shared" si="82"/>
        <v>10630</v>
      </c>
      <c r="CL32" s="10">
        <f t="shared" si="41"/>
        <v>0.81544956045719108</v>
      </c>
      <c r="CM32" s="99"/>
      <c r="CN32" s="10">
        <f t="shared" si="42"/>
        <v>0</v>
      </c>
      <c r="CO32" s="10">
        <f t="shared" si="83"/>
        <v>0</v>
      </c>
      <c r="CP32" s="10">
        <f t="shared" si="43"/>
        <v>0</v>
      </c>
      <c r="CQ32" s="99"/>
      <c r="CR32" s="10">
        <f t="shared" si="44"/>
        <v>0</v>
      </c>
      <c r="CS32" s="10">
        <f t="shared" si="84"/>
        <v>14895</v>
      </c>
      <c r="CT32" s="10">
        <f t="shared" si="45"/>
        <v>1.1426266418635806</v>
      </c>
      <c r="CU32" s="99"/>
      <c r="CV32" s="10">
        <f t="shared" si="46"/>
        <v>0</v>
      </c>
      <c r="CW32" s="10">
        <f t="shared" si="85"/>
        <v>0</v>
      </c>
      <c r="CX32" s="10">
        <f t="shared" si="47"/>
        <v>0</v>
      </c>
      <c r="CY32" s="99"/>
      <c r="CZ32" s="10">
        <f t="shared" si="48"/>
        <v>0</v>
      </c>
      <c r="DA32" s="10">
        <f t="shared" si="86"/>
        <v>0</v>
      </c>
      <c r="DB32" s="10">
        <f t="shared" si="49"/>
        <v>0</v>
      </c>
      <c r="DC32" s="99"/>
      <c r="DD32" s="10">
        <f t="shared" si="50"/>
        <v>0</v>
      </c>
      <c r="DE32" s="10">
        <f t="shared" si="87"/>
        <v>0</v>
      </c>
      <c r="DF32" s="10">
        <f t="shared" si="51"/>
        <v>0</v>
      </c>
      <c r="DG32" s="99">
        <f t="shared" si="52"/>
        <v>0</v>
      </c>
      <c r="DH32" s="10">
        <f t="shared" si="53"/>
        <v>0</v>
      </c>
      <c r="DI32" s="10">
        <f t="shared" si="88"/>
        <v>265144</v>
      </c>
      <c r="DJ32" s="10">
        <f t="shared" si="54"/>
        <v>20.339751482395247</v>
      </c>
      <c r="DK32" s="99">
        <v>0</v>
      </c>
      <c r="DL32" s="16">
        <f t="shared" si="55"/>
        <v>0</v>
      </c>
      <c r="DM32" s="10">
        <f t="shared" si="89"/>
        <v>0</v>
      </c>
      <c r="DN32" s="10">
        <f t="shared" si="56"/>
        <v>0</v>
      </c>
      <c r="DO32" s="10">
        <v>0</v>
      </c>
      <c r="DP32" s="10">
        <f t="shared" si="57"/>
        <v>0</v>
      </c>
      <c r="DQ32" s="10">
        <f t="shared" si="90"/>
        <v>5400</v>
      </c>
      <c r="DR32" s="10">
        <f t="shared" si="58"/>
        <v>0.41424530822848848</v>
      </c>
      <c r="DS32" s="10">
        <f t="shared" si="99"/>
        <v>51000</v>
      </c>
      <c r="DT32" s="10">
        <f t="shared" si="91"/>
        <v>1303575.416</v>
      </c>
      <c r="DU32" s="10">
        <f t="shared" si="60"/>
        <v>1.0151071833761272</v>
      </c>
      <c r="DV32" s="10">
        <f t="shared" si="61"/>
        <v>1.1054884653383481</v>
      </c>
      <c r="DW32" s="505" t="e">
        <f t="shared" si="62"/>
        <v>#DIV/0!</v>
      </c>
      <c r="DX32" s="506">
        <f t="shared" si="98"/>
        <v>0.93054717436562762</v>
      </c>
      <c r="DY32" s="6" t="str">
        <f>+Efficiency1!D110</f>
        <v>VP OW</v>
      </c>
    </row>
    <row r="33" spans="1:129">
      <c r="A33" s="17">
        <f>+Chem!A32</f>
        <v>45740</v>
      </c>
      <c r="B33" s="5" t="str">
        <f>+Chem!B32</f>
        <v>Towel</v>
      </c>
      <c r="C33" s="5" t="str">
        <f>+Chem!C32</f>
        <v>16</v>
      </c>
      <c r="D33" s="8">
        <f>+Chem!D32</f>
        <v>50.591000000000008</v>
      </c>
      <c r="E33" s="6">
        <f>+Chem!E32</f>
        <v>51.228999999999999</v>
      </c>
      <c r="F33" s="6">
        <f t="shared" si="92"/>
        <v>1230.414</v>
      </c>
      <c r="G33" s="99"/>
      <c r="H33" s="10">
        <f t="shared" si="0"/>
        <v>0</v>
      </c>
      <c r="I33" s="8">
        <f t="shared" si="64"/>
        <v>15680.119999999999</v>
      </c>
      <c r="J33" s="10">
        <f t="shared" si="1"/>
        <v>1.1550091298942613</v>
      </c>
      <c r="K33" s="99">
        <f>60*K7</f>
        <v>15000</v>
      </c>
      <c r="L33" s="10">
        <f t="shared" si="2"/>
        <v>27.777777777777779</v>
      </c>
      <c r="M33" s="10">
        <f t="shared" si="65"/>
        <v>265500</v>
      </c>
      <c r="N33" s="10">
        <f t="shared" si="3"/>
        <v>19.556924563519058</v>
      </c>
      <c r="O33" s="99"/>
      <c r="P33" s="10">
        <f t="shared" si="4"/>
        <v>0</v>
      </c>
      <c r="Q33" s="10">
        <f t="shared" si="66"/>
        <v>0</v>
      </c>
      <c r="R33" s="10">
        <f t="shared" si="5"/>
        <v>0</v>
      </c>
      <c r="S33" s="99"/>
      <c r="T33" s="10">
        <f t="shared" si="6"/>
        <v>0</v>
      </c>
      <c r="U33" s="10">
        <f t="shared" si="67"/>
        <v>0</v>
      </c>
      <c r="V33" s="10">
        <f t="shared" si="7"/>
        <v>0</v>
      </c>
      <c r="W33" s="99"/>
      <c r="X33" s="10">
        <f t="shared" si="8"/>
        <v>0</v>
      </c>
      <c r="Y33" s="10">
        <f t="shared" si="68"/>
        <v>0</v>
      </c>
      <c r="Z33" s="10">
        <f t="shared" si="9"/>
        <v>0</v>
      </c>
      <c r="AA33" s="10">
        <f t="shared" si="69"/>
        <v>15000</v>
      </c>
      <c r="AB33" s="10">
        <f t="shared" si="10"/>
        <v>27.777777777777779</v>
      </c>
      <c r="AC33" s="10">
        <f t="shared" si="70"/>
        <v>281180.12</v>
      </c>
      <c r="AD33" s="10">
        <f t="shared" si="11"/>
        <v>20.711933693413318</v>
      </c>
      <c r="AE33" s="10"/>
      <c r="AF33" s="10">
        <f t="shared" si="12"/>
        <v>0</v>
      </c>
      <c r="AG33" s="10">
        <f t="shared" si="93"/>
        <v>6034.5360000000001</v>
      </c>
      <c r="AH33" s="10">
        <f t="shared" si="13"/>
        <v>0.44450834398433153</v>
      </c>
      <c r="AI33" s="10"/>
      <c r="AJ33" s="10">
        <f t="shared" si="14"/>
        <v>0</v>
      </c>
      <c r="AK33" s="10">
        <f t="shared" si="94"/>
        <v>7755.68</v>
      </c>
      <c r="AL33" s="10">
        <f t="shared" si="15"/>
        <v>0.5712890723118399</v>
      </c>
      <c r="AM33" s="10">
        <f t="shared" si="71"/>
        <v>0</v>
      </c>
      <c r="AN33" s="10">
        <f t="shared" si="16"/>
        <v>0</v>
      </c>
      <c r="AO33" s="10">
        <f t="shared" si="72"/>
        <v>13790.216</v>
      </c>
      <c r="AP33" s="10">
        <f t="shared" si="17"/>
        <v>1.0157974162961714</v>
      </c>
      <c r="AQ33" s="10">
        <f>156*AQ7</f>
        <v>39000</v>
      </c>
      <c r="AR33" s="10">
        <f t="shared" si="18"/>
        <v>72.222222222222214</v>
      </c>
      <c r="AS33" s="10">
        <f t="shared" si="95"/>
        <v>794000</v>
      </c>
      <c r="AT33" s="10">
        <f t="shared" si="19"/>
        <v>58.486621858508968</v>
      </c>
      <c r="AU33" s="10"/>
      <c r="AV33" s="10">
        <f t="shared" si="20"/>
        <v>0</v>
      </c>
      <c r="AW33" s="10">
        <f t="shared" si="96"/>
        <v>0</v>
      </c>
      <c r="AX33" s="10">
        <f t="shared" si="21"/>
        <v>0</v>
      </c>
      <c r="AY33" s="10">
        <f t="shared" si="73"/>
        <v>39000</v>
      </c>
      <c r="AZ33" s="10">
        <f t="shared" si="22"/>
        <v>72.222222222222214</v>
      </c>
      <c r="BA33" s="10">
        <f t="shared" si="97"/>
        <v>794000</v>
      </c>
      <c r="BB33" s="10">
        <f t="shared" si="23"/>
        <v>58.486621858508968</v>
      </c>
      <c r="BC33" s="99"/>
      <c r="BD33" s="10">
        <f t="shared" si="24"/>
        <v>0</v>
      </c>
      <c r="BE33" s="10">
        <f t="shared" si="74"/>
        <v>118634</v>
      </c>
      <c r="BF33" s="10">
        <f t="shared" si="25"/>
        <v>8.7386673772825585</v>
      </c>
      <c r="BG33" s="99"/>
      <c r="BH33" s="10" t="e">
        <f t="shared" si="26"/>
        <v>#DIV/0!</v>
      </c>
      <c r="BI33" s="10">
        <f t="shared" si="75"/>
        <v>0</v>
      </c>
      <c r="BJ33" s="10" t="e">
        <f t="shared" si="27"/>
        <v>#DIV/0!</v>
      </c>
      <c r="BK33" s="99"/>
      <c r="BL33" s="10">
        <f t="shared" si="28"/>
        <v>0</v>
      </c>
      <c r="BM33" s="10">
        <f>BK33+BM32</f>
        <v>36785</v>
      </c>
      <c r="BN33" s="10">
        <f t="shared" si="29"/>
        <v>2.7096100567572448</v>
      </c>
      <c r="BO33" s="99"/>
      <c r="BP33" s="10">
        <f t="shared" si="30"/>
        <v>0</v>
      </c>
      <c r="BQ33" s="10">
        <f t="shared" ref="BQ33:BQ40" si="100">BO33+BQ32</f>
        <v>0</v>
      </c>
      <c r="BR33" s="10">
        <f t="shared" si="31"/>
        <v>0</v>
      </c>
      <c r="BS33" s="99"/>
      <c r="BT33" s="10">
        <f t="shared" si="32"/>
        <v>0</v>
      </c>
      <c r="BU33" s="10">
        <f t="shared" si="78"/>
        <v>0</v>
      </c>
      <c r="BV33" s="10">
        <f t="shared" si="33"/>
        <v>0</v>
      </c>
      <c r="BW33" s="99"/>
      <c r="BX33" s="10">
        <f t="shared" si="34"/>
        <v>0</v>
      </c>
      <c r="BY33" s="10">
        <f t="shared" si="79"/>
        <v>0</v>
      </c>
      <c r="BZ33" s="10">
        <f t="shared" si="35"/>
        <v>0</v>
      </c>
      <c r="CA33" s="99"/>
      <c r="CB33" s="10">
        <f t="shared" si="36"/>
        <v>0</v>
      </c>
      <c r="CC33" s="10">
        <f t="shared" si="80"/>
        <v>84200</v>
      </c>
      <c r="CD33" s="10">
        <f t="shared" si="37"/>
        <v>6.2022337033834445</v>
      </c>
      <c r="CE33" s="99"/>
      <c r="CF33" s="10">
        <f t="shared" si="38"/>
        <v>0</v>
      </c>
      <c r="CG33" s="10">
        <f t="shared" si="81"/>
        <v>0</v>
      </c>
      <c r="CH33" s="10">
        <f t="shared" si="39"/>
        <v>0</v>
      </c>
      <c r="CI33" s="99"/>
      <c r="CJ33" s="10">
        <f t="shared" si="40"/>
        <v>0</v>
      </c>
      <c r="CK33" s="10">
        <f t="shared" si="82"/>
        <v>10630</v>
      </c>
      <c r="CL33" s="10">
        <f t="shared" si="41"/>
        <v>0.78301358986895497</v>
      </c>
      <c r="CM33" s="99"/>
      <c r="CN33" s="10">
        <f t="shared" si="42"/>
        <v>0</v>
      </c>
      <c r="CO33" s="10">
        <f t="shared" si="83"/>
        <v>0</v>
      </c>
      <c r="CP33" s="10">
        <f t="shared" si="43"/>
        <v>0</v>
      </c>
      <c r="CQ33" s="99"/>
      <c r="CR33" s="10">
        <f t="shared" si="44"/>
        <v>0</v>
      </c>
      <c r="CS33" s="10">
        <f t="shared" si="84"/>
        <v>14895</v>
      </c>
      <c r="CT33" s="10">
        <f t="shared" si="45"/>
        <v>1.0971766153431877</v>
      </c>
      <c r="CU33" s="99"/>
      <c r="CV33" s="10">
        <f t="shared" si="46"/>
        <v>0</v>
      </c>
      <c r="CW33" s="10">
        <f t="shared" si="85"/>
        <v>0</v>
      </c>
      <c r="CX33" s="10">
        <f t="shared" si="47"/>
        <v>0</v>
      </c>
      <c r="CY33" s="99"/>
      <c r="CZ33" s="10">
        <f t="shared" si="48"/>
        <v>0</v>
      </c>
      <c r="DA33" s="10">
        <f t="shared" si="86"/>
        <v>0</v>
      </c>
      <c r="DB33" s="10">
        <f t="shared" si="49"/>
        <v>0</v>
      </c>
      <c r="DC33" s="99"/>
      <c r="DD33" s="10">
        <f t="shared" si="50"/>
        <v>0</v>
      </c>
      <c r="DE33" s="10">
        <f t="shared" si="87"/>
        <v>0</v>
      </c>
      <c r="DF33" s="10">
        <f t="shared" si="51"/>
        <v>0</v>
      </c>
      <c r="DG33" s="99">
        <f t="shared" si="52"/>
        <v>0</v>
      </c>
      <c r="DH33" s="10">
        <f t="shared" si="53"/>
        <v>0</v>
      </c>
      <c r="DI33" s="10">
        <f t="shared" si="88"/>
        <v>265144</v>
      </c>
      <c r="DJ33" s="10">
        <f t="shared" si="54"/>
        <v>19.530701342635393</v>
      </c>
      <c r="DK33" s="99">
        <v>0</v>
      </c>
      <c r="DL33" s="16">
        <f t="shared" si="55"/>
        <v>0</v>
      </c>
      <c r="DM33" s="10">
        <f t="shared" si="89"/>
        <v>0</v>
      </c>
      <c r="DN33" s="10">
        <f t="shared" si="56"/>
        <v>0</v>
      </c>
      <c r="DO33" s="10">
        <v>0</v>
      </c>
      <c r="DP33" s="10">
        <f t="shared" si="57"/>
        <v>0</v>
      </c>
      <c r="DQ33" s="10">
        <f t="shared" si="90"/>
        <v>5400</v>
      </c>
      <c r="DR33" s="10">
        <f t="shared" si="58"/>
        <v>0.3977679572241164</v>
      </c>
      <c r="DS33" s="10">
        <f t="shared" si="99"/>
        <v>54000</v>
      </c>
      <c r="DT33" s="10">
        <f t="shared" si="91"/>
        <v>1357575.416</v>
      </c>
      <c r="DU33" s="10">
        <f t="shared" si="60"/>
        <v>1.0540904565773292</v>
      </c>
      <c r="DV33" s="10">
        <f t="shared" si="61"/>
        <v>1.1033484794548827</v>
      </c>
      <c r="DW33" s="505" t="e">
        <f t="shared" si="62"/>
        <v>#DIV/0!</v>
      </c>
      <c r="DX33" s="506">
        <f t="shared" si="98"/>
        <v>0.93054717436562762</v>
      </c>
      <c r="DY33" s="6" t="str">
        <f>+Efficiency1!D114</f>
        <v>VP OW</v>
      </c>
    </row>
    <row r="34" spans="1:129">
      <c r="A34" s="17">
        <f>+Chem!A33</f>
        <v>45741</v>
      </c>
      <c r="B34" s="5" t="str">
        <f>+Chem!B33</f>
        <v>Towel/Napkin</v>
      </c>
      <c r="C34" s="5" t="str">
        <f>+Chem!C33</f>
        <v>16/18</v>
      </c>
      <c r="D34" s="8">
        <f>+Chem!D33</f>
        <v>55.399000000000001</v>
      </c>
      <c r="E34" s="6">
        <f>+Chem!E33</f>
        <v>54.878999999999998</v>
      </c>
      <c r="F34" s="6">
        <f t="shared" si="92"/>
        <v>1285.2929999999999</v>
      </c>
      <c r="G34" s="99"/>
      <c r="H34" s="10">
        <f t="shared" si="0"/>
        <v>0</v>
      </c>
      <c r="I34" s="8">
        <f t="shared" si="64"/>
        <v>15680.119999999999</v>
      </c>
      <c r="J34" s="10">
        <f t="shared" si="1"/>
        <v>1.1045640705854545</v>
      </c>
      <c r="K34" s="99">
        <f>56*K7</f>
        <v>14000</v>
      </c>
      <c r="L34" s="10">
        <f t="shared" si="2"/>
        <v>22.58064516129032</v>
      </c>
      <c r="M34" s="10">
        <f t="shared" si="65"/>
        <v>279500</v>
      </c>
      <c r="N34" s="10">
        <f t="shared" si="3"/>
        <v>19.688985653721691</v>
      </c>
      <c r="O34" s="99"/>
      <c r="P34" s="10">
        <f t="shared" si="4"/>
        <v>0</v>
      </c>
      <c r="Q34" s="10">
        <f t="shared" si="66"/>
        <v>0</v>
      </c>
      <c r="R34" s="10">
        <f t="shared" si="5"/>
        <v>0</v>
      </c>
      <c r="S34" s="99"/>
      <c r="T34" s="10">
        <f t="shared" si="6"/>
        <v>0</v>
      </c>
      <c r="U34" s="10">
        <f t="shared" si="67"/>
        <v>0</v>
      </c>
      <c r="V34" s="10">
        <f t="shared" si="7"/>
        <v>0</v>
      </c>
      <c r="W34" s="99"/>
      <c r="X34" s="10">
        <f t="shared" si="8"/>
        <v>0</v>
      </c>
      <c r="Y34" s="10">
        <f t="shared" si="68"/>
        <v>0</v>
      </c>
      <c r="Z34" s="10">
        <f t="shared" si="9"/>
        <v>0</v>
      </c>
      <c r="AA34" s="10">
        <f t="shared" si="69"/>
        <v>14000</v>
      </c>
      <c r="AB34" s="10">
        <f t="shared" si="10"/>
        <v>22.58064516129032</v>
      </c>
      <c r="AC34" s="10">
        <f t="shared" si="70"/>
        <v>295180.12</v>
      </c>
      <c r="AD34" s="10">
        <f t="shared" si="11"/>
        <v>20.793549724307145</v>
      </c>
      <c r="AE34" s="10"/>
      <c r="AF34" s="10">
        <f t="shared" si="12"/>
        <v>0</v>
      </c>
      <c r="AG34" s="10">
        <f t="shared" si="93"/>
        <v>6034.5360000000001</v>
      </c>
      <c r="AH34" s="10">
        <f t="shared" si="13"/>
        <v>0.42509442837519529</v>
      </c>
      <c r="AI34" s="10"/>
      <c r="AJ34" s="10">
        <f t="shared" si="14"/>
        <v>0</v>
      </c>
      <c r="AK34" s="10">
        <f t="shared" si="94"/>
        <v>7755.68</v>
      </c>
      <c r="AL34" s="10">
        <f t="shared" si="15"/>
        <v>0.54633800448964676</v>
      </c>
      <c r="AM34" s="10">
        <f t="shared" si="71"/>
        <v>0</v>
      </c>
      <c r="AN34" s="10">
        <f t="shared" si="16"/>
        <v>0</v>
      </c>
      <c r="AO34" s="10">
        <f t="shared" si="72"/>
        <v>13790.216</v>
      </c>
      <c r="AP34" s="10">
        <f t="shared" si="17"/>
        <v>0.97143243286484193</v>
      </c>
      <c r="AQ34" s="10">
        <f>192*AQ7</f>
        <v>48000</v>
      </c>
      <c r="AR34" s="10">
        <f t="shared" si="18"/>
        <v>77.41935483870968</v>
      </c>
      <c r="AS34" s="10">
        <f t="shared" si="95"/>
        <v>842000</v>
      </c>
      <c r="AT34" s="10">
        <f t="shared" si="19"/>
        <v>59.313509554324369</v>
      </c>
      <c r="AU34" s="10"/>
      <c r="AV34" s="10">
        <f t="shared" si="20"/>
        <v>0</v>
      </c>
      <c r="AW34" s="10">
        <f t="shared" si="96"/>
        <v>0</v>
      </c>
      <c r="AX34" s="10">
        <f t="shared" si="21"/>
        <v>0</v>
      </c>
      <c r="AY34" s="10">
        <f t="shared" si="73"/>
        <v>48000</v>
      </c>
      <c r="AZ34" s="10">
        <f t="shared" si="22"/>
        <v>77.41935483870968</v>
      </c>
      <c r="BA34" s="10">
        <f t="shared" si="97"/>
        <v>842000</v>
      </c>
      <c r="BB34" s="10">
        <f t="shared" si="23"/>
        <v>59.313509554324369</v>
      </c>
      <c r="BC34" s="99"/>
      <c r="BD34" s="10">
        <f t="shared" si="24"/>
        <v>0</v>
      </c>
      <c r="BE34" s="10">
        <f t="shared" si="74"/>
        <v>118634</v>
      </c>
      <c r="BF34" s="10">
        <f t="shared" si="25"/>
        <v>8.3570058105317315</v>
      </c>
      <c r="BG34" s="99"/>
      <c r="BH34" s="10" t="e">
        <f t="shared" si="26"/>
        <v>#DIV/0!</v>
      </c>
      <c r="BI34" s="10">
        <f t="shared" si="75"/>
        <v>0</v>
      </c>
      <c r="BJ34" s="10" t="e">
        <f t="shared" si="27"/>
        <v>#DIV/0!</v>
      </c>
      <c r="BK34" s="99"/>
      <c r="BL34" s="10">
        <f t="shared" si="28"/>
        <v>0</v>
      </c>
      <c r="BM34" s="10">
        <f>BK34+BM33</f>
        <v>36785</v>
      </c>
      <c r="BN34" s="10">
        <f t="shared" si="29"/>
        <v>2.5912677541043019</v>
      </c>
      <c r="BO34" s="99"/>
      <c r="BP34" s="10">
        <f t="shared" si="30"/>
        <v>0</v>
      </c>
      <c r="BQ34" s="10">
        <f t="shared" si="100"/>
        <v>0</v>
      </c>
      <c r="BR34" s="10">
        <f t="shared" si="31"/>
        <v>0</v>
      </c>
      <c r="BS34" s="99"/>
      <c r="BT34" s="10">
        <f t="shared" si="32"/>
        <v>0</v>
      </c>
      <c r="BU34" s="10">
        <f t="shared" si="78"/>
        <v>0</v>
      </c>
      <c r="BV34" s="10">
        <f t="shared" si="33"/>
        <v>0</v>
      </c>
      <c r="BW34" s="99"/>
      <c r="BX34" s="10">
        <f t="shared" si="34"/>
        <v>0</v>
      </c>
      <c r="BY34" s="10">
        <f t="shared" si="79"/>
        <v>0</v>
      </c>
      <c r="BZ34" s="10">
        <f t="shared" si="35"/>
        <v>0</v>
      </c>
      <c r="CA34" s="99"/>
      <c r="CB34" s="10">
        <f t="shared" si="36"/>
        <v>0</v>
      </c>
      <c r="CC34" s="10">
        <f t="shared" si="80"/>
        <v>84200</v>
      </c>
      <c r="CD34" s="10">
        <f t="shared" si="37"/>
        <v>5.9313509554324382</v>
      </c>
      <c r="CE34" s="99"/>
      <c r="CF34" s="10">
        <f t="shared" si="38"/>
        <v>0</v>
      </c>
      <c r="CG34" s="10">
        <f t="shared" si="81"/>
        <v>0</v>
      </c>
      <c r="CH34" s="10">
        <f t="shared" si="39"/>
        <v>0</v>
      </c>
      <c r="CI34" s="99"/>
      <c r="CJ34" s="10">
        <f t="shared" si="40"/>
        <v>0</v>
      </c>
      <c r="CK34" s="10">
        <f t="shared" si="82"/>
        <v>10630</v>
      </c>
      <c r="CL34" s="10">
        <f t="shared" si="41"/>
        <v>0.74881544722383386</v>
      </c>
      <c r="CM34" s="99"/>
      <c r="CN34" s="10">
        <f t="shared" si="42"/>
        <v>0</v>
      </c>
      <c r="CO34" s="10">
        <f t="shared" si="83"/>
        <v>0</v>
      </c>
      <c r="CP34" s="10">
        <f t="shared" si="43"/>
        <v>0</v>
      </c>
      <c r="CQ34" s="99"/>
      <c r="CR34" s="10">
        <f t="shared" si="44"/>
        <v>0</v>
      </c>
      <c r="CS34" s="10">
        <f t="shared" si="84"/>
        <v>14895</v>
      </c>
      <c r="CT34" s="10">
        <f t="shared" si="45"/>
        <v>1.0492573928879592</v>
      </c>
      <c r="CU34" s="99"/>
      <c r="CV34" s="10">
        <f t="shared" si="46"/>
        <v>0</v>
      </c>
      <c r="CW34" s="10">
        <f t="shared" si="85"/>
        <v>0</v>
      </c>
      <c r="CX34" s="10">
        <f t="shared" si="47"/>
        <v>0</v>
      </c>
      <c r="CY34" s="99"/>
      <c r="CZ34" s="10">
        <f t="shared" si="48"/>
        <v>0</v>
      </c>
      <c r="DA34" s="10">
        <f t="shared" si="86"/>
        <v>0</v>
      </c>
      <c r="DB34" s="10">
        <f t="shared" si="49"/>
        <v>0</v>
      </c>
      <c r="DC34" s="99"/>
      <c r="DD34" s="10">
        <f t="shared" si="50"/>
        <v>0</v>
      </c>
      <c r="DE34" s="10">
        <f t="shared" si="87"/>
        <v>0</v>
      </c>
      <c r="DF34" s="10">
        <f t="shared" si="51"/>
        <v>0</v>
      </c>
      <c r="DG34" s="99">
        <f t="shared" si="52"/>
        <v>0</v>
      </c>
      <c r="DH34" s="10">
        <f t="shared" si="53"/>
        <v>0</v>
      </c>
      <c r="DI34" s="10">
        <f t="shared" si="88"/>
        <v>265144</v>
      </c>
      <c r="DJ34" s="10">
        <f t="shared" si="54"/>
        <v>18.677697360180264</v>
      </c>
      <c r="DK34" s="99">
        <v>0</v>
      </c>
      <c r="DL34" s="16">
        <f t="shared" si="55"/>
        <v>0</v>
      </c>
      <c r="DM34" s="10">
        <f t="shared" si="89"/>
        <v>0</v>
      </c>
      <c r="DN34" s="10">
        <f t="shared" si="56"/>
        <v>0</v>
      </c>
      <c r="DO34" s="10">
        <v>0</v>
      </c>
      <c r="DP34" s="10">
        <f t="shared" si="57"/>
        <v>0</v>
      </c>
      <c r="DQ34" s="10">
        <f t="shared" si="90"/>
        <v>5400</v>
      </c>
      <c r="DR34" s="10">
        <f t="shared" si="58"/>
        <v>0.3803954294457858</v>
      </c>
      <c r="DS34" s="10">
        <f t="shared" si="99"/>
        <v>62000</v>
      </c>
      <c r="DT34" s="10">
        <f t="shared" si="91"/>
        <v>1419575.416</v>
      </c>
      <c r="DU34" s="10">
        <f t="shared" si="60"/>
        <v>1.1297581953023925</v>
      </c>
      <c r="DV34" s="10">
        <f t="shared" si="61"/>
        <v>1.1044761124506242</v>
      </c>
      <c r="DW34" s="505" t="e">
        <f t="shared" si="62"/>
        <v>#DIV/0!</v>
      </c>
      <c r="DX34" s="506">
        <f t="shared" si="98"/>
        <v>0.93054717436562762</v>
      </c>
      <c r="DY34" s="6" t="str">
        <f>+Efficiency1!D118</f>
        <v>VP OW</v>
      </c>
    </row>
    <row r="35" spans="1:129">
      <c r="A35" s="17">
        <f>+Chem!A34</f>
        <v>45742</v>
      </c>
      <c r="B35" s="5" t="str">
        <f>+Chem!B34</f>
        <v>Napkin</v>
      </c>
      <c r="C35" s="5" t="str">
        <f>+Chem!C34</f>
        <v>18</v>
      </c>
      <c r="D35" s="8">
        <f>+Chem!D34</f>
        <v>57.823</v>
      </c>
      <c r="E35" s="6">
        <f>+Chem!E34</f>
        <v>57.335000000000001</v>
      </c>
      <c r="F35" s="6">
        <f t="shared" si="92"/>
        <v>1342.6279999999999</v>
      </c>
      <c r="G35" s="99"/>
      <c r="H35" s="10">
        <f t="shared" si="0"/>
        <v>0</v>
      </c>
      <c r="I35" s="8">
        <f t="shared" si="64"/>
        <v>15680.119999999999</v>
      </c>
      <c r="J35" s="10">
        <f t="shared" si="1"/>
        <v>1.0583409950425366</v>
      </c>
      <c r="K35" s="99">
        <f>52*K7</f>
        <v>13000</v>
      </c>
      <c r="L35" s="10">
        <f t="shared" si="2"/>
        <v>20.967741935483872</v>
      </c>
      <c r="M35" s="10">
        <f t="shared" si="65"/>
        <v>292500</v>
      </c>
      <c r="N35" s="10">
        <f t="shared" si="3"/>
        <v>19.742498211106927</v>
      </c>
      <c r="O35" s="99"/>
      <c r="P35" s="10">
        <f t="shared" si="4"/>
        <v>0</v>
      </c>
      <c r="Q35" s="10">
        <f t="shared" si="66"/>
        <v>0</v>
      </c>
      <c r="R35" s="10">
        <f t="shared" si="5"/>
        <v>0</v>
      </c>
      <c r="S35" s="99"/>
      <c r="T35" s="10">
        <f t="shared" si="6"/>
        <v>0</v>
      </c>
      <c r="U35" s="10">
        <f t="shared" si="67"/>
        <v>0</v>
      </c>
      <c r="V35" s="10">
        <f t="shared" si="7"/>
        <v>0</v>
      </c>
      <c r="W35" s="99"/>
      <c r="X35" s="10">
        <f t="shared" si="8"/>
        <v>0</v>
      </c>
      <c r="Y35" s="10">
        <f t="shared" si="68"/>
        <v>0</v>
      </c>
      <c r="Z35" s="10">
        <f t="shared" si="9"/>
        <v>0</v>
      </c>
      <c r="AA35" s="10">
        <f t="shared" si="69"/>
        <v>13000</v>
      </c>
      <c r="AB35" s="10">
        <f t="shared" si="10"/>
        <v>20.967741935483872</v>
      </c>
      <c r="AC35" s="10">
        <f t="shared" si="70"/>
        <v>308180.12</v>
      </c>
      <c r="AD35" s="10">
        <f t="shared" si="11"/>
        <v>20.800839206149462</v>
      </c>
      <c r="AE35" s="10"/>
      <c r="AF35" s="10">
        <f t="shared" si="12"/>
        <v>0</v>
      </c>
      <c r="AG35" s="10">
        <f t="shared" si="93"/>
        <v>6034.5360000000001</v>
      </c>
      <c r="AH35" s="10">
        <f t="shared" si="13"/>
        <v>0.40730535447815508</v>
      </c>
      <c r="AI35" s="10"/>
      <c r="AJ35" s="10">
        <f t="shared" si="14"/>
        <v>0</v>
      </c>
      <c r="AK35" s="10">
        <f t="shared" si="94"/>
        <v>7755.68</v>
      </c>
      <c r="AL35" s="10">
        <f t="shared" si="15"/>
        <v>0.52347520863561636</v>
      </c>
      <c r="AM35" s="10">
        <f t="shared" si="71"/>
        <v>0</v>
      </c>
      <c r="AN35" s="10">
        <f t="shared" si="16"/>
        <v>0</v>
      </c>
      <c r="AO35" s="10">
        <f t="shared" si="72"/>
        <v>13790.216</v>
      </c>
      <c r="AP35" s="10">
        <f t="shared" si="17"/>
        <v>0.93078056311377133</v>
      </c>
      <c r="AQ35" s="10">
        <f>196*AQ7</f>
        <v>49000</v>
      </c>
      <c r="AR35" s="10">
        <f t="shared" si="18"/>
        <v>79.032258064516128</v>
      </c>
      <c r="AS35" s="10">
        <f t="shared" si="95"/>
        <v>891000</v>
      </c>
      <c r="AT35" s="10">
        <f t="shared" si="19"/>
        <v>60.138686858448786</v>
      </c>
      <c r="AU35" s="10"/>
      <c r="AV35" s="10">
        <f t="shared" si="20"/>
        <v>0</v>
      </c>
      <c r="AW35" s="10">
        <f t="shared" si="96"/>
        <v>0</v>
      </c>
      <c r="AX35" s="10">
        <f t="shared" si="21"/>
        <v>0</v>
      </c>
      <c r="AY35" s="10">
        <f t="shared" si="73"/>
        <v>49000</v>
      </c>
      <c r="AZ35" s="10">
        <f t="shared" si="22"/>
        <v>79.032258064516128</v>
      </c>
      <c r="BA35" s="10">
        <f t="shared" si="97"/>
        <v>891000</v>
      </c>
      <c r="BB35" s="10">
        <f t="shared" si="23"/>
        <v>60.138686858448786</v>
      </c>
      <c r="BC35" s="99"/>
      <c r="BD35" s="10">
        <f t="shared" si="24"/>
        <v>0</v>
      </c>
      <c r="BE35" s="10">
        <f t="shared" si="74"/>
        <v>118634</v>
      </c>
      <c r="BF35" s="10">
        <f t="shared" si="25"/>
        <v>8.0072872915434488</v>
      </c>
      <c r="BG35" s="99"/>
      <c r="BH35" s="10" t="e">
        <f t="shared" si="26"/>
        <v>#DIV/0!</v>
      </c>
      <c r="BI35" s="10">
        <f t="shared" si="75"/>
        <v>0</v>
      </c>
      <c r="BJ35" s="10" t="e">
        <f t="shared" si="27"/>
        <v>#DIV/0!</v>
      </c>
      <c r="BK35" s="99"/>
      <c r="BL35" s="10">
        <f t="shared" si="28"/>
        <v>0</v>
      </c>
      <c r="BM35" s="10">
        <f>BK35+BM34</f>
        <v>36785</v>
      </c>
      <c r="BN35" s="10">
        <f t="shared" si="29"/>
        <v>2.4828300741728833</v>
      </c>
      <c r="BO35" s="99"/>
      <c r="BP35" s="10">
        <f t="shared" si="30"/>
        <v>0</v>
      </c>
      <c r="BQ35" s="10">
        <f t="shared" si="100"/>
        <v>0</v>
      </c>
      <c r="BR35" s="10">
        <f t="shared" si="31"/>
        <v>0</v>
      </c>
      <c r="BS35" s="99"/>
      <c r="BT35" s="10">
        <f t="shared" si="32"/>
        <v>0</v>
      </c>
      <c r="BU35" s="10">
        <f t="shared" si="78"/>
        <v>0</v>
      </c>
      <c r="BV35" s="10">
        <f t="shared" si="33"/>
        <v>0</v>
      </c>
      <c r="BW35" s="99"/>
      <c r="BX35" s="10">
        <f t="shared" si="34"/>
        <v>0</v>
      </c>
      <c r="BY35" s="10">
        <f t="shared" si="79"/>
        <v>0</v>
      </c>
      <c r="BZ35" s="10">
        <f t="shared" si="35"/>
        <v>0</v>
      </c>
      <c r="CA35" s="99"/>
      <c r="CB35" s="10">
        <f t="shared" si="36"/>
        <v>0</v>
      </c>
      <c r="CC35" s="10">
        <f t="shared" si="80"/>
        <v>84200</v>
      </c>
      <c r="CD35" s="10">
        <f t="shared" si="37"/>
        <v>5.6831396559836014</v>
      </c>
      <c r="CE35" s="99"/>
      <c r="CF35" s="10">
        <f t="shared" si="38"/>
        <v>0</v>
      </c>
      <c r="CG35" s="10">
        <f t="shared" si="81"/>
        <v>0</v>
      </c>
      <c r="CH35" s="10">
        <f t="shared" si="39"/>
        <v>0</v>
      </c>
      <c r="CI35" s="99"/>
      <c r="CJ35" s="10">
        <f t="shared" si="40"/>
        <v>0</v>
      </c>
      <c r="CK35" s="10">
        <f t="shared" si="82"/>
        <v>10630</v>
      </c>
      <c r="CL35" s="10">
        <f t="shared" si="41"/>
        <v>0.71747950763783463</v>
      </c>
      <c r="CM35" s="99"/>
      <c r="CN35" s="10">
        <f t="shared" si="42"/>
        <v>0</v>
      </c>
      <c r="CO35" s="10">
        <f t="shared" si="83"/>
        <v>0</v>
      </c>
      <c r="CP35" s="10">
        <f t="shared" si="43"/>
        <v>0</v>
      </c>
      <c r="CQ35" s="99"/>
      <c r="CR35" s="10">
        <f t="shared" si="44"/>
        <v>0</v>
      </c>
      <c r="CS35" s="10">
        <f t="shared" si="84"/>
        <v>14895</v>
      </c>
      <c r="CT35" s="10">
        <f t="shared" si="45"/>
        <v>1.0053487550579066</v>
      </c>
      <c r="CU35" s="99"/>
      <c r="CV35" s="10">
        <f t="shared" si="46"/>
        <v>0</v>
      </c>
      <c r="CW35" s="10">
        <f t="shared" si="85"/>
        <v>0</v>
      </c>
      <c r="CX35" s="10">
        <f t="shared" si="47"/>
        <v>0</v>
      </c>
      <c r="CY35" s="99"/>
      <c r="CZ35" s="10">
        <f t="shared" si="48"/>
        <v>0</v>
      </c>
      <c r="DA35" s="10">
        <f t="shared" si="86"/>
        <v>0</v>
      </c>
      <c r="DB35" s="10">
        <f t="shared" si="49"/>
        <v>0</v>
      </c>
      <c r="DC35" s="99"/>
      <c r="DD35" s="10">
        <f t="shared" si="50"/>
        <v>0</v>
      </c>
      <c r="DE35" s="10">
        <f t="shared" si="87"/>
        <v>0</v>
      </c>
      <c r="DF35" s="10">
        <f t="shared" si="51"/>
        <v>0</v>
      </c>
      <c r="DG35" s="99">
        <f t="shared" si="52"/>
        <v>0</v>
      </c>
      <c r="DH35" s="10">
        <f t="shared" si="53"/>
        <v>0</v>
      </c>
      <c r="DI35" s="10">
        <f t="shared" si="88"/>
        <v>265144</v>
      </c>
      <c r="DJ35" s="10">
        <f t="shared" si="54"/>
        <v>17.896085284395674</v>
      </c>
      <c r="DK35" s="99">
        <v>0</v>
      </c>
      <c r="DL35" s="16">
        <f t="shared" si="55"/>
        <v>0</v>
      </c>
      <c r="DM35" s="10">
        <f t="shared" si="89"/>
        <v>0</v>
      </c>
      <c r="DN35" s="10">
        <f t="shared" si="56"/>
        <v>0</v>
      </c>
      <c r="DO35" s="10">
        <v>0</v>
      </c>
      <c r="DP35" s="10">
        <f t="shared" si="57"/>
        <v>0</v>
      </c>
      <c r="DQ35" s="10">
        <f t="shared" si="90"/>
        <v>5400</v>
      </c>
      <c r="DR35" s="10">
        <f t="shared" si="58"/>
        <v>0.36447689005120476</v>
      </c>
      <c r="DS35" s="10">
        <f t="shared" si="99"/>
        <v>62000</v>
      </c>
      <c r="DT35" s="10">
        <f t="shared" si="91"/>
        <v>1481575.416</v>
      </c>
      <c r="DU35" s="10">
        <f t="shared" si="60"/>
        <v>1.081363913839714</v>
      </c>
      <c r="DV35" s="10">
        <f t="shared" si="61"/>
        <v>1.1034891392105632</v>
      </c>
      <c r="DW35" s="505" t="e">
        <f t="shared" si="62"/>
        <v>#DIV/0!</v>
      </c>
      <c r="DX35" s="506">
        <f t="shared" si="98"/>
        <v>0.93054717436562762</v>
      </c>
      <c r="DY35" s="6" t="str">
        <f>+Efficiency1!D123</f>
        <v>VP OW</v>
      </c>
    </row>
    <row r="36" spans="1:129">
      <c r="A36" s="17">
        <f>+Chem!A35</f>
        <v>45743</v>
      </c>
      <c r="B36" s="5" t="str">
        <f>+Chem!B35</f>
        <v>Napkin</v>
      </c>
      <c r="C36" s="5" t="str">
        <f>+Chem!C35</f>
        <v>18/20</v>
      </c>
      <c r="D36" s="8">
        <f>+Chem!D35</f>
        <v>64.804000000000002</v>
      </c>
      <c r="E36" s="6">
        <f>+Chem!E35</f>
        <v>62.234000000000002</v>
      </c>
      <c r="F36" s="6">
        <f t="shared" si="92"/>
        <v>1404.8619999999999</v>
      </c>
      <c r="G36" s="99"/>
      <c r="H36" s="10">
        <f t="shared" si="0"/>
        <v>0</v>
      </c>
      <c r="I36" s="8">
        <f t="shared" si="64"/>
        <v>15680.119999999999</v>
      </c>
      <c r="J36" s="10">
        <f t="shared" si="1"/>
        <v>1.0105609149160779</v>
      </c>
      <c r="K36" s="99">
        <f>4*K7</f>
        <v>1000</v>
      </c>
      <c r="L36" s="10">
        <f t="shared" si="2"/>
        <v>1.4275517487508922</v>
      </c>
      <c r="M36" s="10">
        <f t="shared" si="65"/>
        <v>293500</v>
      </c>
      <c r="N36" s="10">
        <f t="shared" si="3"/>
        <v>18.915647873094649</v>
      </c>
      <c r="O36" s="99"/>
      <c r="P36" s="10">
        <f t="shared" si="4"/>
        <v>0</v>
      </c>
      <c r="Q36" s="10">
        <f t="shared" si="66"/>
        <v>0</v>
      </c>
      <c r="R36" s="10">
        <f t="shared" si="5"/>
        <v>0</v>
      </c>
      <c r="S36" s="99"/>
      <c r="T36" s="10">
        <f t="shared" si="6"/>
        <v>0</v>
      </c>
      <c r="U36" s="10">
        <f t="shared" si="67"/>
        <v>0</v>
      </c>
      <c r="V36" s="10">
        <f t="shared" si="7"/>
        <v>0</v>
      </c>
      <c r="W36" s="99"/>
      <c r="X36" s="10">
        <f t="shared" si="8"/>
        <v>0</v>
      </c>
      <c r="Y36" s="10">
        <f t="shared" si="68"/>
        <v>0</v>
      </c>
      <c r="Z36" s="10">
        <f t="shared" si="9"/>
        <v>0</v>
      </c>
      <c r="AA36" s="10">
        <f t="shared" si="69"/>
        <v>1000</v>
      </c>
      <c r="AB36" s="10">
        <f t="shared" si="10"/>
        <v>1.4275517487508922</v>
      </c>
      <c r="AC36" s="10">
        <f t="shared" si="70"/>
        <v>309180.12</v>
      </c>
      <c r="AD36" s="10">
        <f t="shared" si="11"/>
        <v>19.926208788010726</v>
      </c>
      <c r="AE36" s="10"/>
      <c r="AF36" s="10">
        <f t="shared" si="12"/>
        <v>0</v>
      </c>
      <c r="AG36" s="10">
        <f t="shared" si="93"/>
        <v>6034.5360000000001</v>
      </c>
      <c r="AH36" s="10">
        <f t="shared" si="13"/>
        <v>0.38891706321469538</v>
      </c>
      <c r="AI36" s="10"/>
      <c r="AJ36" s="10">
        <f t="shared" si="14"/>
        <v>0</v>
      </c>
      <c r="AK36" s="10">
        <f t="shared" si="94"/>
        <v>7755.68</v>
      </c>
      <c r="AL36" s="10">
        <f t="shared" si="15"/>
        <v>0.49984228925520519</v>
      </c>
      <c r="AM36" s="10">
        <f t="shared" si="71"/>
        <v>0</v>
      </c>
      <c r="AN36" s="10">
        <f t="shared" si="16"/>
        <v>0</v>
      </c>
      <c r="AO36" s="10">
        <f t="shared" si="72"/>
        <v>13790.216</v>
      </c>
      <c r="AP36" s="10">
        <f t="shared" si="17"/>
        <v>0.88875935246990057</v>
      </c>
      <c r="AQ36" s="10">
        <f>18*AQ7</f>
        <v>4500</v>
      </c>
      <c r="AR36" s="10">
        <f t="shared" si="18"/>
        <v>6.4239828693790146</v>
      </c>
      <c r="AS36" s="10">
        <f t="shared" si="95"/>
        <v>895500</v>
      </c>
      <c r="AT36" s="10">
        <f t="shared" si="19"/>
        <v>57.713671789970213</v>
      </c>
      <c r="AU36" s="10"/>
      <c r="AV36" s="10">
        <f t="shared" si="20"/>
        <v>0</v>
      </c>
      <c r="AW36" s="10">
        <f t="shared" si="96"/>
        <v>0</v>
      </c>
      <c r="AX36" s="10">
        <f t="shared" si="21"/>
        <v>0</v>
      </c>
      <c r="AY36" s="10">
        <f t="shared" si="73"/>
        <v>4500</v>
      </c>
      <c r="AZ36" s="10">
        <f t="shared" si="22"/>
        <v>6.4239828693790146</v>
      </c>
      <c r="BA36" s="10">
        <f t="shared" si="97"/>
        <v>895500</v>
      </c>
      <c r="BB36" s="10">
        <f t="shared" si="23"/>
        <v>57.713671789970213</v>
      </c>
      <c r="BC36" s="99">
        <v>23024</v>
      </c>
      <c r="BD36" s="10">
        <f t="shared" si="24"/>
        <v>32.867951463240544</v>
      </c>
      <c r="BE36" s="10">
        <f t="shared" si="74"/>
        <v>141658</v>
      </c>
      <c r="BF36" s="10">
        <f t="shared" si="25"/>
        <v>9.129651946871693</v>
      </c>
      <c r="BG36" s="99">
        <v>22694</v>
      </c>
      <c r="BH36" s="10" t="e">
        <f t="shared" si="26"/>
        <v>#DIV/0!</v>
      </c>
      <c r="BI36" s="10">
        <f t="shared" si="75"/>
        <v>22694</v>
      </c>
      <c r="BJ36" s="10" t="e">
        <f t="shared" si="27"/>
        <v>#DIV/0!</v>
      </c>
      <c r="BK36" s="99"/>
      <c r="BL36" s="10">
        <f t="shared" si="28"/>
        <v>0</v>
      </c>
      <c r="BM36" s="10">
        <f t="shared" si="76"/>
        <v>36785</v>
      </c>
      <c r="BN36" s="10">
        <f t="shared" si="29"/>
        <v>2.3707397172462921</v>
      </c>
      <c r="BO36" s="99"/>
      <c r="BP36" s="10">
        <f t="shared" si="30"/>
        <v>0</v>
      </c>
      <c r="BQ36" s="10">
        <f t="shared" si="100"/>
        <v>0</v>
      </c>
      <c r="BR36" s="10">
        <f t="shared" si="31"/>
        <v>0</v>
      </c>
      <c r="BS36" s="99">
        <v>3660</v>
      </c>
      <c r="BT36" s="10">
        <f t="shared" si="32"/>
        <v>5.224839400428265</v>
      </c>
      <c r="BU36" s="10">
        <f t="shared" si="78"/>
        <v>3660</v>
      </c>
      <c r="BV36" s="10">
        <f t="shared" si="33"/>
        <v>0.23588167364744947</v>
      </c>
      <c r="BW36" s="99">
        <v>9276</v>
      </c>
      <c r="BX36" s="10">
        <f t="shared" si="34"/>
        <v>13.241970021413277</v>
      </c>
      <c r="BY36" s="10">
        <f t="shared" si="79"/>
        <v>9276</v>
      </c>
      <c r="BZ36" s="10">
        <f t="shared" si="35"/>
        <v>0.59782470075238836</v>
      </c>
      <c r="CA36" s="99"/>
      <c r="CB36" s="10">
        <f t="shared" si="36"/>
        <v>0</v>
      </c>
      <c r="CC36" s="10">
        <f t="shared" si="80"/>
        <v>84200</v>
      </c>
      <c r="CD36" s="10">
        <f t="shared" si="37"/>
        <v>5.4265674647855855</v>
      </c>
      <c r="CE36" s="99"/>
      <c r="CF36" s="10">
        <f t="shared" si="38"/>
        <v>0</v>
      </c>
      <c r="CG36" s="10">
        <f t="shared" si="81"/>
        <v>0</v>
      </c>
      <c r="CH36" s="10">
        <f t="shared" si="39"/>
        <v>0</v>
      </c>
      <c r="CI36" s="99"/>
      <c r="CJ36" s="10">
        <f t="shared" si="40"/>
        <v>0</v>
      </c>
      <c r="CK36" s="10">
        <f t="shared" si="82"/>
        <v>10630</v>
      </c>
      <c r="CL36" s="10">
        <f t="shared" si="41"/>
        <v>0.68508803029300214</v>
      </c>
      <c r="CM36" s="99">
        <v>4964</v>
      </c>
      <c r="CN36" s="10">
        <f t="shared" si="42"/>
        <v>7.0863668807994289</v>
      </c>
      <c r="CO36" s="10">
        <f t="shared" si="83"/>
        <v>4964</v>
      </c>
      <c r="CP36" s="10">
        <f t="shared" si="43"/>
        <v>0.31992257595244239</v>
      </c>
      <c r="CQ36" s="99"/>
      <c r="CR36" s="10">
        <f t="shared" si="44"/>
        <v>0</v>
      </c>
      <c r="CS36" s="10">
        <f t="shared" si="84"/>
        <v>14895</v>
      </c>
      <c r="CT36" s="10">
        <f t="shared" si="45"/>
        <v>0.95996107349146442</v>
      </c>
      <c r="CU36" s="99"/>
      <c r="CV36" s="10">
        <f t="shared" si="46"/>
        <v>0</v>
      </c>
      <c r="CW36" s="10">
        <f t="shared" si="85"/>
        <v>0</v>
      </c>
      <c r="CX36" s="10">
        <f t="shared" si="47"/>
        <v>0</v>
      </c>
      <c r="CY36" s="99">
        <v>932</v>
      </c>
      <c r="CZ36" s="10">
        <f t="shared" si="48"/>
        <v>1.3304782298358315</v>
      </c>
      <c r="DA36" s="10">
        <f t="shared" si="86"/>
        <v>932</v>
      </c>
      <c r="DB36" s="10">
        <f t="shared" si="49"/>
        <v>6.0066043671973476E-2</v>
      </c>
      <c r="DC36" s="99"/>
      <c r="DD36" s="10">
        <f t="shared" si="50"/>
        <v>0</v>
      </c>
      <c r="DE36" s="10">
        <f t="shared" si="87"/>
        <v>0</v>
      </c>
      <c r="DF36" s="10">
        <f t="shared" si="51"/>
        <v>0</v>
      </c>
      <c r="DG36" s="99">
        <f t="shared" si="52"/>
        <v>64550</v>
      </c>
      <c r="DH36" s="10">
        <f t="shared" si="53"/>
        <v>92.148465381870096</v>
      </c>
      <c r="DI36" s="10">
        <f t="shared" si="88"/>
        <v>329694</v>
      </c>
      <c r="DJ36" s="10">
        <f t="shared" si="54"/>
        <v>21.248298500415903</v>
      </c>
      <c r="DK36" s="99">
        <v>0</v>
      </c>
      <c r="DL36" s="16">
        <f t="shared" si="55"/>
        <v>0</v>
      </c>
      <c r="DM36" s="10">
        <f t="shared" si="89"/>
        <v>0</v>
      </c>
      <c r="DN36" s="10">
        <f t="shared" si="56"/>
        <v>0</v>
      </c>
      <c r="DO36" s="10">
        <v>0</v>
      </c>
      <c r="DP36" s="10">
        <f t="shared" si="57"/>
        <v>0</v>
      </c>
      <c r="DQ36" s="10">
        <f t="shared" si="90"/>
        <v>5400</v>
      </c>
      <c r="DR36" s="10">
        <f t="shared" si="58"/>
        <v>0.34802214144705657</v>
      </c>
      <c r="DS36" s="10">
        <f t="shared" si="99"/>
        <v>70050</v>
      </c>
      <c r="DT36" s="10">
        <f t="shared" si="91"/>
        <v>1551625.416</v>
      </c>
      <c r="DU36" s="10">
        <f t="shared" si="60"/>
        <v>1.1255905132242825</v>
      </c>
      <c r="DV36" s="10">
        <f t="shared" si="61"/>
        <v>1.1044682082652959</v>
      </c>
      <c r="DW36" s="505">
        <f t="shared" si="62"/>
        <v>0.96412083656080561</v>
      </c>
      <c r="DX36" s="506">
        <f>+(((SUM($E$10:$E$14))+E36)*1000)/DI36</f>
        <v>0.93712048141610083</v>
      </c>
      <c r="DY36" s="5" t="str">
        <f>+Efficiency1!D128</f>
        <v>RC HW</v>
      </c>
    </row>
    <row r="37" spans="1:129">
      <c r="A37" s="17">
        <f>+Chem!A36</f>
        <v>45744</v>
      </c>
      <c r="B37" s="5" t="str">
        <f>+Chem!B36</f>
        <v>Napkin/Towel</v>
      </c>
      <c r="C37" s="5" t="str">
        <f>+Chem!C36</f>
        <v>20/30</v>
      </c>
      <c r="D37" s="8">
        <f>+Chem!D36</f>
        <v>64.551000000000002</v>
      </c>
      <c r="E37" s="6">
        <f>+Chem!E36</f>
        <v>63.216000000000001</v>
      </c>
      <c r="F37" s="6">
        <f t="shared" si="92"/>
        <v>1468.0779999999997</v>
      </c>
      <c r="G37" s="99"/>
      <c r="H37" s="10">
        <f t="shared" si="0"/>
        <v>0</v>
      </c>
      <c r="I37" s="8">
        <f t="shared" si="64"/>
        <v>15680.119999999999</v>
      </c>
      <c r="J37" s="10">
        <f t="shared" si="1"/>
        <v>0.96435753465004803</v>
      </c>
      <c r="K37" s="99">
        <v>0</v>
      </c>
      <c r="L37" s="10">
        <f t="shared" si="2"/>
        <v>0</v>
      </c>
      <c r="M37" s="10">
        <f t="shared" si="65"/>
        <v>293500</v>
      </c>
      <c r="N37" s="10">
        <f t="shared" si="3"/>
        <v>18.050814433804661</v>
      </c>
      <c r="O37" s="99"/>
      <c r="P37" s="10">
        <f t="shared" si="4"/>
        <v>0</v>
      </c>
      <c r="Q37" s="10">
        <f t="shared" si="66"/>
        <v>0</v>
      </c>
      <c r="R37" s="10">
        <f t="shared" si="5"/>
        <v>0</v>
      </c>
      <c r="S37" s="99"/>
      <c r="T37" s="10">
        <f t="shared" si="6"/>
        <v>0</v>
      </c>
      <c r="U37" s="10">
        <f t="shared" si="67"/>
        <v>0</v>
      </c>
      <c r="V37" s="10">
        <f t="shared" si="7"/>
        <v>0</v>
      </c>
      <c r="W37" s="99"/>
      <c r="X37" s="10">
        <f t="shared" si="8"/>
        <v>0</v>
      </c>
      <c r="Y37" s="10">
        <f t="shared" si="68"/>
        <v>0</v>
      </c>
      <c r="Z37" s="10">
        <f t="shared" si="9"/>
        <v>0</v>
      </c>
      <c r="AA37" s="10">
        <f t="shared" si="69"/>
        <v>0</v>
      </c>
      <c r="AB37" s="10">
        <f t="shared" si="10"/>
        <v>0</v>
      </c>
      <c r="AC37" s="10">
        <f t="shared" si="70"/>
        <v>309180.12</v>
      </c>
      <c r="AD37" s="10">
        <f t="shared" si="11"/>
        <v>19.015171968454709</v>
      </c>
      <c r="AE37" s="10"/>
      <c r="AF37" s="10">
        <f t="shared" si="12"/>
        <v>0</v>
      </c>
      <c r="AG37" s="10">
        <f t="shared" si="93"/>
        <v>6034.5360000000001</v>
      </c>
      <c r="AH37" s="10">
        <f t="shared" si="13"/>
        <v>0.37113556909749185</v>
      </c>
      <c r="AI37" s="10"/>
      <c r="AJ37" s="10">
        <f t="shared" si="14"/>
        <v>0</v>
      </c>
      <c r="AK37" s="10">
        <f t="shared" si="94"/>
        <v>7755.68</v>
      </c>
      <c r="AL37" s="10">
        <f t="shared" si="15"/>
        <v>0.47698923505270913</v>
      </c>
      <c r="AM37" s="10">
        <f t="shared" si="71"/>
        <v>0</v>
      </c>
      <c r="AN37" s="10">
        <f t="shared" si="16"/>
        <v>0</v>
      </c>
      <c r="AO37" s="10">
        <f t="shared" si="72"/>
        <v>13790.216</v>
      </c>
      <c r="AP37" s="10">
        <f t="shared" si="17"/>
        <v>0.84812480415020108</v>
      </c>
      <c r="AQ37" s="10"/>
      <c r="AR37" s="10">
        <f t="shared" si="18"/>
        <v>0</v>
      </c>
      <c r="AS37" s="10">
        <f t="shared" si="95"/>
        <v>895500</v>
      </c>
      <c r="AT37" s="10">
        <f t="shared" si="19"/>
        <v>55.074972148116096</v>
      </c>
      <c r="AU37" s="10"/>
      <c r="AV37" s="10">
        <f t="shared" si="20"/>
        <v>0</v>
      </c>
      <c r="AW37" s="10">
        <f t="shared" si="96"/>
        <v>0</v>
      </c>
      <c r="AX37" s="10">
        <f t="shared" si="21"/>
        <v>0</v>
      </c>
      <c r="AY37" s="10">
        <f t="shared" si="73"/>
        <v>0</v>
      </c>
      <c r="AZ37" s="10">
        <f t="shared" si="22"/>
        <v>0</v>
      </c>
      <c r="BA37" s="10">
        <f t="shared" si="97"/>
        <v>895500</v>
      </c>
      <c r="BB37" s="10">
        <f t="shared" si="23"/>
        <v>55.074972148116096</v>
      </c>
      <c r="BC37" s="99">
        <v>26625</v>
      </c>
      <c r="BD37" s="10">
        <f t="shared" si="24"/>
        <v>35.815173527037935</v>
      </c>
      <c r="BE37" s="10">
        <f t="shared" si="74"/>
        <v>168283</v>
      </c>
      <c r="BF37" s="10">
        <f t="shared" si="25"/>
        <v>10.349728127304768</v>
      </c>
      <c r="BG37" s="99">
        <v>26290</v>
      </c>
      <c r="BH37" s="10" t="e">
        <f t="shared" si="26"/>
        <v>#DIV/0!</v>
      </c>
      <c r="BI37" s="10">
        <f t="shared" si="75"/>
        <v>48984</v>
      </c>
      <c r="BJ37" s="10" t="e">
        <f t="shared" si="27"/>
        <v>#DIV/0!</v>
      </c>
      <c r="BK37" s="99"/>
      <c r="BL37" s="10">
        <f t="shared" si="28"/>
        <v>0</v>
      </c>
      <c r="BM37" s="10">
        <f t="shared" si="76"/>
        <v>36785</v>
      </c>
      <c r="BN37" s="10">
        <f t="shared" si="29"/>
        <v>2.2623482417291467</v>
      </c>
      <c r="BO37" s="99"/>
      <c r="BP37" s="10">
        <f t="shared" si="30"/>
        <v>0</v>
      </c>
      <c r="BQ37" s="10">
        <f t="shared" si="100"/>
        <v>0</v>
      </c>
      <c r="BR37" s="10">
        <f t="shared" si="31"/>
        <v>0</v>
      </c>
      <c r="BS37" s="99">
        <v>10670</v>
      </c>
      <c r="BT37" s="10">
        <f t="shared" si="32"/>
        <v>14.352972827549099</v>
      </c>
      <c r="BU37" s="10">
        <f t="shared" si="78"/>
        <v>14330</v>
      </c>
      <c r="BV37" s="10">
        <f t="shared" si="33"/>
        <v>0.88132255821608452</v>
      </c>
      <c r="BW37" s="99">
        <v>6365</v>
      </c>
      <c r="BX37" s="10">
        <f t="shared" si="34"/>
        <v>8.5620123755716975</v>
      </c>
      <c r="BY37" s="10">
        <f t="shared" si="79"/>
        <v>15641</v>
      </c>
      <c r="BZ37" s="10">
        <f t="shared" si="35"/>
        <v>0.96195157941784903</v>
      </c>
      <c r="CA37" s="99"/>
      <c r="CB37" s="10">
        <f t="shared" si="36"/>
        <v>0</v>
      </c>
      <c r="CC37" s="10">
        <f t="shared" si="80"/>
        <v>84200</v>
      </c>
      <c r="CD37" s="10">
        <f t="shared" si="37"/>
        <v>5.1784619261545224</v>
      </c>
      <c r="CE37" s="99"/>
      <c r="CF37" s="10">
        <f t="shared" si="38"/>
        <v>0</v>
      </c>
      <c r="CG37" s="10">
        <f t="shared" si="81"/>
        <v>0</v>
      </c>
      <c r="CH37" s="10">
        <f t="shared" si="39"/>
        <v>0</v>
      </c>
      <c r="CI37" s="99"/>
      <c r="CJ37" s="10">
        <f t="shared" si="40"/>
        <v>0</v>
      </c>
      <c r="CK37" s="10">
        <f t="shared" si="82"/>
        <v>10630</v>
      </c>
      <c r="CL37" s="10">
        <f t="shared" si="41"/>
        <v>0.65376544269623016</v>
      </c>
      <c r="CM37" s="99">
        <v>4390</v>
      </c>
      <c r="CN37" s="10">
        <f t="shared" si="42"/>
        <v>5.9052999730965832</v>
      </c>
      <c r="CO37" s="10">
        <f t="shared" si="83"/>
        <v>9354</v>
      </c>
      <c r="CP37" s="10">
        <f t="shared" si="43"/>
        <v>0.57528898880343715</v>
      </c>
      <c r="CQ37" s="99"/>
      <c r="CR37" s="10">
        <f t="shared" si="44"/>
        <v>0</v>
      </c>
      <c r="CS37" s="10">
        <f t="shared" si="84"/>
        <v>14895</v>
      </c>
      <c r="CT37" s="10">
        <f t="shared" si="45"/>
        <v>0.91607114477519747</v>
      </c>
      <c r="CU37" s="99"/>
      <c r="CV37" s="10">
        <f t="shared" si="46"/>
        <v>0</v>
      </c>
      <c r="CW37" s="10">
        <f t="shared" si="85"/>
        <v>0</v>
      </c>
      <c r="CX37" s="10">
        <f t="shared" si="47"/>
        <v>0</v>
      </c>
      <c r="CY37" s="99"/>
      <c r="CZ37" s="10">
        <f t="shared" si="48"/>
        <v>0</v>
      </c>
      <c r="DA37" s="10">
        <f t="shared" si="86"/>
        <v>932</v>
      </c>
      <c r="DB37" s="10">
        <f t="shared" si="49"/>
        <v>5.7319792341757908E-2</v>
      </c>
      <c r="DC37" s="99"/>
      <c r="DD37" s="10">
        <f t="shared" si="50"/>
        <v>0</v>
      </c>
      <c r="DE37" s="10">
        <f t="shared" si="87"/>
        <v>0</v>
      </c>
      <c r="DF37" s="10">
        <f t="shared" si="51"/>
        <v>0</v>
      </c>
      <c r="DG37" s="99">
        <f t="shared" si="52"/>
        <v>74340</v>
      </c>
      <c r="DH37" s="10">
        <f t="shared" si="53"/>
        <v>100</v>
      </c>
      <c r="DI37" s="10">
        <f t="shared" si="88"/>
        <v>404034</v>
      </c>
      <c r="DJ37" s="10">
        <f t="shared" si="54"/>
        <v>24.848868003229413</v>
      </c>
      <c r="DK37" s="99"/>
      <c r="DL37" s="16">
        <f t="shared" si="55"/>
        <v>0</v>
      </c>
      <c r="DM37" s="10">
        <f t="shared" si="89"/>
        <v>0</v>
      </c>
      <c r="DN37" s="10">
        <f t="shared" si="56"/>
        <v>0</v>
      </c>
      <c r="DO37" s="10">
        <v>0</v>
      </c>
      <c r="DP37" s="10">
        <f t="shared" si="57"/>
        <v>0</v>
      </c>
      <c r="DQ37" s="10">
        <f t="shared" si="90"/>
        <v>5400</v>
      </c>
      <c r="DR37" s="10">
        <f t="shared" si="58"/>
        <v>0.3321103848127604</v>
      </c>
      <c r="DS37" s="10">
        <f t="shared" si="99"/>
        <v>74340</v>
      </c>
      <c r="DT37" s="10">
        <f t="shared" si="91"/>
        <v>1625965.416</v>
      </c>
      <c r="DU37" s="10">
        <f t="shared" si="60"/>
        <v>1.1759681093394079</v>
      </c>
      <c r="DV37" s="10">
        <f t="shared" si="61"/>
        <v>1.1075470213435528</v>
      </c>
      <c r="DW37" s="505">
        <f t="shared" si="62"/>
        <v>0.85036319612590794</v>
      </c>
      <c r="DX37" s="506">
        <f>+(((SUM($E$10:$E$14))+E36+E37)*1000)/DI37</f>
        <v>0.92115762534836176</v>
      </c>
      <c r="DY37" s="5" t="str">
        <f>+Efficiency1!D132</f>
        <v>RC HW</v>
      </c>
    </row>
    <row r="38" spans="1:129">
      <c r="A38" s="17">
        <f>+Chem!A37</f>
        <v>45745</v>
      </c>
      <c r="B38" s="5" t="str">
        <f>+Chem!B37</f>
        <v>Towel</v>
      </c>
      <c r="C38" s="5" t="str">
        <f>+Chem!C37</f>
        <v>30</v>
      </c>
      <c r="D38" s="8">
        <f>+Chem!D37</f>
        <v>68.784999999999997</v>
      </c>
      <c r="E38" s="6">
        <f>+Chem!E37</f>
        <v>68.724999999999994</v>
      </c>
      <c r="F38" s="6">
        <f>+E38+F37</f>
        <v>1536.8029999999997</v>
      </c>
      <c r="G38" s="99"/>
      <c r="H38" s="10">
        <f t="shared" si="0"/>
        <v>0</v>
      </c>
      <c r="I38" s="8">
        <f>G38+I37</f>
        <v>15680.119999999999</v>
      </c>
      <c r="J38" s="10">
        <f t="shared" si="1"/>
        <v>0.92030532848903968</v>
      </c>
      <c r="K38" s="99">
        <f>4*K7</f>
        <v>1000</v>
      </c>
      <c r="L38" s="10">
        <f t="shared" si="2"/>
        <v>1.2848515996402414</v>
      </c>
      <c r="M38" s="10">
        <f>+K38+M37</f>
        <v>294500</v>
      </c>
      <c r="N38" s="10">
        <f t="shared" si="3"/>
        <v>17.284939097406284</v>
      </c>
      <c r="O38" s="99"/>
      <c r="P38" s="10">
        <f t="shared" si="4"/>
        <v>0</v>
      </c>
      <c r="Q38" s="10">
        <f>+O38+Q37</f>
        <v>0</v>
      </c>
      <c r="R38" s="10">
        <f t="shared" si="5"/>
        <v>0</v>
      </c>
      <c r="S38" s="99"/>
      <c r="T38" s="10">
        <f t="shared" si="6"/>
        <v>0</v>
      </c>
      <c r="U38" s="10">
        <f>+S38+U37</f>
        <v>0</v>
      </c>
      <c r="V38" s="10">
        <f t="shared" si="7"/>
        <v>0</v>
      </c>
      <c r="W38" s="99"/>
      <c r="X38" s="10">
        <f t="shared" si="8"/>
        <v>0</v>
      </c>
      <c r="Y38" s="10">
        <f>+W38+Y37</f>
        <v>0</v>
      </c>
      <c r="Z38" s="10">
        <f t="shared" si="9"/>
        <v>0</v>
      </c>
      <c r="AA38" s="10">
        <f>G38+K38+W38+S38+O38</f>
        <v>1000</v>
      </c>
      <c r="AB38" s="10">
        <f t="shared" si="10"/>
        <v>1.2848515996402414</v>
      </c>
      <c r="AC38" s="10">
        <f>AA38+AC37</f>
        <v>310180.12</v>
      </c>
      <c r="AD38" s="10">
        <f t="shared" si="11"/>
        <v>18.205244425895319</v>
      </c>
      <c r="AE38" s="10"/>
      <c r="AF38" s="10">
        <f t="shared" si="12"/>
        <v>0</v>
      </c>
      <c r="AG38" s="10">
        <f t="shared" si="93"/>
        <v>6034.5360000000001</v>
      </c>
      <c r="AH38" s="10">
        <f t="shared" si="13"/>
        <v>0.35418196007166625</v>
      </c>
      <c r="AI38" s="10"/>
      <c r="AJ38" s="10">
        <f t="shared" si="14"/>
        <v>0</v>
      </c>
      <c r="AK38" s="10">
        <f t="shared" si="94"/>
        <v>7755.68</v>
      </c>
      <c r="AL38" s="10">
        <f t="shared" si="15"/>
        <v>0.45520019171127996</v>
      </c>
      <c r="AM38" s="10">
        <f t="shared" si="71"/>
        <v>0</v>
      </c>
      <c r="AN38" s="10">
        <f t="shared" si="16"/>
        <v>0</v>
      </c>
      <c r="AO38" s="10">
        <f t="shared" si="72"/>
        <v>13790.216</v>
      </c>
      <c r="AP38" s="10">
        <f t="shared" si="17"/>
        <v>0.80938215178294626</v>
      </c>
      <c r="AQ38" s="10"/>
      <c r="AR38" s="10">
        <f t="shared" si="18"/>
        <v>0</v>
      </c>
      <c r="AS38" s="10">
        <f>+AQ38+AS37</f>
        <v>895500</v>
      </c>
      <c r="AT38" s="10">
        <f t="shared" si="19"/>
        <v>52.55912720450705</v>
      </c>
      <c r="AU38" s="10"/>
      <c r="AV38" s="10">
        <f t="shared" si="20"/>
        <v>0</v>
      </c>
      <c r="AW38" s="10">
        <f>+AU38+AW37</f>
        <v>0</v>
      </c>
      <c r="AX38" s="10">
        <f t="shared" si="21"/>
        <v>0</v>
      </c>
      <c r="AY38" s="10">
        <f>+AQ38+AU38</f>
        <v>0</v>
      </c>
      <c r="AZ38" s="10">
        <f t="shared" si="22"/>
        <v>0</v>
      </c>
      <c r="BA38" s="10">
        <f>+AY38+BA37</f>
        <v>895500</v>
      </c>
      <c r="BB38" s="10">
        <f t="shared" si="23"/>
        <v>52.55912720450705</v>
      </c>
      <c r="BC38" s="99">
        <v>27200</v>
      </c>
      <c r="BD38" s="10">
        <f t="shared" si="24"/>
        <v>34.947963510214571</v>
      </c>
      <c r="BE38" s="10">
        <f>BC38+BE37</f>
        <v>195483</v>
      </c>
      <c r="BF38" s="10">
        <f t="shared" si="25"/>
        <v>11.473384548652877</v>
      </c>
      <c r="BG38" s="99">
        <v>27180</v>
      </c>
      <c r="BH38" s="10" t="e">
        <f t="shared" si="26"/>
        <v>#DIV/0!</v>
      </c>
      <c r="BI38" s="10">
        <f>BG38+BI37</f>
        <v>76164</v>
      </c>
      <c r="BJ38" s="10" t="e">
        <f t="shared" si="27"/>
        <v>#DIV/0!</v>
      </c>
      <c r="BK38" s="99"/>
      <c r="BL38" s="10">
        <f t="shared" si="28"/>
        <v>0</v>
      </c>
      <c r="BM38" s="10">
        <f>BK38+BM37</f>
        <v>36785</v>
      </c>
      <c r="BN38" s="10">
        <f t="shared" si="29"/>
        <v>2.1590033436267917</v>
      </c>
      <c r="BO38" s="99"/>
      <c r="BP38" s="10">
        <f t="shared" si="30"/>
        <v>0</v>
      </c>
      <c r="BQ38" s="10">
        <f t="shared" si="100"/>
        <v>0</v>
      </c>
      <c r="BR38" s="10">
        <f t="shared" si="31"/>
        <v>0</v>
      </c>
      <c r="BS38" s="99">
        <v>11290</v>
      </c>
      <c r="BT38" s="10">
        <f t="shared" si="32"/>
        <v>14.505974559938329</v>
      </c>
      <c r="BU38" s="10">
        <f>BS38+BU37</f>
        <v>25620</v>
      </c>
      <c r="BV38" s="10">
        <f t="shared" si="33"/>
        <v>1.5037016627353106</v>
      </c>
      <c r="BW38" s="99">
        <v>11160</v>
      </c>
      <c r="BX38" s="10">
        <f t="shared" si="34"/>
        <v>14.338943851985094</v>
      </c>
      <c r="BY38" s="10">
        <f>BW38+BY37</f>
        <v>26801</v>
      </c>
      <c r="BZ38" s="10">
        <f t="shared" si="35"/>
        <v>1.5730174966030079</v>
      </c>
      <c r="CA38" s="99"/>
      <c r="CB38" s="10">
        <f>CA38/DS38*100</f>
        <v>0</v>
      </c>
      <c r="CC38" s="10">
        <f>CA38+CC37</f>
        <v>84200</v>
      </c>
      <c r="CD38" s="10">
        <f>CC38/DT38*100</f>
        <v>4.9419078845555484</v>
      </c>
      <c r="CE38" s="99"/>
      <c r="CF38" s="10">
        <f>CE38/DS38*100</f>
        <v>0</v>
      </c>
      <c r="CG38" s="10">
        <f>CE38+CG37</f>
        <v>0</v>
      </c>
      <c r="CH38" s="10">
        <f>CG38/DT38*100</f>
        <v>0</v>
      </c>
      <c r="CI38" s="99"/>
      <c r="CJ38" s="10">
        <f>CI38/DS38*100</f>
        <v>0</v>
      </c>
      <c r="CK38" s="10">
        <f>CI38+CK37</f>
        <v>10630</v>
      </c>
      <c r="CL38" s="10">
        <f>CK38/DT38*100</f>
        <v>0.62390119730196525</v>
      </c>
      <c r="CM38" s="99"/>
      <c r="CN38" s="10">
        <f>CM38/DS38*100</f>
        <v>0</v>
      </c>
      <c r="CO38" s="10">
        <f>CM38+CO37</f>
        <v>9354</v>
      </c>
      <c r="CP38" s="10">
        <f>CO38/DT38*100</f>
        <v>0.54900957662865324</v>
      </c>
      <c r="CQ38" s="99"/>
      <c r="CR38" s="10">
        <f>CQ38/DS38*100</f>
        <v>0</v>
      </c>
      <c r="CS38" s="10">
        <f>CQ38+CS37</f>
        <v>14895</v>
      </c>
      <c r="CT38" s="10">
        <f>CS38/DT38*100</f>
        <v>0.87422467862773023</v>
      </c>
      <c r="CU38" s="99"/>
      <c r="CV38" s="10">
        <f>CU38/DS38*100</f>
        <v>0</v>
      </c>
      <c r="CW38" s="10">
        <f>CU38+CW37</f>
        <v>0</v>
      </c>
      <c r="CX38" s="10">
        <f>CW38/DT38*100</f>
        <v>0</v>
      </c>
      <c r="CY38" s="99"/>
      <c r="CZ38" s="10">
        <f>CY38/DS38*100</f>
        <v>0</v>
      </c>
      <c r="DA38" s="10">
        <f>CY38+DA37</f>
        <v>932</v>
      </c>
      <c r="DB38" s="10">
        <f>DA38/DT38*100</f>
        <v>5.470140318771699E-2</v>
      </c>
      <c r="DC38" s="99"/>
      <c r="DD38" s="10">
        <f>DC38/DS38*100</f>
        <v>0</v>
      </c>
      <c r="DE38" s="10">
        <f>DC38+DE37</f>
        <v>0</v>
      </c>
      <c r="DF38" s="10">
        <f>DE38/DT38*100</f>
        <v>0</v>
      </c>
      <c r="DG38" s="99">
        <f t="shared" si="52"/>
        <v>76830</v>
      </c>
      <c r="DH38" s="10">
        <f>DG38/DS38*100</f>
        <v>98.715148400359752</v>
      </c>
      <c r="DI38" s="10">
        <f>DG38+DI37</f>
        <v>480864</v>
      </c>
      <c r="DJ38" s="10">
        <f>DI38/DT38*100</f>
        <v>28.223106805212815</v>
      </c>
      <c r="DK38" s="99"/>
      <c r="DL38" s="16">
        <f>DK38/DS38*100</f>
        <v>0</v>
      </c>
      <c r="DM38" s="10">
        <f>DK38+DM37</f>
        <v>0</v>
      </c>
      <c r="DN38" s="10">
        <f>DM38/DT38*100</f>
        <v>0</v>
      </c>
      <c r="DO38" s="10">
        <v>0</v>
      </c>
      <c r="DP38" s="10">
        <f>DO38/DS38*100</f>
        <v>0</v>
      </c>
      <c r="DQ38" s="10">
        <f>DO38+DQ37</f>
        <v>5400</v>
      </c>
      <c r="DR38" s="10">
        <f>DQ38/DT38*100</f>
        <v>0.31693946052969074</v>
      </c>
      <c r="DS38" s="10">
        <f t="shared" si="99"/>
        <v>77830</v>
      </c>
      <c r="DT38" s="10">
        <f>DS38+DT37</f>
        <v>1703795.416</v>
      </c>
      <c r="DU38" s="10">
        <f t="shared" si="60"/>
        <v>1.1324845398326664</v>
      </c>
      <c r="DV38" s="10">
        <f t="shared" si="61"/>
        <v>1.108662213699479</v>
      </c>
      <c r="DW38" s="505">
        <f t="shared" si="62"/>
        <v>0.89450735389821689</v>
      </c>
      <c r="DX38" s="506">
        <f>+(((SUM($E$10:$E$14))+E36+E37+E38)*1000)/DI38</f>
        <v>0.91689958075464162</v>
      </c>
      <c r="DY38" s="5" t="str">
        <f>+Efficiency1!D138</f>
        <v>RC HW</v>
      </c>
    </row>
    <row r="39" spans="1:129">
      <c r="A39" s="17">
        <f>+Chem!A38</f>
        <v>45746</v>
      </c>
      <c r="B39" s="5" t="str">
        <f>+Chem!B38</f>
        <v>Towel</v>
      </c>
      <c r="C39" s="5" t="str">
        <f>+Chem!C38</f>
        <v>30/31,5/33,5/36/38</v>
      </c>
      <c r="D39" s="8">
        <f>+Chem!D38</f>
        <v>73.941000000000003</v>
      </c>
      <c r="E39" s="6">
        <f>+Chem!E38</f>
        <v>70.441999999999993</v>
      </c>
      <c r="F39" s="6">
        <f>+E39+F38</f>
        <v>1607.2449999999997</v>
      </c>
      <c r="G39" s="99"/>
      <c r="H39" s="10">
        <f t="shared" si="0"/>
        <v>0</v>
      </c>
      <c r="I39" s="8">
        <f>G39+I38</f>
        <v>15680.119999999999</v>
      </c>
      <c r="J39" s="10">
        <f t="shared" si="1"/>
        <v>0.875297119231217</v>
      </c>
      <c r="K39" s="99">
        <f>24*K7</f>
        <v>6000</v>
      </c>
      <c r="L39" s="10">
        <f t="shared" si="2"/>
        <v>6.848533272457483</v>
      </c>
      <c r="M39" s="10">
        <f>+K39+M38</f>
        <v>300500</v>
      </c>
      <c r="N39" s="10">
        <f t="shared" si="3"/>
        <v>16.774538991345775</v>
      </c>
      <c r="O39" s="99"/>
      <c r="P39" s="10">
        <f t="shared" si="4"/>
        <v>0</v>
      </c>
      <c r="Q39" s="10">
        <f>+O39+Q38</f>
        <v>0</v>
      </c>
      <c r="R39" s="10">
        <f t="shared" si="5"/>
        <v>0</v>
      </c>
      <c r="S39" s="99"/>
      <c r="T39" s="10">
        <f t="shared" si="6"/>
        <v>0</v>
      </c>
      <c r="U39" s="10">
        <f>+S39+U38</f>
        <v>0</v>
      </c>
      <c r="V39" s="10">
        <f t="shared" si="7"/>
        <v>0</v>
      </c>
      <c r="W39" s="99"/>
      <c r="X39" s="10">
        <f t="shared" si="8"/>
        <v>0</v>
      </c>
      <c r="Y39" s="10">
        <f>+W39+Y38</f>
        <v>0</v>
      </c>
      <c r="Z39" s="10">
        <f t="shared" si="9"/>
        <v>0</v>
      </c>
      <c r="AA39" s="10">
        <f>G39+K39+W39+S39+O39</f>
        <v>6000</v>
      </c>
      <c r="AB39" s="10">
        <f t="shared" si="10"/>
        <v>6.848533272457483</v>
      </c>
      <c r="AC39" s="10">
        <f>AA39+AC38</f>
        <v>316180.12</v>
      </c>
      <c r="AD39" s="10">
        <f t="shared" si="11"/>
        <v>17.649836110576995</v>
      </c>
      <c r="AE39" s="10"/>
      <c r="AF39" s="10">
        <f t="shared" si="12"/>
        <v>0</v>
      </c>
      <c r="AG39" s="10">
        <f t="shared" si="93"/>
        <v>6034.5360000000001</v>
      </c>
      <c r="AH39" s="10">
        <f t="shared" si="13"/>
        <v>0.33686043070442523</v>
      </c>
      <c r="AI39" s="10"/>
      <c r="AJ39" s="10">
        <f t="shared" si="14"/>
        <v>0</v>
      </c>
      <c r="AK39" s="10">
        <f t="shared" si="94"/>
        <v>7755.68</v>
      </c>
      <c r="AL39" s="10">
        <f t="shared" si="15"/>
        <v>0.43293829139567591</v>
      </c>
      <c r="AM39" s="10">
        <f t="shared" si="71"/>
        <v>0</v>
      </c>
      <c r="AN39" s="10">
        <f t="shared" si="16"/>
        <v>0</v>
      </c>
      <c r="AO39" s="10">
        <f t="shared" si="72"/>
        <v>13790.216</v>
      </c>
      <c r="AP39" s="10">
        <f t="shared" si="17"/>
        <v>0.76979872210010114</v>
      </c>
      <c r="AQ39" s="10"/>
      <c r="AR39" s="10">
        <f t="shared" si="18"/>
        <v>0</v>
      </c>
      <c r="AS39" s="10">
        <f>+AQ39+AS38</f>
        <v>895500</v>
      </c>
      <c r="AT39" s="10">
        <f t="shared" si="19"/>
        <v>49.988684415141904</v>
      </c>
      <c r="AU39" s="10"/>
      <c r="AV39" s="10">
        <f t="shared" si="20"/>
        <v>0</v>
      </c>
      <c r="AW39" s="10">
        <f>+AU39+AW38</f>
        <v>0</v>
      </c>
      <c r="AX39" s="10">
        <f t="shared" si="21"/>
        <v>0</v>
      </c>
      <c r="AY39" s="10">
        <f>+AQ39+AU39</f>
        <v>0</v>
      </c>
      <c r="AZ39" s="10">
        <f t="shared" si="22"/>
        <v>0</v>
      </c>
      <c r="BA39" s="10">
        <f>+AY39+BA38</f>
        <v>895500</v>
      </c>
      <c r="BB39" s="10">
        <f t="shared" si="23"/>
        <v>49.988684415141904</v>
      </c>
      <c r="BC39" s="99">
        <v>29040</v>
      </c>
      <c r="BD39" s="10">
        <f t="shared" si="24"/>
        <v>33.146901038694217</v>
      </c>
      <c r="BE39" s="10">
        <f>BC39+BE38</f>
        <v>224523</v>
      </c>
      <c r="BF39" s="10">
        <f t="shared" si="25"/>
        <v>12.533343820146181</v>
      </c>
      <c r="BG39" s="99">
        <v>28780</v>
      </c>
      <c r="BH39" s="10" t="e">
        <f t="shared" si="26"/>
        <v>#DIV/0!</v>
      </c>
      <c r="BI39" s="10">
        <f>BG39+BI38</f>
        <v>104944</v>
      </c>
      <c r="BJ39" s="10" t="e">
        <f t="shared" si="27"/>
        <v>#DIV/0!</v>
      </c>
      <c r="BK39" s="99"/>
      <c r="BL39" s="10">
        <f t="shared" si="28"/>
        <v>0</v>
      </c>
      <c r="BM39" s="10">
        <f>BK39+BM38</f>
        <v>36785</v>
      </c>
      <c r="BN39" s="10">
        <f t="shared" si="29"/>
        <v>2.0534156964946901</v>
      </c>
      <c r="BO39" s="99"/>
      <c r="BP39" s="10">
        <f t="shared" si="30"/>
        <v>0</v>
      </c>
      <c r="BQ39" s="10">
        <f t="shared" si="100"/>
        <v>0</v>
      </c>
      <c r="BR39" s="10">
        <f t="shared" si="31"/>
        <v>0</v>
      </c>
      <c r="BS39" s="99">
        <v>12295</v>
      </c>
      <c r="BT39" s="10">
        <f t="shared" si="32"/>
        <v>14.033786097477458</v>
      </c>
      <c r="BU39" s="10">
        <f>BS39+BU38</f>
        <v>37915</v>
      </c>
      <c r="BV39" s="10">
        <f t="shared" si="33"/>
        <v>2.116494661753328</v>
      </c>
      <c r="BW39" s="99">
        <v>11495</v>
      </c>
      <c r="BX39" s="10">
        <f t="shared" si="34"/>
        <v>13.120648327816459</v>
      </c>
      <c r="BY39" s="10">
        <f>BW39+BY38</f>
        <v>38296</v>
      </c>
      <c r="BZ39" s="10">
        <f t="shared" si="35"/>
        <v>2.1377628792431875</v>
      </c>
      <c r="CA39" s="99"/>
      <c r="CB39" s="10">
        <f>CA39/DS39*100</f>
        <v>0</v>
      </c>
      <c r="CC39" s="10">
        <f>CA39+CC38</f>
        <v>84200</v>
      </c>
      <c r="CD39" s="10">
        <f>CC39/DT39*100</f>
        <v>4.7002202431657718</v>
      </c>
      <c r="CE39" s="99"/>
      <c r="CF39" s="10">
        <f>CE39/DS39*100</f>
        <v>0</v>
      </c>
      <c r="CG39" s="10">
        <f>CE39+CG38</f>
        <v>0</v>
      </c>
      <c r="CH39" s="10">
        <f>CG39/DT39*100</f>
        <v>0</v>
      </c>
      <c r="CI39" s="99"/>
      <c r="CJ39" s="10">
        <f>CI39/DS39*100</f>
        <v>0</v>
      </c>
      <c r="CK39" s="10">
        <f>CI39+CK38</f>
        <v>10630</v>
      </c>
      <c r="CL39" s="10">
        <f>CK39/DT39*100</f>
        <v>0.59338885017639131</v>
      </c>
      <c r="CM39" s="99"/>
      <c r="CN39" s="10">
        <f>CM39/DS39*100</f>
        <v>0</v>
      </c>
      <c r="CO39" s="10">
        <f>CM39+CO38</f>
        <v>9354</v>
      </c>
      <c r="CP39" s="10">
        <f>CO39/DT39*100</f>
        <v>0.52215985931796471</v>
      </c>
      <c r="CQ39" s="99"/>
      <c r="CR39" s="10">
        <f>CQ39/DS39*100</f>
        <v>0</v>
      </c>
      <c r="CS39" s="10">
        <f>CQ39+CS38</f>
        <v>14895</v>
      </c>
      <c r="CT39" s="10">
        <f>CS39/DT39*100</f>
        <v>0.83147007745788792</v>
      </c>
      <c r="CU39" s="99"/>
      <c r="CV39" s="10">
        <f>CU39/DS39*100</f>
        <v>0</v>
      </c>
      <c r="CW39" s="10">
        <f>CU39+CW38</f>
        <v>0</v>
      </c>
      <c r="CX39" s="10">
        <f>CW39/DT39*100</f>
        <v>0</v>
      </c>
      <c r="CY39" s="99"/>
      <c r="CZ39" s="10">
        <f>CY39/DS39*100</f>
        <v>0</v>
      </c>
      <c r="DA39" s="10">
        <f>CY39+DA38</f>
        <v>932</v>
      </c>
      <c r="DB39" s="10">
        <f>DA39/DT39*100</f>
        <v>5.2026190815089059E-2</v>
      </c>
      <c r="DC39" s="99"/>
      <c r="DD39" s="10">
        <f>DC39/DS39*100</f>
        <v>0</v>
      </c>
      <c r="DE39" s="10">
        <f>DC39+DE38</f>
        <v>0</v>
      </c>
      <c r="DF39" s="10">
        <f>DE39/DT39*100</f>
        <v>0</v>
      </c>
      <c r="DG39" s="99">
        <f t="shared" si="52"/>
        <v>81610</v>
      </c>
      <c r="DH39" s="10">
        <f>DG39/DS39*100</f>
        <v>93.151466727542527</v>
      </c>
      <c r="DI39" s="10">
        <f>DG39+DI38</f>
        <v>562474</v>
      </c>
      <c r="DJ39" s="10">
        <f>DI39/DT39*100</f>
        <v>31.398476022024042</v>
      </c>
      <c r="DK39" s="99"/>
      <c r="DL39" s="16">
        <f>DK39/DS39*100</f>
        <v>0</v>
      </c>
      <c r="DM39" s="10">
        <f>DK39+DM38</f>
        <v>0</v>
      </c>
      <c r="DN39" s="10">
        <f>DM39/DT39*100</f>
        <v>0</v>
      </c>
      <c r="DO39" s="10">
        <v>0</v>
      </c>
      <c r="DP39" s="10">
        <f>DO39/DS39*100</f>
        <v>0</v>
      </c>
      <c r="DQ39" s="10">
        <f>DO39+DQ38</f>
        <v>5400</v>
      </c>
      <c r="DR39" s="10">
        <f>DQ39/DT39*100</f>
        <v>0.30143930300588084</v>
      </c>
      <c r="DS39" s="10">
        <f t="shared" si="99"/>
        <v>87610</v>
      </c>
      <c r="DT39" s="10">
        <f>DS39+DT38</f>
        <v>1791405.416</v>
      </c>
      <c r="DU39" s="10">
        <f t="shared" si="60"/>
        <v>1.2437182362794925</v>
      </c>
      <c r="DV39" s="10">
        <f t="shared" si="61"/>
        <v>1.1145814210030209</v>
      </c>
      <c r="DW39" s="505">
        <f t="shared" si="62"/>
        <v>0.86315402524200469</v>
      </c>
      <c r="DX39" s="506">
        <f>+(((SUM($E$10:$E$14))+E36+E37+E38+E39)*1000)/DI39</f>
        <v>0.90910157625063559</v>
      </c>
      <c r="DY39" s="5" t="str">
        <f>+Efficiency1!D142</f>
        <v>RC HW</v>
      </c>
    </row>
    <row r="40" spans="1:129">
      <c r="A40" s="17">
        <f>+Chem!A39</f>
        <v>45747</v>
      </c>
      <c r="B40" s="5" t="str">
        <f>+Chem!B39</f>
        <v>Towel</v>
      </c>
      <c r="C40" s="5" t="str">
        <f>+Chem!C39</f>
        <v>38/35,5</v>
      </c>
      <c r="D40" s="8">
        <f>+Chem!D39</f>
        <v>75.551000000000002</v>
      </c>
      <c r="E40" s="6">
        <f>+Chem!E39</f>
        <v>73.796000000000006</v>
      </c>
      <c r="F40" s="6">
        <f>+E40+F39</f>
        <v>1681.0409999999997</v>
      </c>
      <c r="G40" s="99"/>
      <c r="H40" s="10">
        <f t="shared" si="0"/>
        <v>0</v>
      </c>
      <c r="I40" s="8">
        <f>G40+I39</f>
        <v>15680.119999999999</v>
      </c>
      <c r="J40" s="10">
        <f t="shared" si="1"/>
        <v>0.83814361726427</v>
      </c>
      <c r="K40" s="99"/>
      <c r="L40" s="10">
        <f t="shared" si="2"/>
        <v>0</v>
      </c>
      <c r="M40" s="10">
        <f>+K40+M39</f>
        <v>300500</v>
      </c>
      <c r="N40" s="10">
        <f t="shared" si="3"/>
        <v>16.062514635596738</v>
      </c>
      <c r="O40" s="99"/>
      <c r="P40" s="10">
        <f t="shared" si="4"/>
        <v>0</v>
      </c>
      <c r="Q40" s="10">
        <f>+O40+Q39</f>
        <v>0</v>
      </c>
      <c r="R40" s="10">
        <f t="shared" si="5"/>
        <v>0</v>
      </c>
      <c r="S40" s="99"/>
      <c r="T40" s="10">
        <f t="shared" si="6"/>
        <v>0</v>
      </c>
      <c r="U40" s="10">
        <f>+S40+U39</f>
        <v>0</v>
      </c>
      <c r="V40" s="10">
        <f t="shared" si="7"/>
        <v>0</v>
      </c>
      <c r="W40" s="99"/>
      <c r="X40" s="10">
        <f t="shared" si="8"/>
        <v>0</v>
      </c>
      <c r="Y40" s="10">
        <f>+W40+Y39</f>
        <v>0</v>
      </c>
      <c r="Z40" s="10">
        <f t="shared" si="9"/>
        <v>0</v>
      </c>
      <c r="AA40" s="10">
        <f>G40+K40+W40+S40+O40</f>
        <v>0</v>
      </c>
      <c r="AB40" s="10">
        <f t="shared" si="10"/>
        <v>0</v>
      </c>
      <c r="AC40" s="10">
        <f>AA40+AC39</f>
        <v>316180.12</v>
      </c>
      <c r="AD40" s="10">
        <f t="shared" si="11"/>
        <v>16.90065825286101</v>
      </c>
      <c r="AE40" s="10"/>
      <c r="AF40" s="10">
        <f t="shared" si="12"/>
        <v>0</v>
      </c>
      <c r="AG40" s="10">
        <f t="shared" si="93"/>
        <v>6034.5360000000001</v>
      </c>
      <c r="AH40" s="10">
        <f t="shared" si="13"/>
        <v>0.32256180638614107</v>
      </c>
      <c r="AI40" s="10"/>
      <c r="AJ40" s="10">
        <f t="shared" si="14"/>
        <v>0</v>
      </c>
      <c r="AK40" s="10">
        <f t="shared" si="94"/>
        <v>7755.68</v>
      </c>
      <c r="AL40" s="10">
        <f t="shared" si="15"/>
        <v>0.41456147590351056</v>
      </c>
      <c r="AM40" s="10">
        <f t="shared" si="71"/>
        <v>0</v>
      </c>
      <c r="AN40" s="10">
        <f t="shared" si="16"/>
        <v>0</v>
      </c>
      <c r="AO40" s="10">
        <f t="shared" si="72"/>
        <v>13790.216</v>
      </c>
      <c r="AP40" s="10">
        <f t="shared" si="17"/>
        <v>0.73712328228965163</v>
      </c>
      <c r="AQ40" s="10"/>
      <c r="AR40" s="10">
        <f t="shared" si="18"/>
        <v>0</v>
      </c>
      <c r="AS40" s="10">
        <f>+AQ40+AS39</f>
        <v>895500</v>
      </c>
      <c r="AT40" s="10">
        <f t="shared" si="19"/>
        <v>47.866828140355672</v>
      </c>
      <c r="AU40" s="10"/>
      <c r="AV40" s="10">
        <f t="shared" si="20"/>
        <v>0</v>
      </c>
      <c r="AW40" s="10">
        <f>+AU40+AW39</f>
        <v>0</v>
      </c>
      <c r="AX40" s="10">
        <f t="shared" si="21"/>
        <v>0</v>
      </c>
      <c r="AY40" s="10">
        <f>+AQ40+AU40</f>
        <v>0</v>
      </c>
      <c r="AZ40" s="10">
        <f t="shared" si="22"/>
        <v>0</v>
      </c>
      <c r="BA40" s="10">
        <f>+AY40+BA39</f>
        <v>895500</v>
      </c>
      <c r="BB40" s="10">
        <f t="shared" si="23"/>
        <v>47.866828140355672</v>
      </c>
      <c r="BC40" s="99">
        <v>28105</v>
      </c>
      <c r="BD40" s="10">
        <f t="shared" si="24"/>
        <v>35.3922679763254</v>
      </c>
      <c r="BE40" s="10">
        <f>BC40+BE39</f>
        <v>252628</v>
      </c>
      <c r="BF40" s="10">
        <f t="shared" si="25"/>
        <v>13.503630440470991</v>
      </c>
      <c r="BG40" s="99">
        <v>28050</v>
      </c>
      <c r="BH40" s="10" t="e">
        <f t="shared" si="26"/>
        <v>#DIV/0!</v>
      </c>
      <c r="BI40" s="10">
        <f>BG40+BI39</f>
        <v>132994</v>
      </c>
      <c r="BJ40" s="10" t="e">
        <f t="shared" si="27"/>
        <v>#DIV/0!</v>
      </c>
      <c r="BK40" s="99"/>
      <c r="BL40" s="10">
        <f t="shared" si="28"/>
        <v>0</v>
      </c>
      <c r="BM40" s="10">
        <f>BK40+BM39</f>
        <v>36785</v>
      </c>
      <c r="BN40" s="10">
        <f t="shared" si="29"/>
        <v>1.9662549113824492</v>
      </c>
      <c r="BO40" s="99"/>
      <c r="BP40" s="10">
        <f t="shared" si="30"/>
        <v>0</v>
      </c>
      <c r="BQ40" s="10">
        <f t="shared" si="100"/>
        <v>0</v>
      </c>
      <c r="BR40" s="10">
        <f t="shared" si="31"/>
        <v>0</v>
      </c>
      <c r="BS40" s="99">
        <v>11135</v>
      </c>
      <c r="BT40" s="10">
        <f t="shared" si="32"/>
        <v>14.022163455484197</v>
      </c>
      <c r="BU40" s="10">
        <f>BS40+BU39</f>
        <v>49050</v>
      </c>
      <c r="BV40" s="10">
        <f t="shared" si="33"/>
        <v>2.6218513906023961</v>
      </c>
      <c r="BW40" s="99">
        <v>11340</v>
      </c>
      <c r="BX40" s="10">
        <f t="shared" si="34"/>
        <v>14.280317340385343</v>
      </c>
      <c r="BY40" s="10">
        <f>BW40+BY39</f>
        <v>49636</v>
      </c>
      <c r="BZ40" s="10">
        <f t="shared" si="35"/>
        <v>2.653174630457503</v>
      </c>
      <c r="CA40" s="99"/>
      <c r="CB40" s="10">
        <f>CA40/DS40*100</f>
        <v>0</v>
      </c>
      <c r="CC40" s="10">
        <f>CA40+CC39</f>
        <v>84200</v>
      </c>
      <c r="CD40" s="10">
        <f>CC40/DT40*100</f>
        <v>4.5007112556314324</v>
      </c>
      <c r="CE40" s="99"/>
      <c r="CF40" s="10">
        <f>CE40/DS40*100</f>
        <v>0</v>
      </c>
      <c r="CG40" s="10">
        <f>CE40+CG39</f>
        <v>0</v>
      </c>
      <c r="CH40" s="10">
        <f>CG40/DT40*100</f>
        <v>0</v>
      </c>
      <c r="CI40" s="99"/>
      <c r="CJ40" s="10">
        <f>CI40/DS40*100</f>
        <v>0</v>
      </c>
      <c r="CK40" s="10">
        <f>CI40+CK39</f>
        <v>10630</v>
      </c>
      <c r="CL40" s="10">
        <f>CK40/DT40*100</f>
        <v>0.56820143286653357</v>
      </c>
      <c r="CM40" s="99"/>
      <c r="CN40" s="10">
        <f>CM40/DS40*100</f>
        <v>0</v>
      </c>
      <c r="CO40" s="10">
        <f>CM40+CO39</f>
        <v>9354</v>
      </c>
      <c r="CP40" s="10">
        <f>CO40/DT40*100</f>
        <v>0.49999587987145389</v>
      </c>
      <c r="CQ40" s="99"/>
      <c r="CR40" s="10">
        <f>CQ40/DS40*100</f>
        <v>0</v>
      </c>
      <c r="CS40" s="10">
        <f>CQ40+CS39</f>
        <v>14895</v>
      </c>
      <c r="CT40" s="10">
        <f>CS40/DT40*100</f>
        <v>0.79617689017375515</v>
      </c>
      <c r="CU40" s="99"/>
      <c r="CV40" s="10">
        <f>CU40/DS40*100</f>
        <v>0</v>
      </c>
      <c r="CW40" s="10">
        <f>CU40+CW39</f>
        <v>0</v>
      </c>
      <c r="CX40" s="10">
        <f>CW40/DT40*100</f>
        <v>0</v>
      </c>
      <c r="CY40" s="99">
        <v>780</v>
      </c>
      <c r="CZ40" s="10">
        <f>CY40/DS40*100</f>
        <v>0.9822440498677748</v>
      </c>
      <c r="DA40" s="10">
        <f>CY40+DA39</f>
        <v>1712</v>
      </c>
      <c r="DB40" s="10">
        <f>DA40/DT40*100</f>
        <v>9.1510898689323189E-2</v>
      </c>
      <c r="DC40" s="99"/>
      <c r="DD40" s="10">
        <f>DC40/DS40*100</f>
        <v>0</v>
      </c>
      <c r="DE40" s="10">
        <f>DC40+DE39</f>
        <v>0</v>
      </c>
      <c r="DF40" s="10">
        <f>DE40/DT40*100</f>
        <v>0</v>
      </c>
      <c r="DG40" s="99">
        <f t="shared" si="52"/>
        <v>79410</v>
      </c>
      <c r="DH40" s="10">
        <f>DG40/DS40*100</f>
        <v>100</v>
      </c>
      <c r="DI40" s="10">
        <f>DG40+DI39</f>
        <v>641884</v>
      </c>
      <c r="DJ40" s="10">
        <f>DI40/DT40*100</f>
        <v>34.310386503678458</v>
      </c>
      <c r="DK40" s="99"/>
      <c r="DL40" s="16">
        <f>DK40/DS40*100</f>
        <v>0</v>
      </c>
      <c r="DM40" s="10">
        <f>DK40+DM39</f>
        <v>0</v>
      </c>
      <c r="DN40" s="10">
        <f>DM40/DT40*100</f>
        <v>0</v>
      </c>
      <c r="DO40" s="10">
        <v>0</v>
      </c>
      <c r="DP40" s="10">
        <f>DO40/DS40*100</f>
        <v>0</v>
      </c>
      <c r="DQ40" s="10">
        <f>DO40+DQ39</f>
        <v>5400</v>
      </c>
      <c r="DR40" s="10">
        <f>DQ40/DT40*100</f>
        <v>0.28864418979108952</v>
      </c>
      <c r="DS40" s="10">
        <f t="shared" si="99"/>
        <v>79410</v>
      </c>
      <c r="DT40" s="10">
        <f>DS40+DT39</f>
        <v>1870815.416</v>
      </c>
      <c r="DU40" s="10">
        <f t="shared" si="60"/>
        <v>1.0760745839882919</v>
      </c>
      <c r="DV40" s="10">
        <f t="shared" si="61"/>
        <v>1.1128910097969058</v>
      </c>
      <c r="DW40" s="505">
        <f t="shared" si="62"/>
        <v>0.92930361415438867</v>
      </c>
      <c r="DX40" s="506">
        <f>+(((SUM($E$10:$E$14))+E36+E37+E38+E39+E40)*1000)/DI40</f>
        <v>0.91160084999781887</v>
      </c>
      <c r="DY40" s="5" t="str">
        <f>+Efficiency1!D148</f>
        <v>RC HW</v>
      </c>
    </row>
    <row r="41" spans="1:129">
      <c r="A41" s="17"/>
      <c r="B41" s="17"/>
      <c r="C41" s="17"/>
      <c r="D41" s="8"/>
      <c r="E41" s="6"/>
      <c r="F41" s="6"/>
      <c r="G41" s="99"/>
      <c r="H41" s="10"/>
      <c r="I41" s="8"/>
      <c r="J41" s="10"/>
      <c r="K41" s="99"/>
      <c r="L41" s="10"/>
      <c r="M41" s="10"/>
      <c r="N41" s="10"/>
      <c r="O41" s="99"/>
      <c r="P41" s="10"/>
      <c r="Q41" s="10"/>
      <c r="R41" s="10"/>
      <c r="S41" s="99"/>
      <c r="T41" s="10"/>
      <c r="U41" s="10"/>
      <c r="V41" s="10"/>
      <c r="W41" s="99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99"/>
      <c r="BD41" s="10"/>
      <c r="BE41" s="10"/>
      <c r="BF41" s="10"/>
      <c r="BG41" s="99"/>
      <c r="BH41" s="10"/>
      <c r="BI41" s="10"/>
      <c r="BJ41" s="10"/>
      <c r="BK41" s="99"/>
      <c r="BL41" s="10"/>
      <c r="BM41" s="10"/>
      <c r="BN41" s="10"/>
      <c r="BO41" s="99"/>
      <c r="BP41" s="10"/>
      <c r="BQ41" s="10"/>
      <c r="BR41" s="10"/>
      <c r="BS41" s="99"/>
      <c r="BT41" s="10"/>
      <c r="BU41" s="10"/>
      <c r="BV41" s="10"/>
      <c r="BW41" s="99"/>
      <c r="BX41" s="10"/>
      <c r="BY41" s="10"/>
      <c r="BZ41" s="10"/>
      <c r="CA41" s="99"/>
      <c r="CB41" s="10"/>
      <c r="CC41" s="10"/>
      <c r="CD41" s="10"/>
      <c r="CE41" s="99"/>
      <c r="CF41" s="10"/>
      <c r="CG41" s="10"/>
      <c r="CH41" s="10"/>
      <c r="CI41" s="99"/>
      <c r="CJ41" s="10"/>
      <c r="CK41" s="10"/>
      <c r="CL41" s="10"/>
      <c r="CM41" s="99"/>
      <c r="CN41" s="10"/>
      <c r="CO41" s="10"/>
      <c r="CP41" s="10"/>
      <c r="CQ41" s="99"/>
      <c r="CR41" s="10"/>
      <c r="CS41" s="10"/>
      <c r="CT41" s="10"/>
      <c r="CU41" s="99"/>
      <c r="CV41" s="10"/>
      <c r="CW41" s="10"/>
      <c r="CX41" s="10"/>
      <c r="CY41" s="99"/>
      <c r="CZ41" s="10"/>
      <c r="DA41" s="10"/>
      <c r="DB41" s="10"/>
      <c r="DC41" s="99"/>
      <c r="DD41" s="10"/>
      <c r="DE41" s="10"/>
      <c r="DF41" s="10"/>
      <c r="DG41" s="99"/>
      <c r="DH41" s="10"/>
      <c r="DI41" s="10"/>
      <c r="DJ41" s="10"/>
      <c r="DK41" s="99"/>
      <c r="DL41" s="16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5"/>
      <c r="DX41" s="505"/>
      <c r="DY41" s="5"/>
    </row>
    <row r="42" spans="1:129" ht="13.5" thickBot="1">
      <c r="A42" s="11" t="s">
        <v>29</v>
      </c>
      <c r="B42" s="11"/>
      <c r="C42" s="12"/>
      <c r="D42" s="12">
        <f>SUM(D10:D41)</f>
        <v>1732.6890000000001</v>
      </c>
      <c r="E42" s="12">
        <f>SUM(E10:E41)</f>
        <v>1681.0409999999997</v>
      </c>
      <c r="F42" s="12">
        <f>SUM(F10:F41)</f>
        <v>25705.291000000005</v>
      </c>
      <c r="G42" s="12">
        <f>SUM(G10:G41)</f>
        <v>15680.119999999999</v>
      </c>
      <c r="H42" s="20">
        <f>G42/$DS$42*100</f>
        <v>0.83727586147209421</v>
      </c>
      <c r="I42" s="12"/>
      <c r="J42" s="12"/>
      <c r="K42" s="12">
        <f>SUM(K10:K41)</f>
        <v>300500</v>
      </c>
      <c r="L42" s="20">
        <f>K42/$DS$42*100</f>
        <v>16.045884621569499</v>
      </c>
      <c r="M42" s="12"/>
      <c r="N42" s="12"/>
      <c r="O42" s="12">
        <f>SUM(O10:O41)</f>
        <v>0</v>
      </c>
      <c r="P42" s="20">
        <f>O42/$DS$42*100</f>
        <v>0</v>
      </c>
      <c r="Q42" s="12"/>
      <c r="R42" s="12"/>
      <c r="S42" s="12">
        <f>SUM(S10:S41)</f>
        <v>0</v>
      </c>
      <c r="T42" s="20">
        <f>S42/$DS$42*100</f>
        <v>0</v>
      </c>
      <c r="U42" s="12"/>
      <c r="V42" s="12"/>
      <c r="W42" s="12">
        <f>SUM(W10:W41)</f>
        <v>0</v>
      </c>
      <c r="X42" s="20">
        <f>W42/$DS$42*100</f>
        <v>0</v>
      </c>
      <c r="Y42" s="12"/>
      <c r="Z42" s="12"/>
      <c r="AA42" s="12">
        <f>SUM(AA10:AA41)</f>
        <v>316180.12</v>
      </c>
      <c r="AB42" s="20">
        <f>AA42/$DS$42*100</f>
        <v>16.883160483041593</v>
      </c>
      <c r="AC42" s="12"/>
      <c r="AD42" s="12"/>
      <c r="AE42" s="12">
        <f>SUM(AE10:AE41)</f>
        <v>6034.5360000000001</v>
      </c>
      <c r="AF42" s="20">
        <f>AE42/$DS$42*100</f>
        <v>0.32222784825526624</v>
      </c>
      <c r="AG42" s="12"/>
      <c r="AH42" s="12"/>
      <c r="AI42" s="12">
        <f>SUM(AI10:AI41)</f>
        <v>7755.68</v>
      </c>
      <c r="AJ42" s="20">
        <f>AI42/$DS$42*100</f>
        <v>0.41413226769322509</v>
      </c>
      <c r="AK42" s="12"/>
      <c r="AL42" s="12"/>
      <c r="AM42" s="12">
        <f t="shared" si="71"/>
        <v>13790.216</v>
      </c>
      <c r="AN42" s="20">
        <f>AM42/$DS$42*100</f>
        <v>0.73636011594849138</v>
      </c>
      <c r="AO42" s="12"/>
      <c r="AP42" s="12"/>
      <c r="AQ42" s="12">
        <f>SUM(AQ10:AQ41)</f>
        <v>895500</v>
      </c>
      <c r="AR42" s="20">
        <f>AQ42/$DS$42*100</f>
        <v>47.817270145143048</v>
      </c>
      <c r="AS42" s="12"/>
      <c r="AT42" s="12"/>
      <c r="AU42" s="12">
        <f>SUM(AU10:AU41)</f>
        <v>0</v>
      </c>
      <c r="AV42" s="20">
        <f>AU42/$DS$42*100</f>
        <v>0</v>
      </c>
      <c r="AW42" s="12"/>
      <c r="AX42" s="12"/>
      <c r="AY42" s="12">
        <f>SUM(AY10:AY41)</f>
        <v>895500</v>
      </c>
      <c r="AZ42" s="20">
        <f>AY42/$DS$42*100</f>
        <v>47.817270145143048</v>
      </c>
      <c r="BA42" s="12"/>
      <c r="BB42" s="12"/>
      <c r="BC42" s="12">
        <f>SUM(BC10:BC41)</f>
        <v>252628</v>
      </c>
      <c r="BD42" s="12">
        <f>BC42/$DS$42*100</f>
        <v>13.489649717729982</v>
      </c>
      <c r="BE42" s="12"/>
      <c r="BF42" s="12"/>
      <c r="BG42" s="12">
        <f>SUM(BG10:BG41)</f>
        <v>132994</v>
      </c>
      <c r="BH42" s="12">
        <f>BG42/$DS$42*100</f>
        <v>7.1015187333145224</v>
      </c>
      <c r="BI42" s="12"/>
      <c r="BJ42" s="12"/>
      <c r="BK42" s="12">
        <f>SUM(BK10:BK41)</f>
        <v>36785</v>
      </c>
      <c r="BL42" s="12">
        <f>BK42/$DS$42*100</f>
        <v>1.9642191873691646</v>
      </c>
      <c r="BM42" s="12"/>
      <c r="BN42" s="12"/>
      <c r="BO42" s="12">
        <f>SUM(BO10:BO41)</f>
        <v>0</v>
      </c>
      <c r="BP42" s="12">
        <f>BO42/$DS$42*100</f>
        <v>0</v>
      </c>
      <c r="BQ42" s="12"/>
      <c r="BR42" s="12"/>
      <c r="BS42" s="12">
        <f>SUM(BS10:BS41)</f>
        <v>49050</v>
      </c>
      <c r="BT42" s="12">
        <f>BS42/$DS$42*100</f>
        <v>2.6191369074475337</v>
      </c>
      <c r="BU42" s="12"/>
      <c r="BV42" s="12"/>
      <c r="BW42" s="12">
        <f>SUM(BW10:BW41)</f>
        <v>49636</v>
      </c>
      <c r="BX42" s="12">
        <f>BW42/$DS$42*100</f>
        <v>2.650427717391759</v>
      </c>
      <c r="BY42" s="12"/>
      <c r="BZ42" s="12"/>
      <c r="CA42" s="12">
        <f>SUM(CA10:CA41)</f>
        <v>84200</v>
      </c>
      <c r="CB42" s="12">
        <f>CA42/$DS$42*100</f>
        <v>4.4960515312351141</v>
      </c>
      <c r="CC42" s="12"/>
      <c r="CD42" s="12"/>
      <c r="CE42" s="12">
        <f>SUM(CE10:CE41)</f>
        <v>0</v>
      </c>
      <c r="CF42" s="12">
        <f>CE42/$DS$42*100</f>
        <v>0</v>
      </c>
      <c r="CG42" s="12"/>
      <c r="CH42" s="12"/>
      <c r="CI42" s="12">
        <f>SUM(CI10:CI41)</f>
        <v>10630</v>
      </c>
      <c r="CJ42" s="12">
        <f>CI42/$DS$42*100</f>
        <v>0.56761315649678457</v>
      </c>
      <c r="CK42" s="12"/>
      <c r="CL42" s="12"/>
      <c r="CM42" s="12">
        <f>SUM(CM10:CM41)</f>
        <v>9354</v>
      </c>
      <c r="CN42" s="12">
        <f>CM42/$DS$42*100</f>
        <v>0.49947821880253274</v>
      </c>
      <c r="CO42" s="12"/>
      <c r="CP42" s="12"/>
      <c r="CQ42" s="12">
        <f>SUM(CQ10:CQ41)</f>
        <v>14895</v>
      </c>
      <c r="CR42" s="12">
        <f>CQ42/$DS$42*100</f>
        <v>0.79535258382122354</v>
      </c>
      <c r="CS42" s="12"/>
      <c r="CT42" s="12"/>
      <c r="CU42" s="12">
        <f>SUM(CU10:CU41)</f>
        <v>0</v>
      </c>
      <c r="CV42" s="12">
        <f>CU42/$DS$42*100</f>
        <v>0</v>
      </c>
      <c r="CW42" s="12"/>
      <c r="CX42" s="12"/>
      <c r="CY42" s="12">
        <f>SUM(CY10:CY41)</f>
        <v>1712</v>
      </c>
      <c r="CZ42" s="12">
        <f>CY42/$DS$42*100</f>
        <v>9.1416154649341039E-2</v>
      </c>
      <c r="DA42" s="12"/>
      <c r="DB42" s="12"/>
      <c r="DC42" s="12">
        <f>SUM(DC10:DC41)</f>
        <v>0</v>
      </c>
      <c r="DD42" s="12">
        <f>DC42/$DS$42*100</f>
        <v>0</v>
      </c>
      <c r="DE42" s="12"/>
      <c r="DF42" s="12"/>
      <c r="DG42" s="12">
        <f t="shared" si="52"/>
        <v>641884</v>
      </c>
      <c r="DH42" s="12">
        <f>DG42/$DS$42*100</f>
        <v>34.274863908257956</v>
      </c>
      <c r="DI42" s="12"/>
      <c r="DJ42" s="12"/>
      <c r="DK42" s="12">
        <f>SUM(DK10:DK41)</f>
        <v>0</v>
      </c>
      <c r="DL42" s="12">
        <f>DK42/$DS$42*100</f>
        <v>0</v>
      </c>
      <c r="DM42" s="12"/>
      <c r="DN42" s="12"/>
      <c r="DO42" s="12">
        <f>SUM(DO10:DO41)</f>
        <v>5400</v>
      </c>
      <c r="DP42" s="595">
        <f>DO42/$DS$42*100</f>
        <v>0.28834534760890285</v>
      </c>
      <c r="DQ42" s="12"/>
      <c r="DR42" s="12"/>
      <c r="DS42" s="569">
        <f>+AA42+DG42+DK42+DO42+AY42+AM42</f>
        <v>1872754.3360000001</v>
      </c>
      <c r="DT42" s="12">
        <f>DS42/$DS$42*100</f>
        <v>100</v>
      </c>
      <c r="DU42" s="12">
        <f>DS42/1000/E42</f>
        <v>1.1140444141457588</v>
      </c>
      <c r="DV42" s="12"/>
      <c r="DW42" s="5"/>
      <c r="DX42" s="505"/>
      <c r="DY42" s="5"/>
    </row>
    <row r="43" spans="1:129" ht="13.5" thickTop="1"/>
    <row r="44" spans="1:129">
      <c r="G44" s="14">
        <f>+G42+K42</f>
        <v>316180.12</v>
      </c>
      <c r="BC44" s="14"/>
      <c r="BG44" s="14"/>
      <c r="BK44" s="14"/>
      <c r="BO44" s="14"/>
      <c r="BS44" s="14"/>
      <c r="BW44" s="14"/>
      <c r="CQ44" s="14"/>
      <c r="CU44" s="14"/>
      <c r="DP44" s="14"/>
    </row>
    <row r="45" spans="1:129">
      <c r="E45" s="14"/>
      <c r="F45" s="14"/>
      <c r="G45" s="14">
        <f>+DS42</f>
        <v>1872754.3360000001</v>
      </c>
      <c r="I45" s="14"/>
      <c r="BC45" s="14"/>
      <c r="BG45" s="14"/>
      <c r="BK45" s="14"/>
      <c r="BO45" s="14"/>
      <c r="BS45" s="14"/>
      <c r="BW45" s="14"/>
      <c r="CQ45" s="14"/>
      <c r="CU45" s="14"/>
    </row>
    <row r="46" spans="1:129">
      <c r="G46" s="507">
        <f>+G44/G45</f>
        <v>0.16883160483041593</v>
      </c>
    </row>
    <row r="48" spans="1:129">
      <c r="G48">
        <f>+G42/G7</f>
        <v>68</v>
      </c>
      <c r="K48">
        <f>+K42/K7</f>
        <v>1202</v>
      </c>
    </row>
  </sheetData>
  <mergeCells count="37">
    <mergeCell ref="A8:A9"/>
    <mergeCell ref="B8:B9"/>
    <mergeCell ref="C8:C9"/>
    <mergeCell ref="D8:D9"/>
    <mergeCell ref="E8:F8"/>
    <mergeCell ref="G8:J8"/>
    <mergeCell ref="K8:N8"/>
    <mergeCell ref="O8:R8"/>
    <mergeCell ref="S8:V8"/>
    <mergeCell ref="W8:Z8"/>
    <mergeCell ref="CA8:CD8"/>
    <mergeCell ref="CE8:CH8"/>
    <mergeCell ref="AA8:AD8"/>
    <mergeCell ref="AQ8:AT8"/>
    <mergeCell ref="AU8:AX8"/>
    <mergeCell ref="AY8:BB8"/>
    <mergeCell ref="BC8:BF8"/>
    <mergeCell ref="BG8:BJ8"/>
    <mergeCell ref="BK8:BN8"/>
    <mergeCell ref="BO8:BR8"/>
    <mergeCell ref="BW8:BZ8"/>
    <mergeCell ref="BS8:BV8"/>
    <mergeCell ref="AE8:AH8"/>
    <mergeCell ref="AI8:AL8"/>
    <mergeCell ref="AM8:AP8"/>
    <mergeCell ref="DS8:DT8"/>
    <mergeCell ref="DU8:DV8"/>
    <mergeCell ref="DW8:DX8"/>
    <mergeCell ref="CI8:CL8"/>
    <mergeCell ref="CM8:CP8"/>
    <mergeCell ref="CQ8:CT8"/>
    <mergeCell ref="DK8:DN8"/>
    <mergeCell ref="DO8:DR8"/>
    <mergeCell ref="CY8:DB8"/>
    <mergeCell ref="CU8:CX8"/>
    <mergeCell ref="DC8:DF8"/>
    <mergeCell ref="DG8:DJ8"/>
  </mergeCells>
  <phoneticPr fontId="30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R1" activePane="topRight" state="frozen"/>
      <selection activeCell="DM11" sqref="A4:DM11"/>
      <selection pane="topRight" activeCell="AG8" sqref="AG8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17" width="9.140625" hidden="1" customWidth="1"/>
    <col min="18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4000</v>
      </c>
      <c r="C1">
        <v>3800</v>
      </c>
      <c r="D1">
        <v>3400</v>
      </c>
      <c r="E1">
        <v>3000</v>
      </c>
      <c r="F1">
        <v>4830</v>
      </c>
      <c r="G1">
        <v>7260</v>
      </c>
      <c r="H1">
        <v>6220</v>
      </c>
      <c r="I1">
        <v>6220</v>
      </c>
      <c r="J1">
        <v>6480</v>
      </c>
      <c r="K1">
        <v>6440</v>
      </c>
      <c r="L1">
        <v>7200</v>
      </c>
      <c r="M1">
        <v>8000</v>
      </c>
      <c r="N1">
        <v>8200</v>
      </c>
      <c r="O1">
        <v>9100</v>
      </c>
      <c r="P1">
        <v>7900</v>
      </c>
      <c r="Q1">
        <v>6800</v>
      </c>
      <c r="R1">
        <v>7200</v>
      </c>
      <c r="S1">
        <v>7900</v>
      </c>
      <c r="T1">
        <v>8100</v>
      </c>
      <c r="U1">
        <v>7900</v>
      </c>
      <c r="V1">
        <v>7600</v>
      </c>
      <c r="W1">
        <v>3500</v>
      </c>
      <c r="X1">
        <v>7600</v>
      </c>
      <c r="Y1">
        <v>7300</v>
      </c>
      <c r="Z1">
        <v>7200</v>
      </c>
      <c r="AA1">
        <v>7200</v>
      </c>
      <c r="AB1">
        <v>3900</v>
      </c>
      <c r="AC1">
        <v>3400</v>
      </c>
      <c r="AD1">
        <v>4960</v>
      </c>
      <c r="AE1">
        <v>4960</v>
      </c>
      <c r="AF1">
        <v>3140</v>
      </c>
    </row>
    <row r="2" spans="1:35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82" t="s">
        <v>259</v>
      </c>
      <c r="AH2" s="484" t="s">
        <v>260</v>
      </c>
      <c r="AI2" s="494" t="s">
        <v>274</v>
      </c>
    </row>
    <row r="3" spans="1:35">
      <c r="A3" s="472" t="s">
        <v>204</v>
      </c>
      <c r="B3" s="5">
        <v>1.4</v>
      </c>
      <c r="C3" s="5">
        <v>2.6</v>
      </c>
      <c r="D3" s="5">
        <v>2</v>
      </c>
      <c r="E3" s="5">
        <v>4</v>
      </c>
      <c r="F3" s="5">
        <v>0</v>
      </c>
      <c r="G3" s="5">
        <v>3.5</v>
      </c>
      <c r="H3" s="5">
        <v>3.6</v>
      </c>
      <c r="I3" s="5">
        <v>3.6</v>
      </c>
      <c r="J3" s="5">
        <v>4.3</v>
      </c>
      <c r="K3" s="5">
        <v>2.4</v>
      </c>
      <c r="L3" s="5">
        <f>2+1</f>
        <v>3</v>
      </c>
      <c r="M3" s="5">
        <f>2.9+0.9</f>
        <v>3.8</v>
      </c>
      <c r="N3" s="5">
        <v>2.8</v>
      </c>
      <c r="O3" s="5">
        <f>3.2+1</f>
        <v>4.2</v>
      </c>
      <c r="P3" s="5">
        <v>3.7</v>
      </c>
      <c r="Q3" s="5">
        <v>3.5</v>
      </c>
      <c r="R3" s="5">
        <v>1.8</v>
      </c>
      <c r="S3" s="5">
        <v>2.2999999999999998</v>
      </c>
      <c r="T3" s="5">
        <f>2.7+2.7</f>
        <v>5.4</v>
      </c>
      <c r="U3" s="5">
        <v>3.8</v>
      </c>
      <c r="V3" s="5">
        <v>3.8</v>
      </c>
      <c r="W3" s="5">
        <v>8.1999999999999993</v>
      </c>
      <c r="X3" s="5">
        <v>1.9</v>
      </c>
      <c r="Y3" s="5">
        <v>1</v>
      </c>
      <c r="Z3" s="5">
        <v>1</v>
      </c>
      <c r="AA3" s="5">
        <v>1</v>
      </c>
      <c r="AB3" s="5">
        <v>3.1</v>
      </c>
      <c r="AC3" s="5">
        <v>2.4</v>
      </c>
      <c r="AD3" s="5">
        <v>1.4</v>
      </c>
      <c r="AE3" s="5">
        <v>1.4</v>
      </c>
      <c r="AF3" s="5">
        <v>2.8</v>
      </c>
      <c r="AG3" s="5">
        <f>+AF3</f>
        <v>2.8</v>
      </c>
      <c r="AH3" s="483">
        <f>+AG3/Efficiency1!$K$153</f>
        <v>1.4768511386699643E-3</v>
      </c>
      <c r="AI3" s="756">
        <f>SUM(AH3:AH4)</f>
        <v>2.426255442100656E-3</v>
      </c>
    </row>
    <row r="4" spans="1:35">
      <c r="A4" s="472" t="s">
        <v>275</v>
      </c>
      <c r="B4" s="5">
        <v>0.1</v>
      </c>
      <c r="C4" s="5">
        <v>0.6</v>
      </c>
      <c r="D4" s="5">
        <v>1.8</v>
      </c>
      <c r="E4" s="5">
        <v>0.6</v>
      </c>
      <c r="F4" s="5">
        <v>0.7</v>
      </c>
      <c r="G4" s="5">
        <v>0.5</v>
      </c>
      <c r="H4" s="5">
        <v>0.2</v>
      </c>
      <c r="I4" s="5">
        <v>0.2</v>
      </c>
      <c r="J4" s="5">
        <v>1</v>
      </c>
      <c r="K4" s="5">
        <v>0.4</v>
      </c>
      <c r="L4" s="5">
        <v>0.5</v>
      </c>
      <c r="M4" s="5">
        <v>0.7</v>
      </c>
      <c r="N4" s="473">
        <v>0.7</v>
      </c>
      <c r="O4" s="473">
        <v>0.2</v>
      </c>
      <c r="P4" s="5">
        <v>0.4</v>
      </c>
      <c r="Q4" s="5">
        <v>1.6</v>
      </c>
      <c r="R4" s="5">
        <v>1.1000000000000001</v>
      </c>
      <c r="S4" s="5">
        <v>0.2</v>
      </c>
      <c r="T4" s="5">
        <v>0.3</v>
      </c>
      <c r="U4" s="5">
        <v>0.4</v>
      </c>
      <c r="V4" s="5">
        <v>0.2</v>
      </c>
      <c r="W4" s="473">
        <v>0.2</v>
      </c>
      <c r="X4" s="5">
        <v>0.4</v>
      </c>
      <c r="Y4" s="5">
        <v>0.5</v>
      </c>
      <c r="Z4" s="5">
        <v>0.6</v>
      </c>
      <c r="AA4" s="5">
        <v>0.1</v>
      </c>
      <c r="AB4" s="5">
        <v>0.7</v>
      </c>
      <c r="AC4" s="5">
        <v>0.1</v>
      </c>
      <c r="AD4" s="5">
        <v>0.7</v>
      </c>
      <c r="AE4" s="5">
        <v>2</v>
      </c>
      <c r="AF4" s="5">
        <v>1.8</v>
      </c>
      <c r="AG4" s="5">
        <f>+AF4</f>
        <v>1.8</v>
      </c>
      <c r="AH4" s="483">
        <f>+AG4/Efficiency1!$K$153</f>
        <v>9.4940430343069143E-4</v>
      </c>
      <c r="AI4" s="757"/>
    </row>
    <row r="5" spans="1:35">
      <c r="A5" s="495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7"/>
      <c r="O5" s="497"/>
      <c r="P5" s="496"/>
      <c r="Q5" s="496"/>
      <c r="R5" s="496"/>
      <c r="S5" s="496"/>
      <c r="T5" s="496"/>
      <c r="U5" s="496"/>
      <c r="V5" s="496"/>
      <c r="W5" s="497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8"/>
    </row>
    <row r="6" spans="1:35">
      <c r="A6" s="472" t="s">
        <v>205</v>
      </c>
      <c r="B6" s="473">
        <v>0.25</v>
      </c>
      <c r="C6" s="473">
        <v>0.1</v>
      </c>
      <c r="D6" s="5">
        <v>0.3</v>
      </c>
      <c r="E6" s="5">
        <v>0.3</v>
      </c>
      <c r="F6" s="5">
        <v>0.1</v>
      </c>
      <c r="G6" s="5">
        <v>0.3</v>
      </c>
      <c r="H6" s="5">
        <v>0.3</v>
      </c>
      <c r="I6" s="5">
        <v>0.3</v>
      </c>
      <c r="J6" s="5">
        <v>0.3</v>
      </c>
      <c r="K6" s="5">
        <v>0.3</v>
      </c>
      <c r="L6" s="5">
        <v>0.3</v>
      </c>
      <c r="M6" s="5">
        <v>0.3</v>
      </c>
      <c r="N6" s="5">
        <v>0.3</v>
      </c>
      <c r="O6" s="5">
        <v>0.25</v>
      </c>
      <c r="P6" s="5">
        <v>0.3</v>
      </c>
      <c r="Q6" s="5">
        <v>0.3</v>
      </c>
      <c r="R6" s="5">
        <v>0.3</v>
      </c>
      <c r="S6" s="5">
        <v>0.3</v>
      </c>
      <c r="T6" s="5">
        <v>0.3</v>
      </c>
      <c r="U6" s="5">
        <v>0.3</v>
      </c>
      <c r="V6" s="5">
        <v>0.3</v>
      </c>
      <c r="W6" s="473">
        <v>0.25</v>
      </c>
      <c r="X6" s="5">
        <v>0.25</v>
      </c>
      <c r="Y6" s="5">
        <v>0.25</v>
      </c>
      <c r="Z6" s="473">
        <v>0.3</v>
      </c>
      <c r="AA6" s="5">
        <v>0.3</v>
      </c>
      <c r="AB6" s="5">
        <v>0.3</v>
      </c>
      <c r="AC6" s="5">
        <v>0.3</v>
      </c>
      <c r="AD6" s="5">
        <v>0.25</v>
      </c>
      <c r="AE6" s="5">
        <v>0.2</v>
      </c>
      <c r="AF6" s="5">
        <v>0.25</v>
      </c>
      <c r="AG6" s="5">
        <f t="shared" ref="AG6:AG37" si="0">+SUM(B6:AF6)</f>
        <v>8.4499999999999975</v>
      </c>
      <c r="AH6" s="499">
        <f t="shared" ref="AH6:AH36" si="1">+AG6/$AG$39</f>
        <v>0.1945211786372007</v>
      </c>
    </row>
    <row r="7" spans="1:35">
      <c r="A7" s="472" t="s">
        <v>276</v>
      </c>
      <c r="B7" s="5"/>
      <c r="C7" s="5"/>
      <c r="D7" s="5"/>
      <c r="E7" s="5">
        <v>0.5</v>
      </c>
      <c r="F7" s="5"/>
      <c r="G7" s="5">
        <v>0.4</v>
      </c>
      <c r="H7" s="5"/>
      <c r="I7" s="5"/>
      <c r="J7" s="5"/>
      <c r="K7" s="5"/>
      <c r="L7" s="5">
        <v>0.8</v>
      </c>
      <c r="M7" s="5">
        <v>0.2</v>
      </c>
      <c r="N7" s="5"/>
      <c r="O7" s="5">
        <v>0.3</v>
      </c>
      <c r="P7" s="5">
        <v>0.3</v>
      </c>
      <c r="Q7" s="5"/>
      <c r="S7" s="5"/>
      <c r="T7" s="5"/>
      <c r="U7" s="5">
        <v>0.5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f t="shared" si="0"/>
        <v>3</v>
      </c>
      <c r="AH7" s="483">
        <f t="shared" si="1"/>
        <v>6.9060773480662987E-2</v>
      </c>
    </row>
    <row r="8" spans="1:35">
      <c r="A8" s="500" t="s">
        <v>277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83">
        <f t="shared" si="1"/>
        <v>0</v>
      </c>
    </row>
    <row r="9" spans="1:35">
      <c r="A9" s="472" t="s">
        <v>207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</v>
      </c>
      <c r="AH9" s="483">
        <f t="shared" si="1"/>
        <v>0</v>
      </c>
    </row>
    <row r="10" spans="1:35">
      <c r="A10" s="472" t="s">
        <v>208</v>
      </c>
      <c r="B10" s="5"/>
      <c r="C10" s="5">
        <f>0.4+0.7</f>
        <v>1.1000000000000001</v>
      </c>
      <c r="D10" s="5">
        <f>0.6+0.15</f>
        <v>0.75</v>
      </c>
      <c r="E10" s="5">
        <v>0.3</v>
      </c>
      <c r="F10" s="5">
        <v>0.43</v>
      </c>
      <c r="G10" s="5"/>
      <c r="H10" s="5"/>
      <c r="I10" s="5"/>
      <c r="J10" s="5"/>
      <c r="K10" s="5"/>
      <c r="L10" s="5">
        <f>0.1+0.15</f>
        <v>0.25</v>
      </c>
      <c r="M10" s="5"/>
      <c r="N10" s="5">
        <f>0.4+0.15</f>
        <v>0.55000000000000004</v>
      </c>
      <c r="O10" s="5">
        <v>0.5</v>
      </c>
      <c r="P10" s="5"/>
      <c r="Q10" s="5"/>
      <c r="R10" s="5">
        <v>0.1</v>
      </c>
      <c r="S10" s="5"/>
      <c r="T10" s="5">
        <v>0.4</v>
      </c>
      <c r="U10" s="5"/>
      <c r="V10" s="5"/>
      <c r="W10" s="5"/>
      <c r="X10" s="5"/>
      <c r="Y10" s="5"/>
      <c r="Z10" s="5"/>
      <c r="AA10" s="5"/>
      <c r="AB10" s="5"/>
      <c r="AC10" s="5">
        <v>1.56</v>
      </c>
      <c r="AD10" s="5">
        <v>0.8</v>
      </c>
      <c r="AE10" s="5">
        <f>0.7+0.75</f>
        <v>1.45</v>
      </c>
      <c r="AF10" s="5"/>
      <c r="AG10" s="5">
        <f t="shared" si="0"/>
        <v>8.19</v>
      </c>
      <c r="AH10" s="483">
        <f t="shared" si="1"/>
        <v>0.18853591160220995</v>
      </c>
    </row>
    <row r="11" spans="1:35">
      <c r="A11" s="472" t="s">
        <v>209</v>
      </c>
      <c r="B11" s="5"/>
      <c r="C11" s="5">
        <v>0.4</v>
      </c>
      <c r="D11" s="5">
        <v>0.2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0.15</v>
      </c>
      <c r="U11" s="5"/>
      <c r="V11" s="5"/>
      <c r="W11" s="5"/>
      <c r="X11" s="5"/>
      <c r="Y11" s="5"/>
      <c r="Z11" s="5"/>
      <c r="AA11" s="5"/>
      <c r="AB11" s="5">
        <v>0.2</v>
      </c>
      <c r="AC11" s="5">
        <v>0.3</v>
      </c>
      <c r="AD11" s="5"/>
      <c r="AE11" s="5">
        <v>0.5</v>
      </c>
      <c r="AF11" s="5"/>
      <c r="AG11" s="5">
        <f t="shared" si="0"/>
        <v>1.7500000000000002</v>
      </c>
      <c r="AH11" s="483">
        <f t="shared" si="1"/>
        <v>4.0285451197053415E-2</v>
      </c>
    </row>
    <row r="12" spans="1:35">
      <c r="A12" s="472" t="s">
        <v>210</v>
      </c>
      <c r="B12" s="5">
        <v>0.2</v>
      </c>
      <c r="C12" s="5"/>
      <c r="D12" s="5"/>
      <c r="E12" s="5">
        <v>0.45</v>
      </c>
      <c r="F12" s="5"/>
      <c r="G12" s="5">
        <f>4.7+0.3</f>
        <v>5</v>
      </c>
      <c r="H12" s="5">
        <f>0.6+0.5</f>
        <v>1.1000000000000001</v>
      </c>
      <c r="I12" s="5"/>
      <c r="J12" s="5"/>
      <c r="K12" s="5"/>
      <c r="L12" s="5"/>
      <c r="M12" s="5"/>
      <c r="N12" s="5"/>
      <c r="O12" s="5">
        <v>0.1</v>
      </c>
      <c r="P12" s="5">
        <v>0.25</v>
      </c>
      <c r="Q12" s="5">
        <v>0.05</v>
      </c>
      <c r="R12" s="5">
        <f>0.05+0.2+0.3</f>
        <v>0.55000000000000004</v>
      </c>
      <c r="S12" s="5">
        <v>0.55000000000000004</v>
      </c>
      <c r="T12" s="5"/>
      <c r="U12" s="5"/>
      <c r="V12" s="5"/>
      <c r="W12" s="5"/>
      <c r="X12" s="5">
        <v>0.25</v>
      </c>
      <c r="Y12" s="5"/>
      <c r="Z12" s="5"/>
      <c r="AA12" s="5"/>
      <c r="AB12" s="5"/>
      <c r="AC12" s="5"/>
      <c r="AD12" s="5"/>
      <c r="AE12" s="5"/>
      <c r="AF12" s="5"/>
      <c r="AG12" s="5">
        <f t="shared" si="0"/>
        <v>8.5</v>
      </c>
      <c r="AH12" s="483">
        <f t="shared" si="1"/>
        <v>0.19567219152854512</v>
      </c>
    </row>
    <row r="13" spans="1:35">
      <c r="A13" s="472" t="s">
        <v>211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f t="shared" si="0"/>
        <v>0.9</v>
      </c>
      <c r="AH13" s="483">
        <f t="shared" si="1"/>
        <v>2.0718232044198898E-2</v>
      </c>
    </row>
    <row r="14" spans="1:35">
      <c r="A14" s="472" t="s">
        <v>278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</v>
      </c>
      <c r="AH14" s="483">
        <f t="shared" si="1"/>
        <v>0</v>
      </c>
    </row>
    <row r="15" spans="1:35">
      <c r="A15" s="472" t="s">
        <v>206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83">
        <f t="shared" si="1"/>
        <v>0</v>
      </c>
    </row>
    <row r="16" spans="1:35">
      <c r="A16" s="472" t="s">
        <v>392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83">
        <f t="shared" si="1"/>
        <v>0</v>
      </c>
    </row>
    <row r="17" spans="1:34">
      <c r="A17" s="472" t="s">
        <v>279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</v>
      </c>
      <c r="AH17" s="483">
        <f t="shared" si="1"/>
        <v>0</v>
      </c>
    </row>
    <row r="18" spans="1:34">
      <c r="A18" s="472" t="s">
        <v>280</v>
      </c>
      <c r="B18" s="5"/>
      <c r="C18" s="5"/>
      <c r="D18" s="5"/>
      <c r="E18" s="5">
        <f>1.3+0.45</f>
        <v>1.75</v>
      </c>
      <c r="F18" s="5">
        <v>2</v>
      </c>
      <c r="G18" s="5">
        <f>0.7+0.3</f>
        <v>1</v>
      </c>
      <c r="H18" s="5">
        <v>1</v>
      </c>
      <c r="I18" s="5"/>
      <c r="J18" s="5"/>
      <c r="K18" s="5"/>
      <c r="L18" s="5">
        <v>0.5</v>
      </c>
      <c r="M18" s="5"/>
      <c r="N18" s="5">
        <v>0.4</v>
      </c>
      <c r="O18" s="47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f t="shared" si="0"/>
        <v>6.65</v>
      </c>
      <c r="AH18" s="483">
        <f t="shared" si="1"/>
        <v>0.15308471454880296</v>
      </c>
    </row>
    <row r="19" spans="1:34">
      <c r="A19" s="472" t="s">
        <v>212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f t="shared" si="0"/>
        <v>0</v>
      </c>
      <c r="AH19" s="483">
        <f t="shared" si="1"/>
        <v>0</v>
      </c>
    </row>
    <row r="20" spans="1:34">
      <c r="A20" s="472" t="s">
        <v>213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83">
        <f t="shared" si="1"/>
        <v>0</v>
      </c>
    </row>
    <row r="21" spans="1:34">
      <c r="A21" s="472" t="s">
        <v>214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83">
        <f t="shared" si="1"/>
        <v>0</v>
      </c>
    </row>
    <row r="22" spans="1:34">
      <c r="A22" s="472" t="s">
        <v>602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4</v>
      </c>
      <c r="AH22" s="483">
        <f t="shared" si="1"/>
        <v>9.2081031307550645E-2</v>
      </c>
    </row>
    <row r="23" spans="1:34">
      <c r="A23" s="472" t="s">
        <v>215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83">
        <f t="shared" si="1"/>
        <v>0</v>
      </c>
    </row>
    <row r="24" spans="1:34">
      <c r="A24" s="472" t="s">
        <v>281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0</v>
      </c>
      <c r="AH24" s="483">
        <f t="shared" si="1"/>
        <v>0</v>
      </c>
    </row>
    <row r="25" spans="1:34">
      <c r="A25" s="472" t="s">
        <v>216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83">
        <f t="shared" si="1"/>
        <v>0</v>
      </c>
    </row>
    <row r="26" spans="1:34">
      <c r="A26" s="472" t="s">
        <v>217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83">
        <f t="shared" si="1"/>
        <v>0</v>
      </c>
    </row>
    <row r="27" spans="1:34">
      <c r="A27" s="472" t="s">
        <v>282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83">
        <f t="shared" si="1"/>
        <v>0</v>
      </c>
    </row>
    <row r="28" spans="1:34">
      <c r="A28" s="472" t="s">
        <v>218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83">
        <f t="shared" si="1"/>
        <v>0</v>
      </c>
    </row>
    <row r="29" spans="1:34">
      <c r="A29" s="472" t="s">
        <v>219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83">
        <f t="shared" si="1"/>
        <v>0</v>
      </c>
    </row>
    <row r="30" spans="1:34">
      <c r="A30" s="472" t="s">
        <v>220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83">
        <f t="shared" si="1"/>
        <v>0</v>
      </c>
    </row>
    <row r="31" spans="1:34">
      <c r="A31" s="472" t="s">
        <v>283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83">
        <f t="shared" si="1"/>
        <v>0</v>
      </c>
    </row>
    <row r="32" spans="1:34">
      <c r="A32" s="472" t="s">
        <v>221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</v>
      </c>
      <c r="AF32" s="5"/>
      <c r="AG32" s="5">
        <f t="shared" si="0"/>
        <v>2</v>
      </c>
      <c r="AH32" s="483">
        <f t="shared" si="1"/>
        <v>4.6040515653775323E-2</v>
      </c>
    </row>
    <row r="33" spans="1:34">
      <c r="A33" s="472" t="s">
        <v>222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0"/>
        <v>0</v>
      </c>
      <c r="AH33" s="483">
        <f t="shared" si="1"/>
        <v>0</v>
      </c>
    </row>
    <row r="34" spans="1:34">
      <c r="A34" s="474" t="s">
        <v>223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83">
        <f t="shared" si="1"/>
        <v>0</v>
      </c>
    </row>
    <row r="35" spans="1:34">
      <c r="A35" s="474" t="s">
        <v>224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83">
        <f t="shared" si="1"/>
        <v>0</v>
      </c>
    </row>
    <row r="36" spans="1:34">
      <c r="A36" s="474" t="s">
        <v>225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83">
        <f t="shared" si="1"/>
        <v>0</v>
      </c>
    </row>
    <row r="37" spans="1:34">
      <c r="A37" s="474" t="s">
        <v>378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83">
        <f>+AG37/$AG$39</f>
        <v>0</v>
      </c>
    </row>
    <row r="38" spans="1:34">
      <c r="A38" s="501" t="s">
        <v>284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02">
        <f>+AG39/Efficiency1!$K$153</f>
        <v>2.2912290522794018E-2</v>
      </c>
    </row>
    <row r="39" spans="1:34">
      <c r="A39" s="474" t="s">
        <v>3</v>
      </c>
      <c r="B39" s="5">
        <f t="shared" ref="B39:AF39" si="2">SUM(B3:B37)</f>
        <v>1.95</v>
      </c>
      <c r="C39" s="5">
        <f t="shared" si="2"/>
        <v>4.8000000000000007</v>
      </c>
      <c r="D39" s="5">
        <f t="shared" si="2"/>
        <v>5.05</v>
      </c>
      <c r="E39" s="5">
        <f t="shared" si="2"/>
        <v>7.8999999999999995</v>
      </c>
      <c r="F39" s="5">
        <f t="shared" si="2"/>
        <v>3.23</v>
      </c>
      <c r="G39" s="5">
        <f t="shared" si="2"/>
        <v>10.7</v>
      </c>
      <c r="H39" s="5">
        <f t="shared" si="2"/>
        <v>6.2000000000000011</v>
      </c>
      <c r="I39" s="5">
        <f t="shared" si="2"/>
        <v>4.1000000000000005</v>
      </c>
      <c r="J39" s="5">
        <f t="shared" si="2"/>
        <v>5.6</v>
      </c>
      <c r="K39" s="5">
        <f t="shared" si="2"/>
        <v>3.0999999999999996</v>
      </c>
      <c r="L39" s="5">
        <f t="shared" si="2"/>
        <v>5.35</v>
      </c>
      <c r="M39" s="5">
        <f t="shared" si="2"/>
        <v>5</v>
      </c>
      <c r="N39" s="5">
        <f t="shared" si="2"/>
        <v>8.75</v>
      </c>
      <c r="O39" s="6">
        <f t="shared" si="2"/>
        <v>5.55</v>
      </c>
      <c r="P39" s="5">
        <f t="shared" si="2"/>
        <v>4.95</v>
      </c>
      <c r="Q39" s="5">
        <f t="shared" si="2"/>
        <v>5.4499999999999993</v>
      </c>
      <c r="R39" s="5">
        <f t="shared" si="2"/>
        <v>3.8500000000000005</v>
      </c>
      <c r="S39" s="5">
        <f t="shared" si="2"/>
        <v>3.3499999999999996</v>
      </c>
      <c r="T39" s="5">
        <f t="shared" si="2"/>
        <v>6.5500000000000007</v>
      </c>
      <c r="U39" s="5">
        <f t="shared" si="2"/>
        <v>5.9</v>
      </c>
      <c r="V39" s="5">
        <f t="shared" si="2"/>
        <v>4.3</v>
      </c>
      <c r="W39" s="5">
        <f t="shared" si="2"/>
        <v>8.6499999999999986</v>
      </c>
      <c r="X39" s="5">
        <f t="shared" si="2"/>
        <v>2.8</v>
      </c>
      <c r="Y39" s="5">
        <f t="shared" si="2"/>
        <v>1.75</v>
      </c>
      <c r="Z39" s="5">
        <f t="shared" si="2"/>
        <v>1.9000000000000001</v>
      </c>
      <c r="AA39" s="5">
        <f t="shared" si="2"/>
        <v>1.4000000000000001</v>
      </c>
      <c r="AB39" s="5">
        <f t="shared" si="2"/>
        <v>4.3</v>
      </c>
      <c r="AC39" s="5">
        <f t="shared" si="2"/>
        <v>4.6599999999999993</v>
      </c>
      <c r="AD39" s="5">
        <f t="shared" si="2"/>
        <v>3.1499999999999995</v>
      </c>
      <c r="AE39" s="5">
        <f t="shared" si="2"/>
        <v>7.55</v>
      </c>
      <c r="AF39" s="5">
        <f t="shared" si="2"/>
        <v>4.8499999999999996</v>
      </c>
      <c r="AG39" s="18">
        <f>SUM(AG6:AG38)</f>
        <v>43.44</v>
      </c>
      <c r="AH39" s="485">
        <f>SUM(AH6:AH37)</f>
        <v>1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0"/>
  <sheetViews>
    <sheetView topLeftCell="A127" workbookViewId="0">
      <selection activeCell="C132" sqref="C132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75" t="s">
        <v>262</v>
      </c>
      <c r="B1" s="487" t="s">
        <v>9</v>
      </c>
      <c r="C1" s="488" t="s">
        <v>263</v>
      </c>
      <c r="D1" s="489" t="s">
        <v>129</v>
      </c>
      <c r="E1" s="489" t="s">
        <v>264</v>
      </c>
      <c r="F1" s="489" t="s">
        <v>265</v>
      </c>
      <c r="H1" s="486" t="s">
        <v>266</v>
      </c>
      <c r="I1" s="480" t="s">
        <v>267</v>
      </c>
      <c r="J1" s="480" t="s">
        <v>268</v>
      </c>
      <c r="L1" s="475" t="s">
        <v>368</v>
      </c>
      <c r="M1" s="487" t="s">
        <v>9</v>
      </c>
      <c r="N1" s="488" t="s">
        <v>263</v>
      </c>
      <c r="O1" s="489" t="s">
        <v>129</v>
      </c>
      <c r="P1" s="489" t="s">
        <v>264</v>
      </c>
      <c r="Q1" s="489" t="s">
        <v>265</v>
      </c>
      <c r="S1" s="552" t="s">
        <v>266</v>
      </c>
      <c r="T1" s="480" t="s">
        <v>267</v>
      </c>
      <c r="U1" s="480" t="s">
        <v>268</v>
      </c>
    </row>
    <row r="2" spans="1:21">
      <c r="B2" s="378">
        <v>45870</v>
      </c>
      <c r="C2" s="3">
        <v>0</v>
      </c>
      <c r="D2" s="503" t="s">
        <v>391</v>
      </c>
      <c r="E2" t="s">
        <v>252</v>
      </c>
      <c r="F2" t="s">
        <v>250</v>
      </c>
      <c r="H2" s="5" t="s">
        <v>148</v>
      </c>
      <c r="I2" s="353">
        <f>+Efficiency1!Z153</f>
        <v>16.451000000000001</v>
      </c>
      <c r="J2" s="490">
        <f>I2/$I$8</f>
        <v>8.6770278865212803E-3</v>
      </c>
      <c r="M2" s="378">
        <v>45870</v>
      </c>
      <c r="N2" s="3">
        <v>0</v>
      </c>
      <c r="O2" s="503" t="s">
        <v>391</v>
      </c>
      <c r="P2" t="s">
        <v>252</v>
      </c>
      <c r="Q2" t="s">
        <v>250</v>
      </c>
      <c r="S2" s="5" t="s">
        <v>148</v>
      </c>
      <c r="T2" s="353">
        <f>+Efficiency2!Z153</f>
        <v>16.451000000000001</v>
      </c>
      <c r="U2" s="490">
        <f>T2/$T$8</f>
        <v>8.9181844752184991E-3</v>
      </c>
    </row>
    <row r="3" spans="1:21">
      <c r="B3" s="378"/>
      <c r="C3" s="3">
        <v>6</v>
      </c>
      <c r="D3" s="503" t="s">
        <v>390</v>
      </c>
      <c r="E3" t="s">
        <v>251</v>
      </c>
      <c r="F3" t="s">
        <v>250</v>
      </c>
      <c r="H3" s="5" t="s">
        <v>244</v>
      </c>
      <c r="I3" s="353">
        <f>+Efficiency1!Y153+Efficiency1!AA153</f>
        <v>53.717375654051253</v>
      </c>
      <c r="J3" s="490">
        <f>I3/$I$8</f>
        <v>2.8333059786088504E-2</v>
      </c>
      <c r="M3" s="378"/>
      <c r="N3" s="3">
        <v>6</v>
      </c>
      <c r="O3" s="503" t="s">
        <v>390</v>
      </c>
      <c r="P3" t="s">
        <v>251</v>
      </c>
      <c r="Q3" t="s">
        <v>250</v>
      </c>
      <c r="S3" s="5" t="s">
        <v>244</v>
      </c>
      <c r="T3" s="353">
        <f>+Efficiency2!Y153+Efficiency2!AA153</f>
        <v>53.717375654051253</v>
      </c>
      <c r="U3" s="490">
        <f>T3/$T$8</f>
        <v>2.912050730092031E-2</v>
      </c>
    </row>
    <row r="4" spans="1:21">
      <c r="B4" s="43"/>
      <c r="C4" s="3">
        <v>9</v>
      </c>
      <c r="D4" t="s">
        <v>226</v>
      </c>
      <c r="E4" t="s">
        <v>14</v>
      </c>
      <c r="F4" t="s">
        <v>250</v>
      </c>
      <c r="H4" s="5" t="s">
        <v>269</v>
      </c>
      <c r="I4" s="353">
        <f>+Efficiency1!AB153</f>
        <v>-3.1674583415292794</v>
      </c>
      <c r="J4" s="490">
        <f>I4/$I$8</f>
        <v>-1.6706658779918548E-3</v>
      </c>
      <c r="M4" s="43"/>
      <c r="N4" s="3">
        <v>9</v>
      </c>
      <c r="O4" t="s">
        <v>226</v>
      </c>
      <c r="P4" t="s">
        <v>14</v>
      </c>
      <c r="Q4" t="s">
        <v>250</v>
      </c>
      <c r="S4" s="5" t="s">
        <v>269</v>
      </c>
      <c r="T4" s="353">
        <f>+Efficiency2!AB153</f>
        <v>-0.59886371067213762</v>
      </c>
      <c r="U4" s="490">
        <f>T4/$T$8</f>
        <v>-3.2464756229335604E-4</v>
      </c>
    </row>
    <row r="5" spans="1:21">
      <c r="B5" s="378"/>
      <c r="C5" s="3"/>
      <c r="D5" s="503"/>
      <c r="E5" s="503"/>
      <c r="H5" s="5" t="s">
        <v>247</v>
      </c>
      <c r="I5" s="353">
        <f>+Efficiency1!AC153</f>
        <v>17.469652529491007</v>
      </c>
      <c r="J5" s="490">
        <f>I5/$I$8</f>
        <v>9.2143129394097918E-3</v>
      </c>
      <c r="M5" s="378"/>
      <c r="N5" s="3"/>
      <c r="O5" s="503"/>
      <c r="P5" s="503"/>
      <c r="S5" s="5" t="s">
        <v>247</v>
      </c>
      <c r="T5" s="353">
        <f>+Efficiency2!AC153</f>
        <v>14.901057898633862</v>
      </c>
      <c r="U5" s="490">
        <f>T5/$T$8</f>
        <v>8.0779516877957872E-3</v>
      </c>
    </row>
    <row r="6" spans="1:21">
      <c r="B6" s="378">
        <v>45871</v>
      </c>
      <c r="C6" s="3">
        <v>5</v>
      </c>
      <c r="D6" t="s">
        <v>436</v>
      </c>
      <c r="E6" t="s">
        <v>252</v>
      </c>
      <c r="F6" t="s">
        <v>250</v>
      </c>
      <c r="M6" s="378">
        <v>45871</v>
      </c>
      <c r="N6" s="3">
        <v>5</v>
      </c>
      <c r="O6" t="s">
        <v>436</v>
      </c>
      <c r="P6" t="s">
        <v>252</v>
      </c>
      <c r="Q6" t="s">
        <v>250</v>
      </c>
    </row>
    <row r="7" spans="1:21">
      <c r="B7" s="378"/>
      <c r="C7" s="3">
        <v>10</v>
      </c>
      <c r="D7" s="503" t="s">
        <v>446</v>
      </c>
      <c r="E7" t="s">
        <v>251</v>
      </c>
      <c r="F7" t="s">
        <v>250</v>
      </c>
      <c r="M7" s="378"/>
      <c r="N7" s="3">
        <v>10</v>
      </c>
      <c r="O7" s="503" t="s">
        <v>446</v>
      </c>
      <c r="P7" t="s">
        <v>251</v>
      </c>
      <c r="Q7" t="s">
        <v>250</v>
      </c>
    </row>
    <row r="8" spans="1:21">
      <c r="B8" s="378"/>
      <c r="C8" s="3">
        <v>11</v>
      </c>
      <c r="D8" s="503" t="s">
        <v>226</v>
      </c>
      <c r="E8" t="s">
        <v>14</v>
      </c>
      <c r="F8" t="s">
        <v>250</v>
      </c>
      <c r="H8" s="491" t="s">
        <v>270</v>
      </c>
      <c r="I8" s="6">
        <f>+Efficiency1!K153</f>
        <v>1895.9256804457955</v>
      </c>
      <c r="M8" s="378"/>
      <c r="N8" s="3">
        <v>11</v>
      </c>
      <c r="O8" s="503" t="s">
        <v>226</v>
      </c>
      <c r="P8" t="s">
        <v>14</v>
      </c>
      <c r="Q8" t="s">
        <v>250</v>
      </c>
      <c r="S8" s="491" t="s">
        <v>270</v>
      </c>
      <c r="T8" s="6">
        <f>+Efficiency2!K153</f>
        <v>1844.6579621349383</v>
      </c>
    </row>
    <row r="9" spans="1:21">
      <c r="B9" s="43"/>
      <c r="C9" s="3">
        <v>12</v>
      </c>
      <c r="D9" t="s">
        <v>447</v>
      </c>
      <c r="E9" t="s">
        <v>201</v>
      </c>
      <c r="F9" t="s">
        <v>249</v>
      </c>
      <c r="H9" s="491" t="s">
        <v>271</v>
      </c>
      <c r="I9" s="6">
        <f>+Efficiency1!AD153</f>
        <v>3315</v>
      </c>
      <c r="M9" s="43"/>
      <c r="N9" s="3">
        <v>12</v>
      </c>
      <c r="O9" t="s">
        <v>447</v>
      </c>
      <c r="P9" t="s">
        <v>201</v>
      </c>
      <c r="Q9" t="s">
        <v>249</v>
      </c>
      <c r="S9" s="491" t="s">
        <v>271</v>
      </c>
      <c r="T9" s="6">
        <f>+Efficiency2!AD153</f>
        <v>1909</v>
      </c>
    </row>
    <row r="10" spans="1:21">
      <c r="B10" s="378"/>
      <c r="C10" s="3">
        <v>50</v>
      </c>
      <c r="D10" s="503" t="s">
        <v>438</v>
      </c>
      <c r="E10" s="503" t="s">
        <v>449</v>
      </c>
      <c r="F10" t="s">
        <v>254</v>
      </c>
      <c r="H10" s="491" t="s">
        <v>272</v>
      </c>
      <c r="I10" s="6">
        <f>+Efficiency1!V153</f>
        <v>130.41411060378275</v>
      </c>
      <c r="M10" s="378"/>
      <c r="N10" s="3">
        <v>50</v>
      </c>
      <c r="O10" s="503" t="s">
        <v>438</v>
      </c>
      <c r="P10" s="503" t="s">
        <v>449</v>
      </c>
      <c r="Q10" t="s">
        <v>254</v>
      </c>
      <c r="S10" s="491" t="s">
        <v>272</v>
      </c>
      <c r="T10" s="6">
        <f>+Efficiency2!V153</f>
        <v>79.146392292925569</v>
      </c>
    </row>
    <row r="11" spans="1:21">
      <c r="B11" s="378"/>
      <c r="C11" s="3"/>
      <c r="E11" s="503"/>
      <c r="G11" s="529"/>
      <c r="H11" s="491" t="s">
        <v>273</v>
      </c>
      <c r="I11" s="483">
        <f>I10/I8</f>
        <v>6.8786509908509721E-2</v>
      </c>
      <c r="M11" s="378"/>
      <c r="N11" s="3"/>
      <c r="P11" s="503"/>
      <c r="R11" s="529"/>
      <c r="S11" s="491" t="s">
        <v>273</v>
      </c>
      <c r="T11" s="483">
        <f>T10/T8</f>
        <v>4.2905727737907837E-2</v>
      </c>
    </row>
    <row r="12" spans="1:21">
      <c r="B12" s="378">
        <v>45872</v>
      </c>
      <c r="C12" s="3">
        <v>3</v>
      </c>
      <c r="D12" s="503" t="s">
        <v>436</v>
      </c>
      <c r="E12" t="s">
        <v>252</v>
      </c>
      <c r="F12" t="s">
        <v>250</v>
      </c>
      <c r="M12" s="378">
        <v>45872</v>
      </c>
      <c r="N12" s="3">
        <v>3</v>
      </c>
      <c r="O12" s="503" t="s">
        <v>436</v>
      </c>
      <c r="P12" t="s">
        <v>252</v>
      </c>
      <c r="Q12" t="s">
        <v>250</v>
      </c>
    </row>
    <row r="13" spans="1:21">
      <c r="B13" s="378"/>
      <c r="C13" s="3">
        <v>11</v>
      </c>
      <c r="D13" s="503" t="s">
        <v>448</v>
      </c>
      <c r="E13" t="s">
        <v>251</v>
      </c>
      <c r="F13" t="s">
        <v>250</v>
      </c>
      <c r="M13" s="378"/>
      <c r="N13" s="3">
        <v>11</v>
      </c>
      <c r="O13" s="503" t="s">
        <v>448</v>
      </c>
      <c r="P13" t="s">
        <v>251</v>
      </c>
      <c r="Q13" t="s">
        <v>250</v>
      </c>
    </row>
    <row r="14" spans="1:21">
      <c r="B14" s="43"/>
      <c r="C14" s="3">
        <v>10</v>
      </c>
      <c r="D14" t="s">
        <v>226</v>
      </c>
      <c r="E14" t="s">
        <v>14</v>
      </c>
      <c r="F14" t="s">
        <v>250</v>
      </c>
      <c r="M14" s="43"/>
      <c r="N14" s="3">
        <v>10</v>
      </c>
      <c r="O14" t="s">
        <v>226</v>
      </c>
      <c r="P14" t="s">
        <v>14</v>
      </c>
      <c r="Q14" t="s">
        <v>250</v>
      </c>
    </row>
    <row r="15" spans="1:21">
      <c r="B15" s="378"/>
      <c r="C15" s="3"/>
      <c r="D15" s="503"/>
      <c r="M15" s="378"/>
      <c r="N15" s="3"/>
      <c r="O15" s="503"/>
    </row>
    <row r="16" spans="1:21">
      <c r="B16" s="43">
        <v>45873</v>
      </c>
      <c r="C16" s="3">
        <v>35</v>
      </c>
      <c r="D16" t="s">
        <v>470</v>
      </c>
      <c r="E16" t="s">
        <v>252</v>
      </c>
      <c r="F16" t="s">
        <v>250</v>
      </c>
      <c r="M16" s="43">
        <v>45873</v>
      </c>
      <c r="N16" s="3">
        <v>35</v>
      </c>
      <c r="O16" t="s">
        <v>470</v>
      </c>
      <c r="P16" t="s">
        <v>252</v>
      </c>
      <c r="Q16" t="s">
        <v>250</v>
      </c>
    </row>
    <row r="17" spans="2:17">
      <c r="B17" s="378"/>
      <c r="C17" s="3">
        <v>22</v>
      </c>
      <c r="D17" s="503" t="s">
        <v>471</v>
      </c>
      <c r="E17" t="s">
        <v>251</v>
      </c>
      <c r="F17" t="s">
        <v>250</v>
      </c>
      <c r="M17" s="378"/>
      <c r="N17" s="3">
        <v>22</v>
      </c>
      <c r="O17" s="503" t="s">
        <v>471</v>
      </c>
      <c r="P17" t="s">
        <v>251</v>
      </c>
      <c r="Q17" t="s">
        <v>250</v>
      </c>
    </row>
    <row r="18" spans="2:17">
      <c r="B18" s="378"/>
      <c r="C18" s="3">
        <v>25</v>
      </c>
      <c r="D18" s="503" t="s">
        <v>226</v>
      </c>
      <c r="E18" t="s">
        <v>14</v>
      </c>
      <c r="F18" t="s">
        <v>250</v>
      </c>
      <c r="M18" s="378"/>
      <c r="N18" s="3">
        <v>25</v>
      </c>
      <c r="O18" s="503" t="s">
        <v>226</v>
      </c>
      <c r="P18" t="s">
        <v>14</v>
      </c>
      <c r="Q18" t="s">
        <v>250</v>
      </c>
    </row>
    <row r="19" spans="2:17">
      <c r="B19" s="43"/>
      <c r="C19" s="3">
        <v>3</v>
      </c>
      <c r="D19" t="s">
        <v>447</v>
      </c>
      <c r="E19" t="s">
        <v>201</v>
      </c>
      <c r="F19" t="s">
        <v>249</v>
      </c>
      <c r="M19" s="43"/>
      <c r="N19" s="3">
        <v>3</v>
      </c>
      <c r="O19" t="s">
        <v>447</v>
      </c>
      <c r="P19" t="s">
        <v>201</v>
      </c>
      <c r="Q19" t="s">
        <v>249</v>
      </c>
    </row>
    <row r="20" spans="2:17">
      <c r="B20" s="378"/>
      <c r="C20" s="3"/>
      <c r="D20" s="503"/>
      <c r="E20" s="589"/>
      <c r="F20" s="413"/>
      <c r="M20" s="378"/>
      <c r="N20" s="3"/>
      <c r="O20" s="503"/>
      <c r="P20" s="589"/>
      <c r="Q20" s="413"/>
    </row>
    <row r="21" spans="2:17">
      <c r="B21" s="378">
        <v>45874</v>
      </c>
      <c r="C21" s="3">
        <v>0</v>
      </c>
      <c r="D21" t="s">
        <v>391</v>
      </c>
      <c r="E21" t="s">
        <v>252</v>
      </c>
      <c r="F21" t="s">
        <v>250</v>
      </c>
      <c r="M21" s="378">
        <v>45874</v>
      </c>
      <c r="N21" s="3">
        <v>0</v>
      </c>
      <c r="O21" t="s">
        <v>391</v>
      </c>
      <c r="P21" t="s">
        <v>252</v>
      </c>
      <c r="Q21" t="s">
        <v>250</v>
      </c>
    </row>
    <row r="22" spans="2:17">
      <c r="B22" s="378"/>
      <c r="C22" s="3">
        <v>10</v>
      </c>
      <c r="D22" s="503" t="s">
        <v>434</v>
      </c>
      <c r="E22" t="s">
        <v>251</v>
      </c>
      <c r="F22" t="s">
        <v>250</v>
      </c>
      <c r="M22" s="378"/>
      <c r="N22" s="3">
        <v>10</v>
      </c>
      <c r="O22" s="503" t="s">
        <v>434</v>
      </c>
      <c r="P22" t="s">
        <v>251</v>
      </c>
      <c r="Q22" t="s">
        <v>250</v>
      </c>
    </row>
    <row r="23" spans="2:17">
      <c r="B23" s="378"/>
      <c r="C23" s="3">
        <v>10</v>
      </c>
      <c r="D23" s="503" t="s">
        <v>226</v>
      </c>
      <c r="E23" t="s">
        <v>14</v>
      </c>
      <c r="F23" t="s">
        <v>250</v>
      </c>
      <c r="M23" s="378"/>
      <c r="N23" s="3">
        <v>10</v>
      </c>
      <c r="O23" s="503" t="s">
        <v>226</v>
      </c>
      <c r="P23" t="s">
        <v>14</v>
      </c>
      <c r="Q23" t="s">
        <v>250</v>
      </c>
    </row>
    <row r="24" spans="2:17">
      <c r="B24" s="43"/>
      <c r="C24" s="3">
        <v>1256</v>
      </c>
      <c r="D24" t="s">
        <v>488</v>
      </c>
      <c r="E24" t="s">
        <v>489</v>
      </c>
      <c r="F24" t="s">
        <v>243</v>
      </c>
      <c r="M24" s="43"/>
      <c r="N24" s="3">
        <v>0</v>
      </c>
      <c r="O24" t="s">
        <v>488</v>
      </c>
      <c r="P24" t="s">
        <v>489</v>
      </c>
      <c r="Q24" t="s">
        <v>243</v>
      </c>
    </row>
    <row r="25" spans="2:17">
      <c r="B25" s="378"/>
      <c r="C25" s="3"/>
      <c r="D25" s="503"/>
      <c r="M25" s="378"/>
      <c r="N25" s="3"/>
      <c r="O25" s="503"/>
    </row>
    <row r="26" spans="2:17">
      <c r="B26" s="43">
        <v>45875</v>
      </c>
      <c r="C26" s="3">
        <v>10</v>
      </c>
      <c r="D26" t="s">
        <v>436</v>
      </c>
      <c r="E26" t="s">
        <v>252</v>
      </c>
      <c r="F26" t="s">
        <v>250</v>
      </c>
      <c r="M26" s="43">
        <v>45875</v>
      </c>
      <c r="N26" s="3">
        <v>10</v>
      </c>
      <c r="O26" t="s">
        <v>436</v>
      </c>
      <c r="P26" t="s">
        <v>252</v>
      </c>
      <c r="Q26" t="s">
        <v>250</v>
      </c>
    </row>
    <row r="27" spans="2:17">
      <c r="B27" s="378"/>
      <c r="C27" s="3">
        <v>30</v>
      </c>
      <c r="D27" t="s">
        <v>448</v>
      </c>
      <c r="E27" t="s">
        <v>251</v>
      </c>
      <c r="F27" t="s">
        <v>250</v>
      </c>
      <c r="M27" s="378"/>
      <c r="N27" s="3">
        <v>30</v>
      </c>
      <c r="O27" t="s">
        <v>448</v>
      </c>
      <c r="P27" t="s">
        <v>251</v>
      </c>
      <c r="Q27" t="s">
        <v>250</v>
      </c>
    </row>
    <row r="28" spans="2:17">
      <c r="B28" s="378"/>
      <c r="C28" s="3">
        <v>30</v>
      </c>
      <c r="D28" t="s">
        <v>226</v>
      </c>
      <c r="E28" t="s">
        <v>14</v>
      </c>
      <c r="F28" t="s">
        <v>250</v>
      </c>
      <c r="M28" s="378"/>
      <c r="N28" s="3">
        <v>30</v>
      </c>
      <c r="O28" t="s">
        <v>226</v>
      </c>
      <c r="P28" t="s">
        <v>14</v>
      </c>
      <c r="Q28" t="s">
        <v>250</v>
      </c>
    </row>
    <row r="29" spans="2:17">
      <c r="B29" s="378"/>
      <c r="C29" s="3">
        <v>10</v>
      </c>
      <c r="D29" t="s">
        <v>447</v>
      </c>
      <c r="E29" t="s">
        <v>201</v>
      </c>
      <c r="F29" t="s">
        <v>249</v>
      </c>
      <c r="M29" s="378"/>
      <c r="N29" s="3">
        <v>10</v>
      </c>
      <c r="O29" t="s">
        <v>447</v>
      </c>
      <c r="P29" t="s">
        <v>201</v>
      </c>
      <c r="Q29" t="s">
        <v>249</v>
      </c>
    </row>
    <row r="30" spans="2:17">
      <c r="B30" s="43"/>
      <c r="C30" s="3">
        <v>15</v>
      </c>
      <c r="D30" t="s">
        <v>498</v>
      </c>
      <c r="E30" t="s">
        <v>504</v>
      </c>
      <c r="F30" t="s">
        <v>250</v>
      </c>
      <c r="M30" s="43"/>
      <c r="N30" s="3">
        <v>15</v>
      </c>
      <c r="O30" t="s">
        <v>498</v>
      </c>
      <c r="P30" t="s">
        <v>504</v>
      </c>
      <c r="Q30" t="s">
        <v>250</v>
      </c>
    </row>
    <row r="31" spans="2:17">
      <c r="B31" s="378"/>
      <c r="C31" s="3">
        <v>150</v>
      </c>
      <c r="D31" t="s">
        <v>511</v>
      </c>
      <c r="E31" t="s">
        <v>512</v>
      </c>
      <c r="F31" t="s">
        <v>298</v>
      </c>
      <c r="M31" s="378"/>
      <c r="N31" s="3">
        <v>0</v>
      </c>
      <c r="O31" t="s">
        <v>511</v>
      </c>
      <c r="P31" t="s">
        <v>512</v>
      </c>
      <c r="Q31" t="s">
        <v>298</v>
      </c>
    </row>
    <row r="32" spans="2:17">
      <c r="B32" s="378"/>
      <c r="C32" s="3"/>
      <c r="M32" s="378"/>
      <c r="N32" s="3"/>
    </row>
    <row r="33" spans="2:17">
      <c r="B33" s="378">
        <v>45876</v>
      </c>
      <c r="C33" s="3">
        <v>13</v>
      </c>
      <c r="D33" t="s">
        <v>469</v>
      </c>
      <c r="E33" t="s">
        <v>252</v>
      </c>
      <c r="F33" t="s">
        <v>250</v>
      </c>
      <c r="M33" s="378">
        <v>45876</v>
      </c>
      <c r="N33" s="3">
        <v>13</v>
      </c>
      <c r="O33" t="s">
        <v>469</v>
      </c>
      <c r="P33" t="s">
        <v>252</v>
      </c>
      <c r="Q33" t="s">
        <v>250</v>
      </c>
    </row>
    <row r="34" spans="2:17">
      <c r="B34" s="378"/>
      <c r="C34" s="3">
        <v>25</v>
      </c>
      <c r="D34" t="s">
        <v>527</v>
      </c>
      <c r="E34" t="s">
        <v>251</v>
      </c>
      <c r="F34" t="s">
        <v>250</v>
      </c>
      <c r="M34" s="378"/>
      <c r="N34" s="3">
        <v>25</v>
      </c>
      <c r="O34" t="s">
        <v>527</v>
      </c>
      <c r="P34" t="s">
        <v>251</v>
      </c>
      <c r="Q34" t="s">
        <v>250</v>
      </c>
    </row>
    <row r="35" spans="2:17">
      <c r="B35" s="43"/>
      <c r="C35" s="3">
        <v>37</v>
      </c>
      <c r="D35" t="s">
        <v>226</v>
      </c>
      <c r="E35" t="s">
        <v>14</v>
      </c>
      <c r="F35" t="s">
        <v>250</v>
      </c>
      <c r="M35" s="43"/>
      <c r="N35" s="3">
        <v>37</v>
      </c>
      <c r="O35" t="s">
        <v>226</v>
      </c>
      <c r="P35" t="s">
        <v>14</v>
      </c>
      <c r="Q35" t="s">
        <v>250</v>
      </c>
    </row>
    <row r="36" spans="2:17">
      <c r="B36" s="378"/>
      <c r="C36" s="3">
        <v>440</v>
      </c>
      <c r="D36" t="s">
        <v>528</v>
      </c>
      <c r="E36" t="s">
        <v>529</v>
      </c>
      <c r="F36" t="s">
        <v>254</v>
      </c>
      <c r="M36" s="378"/>
      <c r="N36" s="3">
        <v>440</v>
      </c>
      <c r="O36" t="s">
        <v>528</v>
      </c>
      <c r="P36" t="s">
        <v>529</v>
      </c>
      <c r="Q36" t="s">
        <v>254</v>
      </c>
    </row>
    <row r="37" spans="2:17">
      <c r="B37" s="43"/>
      <c r="C37" s="3"/>
      <c r="M37" s="43"/>
      <c r="N37" s="3"/>
    </row>
    <row r="38" spans="2:17">
      <c r="B38" s="378">
        <v>45877</v>
      </c>
      <c r="C38" s="3">
        <v>30</v>
      </c>
      <c r="D38" t="s">
        <v>549</v>
      </c>
      <c r="E38" t="s">
        <v>252</v>
      </c>
      <c r="F38" t="s">
        <v>250</v>
      </c>
      <c r="M38" s="378">
        <v>45877</v>
      </c>
      <c r="N38" s="3">
        <v>30</v>
      </c>
      <c r="O38" t="s">
        <v>549</v>
      </c>
      <c r="P38" t="s">
        <v>252</v>
      </c>
      <c r="Q38" t="s">
        <v>250</v>
      </c>
    </row>
    <row r="39" spans="2:17">
      <c r="B39" s="378"/>
      <c r="C39" s="3">
        <v>17</v>
      </c>
      <c r="D39" t="s">
        <v>550</v>
      </c>
      <c r="E39" t="s">
        <v>251</v>
      </c>
      <c r="F39" t="s">
        <v>250</v>
      </c>
      <c r="M39" s="378"/>
      <c r="N39" s="3">
        <v>17</v>
      </c>
      <c r="O39" t="s">
        <v>550</v>
      </c>
      <c r="P39" t="s">
        <v>251</v>
      </c>
      <c r="Q39" t="s">
        <v>250</v>
      </c>
    </row>
    <row r="40" spans="2:17">
      <c r="B40" s="43"/>
      <c r="C40" s="3">
        <v>17</v>
      </c>
      <c r="D40" t="s">
        <v>226</v>
      </c>
      <c r="E40" t="s">
        <v>14</v>
      </c>
      <c r="F40" t="s">
        <v>250</v>
      </c>
      <c r="M40" s="43"/>
      <c r="N40" s="3">
        <v>17</v>
      </c>
      <c r="O40" t="s">
        <v>226</v>
      </c>
      <c r="P40" t="s">
        <v>14</v>
      </c>
      <c r="Q40" t="s">
        <v>250</v>
      </c>
    </row>
    <row r="41" spans="2:17">
      <c r="B41" s="378"/>
      <c r="C41" s="3"/>
      <c r="M41" s="378"/>
      <c r="N41" s="3"/>
    </row>
    <row r="42" spans="2:17">
      <c r="B42" s="378">
        <v>45878</v>
      </c>
      <c r="C42" s="3">
        <v>4</v>
      </c>
      <c r="D42" t="s">
        <v>436</v>
      </c>
      <c r="E42" t="s">
        <v>252</v>
      </c>
      <c r="F42" t="s">
        <v>250</v>
      </c>
      <c r="M42" s="378">
        <v>45878</v>
      </c>
      <c r="N42" s="3">
        <v>4</v>
      </c>
      <c r="O42" t="s">
        <v>436</v>
      </c>
      <c r="P42" t="s">
        <v>252</v>
      </c>
      <c r="Q42" t="s">
        <v>250</v>
      </c>
    </row>
    <row r="43" spans="2:17">
      <c r="B43" s="43"/>
      <c r="C43" s="3">
        <v>28</v>
      </c>
      <c r="D43" t="s">
        <v>550</v>
      </c>
      <c r="E43" t="s">
        <v>251</v>
      </c>
      <c r="F43" t="s">
        <v>250</v>
      </c>
      <c r="M43" s="43"/>
      <c r="N43" s="3">
        <v>28</v>
      </c>
      <c r="O43" t="s">
        <v>550</v>
      </c>
      <c r="P43" t="s">
        <v>251</v>
      </c>
      <c r="Q43" t="s">
        <v>250</v>
      </c>
    </row>
    <row r="44" spans="2:17">
      <c r="B44" s="378"/>
      <c r="C44" s="3">
        <v>28</v>
      </c>
      <c r="D44" t="s">
        <v>226</v>
      </c>
      <c r="E44" t="s">
        <v>14</v>
      </c>
      <c r="F44" t="s">
        <v>250</v>
      </c>
      <c r="M44" s="378"/>
      <c r="N44" s="3">
        <v>28</v>
      </c>
      <c r="O44" t="s">
        <v>226</v>
      </c>
      <c r="P44" t="s">
        <v>14</v>
      </c>
      <c r="Q44" t="s">
        <v>250</v>
      </c>
    </row>
    <row r="45" spans="2:17">
      <c r="B45" s="378"/>
      <c r="C45" s="3">
        <v>55</v>
      </c>
      <c r="D45" t="s">
        <v>576</v>
      </c>
      <c r="E45" t="s">
        <v>587</v>
      </c>
      <c r="F45" t="s">
        <v>254</v>
      </c>
      <c r="M45" s="378"/>
      <c r="N45" s="3">
        <v>55</v>
      </c>
      <c r="O45" t="s">
        <v>576</v>
      </c>
      <c r="P45" t="s">
        <v>587</v>
      </c>
      <c r="Q45" t="s">
        <v>254</v>
      </c>
    </row>
    <row r="46" spans="2:17">
      <c r="B46" s="378"/>
      <c r="C46" s="3">
        <v>45</v>
      </c>
      <c r="D46" t="s">
        <v>561</v>
      </c>
      <c r="E46" t="s">
        <v>588</v>
      </c>
      <c r="F46" t="s">
        <v>256</v>
      </c>
      <c r="M46" s="378"/>
      <c r="N46" s="3">
        <v>45</v>
      </c>
      <c r="O46" t="s">
        <v>561</v>
      </c>
      <c r="P46" t="s">
        <v>588</v>
      </c>
      <c r="Q46" t="s">
        <v>256</v>
      </c>
    </row>
    <row r="47" spans="2:17">
      <c r="B47" s="43"/>
      <c r="C47" s="3"/>
      <c r="M47" s="43"/>
      <c r="N47" s="3"/>
    </row>
    <row r="48" spans="2:17">
      <c r="B48" s="43">
        <v>45879</v>
      </c>
      <c r="C48" s="3">
        <v>0</v>
      </c>
      <c r="D48" t="s">
        <v>391</v>
      </c>
      <c r="E48" t="s">
        <v>252</v>
      </c>
      <c r="F48" t="s">
        <v>250</v>
      </c>
      <c r="M48" s="43">
        <v>45879</v>
      </c>
      <c r="N48" s="3">
        <v>0</v>
      </c>
      <c r="O48" t="s">
        <v>391</v>
      </c>
      <c r="P48" t="s">
        <v>252</v>
      </c>
      <c r="Q48" t="s">
        <v>250</v>
      </c>
    </row>
    <row r="49" spans="2:17">
      <c r="B49" s="378"/>
      <c r="C49" s="3">
        <v>9</v>
      </c>
      <c r="D49" t="s">
        <v>527</v>
      </c>
      <c r="E49" t="s">
        <v>251</v>
      </c>
      <c r="F49" t="s">
        <v>250</v>
      </c>
      <c r="M49" s="378"/>
      <c r="N49" s="3">
        <v>9</v>
      </c>
      <c r="O49" t="s">
        <v>527</v>
      </c>
      <c r="P49" t="s">
        <v>251</v>
      </c>
      <c r="Q49" t="s">
        <v>250</v>
      </c>
    </row>
    <row r="50" spans="2:17">
      <c r="B50" s="43"/>
      <c r="C50" s="3">
        <v>11</v>
      </c>
      <c r="D50" t="s">
        <v>226</v>
      </c>
      <c r="E50" t="s">
        <v>14</v>
      </c>
      <c r="F50" t="s">
        <v>250</v>
      </c>
      <c r="M50" s="43"/>
      <c r="N50" s="3">
        <v>11</v>
      </c>
      <c r="O50" t="s">
        <v>226</v>
      </c>
      <c r="P50" t="s">
        <v>14</v>
      </c>
      <c r="Q50" t="s">
        <v>250</v>
      </c>
    </row>
    <row r="51" spans="2:17">
      <c r="B51" s="378"/>
      <c r="C51" s="3">
        <v>5</v>
      </c>
      <c r="D51" t="s">
        <v>577</v>
      </c>
      <c r="E51" t="s">
        <v>201</v>
      </c>
      <c r="F51" t="s">
        <v>249</v>
      </c>
      <c r="M51" s="378"/>
      <c r="N51" s="3">
        <v>5</v>
      </c>
      <c r="O51" t="s">
        <v>577</v>
      </c>
      <c r="P51" t="s">
        <v>201</v>
      </c>
      <c r="Q51" t="s">
        <v>249</v>
      </c>
    </row>
    <row r="52" spans="2:17">
      <c r="B52" s="378"/>
      <c r="C52" s="3"/>
      <c r="M52" s="378"/>
      <c r="N52" s="3"/>
    </row>
    <row r="53" spans="2:17">
      <c r="B53" s="43">
        <v>45880</v>
      </c>
      <c r="C53" s="3">
        <v>29</v>
      </c>
      <c r="D53" t="s">
        <v>549</v>
      </c>
      <c r="E53" t="s">
        <v>252</v>
      </c>
      <c r="F53" t="s">
        <v>250</v>
      </c>
      <c r="M53" s="43">
        <v>45880</v>
      </c>
      <c r="N53" s="3">
        <v>29</v>
      </c>
      <c r="O53" t="s">
        <v>549</v>
      </c>
      <c r="P53" t="s">
        <v>252</v>
      </c>
      <c r="Q53" t="s">
        <v>250</v>
      </c>
    </row>
    <row r="54" spans="2:17">
      <c r="B54" s="378"/>
      <c r="C54" s="3">
        <v>16</v>
      </c>
      <c r="D54" t="s">
        <v>527</v>
      </c>
      <c r="E54" t="s">
        <v>251</v>
      </c>
      <c r="F54" t="s">
        <v>250</v>
      </c>
      <c r="M54" s="378"/>
      <c r="N54" s="3">
        <v>16</v>
      </c>
      <c r="O54" t="s">
        <v>527</v>
      </c>
      <c r="P54" t="s">
        <v>251</v>
      </c>
      <c r="Q54" t="s">
        <v>250</v>
      </c>
    </row>
    <row r="55" spans="2:17">
      <c r="B55" s="378"/>
      <c r="C55" s="3">
        <v>22</v>
      </c>
      <c r="D55" t="s">
        <v>226</v>
      </c>
      <c r="E55" t="s">
        <v>14</v>
      </c>
      <c r="F55" t="s">
        <v>250</v>
      </c>
      <c r="M55" s="378"/>
      <c r="N55" s="3">
        <v>22</v>
      </c>
      <c r="O55" t="s">
        <v>226</v>
      </c>
      <c r="P55" t="s">
        <v>14</v>
      </c>
      <c r="Q55" t="s">
        <v>250</v>
      </c>
    </row>
    <row r="56" spans="2:17">
      <c r="B56" s="378"/>
      <c r="C56" s="3"/>
      <c r="M56" s="378"/>
      <c r="N56" s="3"/>
    </row>
    <row r="57" spans="2:17">
      <c r="B57" s="43">
        <v>45881</v>
      </c>
      <c r="C57" s="3">
        <v>0</v>
      </c>
      <c r="D57" t="s">
        <v>391</v>
      </c>
      <c r="E57" t="s">
        <v>252</v>
      </c>
      <c r="F57" t="s">
        <v>250</v>
      </c>
      <c r="M57" s="43">
        <v>45881</v>
      </c>
      <c r="N57" s="3">
        <v>0</v>
      </c>
      <c r="O57" t="s">
        <v>391</v>
      </c>
      <c r="P57" t="s">
        <v>252</v>
      </c>
      <c r="Q57" t="s">
        <v>250</v>
      </c>
    </row>
    <row r="58" spans="2:17">
      <c r="B58" s="378"/>
      <c r="C58" s="3">
        <v>9</v>
      </c>
      <c r="D58" t="s">
        <v>390</v>
      </c>
      <c r="E58" t="s">
        <v>251</v>
      </c>
      <c r="F58" t="s">
        <v>250</v>
      </c>
      <c r="M58" s="378"/>
      <c r="N58" s="3">
        <v>9</v>
      </c>
      <c r="O58" t="s">
        <v>390</v>
      </c>
      <c r="P58" t="s">
        <v>251</v>
      </c>
      <c r="Q58" t="s">
        <v>250</v>
      </c>
    </row>
    <row r="59" spans="2:17">
      <c r="B59" s="378"/>
      <c r="C59" s="3">
        <v>15</v>
      </c>
      <c r="D59" t="s">
        <v>226</v>
      </c>
      <c r="E59" t="s">
        <v>14</v>
      </c>
      <c r="F59" t="s">
        <v>250</v>
      </c>
      <c r="M59" s="378"/>
      <c r="N59" s="3">
        <v>15</v>
      </c>
      <c r="O59" t="s">
        <v>226</v>
      </c>
      <c r="P59" t="s">
        <v>14</v>
      </c>
      <c r="Q59" t="s">
        <v>250</v>
      </c>
    </row>
    <row r="60" spans="2:17">
      <c r="B60" s="378"/>
      <c r="C60" s="3"/>
      <c r="M60" s="378"/>
      <c r="N60" s="3"/>
    </row>
    <row r="61" spans="2:17">
      <c r="B61" s="43">
        <v>45882</v>
      </c>
      <c r="C61" s="3">
        <v>17</v>
      </c>
      <c r="D61" t="s">
        <v>603</v>
      </c>
      <c r="E61" t="s">
        <v>252</v>
      </c>
      <c r="F61" t="s">
        <v>250</v>
      </c>
      <c r="M61" s="43">
        <v>45882</v>
      </c>
      <c r="N61" s="3">
        <v>17</v>
      </c>
      <c r="O61" t="s">
        <v>603</v>
      </c>
      <c r="P61" t="s">
        <v>252</v>
      </c>
      <c r="Q61" t="s">
        <v>250</v>
      </c>
    </row>
    <row r="62" spans="2:17">
      <c r="B62" s="378"/>
      <c r="C62">
        <v>40</v>
      </c>
      <c r="D62" t="s">
        <v>448</v>
      </c>
      <c r="E62" t="s">
        <v>251</v>
      </c>
      <c r="F62" t="s">
        <v>250</v>
      </c>
      <c r="M62" s="378"/>
      <c r="N62">
        <v>40</v>
      </c>
      <c r="O62" t="s">
        <v>448</v>
      </c>
      <c r="P62" t="s">
        <v>251</v>
      </c>
      <c r="Q62" t="s">
        <v>250</v>
      </c>
    </row>
    <row r="63" spans="2:17">
      <c r="B63" s="378"/>
      <c r="C63">
        <v>13</v>
      </c>
      <c r="D63" t="s">
        <v>226</v>
      </c>
      <c r="E63" t="s">
        <v>14</v>
      </c>
      <c r="F63" t="s">
        <v>250</v>
      </c>
      <c r="M63" s="378"/>
      <c r="N63">
        <v>13</v>
      </c>
      <c r="O63" t="s">
        <v>226</v>
      </c>
      <c r="P63" t="s">
        <v>14</v>
      </c>
      <c r="Q63" t="s">
        <v>250</v>
      </c>
    </row>
    <row r="64" spans="2:17">
      <c r="B64" s="43"/>
      <c r="C64">
        <v>40</v>
      </c>
      <c r="D64" t="s">
        <v>597</v>
      </c>
      <c r="E64" t="s">
        <v>609</v>
      </c>
      <c r="F64" t="s">
        <v>250</v>
      </c>
      <c r="M64" s="43"/>
      <c r="N64">
        <v>40</v>
      </c>
      <c r="O64" t="s">
        <v>597</v>
      </c>
      <c r="P64" t="s">
        <v>609</v>
      </c>
      <c r="Q64" t="s">
        <v>250</v>
      </c>
    </row>
    <row r="65" spans="2:18">
      <c r="B65" s="43"/>
      <c r="M65" s="43"/>
    </row>
    <row r="66" spans="2:18">
      <c r="B66" s="43">
        <v>45883</v>
      </c>
      <c r="C66">
        <v>3</v>
      </c>
      <c r="D66" t="s">
        <v>435</v>
      </c>
      <c r="E66" t="s">
        <v>252</v>
      </c>
      <c r="F66" t="s">
        <v>250</v>
      </c>
      <c r="M66" s="43">
        <v>45883</v>
      </c>
      <c r="N66">
        <v>3</v>
      </c>
      <c r="O66" t="s">
        <v>435</v>
      </c>
      <c r="P66" t="s">
        <v>252</v>
      </c>
      <c r="Q66" t="s">
        <v>250</v>
      </c>
      <c r="R66" s="529">
        <f>+summary!Q54</f>
        <v>0</v>
      </c>
    </row>
    <row r="67" spans="2:18">
      <c r="B67" s="378"/>
      <c r="C67">
        <v>28</v>
      </c>
      <c r="D67" t="s">
        <v>527</v>
      </c>
      <c r="E67" t="s">
        <v>251</v>
      </c>
      <c r="F67" t="s">
        <v>250</v>
      </c>
      <c r="M67" s="378"/>
      <c r="N67">
        <v>28</v>
      </c>
      <c r="O67" t="s">
        <v>527</v>
      </c>
      <c r="P67" t="s">
        <v>251</v>
      </c>
      <c r="Q67" t="s">
        <v>250</v>
      </c>
    </row>
    <row r="68" spans="2:18">
      <c r="B68" s="378"/>
      <c r="C68">
        <v>18</v>
      </c>
      <c r="D68" t="s">
        <v>226</v>
      </c>
      <c r="E68" t="s">
        <v>14</v>
      </c>
      <c r="F68" t="s">
        <v>250</v>
      </c>
      <c r="G68" s="529">
        <f>+summary!H54</f>
        <v>0</v>
      </c>
      <c r="M68" s="43"/>
      <c r="N68">
        <v>18</v>
      </c>
      <c r="O68" t="s">
        <v>226</v>
      </c>
      <c r="P68" t="s">
        <v>14</v>
      </c>
      <c r="Q68" t="s">
        <v>250</v>
      </c>
    </row>
    <row r="69" spans="2:18">
      <c r="B69" s="43"/>
      <c r="M69" s="43"/>
    </row>
    <row r="70" spans="2:18">
      <c r="B70" s="43">
        <v>45884</v>
      </c>
      <c r="C70">
        <v>7</v>
      </c>
      <c r="D70" t="s">
        <v>469</v>
      </c>
      <c r="E70" t="s">
        <v>252</v>
      </c>
      <c r="F70" t="s">
        <v>250</v>
      </c>
      <c r="M70" s="43">
        <v>45884</v>
      </c>
      <c r="N70">
        <v>7</v>
      </c>
      <c r="O70" t="s">
        <v>469</v>
      </c>
      <c r="P70" t="s">
        <v>252</v>
      </c>
      <c r="Q70" t="s">
        <v>250</v>
      </c>
    </row>
    <row r="71" spans="2:18">
      <c r="B71" s="378"/>
      <c r="C71">
        <v>10</v>
      </c>
      <c r="D71" t="s">
        <v>446</v>
      </c>
      <c r="E71" t="s">
        <v>251</v>
      </c>
      <c r="F71" t="s">
        <v>250</v>
      </c>
      <c r="M71" s="378"/>
      <c r="N71">
        <v>10</v>
      </c>
      <c r="O71" t="s">
        <v>446</v>
      </c>
      <c r="P71" t="s">
        <v>251</v>
      </c>
      <c r="Q71" t="s">
        <v>250</v>
      </c>
    </row>
    <row r="72" spans="2:18">
      <c r="B72" s="378"/>
      <c r="C72">
        <v>18</v>
      </c>
      <c r="D72" t="s">
        <v>226</v>
      </c>
      <c r="E72" t="s">
        <v>14</v>
      </c>
      <c r="F72" t="s">
        <v>250</v>
      </c>
      <c r="M72" s="43"/>
      <c r="N72">
        <v>18</v>
      </c>
      <c r="O72" t="s">
        <v>226</v>
      </c>
      <c r="P72" t="s">
        <v>14</v>
      </c>
      <c r="Q72" t="s">
        <v>250</v>
      </c>
    </row>
    <row r="73" spans="2:18">
      <c r="B73" s="43"/>
      <c r="E73" s="413"/>
      <c r="F73" s="413"/>
      <c r="M73" s="43"/>
      <c r="P73" s="413"/>
      <c r="Q73" s="413"/>
    </row>
    <row r="74" spans="2:18">
      <c r="B74" s="43">
        <v>45885</v>
      </c>
      <c r="C74">
        <v>5</v>
      </c>
      <c r="D74" t="s">
        <v>436</v>
      </c>
      <c r="E74" t="s">
        <v>252</v>
      </c>
      <c r="F74" t="s">
        <v>250</v>
      </c>
      <c r="M74" s="43">
        <v>45885</v>
      </c>
      <c r="N74">
        <v>5</v>
      </c>
      <c r="O74" t="s">
        <v>436</v>
      </c>
      <c r="P74" t="s">
        <v>252</v>
      </c>
      <c r="Q74" t="s">
        <v>250</v>
      </c>
    </row>
    <row r="75" spans="2:18">
      <c r="B75" s="43"/>
      <c r="C75">
        <v>13</v>
      </c>
      <c r="D75" t="s">
        <v>390</v>
      </c>
      <c r="E75" t="s">
        <v>251</v>
      </c>
      <c r="F75" t="s">
        <v>250</v>
      </c>
      <c r="M75" s="43"/>
      <c r="N75">
        <v>13</v>
      </c>
      <c r="O75" t="s">
        <v>390</v>
      </c>
      <c r="P75" t="s">
        <v>251</v>
      </c>
      <c r="Q75" t="s">
        <v>250</v>
      </c>
    </row>
    <row r="76" spans="2:18">
      <c r="B76" s="378"/>
      <c r="C76">
        <v>27</v>
      </c>
      <c r="D76" t="s">
        <v>226</v>
      </c>
      <c r="E76" t="s">
        <v>14</v>
      </c>
      <c r="F76" t="s">
        <v>250</v>
      </c>
      <c r="M76" s="378"/>
      <c r="N76">
        <v>27</v>
      </c>
      <c r="O76" t="s">
        <v>226</v>
      </c>
      <c r="P76" t="s">
        <v>14</v>
      </c>
      <c r="Q76" t="s">
        <v>250</v>
      </c>
    </row>
    <row r="77" spans="2:18">
      <c r="B77" s="378"/>
      <c r="M77" s="378"/>
    </row>
    <row r="78" spans="2:18">
      <c r="B78" s="43">
        <v>45886</v>
      </c>
      <c r="C78">
        <v>7</v>
      </c>
      <c r="D78" t="s">
        <v>436</v>
      </c>
      <c r="E78" t="s">
        <v>252</v>
      </c>
      <c r="F78" t="s">
        <v>250</v>
      </c>
      <c r="M78" s="43">
        <v>45886</v>
      </c>
      <c r="N78">
        <v>7</v>
      </c>
      <c r="O78" t="s">
        <v>436</v>
      </c>
      <c r="P78" t="s">
        <v>252</v>
      </c>
      <c r="Q78" t="s">
        <v>250</v>
      </c>
    </row>
    <row r="79" spans="2:18">
      <c r="B79" s="378"/>
      <c r="C79">
        <v>12</v>
      </c>
      <c r="D79" t="s">
        <v>527</v>
      </c>
      <c r="E79" t="s">
        <v>251</v>
      </c>
      <c r="F79" t="s">
        <v>250</v>
      </c>
      <c r="M79" s="378"/>
      <c r="N79">
        <v>12</v>
      </c>
      <c r="O79" t="s">
        <v>527</v>
      </c>
      <c r="P79" t="s">
        <v>251</v>
      </c>
      <c r="Q79" t="s">
        <v>250</v>
      </c>
    </row>
    <row r="80" spans="2:18">
      <c r="B80" s="378"/>
      <c r="C80">
        <v>21</v>
      </c>
      <c r="D80" t="s">
        <v>226</v>
      </c>
      <c r="E80" t="s">
        <v>14</v>
      </c>
      <c r="F80" t="s">
        <v>250</v>
      </c>
      <c r="M80" s="378"/>
      <c r="N80">
        <v>21</v>
      </c>
      <c r="O80" t="s">
        <v>226</v>
      </c>
      <c r="P80" t="s">
        <v>14</v>
      </c>
      <c r="Q80" t="s">
        <v>250</v>
      </c>
    </row>
    <row r="81" spans="2:17">
      <c r="B81" s="43"/>
      <c r="C81">
        <v>15</v>
      </c>
      <c r="D81" t="s">
        <v>610</v>
      </c>
      <c r="E81" t="s">
        <v>611</v>
      </c>
      <c r="F81" t="s">
        <v>250</v>
      </c>
      <c r="M81" s="43"/>
      <c r="N81">
        <v>15</v>
      </c>
      <c r="O81" t="s">
        <v>610</v>
      </c>
      <c r="P81" t="s">
        <v>611</v>
      </c>
      <c r="Q81" t="s">
        <v>250</v>
      </c>
    </row>
    <row r="82" spans="2:17">
      <c r="B82" s="43"/>
      <c r="E82" s="413"/>
      <c r="F82" s="413"/>
      <c r="M82" s="43"/>
      <c r="P82" s="413"/>
      <c r="Q82" s="413"/>
    </row>
    <row r="83" spans="2:17">
      <c r="B83" s="378">
        <v>45887</v>
      </c>
      <c r="C83">
        <v>11</v>
      </c>
      <c r="D83" t="s">
        <v>523</v>
      </c>
      <c r="E83" t="s">
        <v>252</v>
      </c>
      <c r="F83" t="s">
        <v>250</v>
      </c>
      <c r="M83" s="378">
        <v>45887</v>
      </c>
      <c r="N83">
        <v>11</v>
      </c>
      <c r="O83" t="s">
        <v>523</v>
      </c>
      <c r="P83" t="s">
        <v>252</v>
      </c>
      <c r="Q83" t="s">
        <v>250</v>
      </c>
    </row>
    <row r="84" spans="2:17">
      <c r="B84" s="378"/>
      <c r="C84">
        <v>17</v>
      </c>
      <c r="D84" t="s">
        <v>527</v>
      </c>
      <c r="E84" t="s">
        <v>251</v>
      </c>
      <c r="F84" t="s">
        <v>250</v>
      </c>
      <c r="M84" s="378"/>
      <c r="N84">
        <v>17</v>
      </c>
      <c r="O84" t="s">
        <v>527</v>
      </c>
      <c r="P84" t="s">
        <v>251</v>
      </c>
      <c r="Q84" t="s">
        <v>250</v>
      </c>
    </row>
    <row r="85" spans="2:17">
      <c r="B85" s="43"/>
      <c r="C85">
        <v>19</v>
      </c>
      <c r="D85" t="s">
        <v>226</v>
      </c>
      <c r="E85" t="s">
        <v>14</v>
      </c>
      <c r="F85" t="s">
        <v>250</v>
      </c>
      <c r="M85" s="43"/>
      <c r="N85">
        <v>19</v>
      </c>
      <c r="O85" t="s">
        <v>226</v>
      </c>
      <c r="P85" t="s">
        <v>14</v>
      </c>
      <c r="Q85" t="s">
        <v>250</v>
      </c>
    </row>
    <row r="86" spans="2:17">
      <c r="B86" s="43"/>
      <c r="C86">
        <v>5</v>
      </c>
      <c r="D86" t="s">
        <v>577</v>
      </c>
      <c r="E86" t="s">
        <v>201</v>
      </c>
      <c r="F86" t="s">
        <v>249</v>
      </c>
      <c r="M86" s="43"/>
      <c r="N86">
        <v>5</v>
      </c>
      <c r="O86" t="s">
        <v>577</v>
      </c>
      <c r="P86" t="s">
        <v>201</v>
      </c>
      <c r="Q86" t="s">
        <v>249</v>
      </c>
    </row>
    <row r="87" spans="2:17">
      <c r="B87" s="43"/>
      <c r="M87" s="43"/>
    </row>
    <row r="88" spans="2:17">
      <c r="B88" s="378">
        <v>45888</v>
      </c>
      <c r="C88">
        <v>4</v>
      </c>
      <c r="D88" t="s">
        <v>436</v>
      </c>
      <c r="E88" t="s">
        <v>252</v>
      </c>
      <c r="F88" t="s">
        <v>250</v>
      </c>
      <c r="M88" s="378">
        <v>45888</v>
      </c>
      <c r="N88">
        <v>4</v>
      </c>
      <c r="O88" t="s">
        <v>436</v>
      </c>
      <c r="P88" t="s">
        <v>252</v>
      </c>
      <c r="Q88" t="s">
        <v>250</v>
      </c>
    </row>
    <row r="89" spans="2:17">
      <c r="B89" s="378"/>
      <c r="C89">
        <v>10</v>
      </c>
      <c r="D89" t="s">
        <v>446</v>
      </c>
      <c r="E89" t="s">
        <v>251</v>
      </c>
      <c r="F89" t="s">
        <v>250</v>
      </c>
      <c r="M89" s="378"/>
      <c r="N89">
        <v>10</v>
      </c>
      <c r="O89" t="s">
        <v>446</v>
      </c>
      <c r="P89" t="s">
        <v>251</v>
      </c>
      <c r="Q89" t="s">
        <v>250</v>
      </c>
    </row>
    <row r="90" spans="2:17">
      <c r="B90" s="378"/>
      <c r="C90">
        <v>13</v>
      </c>
      <c r="D90" t="s">
        <v>226</v>
      </c>
      <c r="E90" t="s">
        <v>14</v>
      </c>
      <c r="F90" t="s">
        <v>250</v>
      </c>
      <c r="M90" s="378"/>
      <c r="N90">
        <v>13</v>
      </c>
      <c r="O90" t="s">
        <v>226</v>
      </c>
      <c r="P90" t="s">
        <v>14</v>
      </c>
      <c r="Q90" t="s">
        <v>250</v>
      </c>
    </row>
    <row r="91" spans="2:17">
      <c r="B91" s="378"/>
      <c r="C91">
        <v>4</v>
      </c>
      <c r="D91" t="s">
        <v>577</v>
      </c>
      <c r="E91" t="s">
        <v>201</v>
      </c>
      <c r="F91" t="s">
        <v>249</v>
      </c>
      <c r="M91" s="378"/>
      <c r="N91">
        <v>4</v>
      </c>
      <c r="O91" t="s">
        <v>577</v>
      </c>
      <c r="P91" t="s">
        <v>201</v>
      </c>
      <c r="Q91" t="s">
        <v>249</v>
      </c>
    </row>
    <row r="92" spans="2:17">
      <c r="B92" s="378"/>
      <c r="M92" s="378"/>
    </row>
    <row r="93" spans="2:17">
      <c r="B93" s="378">
        <v>45889</v>
      </c>
      <c r="C93">
        <v>6</v>
      </c>
      <c r="D93" t="s">
        <v>523</v>
      </c>
      <c r="E93" t="s">
        <v>252</v>
      </c>
      <c r="F93" t="s">
        <v>250</v>
      </c>
      <c r="M93" s="378">
        <v>45889</v>
      </c>
      <c r="N93">
        <v>6</v>
      </c>
      <c r="O93" t="s">
        <v>523</v>
      </c>
      <c r="P93" t="s">
        <v>252</v>
      </c>
      <c r="Q93" t="s">
        <v>250</v>
      </c>
    </row>
    <row r="94" spans="2:17">
      <c r="B94" s="378"/>
      <c r="C94">
        <v>10</v>
      </c>
      <c r="D94" t="s">
        <v>390</v>
      </c>
      <c r="E94" t="s">
        <v>251</v>
      </c>
      <c r="F94" t="s">
        <v>250</v>
      </c>
      <c r="M94" s="378"/>
      <c r="N94">
        <v>10</v>
      </c>
      <c r="O94" t="s">
        <v>390</v>
      </c>
      <c r="P94" t="s">
        <v>251</v>
      </c>
      <c r="Q94" t="s">
        <v>250</v>
      </c>
    </row>
    <row r="95" spans="2:17">
      <c r="B95" s="378"/>
      <c r="C95">
        <v>15</v>
      </c>
      <c r="D95" t="s">
        <v>226</v>
      </c>
      <c r="E95" t="s">
        <v>14</v>
      </c>
      <c r="F95" t="s">
        <v>250</v>
      </c>
      <c r="M95" s="378"/>
      <c r="N95">
        <v>15</v>
      </c>
      <c r="O95" t="s">
        <v>226</v>
      </c>
      <c r="P95" t="s">
        <v>14</v>
      </c>
      <c r="Q95" t="s">
        <v>250</v>
      </c>
    </row>
    <row r="96" spans="2:17">
      <c r="B96" s="378"/>
      <c r="E96" s="413"/>
      <c r="F96" s="413"/>
      <c r="M96" s="378"/>
      <c r="P96" s="413"/>
      <c r="Q96" s="413"/>
    </row>
    <row r="97" spans="2:17">
      <c r="B97" s="378">
        <v>45890</v>
      </c>
      <c r="C97">
        <v>12</v>
      </c>
      <c r="D97" t="s">
        <v>523</v>
      </c>
      <c r="E97" t="s">
        <v>252</v>
      </c>
      <c r="F97" t="s">
        <v>250</v>
      </c>
      <c r="M97" s="378">
        <v>45890</v>
      </c>
      <c r="N97">
        <v>12</v>
      </c>
      <c r="O97" t="s">
        <v>523</v>
      </c>
      <c r="P97" t="s">
        <v>252</v>
      </c>
      <c r="Q97" t="s">
        <v>250</v>
      </c>
    </row>
    <row r="98" spans="2:17">
      <c r="B98" s="378"/>
      <c r="C98">
        <v>13</v>
      </c>
      <c r="D98" t="s">
        <v>434</v>
      </c>
      <c r="E98" t="s">
        <v>251</v>
      </c>
      <c r="F98" t="s">
        <v>250</v>
      </c>
      <c r="M98" s="378"/>
      <c r="N98">
        <v>13</v>
      </c>
      <c r="O98" t="s">
        <v>434</v>
      </c>
      <c r="P98" t="s">
        <v>251</v>
      </c>
      <c r="Q98" t="s">
        <v>250</v>
      </c>
    </row>
    <row r="99" spans="2:17">
      <c r="B99" s="378"/>
      <c r="C99">
        <v>16</v>
      </c>
      <c r="D99" t="s">
        <v>226</v>
      </c>
      <c r="E99" t="s">
        <v>14</v>
      </c>
      <c r="F99" t="s">
        <v>250</v>
      </c>
      <c r="M99" s="378"/>
      <c r="N99">
        <v>16</v>
      </c>
      <c r="O99" t="s">
        <v>226</v>
      </c>
      <c r="P99" t="s">
        <v>14</v>
      </c>
      <c r="Q99" t="s">
        <v>250</v>
      </c>
    </row>
    <row r="100" spans="2:17">
      <c r="B100" s="378"/>
      <c r="E100" s="413"/>
      <c r="F100" s="413"/>
      <c r="M100" s="378"/>
    </row>
    <row r="101" spans="2:17">
      <c r="B101" s="378">
        <v>45891</v>
      </c>
      <c r="C101">
        <v>7</v>
      </c>
      <c r="D101" t="s">
        <v>586</v>
      </c>
      <c r="E101" t="s">
        <v>252</v>
      </c>
      <c r="F101" t="s">
        <v>250</v>
      </c>
      <c r="M101" s="378">
        <v>45891</v>
      </c>
      <c r="N101">
        <v>7</v>
      </c>
      <c r="O101" t="s">
        <v>586</v>
      </c>
      <c r="P101" t="s">
        <v>252</v>
      </c>
      <c r="Q101" t="s">
        <v>250</v>
      </c>
    </row>
    <row r="102" spans="2:17">
      <c r="B102" s="378"/>
      <c r="C102">
        <v>12</v>
      </c>
      <c r="D102" t="s">
        <v>390</v>
      </c>
      <c r="E102" t="s">
        <v>251</v>
      </c>
      <c r="F102" t="s">
        <v>250</v>
      </c>
      <c r="M102" s="378"/>
      <c r="N102">
        <v>12</v>
      </c>
      <c r="O102" t="s">
        <v>390</v>
      </c>
      <c r="P102" t="s">
        <v>251</v>
      </c>
      <c r="Q102" t="s">
        <v>250</v>
      </c>
    </row>
    <row r="103" spans="2:17">
      <c r="B103" s="378"/>
      <c r="C103">
        <v>14</v>
      </c>
      <c r="D103" t="s">
        <v>226</v>
      </c>
      <c r="E103" t="s">
        <v>14</v>
      </c>
      <c r="F103" t="s">
        <v>250</v>
      </c>
      <c r="M103" s="378"/>
      <c r="N103">
        <v>14</v>
      </c>
      <c r="O103" t="s">
        <v>226</v>
      </c>
      <c r="P103" t="s">
        <v>14</v>
      </c>
      <c r="Q103" t="s">
        <v>250</v>
      </c>
    </row>
    <row r="104" spans="2:17">
      <c r="B104" s="378"/>
      <c r="C104">
        <v>4</v>
      </c>
      <c r="D104" t="s">
        <v>447</v>
      </c>
      <c r="E104" t="s">
        <v>201</v>
      </c>
      <c r="F104" t="s">
        <v>249</v>
      </c>
      <c r="M104" s="378"/>
      <c r="N104">
        <v>4</v>
      </c>
      <c r="O104" t="s">
        <v>447</v>
      </c>
      <c r="P104" t="s">
        <v>201</v>
      </c>
      <c r="Q104" t="s">
        <v>249</v>
      </c>
    </row>
    <row r="105" spans="2:17">
      <c r="B105" s="378"/>
      <c r="M105" s="378"/>
    </row>
    <row r="106" spans="2:17">
      <c r="B106" s="378">
        <v>45892</v>
      </c>
      <c r="C106">
        <v>0</v>
      </c>
      <c r="D106" t="s">
        <v>391</v>
      </c>
      <c r="E106" t="s">
        <v>252</v>
      </c>
      <c r="F106" t="s">
        <v>250</v>
      </c>
      <c r="M106" s="378">
        <v>45892</v>
      </c>
      <c r="N106">
        <v>0</v>
      </c>
      <c r="O106" t="s">
        <v>391</v>
      </c>
      <c r="P106" t="s">
        <v>252</v>
      </c>
      <c r="Q106" t="s">
        <v>250</v>
      </c>
    </row>
    <row r="107" spans="2:17">
      <c r="B107" s="378"/>
      <c r="C107">
        <v>15</v>
      </c>
      <c r="D107" t="s">
        <v>446</v>
      </c>
      <c r="E107" t="s">
        <v>251</v>
      </c>
      <c r="F107" t="s">
        <v>250</v>
      </c>
      <c r="M107" s="378"/>
      <c r="N107">
        <v>15</v>
      </c>
      <c r="O107" t="s">
        <v>446</v>
      </c>
      <c r="P107" t="s">
        <v>251</v>
      </c>
      <c r="Q107" t="s">
        <v>250</v>
      </c>
    </row>
    <row r="108" spans="2:17">
      <c r="B108" s="378"/>
      <c r="C108">
        <v>15</v>
      </c>
      <c r="D108" t="s">
        <v>226</v>
      </c>
      <c r="E108" t="s">
        <v>14</v>
      </c>
      <c r="F108" t="s">
        <v>250</v>
      </c>
      <c r="M108" s="378"/>
      <c r="N108">
        <v>15</v>
      </c>
      <c r="O108" t="s">
        <v>226</v>
      </c>
      <c r="P108" t="s">
        <v>14</v>
      </c>
      <c r="Q108" t="s">
        <v>250</v>
      </c>
    </row>
    <row r="109" spans="2:17">
      <c r="B109" s="378"/>
      <c r="E109" s="413"/>
      <c r="F109" s="413"/>
      <c r="M109" s="378"/>
      <c r="P109" s="413"/>
      <c r="Q109" s="413"/>
    </row>
    <row r="110" spans="2:17">
      <c r="B110" s="378">
        <v>45893</v>
      </c>
      <c r="C110">
        <v>0</v>
      </c>
      <c r="D110" t="s">
        <v>391</v>
      </c>
      <c r="E110" t="s">
        <v>252</v>
      </c>
      <c r="F110" t="s">
        <v>250</v>
      </c>
      <c r="M110" s="378">
        <v>45893</v>
      </c>
      <c r="N110">
        <v>0</v>
      </c>
      <c r="O110" t="s">
        <v>391</v>
      </c>
      <c r="P110" t="s">
        <v>252</v>
      </c>
      <c r="Q110" t="s">
        <v>250</v>
      </c>
    </row>
    <row r="111" spans="2:17">
      <c r="B111" s="378"/>
      <c r="C111">
        <v>5</v>
      </c>
      <c r="D111" t="s">
        <v>434</v>
      </c>
      <c r="E111" t="s">
        <v>251</v>
      </c>
      <c r="F111" t="s">
        <v>250</v>
      </c>
      <c r="M111" s="378"/>
      <c r="N111">
        <v>5</v>
      </c>
      <c r="O111" t="s">
        <v>434</v>
      </c>
      <c r="P111" t="s">
        <v>251</v>
      </c>
      <c r="Q111" t="s">
        <v>250</v>
      </c>
    </row>
    <row r="112" spans="2:17">
      <c r="B112" s="378"/>
      <c r="C112">
        <v>13</v>
      </c>
      <c r="D112" t="s">
        <v>226</v>
      </c>
      <c r="E112" t="s">
        <v>14</v>
      </c>
      <c r="F112" t="s">
        <v>250</v>
      </c>
      <c r="M112" s="378"/>
      <c r="N112">
        <v>13</v>
      </c>
      <c r="O112" t="s">
        <v>226</v>
      </c>
      <c r="P112" t="s">
        <v>14</v>
      </c>
      <c r="Q112" t="s">
        <v>250</v>
      </c>
    </row>
    <row r="113" spans="2:17">
      <c r="B113" s="378"/>
      <c r="M113" s="378"/>
    </row>
    <row r="114" spans="2:17">
      <c r="B114" s="378">
        <v>45894</v>
      </c>
      <c r="C114">
        <v>3</v>
      </c>
      <c r="D114" t="s">
        <v>435</v>
      </c>
      <c r="E114" t="s">
        <v>252</v>
      </c>
      <c r="F114" t="s">
        <v>250</v>
      </c>
      <c r="M114" s="378">
        <v>45894</v>
      </c>
      <c r="N114">
        <v>3</v>
      </c>
      <c r="O114" t="s">
        <v>435</v>
      </c>
      <c r="P114" t="s">
        <v>252</v>
      </c>
      <c r="Q114" t="s">
        <v>250</v>
      </c>
    </row>
    <row r="115" spans="2:17">
      <c r="B115" s="378"/>
      <c r="C115">
        <v>5</v>
      </c>
      <c r="D115" t="s">
        <v>434</v>
      </c>
      <c r="E115" t="s">
        <v>251</v>
      </c>
      <c r="F115" t="s">
        <v>250</v>
      </c>
      <c r="M115" s="378"/>
      <c r="N115">
        <v>5</v>
      </c>
      <c r="O115" t="s">
        <v>434</v>
      </c>
      <c r="P115" t="s">
        <v>251</v>
      </c>
      <c r="Q115" t="s">
        <v>250</v>
      </c>
    </row>
    <row r="116" spans="2:17">
      <c r="B116" s="378"/>
      <c r="C116">
        <v>9</v>
      </c>
      <c r="D116" t="s">
        <v>226</v>
      </c>
      <c r="E116" t="s">
        <v>14</v>
      </c>
      <c r="F116" t="s">
        <v>250</v>
      </c>
      <c r="M116" s="378"/>
      <c r="N116">
        <v>9</v>
      </c>
      <c r="O116" t="s">
        <v>226</v>
      </c>
      <c r="P116" t="s">
        <v>14</v>
      </c>
      <c r="Q116" t="s">
        <v>250</v>
      </c>
    </row>
    <row r="117" spans="2:17">
      <c r="B117" s="378"/>
      <c r="C117">
        <v>5</v>
      </c>
      <c r="D117" t="s">
        <v>447</v>
      </c>
      <c r="E117" t="s">
        <v>201</v>
      </c>
      <c r="F117" t="s">
        <v>249</v>
      </c>
      <c r="M117" s="378"/>
      <c r="N117">
        <v>5</v>
      </c>
      <c r="O117" t="s">
        <v>447</v>
      </c>
      <c r="P117" t="s">
        <v>201</v>
      </c>
      <c r="Q117" t="s">
        <v>249</v>
      </c>
    </row>
    <row r="118" spans="2:17">
      <c r="B118" s="378"/>
      <c r="F118" s="413"/>
      <c r="M118" s="378"/>
      <c r="Q118" s="413"/>
    </row>
    <row r="119" spans="2:17">
      <c r="B119" s="378">
        <v>45895</v>
      </c>
      <c r="C119">
        <v>0</v>
      </c>
      <c r="D119" t="s">
        <v>391</v>
      </c>
      <c r="E119" t="s">
        <v>252</v>
      </c>
      <c r="F119" t="s">
        <v>250</v>
      </c>
      <c r="M119" s="378">
        <v>45895</v>
      </c>
      <c r="N119">
        <v>0</v>
      </c>
      <c r="O119" t="s">
        <v>391</v>
      </c>
      <c r="P119" t="s">
        <v>252</v>
      </c>
      <c r="Q119" t="s">
        <v>250</v>
      </c>
    </row>
    <row r="120" spans="2:17">
      <c r="B120" s="378"/>
      <c r="C120">
        <v>12</v>
      </c>
      <c r="D120" t="s">
        <v>527</v>
      </c>
      <c r="E120" t="s">
        <v>251</v>
      </c>
      <c r="F120" t="s">
        <v>250</v>
      </c>
      <c r="M120" s="378"/>
      <c r="N120">
        <v>12</v>
      </c>
      <c r="O120" t="s">
        <v>527</v>
      </c>
      <c r="P120" t="s">
        <v>251</v>
      </c>
      <c r="Q120" t="s">
        <v>250</v>
      </c>
    </row>
    <row r="121" spans="2:17">
      <c r="B121" s="378"/>
      <c r="C121">
        <v>16</v>
      </c>
      <c r="D121" t="s">
        <v>226</v>
      </c>
      <c r="E121" t="s">
        <v>14</v>
      </c>
      <c r="F121" t="s">
        <v>250</v>
      </c>
      <c r="M121" s="378"/>
      <c r="N121">
        <v>16</v>
      </c>
      <c r="O121" t="s">
        <v>226</v>
      </c>
      <c r="P121" t="s">
        <v>14</v>
      </c>
      <c r="Q121" t="s">
        <v>250</v>
      </c>
    </row>
    <row r="122" spans="2:17">
      <c r="B122" s="378"/>
      <c r="M122" s="378"/>
    </row>
    <row r="123" spans="2:17">
      <c r="B123" s="378">
        <v>45896</v>
      </c>
      <c r="C123">
        <v>2</v>
      </c>
      <c r="D123" t="s">
        <v>435</v>
      </c>
      <c r="E123" t="s">
        <v>252</v>
      </c>
      <c r="F123" t="s">
        <v>250</v>
      </c>
      <c r="M123" s="378">
        <v>45896</v>
      </c>
      <c r="N123">
        <v>2</v>
      </c>
      <c r="O123" t="s">
        <v>435</v>
      </c>
      <c r="P123" t="s">
        <v>252</v>
      </c>
      <c r="Q123" t="s">
        <v>250</v>
      </c>
    </row>
    <row r="124" spans="2:17">
      <c r="B124" s="378"/>
      <c r="C124">
        <v>5</v>
      </c>
      <c r="D124" t="s">
        <v>390</v>
      </c>
      <c r="E124" t="s">
        <v>251</v>
      </c>
      <c r="F124" t="s">
        <v>250</v>
      </c>
      <c r="M124" s="378"/>
      <c r="N124">
        <v>5</v>
      </c>
      <c r="O124" t="s">
        <v>390</v>
      </c>
      <c r="P124" t="s">
        <v>251</v>
      </c>
      <c r="Q124" t="s">
        <v>250</v>
      </c>
    </row>
    <row r="125" spans="2:17">
      <c r="B125" s="378"/>
      <c r="C125">
        <v>11</v>
      </c>
      <c r="D125" t="s">
        <v>226</v>
      </c>
      <c r="E125" t="s">
        <v>14</v>
      </c>
      <c r="F125" t="s">
        <v>250</v>
      </c>
      <c r="M125" s="378"/>
      <c r="N125">
        <v>11</v>
      </c>
      <c r="O125" t="s">
        <v>226</v>
      </c>
      <c r="P125" t="s">
        <v>14</v>
      </c>
      <c r="Q125" t="s">
        <v>250</v>
      </c>
    </row>
    <row r="126" spans="2:17">
      <c r="B126" s="378"/>
      <c r="C126">
        <v>4</v>
      </c>
      <c r="D126" t="s">
        <v>447</v>
      </c>
      <c r="E126" t="s">
        <v>201</v>
      </c>
      <c r="F126" t="s">
        <v>249</v>
      </c>
      <c r="M126" s="378"/>
      <c r="N126">
        <v>4</v>
      </c>
      <c r="O126" t="s">
        <v>447</v>
      </c>
      <c r="P126" t="s">
        <v>201</v>
      </c>
      <c r="Q126" t="s">
        <v>249</v>
      </c>
    </row>
    <row r="127" spans="2:17">
      <c r="B127" s="378"/>
      <c r="M127" s="378"/>
    </row>
    <row r="128" spans="2:17">
      <c r="B128" s="378">
        <v>45897</v>
      </c>
      <c r="C128">
        <v>0</v>
      </c>
      <c r="D128" t="s">
        <v>391</v>
      </c>
      <c r="E128" t="s">
        <v>252</v>
      </c>
      <c r="F128" t="s">
        <v>250</v>
      </c>
      <c r="M128" s="378">
        <v>45897</v>
      </c>
      <c r="N128">
        <v>0</v>
      </c>
      <c r="O128" t="s">
        <v>391</v>
      </c>
      <c r="P128" t="s">
        <v>252</v>
      </c>
      <c r="Q128" t="s">
        <v>250</v>
      </c>
    </row>
    <row r="129" spans="2:17">
      <c r="B129" s="378"/>
      <c r="C129">
        <v>5</v>
      </c>
      <c r="D129" t="s">
        <v>434</v>
      </c>
      <c r="E129" t="s">
        <v>251</v>
      </c>
      <c r="F129" t="s">
        <v>250</v>
      </c>
      <c r="M129" s="378"/>
      <c r="N129">
        <v>5</v>
      </c>
      <c r="O129" t="s">
        <v>434</v>
      </c>
      <c r="P129" t="s">
        <v>251</v>
      </c>
      <c r="Q129" t="s">
        <v>250</v>
      </c>
    </row>
    <row r="130" spans="2:17">
      <c r="B130" s="378"/>
      <c r="C130">
        <v>10</v>
      </c>
      <c r="D130" t="s">
        <v>226</v>
      </c>
      <c r="E130" t="s">
        <v>14</v>
      </c>
      <c r="F130" t="s">
        <v>250</v>
      </c>
      <c r="M130" s="378"/>
      <c r="N130">
        <v>10</v>
      </c>
      <c r="O130" t="s">
        <v>226</v>
      </c>
      <c r="P130" t="s">
        <v>14</v>
      </c>
      <c r="Q130" t="s">
        <v>250</v>
      </c>
    </row>
    <row r="131" spans="2:17">
      <c r="B131" s="378"/>
      <c r="C131">
        <v>5</v>
      </c>
      <c r="D131" t="s">
        <v>447</v>
      </c>
      <c r="E131" t="s">
        <v>201</v>
      </c>
      <c r="F131" t="s">
        <v>249</v>
      </c>
      <c r="M131" s="378"/>
      <c r="N131">
        <v>5</v>
      </c>
      <c r="O131" t="s">
        <v>447</v>
      </c>
      <c r="P131" t="s">
        <v>201</v>
      </c>
      <c r="Q131" t="s">
        <v>249</v>
      </c>
    </row>
    <row r="132" spans="2:17">
      <c r="B132" s="378"/>
      <c r="C132">
        <v>34</v>
      </c>
      <c r="D132" t="s">
        <v>666</v>
      </c>
      <c r="E132" t="s">
        <v>668</v>
      </c>
      <c r="F132" t="s">
        <v>254</v>
      </c>
      <c r="M132" s="378"/>
      <c r="N132">
        <v>34</v>
      </c>
      <c r="O132" t="s">
        <v>666</v>
      </c>
      <c r="P132" t="s">
        <v>668</v>
      </c>
      <c r="Q132" t="s">
        <v>254</v>
      </c>
    </row>
    <row r="133" spans="2:17">
      <c r="B133" s="378"/>
      <c r="E133" s="413"/>
      <c r="F133" s="413"/>
      <c r="M133" s="378"/>
      <c r="P133" s="413"/>
      <c r="Q133" s="413"/>
    </row>
    <row r="134" spans="2:17">
      <c r="B134" s="378">
        <v>45898</v>
      </c>
      <c r="C134">
        <v>2</v>
      </c>
      <c r="D134" t="s">
        <v>435</v>
      </c>
      <c r="E134" t="s">
        <v>252</v>
      </c>
      <c r="F134" t="s">
        <v>250</v>
      </c>
      <c r="M134" s="378">
        <v>45898</v>
      </c>
      <c r="N134">
        <v>2</v>
      </c>
      <c r="O134" t="s">
        <v>435</v>
      </c>
      <c r="P134" t="s">
        <v>252</v>
      </c>
      <c r="Q134" t="s">
        <v>250</v>
      </c>
    </row>
    <row r="135" spans="2:17">
      <c r="B135" s="378"/>
      <c r="C135">
        <v>9</v>
      </c>
      <c r="D135" t="s">
        <v>434</v>
      </c>
      <c r="E135" t="s">
        <v>251</v>
      </c>
      <c r="F135" t="s">
        <v>250</v>
      </c>
      <c r="M135" s="378"/>
      <c r="N135">
        <v>9</v>
      </c>
      <c r="O135" t="s">
        <v>434</v>
      </c>
      <c r="P135" t="s">
        <v>251</v>
      </c>
      <c r="Q135" t="s">
        <v>250</v>
      </c>
    </row>
    <row r="136" spans="2:17">
      <c r="B136" s="378"/>
      <c r="C136">
        <v>10</v>
      </c>
      <c r="D136" t="s">
        <v>226</v>
      </c>
      <c r="E136" t="s">
        <v>14</v>
      </c>
      <c r="F136" t="s">
        <v>250</v>
      </c>
      <c r="M136" s="378"/>
      <c r="N136">
        <v>10</v>
      </c>
      <c r="O136" t="s">
        <v>226</v>
      </c>
      <c r="P136" t="s">
        <v>14</v>
      </c>
      <c r="Q136" t="s">
        <v>250</v>
      </c>
    </row>
    <row r="137" spans="2:17">
      <c r="B137" s="378"/>
      <c r="M137" s="378"/>
    </row>
    <row r="138" spans="2:17">
      <c r="B138" s="378">
        <v>45899</v>
      </c>
      <c r="C138">
        <v>8</v>
      </c>
      <c r="D138" t="s">
        <v>436</v>
      </c>
      <c r="E138" t="s">
        <v>252</v>
      </c>
      <c r="F138" t="s">
        <v>250</v>
      </c>
      <c r="M138" s="378">
        <v>45899</v>
      </c>
      <c r="N138">
        <v>8</v>
      </c>
      <c r="O138" t="s">
        <v>436</v>
      </c>
      <c r="P138" t="s">
        <v>252</v>
      </c>
      <c r="Q138" t="s">
        <v>250</v>
      </c>
    </row>
    <row r="139" spans="2:17">
      <c r="B139" s="378"/>
      <c r="C139">
        <v>5</v>
      </c>
      <c r="D139" t="s">
        <v>434</v>
      </c>
      <c r="E139" t="s">
        <v>251</v>
      </c>
      <c r="F139" t="s">
        <v>250</v>
      </c>
      <c r="M139" s="378"/>
      <c r="N139">
        <v>5</v>
      </c>
      <c r="O139" t="s">
        <v>434</v>
      </c>
      <c r="P139" t="s">
        <v>251</v>
      </c>
      <c r="Q139" t="s">
        <v>250</v>
      </c>
    </row>
    <row r="140" spans="2:17">
      <c r="B140" s="378"/>
      <c r="C140">
        <v>9</v>
      </c>
      <c r="D140" t="s">
        <v>226</v>
      </c>
      <c r="E140" t="s">
        <v>14</v>
      </c>
      <c r="F140" t="s">
        <v>250</v>
      </c>
      <c r="M140" s="378"/>
      <c r="N140">
        <v>9</v>
      </c>
      <c r="O140" t="s">
        <v>226</v>
      </c>
      <c r="P140" t="s">
        <v>14</v>
      </c>
      <c r="Q140" t="s">
        <v>250</v>
      </c>
    </row>
    <row r="141" spans="2:17">
      <c r="B141" s="378"/>
      <c r="C141">
        <v>6</v>
      </c>
      <c r="D141" t="s">
        <v>447</v>
      </c>
      <c r="E141" t="s">
        <v>201</v>
      </c>
      <c r="F141" t="s">
        <v>249</v>
      </c>
      <c r="M141" s="378"/>
      <c r="N141">
        <v>6</v>
      </c>
      <c r="O141" t="s">
        <v>447</v>
      </c>
      <c r="P141" t="s">
        <v>201</v>
      </c>
      <c r="Q141" t="s">
        <v>249</v>
      </c>
    </row>
    <row r="142" spans="2:17">
      <c r="B142" s="378"/>
      <c r="M142" s="378"/>
    </row>
    <row r="143" spans="2:17">
      <c r="B143" s="378"/>
      <c r="M143" s="378"/>
    </row>
    <row r="144" spans="2:17">
      <c r="B144" s="378">
        <v>45900</v>
      </c>
      <c r="C144">
        <v>0</v>
      </c>
      <c r="D144" t="s">
        <v>391</v>
      </c>
      <c r="E144" t="s">
        <v>252</v>
      </c>
      <c r="F144" t="s">
        <v>250</v>
      </c>
      <c r="M144" s="378">
        <v>45900</v>
      </c>
      <c r="N144">
        <v>0</v>
      </c>
      <c r="O144" t="s">
        <v>391</v>
      </c>
      <c r="P144" t="s">
        <v>252</v>
      </c>
      <c r="Q144" t="s">
        <v>250</v>
      </c>
    </row>
    <row r="145" spans="2:17">
      <c r="B145" s="378"/>
      <c r="C145">
        <v>4</v>
      </c>
      <c r="D145" t="s">
        <v>389</v>
      </c>
      <c r="E145" t="s">
        <v>251</v>
      </c>
      <c r="F145" t="s">
        <v>250</v>
      </c>
      <c r="M145" s="378"/>
      <c r="N145">
        <v>4</v>
      </c>
      <c r="O145" t="s">
        <v>389</v>
      </c>
      <c r="P145" t="s">
        <v>251</v>
      </c>
      <c r="Q145" t="s">
        <v>250</v>
      </c>
    </row>
    <row r="146" spans="2:17">
      <c r="B146" s="378"/>
      <c r="C146">
        <v>14</v>
      </c>
      <c r="D146" t="s">
        <v>226</v>
      </c>
      <c r="E146" t="s">
        <v>14</v>
      </c>
      <c r="F146" t="s">
        <v>250</v>
      </c>
      <c r="M146" s="378"/>
      <c r="N146">
        <v>14</v>
      </c>
      <c r="O146" t="s">
        <v>226</v>
      </c>
      <c r="P146" t="s">
        <v>14</v>
      </c>
      <c r="Q146" t="s">
        <v>250</v>
      </c>
    </row>
    <row r="147" spans="2:17">
      <c r="B147" s="378"/>
      <c r="M147" s="378"/>
    </row>
    <row r="148" spans="2:17">
      <c r="B148" s="378"/>
      <c r="E148" s="413"/>
      <c r="F148" s="413"/>
      <c r="M148" s="378"/>
      <c r="Q148" s="413"/>
    </row>
    <row r="149" spans="2:17">
      <c r="B149" s="378"/>
      <c r="F149" s="413"/>
      <c r="M149" s="378"/>
    </row>
    <row r="150" spans="2:17">
      <c r="B150" s="378"/>
      <c r="M150" s="378"/>
    </row>
    <row r="151" spans="2:17">
      <c r="B151" s="378"/>
      <c r="M151" s="378"/>
    </row>
    <row r="152" spans="2:17">
      <c r="B152" s="378"/>
      <c r="E152" s="413"/>
      <c r="F152" s="413"/>
      <c r="M152" s="378"/>
      <c r="P152" s="413"/>
      <c r="Q152" s="413"/>
    </row>
    <row r="153" spans="2:17">
      <c r="B153" s="378"/>
      <c r="F153" s="413"/>
      <c r="M153" s="378"/>
      <c r="Q153" s="413"/>
    </row>
    <row r="154" spans="2:17">
      <c r="B154" s="378"/>
      <c r="F154" s="413"/>
      <c r="M154" s="378"/>
      <c r="Q154" s="413"/>
    </row>
    <row r="155" spans="2:17">
      <c r="B155" s="378"/>
      <c r="M155" s="378"/>
    </row>
    <row r="156" spans="2:17">
      <c r="B156" s="378"/>
      <c r="M156" s="378"/>
    </row>
    <row r="157" spans="2:17">
      <c r="B157" s="378"/>
      <c r="M157" s="378"/>
    </row>
    <row r="158" spans="2:17">
      <c r="B158" s="378"/>
      <c r="M158" s="378"/>
    </row>
    <row r="159" spans="2:17">
      <c r="B159" s="378"/>
      <c r="M159" s="378"/>
    </row>
    <row r="160" spans="2:17">
      <c r="B160" s="378"/>
      <c r="M160" s="378"/>
    </row>
    <row r="161" spans="2:13">
      <c r="B161" s="378"/>
      <c r="M161" s="378"/>
    </row>
    <row r="162" spans="2:13">
      <c r="B162" s="378"/>
      <c r="M162" s="378"/>
    </row>
    <row r="163" spans="2:13">
      <c r="B163" s="378"/>
      <c r="M163" s="378"/>
    </row>
    <row r="164" spans="2:13">
      <c r="B164" s="378"/>
      <c r="M164" s="378"/>
    </row>
    <row r="165" spans="2:13">
      <c r="B165" s="378"/>
      <c r="M165" s="378"/>
    </row>
    <row r="166" spans="2:13">
      <c r="B166" s="378"/>
      <c r="M166" s="378"/>
    </row>
    <row r="167" spans="2:13">
      <c r="B167" s="378"/>
      <c r="M167" s="378"/>
    </row>
    <row r="168" spans="2:13">
      <c r="B168" s="378"/>
      <c r="M168" s="378"/>
    </row>
    <row r="169" spans="2:13">
      <c r="B169" s="378"/>
      <c r="M169" s="378"/>
    </row>
    <row r="170" spans="2:13">
      <c r="B170" s="378"/>
      <c r="M170" s="378"/>
    </row>
    <row r="171" spans="2:13">
      <c r="B171" s="378"/>
      <c r="M171" s="378"/>
    </row>
    <row r="172" spans="2:13">
      <c r="B172" s="378"/>
      <c r="M172" s="378"/>
    </row>
    <row r="173" spans="2:13">
      <c r="B173" s="378"/>
      <c r="M173" s="378"/>
    </row>
    <row r="174" spans="2:13">
      <c r="B174" s="378"/>
      <c r="M174" s="378"/>
    </row>
    <row r="175" spans="2:13">
      <c r="B175" s="378"/>
      <c r="M175" s="378"/>
    </row>
    <row r="176" spans="2:13">
      <c r="B176" s="378"/>
      <c r="M176" s="378"/>
    </row>
    <row r="177" spans="2:13">
      <c r="B177" s="378"/>
      <c r="M177" s="378"/>
    </row>
    <row r="178" spans="2:13">
      <c r="B178" s="378"/>
      <c r="M178" s="378"/>
    </row>
    <row r="179" spans="2:13">
      <c r="B179" s="378"/>
      <c r="M179" s="378"/>
    </row>
    <row r="180" spans="2:13">
      <c r="B180" s="378"/>
      <c r="M180" s="378"/>
    </row>
    <row r="181" spans="2:13">
      <c r="B181" s="378"/>
      <c r="M181" s="378"/>
    </row>
    <row r="182" spans="2:13">
      <c r="B182" s="378"/>
      <c r="M182" s="378"/>
    </row>
    <row r="183" spans="2:13">
      <c r="B183" s="378"/>
      <c r="M183" s="378"/>
    </row>
    <row r="184" spans="2:13">
      <c r="B184" s="378"/>
      <c r="M184" s="378"/>
    </row>
    <row r="185" spans="2:13">
      <c r="B185" s="378"/>
    </row>
    <row r="186" spans="2:13">
      <c r="B186" s="378"/>
    </row>
    <row r="187" spans="2:13">
      <c r="B187" s="378"/>
    </row>
    <row r="188" spans="2:13">
      <c r="B188" s="378"/>
    </row>
    <row r="189" spans="2:13">
      <c r="B189" s="378"/>
    </row>
    <row r="190" spans="2:13">
      <c r="B190" s="378"/>
    </row>
    <row r="191" spans="2:13">
      <c r="B191" s="378"/>
    </row>
    <row r="192" spans="2:13">
      <c r="B192" s="378"/>
    </row>
    <row r="193" spans="2:2">
      <c r="B193" s="378"/>
    </row>
    <row r="194" spans="2:2">
      <c r="B194" s="378"/>
    </row>
    <row r="195" spans="2:2">
      <c r="B195" s="378"/>
    </row>
    <row r="196" spans="2:2">
      <c r="B196" s="378"/>
    </row>
    <row r="197" spans="2:2">
      <c r="B197" s="378"/>
    </row>
    <row r="198" spans="2:2">
      <c r="B198" s="378"/>
    </row>
    <row r="199" spans="2:2">
      <c r="B199" s="378"/>
    </row>
    <row r="200" spans="2:2">
      <c r="B200" s="378"/>
    </row>
    <row r="201" spans="2:2">
      <c r="B201" s="378"/>
    </row>
    <row r="202" spans="2:2">
      <c r="B202" s="378"/>
    </row>
    <row r="203" spans="2:2">
      <c r="B203" s="378"/>
    </row>
    <row r="204" spans="2:2">
      <c r="B204" s="378"/>
    </row>
    <row r="205" spans="2:2">
      <c r="B205" s="378"/>
    </row>
    <row r="206" spans="2:2">
      <c r="B206" s="378"/>
    </row>
    <row r="207" spans="2:2">
      <c r="B207" s="378"/>
    </row>
    <row r="208" spans="2:2">
      <c r="B208" s="378"/>
    </row>
    <row r="209" spans="2:2">
      <c r="B209" s="378"/>
    </row>
    <row r="210" spans="2:2">
      <c r="B210" s="378"/>
    </row>
    <row r="211" spans="2:2">
      <c r="B211" s="378"/>
    </row>
    <row r="212" spans="2:2">
      <c r="B212" s="378"/>
    </row>
    <row r="213" spans="2:2">
      <c r="B213" s="378"/>
    </row>
    <row r="214" spans="2:2">
      <c r="B214" s="378"/>
    </row>
    <row r="215" spans="2:2">
      <c r="B215" s="378"/>
    </row>
    <row r="216" spans="2:2">
      <c r="B216" s="378"/>
    </row>
    <row r="217" spans="2:2">
      <c r="B217" s="378"/>
    </row>
    <row r="218" spans="2:2">
      <c r="B218" s="378"/>
    </row>
    <row r="219" spans="2:2">
      <c r="B219" s="378"/>
    </row>
    <row r="220" spans="2:2">
      <c r="B220" s="378"/>
    </row>
    <row r="221" spans="2:2">
      <c r="B221" s="378"/>
    </row>
    <row r="222" spans="2:2">
      <c r="B222" s="378"/>
    </row>
    <row r="223" spans="2:2">
      <c r="B223" s="378"/>
    </row>
    <row r="224" spans="2:2">
      <c r="B224" s="378"/>
    </row>
    <row r="225" spans="2:2">
      <c r="B225" s="378"/>
    </row>
    <row r="226" spans="2:2">
      <c r="B226" s="378"/>
    </row>
    <row r="227" spans="2:2">
      <c r="B227" s="378"/>
    </row>
    <row r="228" spans="2:2">
      <c r="B228" s="378"/>
    </row>
    <row r="229" spans="2:2">
      <c r="B229" s="378"/>
    </row>
    <row r="230" spans="2:2">
      <c r="B230" s="378"/>
    </row>
    <row r="231" spans="2:2">
      <c r="B231" s="378"/>
    </row>
    <row r="232" spans="2:2">
      <c r="B232" s="378"/>
    </row>
    <row r="233" spans="2:2">
      <c r="B233" s="378"/>
    </row>
    <row r="234" spans="2:2">
      <c r="B234" s="378"/>
    </row>
    <row r="235" spans="2:2">
      <c r="B235" s="378"/>
    </row>
    <row r="236" spans="2:2">
      <c r="B236" s="378"/>
    </row>
    <row r="237" spans="2:2">
      <c r="B237" s="378"/>
    </row>
    <row r="238" spans="2:2">
      <c r="B238" s="378"/>
    </row>
    <row r="239" spans="2:2">
      <c r="B239" s="378"/>
    </row>
    <row r="240" spans="2:2">
      <c r="B240" s="378"/>
    </row>
    <row r="241" spans="2:2">
      <c r="B241" s="378"/>
    </row>
    <row r="242" spans="2:2">
      <c r="B242" s="378"/>
    </row>
    <row r="243" spans="2:2">
      <c r="B243" s="378"/>
    </row>
    <row r="244" spans="2:2">
      <c r="B244" s="378"/>
    </row>
    <row r="245" spans="2:2">
      <c r="B245" s="378"/>
    </row>
    <row r="246" spans="2:2">
      <c r="B246" s="378"/>
    </row>
    <row r="247" spans="2:2">
      <c r="B247" s="378"/>
    </row>
    <row r="248" spans="2:2">
      <c r="B248" s="378"/>
    </row>
    <row r="249" spans="2:2">
      <c r="B249" s="378"/>
    </row>
    <row r="250" spans="2:2">
      <c r="B250" s="378"/>
    </row>
    <row r="251" spans="2:2">
      <c r="B251" s="378"/>
    </row>
    <row r="252" spans="2:2">
      <c r="B252" s="378"/>
    </row>
    <row r="253" spans="2:2">
      <c r="B253" s="378"/>
    </row>
    <row r="254" spans="2:2">
      <c r="B254" s="378"/>
    </row>
    <row r="255" spans="2:2">
      <c r="B255" s="378"/>
    </row>
    <row r="256" spans="2:2">
      <c r="B256" s="378"/>
    </row>
    <row r="257" spans="2:2">
      <c r="B257" s="378"/>
    </row>
    <row r="258" spans="2:2">
      <c r="B258" s="378"/>
    </row>
    <row r="259" spans="2:2">
      <c r="B259" s="378"/>
    </row>
    <row r="260" spans="2:2">
      <c r="B260" s="378"/>
    </row>
  </sheetData>
  <autoFilter ref="B1:F106"/>
  <conditionalFormatting sqref="G2:G14">
    <cfRule type="cellIs" dxfId="13" priority="2" operator="greaterThan">
      <formula>0</formula>
    </cfRule>
  </conditionalFormatting>
  <conditionalFormatting sqref="R2:R14">
    <cfRule type="cellIs" dxfId="12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tabSelected="1" topLeftCell="H4" workbookViewId="0">
      <selection activeCell="R14" sqref="R14:R28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78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78" customWidth="1"/>
    <col min="13" max="17" width="13.5703125" customWidth="1"/>
  </cols>
  <sheetData>
    <row r="1" spans="1:17" ht="15">
      <c r="A1" s="475" t="s">
        <v>261</v>
      </c>
      <c r="E1" s="478"/>
      <c r="F1" s="1"/>
      <c r="J1" s="475" t="s">
        <v>372</v>
      </c>
      <c r="N1" s="478"/>
      <c r="O1" s="1"/>
    </row>
    <row r="2" spans="1:17" ht="30">
      <c r="A2" s="759" t="s">
        <v>234</v>
      </c>
      <c r="B2" s="759" t="s">
        <v>235</v>
      </c>
      <c r="C2" s="760" t="s">
        <v>236</v>
      </c>
      <c r="D2" s="479" t="s">
        <v>237</v>
      </c>
      <c r="E2" s="575" t="s">
        <v>238</v>
      </c>
      <c r="F2" s="481" t="s">
        <v>239</v>
      </c>
      <c r="G2" s="575" t="s">
        <v>240</v>
      </c>
      <c r="H2" s="575" t="s">
        <v>241</v>
      </c>
      <c r="J2" s="759" t="s">
        <v>234</v>
      </c>
      <c r="K2" s="759" t="s">
        <v>235</v>
      </c>
      <c r="L2" s="758" t="s">
        <v>236</v>
      </c>
      <c r="M2" s="479" t="s">
        <v>237</v>
      </c>
      <c r="N2" s="575" t="s">
        <v>238</v>
      </c>
      <c r="O2" s="481" t="s">
        <v>239</v>
      </c>
      <c r="P2" s="575" t="s">
        <v>240</v>
      </c>
      <c r="Q2" s="575" t="s">
        <v>241</v>
      </c>
    </row>
    <row r="3" spans="1:17" ht="15">
      <c r="A3" s="759"/>
      <c r="B3" s="759"/>
      <c r="C3" s="761"/>
      <c r="D3" s="479" t="s">
        <v>411</v>
      </c>
      <c r="E3" s="479" t="str">
        <f>+D3</f>
        <v>AGUSTUS</v>
      </c>
      <c r="F3" s="479" t="str">
        <f>+E3</f>
        <v>AGUSTUS</v>
      </c>
      <c r="G3" s="479" t="str">
        <f>+F3</f>
        <v>AGUSTUS</v>
      </c>
      <c r="H3" s="479" t="str">
        <f>+G3</f>
        <v>AGUSTUS</v>
      </c>
      <c r="J3" s="759"/>
      <c r="K3" s="759"/>
      <c r="L3" s="758"/>
      <c r="M3" s="479" t="str">
        <f>+H3</f>
        <v>AGUSTUS</v>
      </c>
      <c r="N3" s="479" t="str">
        <f>+M3</f>
        <v>AGUSTUS</v>
      </c>
      <c r="O3" s="479" t="str">
        <f>+N3</f>
        <v>AGUSTUS</v>
      </c>
      <c r="P3" s="479" t="str">
        <f>+O3</f>
        <v>AGUSTUS</v>
      </c>
      <c r="Q3" s="479" t="str">
        <f>+P3</f>
        <v>AGUSTUS</v>
      </c>
    </row>
    <row r="4" spans="1:17" ht="15">
      <c r="A4" s="762" t="s">
        <v>242</v>
      </c>
      <c r="B4" s="577" t="s">
        <v>298</v>
      </c>
      <c r="C4" s="587" t="s">
        <v>512</v>
      </c>
      <c r="D4" s="6">
        <f>SUMIFS(Sheet1!$C$2:$C$180,Sheet1!$F$2:$F$180,B4,Sheet1!$E$2:$E$180,C4)</f>
        <v>150</v>
      </c>
      <c r="E4" s="6">
        <f>D4/Sheet1!$I$9*Sheet1!$I$10</f>
        <v>5.9010909775467306</v>
      </c>
      <c r="F4" s="492">
        <f>D4/Sheet1!$I$9*Sheet1!$I$11</f>
        <v>3.1125117605660508E-3</v>
      </c>
      <c r="G4" s="576">
        <f>F4</f>
        <v>3.1125117605660508E-3</v>
      </c>
      <c r="H4" s="763">
        <f>SUM(G4:G11)</f>
        <v>2.9174610235705781E-2</v>
      </c>
      <c r="J4" s="762" t="s">
        <v>242</v>
      </c>
      <c r="K4" s="577" t="s">
        <v>298</v>
      </c>
      <c r="L4" s="587" t="s">
        <v>512</v>
      </c>
      <c r="M4" s="6">
        <f>SUMIFS(Sheet1!$N$2:$N$180,Sheet1!$Q$2:$Q$180,K4,Sheet1!$P$2:$P$180,L4)</f>
        <v>0</v>
      </c>
      <c r="N4" s="6">
        <f>M4/Sheet1!$T$9*Sheet1!$T$10</f>
        <v>0</v>
      </c>
      <c r="O4" s="492">
        <f>M4/Sheet1!$T$9*Sheet1!$T$11</f>
        <v>0</v>
      </c>
      <c r="P4" s="576">
        <f>O4</f>
        <v>0</v>
      </c>
      <c r="Q4" s="763">
        <f>SUM(P4:P11)</f>
        <v>0</v>
      </c>
    </row>
    <row r="5" spans="1:17" ht="15">
      <c r="A5" s="762"/>
      <c r="B5" s="577" t="s">
        <v>243</v>
      </c>
      <c r="C5" s="579" t="s">
        <v>489</v>
      </c>
      <c r="D5" s="6">
        <f>SUMIFS(Sheet1!$C$2:$C$180,Sheet1!$F$2:$F$180,B5,Sheet1!$E$2:$E$180,C5)</f>
        <v>1256</v>
      </c>
      <c r="E5" s="6">
        <f>D5/Sheet1!$I$9*Sheet1!$I$10</f>
        <v>49.41180178532462</v>
      </c>
      <c r="F5" s="492">
        <f>D5/Sheet1!$I$9*Sheet1!$I$11</f>
        <v>2.6062098475139732E-2</v>
      </c>
      <c r="G5" s="580">
        <f t="shared" ref="G5:G14" si="0">F5</f>
        <v>2.6062098475139732E-2</v>
      </c>
      <c r="H5" s="762"/>
      <c r="J5" s="762"/>
      <c r="K5" s="577" t="s">
        <v>243</v>
      </c>
      <c r="L5" s="579" t="s">
        <v>489</v>
      </c>
      <c r="M5" s="6">
        <f>SUMIFS(Sheet1!$N$2:$N$180,Sheet1!$Q$2:$Q$180,K5,Sheet1!$P$2:$P$180,L5)</f>
        <v>0</v>
      </c>
      <c r="N5" s="6">
        <f>M5/Sheet1!$T$9*Sheet1!$T$10</f>
        <v>0</v>
      </c>
      <c r="O5" s="492">
        <f>M5/Sheet1!$T$9*Sheet1!$T$11</f>
        <v>0</v>
      </c>
      <c r="P5" s="580">
        <f t="shared" ref="P5:P14" si="1">O5</f>
        <v>0</v>
      </c>
      <c r="Q5" s="762"/>
    </row>
    <row r="6" spans="1:17" ht="15">
      <c r="A6" s="762"/>
      <c r="B6" s="764" t="s">
        <v>307</v>
      </c>
      <c r="C6" s="579"/>
      <c r="D6" s="6">
        <f>SUMIFS(Sheet1!$C$2:$C$180,Sheet1!$F$2:$F$180,B6,Sheet1!$E$2:$E$180,C6)</f>
        <v>0</v>
      </c>
      <c r="E6" s="6">
        <f>D6/Sheet1!$I$9*Sheet1!$I$10</f>
        <v>0</v>
      </c>
      <c r="F6" s="492">
        <f>D6/Sheet1!$I$9*Sheet1!$I$11</f>
        <v>0</v>
      </c>
      <c r="G6" s="580">
        <f t="shared" si="0"/>
        <v>0</v>
      </c>
      <c r="H6" s="762"/>
      <c r="J6" s="762"/>
      <c r="K6" s="764" t="s">
        <v>307</v>
      </c>
      <c r="L6" s="579"/>
      <c r="M6" s="6">
        <f>SUMIFS(Sheet1!$N$2:$N$180,Sheet1!$Q$2:$Q$180,K6,Sheet1!$P$2:$P$180,L6)</f>
        <v>0</v>
      </c>
      <c r="N6" s="6">
        <f>M6/Sheet1!$T$9*Sheet1!$T$10</f>
        <v>0</v>
      </c>
      <c r="O6" s="492">
        <f>M6/Sheet1!$T$9*Sheet1!$T$11</f>
        <v>0</v>
      </c>
      <c r="P6" s="580">
        <f t="shared" si="1"/>
        <v>0</v>
      </c>
      <c r="Q6" s="762"/>
    </row>
    <row r="7" spans="1:17" ht="15">
      <c r="A7" s="762"/>
      <c r="B7" s="765"/>
      <c r="C7" s="579"/>
      <c r="D7" s="6">
        <f>SUMIFS(Sheet1!$C$2:$C$180,Sheet1!$F$2:$F$180,B6,Sheet1!$E$2:$E$180,C7)</f>
        <v>0</v>
      </c>
      <c r="E7" s="6">
        <f>D7/Sheet1!$I$9*Sheet1!$I$10</f>
        <v>0</v>
      </c>
      <c r="F7" s="492">
        <f>D7/Sheet1!$I$9*Sheet1!$I$11</f>
        <v>0</v>
      </c>
      <c r="G7" s="580">
        <f t="shared" si="0"/>
        <v>0</v>
      </c>
      <c r="H7" s="762"/>
      <c r="J7" s="762"/>
      <c r="K7" s="765"/>
      <c r="L7" s="579"/>
      <c r="M7" s="6">
        <f>SUMIFS(Sheet1!$N$2:$N$180,Sheet1!$Q$2:$Q$180,K6,Sheet1!$P$2:$P$180,L7)</f>
        <v>0</v>
      </c>
      <c r="N7" s="6">
        <f>M7/Sheet1!$T$9*Sheet1!$T$10</f>
        <v>0</v>
      </c>
      <c r="O7" s="492">
        <f>M7/Sheet1!$T$9*Sheet1!$T$11</f>
        <v>0</v>
      </c>
      <c r="P7" s="580">
        <f t="shared" si="1"/>
        <v>0</v>
      </c>
      <c r="Q7" s="762"/>
    </row>
    <row r="8" spans="1:17">
      <c r="A8" s="762"/>
      <c r="B8" s="764" t="s">
        <v>306</v>
      </c>
      <c r="C8" s="579"/>
      <c r="D8" s="6">
        <f>SUMIFS(Sheet1!$C$2:$C$180,Sheet1!$F$2:$F$180,B8,Sheet1!$E$2:$E$180,C8)</f>
        <v>0</v>
      </c>
      <c r="E8" s="6">
        <f>D8/Sheet1!$I$9*Sheet1!$I$10</f>
        <v>0</v>
      </c>
      <c r="F8" s="492">
        <f>D8/Sheet1!$I$9*Sheet1!$I$11</f>
        <v>0</v>
      </c>
      <c r="G8" s="581">
        <f t="shared" si="0"/>
        <v>0</v>
      </c>
      <c r="H8" s="762"/>
      <c r="J8" s="762"/>
      <c r="K8" s="764" t="s">
        <v>306</v>
      </c>
      <c r="L8" s="579"/>
      <c r="M8" s="6">
        <f>SUMIFS(Sheet1!$N$2:$N$180,Sheet1!$Q$2:$Q$180,K8,Sheet1!$P$2:$P$180,L8)</f>
        <v>0</v>
      </c>
      <c r="N8" s="6">
        <f>M8/Sheet1!$T$9*Sheet1!$T$10</f>
        <v>0</v>
      </c>
      <c r="O8" s="492">
        <f>M8/Sheet1!$T$9*Sheet1!$T$11</f>
        <v>0</v>
      </c>
      <c r="P8" s="581">
        <f t="shared" si="1"/>
        <v>0</v>
      </c>
      <c r="Q8" s="762"/>
    </row>
    <row r="9" spans="1:17">
      <c r="A9" s="762"/>
      <c r="B9" s="765"/>
      <c r="C9" s="579"/>
      <c r="D9" s="6">
        <f>SUMIFS(Sheet1!$C$2:$C$180,Sheet1!$F$2:$F$180,B8,Sheet1!$E$2:$E$180,C9)</f>
        <v>0</v>
      </c>
      <c r="E9" s="6">
        <f>D9/Sheet1!$I$9*Sheet1!$I$10</f>
        <v>0</v>
      </c>
      <c r="F9" s="492">
        <f>D9/Sheet1!$I$9*Sheet1!$I$11</f>
        <v>0</v>
      </c>
      <c r="G9" s="581">
        <f t="shared" si="0"/>
        <v>0</v>
      </c>
      <c r="H9" s="762"/>
      <c r="J9" s="762"/>
      <c r="K9" s="765"/>
      <c r="L9" s="579"/>
      <c r="M9" s="6">
        <f>SUMIFS(Sheet1!$N$2:$N$180,Sheet1!$Q$2:$Q$180,K8,Sheet1!$P$2:$P$180,L9)</f>
        <v>0</v>
      </c>
      <c r="N9" s="6">
        <f>M9/Sheet1!$T$9*Sheet1!$T$10</f>
        <v>0</v>
      </c>
      <c r="O9" s="492">
        <f>M9/Sheet1!$T$9*Sheet1!$T$11</f>
        <v>0</v>
      </c>
      <c r="P9" s="581">
        <f t="shared" si="1"/>
        <v>0</v>
      </c>
      <c r="Q9" s="762"/>
    </row>
    <row r="10" spans="1:17" ht="15" customHeight="1">
      <c r="A10" s="762"/>
      <c r="B10" s="764" t="s">
        <v>369</v>
      </c>
      <c r="C10" s="579"/>
      <c r="D10" s="6">
        <f>SUMIFS(Sheet1!$C$2:$C$180,Sheet1!$F$2:$F$180,B10,Sheet1!$E$2:$E$180,C10)</f>
        <v>0</v>
      </c>
      <c r="E10" s="6">
        <f>D10/Sheet1!$I$9*Sheet1!$I$10</f>
        <v>0</v>
      </c>
      <c r="F10" s="492">
        <f>D10/Sheet1!$I$9*Sheet1!$I$11</f>
        <v>0</v>
      </c>
      <c r="G10" s="581">
        <f t="shared" si="0"/>
        <v>0</v>
      </c>
      <c r="H10" s="762"/>
      <c r="J10" s="762"/>
      <c r="K10" s="764" t="s">
        <v>369</v>
      </c>
      <c r="L10" s="579"/>
      <c r="M10" s="6">
        <f>SUMIFS(Sheet1!$N$2:$N$180,Sheet1!$Q$2:$Q$180,K10,Sheet1!$P$2:$P$180,L10)</f>
        <v>0</v>
      </c>
      <c r="N10" s="6">
        <f>M10/Sheet1!$T$9*Sheet1!$T$10</f>
        <v>0</v>
      </c>
      <c r="O10" s="492">
        <f>M10/Sheet1!$T$9*Sheet1!$T$11</f>
        <v>0</v>
      </c>
      <c r="P10" s="581">
        <f t="shared" si="1"/>
        <v>0</v>
      </c>
      <c r="Q10" s="762"/>
    </row>
    <row r="11" spans="1:17" ht="15" customHeight="1">
      <c r="A11" s="762"/>
      <c r="B11" s="765"/>
      <c r="C11" s="579"/>
      <c r="D11" s="6">
        <f>SUMIFS(Sheet1!$C$2:$C$180,Sheet1!$F$2:$F$180,B10,Sheet1!$E$2:$E$180,C11)</f>
        <v>0</v>
      </c>
      <c r="E11" s="6">
        <f>D11/Sheet1!$I$9*Sheet1!$I$10</f>
        <v>0</v>
      </c>
      <c r="F11" s="492">
        <f>D11/Sheet1!$I$9*Sheet1!$I$11</f>
        <v>0</v>
      </c>
      <c r="G11" s="581">
        <f t="shared" si="0"/>
        <v>0</v>
      </c>
      <c r="H11" s="762"/>
      <c r="J11" s="762"/>
      <c r="K11" s="765"/>
      <c r="L11" s="579"/>
      <c r="M11" s="6">
        <f>SUMIFS(Sheet1!$N$2:$N$180,Sheet1!$Q$2:$Q$180,K10,Sheet1!$P$2:$P$180,L11)</f>
        <v>0</v>
      </c>
      <c r="N11" s="6">
        <f>M11/Sheet1!$T$9*Sheet1!$T$10</f>
        <v>0</v>
      </c>
      <c r="O11" s="492">
        <f>M11/Sheet1!$T$9*Sheet1!$T$11</f>
        <v>0</v>
      </c>
      <c r="P11" s="581">
        <f t="shared" si="1"/>
        <v>0</v>
      </c>
      <c r="Q11" s="762"/>
    </row>
    <row r="12" spans="1:17" ht="15">
      <c r="A12" s="762" t="s">
        <v>11</v>
      </c>
      <c r="B12" s="577" t="s">
        <v>148</v>
      </c>
      <c r="C12" s="579" t="s">
        <v>148</v>
      </c>
      <c r="D12" s="6"/>
      <c r="E12" s="6">
        <f>+Sheet1!I2</f>
        <v>16.451000000000001</v>
      </c>
      <c r="F12" s="492">
        <f>E12/Sheet1!$I$8</f>
        <v>8.6770278865212803E-3</v>
      </c>
      <c r="G12" s="580">
        <f t="shared" si="0"/>
        <v>8.6770278865212803E-3</v>
      </c>
      <c r="H12" s="766">
        <f>SUM(G12:G13)</f>
        <v>3.7010087672609784E-2</v>
      </c>
      <c r="J12" s="762" t="s">
        <v>11</v>
      </c>
      <c r="K12" s="577" t="s">
        <v>148</v>
      </c>
      <c r="L12" s="579" t="s">
        <v>148</v>
      </c>
      <c r="M12" s="6"/>
      <c r="N12" s="6">
        <f>+Sheet1!T2</f>
        <v>16.451000000000001</v>
      </c>
      <c r="O12" s="492">
        <f>+Sheet1!U2</f>
        <v>8.9181844752184991E-3</v>
      </c>
      <c r="P12" s="580">
        <f t="shared" si="1"/>
        <v>8.9181844752184991E-3</v>
      </c>
      <c r="Q12" s="766">
        <f>SUM(P12:P13)</f>
        <v>3.8038691776138805E-2</v>
      </c>
    </row>
    <row r="13" spans="1:17" ht="15">
      <c r="A13" s="762"/>
      <c r="B13" s="577" t="s">
        <v>244</v>
      </c>
      <c r="C13" s="579" t="s">
        <v>245</v>
      </c>
      <c r="D13" s="6"/>
      <c r="E13" s="6">
        <f>+Sheet1!I3</f>
        <v>53.717375654051253</v>
      </c>
      <c r="F13" s="492">
        <f>E13/Sheet1!$I$8</f>
        <v>2.8333059786088504E-2</v>
      </c>
      <c r="G13" s="580">
        <f t="shared" si="0"/>
        <v>2.8333059786088504E-2</v>
      </c>
      <c r="H13" s="767"/>
      <c r="J13" s="762"/>
      <c r="K13" s="577" t="s">
        <v>244</v>
      </c>
      <c r="L13" s="579" t="s">
        <v>245</v>
      </c>
      <c r="M13" s="6"/>
      <c r="N13" s="6">
        <f>+Sheet1!T3</f>
        <v>53.717375654051253</v>
      </c>
      <c r="O13" s="492">
        <f>+Sheet1!U3</f>
        <v>2.912050730092031E-2</v>
      </c>
      <c r="P13" s="580">
        <f t="shared" si="1"/>
        <v>2.912050730092031E-2</v>
      </c>
      <c r="Q13" s="767"/>
    </row>
    <row r="14" spans="1:17" ht="15">
      <c r="A14" s="768" t="s">
        <v>13</v>
      </c>
      <c r="B14" s="577" t="s">
        <v>246</v>
      </c>
      <c r="C14" s="579" t="s">
        <v>246</v>
      </c>
      <c r="D14" s="6"/>
      <c r="E14" s="6">
        <f>+Sheet1!I4</f>
        <v>-3.1674583415292794</v>
      </c>
      <c r="F14" s="492">
        <f>E14/Sheet1!$I$8</f>
        <v>-1.6706658779918548E-3</v>
      </c>
      <c r="G14" s="580">
        <f t="shared" si="0"/>
        <v>-1.6706658779918548E-3</v>
      </c>
      <c r="H14" s="770">
        <f>SUM(G14:G24)</f>
        <v>3.4207497810267107E-2</v>
      </c>
      <c r="J14" s="768" t="s">
        <v>13</v>
      </c>
      <c r="K14" s="577" t="s">
        <v>246</v>
      </c>
      <c r="L14" s="579" t="s">
        <v>246</v>
      </c>
      <c r="M14" s="6"/>
      <c r="N14" s="6">
        <f>+Sheet1!T4</f>
        <v>-0.59886371067213762</v>
      </c>
      <c r="O14" s="492">
        <f>+Sheet1!U4</f>
        <v>-3.2464756229335604E-4</v>
      </c>
      <c r="P14" s="580">
        <f t="shared" si="1"/>
        <v>-3.2464756229335604E-4</v>
      </c>
      <c r="Q14" s="770">
        <f>SUM(P14:P24)</f>
        <v>3.6634320439390106E-2</v>
      </c>
    </row>
    <row r="15" spans="1:17" ht="15">
      <c r="A15" s="769"/>
      <c r="B15" s="577" t="s">
        <v>247</v>
      </c>
      <c r="C15" s="579" t="s">
        <v>247</v>
      </c>
      <c r="D15" s="6"/>
      <c r="E15" s="6">
        <f>+Sheet1!I5</f>
        <v>17.469652529491007</v>
      </c>
      <c r="F15" s="492">
        <f>E15/Sheet1!$I$8</f>
        <v>9.2143129394097918E-3</v>
      </c>
      <c r="G15" s="580">
        <f>F15</f>
        <v>9.2143129394097918E-3</v>
      </c>
      <c r="H15" s="770"/>
      <c r="J15" s="769"/>
      <c r="K15" s="577" t="s">
        <v>247</v>
      </c>
      <c r="L15" s="579" t="s">
        <v>247</v>
      </c>
      <c r="M15" s="6"/>
      <c r="N15" s="6">
        <f>+Sheet1!T5</f>
        <v>14.901057898633862</v>
      </c>
      <c r="O15" s="492">
        <f>+Sheet1!U5</f>
        <v>8.0779516877957872E-3</v>
      </c>
      <c r="P15" s="580">
        <f>O15</f>
        <v>8.0779516877957872E-3</v>
      </c>
      <c r="Q15" s="770"/>
    </row>
    <row r="16" spans="1:17">
      <c r="A16" s="769"/>
      <c r="B16" s="771" t="s">
        <v>248</v>
      </c>
      <c r="C16" s="579"/>
      <c r="D16" s="6">
        <f>SUMIFS(Sheet1!$C$2:$C$180,Sheet1!$F$2:$F$180,B16,Sheet1!$E$2:$E$180,C16)</f>
        <v>0</v>
      </c>
      <c r="E16" s="6">
        <f>D16/Sheet1!$I$9*Sheet1!$I$10</f>
        <v>0</v>
      </c>
      <c r="F16" s="492">
        <f>D16/Sheet1!$I$9*Sheet1!$I$11</f>
        <v>0</v>
      </c>
      <c r="G16" s="772">
        <f>SUM(F16:F17)</f>
        <v>0</v>
      </c>
      <c r="H16" s="770"/>
      <c r="J16" s="769"/>
      <c r="K16" s="771" t="s">
        <v>248</v>
      </c>
      <c r="L16" s="579"/>
      <c r="M16" s="6">
        <f>SUMIFS(Sheet1!$N$2:$N$180,Sheet1!$Q$2:$Q$180,K16,Sheet1!$P$2:$P$180,L16)</f>
        <v>0</v>
      </c>
      <c r="N16" s="6">
        <f>M16/Sheet1!$T$9*Sheet1!$T$10</f>
        <v>0</v>
      </c>
      <c r="O16" s="492">
        <f>M16/Sheet1!$T$9*Sheet1!$T$11</f>
        <v>0</v>
      </c>
      <c r="P16" s="772">
        <f>SUM(O16:O17)</f>
        <v>0</v>
      </c>
      <c r="Q16" s="770"/>
    </row>
    <row r="17" spans="1:18">
      <c r="A17" s="769"/>
      <c r="B17" s="771"/>
      <c r="C17" s="579"/>
      <c r="D17" s="6">
        <f>SUMIFS(Sheet1!$C$2:$C$180,Sheet1!$F$2:$F$180,B16,Sheet1!$E$2:$E$180,C17)</f>
        <v>0</v>
      </c>
      <c r="E17" s="6">
        <f>D17/Sheet1!$I$9*Sheet1!$I$10</f>
        <v>0</v>
      </c>
      <c r="F17" s="492">
        <f>D17/Sheet1!$I$9*Sheet1!$I$11</f>
        <v>0</v>
      </c>
      <c r="G17" s="772"/>
      <c r="H17" s="770"/>
      <c r="J17" s="769"/>
      <c r="K17" s="771"/>
      <c r="L17" s="579"/>
      <c r="M17" s="6">
        <f>SUMIFS(Sheet1!$N$2:$N$180,Sheet1!$Q$2:$Q$180,K16,Sheet1!$P$2:$P$180,L17)</f>
        <v>0</v>
      </c>
      <c r="N17" s="6">
        <f>M17/Sheet1!$T$9*Sheet1!$T$10</f>
        <v>0</v>
      </c>
      <c r="O17" s="492">
        <f>M17/Sheet1!$T$9*Sheet1!$T$11</f>
        <v>0</v>
      </c>
      <c r="P17" s="772"/>
      <c r="Q17" s="770"/>
      <c r="R17" s="529"/>
    </row>
    <row r="18" spans="1:18" ht="15">
      <c r="A18" s="769"/>
      <c r="B18" s="577" t="s">
        <v>249</v>
      </c>
      <c r="C18" s="579" t="s">
        <v>201</v>
      </c>
      <c r="D18" s="6">
        <f>SUMIFS(Sheet1!$C$2:$C$180,Sheet1!$F$2:$F$180,B18,Sheet1!$E$2:$E$180,C18)</f>
        <v>63</v>
      </c>
      <c r="E18" s="6">
        <f>D18/Sheet1!$I$9*Sheet1!$I$10</f>
        <v>2.4784582105696265</v>
      </c>
      <c r="F18" s="492">
        <f>D18/Sheet1!$I$9*Sheet1!$I$11</f>
        <v>1.3072549394377412E-3</v>
      </c>
      <c r="G18" s="580">
        <f>F18</f>
        <v>1.3072549394377412E-3</v>
      </c>
      <c r="H18" s="770"/>
      <c r="J18" s="769"/>
      <c r="K18" s="577" t="s">
        <v>249</v>
      </c>
      <c r="L18" s="579" t="s">
        <v>201</v>
      </c>
      <c r="M18" s="6">
        <f>SUMIFS(Sheet1!$N$2:$N$180,Sheet1!$Q$2:$Q$180,K18,Sheet1!$P$2:$P$180,L18)</f>
        <v>63</v>
      </c>
      <c r="N18" s="6">
        <f>M18/Sheet1!$T$9*Sheet1!$T$10</f>
        <v>2.6119553244915195</v>
      </c>
      <c r="O18" s="492">
        <f>M18/Sheet1!$T$9*Sheet1!$T$11</f>
        <v>1.4159564418481894E-3</v>
      </c>
      <c r="P18" s="580">
        <f>O18</f>
        <v>1.4159564418481894E-3</v>
      </c>
      <c r="Q18" s="770"/>
    </row>
    <row r="19" spans="1:18">
      <c r="A19" s="769"/>
      <c r="B19" s="764" t="s">
        <v>250</v>
      </c>
      <c r="C19" s="579" t="s">
        <v>251</v>
      </c>
      <c r="D19" s="6">
        <f>SUMIFS(Sheet1!$C$2:$C$180,Sheet1!$F$2:$F$180,B19,Sheet1!$E$2:$E$180,C19)</f>
        <v>423</v>
      </c>
      <c r="E19" s="6">
        <f>D19/Sheet1!$I$9*Sheet1!$I$10</f>
        <v>16.641076556681778</v>
      </c>
      <c r="F19" s="492">
        <f>D19/Sheet1!$I$9*Sheet1!$I$11</f>
        <v>8.777283164796262E-3</v>
      </c>
      <c r="G19" s="774">
        <f>SUM(F19:F24)</f>
        <v>2.5356595809411429E-2</v>
      </c>
      <c r="H19" s="770"/>
      <c r="J19" s="769"/>
      <c r="K19" s="764" t="s">
        <v>250</v>
      </c>
      <c r="L19" s="579" t="s">
        <v>251</v>
      </c>
      <c r="M19" s="6">
        <f>SUMIFS(Sheet1!$N$2:$N$180,Sheet1!$Q$2:$Q$180,$K$19,Sheet1!$P$2:$P$180,L19)</f>
        <v>423</v>
      </c>
      <c r="N19" s="6">
        <f>M19/Sheet1!$T$9*Sheet1!$T$10</f>
        <v>17.537414321585917</v>
      </c>
      <c r="O19" s="492">
        <f>M19/Sheet1!$T$9*Sheet1!$T$11</f>
        <v>9.5071361095521289E-3</v>
      </c>
      <c r="P19" s="774">
        <f>SUM(O19:O24)</f>
        <v>2.7465059872039486E-2</v>
      </c>
      <c r="Q19" s="770"/>
    </row>
    <row r="20" spans="1:18">
      <c r="A20" s="769"/>
      <c r="B20" s="773"/>
      <c r="C20" s="579" t="s">
        <v>14</v>
      </c>
      <c r="D20" s="6">
        <f>SUMIFS(Sheet1!$C$2:$C$180,Sheet1!$F$2:$F$180,B19,Sheet1!$E$2:$E$180,C20)</f>
        <v>506</v>
      </c>
      <c r="E20" s="6">
        <f>D20/Sheet1!$I$9*Sheet1!$I$10</f>
        <v>19.906346897590971</v>
      </c>
      <c r="F20" s="492">
        <f>D20/Sheet1!$I$9*Sheet1!$I$11</f>
        <v>1.0499539672309479E-2</v>
      </c>
      <c r="G20" s="775"/>
      <c r="H20" s="770"/>
      <c r="J20" s="769"/>
      <c r="K20" s="773"/>
      <c r="L20" s="579" t="s">
        <v>14</v>
      </c>
      <c r="M20" s="6">
        <f>SUMIFS(Sheet1!$N$2:$N$180,Sheet1!$Q$2:$Q$180,$K$19,Sheet1!$P$2:$P$180,L20)</f>
        <v>506</v>
      </c>
      <c r="N20" s="6">
        <f>M20/Sheet1!$T$9*Sheet1!$T$10</f>
        <v>20.978561812582683</v>
      </c>
      <c r="O20" s="492">
        <f>M20/Sheet1!$T$9*Sheet1!$T$11</f>
        <v>1.1372602532939428E-2</v>
      </c>
      <c r="P20" s="775"/>
      <c r="Q20" s="770"/>
    </row>
    <row r="21" spans="1:18">
      <c r="A21" s="769"/>
      <c r="B21" s="773"/>
      <c r="C21" s="579" t="s">
        <v>252</v>
      </c>
      <c r="D21" s="6">
        <f>SUMIFS(Sheet1!$C$2:$C$180,Sheet1!$F$2:$F$180,B19,Sheet1!$E$2:$E$180,C21)</f>
        <v>223</v>
      </c>
      <c r="E21" s="6">
        <f>D21/Sheet1!$I$9*Sheet1!$I$10</f>
        <v>8.7729552532861383</v>
      </c>
      <c r="F21" s="492">
        <f>D21/Sheet1!$I$9*Sheet1!$I$11</f>
        <v>4.6272674840415282E-3</v>
      </c>
      <c r="G21" s="775"/>
      <c r="H21" s="770"/>
      <c r="J21" s="769"/>
      <c r="K21" s="773"/>
      <c r="L21" s="579" t="s">
        <v>252</v>
      </c>
      <c r="M21" s="6">
        <f>SUMIFS(Sheet1!$N$2:$N$180,Sheet1!$Q$2:$Q$180,$K$19,Sheet1!$P$2:$P$180,L21)</f>
        <v>223</v>
      </c>
      <c r="N21" s="6">
        <f>M21/Sheet1!$T$9*Sheet1!$T$10</f>
        <v>9.2454926565334734</v>
      </c>
      <c r="O21" s="492">
        <f>M21/Sheet1!$T$9*Sheet1!$T$11</f>
        <v>5.0120362941610515E-3</v>
      </c>
      <c r="P21" s="775"/>
      <c r="Q21" s="770"/>
    </row>
    <row r="22" spans="1:18" ht="25.5">
      <c r="A22" s="769"/>
      <c r="B22" s="773"/>
      <c r="C22" s="579" t="s">
        <v>504</v>
      </c>
      <c r="D22" s="6">
        <f>SUMIFS(Sheet1!$C$2:$C$180,Sheet1!$F$2:$F$180,B19,Sheet1!$E$2:$E$180,C22)</f>
        <v>15</v>
      </c>
      <c r="E22" s="6">
        <f>D22/Sheet1!$I$9*Sheet1!$I$10</f>
        <v>0.59010909775467313</v>
      </c>
      <c r="F22" s="492">
        <f>D22/Sheet1!$I$9*Sheet1!$I$11</f>
        <v>3.1125117605660508E-4</v>
      </c>
      <c r="G22" s="775"/>
      <c r="H22" s="770"/>
      <c r="J22" s="769"/>
      <c r="K22" s="773"/>
      <c r="L22" s="579" t="s">
        <v>504</v>
      </c>
      <c r="M22" s="6">
        <f>SUMIFS(Sheet1!$N$2:$N$180,Sheet1!$Q$2:$Q$180,$K$19,Sheet1!$P$2:$P$180,L22)</f>
        <v>15</v>
      </c>
      <c r="N22" s="6">
        <f>M22/Sheet1!$T$9*Sheet1!$T$10</f>
        <v>0.62189412487893325</v>
      </c>
      <c r="O22" s="492">
        <f>M22/Sheet1!$T$9*Sheet1!$T$11</f>
        <v>3.3713248615433085E-4</v>
      </c>
      <c r="P22" s="775"/>
      <c r="Q22" s="770"/>
    </row>
    <row r="23" spans="1:18" ht="38.25">
      <c r="A23" s="769"/>
      <c r="B23" s="773"/>
      <c r="C23" s="579" t="s">
        <v>609</v>
      </c>
      <c r="D23" s="6">
        <f>SUMIFS(Sheet1!$C$2:$C$180,Sheet1!$F$2:$F$180,B19,Sheet1!$E$2:$E$180,C23)</f>
        <v>40</v>
      </c>
      <c r="E23" s="6">
        <f>D23/Sheet1!$I$9*Sheet1!$I$10</f>
        <v>1.5736242606791282</v>
      </c>
      <c r="F23" s="492">
        <f>D23/Sheet1!$I$9*Sheet1!$I$11</f>
        <v>8.3000313615094691E-4</v>
      </c>
      <c r="G23" s="775"/>
      <c r="H23" s="770"/>
      <c r="J23" s="769"/>
      <c r="K23" s="773"/>
      <c r="L23" s="579" t="s">
        <v>609</v>
      </c>
      <c r="M23" s="6">
        <f>SUMIFS(Sheet1!$N$2:$N$180,Sheet1!$Q$2:$Q$180,$K$19,Sheet1!$P$2:$P$180,L23)</f>
        <v>40</v>
      </c>
      <c r="N23" s="6">
        <f>M23/Sheet1!$T$9*Sheet1!$T$10</f>
        <v>1.6583843330104886</v>
      </c>
      <c r="O23" s="492">
        <f>M23/Sheet1!$T$9*Sheet1!$T$11</f>
        <v>8.9901996307821563E-4</v>
      </c>
      <c r="P23" s="775"/>
      <c r="Q23" s="770"/>
      <c r="R23" s="529"/>
    </row>
    <row r="24" spans="1:18">
      <c r="A24" s="769"/>
      <c r="B24" s="765"/>
      <c r="C24" t="s">
        <v>611</v>
      </c>
      <c r="D24" s="6">
        <f>SUMIFS(Sheet1!$C$2:$C$180,Sheet1!$F$2:$F$180,B19,Sheet1!$E$2:$E$180,C24)</f>
        <v>15</v>
      </c>
      <c r="E24" s="6">
        <f>D24/Sheet1!$I$9*Sheet1!$I$10</f>
        <v>0.59010909775467313</v>
      </c>
      <c r="F24" s="492">
        <f>D24/Sheet1!$I$9*Sheet1!$I$11</f>
        <v>3.1125117605660508E-4</v>
      </c>
      <c r="G24" s="776"/>
      <c r="H24" s="770"/>
      <c r="J24" s="769"/>
      <c r="K24" s="765"/>
      <c r="L24" t="s">
        <v>611</v>
      </c>
      <c r="M24" s="6">
        <f>SUMIFS(Sheet1!$N$2:$N$180,Sheet1!$Q$2:$Q$180,$K$19,Sheet1!$P$2:$P$180,L24)</f>
        <v>15</v>
      </c>
      <c r="N24" s="6">
        <f>M24/Sheet1!$T$9*Sheet1!$T$10</f>
        <v>0.62189412487893325</v>
      </c>
      <c r="O24" s="492">
        <f>M24/Sheet1!$T$9*Sheet1!$T$11</f>
        <v>3.3713248615433085E-4</v>
      </c>
      <c r="P24" s="776"/>
      <c r="Q24" s="770"/>
    </row>
    <row r="25" spans="1:18" ht="12.75" customHeight="1">
      <c r="A25" s="762" t="s">
        <v>253</v>
      </c>
      <c r="B25" s="771" t="s">
        <v>254</v>
      </c>
      <c r="C25" s="582" t="s">
        <v>449</v>
      </c>
      <c r="D25" s="6">
        <f>SUMIFS(Sheet1!$C$2:$C$180,Sheet1!$F$2:$F$180,B25,Sheet1!$E$2:$E$180,C25)</f>
        <v>50</v>
      </c>
      <c r="E25" s="6">
        <f>D25/Sheet1!$I$9*Sheet1!$I$10</f>
        <v>1.9670303258489101</v>
      </c>
      <c r="F25" s="492">
        <f>D25/Sheet1!$I$9*Sheet1!$I$11</f>
        <v>1.0375039201886837E-3</v>
      </c>
      <c r="G25" s="772">
        <f>SUM(F25:F31)</f>
        <v>1.2014295395784956E-2</v>
      </c>
      <c r="H25" s="770">
        <f>SUM(G25:G38)</f>
        <v>1.2948048923954772E-2</v>
      </c>
      <c r="J25" s="762" t="s">
        <v>253</v>
      </c>
      <c r="K25" s="771" t="s">
        <v>254</v>
      </c>
      <c r="L25" s="582" t="s">
        <v>449</v>
      </c>
      <c r="M25" s="6">
        <f>SUMIFS(Sheet1!$N$2:$N$180,Sheet1!$Q$2:$Q$180,$K$25,Sheet1!$P$2:$P$180,L25)</f>
        <v>50</v>
      </c>
      <c r="N25" s="6">
        <f>M25/Sheet1!$T$9*Sheet1!$T$10</f>
        <v>2.0729804162631109</v>
      </c>
      <c r="O25" s="492">
        <f>M25/Sheet1!$T$9*Sheet1!$T$11</f>
        <v>1.1237749538477696E-3</v>
      </c>
      <c r="P25" s="772">
        <f>SUM(O25:O31)</f>
        <v>1.3013313965557171E-2</v>
      </c>
      <c r="Q25" s="770">
        <f>SUM(P25:P38)</f>
        <v>1.4024711424020163E-2</v>
      </c>
    </row>
    <row r="26" spans="1:18" ht="12.75" customHeight="1">
      <c r="A26" s="762"/>
      <c r="B26" s="771"/>
      <c r="C26" s="582" t="s">
        <v>529</v>
      </c>
      <c r="D26" s="6">
        <f>SUMIFS(Sheet1!$C$2:$C$180,Sheet1!$F$2:$F$180,B25,Sheet1!$E$2:$E$180,C26)</f>
        <v>440</v>
      </c>
      <c r="E26" s="6">
        <f>D26/Sheet1!$I$9*Sheet1!$I$10</f>
        <v>17.309866867470411</v>
      </c>
      <c r="F26" s="492">
        <f>D26/Sheet1!$I$9*Sheet1!$I$11</f>
        <v>9.130034497660415E-3</v>
      </c>
      <c r="G26" s="772"/>
      <c r="H26" s="770"/>
      <c r="J26" s="762"/>
      <c r="K26" s="771"/>
      <c r="L26" s="582" t="s">
        <v>529</v>
      </c>
      <c r="M26" s="6">
        <f>SUMIFS(Sheet1!$N$2:$N$180,Sheet1!$Q$2:$Q$180,$K$25,Sheet1!$P$2:$P$180,L26)</f>
        <v>440</v>
      </c>
      <c r="N26" s="6">
        <f>M26/Sheet1!$T$9*Sheet1!$T$10</f>
        <v>18.242227663115376</v>
      </c>
      <c r="O26" s="492">
        <f>M26/Sheet1!$T$9*Sheet1!$T$11</f>
        <v>9.8892195938603718E-3</v>
      </c>
      <c r="P26" s="772"/>
      <c r="Q26" s="770"/>
    </row>
    <row r="27" spans="1:18" ht="12.75" customHeight="1">
      <c r="A27" s="762"/>
      <c r="B27" s="771"/>
      <c r="C27" s="553" t="s">
        <v>587</v>
      </c>
      <c r="D27" s="6">
        <f>SUMIFS(Sheet1!$C$2:$C$180,Sheet1!$F$2:$F$180,B25,Sheet1!$E$2:$E$180,C27)</f>
        <v>55</v>
      </c>
      <c r="E27" s="6">
        <f>D27/Sheet1!$I$9*Sheet1!$I$10</f>
        <v>2.1637333584338014</v>
      </c>
      <c r="F27" s="492">
        <f>D27/Sheet1!$I$9*Sheet1!$I$11</f>
        <v>1.1412543122075519E-3</v>
      </c>
      <c r="G27" s="772"/>
      <c r="H27" s="770"/>
      <c r="J27" s="762"/>
      <c r="K27" s="771"/>
      <c r="L27" s="553" t="s">
        <v>587</v>
      </c>
      <c r="M27" s="6">
        <f>SUMIFS(Sheet1!$N$2:$N$180,Sheet1!$Q$2:$Q$180,$K$25,Sheet1!$P$2:$P$180,L27)</f>
        <v>55</v>
      </c>
      <c r="N27" s="6">
        <f>M27/Sheet1!$T$9*Sheet1!$T$10</f>
        <v>2.280278457889422</v>
      </c>
      <c r="O27" s="492">
        <f>M27/Sheet1!$T$9*Sheet1!$T$11</f>
        <v>1.2361524492325465E-3</v>
      </c>
      <c r="P27" s="772"/>
      <c r="Q27" s="770"/>
    </row>
    <row r="28" spans="1:18" ht="12.75" customHeight="1">
      <c r="A28" s="762"/>
      <c r="B28" s="771"/>
      <c r="C28" s="578" t="s">
        <v>668</v>
      </c>
      <c r="D28" s="6">
        <f>SUMIFS(Sheet1!$C$2:$C$180,Sheet1!$F$2:$F$180,B25,Sheet1!$E$2:$E$180,C28)</f>
        <v>34</v>
      </c>
      <c r="E28" s="6">
        <f>D28/Sheet1!$I$9*Sheet1!$I$10</f>
        <v>1.337580621577259</v>
      </c>
      <c r="F28" s="492">
        <f>D28/Sheet1!$I$9*Sheet1!$I$11</f>
        <v>7.0550266572830484E-4</v>
      </c>
      <c r="G28" s="772"/>
      <c r="H28" s="770"/>
      <c r="J28" s="762"/>
      <c r="K28" s="771"/>
      <c r="L28" s="578" t="s">
        <v>668</v>
      </c>
      <c r="M28" s="6">
        <f>SUMIFS(Sheet1!$N$2:$N$180,Sheet1!$Q$2:$Q$180,$K$25,Sheet1!$P$2:$P$180,L28)</f>
        <v>34</v>
      </c>
      <c r="N28" s="6">
        <f>M28/Sheet1!$T$9*Sheet1!$T$10</f>
        <v>1.4096266830589155</v>
      </c>
      <c r="O28" s="492">
        <f>M28/Sheet1!$T$9*Sheet1!$T$11</f>
        <v>7.6416696861648329E-4</v>
      </c>
      <c r="P28" s="772"/>
      <c r="Q28" s="770"/>
    </row>
    <row r="29" spans="1:18" ht="12.75" customHeight="1">
      <c r="A29" s="762"/>
      <c r="B29" s="771"/>
      <c r="C29" s="579"/>
      <c r="D29" s="6">
        <f>SUMIFS(Sheet1!$C$2:$C$180,Sheet1!$F$2:$F$180,B25,Sheet1!$E$2:$E$180,C29)</f>
        <v>0</v>
      </c>
      <c r="E29" s="6">
        <f>D29/Sheet1!$I$9*Sheet1!$I$10</f>
        <v>0</v>
      </c>
      <c r="F29" s="492">
        <f>D29/Sheet1!$I$9*Sheet1!$I$11</f>
        <v>0</v>
      </c>
      <c r="G29" s="772"/>
      <c r="H29" s="770"/>
      <c r="J29" s="762"/>
      <c r="K29" s="771"/>
      <c r="L29" s="579"/>
      <c r="M29" s="6">
        <f>SUMIFS(Sheet1!$N$2:$N$180,Sheet1!$Q$2:$Q$180,$K$25,Sheet1!$P$2:$P$180,L29)</f>
        <v>0</v>
      </c>
      <c r="N29" s="6">
        <f>M29/Sheet1!$T$9*Sheet1!$T$10</f>
        <v>0</v>
      </c>
      <c r="O29" s="492">
        <f>M29/Sheet1!$T$9*Sheet1!$T$11</f>
        <v>0</v>
      </c>
      <c r="P29" s="772"/>
      <c r="Q29" s="770"/>
    </row>
    <row r="30" spans="1:18" ht="12.75" customHeight="1">
      <c r="A30" s="762"/>
      <c r="B30" s="771"/>
      <c r="C30" s="579"/>
      <c r="D30" s="6">
        <f>SUMIFS(Sheet1!$C$2:$C$180,Sheet1!$F$2:$F$180,B25,Sheet1!$E$2:$E$180,C30)</f>
        <v>0</v>
      </c>
      <c r="E30" s="6">
        <f>D30/Sheet1!$I$9*Sheet1!$I$10</f>
        <v>0</v>
      </c>
      <c r="F30" s="492">
        <f>D30/Sheet1!$I$9*Sheet1!$I$11</f>
        <v>0</v>
      </c>
      <c r="G30" s="772"/>
      <c r="H30" s="770"/>
      <c r="J30" s="762"/>
      <c r="K30" s="771"/>
      <c r="L30" s="579"/>
      <c r="M30" s="6">
        <f>SUMIFS(Sheet1!$N$2:$N$180,Sheet1!$Q$2:$Q$180,$K$25,Sheet1!$P$2:$P$180,L30)</f>
        <v>0</v>
      </c>
      <c r="N30" s="6">
        <f>M30/Sheet1!$T$9*Sheet1!$T$10</f>
        <v>0</v>
      </c>
      <c r="O30" s="492">
        <f>M30/Sheet1!$T$9*Sheet1!$T$11</f>
        <v>0</v>
      </c>
      <c r="P30" s="772"/>
      <c r="Q30" s="770"/>
    </row>
    <row r="31" spans="1:18" ht="12.75" customHeight="1">
      <c r="A31" s="762"/>
      <c r="B31" s="771"/>
      <c r="C31" s="579"/>
      <c r="D31" s="6">
        <f>SUMIFS(Sheet1!$C$2:$C$180,Sheet1!$F$2:$F$180,B25,Sheet1!$E$2:$E$180,C31)</f>
        <v>0</v>
      </c>
      <c r="E31" s="6">
        <f>D31/Sheet1!$I$9*Sheet1!$I$10</f>
        <v>0</v>
      </c>
      <c r="F31" s="492">
        <f>D31/Sheet1!$I$9*Sheet1!$I$11</f>
        <v>0</v>
      </c>
      <c r="G31" s="772"/>
      <c r="H31" s="770"/>
      <c r="J31" s="762"/>
      <c r="K31" s="771"/>
      <c r="L31" s="579"/>
      <c r="M31" s="6">
        <f>SUMIFS(Sheet1!$N$2:$N$180,Sheet1!$Q$2:$Q$180,$K$25,Sheet1!$P$2:$P$180,L31)</f>
        <v>0</v>
      </c>
      <c r="N31" s="6">
        <f>M31/Sheet1!$T$9*Sheet1!$T$10</f>
        <v>0</v>
      </c>
      <c r="O31" s="492">
        <f>M31/Sheet1!$T$9*Sheet1!$T$11</f>
        <v>0</v>
      </c>
      <c r="P31" s="772"/>
      <c r="Q31" s="770"/>
    </row>
    <row r="32" spans="1:18" ht="12.75" customHeight="1">
      <c r="A32" s="762"/>
      <c r="B32" s="764" t="s">
        <v>255</v>
      </c>
      <c r="D32" s="6">
        <f>SUMIFS(Sheet1!$C$2:$C$180,Sheet1!$F$2:$F$180,B32,Sheet1!$E$2:$E$180,C32)</f>
        <v>0</v>
      </c>
      <c r="E32" s="6">
        <f>D32/Sheet1!$I$9*Sheet1!$I$10</f>
        <v>0</v>
      </c>
      <c r="F32" s="492">
        <f>D32/Sheet1!$I$9*Sheet1!$I$11</f>
        <v>0</v>
      </c>
      <c r="G32" s="774">
        <f>SUM(F32:F33)</f>
        <v>0</v>
      </c>
      <c r="H32" s="770"/>
      <c r="J32" s="762"/>
      <c r="K32" s="764" t="s">
        <v>255</v>
      </c>
      <c r="M32" s="6">
        <f>SUMIFS(Sheet1!$N$2:$N$180,Sheet1!$Q$2:$Q$180,$K$32,Sheet1!$P$2:$P$180,L32)</f>
        <v>0</v>
      </c>
      <c r="N32" s="6">
        <f>M32/Sheet1!$T$9*Sheet1!$T$10</f>
        <v>0</v>
      </c>
      <c r="O32" s="492">
        <f>M32/Sheet1!$T$9*Sheet1!$T$11</f>
        <v>0</v>
      </c>
      <c r="P32" s="774">
        <f>SUM(O32:O33)</f>
        <v>0</v>
      </c>
      <c r="Q32" s="770"/>
    </row>
    <row r="33" spans="1:17" ht="12.75" customHeight="1">
      <c r="A33" s="762"/>
      <c r="B33" s="765"/>
      <c r="C33" s="579"/>
      <c r="D33" s="6">
        <f>SUMIFS(Sheet1!$C$2:$C$180,Sheet1!$F$2:$F$180,B32,Sheet1!$E$2:$E$180,C33)</f>
        <v>0</v>
      </c>
      <c r="E33" s="6">
        <f>D33/Sheet1!$I$9*Sheet1!$I$10</f>
        <v>0</v>
      </c>
      <c r="F33" s="492">
        <f>D33/Sheet1!$I$9*Sheet1!$I$11</f>
        <v>0</v>
      </c>
      <c r="G33" s="776"/>
      <c r="H33" s="770"/>
      <c r="J33" s="762"/>
      <c r="K33" s="765"/>
      <c r="L33" s="579"/>
      <c r="M33" s="6">
        <f>SUMIFS(Sheet1!$N$2:$N$180,Sheet1!$Q$2:$Q$180,$K$32,Sheet1!$P$2:$P$180,L33)</f>
        <v>0</v>
      </c>
      <c r="N33" s="6">
        <f>M33/Sheet1!$T$9*Sheet1!$T$10</f>
        <v>0</v>
      </c>
      <c r="O33" s="492">
        <f>M33/Sheet1!$T$9*Sheet1!$T$11</f>
        <v>0</v>
      </c>
      <c r="P33" s="776"/>
      <c r="Q33" s="770"/>
    </row>
    <row r="34" spans="1:17" ht="12.75" customHeight="1">
      <c r="A34" s="762"/>
      <c r="B34" s="771" t="s">
        <v>256</v>
      </c>
      <c r="C34" s="579" t="s">
        <v>588</v>
      </c>
      <c r="D34" s="6">
        <f>SUMIFS(Sheet1!$C$2:$C$180,Sheet1!$F$2:$F$180,B34,Sheet1!$E$2:$E$180,C34)</f>
        <v>45</v>
      </c>
      <c r="E34" s="6">
        <f>D34/Sheet1!$I$9*Sheet1!$I$10</f>
        <v>1.7703272932640193</v>
      </c>
      <c r="F34" s="492">
        <f>D34/Sheet1!$I$9*Sheet1!$I$11</f>
        <v>9.3375352816981523E-4</v>
      </c>
      <c r="G34" s="772">
        <f>SUM(F34:F36)</f>
        <v>9.3375352816981523E-4</v>
      </c>
      <c r="H34" s="770"/>
      <c r="J34" s="762"/>
      <c r="K34" s="771" t="s">
        <v>256</v>
      </c>
      <c r="L34" s="579" t="s">
        <v>588</v>
      </c>
      <c r="M34" s="6">
        <f>SUMIFS(Sheet1!$N$2:$N$180,Sheet1!$Q$2:$Q$180,$K$34,Sheet1!$P$2:$P$180,L34)</f>
        <v>45</v>
      </c>
      <c r="N34" s="6">
        <f>M34/Sheet1!$T$9*Sheet1!$T$10</f>
        <v>1.8656823746367999</v>
      </c>
      <c r="O34" s="492">
        <f>M34/Sheet1!$T$9*Sheet1!$T$11</f>
        <v>1.0113974584629924E-3</v>
      </c>
      <c r="P34" s="772">
        <f>SUM(O34:O36)</f>
        <v>1.0113974584629924E-3</v>
      </c>
      <c r="Q34" s="770"/>
    </row>
    <row r="35" spans="1:17" ht="12.75" customHeight="1">
      <c r="A35" s="762"/>
      <c r="B35" s="771"/>
      <c r="C35" s="579"/>
      <c r="D35" s="6">
        <f>SUMIFS(Sheet1!$C$2:$C$180,Sheet1!$F$2:$F$180,B34,Sheet1!$E$2:$E$180,C35)</f>
        <v>0</v>
      </c>
      <c r="E35" s="6">
        <f>D35/Sheet1!$I$9*Sheet1!$I$10</f>
        <v>0</v>
      </c>
      <c r="F35" s="492">
        <f>D35/Sheet1!$I$9*Sheet1!$I$11</f>
        <v>0</v>
      </c>
      <c r="G35" s="772"/>
      <c r="H35" s="770"/>
      <c r="J35" s="762"/>
      <c r="K35" s="771"/>
      <c r="L35" s="579"/>
      <c r="M35" s="6">
        <f>SUMIFS(Sheet1!$N$2:$N$180,Sheet1!$Q$2:$Q$180,$K$34,Sheet1!$P$2:$P$180,L35)</f>
        <v>0</v>
      </c>
      <c r="N35" s="6">
        <f>M35/Sheet1!$T$9*Sheet1!$T$10</f>
        <v>0</v>
      </c>
      <c r="O35" s="492">
        <f>M35/Sheet1!$T$9*Sheet1!$T$11</f>
        <v>0</v>
      </c>
      <c r="P35" s="772"/>
      <c r="Q35" s="770"/>
    </row>
    <row r="36" spans="1:17" ht="12.75" customHeight="1">
      <c r="A36" s="762"/>
      <c r="B36" s="771"/>
      <c r="C36" s="579"/>
      <c r="D36" s="6">
        <f>SUMIFS(Sheet1!$C$2:$C$180,Sheet1!$F$2:$F$180,B34,Sheet1!$E$2:$E$180,C36)</f>
        <v>0</v>
      </c>
      <c r="E36" s="6">
        <f>D36/Sheet1!$I$9*Sheet1!$I$10</f>
        <v>0</v>
      </c>
      <c r="F36" s="492">
        <f>D36/Sheet1!$I$9*Sheet1!$I$11</f>
        <v>0</v>
      </c>
      <c r="G36" s="772"/>
      <c r="H36" s="770"/>
      <c r="J36" s="762"/>
      <c r="K36" s="771"/>
      <c r="L36" s="579"/>
      <c r="M36" s="6">
        <f>SUMIFS(Sheet1!$N$2:$N$180,Sheet1!$Q$2:$Q$180,$K$34,Sheet1!$P$2:$P$180,L36)</f>
        <v>0</v>
      </c>
      <c r="N36" s="6">
        <f>M36/Sheet1!$T$9*Sheet1!$T$10</f>
        <v>0</v>
      </c>
      <c r="O36" s="492">
        <f>M36/Sheet1!$T$9*Sheet1!$T$11</f>
        <v>0</v>
      </c>
      <c r="P36" s="772"/>
      <c r="Q36" s="770"/>
    </row>
    <row r="37" spans="1:17" ht="12.75" customHeight="1">
      <c r="A37" s="762"/>
      <c r="B37" s="764" t="s">
        <v>257</v>
      </c>
      <c r="C37" s="579"/>
      <c r="D37" s="6">
        <f>SUMIFS(Sheet1!$C$2:$C$180,Sheet1!$F$2:$F$180,B37,Sheet1!$E$2:$E$180,C37)</f>
        <v>0</v>
      </c>
      <c r="E37" s="6">
        <f>D37/Sheet1!$I$9*Sheet1!$I$10</f>
        <v>0</v>
      </c>
      <c r="F37" s="492">
        <f>D37/Sheet1!$I$9*Sheet1!$I$11</f>
        <v>0</v>
      </c>
      <c r="G37" s="774">
        <f>SUM(F37:F38)</f>
        <v>0</v>
      </c>
      <c r="H37" s="770"/>
      <c r="J37" s="762"/>
      <c r="K37" s="764" t="s">
        <v>257</v>
      </c>
      <c r="L37" s="579"/>
      <c r="M37" s="6">
        <f>SUMIFS(Sheet1!$N$2:$N$180,Sheet1!$Q$2:$Q$180,$K$37,Sheet1!$P$2:$P$180,L37)</f>
        <v>0</v>
      </c>
      <c r="N37" s="6">
        <f>M37/Sheet1!$T$9*Sheet1!$T$10</f>
        <v>0</v>
      </c>
      <c r="O37" s="492">
        <f>M37/Sheet1!$T$9*Sheet1!$T$11</f>
        <v>0</v>
      </c>
      <c r="P37" s="774">
        <f>SUM(O37:O38)</f>
        <v>0</v>
      </c>
      <c r="Q37" s="770"/>
    </row>
    <row r="38" spans="1:17" ht="12.75" customHeight="1">
      <c r="A38" s="762"/>
      <c r="B38" s="765"/>
      <c r="C38" s="579"/>
      <c r="D38" s="6">
        <f>SUMIFS(Sheet1!$C$2:$C$180,Sheet1!$F$2:$F$180,B37,Sheet1!$E$2:$E$180,C38)</f>
        <v>0</v>
      </c>
      <c r="E38" s="6">
        <f>D38/Sheet1!$I$9*Sheet1!$I$10</f>
        <v>0</v>
      </c>
      <c r="F38" s="492">
        <f>D38/Sheet1!$I$9*Sheet1!$I$11</f>
        <v>0</v>
      </c>
      <c r="G38" s="776"/>
      <c r="H38" s="770"/>
      <c r="J38" s="762"/>
      <c r="K38" s="765"/>
      <c r="L38" s="579"/>
      <c r="M38" s="6">
        <f>SUMIFS(Sheet1!$N$2:$N$180,Sheet1!$Q$2:$Q$180,$K$37,Sheet1!$P$2:$P$180,L38)</f>
        <v>0</v>
      </c>
      <c r="N38" s="6">
        <f>M38/Sheet1!$T$9*Sheet1!$T$10</f>
        <v>0</v>
      </c>
      <c r="O38" s="492">
        <f>M38/Sheet1!$T$9*Sheet1!$T$11</f>
        <v>0</v>
      </c>
      <c r="P38" s="776"/>
      <c r="Q38" s="770"/>
    </row>
    <row r="39" spans="1:17" ht="12.75" customHeight="1">
      <c r="A39" s="762" t="s">
        <v>386</v>
      </c>
      <c r="B39" s="764" t="s">
        <v>258</v>
      </c>
      <c r="C39" s="579"/>
      <c r="D39" s="6">
        <f>SUMIFS(Sheet1!$C$2:$C$180,Sheet1!$F$2:$F$180,B39,Sheet1!$E$2:$E$180,C39)</f>
        <v>0</v>
      </c>
      <c r="E39" s="6">
        <f>D39/Sheet1!$I$9*Sheet1!$I$10</f>
        <v>0</v>
      </c>
      <c r="F39" s="492">
        <f>D39/Sheet1!$I$9*Sheet1!$I$11</f>
        <v>0</v>
      </c>
      <c r="G39" s="774">
        <f>SUM(F39:F40)</f>
        <v>0</v>
      </c>
      <c r="H39" s="778">
        <f>SUM(G39:G40)</f>
        <v>0</v>
      </c>
      <c r="J39" s="762" t="s">
        <v>386</v>
      </c>
      <c r="K39" s="764" t="s">
        <v>258</v>
      </c>
      <c r="L39" s="579"/>
      <c r="M39" s="6">
        <f>SUMIFS(Sheet1!$N$2:$N$180,Sheet1!$Q$2:$Q$180,K39,Sheet1!$P$2:$P$180,L39)</f>
        <v>0</v>
      </c>
      <c r="N39" s="6">
        <f>M39/Sheet1!$T$9*Sheet1!$T$10</f>
        <v>0</v>
      </c>
      <c r="O39" s="492">
        <f>M39/Sheet1!$T$9*Sheet1!$T$11</f>
        <v>0</v>
      </c>
      <c r="P39" s="774">
        <f>SUM(O39:O40)</f>
        <v>0</v>
      </c>
      <c r="Q39" s="778">
        <f>SUM(P39:P40)</f>
        <v>0</v>
      </c>
    </row>
    <row r="40" spans="1:17" ht="12.75" customHeight="1">
      <c r="A40" s="762"/>
      <c r="B40" s="765"/>
      <c r="C40" s="582"/>
      <c r="D40" s="6">
        <f>SUMIFS(Sheet1!$C$2:$C$180,Sheet1!$F$2:$F$180,B39,Sheet1!$E$2:$E$180,C40)</f>
        <v>0</v>
      </c>
      <c r="E40" s="6">
        <f>D40/Sheet1!$I$9*Sheet1!$I$10</f>
        <v>0</v>
      </c>
      <c r="F40" s="492">
        <f>D40/Sheet1!$I$9*Sheet1!$I$11</f>
        <v>0</v>
      </c>
      <c r="G40" s="776"/>
      <c r="H40" s="779"/>
      <c r="J40" s="762"/>
      <c r="K40" s="765"/>
      <c r="L40" s="582"/>
      <c r="M40" s="6">
        <f>SUMIFS(Sheet1!$N$2:$N$180,Sheet1!$Q$2:$Q$180,K39,Sheet1!$P$2:$P$180,L40)</f>
        <v>0</v>
      </c>
      <c r="N40" s="6">
        <f>M40/Sheet1!$T$9*Sheet1!$T$10</f>
        <v>0</v>
      </c>
      <c r="O40" s="492">
        <f>M40/Sheet1!$T$9*Sheet1!$T$11</f>
        <v>0</v>
      </c>
      <c r="P40" s="776"/>
      <c r="Q40" s="779"/>
    </row>
    <row r="41" spans="1:17" ht="15">
      <c r="A41" s="583"/>
      <c r="B41" s="777" t="s">
        <v>3</v>
      </c>
      <c r="C41" s="777"/>
      <c r="D41" s="353">
        <f>SUM(D4:D40)</f>
        <v>3315</v>
      </c>
      <c r="E41" s="353">
        <f>SUM(E4:E40)</f>
        <v>214.88468044579571</v>
      </c>
      <c r="F41" s="490">
        <f>SUM(F4:F40)</f>
        <v>0.1133402446425374</v>
      </c>
      <c r="G41" s="490">
        <f>SUM(G4:G40)</f>
        <v>0.11334024464253742</v>
      </c>
      <c r="H41" s="490">
        <f>SUM(H4:H40)</f>
        <v>0.11334024464253745</v>
      </c>
      <c r="J41" s="583"/>
      <c r="K41" s="777" t="s">
        <v>3</v>
      </c>
      <c r="L41" s="777"/>
      <c r="M41" s="353">
        <f>SUM(M4:M40)</f>
        <v>1909</v>
      </c>
      <c r="N41" s="353">
        <f>SUM(N4:N40)</f>
        <v>163.61696213493857</v>
      </c>
      <c r="O41" s="490">
        <f>SUM(O4:O40)</f>
        <v>8.8697723639549073E-2</v>
      </c>
      <c r="P41" s="490">
        <f>SUM(P4:P40)</f>
        <v>8.8697723639549073E-2</v>
      </c>
      <c r="Q41" s="490">
        <f>SUM(Q4:Q40)</f>
        <v>8.8697723639549073E-2</v>
      </c>
    </row>
    <row r="42" spans="1:17" ht="15">
      <c r="A42" s="583"/>
      <c r="B42" s="777" t="s">
        <v>2</v>
      </c>
      <c r="C42" s="777"/>
      <c r="D42" s="777"/>
      <c r="E42" s="777"/>
      <c r="F42" s="584">
        <f>+Efficiency1!X153</f>
        <v>0.88665975535746244</v>
      </c>
      <c r="G42" s="584">
        <f>+F42</f>
        <v>0.88665975535746244</v>
      </c>
      <c r="H42" s="584">
        <f>+G42</f>
        <v>0.88665975535746244</v>
      </c>
      <c r="J42" s="583"/>
      <c r="K42" s="777" t="s">
        <v>2</v>
      </c>
      <c r="L42" s="777"/>
      <c r="M42" s="777"/>
      <c r="N42" s="777"/>
      <c r="O42" s="584">
        <f>+Efficiency2!X153</f>
        <v>0.9113022763604508</v>
      </c>
      <c r="P42" s="584">
        <f>+O42</f>
        <v>0.9113022763604508</v>
      </c>
      <c r="Q42" s="584">
        <f>+P42</f>
        <v>0.9113022763604508</v>
      </c>
    </row>
    <row r="43" spans="1:17" ht="15">
      <c r="A43" s="583"/>
      <c r="B43" s="777" t="s">
        <v>60</v>
      </c>
      <c r="C43" s="777"/>
      <c r="D43" s="777"/>
      <c r="E43" s="777"/>
      <c r="F43" s="493">
        <f>SUM(F41:F42)</f>
        <v>0.99999999999999989</v>
      </c>
      <c r="G43" s="493">
        <f>SUM(G41:G42)</f>
        <v>0.99999999999999989</v>
      </c>
      <c r="H43" s="576">
        <f>SUM(H41:H42)</f>
        <v>0.99999999999999989</v>
      </c>
      <c r="J43" s="583"/>
      <c r="K43" s="777" t="s">
        <v>60</v>
      </c>
      <c r="L43" s="777"/>
      <c r="M43" s="777"/>
      <c r="N43" s="777"/>
      <c r="O43" s="493">
        <f>SUM(O41:O42)</f>
        <v>0.99999999999999989</v>
      </c>
      <c r="P43" s="493">
        <f>SUM(P41:P42)</f>
        <v>0.99999999999999989</v>
      </c>
      <c r="Q43" s="576">
        <f>SUM(Q41:Q42)</f>
        <v>0.99999999999999989</v>
      </c>
    </row>
  </sheetData>
  <mergeCells count="66">
    <mergeCell ref="Q39:Q40"/>
    <mergeCell ref="B41:C41"/>
    <mergeCell ref="K41:L41"/>
    <mergeCell ref="B42:E42"/>
    <mergeCell ref="K42:N42"/>
    <mergeCell ref="J39:J40"/>
    <mergeCell ref="B43:E43"/>
    <mergeCell ref="K43:N43"/>
    <mergeCell ref="P37:P38"/>
    <mergeCell ref="B39:B40"/>
    <mergeCell ref="G39:G40"/>
    <mergeCell ref="H39:H40"/>
    <mergeCell ref="K39:K40"/>
    <mergeCell ref="P39:P40"/>
    <mergeCell ref="J25:J38"/>
    <mergeCell ref="P25:P31"/>
    <mergeCell ref="Q25:Q38"/>
    <mergeCell ref="B32:B33"/>
    <mergeCell ref="G32:G33"/>
    <mergeCell ref="K32:K33"/>
    <mergeCell ref="P32:P33"/>
    <mergeCell ref="B34:B36"/>
    <mergeCell ref="G34:G36"/>
    <mergeCell ref="K34:K36"/>
    <mergeCell ref="P34:P36"/>
    <mergeCell ref="K25:K31"/>
    <mergeCell ref="K37:K38"/>
    <mergeCell ref="B25:B31"/>
    <mergeCell ref="G25:G31"/>
    <mergeCell ref="H25:H38"/>
    <mergeCell ref="B37:B38"/>
    <mergeCell ref="G37:G38"/>
    <mergeCell ref="A25:A38"/>
    <mergeCell ref="A39:A40"/>
    <mergeCell ref="A12:A13"/>
    <mergeCell ref="H12:H13"/>
    <mergeCell ref="J12:J13"/>
    <mergeCell ref="Q12:Q13"/>
    <mergeCell ref="A14:A24"/>
    <mergeCell ref="H14:H24"/>
    <mergeCell ref="J14:J24"/>
    <mergeCell ref="Q14:Q24"/>
    <mergeCell ref="B16:B17"/>
    <mergeCell ref="G16:G17"/>
    <mergeCell ref="K16:K17"/>
    <mergeCell ref="P16:P17"/>
    <mergeCell ref="B19:B24"/>
    <mergeCell ref="G19:G24"/>
    <mergeCell ref="K19:K24"/>
    <mergeCell ref="P19:P24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22 D24:D40">
    <cfRule type="cellIs" dxfId="11" priority="11" operator="between">
      <formula>180</formula>
      <formula>360</formula>
    </cfRule>
    <cfRule type="cellIs" dxfId="10" priority="12" operator="greaterThan">
      <formula>360</formula>
    </cfRule>
  </conditionalFormatting>
  <conditionalFormatting sqref="M5:M22 M24:M40">
    <cfRule type="cellIs" dxfId="9" priority="9" operator="between">
      <formula>180</formula>
      <formula>360</formula>
    </cfRule>
    <cfRule type="cellIs" dxfId="8" priority="10" operator="greaterThan">
      <formula>360</formula>
    </cfRule>
  </conditionalFormatting>
  <conditionalFormatting sqref="M4:M22 M24:M40">
    <cfRule type="cellIs" dxfId="7" priority="7" operator="between">
      <formula>180</formula>
      <formula>360</formula>
    </cfRule>
    <cfRule type="cellIs" dxfId="6" priority="8" operator="greaterThan">
      <formula>360</formula>
    </cfRule>
  </conditionalFormatting>
  <conditionalFormatting sqref="M23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23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D23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1496062992125984" right="0.31496062992125984" top="0.3543307086614173" bottom="0.3543307086614173" header="0.31496062992125984" footer="0.31496062992125984"/>
  <pageSetup paperSize="9" scale="3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R61"/>
  <sheetViews>
    <sheetView topLeftCell="A7" zoomScale="80" zoomScaleNormal="80" workbookViewId="0">
      <selection activeCell="N27" sqref="N27:O2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28515625" style="152" customWidth="1"/>
    <col min="11" max="11" width="12.5703125" style="152" bestFit="1" customWidth="1"/>
    <col min="12" max="12" width="8.28515625" style="152" customWidth="1"/>
    <col min="13" max="13" width="15.14062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31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362+334+347</f>
        <v>1043</v>
      </c>
    </row>
    <row r="7" spans="1:18" ht="13.5" customHeight="1" thickBot="1">
      <c r="A7" s="781" t="s">
        <v>607</v>
      </c>
      <c r="B7" s="218" t="s">
        <v>698</v>
      </c>
      <c r="C7" s="219">
        <f>13205+11614</f>
        <v>24819</v>
      </c>
      <c r="D7" s="220"/>
      <c r="E7" s="221"/>
      <c r="F7" s="231"/>
      <c r="G7" s="232" t="s">
        <v>13</v>
      </c>
      <c r="H7" s="233" t="s">
        <v>391</v>
      </c>
      <c r="I7" s="784" t="s">
        <v>699</v>
      </c>
      <c r="J7" s="217" t="str">
        <f>+'30'!J7</f>
        <v>TW 38 RC BR</v>
      </c>
      <c r="K7" s="241"/>
      <c r="L7" s="245"/>
      <c r="M7" s="120">
        <f>+L7+'30'!M7+K7</f>
        <v>53722</v>
      </c>
    </row>
    <row r="8" spans="1:18" ht="13.5" thickBot="1">
      <c r="A8" s="782"/>
      <c r="B8" s="218"/>
      <c r="C8" s="219"/>
      <c r="D8" s="220"/>
      <c r="E8" s="222"/>
      <c r="F8" s="234">
        <v>4</v>
      </c>
      <c r="G8" s="235" t="s">
        <v>13</v>
      </c>
      <c r="H8" s="233" t="s">
        <v>389</v>
      </c>
      <c r="I8" s="785"/>
      <c r="J8" s="217" t="str">
        <f>+'30'!J8</f>
        <v>TW 36 RC BR</v>
      </c>
      <c r="K8" s="242"/>
      <c r="L8" s="242"/>
      <c r="M8" s="120">
        <f>+L8+'30'!M8+K8</f>
        <v>45750</v>
      </c>
      <c r="N8" s="152">
        <v>480</v>
      </c>
      <c r="O8" s="152">
        <f>+N8-N8*0.12</f>
        <v>422.4</v>
      </c>
      <c r="P8" s="152">
        <v>40</v>
      </c>
      <c r="Q8" s="152">
        <f>+N8*P8</f>
        <v>19200</v>
      </c>
      <c r="R8" s="152">
        <f>+O8*P8</f>
        <v>16896</v>
      </c>
    </row>
    <row r="9" spans="1:18" ht="13.5" thickBot="1">
      <c r="A9" s="782"/>
      <c r="B9" s="218"/>
      <c r="C9" s="219"/>
      <c r="D9" s="220"/>
      <c r="E9" s="223"/>
      <c r="F9" s="231">
        <v>4</v>
      </c>
      <c r="G9" s="235" t="s">
        <v>13</v>
      </c>
      <c r="H9" s="236" t="s">
        <v>226</v>
      </c>
      <c r="I9" s="785"/>
      <c r="J9" s="217" t="str">
        <f>+'30'!J9</f>
        <v>TW 34 RC BR</v>
      </c>
      <c r="K9" s="242"/>
      <c r="L9" s="242"/>
      <c r="M9" s="120">
        <f>+L9+'30'!M9+K9</f>
        <v>19926</v>
      </c>
      <c r="N9" s="152">
        <v>500</v>
      </c>
      <c r="O9" s="152">
        <f>+N9-N9*0.12</f>
        <v>440</v>
      </c>
      <c r="P9" s="152">
        <f>440+480+150</f>
        <v>1070</v>
      </c>
      <c r="Q9" s="152">
        <f>+N9*P9</f>
        <v>535000</v>
      </c>
      <c r="R9" s="152">
        <f>+O9*P9</f>
        <v>470800</v>
      </c>
    </row>
    <row r="10" spans="1:18" ht="13.5" thickBot="1">
      <c r="A10" s="782"/>
      <c r="B10" s="218"/>
      <c r="C10" s="219"/>
      <c r="D10" s="220"/>
      <c r="E10" s="222"/>
      <c r="F10" s="231"/>
      <c r="G10" s="235"/>
      <c r="H10" s="236" t="s">
        <v>688</v>
      </c>
      <c r="I10" s="785"/>
      <c r="J10" s="217" t="str">
        <f>+'30'!J10</f>
        <v>TW 30 RC BR</v>
      </c>
      <c r="K10" s="242"/>
      <c r="L10" s="242"/>
      <c r="M10" s="120">
        <f>+L10+'30'!M10+K10</f>
        <v>11017</v>
      </c>
      <c r="P10" s="152">
        <f>SUM(P8:P9)</f>
        <v>1110</v>
      </c>
      <c r="Q10" s="152">
        <f t="shared" ref="Q10:R10" si="0">SUM(Q8:Q9)</f>
        <v>554200</v>
      </c>
      <c r="R10" s="152">
        <f t="shared" si="0"/>
        <v>487696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689</v>
      </c>
      <c r="I11" s="785"/>
      <c r="J11" s="217" t="str">
        <f>+'30'!J11</f>
        <v>TW 20 RC BR</v>
      </c>
      <c r="K11" s="242"/>
      <c r="L11" s="242"/>
      <c r="M11" s="120">
        <f>+L11+'30'!M11+K11</f>
        <v>13885</v>
      </c>
      <c r="Q11" s="152">
        <f>+Q10/P10</f>
        <v>499.27927927927925</v>
      </c>
      <c r="R11" s="152">
        <f>+R10/P10</f>
        <v>439.36576576576579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+'30'!J12</f>
        <v>N 20 RC BR</v>
      </c>
      <c r="K12" s="242"/>
      <c r="L12" s="242"/>
      <c r="M12" s="120">
        <f>+L12+'30'!M12+K12</f>
        <v>16183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+'30'!J13</f>
        <v>N 17,5 RC BR</v>
      </c>
      <c r="K13" s="242"/>
      <c r="L13" s="242"/>
      <c r="M13" s="120">
        <f>+L13+'30'!M13+K13</f>
        <v>61888</v>
      </c>
    </row>
    <row r="14" spans="1:18" ht="13.5" thickBot="1">
      <c r="A14" s="783"/>
      <c r="B14" s="168" t="s">
        <v>3</v>
      </c>
      <c r="C14" s="102">
        <f>SUM(C7:C13)</f>
        <v>24819</v>
      </c>
      <c r="D14" s="114">
        <f>SUM(D7:D13)</f>
        <v>0</v>
      </c>
      <c r="E14" s="115">
        <f>SUM(E5:E13)</f>
        <v>0</v>
      </c>
      <c r="F14" s="119">
        <f>SUM(F7:F13)</f>
        <v>8</v>
      </c>
      <c r="G14" s="162"/>
      <c r="H14" s="169"/>
      <c r="I14" s="170"/>
      <c r="J14" s="217" t="str">
        <f>+'30'!J14</f>
        <v>N 16 RC BR</v>
      </c>
      <c r="K14" s="242"/>
      <c r="L14" s="242"/>
      <c r="M14" s="120">
        <f>+L14+'30'!M14+K14</f>
        <v>24358</v>
      </c>
    </row>
    <row r="15" spans="1:18" ht="13.5" customHeight="1" thickBot="1">
      <c r="A15" s="781" t="s">
        <v>607</v>
      </c>
      <c r="B15" s="168"/>
      <c r="C15" s="116">
        <f>C14/($C$23+$D$23+$E$23)</f>
        <v>0.98578067283631887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673</v>
      </c>
      <c r="J15" s="217" t="str">
        <f>+'30'!J15</f>
        <v>N 15,5 RC BR</v>
      </c>
      <c r="K15" s="242"/>
      <c r="L15" s="242"/>
      <c r="M15" s="120">
        <f>+L15+'30'!M15+K15</f>
        <v>0</v>
      </c>
    </row>
    <row r="16" spans="1:18" ht="13.5" thickBot="1">
      <c r="A16" s="787"/>
      <c r="B16" s="224" t="s">
        <v>698</v>
      </c>
      <c r="C16" s="225">
        <f>13408+11769</f>
        <v>25177</v>
      </c>
      <c r="D16" s="226"/>
      <c r="E16" s="227"/>
      <c r="F16" s="231"/>
      <c r="G16" s="235" t="s">
        <v>13</v>
      </c>
      <c r="H16" s="233" t="s">
        <v>486</v>
      </c>
      <c r="I16" s="785"/>
      <c r="J16" s="217" t="str">
        <f>+'30'!J16</f>
        <v>N 17 VP OW</v>
      </c>
      <c r="K16" s="232"/>
      <c r="L16" s="232"/>
      <c r="M16" s="120">
        <f>+L16+'30'!M16+K16</f>
        <v>62993</v>
      </c>
    </row>
    <row r="17" spans="1:18" ht="13.5" thickBot="1">
      <c r="A17" s="787"/>
      <c r="B17" s="218"/>
      <c r="C17" s="219"/>
      <c r="D17" s="220"/>
      <c r="E17" s="228"/>
      <c r="F17" s="231">
        <v>5</v>
      </c>
      <c r="G17" s="235" t="s">
        <v>13</v>
      </c>
      <c r="H17" s="236" t="s">
        <v>226</v>
      </c>
      <c r="I17" s="785"/>
      <c r="J17" s="217" t="str">
        <f>+'30'!J17</f>
        <v>N 16 VP OW</v>
      </c>
      <c r="K17" s="232"/>
      <c r="L17" s="232"/>
      <c r="M17" s="120">
        <f>+L17+'30'!M17+K17</f>
        <v>263057</v>
      </c>
    </row>
    <row r="18" spans="1:18" ht="13.5" thickBot="1">
      <c r="A18" s="787"/>
      <c r="B18" s="218"/>
      <c r="C18" s="219"/>
      <c r="D18" s="220"/>
      <c r="E18" s="228"/>
      <c r="F18" s="231"/>
      <c r="G18" s="235"/>
      <c r="H18" s="236" t="s">
        <v>690</v>
      </c>
      <c r="I18" s="785"/>
      <c r="J18" s="217" t="str">
        <f>+'30'!J18</f>
        <v>N 19 VP OW</v>
      </c>
      <c r="K18" s="242"/>
      <c r="L18" s="242"/>
      <c r="M18" s="120">
        <f>+L18+'30'!M18+K18</f>
        <v>24049</v>
      </c>
    </row>
    <row r="19" spans="1:18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+'30'!J19</f>
        <v>N 25 VP OW</v>
      </c>
      <c r="K19" s="242"/>
      <c r="L19" s="242"/>
      <c r="M19" s="120">
        <f>+L19+'30'!M19+K19</f>
        <v>114797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+'30'!J20</f>
        <v>N 23 VP OW</v>
      </c>
      <c r="K20" s="243"/>
      <c r="L20" s="243"/>
      <c r="M20" s="120">
        <f>+L20+'30'!M20+K20</f>
        <v>9760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+'30'!J21</f>
        <v>TW 23 VP OW</v>
      </c>
      <c r="K21" s="242"/>
      <c r="L21" s="242"/>
      <c r="M21" s="120">
        <f>+L21+'30'!M21+K21</f>
        <v>162640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+'30'!J22</f>
        <v>TW 17 VP OW</v>
      </c>
      <c r="K22" s="242"/>
      <c r="L22" s="242"/>
      <c r="M22" s="120">
        <f>+L22+'30'!M22+K22</f>
        <v>232569</v>
      </c>
    </row>
    <row r="23" spans="1:18" ht="13.5" thickBot="1">
      <c r="A23" s="788"/>
      <c r="B23" s="171" t="s">
        <v>3</v>
      </c>
      <c r="C23" s="103">
        <f>SUM(C16:C22)</f>
        <v>25177</v>
      </c>
      <c r="D23" s="114">
        <f>SUM(D16:D22)</f>
        <v>0</v>
      </c>
      <c r="E23" s="115">
        <f>SUM(E18:E22)</f>
        <v>0</v>
      </c>
      <c r="F23" s="119">
        <f>SUM(F15:F22)</f>
        <v>5</v>
      </c>
      <c r="G23" s="162"/>
      <c r="H23" s="169"/>
      <c r="I23" s="172"/>
      <c r="J23" s="217" t="str">
        <f>+'30'!J23</f>
        <v>TW 16 VP OW</v>
      </c>
      <c r="K23" s="242"/>
      <c r="L23" s="242"/>
      <c r="M23" s="120">
        <f>+L23+'30'!M23+K23</f>
        <v>130611</v>
      </c>
    </row>
    <row r="24" spans="1:18" ht="13.5" customHeight="1" thickBot="1">
      <c r="A24" s="781" t="s">
        <v>409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9"/>
      <c r="G24" s="232" t="s">
        <v>13</v>
      </c>
      <c r="H24" s="233" t="s">
        <v>391</v>
      </c>
      <c r="I24" s="784" t="s">
        <v>700</v>
      </c>
      <c r="J24" s="217" t="str">
        <f>+'30'!J24</f>
        <v>N 18 VP OW</v>
      </c>
      <c r="K24" s="242"/>
      <c r="L24" s="242"/>
      <c r="M24" s="120">
        <f>+L24+'30'!M24+K24</f>
        <v>108513</v>
      </c>
    </row>
    <row r="25" spans="1:18" ht="13.5" thickBot="1">
      <c r="A25" s="789"/>
      <c r="B25" s="224" t="s">
        <v>698</v>
      </c>
      <c r="C25" s="229">
        <f>6420+5650</f>
        <v>12070</v>
      </c>
      <c r="D25" s="220"/>
      <c r="E25" s="228"/>
      <c r="F25" s="234"/>
      <c r="G25" s="235" t="s">
        <v>13</v>
      </c>
      <c r="H25" s="233" t="s">
        <v>486</v>
      </c>
      <c r="I25" s="785"/>
      <c r="J25" s="217" t="str">
        <f>+'30'!J25</f>
        <v>N 20 RC HW</v>
      </c>
      <c r="K25" s="242"/>
      <c r="L25" s="242"/>
      <c r="M25" s="120">
        <f>+L25+'30'!M25+K25</f>
        <v>74205</v>
      </c>
    </row>
    <row r="26" spans="1:18" ht="13.5" thickBot="1">
      <c r="A26" s="789"/>
      <c r="B26" s="218" t="s">
        <v>702</v>
      </c>
      <c r="C26" s="229">
        <f>5657</f>
        <v>5657</v>
      </c>
      <c r="D26" s="220"/>
      <c r="E26" s="230"/>
      <c r="F26" s="234">
        <v>5</v>
      </c>
      <c r="G26" s="235" t="s">
        <v>13</v>
      </c>
      <c r="H26" s="236" t="s">
        <v>226</v>
      </c>
      <c r="I26" s="785"/>
      <c r="J26" s="217" t="str">
        <f>+'30'!J26</f>
        <v>TW 30 RC HW</v>
      </c>
      <c r="K26" s="242"/>
      <c r="L26" s="242"/>
      <c r="M26" s="120">
        <f>+L26+'30'!M26+K26</f>
        <v>113553</v>
      </c>
      <c r="N26" s="152">
        <v>500</v>
      </c>
      <c r="O26" s="152">
        <f>+N26-N26*0.12</f>
        <v>440</v>
      </c>
      <c r="P26" s="152">
        <f>120+30</f>
        <v>150</v>
      </c>
      <c r="Q26" s="152">
        <f>+N26*P26</f>
        <v>75000</v>
      </c>
      <c r="R26" s="152">
        <f>+O26*P26</f>
        <v>66000</v>
      </c>
    </row>
    <row r="27" spans="1:18" ht="13.5" thickBot="1">
      <c r="A27" s="789"/>
      <c r="B27" s="218" t="s">
        <v>697</v>
      </c>
      <c r="C27" s="219">
        <v>6073</v>
      </c>
      <c r="D27" s="220"/>
      <c r="E27" s="228"/>
      <c r="F27" s="234"/>
      <c r="G27" s="235"/>
      <c r="H27" s="236" t="s">
        <v>690</v>
      </c>
      <c r="I27" s="785"/>
      <c r="J27" s="217" t="str">
        <f>+'30'!J27</f>
        <v>TW 31,5 RC HW</v>
      </c>
      <c r="K27" s="242"/>
      <c r="L27" s="242"/>
      <c r="M27" s="120">
        <f>+L27+'30'!M27+K27</f>
        <v>10807</v>
      </c>
      <c r="N27" s="152">
        <v>530</v>
      </c>
      <c r="O27" s="152">
        <f>+N27-N27*0.12</f>
        <v>466.4</v>
      </c>
      <c r="P27" s="152">
        <f>30+300</f>
        <v>330</v>
      </c>
      <c r="Q27" s="152">
        <f>+N27*P27</f>
        <v>174900</v>
      </c>
      <c r="R27" s="152">
        <f>+O27*P27</f>
        <v>153912</v>
      </c>
    </row>
    <row r="28" spans="1:18" ht="13.5" thickBot="1">
      <c r="A28" s="789"/>
      <c r="B28" s="218"/>
      <c r="C28" s="219"/>
      <c r="D28" s="220"/>
      <c r="E28" s="228"/>
      <c r="F28" s="234"/>
      <c r="G28" s="235"/>
      <c r="H28" s="236" t="s">
        <v>691</v>
      </c>
      <c r="I28" s="785"/>
      <c r="J28" s="217" t="str">
        <f>+'30'!J28</f>
        <v>TW 33,5 RC HW</v>
      </c>
      <c r="K28" s="242"/>
      <c r="L28" s="242"/>
      <c r="M28" s="120">
        <f>+L28+'30'!M28+K28</f>
        <v>10058</v>
      </c>
      <c r="P28" s="152">
        <f>SUM(P26:P27)</f>
        <v>480</v>
      </c>
      <c r="Q28" s="152">
        <f t="shared" ref="Q28" si="1">SUM(Q26:Q27)</f>
        <v>249900</v>
      </c>
      <c r="R28" s="152">
        <f t="shared" ref="R28" si="2">SUM(R26:R27)</f>
        <v>219912</v>
      </c>
    </row>
    <row r="29" spans="1:18" ht="13.5" thickBot="1">
      <c r="A29" s="789"/>
      <c r="B29" s="218"/>
      <c r="C29" s="219"/>
      <c r="D29" s="220"/>
      <c r="E29" s="228"/>
      <c r="F29" s="239"/>
      <c r="G29" s="235"/>
      <c r="H29" s="236"/>
      <c r="I29" s="785"/>
      <c r="J29" s="217" t="str">
        <f>+'30'!J29</f>
        <v>TW 36 RC HW</v>
      </c>
      <c r="K29" s="242">
        <f>+C27</f>
        <v>6073</v>
      </c>
      <c r="L29" s="242"/>
      <c r="M29" s="120">
        <f>+L29+'30'!M29+K29</f>
        <v>42350</v>
      </c>
      <c r="Q29" s="152">
        <f>+Q28/P28</f>
        <v>520.625</v>
      </c>
      <c r="R29" s="152">
        <f>+R28/P28</f>
        <v>458.15</v>
      </c>
    </row>
    <row r="30" spans="1:18" ht="13.5" thickBot="1">
      <c r="A30" s="789"/>
      <c r="B30" s="218"/>
      <c r="C30" s="229"/>
      <c r="D30" s="220"/>
      <c r="E30" s="228"/>
      <c r="F30" s="239"/>
      <c r="G30" s="235"/>
      <c r="H30" s="236"/>
      <c r="I30" s="785"/>
      <c r="J30" s="217" t="str">
        <f>+'30'!J30</f>
        <v>TW 38 RC HW</v>
      </c>
      <c r="K30" s="242">
        <f>+C7+C16+C25</f>
        <v>62066</v>
      </c>
      <c r="L30" s="242"/>
      <c r="M30" s="120">
        <f>+L30+'30'!M30+K30</f>
        <v>68693</v>
      </c>
      <c r="N30" s="158"/>
    </row>
    <row r="31" spans="1:18" ht="13.5" thickBot="1">
      <c r="A31" s="789"/>
      <c r="B31" s="218"/>
      <c r="C31" s="229"/>
      <c r="D31" s="220"/>
      <c r="E31" s="228"/>
      <c r="F31" s="239"/>
      <c r="G31" s="240"/>
      <c r="H31" s="237"/>
      <c r="I31" s="786"/>
      <c r="J31" s="217" t="s">
        <v>702</v>
      </c>
      <c r="K31" s="242">
        <f>+C26</f>
        <v>5657</v>
      </c>
      <c r="L31" s="242"/>
      <c r="M31" s="120">
        <f>+L31+'30'!M31+K31</f>
        <v>5657</v>
      </c>
    </row>
    <row r="32" spans="1:18" ht="13.5" thickBot="1">
      <c r="A32" s="790"/>
      <c r="B32" s="168" t="s">
        <v>3</v>
      </c>
      <c r="C32" s="102">
        <f>SUM(C25:C31)</f>
        <v>23800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17">
        <f>+'30'!J32</f>
        <v>0</v>
      </c>
      <c r="K32" s="242"/>
      <c r="L32" s="246"/>
      <c r="M32" s="120">
        <f>+L32+'30'!M32+K32</f>
        <v>0</v>
      </c>
      <c r="N32" s="152">
        <f>1440-N33</f>
        <v>1110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465"/>
      <c r="L33" s="216"/>
      <c r="M33" s="122"/>
      <c r="N33" s="152">
        <v>330</v>
      </c>
    </row>
    <row r="34" spans="1:14" ht="13.5" thickBot="1">
      <c r="A34" s="791" t="s">
        <v>60</v>
      </c>
      <c r="B34" s="792"/>
      <c r="C34" s="110">
        <f>C14+C23+C32</f>
        <v>73796</v>
      </c>
      <c r="D34" s="110">
        <f>D14+D23+D32</f>
        <v>0</v>
      </c>
      <c r="E34" s="110">
        <f>E14+E23+E32</f>
        <v>0</v>
      </c>
      <c r="F34" s="111">
        <f>F14+F23+F32</f>
        <v>18</v>
      </c>
      <c r="H34" s="181"/>
      <c r="I34" s="181"/>
      <c r="J34" s="126" t="s">
        <v>29</v>
      </c>
      <c r="K34" s="127">
        <f>SUM(K7:K33)</f>
        <v>73796</v>
      </c>
      <c r="L34" s="215">
        <f>SUM(L7:L32)</f>
        <v>0</v>
      </c>
      <c r="M34" s="127">
        <f>SUM(M7:M33)</f>
        <v>1681041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(38*1110+35.5*330)/1440*G42*3.4*1440/1000000</f>
        <v>81.645954683333343</v>
      </c>
      <c r="J37" s="128">
        <f>+I37+'30'!J37</f>
        <v>1913.7330229886697</v>
      </c>
      <c r="K37" s="129" t="s">
        <v>66</v>
      </c>
      <c r="L37" s="437"/>
      <c r="M37" s="438"/>
      <c r="N37" s="563">
        <f>+I38-N38</f>
        <v>59.557000000000002</v>
      </c>
    </row>
    <row r="38" spans="1:14" ht="17.45" customHeight="1">
      <c r="A38" s="797" t="s">
        <v>13</v>
      </c>
      <c r="B38" s="798"/>
      <c r="C38" s="167">
        <f>SUMIF($G$7:$G$31,"Process",$F$7:$F$31)</f>
        <v>18</v>
      </c>
      <c r="D38" s="121">
        <f>+C38+'30'!D38</f>
        <v>1280</v>
      </c>
      <c r="E38" s="146">
        <f t="shared" ref="E38:E51" si="3">D38/60</f>
        <v>21.333333333333332</v>
      </c>
      <c r="F38" s="372">
        <v>498.33333333333331</v>
      </c>
      <c r="G38" s="372">
        <v>438.53333333333336</v>
      </c>
      <c r="H38" s="190" t="s">
        <v>67</v>
      </c>
      <c r="I38" s="562">
        <f>24.953+26.645+23.953</f>
        <v>75.551000000000002</v>
      </c>
      <c r="J38" s="130">
        <f>+I38+'30'!J38</f>
        <v>1732.6890000000001</v>
      </c>
      <c r="K38" s="131" t="s">
        <v>66</v>
      </c>
      <c r="L38" s="439"/>
      <c r="M38" s="440"/>
      <c r="N38" s="152">
        <f>23.953-2.279-2.84-2.84</f>
        <v>15.994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+C39+'30'!D39</f>
        <v>0</v>
      </c>
      <c r="E39" s="146">
        <f t="shared" si="3"/>
        <v>0</v>
      </c>
      <c r="F39" s="372">
        <v>500</v>
      </c>
      <c r="G39" s="372">
        <v>440</v>
      </c>
      <c r="H39" s="190" t="s">
        <v>68</v>
      </c>
      <c r="I39" s="145"/>
      <c r="J39" s="132">
        <f>J37/G4</f>
        <v>61.733323322215156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+C40+'30'!D40</f>
        <v>0</v>
      </c>
      <c r="E40" s="146">
        <f t="shared" si="3"/>
        <v>0</v>
      </c>
      <c r="F40" s="372">
        <v>520.625</v>
      </c>
      <c r="G40" s="372">
        <v>458.15</v>
      </c>
      <c r="H40" s="190" t="s">
        <v>70</v>
      </c>
      <c r="I40" s="121">
        <f>(K34+L34)/1000</f>
        <v>73.796000000000006</v>
      </c>
      <c r="J40" s="134">
        <f>+I40+'30'!J40</f>
        <v>1681.0409999999997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+C41+'30'!D41</f>
        <v>624</v>
      </c>
      <c r="E41" s="146">
        <f t="shared" si="3"/>
        <v>10.4</v>
      </c>
      <c r="F41" s="372"/>
      <c r="G41" s="372"/>
      <c r="H41" s="190" t="s">
        <v>72</v>
      </c>
      <c r="I41" s="145"/>
      <c r="J41" s="132">
        <f>J40/G4</f>
        <v>54.227129032258055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+C42+'30'!D42</f>
        <v>0</v>
      </c>
      <c r="E42" s="146">
        <f t="shared" si="3"/>
        <v>0</v>
      </c>
      <c r="F42" s="372">
        <f>+(F38*480+F39*480+F40*480)/1440</f>
        <v>506.31944444444446</v>
      </c>
      <c r="G42" s="372">
        <f>+(G38*480+G39*480+G40*480)/1440</f>
        <v>445.56111111111113</v>
      </c>
      <c r="H42" s="190" t="s">
        <v>73</v>
      </c>
      <c r="I42" s="248" t="s">
        <v>701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+C43+'30'!D43</f>
        <v>0</v>
      </c>
      <c r="E43" s="146">
        <f t="shared" si="3"/>
        <v>0</v>
      </c>
      <c r="F43" s="372"/>
      <c r="G43" s="373"/>
      <c r="H43" s="191" t="s">
        <v>76</v>
      </c>
      <c r="I43" s="121">
        <f>+Report1!AH39</f>
        <v>135.745</v>
      </c>
      <c r="J43" s="136">
        <f>+I43+'30'!J43</f>
        <v>3969.1099999999997</v>
      </c>
      <c r="K43" s="133" t="s">
        <v>66</v>
      </c>
      <c r="L43" s="441">
        <f>+Report1!AN39</f>
        <v>19.2</v>
      </c>
      <c r="M43" s="442">
        <f>+L43+'30'!M43</f>
        <v>143.9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+C44+'30'!D44</f>
        <v>0</v>
      </c>
      <c r="E44" s="146">
        <f t="shared" si="3"/>
        <v>0</v>
      </c>
      <c r="F44" s="372"/>
      <c r="G44" s="373"/>
      <c r="H44" s="191" t="s">
        <v>77</v>
      </c>
      <c r="I44" s="121">
        <f>I43/I38</f>
        <v>1.7967333324509271</v>
      </c>
      <c r="J44" s="137">
        <f>J43/J38</f>
        <v>2.2907226859522969</v>
      </c>
      <c r="K44" s="133" t="s">
        <v>66</v>
      </c>
      <c r="L44" s="443">
        <f>+L43/I38</f>
        <v>0.25413296978200156</v>
      </c>
      <c r="M44" s="444">
        <f>+M43/J38</f>
        <v>8.3050103047921472E-2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+C45+'30'!D45</f>
        <v>0</v>
      </c>
      <c r="E45" s="146">
        <f t="shared" si="3"/>
        <v>0</v>
      </c>
      <c r="F45" s="372"/>
      <c r="G45" s="375"/>
      <c r="H45" s="191" t="s">
        <v>78</v>
      </c>
      <c r="I45" s="121">
        <f>I43/I40</f>
        <v>1.8394628435145535</v>
      </c>
      <c r="J45" s="137">
        <f>J43/J40</f>
        <v>2.3611024359310693</v>
      </c>
      <c r="K45" s="133" t="s">
        <v>66</v>
      </c>
      <c r="L45" s="443">
        <f>+L43/I40</f>
        <v>0.26017670334435467</v>
      </c>
      <c r="M45" s="444">
        <f>+M43/J40</f>
        <v>8.5601719410769897E-2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+C46+'30'!D46</f>
        <v>0</v>
      </c>
      <c r="E46" s="146">
        <f t="shared" si="3"/>
        <v>0</v>
      </c>
      <c r="F46" s="372"/>
      <c r="G46" s="373"/>
      <c r="H46" s="191" t="s">
        <v>80</v>
      </c>
      <c r="I46" s="143">
        <f>+SUMIF(Listrik!AC38,"&gt;0")</f>
        <v>32074.210000000305</v>
      </c>
      <c r="J46" s="138">
        <f>+I46+'30'!J46</f>
        <v>1263171.0300000012</v>
      </c>
      <c r="K46" s="133" t="s">
        <v>81</v>
      </c>
      <c r="L46" s="443">
        <f>+Listrik!AF38</f>
        <v>31426</v>
      </c>
      <c r="M46" s="445">
        <f>+L46+'30'!M46</f>
        <v>250082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+C47+'30'!D47</f>
        <v>0</v>
      </c>
      <c r="E47" s="146">
        <f t="shared" si="3"/>
        <v>0</v>
      </c>
      <c r="F47" s="372"/>
      <c r="G47" s="373"/>
      <c r="H47" s="191" t="s">
        <v>83</v>
      </c>
      <c r="I47" s="121">
        <f>I46/I38</f>
        <v>424.53720003706508</v>
      </c>
      <c r="J47" s="138">
        <f>J46/J38</f>
        <v>729.0235177807449</v>
      </c>
      <c r="K47" s="133" t="s">
        <v>25</v>
      </c>
      <c r="L47" s="443">
        <f>+L46/I38</f>
        <v>415.95743272756152</v>
      </c>
      <c r="M47" s="444">
        <f>+M46/J38</f>
        <v>144.33172946789642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+C48+'30'!D48</f>
        <v>0</v>
      </c>
      <c r="E48" s="146">
        <f t="shared" si="3"/>
        <v>0</v>
      </c>
      <c r="F48" s="372"/>
      <c r="G48" s="373"/>
      <c r="H48" s="191" t="s">
        <v>84</v>
      </c>
      <c r="I48" s="121">
        <f>I46/I40</f>
        <v>434.6334489674278</v>
      </c>
      <c r="J48" s="138">
        <f>J46/J40</f>
        <v>751.42190464123212</v>
      </c>
      <c r="K48" s="133" t="s">
        <v>25</v>
      </c>
      <c r="L48" s="443">
        <f>+L46/I38</f>
        <v>415.95743272756152</v>
      </c>
      <c r="M48" s="444">
        <f>+M46/J40</f>
        <v>148.76615145020261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+C49+'30'!D49</f>
        <v>1406</v>
      </c>
      <c r="E49" s="146">
        <f t="shared" si="3"/>
        <v>23.433333333333334</v>
      </c>
      <c r="F49" s="188"/>
      <c r="H49" s="191" t="s">
        <v>85</v>
      </c>
      <c r="I49" s="121">
        <f>+Report1!AB39</f>
        <v>0</v>
      </c>
      <c r="J49" s="138">
        <f>+I49+'30'!J49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+C50+'30'!D50</f>
        <v>0</v>
      </c>
      <c r="E50" s="146">
        <f t="shared" si="3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+C51+'30'!D51</f>
        <v>0</v>
      </c>
      <c r="E51" s="146">
        <f t="shared" si="3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18</v>
      </c>
      <c r="D52" s="147">
        <f>SUM(D38:D51)</f>
        <v>3310</v>
      </c>
      <c r="E52" s="148">
        <f>SUM(E38:E51)</f>
        <v>55.166666666666671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1.2500000000000001E-2</v>
      </c>
      <c r="D53" s="149">
        <f>D52/(24*60*G4)</f>
        <v>7.4148745519713261E-2</v>
      </c>
      <c r="E53" s="150">
        <f>E52/(G4*24)</f>
        <v>7.4148745519713274E-2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+D34+'30'!J56</f>
        <v>16451</v>
      </c>
      <c r="K56" s="204">
        <f>J56/(J40+J56/1000)/1000</f>
        <v>9.691356424654728E-3</v>
      </c>
    </row>
    <row r="57" spans="1:13">
      <c r="A57" s="179"/>
      <c r="I57" s="202" t="s">
        <v>92</v>
      </c>
      <c r="J57" s="203">
        <f>+E34+'30'!J57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9:B49"/>
    <mergeCell ref="A50:B50"/>
    <mergeCell ref="A51:B51"/>
    <mergeCell ref="A52:B52"/>
    <mergeCell ref="A53:B53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L35:M35"/>
    <mergeCell ref="A7:A14"/>
    <mergeCell ref="I7:I13"/>
    <mergeCell ref="A15:A23"/>
    <mergeCell ref="I15:I22"/>
    <mergeCell ref="A24:A32"/>
    <mergeCell ref="I24:I31"/>
    <mergeCell ref="A34:B34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R61"/>
  <sheetViews>
    <sheetView topLeftCell="A4" zoomScale="80" zoomScaleNormal="80" workbookViewId="0">
      <selection activeCell="D26" sqref="D26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7109375" style="152" customWidth="1"/>
    <col min="11" max="11" width="12.5703125" style="152" bestFit="1" customWidth="1"/>
    <col min="12" max="12" width="8.28515625" style="152" customWidth="1"/>
    <col min="13" max="13" width="14.710937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30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344+390+371</f>
        <v>1105</v>
      </c>
    </row>
    <row r="7" spans="1:18" ht="13.5" customHeight="1" thickBot="1">
      <c r="A7" s="781" t="s">
        <v>461</v>
      </c>
      <c r="B7" s="218" t="s">
        <v>664</v>
      </c>
      <c r="C7" s="219">
        <f>4322+1069</f>
        <v>5391</v>
      </c>
      <c r="D7" s="220"/>
      <c r="E7" s="221"/>
      <c r="F7" s="231"/>
      <c r="G7" s="232" t="s">
        <v>13</v>
      </c>
      <c r="H7" s="233" t="s">
        <v>391</v>
      </c>
      <c r="I7" s="784" t="s">
        <v>692</v>
      </c>
      <c r="J7" s="217" t="str">
        <f>+'29'!J7</f>
        <v>TW 38 RC BR</v>
      </c>
      <c r="K7" s="241"/>
      <c r="L7" s="245"/>
      <c r="M7" s="120">
        <f>+K7+'29'!M7+L7</f>
        <v>53722</v>
      </c>
    </row>
    <row r="8" spans="1:18" ht="13.5" thickBot="1">
      <c r="A8" s="782"/>
      <c r="B8" s="218" t="s">
        <v>695</v>
      </c>
      <c r="C8" s="219">
        <v>10807</v>
      </c>
      <c r="D8" s="220">
        <v>700</v>
      </c>
      <c r="E8" s="222"/>
      <c r="F8" s="234">
        <v>5</v>
      </c>
      <c r="G8" s="235" t="s">
        <v>13</v>
      </c>
      <c r="H8" s="233" t="s">
        <v>434</v>
      </c>
      <c r="I8" s="785"/>
      <c r="J8" s="217" t="str">
        <f>+'29'!J8</f>
        <v>TW 36 RC BR</v>
      </c>
      <c r="K8" s="242"/>
      <c r="L8" s="242"/>
      <c r="M8" s="120">
        <f>+K8+'29'!M8+L8</f>
        <v>45750</v>
      </c>
      <c r="N8" s="152">
        <v>600</v>
      </c>
      <c r="O8" s="152">
        <f>+N8-N8*0.12</f>
        <v>528</v>
      </c>
      <c r="P8" s="152">
        <f>60+55</f>
        <v>115</v>
      </c>
      <c r="Q8" s="152">
        <f>+N8*P8</f>
        <v>69000</v>
      </c>
      <c r="R8" s="152">
        <f>+O8*P8</f>
        <v>60720</v>
      </c>
    </row>
    <row r="9" spans="1:18" ht="13.5" thickBot="1">
      <c r="A9" s="782"/>
      <c r="B9" s="218" t="s">
        <v>696</v>
      </c>
      <c r="C9" s="219">
        <f>828+718</f>
        <v>1546</v>
      </c>
      <c r="D9" s="220"/>
      <c r="E9" s="223"/>
      <c r="F9" s="231">
        <v>2</v>
      </c>
      <c r="G9" s="235" t="s">
        <v>13</v>
      </c>
      <c r="H9" s="236" t="s">
        <v>226</v>
      </c>
      <c r="I9" s="785"/>
      <c r="J9" s="217" t="str">
        <f>+'29'!J9</f>
        <v>TW 34 RC BR</v>
      </c>
      <c r="K9" s="242"/>
      <c r="L9" s="242"/>
      <c r="M9" s="120">
        <f>+K9+'29'!M9+L9</f>
        <v>19926</v>
      </c>
      <c r="N9" s="152">
        <v>600</v>
      </c>
      <c r="O9" s="152">
        <f>+N9-N9*0.12</f>
        <v>528</v>
      </c>
      <c r="P9" s="152">
        <f>5+300</f>
        <v>305</v>
      </c>
      <c r="Q9" s="152">
        <f>+N9*P9</f>
        <v>183000</v>
      </c>
      <c r="R9" s="152">
        <f>+O9*P9</f>
        <v>161040</v>
      </c>
    </row>
    <row r="10" spans="1:18" ht="13.5" thickBot="1">
      <c r="A10" s="782"/>
      <c r="B10" s="218"/>
      <c r="C10" s="219"/>
      <c r="D10" s="220"/>
      <c r="E10" s="222"/>
      <c r="F10" s="231"/>
      <c r="G10" s="235"/>
      <c r="H10" s="236" t="s">
        <v>685</v>
      </c>
      <c r="I10" s="785"/>
      <c r="J10" s="217" t="str">
        <f>+'29'!J10</f>
        <v>TW 30 RC BR</v>
      </c>
      <c r="K10" s="242"/>
      <c r="L10" s="242"/>
      <c r="M10" s="120">
        <f>+K10+'29'!M10+L10</f>
        <v>11017</v>
      </c>
      <c r="N10" s="152">
        <v>550</v>
      </c>
      <c r="O10" s="152">
        <f>+N10-N10*0.12</f>
        <v>484</v>
      </c>
      <c r="P10" s="152">
        <v>60</v>
      </c>
      <c r="Q10" s="152">
        <f>+N10*P10</f>
        <v>33000</v>
      </c>
      <c r="R10" s="152">
        <f>+O10*P10</f>
        <v>29040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680</v>
      </c>
      <c r="I11" s="785"/>
      <c r="J11" s="217" t="str">
        <f>+'29'!J11</f>
        <v>TW 20 RC BR</v>
      </c>
      <c r="K11" s="242"/>
      <c r="L11" s="242"/>
      <c r="M11" s="120">
        <f>+K11+'29'!M11+L11</f>
        <v>13885</v>
      </c>
      <c r="P11" s="152">
        <f>SUM(P8:P10)</f>
        <v>480</v>
      </c>
      <c r="Q11" s="152">
        <f t="shared" ref="Q11:R11" si="0">SUM(Q8:Q10)</f>
        <v>285000</v>
      </c>
      <c r="R11" s="152">
        <f t="shared" si="0"/>
        <v>250800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 t="s">
        <v>683</v>
      </c>
      <c r="I12" s="785"/>
      <c r="J12" s="217" t="str">
        <f>+'29'!J12</f>
        <v>N 20 RC BR</v>
      </c>
      <c r="K12" s="242"/>
      <c r="L12" s="242"/>
      <c r="M12" s="120">
        <f>+K12+'29'!M12+L12</f>
        <v>16183</v>
      </c>
      <c r="Q12" s="152">
        <f>+Q11/P11</f>
        <v>593.75</v>
      </c>
      <c r="R12" s="152">
        <f>+R11/P11</f>
        <v>522.5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 t="s">
        <v>684</v>
      </c>
      <c r="I13" s="786"/>
      <c r="J13" s="217" t="str">
        <f>+'29'!J13</f>
        <v>N 17,5 RC BR</v>
      </c>
      <c r="K13" s="242"/>
      <c r="L13" s="242"/>
      <c r="M13" s="120">
        <f>+K13+'29'!M13+L13</f>
        <v>61888</v>
      </c>
    </row>
    <row r="14" spans="1:18" ht="13.5" thickBot="1">
      <c r="A14" s="783"/>
      <c r="B14" s="168" t="s">
        <v>3</v>
      </c>
      <c r="C14" s="102">
        <f>SUM(C7:C13)</f>
        <v>17744</v>
      </c>
      <c r="D14" s="114">
        <f>SUM(D7:D13)</f>
        <v>700</v>
      </c>
      <c r="E14" s="115">
        <f>SUM(E5:E13)</f>
        <v>0</v>
      </c>
      <c r="F14" s="119">
        <f>SUM(F7:F13)</f>
        <v>7</v>
      </c>
      <c r="G14" s="162"/>
      <c r="H14" s="169"/>
      <c r="I14" s="170"/>
      <c r="J14" s="217" t="str">
        <f>+'29'!J14</f>
        <v>N 16 RC BR</v>
      </c>
      <c r="K14" s="242"/>
      <c r="L14" s="242"/>
      <c r="M14" s="120">
        <f>+K14+'29'!M14+L14</f>
        <v>24358</v>
      </c>
    </row>
    <row r="15" spans="1:18" ht="13.5" customHeight="1" thickBot="1">
      <c r="A15" s="781" t="s">
        <v>410</v>
      </c>
      <c r="B15" s="168"/>
      <c r="C15" s="116">
        <f>C14/($C$23+$D$23+$E$23)</f>
        <v>0.67552442227890508</v>
      </c>
      <c r="D15" s="117">
        <f>D14/($C$23+$D$23+$E$23)</f>
        <v>2.6649408002436516E-2</v>
      </c>
      <c r="E15" s="118">
        <f>E14/($C$23+$D$23+$E$23)</f>
        <v>0</v>
      </c>
      <c r="F15" s="231">
        <v>3</v>
      </c>
      <c r="G15" s="232" t="s">
        <v>13</v>
      </c>
      <c r="H15" s="233" t="s">
        <v>435</v>
      </c>
      <c r="I15" s="784" t="s">
        <v>693</v>
      </c>
      <c r="J15" s="217" t="str">
        <f>+'29'!J15</f>
        <v>N 15,5 RC BR</v>
      </c>
      <c r="K15" s="242"/>
      <c r="L15" s="242"/>
      <c r="M15" s="120">
        <f>+K15+'29'!M15+L15</f>
        <v>0</v>
      </c>
    </row>
    <row r="16" spans="1:18" ht="13.5" thickBot="1">
      <c r="A16" s="787"/>
      <c r="B16" s="218" t="s">
        <v>664</v>
      </c>
      <c r="C16" s="225">
        <f>1028+254</f>
        <v>1282</v>
      </c>
      <c r="D16" s="226"/>
      <c r="E16" s="227"/>
      <c r="F16" s="231">
        <v>0</v>
      </c>
      <c r="G16" s="235" t="s">
        <v>13</v>
      </c>
      <c r="H16" s="233" t="s">
        <v>486</v>
      </c>
      <c r="I16" s="785"/>
      <c r="J16" s="217" t="str">
        <f>+'29'!J16</f>
        <v>N 17 VP OW</v>
      </c>
      <c r="K16" s="232"/>
      <c r="L16" s="232"/>
      <c r="M16" s="120">
        <f>+K16+'29'!M16+L16</f>
        <v>62993</v>
      </c>
      <c r="N16" s="152">
        <v>550</v>
      </c>
      <c r="O16" s="152">
        <f>+N16-N16*0.12</f>
        <v>484</v>
      </c>
      <c r="P16" s="152">
        <f>60+50</f>
        <v>110</v>
      </c>
      <c r="Q16" s="152">
        <f>+N16*P16</f>
        <v>60500</v>
      </c>
      <c r="R16" s="152">
        <f>+O16*P16</f>
        <v>53240</v>
      </c>
    </row>
    <row r="17" spans="1:18" ht="13.5" thickBot="1">
      <c r="A17" s="787"/>
      <c r="B17" s="218" t="s">
        <v>696</v>
      </c>
      <c r="C17" s="219">
        <f>4538+3974</f>
        <v>8512</v>
      </c>
      <c r="D17" s="220"/>
      <c r="E17" s="228"/>
      <c r="F17" s="231">
        <v>2</v>
      </c>
      <c r="G17" s="235" t="s">
        <v>13</v>
      </c>
      <c r="H17" s="236" t="s">
        <v>226</v>
      </c>
      <c r="I17" s="785"/>
      <c r="J17" s="217" t="str">
        <f>+'29'!J17</f>
        <v>N 16 VP OW</v>
      </c>
      <c r="K17" s="232"/>
      <c r="L17" s="232"/>
      <c r="M17" s="120">
        <f>+K17+'29'!M17+L17</f>
        <v>263057</v>
      </c>
      <c r="N17" s="152">
        <v>520</v>
      </c>
      <c r="O17" s="152">
        <f>+N17-N17*0.12</f>
        <v>457.6</v>
      </c>
      <c r="P17" s="152">
        <f>10+360</f>
        <v>370</v>
      </c>
      <c r="Q17" s="152">
        <f>+N17*P17</f>
        <v>192400</v>
      </c>
      <c r="R17" s="152">
        <f>+O17*P17</f>
        <v>169312</v>
      </c>
    </row>
    <row r="18" spans="1:18" ht="13.5" thickBot="1">
      <c r="A18" s="787"/>
      <c r="B18" s="218" t="s">
        <v>697</v>
      </c>
      <c r="C18" s="219">
        <f>11886+4587</f>
        <v>16473</v>
      </c>
      <c r="D18" s="220"/>
      <c r="E18" s="228"/>
      <c r="F18" s="231"/>
      <c r="G18" s="235"/>
      <c r="H18" s="236" t="s">
        <v>682</v>
      </c>
      <c r="I18" s="785"/>
      <c r="J18" s="217" t="str">
        <f>+'29'!J18</f>
        <v>N 19 VP OW</v>
      </c>
      <c r="K18" s="242"/>
      <c r="L18" s="242"/>
      <c r="M18" s="120">
        <f>+K18+'29'!M18+L18</f>
        <v>24049</v>
      </c>
      <c r="P18" s="152">
        <f>SUM(P16:P17)</f>
        <v>480</v>
      </c>
      <c r="Q18" s="152">
        <f t="shared" ref="Q18:R18" si="1">SUM(Q16:Q17)</f>
        <v>252900</v>
      </c>
      <c r="R18" s="152">
        <f t="shared" si="1"/>
        <v>222552</v>
      </c>
    </row>
    <row r="19" spans="1:18" ht="13.5" thickBot="1">
      <c r="A19" s="787"/>
      <c r="B19" s="218"/>
      <c r="C19" s="219"/>
      <c r="D19" s="220"/>
      <c r="E19" s="228"/>
      <c r="F19" s="238">
        <v>6</v>
      </c>
      <c r="G19" s="235" t="s">
        <v>13</v>
      </c>
      <c r="H19" s="236" t="s">
        <v>681</v>
      </c>
      <c r="I19" s="785"/>
      <c r="J19" s="217" t="str">
        <f>+'29'!J19</f>
        <v>N 25 VP OW</v>
      </c>
      <c r="K19" s="242"/>
      <c r="L19" s="242"/>
      <c r="M19" s="120">
        <f>+K19+'29'!M19+L19</f>
        <v>114797</v>
      </c>
      <c r="Q19" s="152">
        <f>+Q18/P18</f>
        <v>526.875</v>
      </c>
      <c r="R19" s="152">
        <f>+R18/P18</f>
        <v>463.65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+'29'!J20</f>
        <v>N 23 VP OW</v>
      </c>
      <c r="K20" s="243"/>
      <c r="L20" s="243"/>
      <c r="M20" s="120">
        <f>+K20+'29'!M20+L20</f>
        <v>9760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+'29'!J21</f>
        <v>TW 23 VP OW</v>
      </c>
      <c r="K21" s="242"/>
      <c r="L21" s="242"/>
      <c r="M21" s="120">
        <f>+K21+'29'!M21+L21</f>
        <v>162640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+'29'!J22</f>
        <v>TW 17 VP OW</v>
      </c>
      <c r="K22" s="242"/>
      <c r="L22" s="242"/>
      <c r="M22" s="120">
        <f>+K22+'29'!M22+L22</f>
        <v>232569</v>
      </c>
    </row>
    <row r="23" spans="1:18" ht="13.5" thickBot="1">
      <c r="A23" s="788"/>
      <c r="B23" s="168" t="s">
        <v>3</v>
      </c>
      <c r="C23" s="103">
        <f>SUM(C16:C22)</f>
        <v>26267</v>
      </c>
      <c r="D23" s="114">
        <f>SUM(D16:D22)</f>
        <v>0</v>
      </c>
      <c r="E23" s="115">
        <f>SUM(E18:E22)</f>
        <v>0</v>
      </c>
      <c r="F23" s="119">
        <f>SUM(F15:F22)</f>
        <v>11</v>
      </c>
      <c r="G23" s="162"/>
      <c r="H23" s="169"/>
      <c r="I23" s="172"/>
      <c r="J23" s="217" t="str">
        <f>+'29'!J23</f>
        <v>TW 16 VP OW</v>
      </c>
      <c r="K23" s="242"/>
      <c r="L23" s="242"/>
      <c r="M23" s="120">
        <f>+K23+'29'!M23+L23</f>
        <v>130611</v>
      </c>
    </row>
    <row r="24" spans="1:18" ht="13.5" customHeight="1" thickBot="1">
      <c r="A24" s="781" t="s">
        <v>409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9">
        <v>5</v>
      </c>
      <c r="G24" s="232" t="s">
        <v>13</v>
      </c>
      <c r="H24" s="233" t="s">
        <v>435</v>
      </c>
      <c r="I24" s="784" t="s">
        <v>673</v>
      </c>
      <c r="J24" s="217" t="str">
        <f>+'29'!J24</f>
        <v>N 18 VP OW</v>
      </c>
      <c r="K24" s="242"/>
      <c r="L24" s="242"/>
      <c r="M24" s="120">
        <f>+K24+'29'!M24+L24</f>
        <v>108513</v>
      </c>
    </row>
    <row r="25" spans="1:18" ht="13.5" thickBot="1">
      <c r="A25" s="787"/>
      <c r="B25" s="218" t="s">
        <v>697</v>
      </c>
      <c r="C25" s="229">
        <v>19804</v>
      </c>
      <c r="D25" s="220">
        <v>780</v>
      </c>
      <c r="E25" s="228"/>
      <c r="F25" s="234"/>
      <c r="G25" s="235" t="s">
        <v>13</v>
      </c>
      <c r="H25" s="233" t="s">
        <v>486</v>
      </c>
      <c r="I25" s="785"/>
      <c r="J25" s="217" t="str">
        <f>+'29'!J25</f>
        <v>N 20 RC HW</v>
      </c>
      <c r="K25" s="242"/>
      <c r="L25" s="242"/>
      <c r="M25" s="120">
        <f>+K25+'29'!M25+L25</f>
        <v>74205</v>
      </c>
      <c r="N25" s="152">
        <v>520</v>
      </c>
      <c r="O25" s="152">
        <f>+N25-N25*0.12</f>
        <v>457.6</v>
      </c>
      <c r="P25" s="152">
        <v>240</v>
      </c>
      <c r="Q25" s="152">
        <f>+N25*P25</f>
        <v>124800</v>
      </c>
      <c r="R25" s="152">
        <f>+O25*P25</f>
        <v>109824</v>
      </c>
    </row>
    <row r="26" spans="1:18" ht="13.5" thickBot="1">
      <c r="A26" s="787"/>
      <c r="B26" s="218" t="s">
        <v>698</v>
      </c>
      <c r="C26" s="229">
        <f>3154+3473</f>
        <v>6627</v>
      </c>
      <c r="D26" s="220"/>
      <c r="E26" s="230"/>
      <c r="F26" s="234">
        <v>5</v>
      </c>
      <c r="G26" s="235" t="s">
        <v>13</v>
      </c>
      <c r="H26" s="236" t="s">
        <v>226</v>
      </c>
      <c r="I26" s="785"/>
      <c r="J26" s="217" t="str">
        <f>+'29'!J26</f>
        <v>TW 30 RC HW</v>
      </c>
      <c r="K26" s="242">
        <f>+C7+C16</f>
        <v>6673</v>
      </c>
      <c r="L26" s="242"/>
      <c r="M26" s="120">
        <f>+K26+'29'!M26+L26</f>
        <v>113553</v>
      </c>
      <c r="N26" s="152">
        <v>480</v>
      </c>
      <c r="O26" s="152">
        <f>+N26-N26*0.12</f>
        <v>422.4</v>
      </c>
      <c r="P26" s="152">
        <v>240</v>
      </c>
      <c r="Q26" s="152">
        <f>+N26*P26</f>
        <v>115200</v>
      </c>
      <c r="R26" s="152">
        <f>+O26*P26</f>
        <v>101376</v>
      </c>
    </row>
    <row r="27" spans="1:18" ht="13.5" thickBot="1">
      <c r="A27" s="787"/>
      <c r="B27" s="218"/>
      <c r="C27" s="219"/>
      <c r="D27" s="220"/>
      <c r="E27" s="228"/>
      <c r="F27" s="234"/>
      <c r="G27" s="235"/>
      <c r="H27" s="236" t="s">
        <v>686</v>
      </c>
      <c r="I27" s="785"/>
      <c r="J27" s="217" t="s">
        <v>695</v>
      </c>
      <c r="K27" s="242">
        <f>+C8</f>
        <v>10807</v>
      </c>
      <c r="L27" s="242"/>
      <c r="M27" s="120">
        <f>+K27+'29'!M27+L27</f>
        <v>10807</v>
      </c>
      <c r="P27" s="152">
        <f>SUM(P25:P26)</f>
        <v>480</v>
      </c>
      <c r="Q27" s="152">
        <f t="shared" ref="Q27" si="2">SUM(Q25:Q26)</f>
        <v>240000</v>
      </c>
      <c r="R27" s="152">
        <f t="shared" ref="R27" si="3">SUM(R25:R26)</f>
        <v>211200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 t="s">
        <v>687</v>
      </c>
      <c r="I28" s="785"/>
      <c r="J28" s="217" t="s">
        <v>696</v>
      </c>
      <c r="K28" s="242">
        <f>+C9+C17</f>
        <v>10058</v>
      </c>
      <c r="L28" s="242"/>
      <c r="M28" s="120">
        <f>+K28+'29'!M28+L28</f>
        <v>10058</v>
      </c>
      <c r="Q28" s="152">
        <f>+Q27/P27</f>
        <v>500</v>
      </c>
      <c r="R28" s="152">
        <f>+R27/P27</f>
        <v>440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 t="s">
        <v>697</v>
      </c>
      <c r="K29" s="242">
        <f>+C18+C25</f>
        <v>36277</v>
      </c>
      <c r="L29" s="242"/>
      <c r="M29" s="120">
        <f>+K29+'29'!M29+L29</f>
        <v>36277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 t="s">
        <v>698</v>
      </c>
      <c r="K30" s="242">
        <f>+C26</f>
        <v>6627</v>
      </c>
      <c r="L30" s="242"/>
      <c r="M30" s="120">
        <f>+K30+'29'!M30+L30</f>
        <v>6627</v>
      </c>
      <c r="N30" s="152">
        <v>30</v>
      </c>
      <c r="O30" s="152">
        <v>600</v>
      </c>
      <c r="P30" s="152">
        <f t="shared" ref="P30:P34" si="4">+O30-O30*0.12</f>
        <v>528</v>
      </c>
      <c r="Q30" s="152">
        <v>115</v>
      </c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+'29'!J31</f>
        <v>0</v>
      </c>
      <c r="K31" s="242"/>
      <c r="L31" s="242"/>
      <c r="M31" s="120">
        <f>+K31+'29'!M31+L31</f>
        <v>0</v>
      </c>
      <c r="N31" s="158">
        <v>31.5</v>
      </c>
      <c r="O31" s="152">
        <v>600</v>
      </c>
      <c r="P31" s="152">
        <f t="shared" si="4"/>
        <v>528</v>
      </c>
      <c r="Q31" s="152">
        <v>305</v>
      </c>
    </row>
    <row r="32" spans="1:18" ht="13.5" thickBot="1">
      <c r="A32" s="788"/>
      <c r="B32" s="168" t="s">
        <v>3</v>
      </c>
      <c r="C32" s="102">
        <f>SUM(C25:C31)</f>
        <v>26431</v>
      </c>
      <c r="D32" s="103">
        <f>SUM(D25:D31)</f>
        <v>780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+'29'!J32</f>
        <v>0</v>
      </c>
      <c r="K32" s="242"/>
      <c r="L32" s="246"/>
      <c r="M32" s="120">
        <f>+K32+'29'!M32+L32</f>
        <v>0</v>
      </c>
      <c r="N32" s="152">
        <v>33.5</v>
      </c>
      <c r="O32" s="152">
        <v>550</v>
      </c>
      <c r="P32" s="152">
        <f t="shared" si="4"/>
        <v>484</v>
      </c>
      <c r="Q32" s="152">
        <v>170</v>
      </c>
    </row>
    <row r="33" spans="1:17" ht="13.5" thickBot="1">
      <c r="A33" s="176"/>
      <c r="B33" s="177"/>
      <c r="C33" s="106">
        <f>C32/($C$32+$D$32+$E$32)</f>
        <v>0.97133512182573223</v>
      </c>
      <c r="D33" s="107">
        <f>D32/($C$32+$D$32+$E$32)</f>
        <v>2.8664878174267758E-2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  <c r="N33" s="152">
        <v>36</v>
      </c>
      <c r="O33" s="152">
        <v>520</v>
      </c>
      <c r="P33" s="152">
        <f t="shared" si="4"/>
        <v>457.6</v>
      </c>
      <c r="Q33" s="152">
        <f>370+240</f>
        <v>610</v>
      </c>
    </row>
    <row r="34" spans="1:17" ht="13.5" thickBot="1">
      <c r="A34" s="791" t="s">
        <v>60</v>
      </c>
      <c r="B34" s="792"/>
      <c r="C34" s="110">
        <f>C14+C23+C32</f>
        <v>70442</v>
      </c>
      <c r="D34" s="110">
        <f>D14+D23+D32</f>
        <v>1480</v>
      </c>
      <c r="E34" s="110">
        <f>E14+E23+E32</f>
        <v>0</v>
      </c>
      <c r="F34" s="111">
        <f>F14+F23+F32</f>
        <v>28</v>
      </c>
      <c r="H34" s="181"/>
      <c r="I34" s="181"/>
      <c r="J34" s="126" t="s">
        <v>29</v>
      </c>
      <c r="K34" s="127">
        <f>SUM(K7:K32)</f>
        <v>70442</v>
      </c>
      <c r="L34" s="215">
        <f>SUM(L7:L32)</f>
        <v>0</v>
      </c>
      <c r="M34" s="123">
        <f>SUM(M7:M32)</f>
        <v>1607245</v>
      </c>
      <c r="N34" s="152">
        <v>38</v>
      </c>
      <c r="O34" s="152">
        <v>480</v>
      </c>
      <c r="P34" s="152">
        <f t="shared" si="4"/>
        <v>422.4</v>
      </c>
      <c r="Q34" s="152">
        <v>240</v>
      </c>
    </row>
    <row r="35" spans="1:17" ht="13.5" thickBot="1">
      <c r="A35" s="182"/>
      <c r="B35" s="183"/>
      <c r="C35" s="107">
        <f>C34/($C$34+$D$34+$E$34)</f>
        <v>0.9794221517755346</v>
      </c>
      <c r="D35" s="107">
        <f>D34/($C$34+$D$34+$E$34)</f>
        <v>2.0577848224465393E-2</v>
      </c>
      <c r="E35" s="112">
        <f>E34/($C$34+$D$34+$E$34)</f>
        <v>0</v>
      </c>
      <c r="K35" s="158"/>
      <c r="L35" s="780" t="s">
        <v>186</v>
      </c>
      <c r="M35" s="780"/>
      <c r="N35" s="158"/>
      <c r="Q35" s="152">
        <f>SUM(Q30:Q34)</f>
        <v>1440</v>
      </c>
    </row>
    <row r="36" spans="1:17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7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(30*115+31.5*305+33.5*170+36*610+38*240)/1440*G42*3.4*1440/1000000</f>
        <v>80.54443585833333</v>
      </c>
      <c r="J37" s="128">
        <f>+I37+'29'!J37</f>
        <v>1832.0870683053363</v>
      </c>
      <c r="K37" s="129" t="s">
        <v>66</v>
      </c>
      <c r="L37" s="437"/>
      <c r="M37" s="438"/>
      <c r="N37" s="152">
        <v>5.3870000000000005</v>
      </c>
    </row>
    <row r="38" spans="1:17" ht="17.45" customHeight="1">
      <c r="A38" s="797" t="s">
        <v>13</v>
      </c>
      <c r="B38" s="798"/>
      <c r="C38" s="167">
        <f>SUMIF($G$7:$G$31,"Process",$F$7:$F$31)</f>
        <v>28</v>
      </c>
      <c r="D38" s="121">
        <f>+C38+'29'!D38</f>
        <v>1262</v>
      </c>
      <c r="E38" s="146">
        <f t="shared" ref="E38:E51" si="5">D38/60</f>
        <v>21.033333333333335</v>
      </c>
      <c r="F38" s="372">
        <v>593.75</v>
      </c>
      <c r="G38" s="372">
        <v>522.5</v>
      </c>
      <c r="H38" s="190" t="s">
        <v>67</v>
      </c>
      <c r="I38" s="562">
        <f>24.539+23.691+25.711</f>
        <v>73.941000000000003</v>
      </c>
      <c r="J38" s="130">
        <f>+I38+'29'!J38</f>
        <v>1657.1380000000001</v>
      </c>
      <c r="K38" s="131" t="s">
        <v>66</v>
      </c>
      <c r="L38" s="439"/>
      <c r="M38" s="440"/>
      <c r="N38" s="152">
        <v>14.785</v>
      </c>
    </row>
    <row r="39" spans="1:17" ht="17.45" customHeight="1">
      <c r="A39" s="793" t="s">
        <v>14</v>
      </c>
      <c r="B39" s="794"/>
      <c r="C39" s="167">
        <f>SUMIF($G$7:$G$31,"Cleaning",$F$7:$F$31)</f>
        <v>0</v>
      </c>
      <c r="D39" s="121">
        <f>+C39+'29'!D39</f>
        <v>0</v>
      </c>
      <c r="E39" s="146">
        <f t="shared" si="5"/>
        <v>0</v>
      </c>
      <c r="F39" s="372">
        <v>526.875</v>
      </c>
      <c r="G39" s="372">
        <v>463.65</v>
      </c>
      <c r="H39" s="190" t="s">
        <v>68</v>
      </c>
      <c r="I39" s="145"/>
      <c r="J39" s="132">
        <f>J37/G4</f>
        <v>61.069568943511207</v>
      </c>
      <c r="K39" s="133" t="s">
        <v>66</v>
      </c>
      <c r="L39" s="439"/>
      <c r="M39" s="440"/>
      <c r="N39" s="152">
        <v>11.545</v>
      </c>
    </row>
    <row r="40" spans="1:17" ht="17.45" customHeight="1">
      <c r="A40" s="793" t="s">
        <v>69</v>
      </c>
      <c r="B40" s="794"/>
      <c r="C40" s="167">
        <f>SUMIF($G$7:$G$31,"Mechanical",$F$7:$F$31)</f>
        <v>0</v>
      </c>
      <c r="D40" s="121">
        <f>+C40+'29'!D40</f>
        <v>0</v>
      </c>
      <c r="E40" s="146">
        <f t="shared" si="5"/>
        <v>0</v>
      </c>
      <c r="F40" s="372">
        <v>500</v>
      </c>
      <c r="G40" s="372">
        <v>440</v>
      </c>
      <c r="H40" s="190" t="s">
        <v>70</v>
      </c>
      <c r="I40" s="121">
        <f>(K34+L34)/1000</f>
        <v>70.441999999999993</v>
      </c>
      <c r="J40" s="134">
        <f>+I40+'29'!J40</f>
        <v>1607.2449999999997</v>
      </c>
      <c r="K40" s="133" t="s">
        <v>66</v>
      </c>
      <c r="L40" s="439"/>
      <c r="M40" s="440"/>
      <c r="N40" s="152">
        <v>33.522000000000006</v>
      </c>
    </row>
    <row r="41" spans="1:17" ht="17.45" customHeight="1">
      <c r="A41" s="793" t="s">
        <v>71</v>
      </c>
      <c r="B41" s="794"/>
      <c r="C41" s="167">
        <f>SUMIF($G$7:$G$31,"Electrical",$F$7:$F$31)</f>
        <v>0</v>
      </c>
      <c r="D41" s="121">
        <f>+C41+'29'!D41</f>
        <v>624</v>
      </c>
      <c r="E41" s="146">
        <f t="shared" si="5"/>
        <v>10.4</v>
      </c>
      <c r="F41" s="372"/>
      <c r="G41" s="372"/>
      <c r="H41" s="190" t="s">
        <v>72</v>
      </c>
      <c r="I41" s="145"/>
      <c r="J41" s="132">
        <f>J40/G4</f>
        <v>53.574833333333324</v>
      </c>
      <c r="K41" s="133" t="s">
        <v>66</v>
      </c>
      <c r="L41" s="439"/>
      <c r="M41" s="440"/>
      <c r="N41" s="152">
        <v>8.702</v>
      </c>
    </row>
    <row r="42" spans="1:17" ht="17.45" customHeight="1">
      <c r="A42" s="793" t="s">
        <v>17</v>
      </c>
      <c r="B42" s="794"/>
      <c r="C42" s="167">
        <f>SUMIF($G$7:$G$31,"Instrument",$F$7:$F$31)</f>
        <v>0</v>
      </c>
      <c r="D42" s="121">
        <f>+C42+'29'!D42</f>
        <v>0</v>
      </c>
      <c r="E42" s="146">
        <f t="shared" si="5"/>
        <v>0</v>
      </c>
      <c r="F42" s="372">
        <f>+(F38*480+F39*480+F40*480)/1440</f>
        <v>540.20833333333337</v>
      </c>
      <c r="G42" s="372">
        <f>+(G38*480+G39*480+G40*480)/1440</f>
        <v>475.38333333333333</v>
      </c>
      <c r="H42" s="190" t="s">
        <v>73</v>
      </c>
      <c r="I42" s="248" t="s">
        <v>694</v>
      </c>
      <c r="J42" s="135"/>
      <c r="K42" s="133" t="s">
        <v>74</v>
      </c>
      <c r="L42" s="439"/>
      <c r="M42" s="440"/>
    </row>
    <row r="43" spans="1:17" ht="17.45" customHeight="1">
      <c r="A43" s="793" t="s">
        <v>75</v>
      </c>
      <c r="B43" s="794"/>
      <c r="C43" s="167">
        <f>SUMIF($G$7:$G$31,"Water",$F$7:$F$31)</f>
        <v>0</v>
      </c>
      <c r="D43" s="121">
        <f>+C43+'29'!D43</f>
        <v>0</v>
      </c>
      <c r="E43" s="146">
        <f t="shared" si="5"/>
        <v>0</v>
      </c>
      <c r="F43" s="372"/>
      <c r="G43" s="373"/>
      <c r="H43" s="191" t="s">
        <v>76</v>
      </c>
      <c r="I43" s="121">
        <f>+Report1!AH38</f>
        <v>148.339</v>
      </c>
      <c r="J43" s="136">
        <f>+I43+'29'!J43</f>
        <v>3833.3649999999998</v>
      </c>
      <c r="K43" s="133" t="s">
        <v>66</v>
      </c>
      <c r="L43" s="441">
        <f>+Report1!AN38</f>
        <v>19.2</v>
      </c>
      <c r="M43" s="442">
        <f>+L43+'29'!M43</f>
        <v>124.7</v>
      </c>
    </row>
    <row r="44" spans="1:17" ht="17.45" customHeight="1">
      <c r="A44" s="793" t="s">
        <v>18</v>
      </c>
      <c r="B44" s="794"/>
      <c r="C44" s="167">
        <f>SUMIF($G$7:$G$31,"PLN",$F$7:$F$31)</f>
        <v>0</v>
      </c>
      <c r="D44" s="121">
        <f>+C44+'29'!D44</f>
        <v>0</v>
      </c>
      <c r="E44" s="146">
        <f t="shared" si="5"/>
        <v>0</v>
      </c>
      <c r="F44" s="372"/>
      <c r="G44" s="373"/>
      <c r="H44" s="191" t="s">
        <v>77</v>
      </c>
      <c r="I44" s="121">
        <f>I43/I38</f>
        <v>2.0061806034541054</v>
      </c>
      <c r="J44" s="137">
        <f>J43/J38</f>
        <v>2.3132442801987518</v>
      </c>
      <c r="K44" s="133" t="s">
        <v>66</v>
      </c>
      <c r="L44" s="443">
        <f>+L43/I38</f>
        <v>0.25966649085081345</v>
      </c>
      <c r="M44" s="444">
        <f>+M43/J38</f>
        <v>7.5250220560991288E-2</v>
      </c>
    </row>
    <row r="45" spans="1:17" ht="17.45" customHeight="1">
      <c r="A45" s="793" t="s">
        <v>19</v>
      </c>
      <c r="B45" s="794"/>
      <c r="C45" s="167">
        <f>SUMIF($G$7:$G$31,"Boiler",$F$7:$F$31)</f>
        <v>0</v>
      </c>
      <c r="D45" s="121">
        <f>+C45+'29'!D45</f>
        <v>0</v>
      </c>
      <c r="E45" s="146">
        <f t="shared" si="5"/>
        <v>0</v>
      </c>
      <c r="F45" s="372"/>
      <c r="G45" s="375"/>
      <c r="H45" s="191" t="s">
        <v>78</v>
      </c>
      <c r="I45" s="121">
        <f>I43/I40</f>
        <v>2.1058317481048241</v>
      </c>
      <c r="J45" s="137">
        <f>J43/J40</f>
        <v>2.3850533055010286</v>
      </c>
      <c r="K45" s="133" t="s">
        <v>66</v>
      </c>
      <c r="L45" s="443">
        <f>+L43/I40</f>
        <v>0.27256466312711169</v>
      </c>
      <c r="M45" s="444">
        <f>+M43/J40</f>
        <v>7.7586180078332817E-2</v>
      </c>
    </row>
    <row r="46" spans="1:17" ht="17.45" customHeight="1">
      <c r="A46" s="793" t="s">
        <v>79</v>
      </c>
      <c r="B46" s="794"/>
      <c r="C46" s="167">
        <f>SUMIF($G$7:$G$31,"Gas",$F$7:$F$31)</f>
        <v>0</v>
      </c>
      <c r="D46" s="121">
        <f>+C46+'29'!D46</f>
        <v>0</v>
      </c>
      <c r="E46" s="146">
        <f t="shared" si="5"/>
        <v>0</v>
      </c>
      <c r="F46" s="372"/>
      <c r="G46" s="373"/>
      <c r="H46" s="191" t="s">
        <v>80</v>
      </c>
      <c r="I46" s="143">
        <f>+SUMIF(Listrik!AC37,"&gt;0")</f>
        <v>36215.310000000987</v>
      </c>
      <c r="J46" s="138">
        <f>+I46+'29'!J46</f>
        <v>1231096.820000001</v>
      </c>
      <c r="K46" s="133" t="s">
        <v>81</v>
      </c>
      <c r="L46" s="443">
        <f>+Listrik!AF37</f>
        <v>32502</v>
      </c>
      <c r="M46" s="445">
        <f>+L46+'29'!M46</f>
        <v>218656</v>
      </c>
    </row>
    <row r="47" spans="1:17" ht="17.45" customHeight="1">
      <c r="A47" s="793" t="s">
        <v>82</v>
      </c>
      <c r="B47" s="794"/>
      <c r="C47" s="167">
        <f>SUMIF($G$7:$G$31,"Gas",$F$7:$F$31)</f>
        <v>0</v>
      </c>
      <c r="D47" s="121">
        <f>+C47+'29'!D47</f>
        <v>0</v>
      </c>
      <c r="E47" s="146">
        <f t="shared" si="5"/>
        <v>0</v>
      </c>
      <c r="F47" s="372"/>
      <c r="G47" s="373"/>
      <c r="H47" s="191" t="s">
        <v>83</v>
      </c>
      <c r="I47" s="121">
        <f>I46/I38</f>
        <v>489.78658660284532</v>
      </c>
      <c r="J47" s="138">
        <f>J46/J38</f>
        <v>742.90543092971188</v>
      </c>
      <c r="K47" s="133" t="s">
        <v>25</v>
      </c>
      <c r="L47" s="443">
        <f>+L46/I38</f>
        <v>439.56668154339269</v>
      </c>
      <c r="M47" s="444">
        <f>+M46/J38</f>
        <v>131.94797295095518</v>
      </c>
    </row>
    <row r="48" spans="1:17" ht="17.45" customHeight="1">
      <c r="A48" s="793" t="s">
        <v>15</v>
      </c>
      <c r="B48" s="794"/>
      <c r="C48" s="167">
        <f>SUMIF($G$7:$G$31,"Start Up",$F$7:$F$31)</f>
        <v>0</v>
      </c>
      <c r="D48" s="121">
        <f>+C48+'29'!D48</f>
        <v>0</v>
      </c>
      <c r="E48" s="146">
        <f t="shared" si="5"/>
        <v>0</v>
      </c>
      <c r="F48" s="372"/>
      <c r="G48" s="373"/>
      <c r="H48" s="191" t="s">
        <v>84</v>
      </c>
      <c r="I48" s="121">
        <f>I46/I40</f>
        <v>514.11530053094737</v>
      </c>
      <c r="J48" s="138">
        <f>J46/J40</f>
        <v>765.9671176454126</v>
      </c>
      <c r="K48" s="133" t="s">
        <v>25</v>
      </c>
      <c r="L48" s="443">
        <f>+L46/I38</f>
        <v>439.56668154339269</v>
      </c>
      <c r="M48" s="444">
        <f>+M46/J40</f>
        <v>136.04397587175575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+C49+'29'!D49</f>
        <v>1406</v>
      </c>
      <c r="E49" s="146">
        <f t="shared" si="5"/>
        <v>23.433333333333334</v>
      </c>
      <c r="F49" s="188"/>
      <c r="H49" s="191" t="s">
        <v>85</v>
      </c>
      <c r="I49" s="121">
        <f>+Report1!AB38</f>
        <v>0</v>
      </c>
      <c r="J49" s="138">
        <f>+I49+'29'!J49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+C50+'29'!D50</f>
        <v>0</v>
      </c>
      <c r="E50" s="146">
        <f t="shared" si="5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+C51+'29'!D51</f>
        <v>0</v>
      </c>
      <c r="E51" s="146">
        <f t="shared" si="5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28</v>
      </c>
      <c r="D52" s="147">
        <f>SUM(D38:D51)</f>
        <v>3292</v>
      </c>
      <c r="E52" s="148">
        <f>SUM(E38:E51)</f>
        <v>54.866666666666674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1.9444444444444445E-2</v>
      </c>
      <c r="D53" s="149">
        <f>D52/(24*60*G4)</f>
        <v>7.6203703703703704E-2</v>
      </c>
      <c r="E53" s="150">
        <f>E52/(G4*24)</f>
        <v>7.6203703703703718E-2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+D34+'29'!J56</f>
        <v>16451</v>
      </c>
      <c r="K56" s="204">
        <f>J56/(J40+J56/1000)/1000</f>
        <v>1.0131822705728167E-2</v>
      </c>
    </row>
    <row r="57" spans="1:13">
      <c r="A57" s="179"/>
      <c r="I57" s="202" t="s">
        <v>92</v>
      </c>
      <c r="J57" s="203">
        <f>+E34+'29'!J57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10.42578125" style="152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6.85546875" style="152" customWidth="1"/>
    <col min="11" max="11" width="12.5703125" style="152" bestFit="1" customWidth="1"/>
    <col min="12" max="12" width="8.28515625" style="152" customWidth="1"/>
    <col min="13" max="13" width="15.4257812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29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350+331+334</f>
        <v>1015</v>
      </c>
    </row>
    <row r="7" spans="1:18" ht="13.5" customHeight="1" thickBot="1">
      <c r="A7" s="781" t="s">
        <v>461</v>
      </c>
      <c r="B7" s="218" t="s">
        <v>664</v>
      </c>
      <c r="C7" s="219">
        <f>3891+17639</f>
        <v>21530</v>
      </c>
      <c r="D7" s="220">
        <v>850</v>
      </c>
      <c r="E7" s="221"/>
      <c r="F7" s="231"/>
      <c r="G7" s="232" t="s">
        <v>13</v>
      </c>
      <c r="H7" s="233" t="s">
        <v>391</v>
      </c>
      <c r="I7" s="784" t="s">
        <v>676</v>
      </c>
      <c r="J7" s="217" t="str">
        <f>+'28'!J7</f>
        <v>TW 38 RC BR</v>
      </c>
      <c r="K7" s="241"/>
      <c r="L7" s="245"/>
      <c r="M7" s="120">
        <f>+K7+'28'!M7+L7</f>
        <v>53722</v>
      </c>
    </row>
    <row r="8" spans="1:18" ht="13.5" thickBot="1">
      <c r="A8" s="782"/>
      <c r="B8" s="218"/>
      <c r="C8" s="219"/>
      <c r="D8" s="220"/>
      <c r="E8" s="222"/>
      <c r="F8" s="234"/>
      <c r="G8" s="235" t="s">
        <v>13</v>
      </c>
      <c r="H8" s="233" t="s">
        <v>486</v>
      </c>
      <c r="I8" s="785"/>
      <c r="J8" s="217" t="str">
        <f>+'28'!J8</f>
        <v>TW 36 RC BR</v>
      </c>
      <c r="K8" s="242"/>
      <c r="L8" s="242"/>
      <c r="M8" s="120">
        <f>+K8+'28'!M8+L8</f>
        <v>45750</v>
      </c>
      <c r="N8" s="152">
        <v>550</v>
      </c>
      <c r="O8" s="152">
        <f>+N8-N8*0.12</f>
        <v>484</v>
      </c>
      <c r="P8" s="152">
        <v>240</v>
      </c>
      <c r="Q8" s="152">
        <f>+N8*P8</f>
        <v>132000</v>
      </c>
      <c r="R8" s="152">
        <f>+O8*P8</f>
        <v>116160</v>
      </c>
    </row>
    <row r="9" spans="1:18" ht="13.5" thickBot="1">
      <c r="A9" s="782"/>
      <c r="B9" s="218"/>
      <c r="C9" s="219"/>
      <c r="D9" s="220"/>
      <c r="E9" s="223"/>
      <c r="F9" s="231">
        <v>3</v>
      </c>
      <c r="G9" s="235" t="s">
        <v>13</v>
      </c>
      <c r="H9" s="236" t="s">
        <v>226</v>
      </c>
      <c r="I9" s="785"/>
      <c r="J9" s="217" t="str">
        <f>+'28'!J9</f>
        <v>TW 34 RC BR</v>
      </c>
      <c r="K9" s="242"/>
      <c r="L9" s="242"/>
      <c r="M9" s="120">
        <f>+K9+'28'!M9+L9</f>
        <v>19926</v>
      </c>
      <c r="N9" s="152">
        <v>600</v>
      </c>
      <c r="O9" s="152">
        <f>+N9-N9*0.12</f>
        <v>528</v>
      </c>
      <c r="P9" s="152">
        <v>240</v>
      </c>
      <c r="Q9" s="152">
        <f>+N9*P9</f>
        <v>144000</v>
      </c>
      <c r="R9" s="152">
        <f>+O9*P9</f>
        <v>126720</v>
      </c>
    </row>
    <row r="10" spans="1:18" ht="13.5" thickBot="1">
      <c r="A10" s="782"/>
      <c r="B10" s="218"/>
      <c r="C10" s="219"/>
      <c r="D10" s="220"/>
      <c r="E10" s="222"/>
      <c r="F10" s="231"/>
      <c r="G10" s="235"/>
      <c r="H10" s="236" t="s">
        <v>660</v>
      </c>
      <c r="I10" s="785"/>
      <c r="J10" s="217" t="str">
        <f>+'28'!J10</f>
        <v>TW 30 RC BR</v>
      </c>
      <c r="K10" s="242"/>
      <c r="L10" s="242"/>
      <c r="M10" s="120">
        <f>+K10+'28'!M10+L10</f>
        <v>11017</v>
      </c>
      <c r="P10" s="152">
        <f>SUM(P8:P9)</f>
        <v>480</v>
      </c>
      <c r="Q10" s="152">
        <f t="shared" ref="Q10:R10" si="0">SUM(Q8:Q9)</f>
        <v>276000</v>
      </c>
      <c r="R10" s="152">
        <f t="shared" si="0"/>
        <v>242880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674</v>
      </c>
      <c r="I11" s="785"/>
      <c r="J11" s="217" t="str">
        <f>+'28'!J11</f>
        <v>TW 20 RC BR</v>
      </c>
      <c r="K11" s="242"/>
      <c r="L11" s="242"/>
      <c r="M11" s="120">
        <f>+K11+'28'!M11+L11</f>
        <v>13885</v>
      </c>
      <c r="Q11" s="152">
        <f>+Q10/P10</f>
        <v>575</v>
      </c>
      <c r="R11" s="152">
        <f>+R10/P10</f>
        <v>506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+'28'!J12</f>
        <v>N 20 RC BR</v>
      </c>
      <c r="K12" s="242"/>
      <c r="L12" s="242"/>
      <c r="M12" s="120">
        <f>+K12+'28'!M12+L12</f>
        <v>16183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+'28'!J13</f>
        <v>N 17,5 RC BR</v>
      </c>
      <c r="K13" s="242"/>
      <c r="L13" s="242"/>
      <c r="M13" s="120">
        <f>+K13+'28'!M13+L13</f>
        <v>61888</v>
      </c>
    </row>
    <row r="14" spans="1:18" ht="13.5" thickBot="1">
      <c r="A14" s="783"/>
      <c r="B14" s="168" t="s">
        <v>3</v>
      </c>
      <c r="C14" s="102">
        <f>SUM(C7:C13)</f>
        <v>21530</v>
      </c>
      <c r="D14" s="114">
        <f>SUM(D7:D13)</f>
        <v>850</v>
      </c>
      <c r="E14" s="115">
        <f>SUM(E5:E13)</f>
        <v>0</v>
      </c>
      <c r="F14" s="105">
        <f>SUM(F6:F13)</f>
        <v>3</v>
      </c>
      <c r="G14" s="162"/>
      <c r="H14" s="169"/>
      <c r="I14" s="170"/>
      <c r="J14" s="217" t="str">
        <f>+'28'!J14</f>
        <v>N 16 RC BR</v>
      </c>
      <c r="K14" s="242"/>
      <c r="L14" s="242"/>
      <c r="M14" s="120">
        <f>+K14+'28'!M14+L14</f>
        <v>24358</v>
      </c>
    </row>
    <row r="15" spans="1:18" ht="13.5" customHeight="1" thickBot="1">
      <c r="A15" s="781" t="s">
        <v>410</v>
      </c>
      <c r="B15" s="168"/>
      <c r="C15" s="116">
        <f>C14/($C$23+$D$23+$E$23)</f>
        <v>0.95198089847895295</v>
      </c>
      <c r="D15" s="117">
        <f>D14/($C$23+$D$23+$E$23)</f>
        <v>3.758401131941988E-2</v>
      </c>
      <c r="E15" s="118">
        <f>E14/($C$23+$D$23+$E$23)</f>
        <v>0</v>
      </c>
      <c r="F15" s="231">
        <v>2</v>
      </c>
      <c r="G15" s="232" t="s">
        <v>13</v>
      </c>
      <c r="H15" s="233" t="s">
        <v>435</v>
      </c>
      <c r="I15" s="784" t="s">
        <v>677</v>
      </c>
      <c r="J15" s="217" t="str">
        <f>+'28'!J15</f>
        <v>N 15,5 RC BR</v>
      </c>
      <c r="K15" s="242"/>
      <c r="L15" s="242"/>
      <c r="M15" s="120">
        <f>+K15+'28'!M15+L15</f>
        <v>0</v>
      </c>
    </row>
    <row r="16" spans="1:18" ht="13.5" thickBot="1">
      <c r="A16" s="787"/>
      <c r="B16" s="218" t="s">
        <v>664</v>
      </c>
      <c r="C16" s="225">
        <v>22616</v>
      </c>
      <c r="D16" s="226"/>
      <c r="E16" s="227"/>
      <c r="F16" s="234">
        <v>4</v>
      </c>
      <c r="G16" s="235" t="s">
        <v>13</v>
      </c>
      <c r="H16" s="233" t="s">
        <v>389</v>
      </c>
      <c r="I16" s="785"/>
      <c r="J16" s="217" t="str">
        <f>+'28'!J16</f>
        <v>N 17 VP OW</v>
      </c>
      <c r="K16" s="242"/>
      <c r="L16" s="242"/>
      <c r="M16" s="120">
        <f>+K16+'28'!M16+L16</f>
        <v>62993</v>
      </c>
    </row>
    <row r="17" spans="1:25" ht="13.5" thickBot="1">
      <c r="A17" s="787"/>
      <c r="B17" s="218"/>
      <c r="C17" s="219"/>
      <c r="D17" s="220"/>
      <c r="E17" s="228"/>
      <c r="F17" s="231">
        <v>2</v>
      </c>
      <c r="G17" s="235" t="s">
        <v>13</v>
      </c>
      <c r="H17" s="236" t="s">
        <v>226</v>
      </c>
      <c r="I17" s="785"/>
      <c r="J17" s="217" t="str">
        <f>+'28'!J17</f>
        <v>N 16 VP OW</v>
      </c>
      <c r="K17" s="242"/>
      <c r="L17" s="242"/>
      <c r="M17" s="120">
        <f>+K17+'28'!M17+L17</f>
        <v>263057</v>
      </c>
    </row>
    <row r="18" spans="1:25" ht="13.5" thickBot="1">
      <c r="A18" s="787"/>
      <c r="B18" s="218"/>
      <c r="C18" s="219"/>
      <c r="D18" s="220"/>
      <c r="E18" s="228"/>
      <c r="F18" s="231"/>
      <c r="G18" s="235"/>
      <c r="H18" s="236" t="s">
        <v>675</v>
      </c>
      <c r="I18" s="785"/>
      <c r="J18" s="217" t="str">
        <f>+'28'!J18</f>
        <v>N 19 VP OW</v>
      </c>
      <c r="K18" s="242"/>
      <c r="L18" s="242"/>
      <c r="M18" s="120">
        <f>+K18+'28'!M18+L18</f>
        <v>24049</v>
      </c>
    </row>
    <row r="19" spans="1:25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+'28'!J19</f>
        <v>N 25 VP OW</v>
      </c>
      <c r="K19" s="242"/>
      <c r="L19" s="242"/>
      <c r="M19" s="120">
        <f>+K19+'28'!M19+L19</f>
        <v>114797</v>
      </c>
    </row>
    <row r="20" spans="1:25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+'28'!J20</f>
        <v>N 23 VP OW</v>
      </c>
      <c r="K20" s="242"/>
      <c r="L20" s="242"/>
      <c r="M20" s="120">
        <f>+K20+'28'!M20+L20</f>
        <v>9760</v>
      </c>
      <c r="U20" s="152">
        <v>500</v>
      </c>
      <c r="V20" s="152">
        <f>+U20-U20*0.12</f>
        <v>440</v>
      </c>
      <c r="W20" s="152">
        <f>60+8</f>
        <v>68</v>
      </c>
      <c r="X20" s="152">
        <f>+U20*W20</f>
        <v>34000</v>
      </c>
      <c r="Y20" s="152">
        <f>+V20*W20</f>
        <v>29920</v>
      </c>
    </row>
    <row r="21" spans="1:25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+'28'!J21</f>
        <v>TW 23 VP OW</v>
      </c>
      <c r="K21" s="242"/>
      <c r="L21" s="242"/>
      <c r="M21" s="120">
        <f>+K21+'28'!M21+L21</f>
        <v>162640</v>
      </c>
      <c r="U21" s="152">
        <v>400</v>
      </c>
      <c r="V21" s="152">
        <f>+U21-U21*0.12</f>
        <v>352</v>
      </c>
      <c r="W21" s="152">
        <f>52+120</f>
        <v>172</v>
      </c>
      <c r="X21" s="152">
        <f>+U21*W21</f>
        <v>68800</v>
      </c>
      <c r="Y21" s="152">
        <f>+V21*W21</f>
        <v>60544</v>
      </c>
    </row>
    <row r="22" spans="1:25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+'28'!J22</f>
        <v>TW 17 VP OW</v>
      </c>
      <c r="K22" s="242"/>
      <c r="L22" s="242"/>
      <c r="M22" s="120">
        <f>+K22+'28'!M22+L22</f>
        <v>232569</v>
      </c>
      <c r="U22" s="152">
        <v>420</v>
      </c>
      <c r="V22" s="152">
        <f>+U22-U22*0.12</f>
        <v>369.6</v>
      </c>
      <c r="W22" s="152">
        <v>300</v>
      </c>
      <c r="X22" s="152">
        <f>+U22*W22</f>
        <v>126000</v>
      </c>
      <c r="Y22" s="152">
        <f>+V22*W22</f>
        <v>110880</v>
      </c>
    </row>
    <row r="23" spans="1:25" ht="13.5" thickBot="1">
      <c r="A23" s="788"/>
      <c r="B23" s="168" t="s">
        <v>3</v>
      </c>
      <c r="C23" s="103">
        <f>SUM(C16:C22)</f>
        <v>22616</v>
      </c>
      <c r="D23" s="114">
        <f>SUM(D16:D22)</f>
        <v>0</v>
      </c>
      <c r="E23" s="115">
        <f>SUM(E18:E22)</f>
        <v>0</v>
      </c>
      <c r="F23" s="105">
        <f>SUM(F15:F22)</f>
        <v>8</v>
      </c>
      <c r="G23" s="162"/>
      <c r="H23" s="169"/>
      <c r="I23" s="172"/>
      <c r="J23" s="217" t="str">
        <f>+'28'!J23</f>
        <v>TW 16 VP OW</v>
      </c>
      <c r="K23" s="242"/>
      <c r="L23" s="242"/>
      <c r="M23" s="120">
        <f>+K23+'28'!M23+L23</f>
        <v>130611</v>
      </c>
      <c r="W23" s="152">
        <f>SUM(W20:W22)</f>
        <v>540</v>
      </c>
      <c r="X23" s="152">
        <f>SUM(X20:X22)</f>
        <v>228800</v>
      </c>
      <c r="Y23" s="152">
        <f>SUM(Y20:Y22)</f>
        <v>201344</v>
      </c>
    </row>
    <row r="24" spans="1:25" ht="13.5" customHeight="1" thickBot="1">
      <c r="A24" s="781" t="s">
        <v>409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677</v>
      </c>
      <c r="J24" s="217" t="str">
        <f>+'28'!J24</f>
        <v>N 18 VP OW</v>
      </c>
      <c r="K24" s="242"/>
      <c r="L24" s="242"/>
      <c r="M24" s="120">
        <f>+K24+'28'!M24+L24</f>
        <v>108513</v>
      </c>
      <c r="X24" s="152">
        <f>+X23/W23</f>
        <v>423.7037037037037</v>
      </c>
      <c r="Y24" s="152">
        <f>+Y23/W23</f>
        <v>372.85925925925926</v>
      </c>
    </row>
    <row r="25" spans="1:25" ht="13.5" thickBot="1">
      <c r="A25" s="787"/>
      <c r="B25" s="218" t="s">
        <v>664</v>
      </c>
      <c r="C25" s="229">
        <v>24579</v>
      </c>
      <c r="D25" s="220"/>
      <c r="E25" s="228"/>
      <c r="F25" s="234">
        <v>5</v>
      </c>
      <c r="G25" s="235" t="s">
        <v>13</v>
      </c>
      <c r="H25" s="233" t="s">
        <v>389</v>
      </c>
      <c r="I25" s="785"/>
      <c r="J25" s="217" t="str">
        <f>+'28'!J25</f>
        <v>N 20 RC HW</v>
      </c>
      <c r="K25" s="242"/>
      <c r="L25" s="242"/>
      <c r="M25" s="120">
        <f>+K25+'28'!M25+L25</f>
        <v>74205</v>
      </c>
    </row>
    <row r="26" spans="1:25" ht="13.5" thickBot="1">
      <c r="A26" s="787"/>
      <c r="B26" s="218"/>
      <c r="C26" s="229"/>
      <c r="D26" s="220"/>
      <c r="E26" s="230"/>
      <c r="F26" s="231">
        <v>5</v>
      </c>
      <c r="G26" s="235" t="s">
        <v>13</v>
      </c>
      <c r="H26" s="236" t="s">
        <v>226</v>
      </c>
      <c r="I26" s="785"/>
      <c r="J26" s="217" t="str">
        <f>+'28'!J26</f>
        <v>TW 30 RC HW</v>
      </c>
      <c r="K26" s="242">
        <f>+C7+C16+C25</f>
        <v>68725</v>
      </c>
      <c r="L26" s="242"/>
      <c r="M26" s="120">
        <f>+K26+'28'!M26+L26</f>
        <v>106880</v>
      </c>
    </row>
    <row r="27" spans="1:25" ht="13.5" thickBot="1">
      <c r="A27" s="787"/>
      <c r="B27" s="218"/>
      <c r="C27" s="219"/>
      <c r="D27" s="220"/>
      <c r="E27" s="228"/>
      <c r="F27" s="231"/>
      <c r="G27" s="235"/>
      <c r="H27" s="236" t="s">
        <v>675</v>
      </c>
      <c r="I27" s="785"/>
      <c r="J27" s="217">
        <f>+'28'!J27</f>
        <v>0</v>
      </c>
      <c r="K27" s="242"/>
      <c r="L27" s="242"/>
      <c r="M27" s="120">
        <f>+K27+'28'!M27+L27</f>
        <v>0</v>
      </c>
    </row>
    <row r="28" spans="1:25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+'28'!J28</f>
        <v>0</v>
      </c>
      <c r="K28" s="242"/>
      <c r="L28" s="242"/>
      <c r="M28" s="120">
        <f>+K28+'28'!M28+L28</f>
        <v>0</v>
      </c>
    </row>
    <row r="29" spans="1:25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+'28'!J29</f>
        <v>0</v>
      </c>
      <c r="K29" s="242"/>
      <c r="L29" s="242"/>
      <c r="M29" s="120">
        <f>+K29+'28'!M29+L29</f>
        <v>0</v>
      </c>
    </row>
    <row r="30" spans="1:25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+'28'!J30</f>
        <v>0</v>
      </c>
      <c r="K30" s="242"/>
      <c r="L30" s="242"/>
      <c r="M30" s="120">
        <f>+K30+'28'!M30+L30</f>
        <v>0</v>
      </c>
      <c r="N30" s="158"/>
    </row>
    <row r="31" spans="1:25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+'28'!J31</f>
        <v>0</v>
      </c>
      <c r="K31" s="242"/>
      <c r="L31" s="242"/>
      <c r="M31" s="120">
        <f>+K31+'28'!M31+L31</f>
        <v>0</v>
      </c>
    </row>
    <row r="32" spans="1:25" ht="13.5" thickBot="1">
      <c r="A32" s="788"/>
      <c r="B32" s="168" t="s">
        <v>3</v>
      </c>
      <c r="C32" s="102">
        <f>SUM(C25:C31)</f>
        <v>24579</v>
      </c>
      <c r="D32" s="103">
        <f>SUM(D25:D31)</f>
        <v>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/>
      <c r="K32" s="243"/>
      <c r="L32" s="246"/>
      <c r="M32" s="120">
        <f>+K32+'28'!M32+L32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68725</v>
      </c>
      <c r="D34" s="110">
        <f>D14+D23+D32</f>
        <v>850</v>
      </c>
      <c r="E34" s="110">
        <f>E14+E23+E32</f>
        <v>0</v>
      </c>
      <c r="F34" s="111">
        <f>F14+F23+F32</f>
        <v>21</v>
      </c>
      <c r="H34" s="181"/>
      <c r="I34" s="181"/>
      <c r="J34" s="126" t="s">
        <v>29</v>
      </c>
      <c r="K34" s="127">
        <f>SUM(K7:K32)</f>
        <v>68725</v>
      </c>
      <c r="L34" s="215">
        <f>SUM(L7:L32)</f>
        <v>0</v>
      </c>
      <c r="M34" s="123">
        <f>SUM(M7:M32)</f>
        <v>1536803</v>
      </c>
      <c r="N34" s="158"/>
    </row>
    <row r="35" spans="1:14" ht="13.5" thickBot="1">
      <c r="A35" s="182"/>
      <c r="B35" s="183"/>
      <c r="C35" s="107">
        <f>C34/($C$34+$D$34+$E$34)</f>
        <v>0.98778296802012222</v>
      </c>
      <c r="D35" s="107">
        <f>D34/($C$34+$D$34+$E$34)</f>
        <v>1.221703197987783E-2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(30*1440)/1440*G42*3.4*1440/1000000</f>
        <v>76.475519999999989</v>
      </c>
      <c r="J37" s="128">
        <f>+I37+'28'!J37</f>
        <v>1751.5426324470029</v>
      </c>
      <c r="K37" s="129" t="s">
        <v>66</v>
      </c>
      <c r="L37" s="437"/>
      <c r="M37" s="438"/>
    </row>
    <row r="38" spans="1:14" ht="17.45" customHeight="1">
      <c r="A38" s="797" t="s">
        <v>13</v>
      </c>
      <c r="B38" s="798"/>
      <c r="C38" s="167">
        <f>SUMIF($G$7:$G$31,"Process",$F$7:$F$31)</f>
        <v>21</v>
      </c>
      <c r="D38" s="121">
        <f>+C38+'28'!D38</f>
        <v>1234</v>
      </c>
      <c r="E38" s="146">
        <f t="shared" ref="E38:E51" si="1">D38/60</f>
        <v>20.566666666666666</v>
      </c>
      <c r="F38" s="372">
        <v>575</v>
      </c>
      <c r="G38" s="372">
        <v>506</v>
      </c>
      <c r="H38" s="190" t="s">
        <v>67</v>
      </c>
      <c r="I38" s="562">
        <f>22.916+22.822+23.047</f>
        <v>68.784999999999997</v>
      </c>
      <c r="J38" s="130">
        <f>+I38+'28'!J38</f>
        <v>1583.1970000000001</v>
      </c>
      <c r="K38" s="131" t="s">
        <v>66</v>
      </c>
      <c r="L38" s="439"/>
      <c r="M38" s="440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+C39+'28'!D39</f>
        <v>0</v>
      </c>
      <c r="E39" s="146">
        <f t="shared" si="1"/>
        <v>0</v>
      </c>
      <c r="F39" s="372">
        <v>600</v>
      </c>
      <c r="G39" s="372">
        <f t="shared" ref="G39:G40" si="2">+F39-F39*0.12</f>
        <v>528</v>
      </c>
      <c r="H39" s="190" t="s">
        <v>68</v>
      </c>
      <c r="I39" s="145"/>
      <c r="J39" s="132">
        <f>J37/G4</f>
        <v>60.398021808517342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+C40+'28'!D40</f>
        <v>0</v>
      </c>
      <c r="E40" s="146">
        <f t="shared" si="1"/>
        <v>0</v>
      </c>
      <c r="F40" s="372">
        <v>600</v>
      </c>
      <c r="G40" s="372">
        <f t="shared" si="2"/>
        <v>528</v>
      </c>
      <c r="H40" s="190" t="s">
        <v>70</v>
      </c>
      <c r="I40" s="121">
        <f>(K34+L34)/1000</f>
        <v>68.724999999999994</v>
      </c>
      <c r="J40" s="134">
        <f>+I40+'28'!J40</f>
        <v>1536.8029999999997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+C41+'28'!D41</f>
        <v>624</v>
      </c>
      <c r="E41" s="146">
        <f t="shared" si="1"/>
        <v>10.4</v>
      </c>
      <c r="F41" s="372"/>
      <c r="G41" s="372"/>
      <c r="H41" s="190" t="s">
        <v>72</v>
      </c>
      <c r="I41" s="145"/>
      <c r="J41" s="132">
        <f>J40/G4</f>
        <v>52.993206896551712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+C42+'28'!D42</f>
        <v>0</v>
      </c>
      <c r="E42" s="146">
        <f t="shared" si="1"/>
        <v>0</v>
      </c>
      <c r="F42" s="372">
        <f>+(F38*480+F39*480+F40*480)/1440</f>
        <v>591.66666666666663</v>
      </c>
      <c r="G42" s="372">
        <f>+(G38*480+G39*480+G40*480)/1440</f>
        <v>520.66666666666663</v>
      </c>
      <c r="H42" s="190" t="s">
        <v>73</v>
      </c>
      <c r="I42" s="248" t="s">
        <v>678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+C43+'28'!D43</f>
        <v>0</v>
      </c>
      <c r="E43" s="146">
        <f t="shared" si="1"/>
        <v>0</v>
      </c>
      <c r="F43" s="372"/>
      <c r="G43" s="373"/>
      <c r="H43" s="191" t="s">
        <v>76</v>
      </c>
      <c r="I43" s="121">
        <f>+Report1!AH37</f>
        <v>133.08799999999999</v>
      </c>
      <c r="J43" s="136">
        <f>+I43+'28'!J43</f>
        <v>3685.0259999999998</v>
      </c>
      <c r="K43" s="133" t="s">
        <v>66</v>
      </c>
      <c r="L43" s="441">
        <f>+Report1!AN37</f>
        <v>17.600000000000001</v>
      </c>
      <c r="M43" s="442">
        <f>+L43+'28'!M43</f>
        <v>105.5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+C44+'28'!D44</f>
        <v>0</v>
      </c>
      <c r="E44" s="146">
        <f t="shared" si="1"/>
        <v>0</v>
      </c>
      <c r="F44" s="372"/>
      <c r="G44" s="373"/>
      <c r="H44" s="191" t="s">
        <v>77</v>
      </c>
      <c r="I44" s="121">
        <f>I43/I38</f>
        <v>1.9348404448644327</v>
      </c>
      <c r="J44" s="137">
        <f>J43/J38</f>
        <v>2.32758525944655</v>
      </c>
      <c r="K44" s="133" t="s">
        <v>66</v>
      </c>
      <c r="L44" s="443">
        <f>+L43/I38</f>
        <v>0.25586973904194232</v>
      </c>
      <c r="M44" s="444">
        <f>+M43/J38</f>
        <v>6.663731677106513E-2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+C45+'28'!D45</f>
        <v>0</v>
      </c>
      <c r="E45" s="146">
        <f t="shared" si="1"/>
        <v>0</v>
      </c>
      <c r="F45" s="372"/>
      <c r="G45" s="375"/>
      <c r="H45" s="191" t="s">
        <v>78</v>
      </c>
      <c r="I45" s="121">
        <f>I43/I40</f>
        <v>1.9365296471444162</v>
      </c>
      <c r="J45" s="137">
        <f>J43/J40</f>
        <v>2.3978519042453721</v>
      </c>
      <c r="K45" s="133" t="s">
        <v>66</v>
      </c>
      <c r="L45" s="443">
        <f>+L43/I40</f>
        <v>0.25609312477264462</v>
      </c>
      <c r="M45" s="444">
        <f>+M43/J40</f>
        <v>6.8649007062063269E-2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+C46+'28'!D46</f>
        <v>0</v>
      </c>
      <c r="E46" s="146">
        <f t="shared" si="1"/>
        <v>0</v>
      </c>
      <c r="F46" s="372"/>
      <c r="G46" s="373"/>
      <c r="H46" s="191" t="s">
        <v>80</v>
      </c>
      <c r="I46" s="143">
        <f>+SUMIF(Listrik!AC36,"&gt;0")</f>
        <v>35555.619999999253</v>
      </c>
      <c r="J46" s="138">
        <f>+I46+'28'!J46</f>
        <v>1194881.51</v>
      </c>
      <c r="K46" s="133" t="s">
        <v>81</v>
      </c>
      <c r="L46" s="443">
        <f>+Listrik!AF36</f>
        <v>31212</v>
      </c>
      <c r="M46" s="445">
        <f>+L46+'28'!M46</f>
        <v>186154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+C47+'28'!D47</f>
        <v>0</v>
      </c>
      <c r="E47" s="146">
        <f t="shared" si="1"/>
        <v>0</v>
      </c>
      <c r="F47" s="372"/>
      <c r="G47" s="373"/>
      <c r="H47" s="191" t="s">
        <v>83</v>
      </c>
      <c r="I47" s="121">
        <f>I46/I38</f>
        <v>516.90950061785645</v>
      </c>
      <c r="J47" s="138">
        <f>J46/J38</f>
        <v>754.72699228207227</v>
      </c>
      <c r="K47" s="133" t="s">
        <v>25</v>
      </c>
      <c r="L47" s="443">
        <f>+L46/I38</f>
        <v>453.7617213055172</v>
      </c>
      <c r="M47" s="444">
        <f>+M46/J38</f>
        <v>117.58107171754367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+C48+'28'!D48</f>
        <v>0</v>
      </c>
      <c r="E48" s="146">
        <f t="shared" si="1"/>
        <v>0</v>
      </c>
      <c r="F48" s="372"/>
      <c r="G48" s="373"/>
      <c r="H48" s="191" t="s">
        <v>84</v>
      </c>
      <c r="I48" s="121">
        <f>I46/I40</f>
        <v>517.36078574025839</v>
      </c>
      <c r="J48" s="138">
        <f>J46/J40</f>
        <v>777.51117742482302</v>
      </c>
      <c r="K48" s="133" t="s">
        <v>25</v>
      </c>
      <c r="L48" s="443">
        <f>+L46/I38</f>
        <v>453.7617213055172</v>
      </c>
      <c r="M48" s="444">
        <f>+M46/J40</f>
        <v>121.13068493489409</v>
      </c>
    </row>
    <row r="49" spans="1:13" ht="17.45" customHeight="1">
      <c r="A49" s="803" t="s">
        <v>21</v>
      </c>
      <c r="B49" s="794"/>
      <c r="C49" s="167">
        <f>SUMIF($G$7:$G$31,"Others",$F$7:$F$31)</f>
        <v>0</v>
      </c>
      <c r="D49" s="121">
        <f>+C49+'28'!D49</f>
        <v>1406</v>
      </c>
      <c r="E49" s="146">
        <f t="shared" si="1"/>
        <v>23.433333333333334</v>
      </c>
      <c r="F49" s="188"/>
      <c r="H49" s="191" t="s">
        <v>85</v>
      </c>
      <c r="I49" s="121">
        <f>+Report1!AB37</f>
        <v>0</v>
      </c>
      <c r="J49" s="138">
        <f>+I49+'28'!J49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+C50+'28'!D50</f>
        <v>0</v>
      </c>
      <c r="E50" s="146">
        <f t="shared" si="1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+C51+'28'!D51</f>
        <v>0</v>
      </c>
      <c r="E51" s="146">
        <f t="shared" si="1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21</v>
      </c>
      <c r="D52" s="147">
        <f>SUM(D38:D51)</f>
        <v>3264</v>
      </c>
      <c r="E52" s="148">
        <f>SUM(E38:E51)</f>
        <v>54.400000000000006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1.4583333333333334E-2</v>
      </c>
      <c r="D53" s="149">
        <f>D52/(24*60*G4)</f>
        <v>7.8160919540229884E-2</v>
      </c>
      <c r="E53" s="150">
        <f>E52/(G4*24)</f>
        <v>7.8160919540229898E-2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+D34+'28'!J56</f>
        <v>14971</v>
      </c>
      <c r="K56" s="204">
        <f>J56/(J40+J56/1000)/1000</f>
        <v>9.6476677660535647E-3</v>
      </c>
    </row>
    <row r="57" spans="1:13">
      <c r="A57" s="179"/>
      <c r="I57" s="202" t="s">
        <v>92</v>
      </c>
      <c r="J57" s="203">
        <f>+E34+'28'!J57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28515625" style="152" customWidth="1"/>
    <col min="11" max="11" width="12.5703125" style="152" bestFit="1" customWidth="1"/>
    <col min="12" max="12" width="8.28515625" style="152" customWidth="1"/>
    <col min="13" max="13" width="15.8554687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28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352+351+361</f>
        <v>1064</v>
      </c>
    </row>
    <row r="7" spans="1:18" ht="13.5" customHeight="1" thickBot="1">
      <c r="A7" s="781" t="s">
        <v>461</v>
      </c>
      <c r="B7" s="218" t="s">
        <v>646</v>
      </c>
      <c r="C7" s="219">
        <v>18506</v>
      </c>
      <c r="D7" s="220">
        <v>1760</v>
      </c>
      <c r="E7" s="221"/>
      <c r="F7" s="231">
        <v>0</v>
      </c>
      <c r="G7" s="232" t="s">
        <v>13</v>
      </c>
      <c r="H7" s="233" t="s">
        <v>391</v>
      </c>
      <c r="I7" s="784" t="s">
        <v>521</v>
      </c>
      <c r="J7" s="217" t="str">
        <f>+'27'!J7</f>
        <v>TW 38 RC BR</v>
      </c>
      <c r="K7" s="241"/>
      <c r="L7" s="245"/>
      <c r="M7" s="120">
        <f>+K7+'27'!M7+L7</f>
        <v>53722</v>
      </c>
    </row>
    <row r="8" spans="1:18" ht="13.5" thickBot="1">
      <c r="A8" s="782"/>
      <c r="B8" s="218"/>
      <c r="C8" s="219"/>
      <c r="D8" s="220"/>
      <c r="E8" s="222"/>
      <c r="F8" s="234">
        <v>2</v>
      </c>
      <c r="G8" s="235" t="s">
        <v>13</v>
      </c>
      <c r="H8" s="233" t="s">
        <v>389</v>
      </c>
      <c r="I8" s="785"/>
      <c r="J8" s="217" t="str">
        <f>+'27'!J8</f>
        <v>TW 36 RC BR</v>
      </c>
      <c r="K8" s="242"/>
      <c r="L8" s="242"/>
      <c r="M8" s="120">
        <f>+K8+'27'!M8+L8</f>
        <v>45750</v>
      </c>
      <c r="N8" s="152">
        <v>830</v>
      </c>
      <c r="O8" s="152">
        <f>+N8-N8*0.14</f>
        <v>713.8</v>
      </c>
      <c r="P8" s="152">
        <v>480</v>
      </c>
    </row>
    <row r="9" spans="1:18" ht="13.5" thickBot="1">
      <c r="A9" s="782"/>
      <c r="B9" s="218"/>
      <c r="C9" s="219"/>
      <c r="D9" s="220"/>
      <c r="E9" s="223"/>
      <c r="F9" s="231">
        <v>3</v>
      </c>
      <c r="G9" s="235" t="s">
        <v>13</v>
      </c>
      <c r="H9" s="236" t="s">
        <v>226</v>
      </c>
      <c r="I9" s="785"/>
      <c r="J9" s="217" t="str">
        <f>+'27'!J9</f>
        <v>TW 34 RC BR</v>
      </c>
      <c r="K9" s="242"/>
      <c r="L9" s="242"/>
      <c r="M9" s="120">
        <f>+K9+'27'!M9+L9</f>
        <v>19926</v>
      </c>
    </row>
    <row r="10" spans="1:18" ht="13.5" thickBot="1">
      <c r="A10" s="782"/>
      <c r="B10" s="218"/>
      <c r="C10" s="219"/>
      <c r="D10" s="220"/>
      <c r="E10" s="222"/>
      <c r="F10" s="231"/>
      <c r="G10" s="235"/>
      <c r="H10" s="236" t="s">
        <v>645</v>
      </c>
      <c r="I10" s="785"/>
      <c r="J10" s="217" t="str">
        <f>+'27'!J10</f>
        <v>TW 30 RC BR</v>
      </c>
      <c r="K10" s="242"/>
      <c r="L10" s="242"/>
      <c r="M10" s="120">
        <f>+K10+'27'!M10+L10</f>
        <v>11017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+'27'!J11</f>
        <v>TW 20 RC BR</v>
      </c>
      <c r="K11" s="242"/>
      <c r="L11" s="242"/>
      <c r="M11" s="120">
        <f>+K11+'27'!M11+L11</f>
        <v>13885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+'27'!J12</f>
        <v>N 20 RC BR</v>
      </c>
      <c r="K12" s="242"/>
      <c r="L12" s="242"/>
      <c r="M12" s="120">
        <f>+K12+'27'!M12+L12</f>
        <v>16183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+'27'!J13</f>
        <v>N 17,5 RC BR</v>
      </c>
      <c r="K13" s="242"/>
      <c r="L13" s="242"/>
      <c r="M13" s="120">
        <f>+K13+'27'!M13+L13</f>
        <v>61888</v>
      </c>
    </row>
    <row r="14" spans="1:18" ht="13.5" thickBot="1">
      <c r="A14" s="783"/>
      <c r="B14" s="168" t="s">
        <v>3</v>
      </c>
      <c r="C14" s="102">
        <f>SUM(C7:C13)</f>
        <v>18506</v>
      </c>
      <c r="D14" s="114">
        <f>SUM(D7:D13)</f>
        <v>1760</v>
      </c>
      <c r="E14" s="115">
        <f>SUM(E5:E13)</f>
        <v>0</v>
      </c>
      <c r="F14" s="119"/>
      <c r="G14" s="162"/>
      <c r="H14" s="169"/>
      <c r="I14" s="170"/>
      <c r="J14" s="217" t="str">
        <f>+'27'!J14</f>
        <v>N 16 RC BR</v>
      </c>
      <c r="K14" s="242"/>
      <c r="L14" s="242"/>
      <c r="M14" s="120">
        <f>+K14+'27'!M14+L14</f>
        <v>24358</v>
      </c>
    </row>
    <row r="15" spans="1:18" ht="13.5" customHeight="1" thickBot="1">
      <c r="A15" s="781" t="s">
        <v>410</v>
      </c>
      <c r="B15" s="168"/>
      <c r="C15" s="116">
        <f>C14/($C$23+$D$23+$E$23)</f>
        <v>0.88736514025413571</v>
      </c>
      <c r="D15" s="117">
        <f>D14/($C$23+$D$23+$E$23)</f>
        <v>8.4392232078638219E-2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661</v>
      </c>
      <c r="J15" s="217" t="str">
        <f>+'27'!J15</f>
        <v>N 15,5 RC BR</v>
      </c>
      <c r="K15" s="242"/>
      <c r="L15" s="242"/>
      <c r="M15" s="120">
        <f>+K15+'27'!M15+L15</f>
        <v>0</v>
      </c>
    </row>
    <row r="16" spans="1:18" ht="13.5" thickBot="1">
      <c r="A16" s="787"/>
      <c r="B16" s="218" t="s">
        <v>646</v>
      </c>
      <c r="C16" s="225">
        <f>839+135+5581</f>
        <v>6555</v>
      </c>
      <c r="D16" s="226"/>
      <c r="E16" s="227"/>
      <c r="F16" s="234">
        <v>3</v>
      </c>
      <c r="G16" s="235" t="s">
        <v>13</v>
      </c>
      <c r="H16" s="233" t="s">
        <v>389</v>
      </c>
      <c r="I16" s="785"/>
      <c r="J16" s="217" t="str">
        <f>+'27'!J16</f>
        <v>N 17 VP OW</v>
      </c>
      <c r="K16" s="242"/>
      <c r="L16" s="232"/>
      <c r="M16" s="120">
        <f>+K16+'27'!M16+L16</f>
        <v>62993</v>
      </c>
      <c r="N16" s="152">
        <v>830</v>
      </c>
      <c r="O16" s="152">
        <f>+N16-N16*0.14</f>
        <v>713.8</v>
      </c>
      <c r="P16" s="152">
        <v>60</v>
      </c>
      <c r="Q16" s="152">
        <f>+N16*P16</f>
        <v>49800</v>
      </c>
      <c r="R16" s="152">
        <f>+O16*P16</f>
        <v>42828</v>
      </c>
    </row>
    <row r="17" spans="1:18" ht="13.5" thickBot="1">
      <c r="A17" s="787"/>
      <c r="B17" s="218" t="s">
        <v>664</v>
      </c>
      <c r="C17" s="219">
        <f>2866+11434</f>
        <v>14300</v>
      </c>
      <c r="D17" s="220"/>
      <c r="E17" s="228"/>
      <c r="F17" s="231">
        <v>2</v>
      </c>
      <c r="G17" s="235" t="s">
        <v>13</v>
      </c>
      <c r="H17" s="236" t="s">
        <v>226</v>
      </c>
      <c r="I17" s="785"/>
      <c r="J17" s="217" t="str">
        <f>+'27'!J17</f>
        <v>N 16 VP OW</v>
      </c>
      <c r="K17" s="242"/>
      <c r="L17" s="232"/>
      <c r="M17" s="120">
        <f>+K17+'27'!M17+L17</f>
        <v>263057</v>
      </c>
      <c r="N17" s="152">
        <v>550</v>
      </c>
      <c r="O17" s="152">
        <f>+N17-N17*0.12</f>
        <v>484</v>
      </c>
      <c r="P17" s="152">
        <f>240+38+48+60</f>
        <v>386</v>
      </c>
      <c r="Q17" s="152">
        <f>+N17*P17</f>
        <v>212300</v>
      </c>
      <c r="R17" s="152">
        <f>+O17*P17</f>
        <v>186824</v>
      </c>
    </row>
    <row r="18" spans="1:18" ht="13.5" thickBot="1">
      <c r="A18" s="787"/>
      <c r="B18" s="218"/>
      <c r="C18" s="219"/>
      <c r="D18" s="220"/>
      <c r="E18" s="228"/>
      <c r="F18" s="231"/>
      <c r="G18" s="235"/>
      <c r="H18" s="236" t="s">
        <v>645</v>
      </c>
      <c r="I18" s="785"/>
      <c r="J18" s="217" t="str">
        <f>+'27'!J18</f>
        <v>N 19 VP OW</v>
      </c>
      <c r="K18" s="242"/>
      <c r="L18" s="242"/>
      <c r="M18" s="120">
        <f>+K18+'27'!M18+L18</f>
        <v>24049</v>
      </c>
      <c r="P18" s="152">
        <f>SUM(P16:P17)</f>
        <v>446</v>
      </c>
      <c r="Q18" s="152">
        <f>SUM(Q16:Q17)</f>
        <v>262100</v>
      </c>
      <c r="R18" s="152">
        <f>SUM(R16:R17)</f>
        <v>229652</v>
      </c>
    </row>
    <row r="19" spans="1:18" ht="13.5" thickBot="1">
      <c r="A19" s="787"/>
      <c r="B19" s="218"/>
      <c r="C19" s="219"/>
      <c r="D19" s="220"/>
      <c r="E19" s="228"/>
      <c r="F19" s="238">
        <v>5</v>
      </c>
      <c r="G19" s="235" t="s">
        <v>13</v>
      </c>
      <c r="H19" s="236" t="s">
        <v>665</v>
      </c>
      <c r="I19" s="785"/>
      <c r="J19" s="217" t="str">
        <f>+'27'!J19</f>
        <v>N 25 VP OW</v>
      </c>
      <c r="K19" s="242"/>
      <c r="L19" s="242"/>
      <c r="M19" s="120">
        <f>+K19+'27'!M19+L19</f>
        <v>114797</v>
      </c>
      <c r="Q19" s="152">
        <f>+Q18/P18</f>
        <v>587.66816143497761</v>
      </c>
      <c r="R19" s="152">
        <f>+R18/P18</f>
        <v>514.91479820627808</v>
      </c>
    </row>
    <row r="20" spans="1:18" ht="13.5" thickBot="1">
      <c r="A20" s="787"/>
      <c r="B20" s="218"/>
      <c r="C20" s="219"/>
      <c r="D20" s="220"/>
      <c r="E20" s="228"/>
      <c r="F20" s="231">
        <f>60-38+12</f>
        <v>34</v>
      </c>
      <c r="G20" s="235" t="s">
        <v>71</v>
      </c>
      <c r="H20" s="236" t="s">
        <v>666</v>
      </c>
      <c r="I20" s="785"/>
      <c r="J20" s="217" t="str">
        <f>+'27'!J20</f>
        <v>N 23 VP OW</v>
      </c>
      <c r="K20" s="242"/>
      <c r="L20" s="243"/>
      <c r="M20" s="120">
        <f>+K20+'27'!M20+L20</f>
        <v>9760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 t="s">
        <v>667</v>
      </c>
      <c r="I21" s="785"/>
      <c r="J21" s="217" t="str">
        <f>+'27'!J21</f>
        <v>TW 23 VP OW</v>
      </c>
      <c r="K21" s="242"/>
      <c r="L21" s="242"/>
      <c r="M21" s="120">
        <f>+K21+'27'!M21+L21</f>
        <v>162640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+'27'!J22</f>
        <v>TW 17 VP OW</v>
      </c>
      <c r="K22" s="242"/>
      <c r="L22" s="242"/>
      <c r="M22" s="120">
        <f>+K22+'27'!M22+L22</f>
        <v>232569</v>
      </c>
    </row>
    <row r="23" spans="1:18" ht="13.5" thickBot="1">
      <c r="A23" s="788"/>
      <c r="B23" s="168" t="s">
        <v>3</v>
      </c>
      <c r="C23" s="103">
        <f>SUM(C16:C22)</f>
        <v>20855</v>
      </c>
      <c r="D23" s="114">
        <f>SUM(D16:D22)</f>
        <v>0</v>
      </c>
      <c r="E23" s="115">
        <f>SUM(E18:E22)</f>
        <v>0</v>
      </c>
      <c r="F23" s="119"/>
      <c r="G23" s="162"/>
      <c r="H23" s="169"/>
      <c r="I23" s="172"/>
      <c r="J23" s="217" t="str">
        <f>+'27'!J23</f>
        <v>TW 16 VP OW</v>
      </c>
      <c r="K23" s="242"/>
      <c r="L23" s="242"/>
      <c r="M23" s="120">
        <f>+K23+'27'!M23+L23</f>
        <v>130611</v>
      </c>
    </row>
    <row r="24" spans="1:18" ht="13.5" customHeight="1" thickBot="1">
      <c r="A24" s="781" t="s">
        <v>607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663</v>
      </c>
      <c r="J24" s="217" t="str">
        <f>+'27'!J24</f>
        <v>N 18 VP OW</v>
      </c>
      <c r="K24" s="242"/>
      <c r="L24" s="242"/>
      <c r="M24" s="120">
        <f>+K24+'27'!M24+L24</f>
        <v>108513</v>
      </c>
    </row>
    <row r="25" spans="1:18" ht="13.5" customHeight="1" thickBot="1">
      <c r="A25" s="787"/>
      <c r="B25" s="218" t="s">
        <v>664</v>
      </c>
      <c r="C25" s="229">
        <v>23855</v>
      </c>
      <c r="D25" s="220"/>
      <c r="E25" s="228"/>
      <c r="F25" s="234"/>
      <c r="G25" s="235" t="s">
        <v>13</v>
      </c>
      <c r="H25" s="233" t="s">
        <v>486</v>
      </c>
      <c r="I25" s="785"/>
      <c r="J25" s="217" t="str">
        <f>+'27'!J25</f>
        <v>N 20 RC HW</v>
      </c>
      <c r="K25" s="242">
        <f>+C7+C16</f>
        <v>25061</v>
      </c>
      <c r="L25" s="242"/>
      <c r="M25" s="120">
        <f>+K25+'27'!M25+L25</f>
        <v>74205</v>
      </c>
      <c r="N25" s="152">
        <v>550</v>
      </c>
      <c r="O25" s="152">
        <f>+N25-N25*0.12</f>
        <v>484</v>
      </c>
      <c r="P25" s="152">
        <v>480</v>
      </c>
    </row>
    <row r="26" spans="1:18" ht="13.5" customHeight="1" thickBot="1">
      <c r="A26" s="787"/>
      <c r="B26" s="218"/>
      <c r="C26" s="229"/>
      <c r="D26" s="220"/>
      <c r="E26" s="230"/>
      <c r="F26" s="231">
        <v>5</v>
      </c>
      <c r="G26" s="235" t="s">
        <v>13</v>
      </c>
      <c r="H26" s="236" t="s">
        <v>226</v>
      </c>
      <c r="I26" s="785"/>
      <c r="J26" s="217" t="s">
        <v>664</v>
      </c>
      <c r="K26" s="242">
        <f>+C17+C25</f>
        <v>38155</v>
      </c>
      <c r="L26" s="242"/>
      <c r="M26" s="120">
        <f>+K26+'27'!M26+L26</f>
        <v>38155</v>
      </c>
    </row>
    <row r="27" spans="1:18" ht="13.5" customHeight="1" thickBot="1">
      <c r="A27" s="787"/>
      <c r="B27" s="218"/>
      <c r="C27" s="219"/>
      <c r="D27" s="220"/>
      <c r="E27" s="228"/>
      <c r="F27" s="231"/>
      <c r="G27" s="235"/>
      <c r="H27" s="236" t="s">
        <v>660</v>
      </c>
      <c r="I27" s="785"/>
      <c r="J27" s="217">
        <f>+'27'!J27</f>
        <v>0</v>
      </c>
      <c r="K27" s="242"/>
      <c r="L27" s="242"/>
      <c r="M27" s="120">
        <f>+K27+'27'!M27+L27</f>
        <v>0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+'27'!J28</f>
        <v>0</v>
      </c>
      <c r="K28" s="242"/>
      <c r="L28" s="242"/>
      <c r="M28" s="120">
        <f>+K28+'27'!M28+L28</f>
        <v>0</v>
      </c>
    </row>
    <row r="29" spans="1:18" ht="13.5" customHeight="1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+'27'!J29</f>
        <v>0</v>
      </c>
      <c r="K29" s="242"/>
      <c r="L29" s="242"/>
      <c r="M29" s="120">
        <f>+K29+'27'!M29+L29</f>
        <v>0</v>
      </c>
    </row>
    <row r="30" spans="1:18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+'27'!J30</f>
        <v>0</v>
      </c>
      <c r="K30" s="242"/>
      <c r="L30" s="242"/>
      <c r="M30" s="120">
        <f>+K30+'27'!M30+L30</f>
        <v>0</v>
      </c>
      <c r="N30" s="158"/>
    </row>
    <row r="31" spans="1:18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+'27'!J31</f>
        <v>0</v>
      </c>
      <c r="K31" s="242"/>
      <c r="L31" s="242"/>
      <c r="M31" s="120">
        <f>+K31+'27'!M31+L31</f>
        <v>0</v>
      </c>
    </row>
    <row r="32" spans="1:18" ht="13.5" customHeight="1" thickBot="1">
      <c r="A32" s="788"/>
      <c r="B32" s="168" t="s">
        <v>3</v>
      </c>
      <c r="C32" s="102">
        <f>SUM(C25:C31)</f>
        <v>23855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17">
        <f>+'27'!J32</f>
        <v>0</v>
      </c>
      <c r="K32" s="242"/>
      <c r="L32" s="246"/>
      <c r="M32" s="120">
        <f>+K32+'27'!M32+L32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63216</v>
      </c>
      <c r="D34" s="110">
        <f>D14+D23+D32</f>
        <v>1760</v>
      </c>
      <c r="E34" s="110">
        <f>E14+E23+E32</f>
        <v>0</v>
      </c>
      <c r="F34" s="111">
        <f>F14+F23+F32</f>
        <v>5</v>
      </c>
      <c r="H34" s="181"/>
      <c r="I34" s="181"/>
      <c r="J34" s="126" t="s">
        <v>29</v>
      </c>
      <c r="K34" s="127">
        <f>SUM(K7:K32)</f>
        <v>63216</v>
      </c>
      <c r="L34" s="215">
        <f>SUM(L7:L32)</f>
        <v>0</v>
      </c>
      <c r="M34" s="123">
        <f>SUM(M7:M32)</f>
        <v>1468078</v>
      </c>
      <c r="N34" s="158"/>
    </row>
    <row r="35" spans="1:14" ht="13.5" thickBot="1">
      <c r="A35" s="182"/>
      <c r="B35" s="183"/>
      <c r="C35" s="107">
        <f>C34/($C$34+$D$34+$E$34)</f>
        <v>0.97291307559714357</v>
      </c>
      <c r="D35" s="107">
        <f>D34/($C$34+$D$34+$E$34)</f>
        <v>2.7086924402856441E-2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(20*540+30*866)/1406*G42*3.4*1406/1000000</f>
        <v>71.655605648463663</v>
      </c>
      <c r="J37" s="128">
        <f>+I37+'27'!J37</f>
        <v>1675.067112447003</v>
      </c>
      <c r="K37" s="129" t="s">
        <v>66</v>
      </c>
      <c r="L37" s="437"/>
      <c r="M37" s="438"/>
      <c r="N37" s="152">
        <f>21.318+2.244+2.244</f>
        <v>25.806000000000001</v>
      </c>
    </row>
    <row r="38" spans="1:14" ht="17.45" customHeight="1">
      <c r="A38" s="797" t="s">
        <v>13</v>
      </c>
      <c r="B38" s="798"/>
      <c r="C38" s="167">
        <f>SUMIF($G$7:$G$31,"Process",$F$7:$F$31)</f>
        <v>20</v>
      </c>
      <c r="D38" s="121">
        <f>+C38+'27'!D38</f>
        <v>1213</v>
      </c>
      <c r="E38" s="146">
        <f t="shared" ref="E38:E51" si="0">D38/60</f>
        <v>20.216666666666665</v>
      </c>
      <c r="F38" s="372">
        <v>830</v>
      </c>
      <c r="G38" s="372">
        <v>713.8</v>
      </c>
      <c r="H38" s="190" t="s">
        <v>67</v>
      </c>
      <c r="I38" s="562">
        <f>21.318+20.411+22.822</f>
        <v>64.551000000000002</v>
      </c>
      <c r="J38" s="130">
        <f>+I38+'27'!J38</f>
        <v>1514.412</v>
      </c>
      <c r="K38" s="131" t="s">
        <v>66</v>
      </c>
      <c r="L38" s="439"/>
      <c r="M38" s="440"/>
      <c r="N38" s="563">
        <f>+I38-N37</f>
        <v>38.745000000000005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+C39+'27'!D39</f>
        <v>0</v>
      </c>
      <c r="E39" s="146">
        <f t="shared" si="0"/>
        <v>0</v>
      </c>
      <c r="F39" s="372">
        <v>587.66816143497761</v>
      </c>
      <c r="G39" s="372">
        <v>514.91479820627808</v>
      </c>
      <c r="H39" s="190" t="s">
        <v>68</v>
      </c>
      <c r="I39" s="145"/>
      <c r="J39" s="132">
        <f>J37/G4</f>
        <v>59.823825444535821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+C40+'27'!D40</f>
        <v>0</v>
      </c>
      <c r="E40" s="146">
        <f t="shared" si="0"/>
        <v>0</v>
      </c>
      <c r="F40" s="372">
        <v>550</v>
      </c>
      <c r="G40" s="372">
        <v>484</v>
      </c>
      <c r="H40" s="190" t="s">
        <v>70</v>
      </c>
      <c r="I40" s="121">
        <f>(K34+L34)/1000</f>
        <v>63.216000000000001</v>
      </c>
      <c r="J40" s="134">
        <f>+I40+'27'!J40</f>
        <v>1468.0779999999997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34</v>
      </c>
      <c r="D41" s="121">
        <f>+C41+'27'!D41</f>
        <v>624</v>
      </c>
      <c r="E41" s="146">
        <f t="shared" si="0"/>
        <v>10.4</v>
      </c>
      <c r="F41" s="372"/>
      <c r="G41" s="372"/>
      <c r="H41" s="190" t="s">
        <v>72</v>
      </c>
      <c r="I41" s="145"/>
      <c r="J41" s="132">
        <f>J40/G4</f>
        <v>52.431357142857131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+C42+'27'!D42</f>
        <v>0</v>
      </c>
      <c r="E42" s="146">
        <f t="shared" si="0"/>
        <v>0</v>
      </c>
      <c r="F42" s="372">
        <f>+(F38*480+F40*446+F39*480)/1406</f>
        <v>658.45001243868364</v>
      </c>
      <c r="G42" s="372">
        <f>+(G38*480+G40*446+G39*480)/1406</f>
        <v>573.00647449431972</v>
      </c>
      <c r="H42" s="190" t="s">
        <v>73</v>
      </c>
      <c r="I42" s="248" t="s">
        <v>662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+C43+'27'!D43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+Report1!AH36</f>
        <v>122.242</v>
      </c>
      <c r="J43" s="136">
        <f>+I43+'27'!J43</f>
        <v>3551.9379999999996</v>
      </c>
      <c r="K43" s="133" t="s">
        <v>66</v>
      </c>
      <c r="L43" s="441">
        <f>+Report1!AN36</f>
        <v>16.2</v>
      </c>
      <c r="M43" s="442">
        <f>+L43+'27'!M43</f>
        <v>87.9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+C44+'27'!D44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1.8937274403185078</v>
      </c>
      <c r="J44" s="137">
        <f>J43/J38</f>
        <v>2.3454238344651253</v>
      </c>
      <c r="K44" s="133" t="s">
        <v>66</v>
      </c>
      <c r="L44" s="443">
        <f>+L43/I38</f>
        <v>0.25096435376678905</v>
      </c>
      <c r="M44" s="444">
        <f>+M43/J38</f>
        <v>5.8042329300084787E-2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+C45+'27'!D45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1.933719311566692</v>
      </c>
      <c r="J45" s="137">
        <f>J43/J40</f>
        <v>2.41944774051515</v>
      </c>
      <c r="K45" s="133" t="s">
        <v>66</v>
      </c>
      <c r="L45" s="443">
        <f>+L43/I40</f>
        <v>0.25626423690205008</v>
      </c>
      <c r="M45" s="444">
        <f>+M43/J40</f>
        <v>5.9874202869329846E-2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+C46+'27'!D46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+SUMIF(Listrik!AC35,"&gt;0")</f>
        <v>34452.199999999968</v>
      </c>
      <c r="J46" s="138">
        <f>+I46+'27'!J46</f>
        <v>1159325.8900000008</v>
      </c>
      <c r="K46" s="133" t="s">
        <v>81</v>
      </c>
      <c r="L46" s="443">
        <f>+Listrik!AF35</f>
        <v>30215</v>
      </c>
      <c r="M46" s="445">
        <f>+L46+'27'!M46</f>
        <v>154942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+C47+'27'!D47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533.72062400272603</v>
      </c>
      <c r="J47" s="138">
        <f>J46/J38</f>
        <v>765.52872666090923</v>
      </c>
      <c r="K47" s="133" t="s">
        <v>25</v>
      </c>
      <c r="L47" s="443">
        <f>+L46/I38</f>
        <v>468.07950302861303</v>
      </c>
      <c r="M47" s="444">
        <f>+M46/J38</f>
        <v>102.31165627319382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+C48+'27'!D48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544.9917742343705</v>
      </c>
      <c r="J48" s="138">
        <f>J46/J40</f>
        <v>789.6895737147488</v>
      </c>
      <c r="K48" s="133" t="s">
        <v>25</v>
      </c>
      <c r="L48" s="443">
        <f>+L46/I38</f>
        <v>468.07950302861303</v>
      </c>
      <c r="M48" s="444">
        <f>+M46/J40</f>
        <v>105.54071377678845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+C49+'27'!D49</f>
        <v>1406</v>
      </c>
      <c r="E49" s="146">
        <f t="shared" si="0"/>
        <v>23.433333333333334</v>
      </c>
      <c r="F49" s="188"/>
      <c r="H49" s="191" t="s">
        <v>85</v>
      </c>
      <c r="I49" s="121">
        <f>+Report1!AB36</f>
        <v>0</v>
      </c>
      <c r="J49" s="138">
        <f>+I49+'27'!J49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+C50+'27'!D50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+C51+'27'!D51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54</v>
      </c>
      <c r="D52" s="147">
        <f>SUM(D38:D51)</f>
        <v>3243</v>
      </c>
      <c r="E52" s="148">
        <f>SUM(E38:E51)</f>
        <v>54.05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3.7499999999999999E-2</v>
      </c>
      <c r="D53" s="149">
        <f>D52/(24*60*G4)</f>
        <v>8.0431547619047625E-2</v>
      </c>
      <c r="E53" s="150">
        <f>E52/(G4*24)</f>
        <v>8.0431547619047611E-2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+D34+'27'!J56</f>
        <v>14121</v>
      </c>
      <c r="K56" s="204">
        <f>J56/(J40+J56/1000)/1000</f>
        <v>9.5270608062750003E-3</v>
      </c>
    </row>
    <row r="57" spans="1:13">
      <c r="A57" s="179"/>
      <c r="I57" s="202" t="s">
        <v>92</v>
      </c>
      <c r="J57" s="203">
        <f>+E34+'27'!J57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O61"/>
  <sheetViews>
    <sheetView zoomScale="80" zoomScaleNormal="80" workbookViewId="0">
      <selection activeCell="A7" sqref="A7:A14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2.28515625" style="152" customWidth="1"/>
    <col min="11" max="11" width="12.5703125" style="152" bestFit="1" customWidth="1"/>
    <col min="12" max="12" width="8.28515625" style="152" customWidth="1"/>
    <col min="13" max="13" width="15.8554687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27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259+277+315</f>
        <v>851</v>
      </c>
    </row>
    <row r="7" spans="1:15" ht="13.5" customHeight="1" thickBot="1">
      <c r="A7" s="781" t="s">
        <v>461</v>
      </c>
      <c r="B7" s="218" t="s">
        <v>642</v>
      </c>
      <c r="C7" s="219">
        <f>9175+3915</f>
        <v>13090</v>
      </c>
      <c r="D7" s="220"/>
      <c r="E7" s="221"/>
      <c r="F7" s="231"/>
      <c r="G7" s="232" t="s">
        <v>13</v>
      </c>
      <c r="H7" s="233" t="s">
        <v>391</v>
      </c>
      <c r="I7" s="784" t="s">
        <v>521</v>
      </c>
      <c r="J7" s="217" t="str">
        <f>+'26'!J7</f>
        <v>TW 38 RC BR</v>
      </c>
      <c r="K7" s="241"/>
      <c r="L7" s="245"/>
      <c r="M7" s="120">
        <f>+K7+'26'!M7+L7</f>
        <v>53722</v>
      </c>
    </row>
    <row r="8" spans="1:15" ht="13.5" thickBot="1">
      <c r="A8" s="782"/>
      <c r="B8" s="218" t="s">
        <v>646</v>
      </c>
      <c r="C8" s="219">
        <f>18713-C7</f>
        <v>5623</v>
      </c>
      <c r="D8" s="220"/>
      <c r="E8" s="222"/>
      <c r="F8" s="234">
        <v>3</v>
      </c>
      <c r="G8" s="235" t="s">
        <v>13</v>
      </c>
      <c r="H8" s="233" t="s">
        <v>434</v>
      </c>
      <c r="I8" s="785"/>
      <c r="J8" s="217" t="str">
        <f>+'26'!J8</f>
        <v>TW 36 RC BR</v>
      </c>
      <c r="K8" s="242"/>
      <c r="L8" s="242"/>
      <c r="M8" s="120">
        <f>+K8+'26'!M8+L8</f>
        <v>45750</v>
      </c>
      <c r="N8" s="152">
        <v>830</v>
      </c>
      <c r="O8" s="152">
        <f>+N8-N8*0.14</f>
        <v>713.8</v>
      </c>
    </row>
    <row r="9" spans="1:15" ht="13.5" thickBot="1">
      <c r="A9" s="782"/>
      <c r="B9" s="218"/>
      <c r="C9" s="219"/>
      <c r="D9" s="220"/>
      <c r="E9" s="223"/>
      <c r="F9" s="231">
        <v>2</v>
      </c>
      <c r="G9" s="235" t="s">
        <v>13</v>
      </c>
      <c r="H9" s="236" t="s">
        <v>226</v>
      </c>
      <c r="I9" s="785"/>
      <c r="J9" s="217" t="str">
        <f>+'26'!J9</f>
        <v>TW 34 RC BR</v>
      </c>
      <c r="K9" s="242"/>
      <c r="L9" s="242"/>
      <c r="M9" s="120">
        <f>+K9+'26'!M9+L9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641</v>
      </c>
      <c r="I10" s="785"/>
      <c r="J10" s="217" t="str">
        <f>+'26'!J10</f>
        <v>TW 30 RC BR</v>
      </c>
      <c r="K10" s="242"/>
      <c r="L10" s="242"/>
      <c r="M10" s="120">
        <f>+K10+'26'!M10+L10</f>
        <v>11017</v>
      </c>
    </row>
    <row r="11" spans="1:15" ht="13.5" thickBot="1">
      <c r="A11" s="782"/>
      <c r="B11" s="218"/>
      <c r="C11" s="219"/>
      <c r="D11" s="220"/>
      <c r="E11" s="222"/>
      <c r="F11" s="231">
        <v>4</v>
      </c>
      <c r="G11" s="235" t="s">
        <v>13</v>
      </c>
      <c r="H11" s="236" t="s">
        <v>644</v>
      </c>
      <c r="I11" s="785"/>
      <c r="J11" s="217" t="str">
        <f>+'26'!J11</f>
        <v>TW 20 RC BR</v>
      </c>
      <c r="K11" s="242"/>
      <c r="L11" s="242"/>
      <c r="M11" s="120">
        <f>+K11+'26'!M11+L11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+'26'!J12</f>
        <v>N 20 RC BR</v>
      </c>
      <c r="K12" s="242"/>
      <c r="L12" s="242"/>
      <c r="M12" s="120">
        <f>+K12+'26'!M12+L12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+'26'!J13</f>
        <v>N 17,5 RC BR</v>
      </c>
      <c r="K13" s="242"/>
      <c r="L13" s="242"/>
      <c r="M13" s="120">
        <f>+K13+'26'!M13+L13</f>
        <v>61888</v>
      </c>
    </row>
    <row r="14" spans="1:15" ht="13.5" thickBot="1">
      <c r="A14" s="783"/>
      <c r="B14" s="168" t="s">
        <v>3</v>
      </c>
      <c r="C14" s="102">
        <f>SUM(C7:C13)</f>
        <v>18713</v>
      </c>
      <c r="D14" s="114">
        <f>SUM(D7:D13)</f>
        <v>0</v>
      </c>
      <c r="E14" s="115">
        <f>SUM(E5:E13)</f>
        <v>0</v>
      </c>
      <c r="F14" s="105">
        <f>SUM(F6:F13)</f>
        <v>9</v>
      </c>
      <c r="G14" s="162"/>
      <c r="H14" s="169"/>
      <c r="I14" s="170"/>
      <c r="J14" s="217" t="str">
        <f>+'26'!J14</f>
        <v>N 16 RC BR</v>
      </c>
      <c r="K14" s="242"/>
      <c r="L14" s="242"/>
      <c r="M14" s="120">
        <f>+K14+'26'!M14+L14</f>
        <v>24358</v>
      </c>
    </row>
    <row r="15" spans="1:15" ht="13.5" customHeight="1" thickBot="1">
      <c r="A15" s="781" t="s">
        <v>410</v>
      </c>
      <c r="B15" s="168"/>
      <c r="C15" s="116">
        <f>C14/($C$23+$D$23+$E$23)</f>
        <v>0.85588181485547021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521</v>
      </c>
      <c r="J15" s="217" t="str">
        <f>+'26'!J15</f>
        <v>N 15,5 RC BR</v>
      </c>
      <c r="K15" s="242"/>
      <c r="L15" s="242"/>
      <c r="M15" s="120">
        <f>+K15+'26'!M15+L15</f>
        <v>0</v>
      </c>
    </row>
    <row r="16" spans="1:15" ht="13.5" thickBot="1">
      <c r="A16" s="787"/>
      <c r="B16" s="218" t="s">
        <v>646</v>
      </c>
      <c r="C16" s="225">
        <v>21864</v>
      </c>
      <c r="D16" s="226"/>
      <c r="E16" s="227"/>
      <c r="F16" s="234"/>
      <c r="G16" s="235" t="s">
        <v>13</v>
      </c>
      <c r="H16" s="233" t="s">
        <v>486</v>
      </c>
      <c r="I16" s="785"/>
      <c r="J16" s="217" t="str">
        <f>+'26'!J16</f>
        <v>N 17 VP OW</v>
      </c>
      <c r="K16" s="242"/>
      <c r="L16" s="242"/>
      <c r="M16" s="120">
        <f>+K16+'26'!M16+L16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5</v>
      </c>
      <c r="G17" s="235" t="s">
        <v>13</v>
      </c>
      <c r="H17" s="236" t="s">
        <v>226</v>
      </c>
      <c r="I17" s="785"/>
      <c r="J17" s="217" t="str">
        <f>+'26'!J17</f>
        <v>N 16 VP OW</v>
      </c>
      <c r="K17" s="242"/>
      <c r="L17" s="242"/>
      <c r="M17" s="120">
        <f>+K17+'26'!M17+L17</f>
        <v>263057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645</v>
      </c>
      <c r="I18" s="785"/>
      <c r="J18" s="217" t="str">
        <f>+'26'!J18</f>
        <v>N 19 VP OW</v>
      </c>
      <c r="K18" s="242"/>
      <c r="L18" s="242"/>
      <c r="M18" s="120">
        <f>+K18+'26'!M18+L18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+'26'!J19</f>
        <v>N 25 VP OW</v>
      </c>
      <c r="K19" s="242"/>
      <c r="L19" s="242"/>
      <c r="M19" s="120">
        <f>+K19+'26'!M19+L19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+'26'!J20</f>
        <v>N 23 VP OW</v>
      </c>
      <c r="K20" s="242"/>
      <c r="L20" s="242"/>
      <c r="M20" s="120">
        <f>+K20+'26'!M20+L20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+'26'!J21</f>
        <v>TW 23 VP OW</v>
      </c>
      <c r="K21" s="242"/>
      <c r="L21" s="242"/>
      <c r="M21" s="120">
        <f>+K21+'26'!M21+L21</f>
        <v>162640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+'26'!J22</f>
        <v>TW 17 VP OW</v>
      </c>
      <c r="K22" s="242"/>
      <c r="L22" s="242"/>
      <c r="M22" s="120">
        <f>+K22+'26'!M22+L22</f>
        <v>232569</v>
      </c>
    </row>
    <row r="23" spans="1:14" ht="13.5" thickBot="1">
      <c r="A23" s="788"/>
      <c r="B23" s="168" t="s">
        <v>3</v>
      </c>
      <c r="C23" s="103">
        <f>SUM(C16:C22)</f>
        <v>21864</v>
      </c>
      <c r="D23" s="114">
        <f>SUM(D16:D22)</f>
        <v>0</v>
      </c>
      <c r="E23" s="115">
        <f>SUM(E18:E22)</f>
        <v>0</v>
      </c>
      <c r="F23" s="105">
        <f>SUM(F15:F22)</f>
        <v>5</v>
      </c>
      <c r="G23" s="162"/>
      <c r="H23" s="169"/>
      <c r="I23" s="172"/>
      <c r="J23" s="217" t="str">
        <f>+'26'!J23</f>
        <v>TW 16 VP OW</v>
      </c>
      <c r="K23" s="242"/>
      <c r="L23" s="242"/>
      <c r="M23" s="120">
        <f>+K23+'26'!M23+L23</f>
        <v>130611</v>
      </c>
    </row>
    <row r="24" spans="1:14" ht="13.5" customHeight="1" thickBot="1">
      <c r="A24" s="781" t="s">
        <v>607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2</v>
      </c>
      <c r="G24" s="232" t="s">
        <v>13</v>
      </c>
      <c r="H24" s="233" t="s">
        <v>435</v>
      </c>
      <c r="I24" s="784" t="s">
        <v>521</v>
      </c>
      <c r="J24" s="217" t="str">
        <f>+'26'!J24</f>
        <v>N 18 VP OW</v>
      </c>
      <c r="K24" s="242">
        <f>+C7</f>
        <v>13090</v>
      </c>
      <c r="L24" s="242"/>
      <c r="M24" s="120">
        <f>+K24+'26'!M24+L24</f>
        <v>108513</v>
      </c>
    </row>
    <row r="25" spans="1:14" ht="13.5" thickBot="1">
      <c r="A25" s="787"/>
      <c r="B25" s="218" t="s">
        <v>646</v>
      </c>
      <c r="C25" s="229">
        <v>21657</v>
      </c>
      <c r="D25" s="220"/>
      <c r="E25" s="228"/>
      <c r="F25" s="234">
        <v>2</v>
      </c>
      <c r="G25" s="235" t="s">
        <v>13</v>
      </c>
      <c r="H25" s="233" t="s">
        <v>389</v>
      </c>
      <c r="I25" s="785"/>
      <c r="J25" s="217" t="s">
        <v>646</v>
      </c>
      <c r="K25" s="242">
        <f>+C8+C16+C25</f>
        <v>49144</v>
      </c>
      <c r="L25" s="242"/>
      <c r="M25" s="120">
        <f>+K25+'26'!M25+L25</f>
        <v>49144</v>
      </c>
    </row>
    <row r="26" spans="1:14" ht="13.5" thickBot="1">
      <c r="A26" s="787"/>
      <c r="B26" s="218"/>
      <c r="C26" s="229"/>
      <c r="D26" s="220"/>
      <c r="E26" s="230"/>
      <c r="F26" s="231">
        <v>4</v>
      </c>
      <c r="G26" s="235" t="s">
        <v>13</v>
      </c>
      <c r="H26" s="236" t="s">
        <v>226</v>
      </c>
      <c r="I26" s="785"/>
      <c r="J26" s="217">
        <f>+'26'!J26</f>
        <v>0</v>
      </c>
      <c r="K26" s="242"/>
      <c r="L26" s="242"/>
      <c r="M26" s="120">
        <f>+K26+'26'!M26+L26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645</v>
      </c>
      <c r="I27" s="785"/>
      <c r="J27" s="217">
        <f>+'26'!J27</f>
        <v>0</v>
      </c>
      <c r="K27" s="242"/>
      <c r="L27" s="242"/>
      <c r="M27" s="120">
        <f>+K27+'26'!M27+L27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+'26'!J28</f>
        <v>0</v>
      </c>
      <c r="K28" s="242"/>
      <c r="L28" s="242"/>
      <c r="M28" s="120">
        <f>+K28+'26'!M28+L28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+'26'!J29</f>
        <v>0</v>
      </c>
      <c r="K29" s="242"/>
      <c r="L29" s="242"/>
      <c r="M29" s="120">
        <f>+K29+'26'!M29+L29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+'26'!J30</f>
        <v>0</v>
      </c>
      <c r="K30" s="242"/>
      <c r="L30" s="242"/>
      <c r="M30" s="120">
        <f>+K30+'26'!M30+L30</f>
        <v>0</v>
      </c>
      <c r="N30" s="158"/>
    </row>
    <row r="31" spans="1:14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+'26'!J31</f>
        <v>0</v>
      </c>
      <c r="K31" s="242"/>
      <c r="L31" s="242"/>
      <c r="M31" s="120">
        <f>+K31+'26'!M31+L31</f>
        <v>0</v>
      </c>
    </row>
    <row r="32" spans="1:14" ht="13.5" thickBot="1">
      <c r="A32" s="788"/>
      <c r="B32" s="168" t="s">
        <v>3</v>
      </c>
      <c r="C32" s="102">
        <f>SUM(C25:C31)</f>
        <v>21657</v>
      </c>
      <c r="D32" s="103">
        <f>SUM(D25:D31)</f>
        <v>0</v>
      </c>
      <c r="E32" s="104">
        <f>SUM(E25:E31)</f>
        <v>0</v>
      </c>
      <c r="F32" s="105">
        <f>SUM(F24:F31)</f>
        <v>8</v>
      </c>
      <c r="G32" s="174"/>
      <c r="H32" s="175"/>
      <c r="I32" s="172"/>
      <c r="J32" s="217">
        <f>+'26'!J32</f>
        <v>0</v>
      </c>
      <c r="K32" s="244"/>
      <c r="L32" s="246"/>
      <c r="M32" s="120">
        <f>+K32+'26'!M32+L32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62234</v>
      </c>
      <c r="D34" s="110">
        <f>D14+D23+D32</f>
        <v>0</v>
      </c>
      <c r="E34" s="110">
        <f>E14+E23+E32</f>
        <v>0</v>
      </c>
      <c r="F34" s="111">
        <f>F14+F23+F32</f>
        <v>22</v>
      </c>
      <c r="H34" s="181"/>
      <c r="I34" s="181"/>
      <c r="J34" s="126" t="s">
        <v>29</v>
      </c>
      <c r="K34" s="127">
        <f>SUM(K7:K32)</f>
        <v>62234</v>
      </c>
      <c r="L34" s="215">
        <f>SUM(L7:L32)</f>
        <v>0</v>
      </c>
      <c r="M34" s="123">
        <f>SUM(M7:M32)</f>
        <v>1404862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9"/>
      <c r="G37" s="374"/>
      <c r="H37" s="189" t="s">
        <v>65</v>
      </c>
      <c r="I37" s="247">
        <f>(18*290+20*1150)/1440*G42*3.4*1440/1000000</f>
        <v>68.487682399999997</v>
      </c>
      <c r="J37" s="128">
        <f>+I37+'26'!J37</f>
        <v>1603.4115067985392</v>
      </c>
      <c r="K37" s="129" t="s">
        <v>66</v>
      </c>
      <c r="L37" s="437"/>
      <c r="M37" s="438"/>
      <c r="N37" s="152">
        <f>2.289+2.289+2.289+2.289+1.452+2.508</f>
        <v>13.116</v>
      </c>
    </row>
    <row r="38" spans="1:14" ht="17.45" customHeight="1">
      <c r="A38" s="797" t="s">
        <v>13</v>
      </c>
      <c r="B38" s="798"/>
      <c r="C38" s="167">
        <f>SUMIF($G$7:$G$31,"Process",$F$7:$F$31)</f>
        <v>22</v>
      </c>
      <c r="D38" s="121">
        <f>+C38+'26'!D38</f>
        <v>1193</v>
      </c>
      <c r="E38" s="146">
        <f t="shared" ref="E38:E51" si="0">D38/60</f>
        <v>19.883333333333333</v>
      </c>
      <c r="F38" s="372">
        <v>830</v>
      </c>
      <c r="G38" s="372">
        <f>+F38-F38*0.14</f>
        <v>713.8</v>
      </c>
      <c r="H38" s="190" t="s">
        <v>67</v>
      </c>
      <c r="I38" s="562">
        <f>20.419+22.638+21.747</f>
        <v>64.804000000000002</v>
      </c>
      <c r="J38" s="130">
        <f>+I38+'26'!J38</f>
        <v>1449.8610000000001</v>
      </c>
      <c r="K38" s="131" t="s">
        <v>66</v>
      </c>
      <c r="L38" s="439"/>
      <c r="M38" s="440"/>
      <c r="N38" s="563">
        <f>+I38-N37</f>
        <v>51.688000000000002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+C39+'26'!D39</f>
        <v>0</v>
      </c>
      <c r="E39" s="146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5"/>
      <c r="J39" s="132">
        <f>J37/G4</f>
        <v>59.385611362908861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+C40+'26'!D40</f>
        <v>0</v>
      </c>
      <c r="E40" s="146">
        <f t="shared" si="0"/>
        <v>0</v>
      </c>
      <c r="F40" s="372">
        <v>830</v>
      </c>
      <c r="G40" s="372">
        <f>+F40-F40*0.14</f>
        <v>713.8</v>
      </c>
      <c r="H40" s="190" t="s">
        <v>70</v>
      </c>
      <c r="I40" s="121">
        <f>(K34+L34)/1000</f>
        <v>62.234000000000002</v>
      </c>
      <c r="J40" s="134">
        <f>+I40+'26'!J40</f>
        <v>1404.8619999999999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+C41+'26'!D41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52.031925925925918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+C42+'26'!D42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713.8</v>
      </c>
      <c r="H42" s="190" t="s">
        <v>73</v>
      </c>
      <c r="I42" s="248" t="s">
        <v>521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+C43+'26'!D43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+Report1!AH35</f>
        <v>129.30799999999999</v>
      </c>
      <c r="J43" s="136">
        <f>+I43+'26'!J43</f>
        <v>3429.6959999999995</v>
      </c>
      <c r="K43" s="133" t="s">
        <v>66</v>
      </c>
      <c r="L43" s="441">
        <f>+Report1!AN35</f>
        <v>9.1999999999999993</v>
      </c>
      <c r="M43" s="442">
        <f>+L43+'26'!M43</f>
        <v>71.7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+C44+'26'!D44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1.9953706561323374</v>
      </c>
      <c r="J44" s="137">
        <f>J43/J38</f>
        <v>2.3655343512240132</v>
      </c>
      <c r="K44" s="133" t="s">
        <v>66</v>
      </c>
      <c r="L44" s="443">
        <f>+L43/I38</f>
        <v>0.14196654527498301</v>
      </c>
      <c r="M44" s="444">
        <f>+M43/J38</f>
        <v>4.9453016530550169E-2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+C45+'26'!D45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2.0777709933476878</v>
      </c>
      <c r="J45" s="137">
        <f>J43/J40</f>
        <v>2.4413045551805088</v>
      </c>
      <c r="K45" s="133" t="s">
        <v>66</v>
      </c>
      <c r="L45" s="443">
        <f>+L43/I40</f>
        <v>0.14782916090882794</v>
      </c>
      <c r="M45" s="444">
        <f>+M43/J40</f>
        <v>5.1037041360646108E-2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+C46+'26'!D46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+SUMIF(Listrik!AC34,"&gt;0")</f>
        <v>37805.630000000972</v>
      </c>
      <c r="J46" s="138">
        <f>+I46+'26'!J46</f>
        <v>1124873.6900000009</v>
      </c>
      <c r="K46" s="133" t="s">
        <v>81</v>
      </c>
      <c r="L46" s="443">
        <f>+Listrik!AF34</f>
        <v>9244</v>
      </c>
      <c r="M46" s="445">
        <f>+L46+'26'!M46</f>
        <v>124727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+C47+'26'!D47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583.38420467873857</v>
      </c>
      <c r="J47" s="138">
        <f>J46/J38</f>
        <v>775.84933314297075</v>
      </c>
      <c r="K47" s="133" t="s">
        <v>25</v>
      </c>
      <c r="L47" s="443">
        <f>+L46/I38</f>
        <v>142.64551570890686</v>
      </c>
      <c r="M47" s="444">
        <f>+M46/J38</f>
        <v>86.026867403151059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+C48+'26'!D48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607.47549570975627</v>
      </c>
      <c r="J48" s="138">
        <f>J46/J40</f>
        <v>800.70048873127826</v>
      </c>
      <c r="K48" s="133" t="s">
        <v>25</v>
      </c>
      <c r="L48" s="443">
        <f>+L46/I38</f>
        <v>142.64551570890686</v>
      </c>
      <c r="M48" s="444">
        <f>+M46/J40</f>
        <v>88.78238574322603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+C49+'26'!D49</f>
        <v>1406</v>
      </c>
      <c r="E49" s="146">
        <f t="shared" si="0"/>
        <v>23.433333333333334</v>
      </c>
      <c r="F49" s="188"/>
      <c r="H49" s="191" t="s">
        <v>85</v>
      </c>
      <c r="I49" s="121">
        <f>+Report1!AB35</f>
        <v>0</v>
      </c>
      <c r="J49" s="138">
        <f>+I49+'26'!J49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+C50+'26'!D50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+C51+'26'!D51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22</v>
      </c>
      <c r="D52" s="147">
        <f>SUM(D38:D51)</f>
        <v>3189</v>
      </c>
      <c r="E52" s="148">
        <f>SUM(E38:E51)</f>
        <v>53.150000000000006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1.5277777777777777E-2</v>
      </c>
      <c r="D53" s="149">
        <f>D52/(24*60*G4)</f>
        <v>8.2021604938271611E-2</v>
      </c>
      <c r="E53" s="150">
        <f>E52/(G4*24)</f>
        <v>8.2021604938271611E-2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+D34+'26'!J56</f>
        <v>12361</v>
      </c>
      <c r="K56" s="204">
        <f>J56/(J40+J56/1000)/1000</f>
        <v>8.7219865892664752E-3</v>
      </c>
    </row>
    <row r="57" spans="1:13">
      <c r="A57" s="179"/>
      <c r="I57" s="202" t="s">
        <v>92</v>
      </c>
      <c r="J57" s="203">
        <f>+E34+'26'!J57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4" style="152" bestFit="1" customWidth="1"/>
    <col min="12" max="12" width="8.28515625" style="152" customWidth="1"/>
    <col min="13" max="13" width="14.42578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26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262+261+261</f>
        <v>784</v>
      </c>
    </row>
    <row r="7" spans="1:15" ht="13.5" customHeight="1" thickBot="1">
      <c r="A7" s="781" t="s">
        <v>409</v>
      </c>
      <c r="B7" s="218" t="s">
        <v>642</v>
      </c>
      <c r="C7" s="219">
        <v>19219</v>
      </c>
      <c r="D7" s="220"/>
      <c r="E7" s="221"/>
      <c r="F7" s="231"/>
      <c r="G7" s="232" t="s">
        <v>13</v>
      </c>
      <c r="H7" s="233" t="s">
        <v>391</v>
      </c>
      <c r="I7" s="784" t="s">
        <v>521</v>
      </c>
      <c r="J7" s="217" t="str">
        <f>+'25'!J7</f>
        <v>TW 38 RC BR</v>
      </c>
      <c r="K7" s="241"/>
      <c r="L7" s="245"/>
      <c r="M7" s="120">
        <f>+K7+'25'!M7+L7</f>
        <v>53722</v>
      </c>
    </row>
    <row r="8" spans="1:15" ht="13.5" thickBot="1">
      <c r="A8" s="782"/>
      <c r="B8" s="218"/>
      <c r="C8" s="219"/>
      <c r="D8" s="220"/>
      <c r="E8" s="222"/>
      <c r="F8" s="234">
        <v>5</v>
      </c>
      <c r="G8" s="235" t="s">
        <v>13</v>
      </c>
      <c r="H8" s="233" t="s">
        <v>434</v>
      </c>
      <c r="I8" s="785"/>
      <c r="J8" s="217" t="str">
        <f>+'25'!J8</f>
        <v>TW 36 RC BR</v>
      </c>
      <c r="K8" s="242"/>
      <c r="L8" s="242"/>
      <c r="M8" s="120">
        <f>+K8+'25'!M8+L8</f>
        <v>45750</v>
      </c>
      <c r="N8" s="152">
        <v>830</v>
      </c>
      <c r="O8" s="152">
        <f>+N8-N8*0.14</f>
        <v>713.8</v>
      </c>
    </row>
    <row r="9" spans="1:15" ht="13.5" thickBot="1">
      <c r="A9" s="782"/>
      <c r="B9" s="218"/>
      <c r="C9" s="219"/>
      <c r="D9" s="220"/>
      <c r="E9" s="223"/>
      <c r="F9" s="231">
        <v>10</v>
      </c>
      <c r="G9" s="235" t="s">
        <v>13</v>
      </c>
      <c r="H9" s="236" t="s">
        <v>226</v>
      </c>
      <c r="I9" s="785"/>
      <c r="J9" s="217" t="str">
        <f>+'25'!J9</f>
        <v>TW 34 RC BR</v>
      </c>
      <c r="K9" s="242"/>
      <c r="L9" s="242"/>
      <c r="M9" s="120">
        <f>+K9+'25'!M9+L9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641</v>
      </c>
      <c r="I10" s="785"/>
      <c r="J10" s="217" t="str">
        <f>+'25'!J10</f>
        <v>TW 30 RC BR</v>
      </c>
      <c r="K10" s="242"/>
      <c r="L10" s="242"/>
      <c r="M10" s="120">
        <f>+K10+'25'!M10+L10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+'25'!J11</f>
        <v>TW 20 RC BR</v>
      </c>
      <c r="K11" s="242"/>
      <c r="L11" s="242"/>
      <c r="M11" s="120">
        <f>+K11+'25'!M11+L11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+'25'!J12</f>
        <v>N 20 RC BR</v>
      </c>
      <c r="K12" s="242"/>
      <c r="L12" s="242"/>
      <c r="M12" s="120">
        <f>+K12+'25'!M12+L12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+'25'!J13</f>
        <v>N 17,5 RC BR</v>
      </c>
      <c r="K13" s="242"/>
      <c r="L13" s="242"/>
      <c r="M13" s="120">
        <f>+K13+'25'!M13+L13</f>
        <v>61888</v>
      </c>
    </row>
    <row r="14" spans="1:15" ht="13.5" thickBot="1">
      <c r="A14" s="783"/>
      <c r="B14" s="168" t="s">
        <v>3</v>
      </c>
      <c r="C14" s="102">
        <f>SUM(C7:C13)</f>
        <v>19219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+'25'!J14</f>
        <v>N 16 RC BR</v>
      </c>
      <c r="K14" s="242"/>
      <c r="L14" s="242"/>
      <c r="M14" s="120">
        <f>+K14+'25'!M14+L14</f>
        <v>24358</v>
      </c>
    </row>
    <row r="15" spans="1:15" ht="13.5" customHeight="1" thickBot="1">
      <c r="A15" s="781" t="s">
        <v>410</v>
      </c>
      <c r="B15" s="168"/>
      <c r="C15" s="116">
        <f>C14/($C$23+$D$23+$E$23)</f>
        <v>1.0663596515563447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521</v>
      </c>
      <c r="J15" s="217" t="str">
        <f>+'25'!J15</f>
        <v>N 15,5 RC BR</v>
      </c>
      <c r="K15" s="242"/>
      <c r="L15" s="242"/>
      <c r="M15" s="120">
        <f>+K15+'25'!M15+L15</f>
        <v>0</v>
      </c>
    </row>
    <row r="16" spans="1:15" ht="13.5" thickBot="1">
      <c r="A16" s="787"/>
      <c r="B16" s="218" t="s">
        <v>642</v>
      </c>
      <c r="C16" s="225">
        <v>18023</v>
      </c>
      <c r="D16" s="226"/>
      <c r="E16" s="227"/>
      <c r="F16" s="234">
        <v>4</v>
      </c>
      <c r="G16" s="235" t="s">
        <v>13</v>
      </c>
      <c r="H16" s="233" t="s">
        <v>389</v>
      </c>
      <c r="I16" s="785"/>
      <c r="J16" s="217" t="str">
        <f>+'25'!J16</f>
        <v>N 17 VP OW</v>
      </c>
      <c r="K16" s="242"/>
      <c r="L16" s="232"/>
      <c r="M16" s="120">
        <f>+K16+'25'!M16+L16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4</v>
      </c>
      <c r="G17" s="235" t="s">
        <v>13</v>
      </c>
      <c r="H17" s="236" t="s">
        <v>226</v>
      </c>
      <c r="I17" s="785"/>
      <c r="J17" s="217" t="str">
        <f>+'25'!J17</f>
        <v>N 16 VP OW</v>
      </c>
      <c r="K17" s="242"/>
      <c r="L17" s="232"/>
      <c r="M17" s="120">
        <f>+K17+'25'!M17+L17</f>
        <v>263057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641</v>
      </c>
      <c r="I18" s="785"/>
      <c r="J18" s="217" t="str">
        <f>+'25'!J18</f>
        <v>N 19 VP OW</v>
      </c>
      <c r="K18" s="242"/>
      <c r="L18" s="242"/>
      <c r="M18" s="120">
        <f>+K18+'25'!M18+L18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+'25'!J19</f>
        <v>N 25 VP OW</v>
      </c>
      <c r="K19" s="242"/>
      <c r="L19" s="242"/>
      <c r="M19" s="120">
        <f>+K19+'25'!M19+L19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+'25'!J20</f>
        <v>N 23 VP OW</v>
      </c>
      <c r="K20" s="242"/>
      <c r="L20" s="243"/>
      <c r="M20" s="120">
        <f>+K20+'25'!M20+L20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+'25'!J21</f>
        <v>TW 23 VP OW</v>
      </c>
      <c r="K21" s="242"/>
      <c r="L21" s="242"/>
      <c r="M21" s="120">
        <f>+K21+'25'!M21+L21</f>
        <v>162640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+'25'!J22</f>
        <v>TW 17 VP OW</v>
      </c>
      <c r="K22" s="242"/>
      <c r="L22" s="242"/>
      <c r="M22" s="120">
        <f>+K22+'25'!M22+L22</f>
        <v>232569</v>
      </c>
    </row>
    <row r="23" spans="1:14" ht="13.5" thickBot="1">
      <c r="A23" s="788"/>
      <c r="B23" s="168" t="s">
        <v>3</v>
      </c>
      <c r="C23" s="103">
        <f>SUM(C16:C22)</f>
        <v>18023</v>
      </c>
      <c r="D23" s="114">
        <f>SUM(D16:D22)</f>
        <v>0</v>
      </c>
      <c r="E23" s="115">
        <f>SUM(E18:E22)</f>
        <v>0</v>
      </c>
      <c r="F23" s="105">
        <f>SUM(F15:F22)</f>
        <v>8</v>
      </c>
      <c r="G23" s="162"/>
      <c r="H23" s="169"/>
      <c r="I23" s="172"/>
      <c r="J23" s="217" t="str">
        <f>+'25'!J23</f>
        <v>TW 16 VP OW</v>
      </c>
      <c r="K23" s="242"/>
      <c r="L23" s="242"/>
      <c r="M23" s="120">
        <f>+K23+'25'!M23+L23</f>
        <v>130611</v>
      </c>
    </row>
    <row r="24" spans="1:14" ht="13.5" customHeight="1" thickBot="1">
      <c r="A24" s="781" t="s">
        <v>607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521</v>
      </c>
      <c r="J24" s="217" t="str">
        <f>+'25'!J24</f>
        <v>N 18 VP OW</v>
      </c>
      <c r="K24" s="242">
        <f>+C34</f>
        <v>57335</v>
      </c>
      <c r="L24" s="242"/>
      <c r="M24" s="120">
        <f>+K24+'25'!M24+L24</f>
        <v>95423</v>
      </c>
    </row>
    <row r="25" spans="1:14" ht="13.5" thickBot="1">
      <c r="A25" s="787"/>
      <c r="B25" s="218" t="s">
        <v>642</v>
      </c>
      <c r="C25" s="229">
        <v>20093</v>
      </c>
      <c r="D25" s="220"/>
      <c r="E25" s="228"/>
      <c r="F25" s="234">
        <v>3</v>
      </c>
      <c r="G25" s="235" t="s">
        <v>13</v>
      </c>
      <c r="H25" s="233" t="s">
        <v>389</v>
      </c>
      <c r="I25" s="785"/>
      <c r="J25" s="217">
        <f>+'25'!J25</f>
        <v>0</v>
      </c>
      <c r="K25" s="242"/>
      <c r="L25" s="242"/>
      <c r="M25" s="120">
        <f>+K25+'25'!M25+L25</f>
        <v>0</v>
      </c>
    </row>
    <row r="26" spans="1:14" ht="13.5" thickBot="1">
      <c r="A26" s="787"/>
      <c r="B26" s="218"/>
      <c r="C26" s="229"/>
      <c r="D26" s="220"/>
      <c r="E26" s="230"/>
      <c r="F26" s="231">
        <v>2</v>
      </c>
      <c r="G26" s="235" t="s">
        <v>13</v>
      </c>
      <c r="H26" s="236" t="s">
        <v>226</v>
      </c>
      <c r="I26" s="785"/>
      <c r="J26" s="217">
        <f>+'25'!J26</f>
        <v>0</v>
      </c>
      <c r="K26" s="242"/>
      <c r="L26" s="242"/>
      <c r="M26" s="120">
        <f>+K26+'25'!M26+L26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641</v>
      </c>
      <c r="I27" s="785"/>
      <c r="J27" s="217">
        <f>+'25'!J27</f>
        <v>0</v>
      </c>
      <c r="K27" s="242"/>
      <c r="L27" s="242"/>
      <c r="M27" s="120">
        <f>+K27+'25'!M27+L27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+'25'!J28</f>
        <v>0</v>
      </c>
      <c r="K28" s="242"/>
      <c r="L28" s="242"/>
      <c r="M28" s="120">
        <f>+K28+'25'!M28+L28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+'25'!J29</f>
        <v>0</v>
      </c>
      <c r="K29" s="242"/>
      <c r="L29" s="242"/>
      <c r="M29" s="120">
        <f>+K29+'25'!M29+L29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+'25'!J30</f>
        <v>0</v>
      </c>
      <c r="K30" s="242"/>
      <c r="L30" s="242"/>
      <c r="M30" s="120">
        <f>+K30+'25'!M30+L30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+'25'!J31</f>
        <v>0</v>
      </c>
      <c r="K31" s="242"/>
      <c r="L31" s="242"/>
      <c r="M31" s="120">
        <f>+K31+'25'!M31+L31</f>
        <v>0</v>
      </c>
    </row>
    <row r="32" spans="1:14" ht="13.5" thickBot="1">
      <c r="A32" s="788"/>
      <c r="B32" s="168" t="s">
        <v>3</v>
      </c>
      <c r="C32" s="102">
        <f>SUM(C25:C31)</f>
        <v>20093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17">
        <f>+'25'!J32</f>
        <v>0</v>
      </c>
      <c r="K32" s="244"/>
      <c r="L32" s="246"/>
      <c r="M32" s="120">
        <f>+K32+'25'!M32+L32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57335</v>
      </c>
      <c r="D34" s="110">
        <f>D14+D23+D32</f>
        <v>0</v>
      </c>
      <c r="E34" s="110">
        <f>E14+E23+E32</f>
        <v>0</v>
      </c>
      <c r="F34" s="111">
        <f>F14+F23+F32</f>
        <v>28</v>
      </c>
      <c r="H34" s="181"/>
      <c r="I34" s="181"/>
      <c r="J34" s="126" t="s">
        <v>29</v>
      </c>
      <c r="K34" s="127">
        <f>SUM(K7:K32)</f>
        <v>57335</v>
      </c>
      <c r="L34" s="215">
        <f>SUM(L7:L32)</f>
        <v>0</v>
      </c>
      <c r="M34" s="123">
        <f>SUM(M7:M32)</f>
        <v>1342628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(18*1440)/1440*G42*3.4*1440/1000000</f>
        <v>62.905766399999997</v>
      </c>
      <c r="J37" s="128">
        <f>+I37+'25'!J37</f>
        <v>1534.9238243985392</v>
      </c>
      <c r="K37" s="129" t="s">
        <v>66</v>
      </c>
      <c r="L37" s="437"/>
      <c r="M37" s="438"/>
    </row>
    <row r="38" spans="1:14" ht="17.45" customHeight="1">
      <c r="A38" s="797" t="s">
        <v>13</v>
      </c>
      <c r="B38" s="798"/>
      <c r="C38" s="167">
        <f>SUMIF($G$7:$G$31,"Process",$F$7:$F$31)</f>
        <v>28</v>
      </c>
      <c r="D38" s="121">
        <f>+C38+'25'!D38</f>
        <v>1171</v>
      </c>
      <c r="E38" s="146">
        <f t="shared" ref="E38:E51" si="0">D38/60</f>
        <v>19.516666666666666</v>
      </c>
      <c r="F38" s="372">
        <v>830</v>
      </c>
      <c r="G38" s="372">
        <f>+F38-F38*0.14</f>
        <v>713.8</v>
      </c>
      <c r="H38" s="190" t="s">
        <v>67</v>
      </c>
      <c r="I38" s="562">
        <f>19.452+18.161+20.21</f>
        <v>57.823</v>
      </c>
      <c r="J38" s="130">
        <f>+I38+'25'!J38</f>
        <v>1385.057</v>
      </c>
      <c r="K38" s="131" t="s">
        <v>66</v>
      </c>
      <c r="L38" s="439"/>
      <c r="M38" s="440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+C39+'25'!D39</f>
        <v>0</v>
      </c>
      <c r="E39" s="146">
        <f t="shared" si="0"/>
        <v>0</v>
      </c>
      <c r="F39" s="372">
        <v>830</v>
      </c>
      <c r="G39" s="372">
        <f>+F39-F39*0.14</f>
        <v>713.8</v>
      </c>
      <c r="H39" s="190" t="s">
        <v>68</v>
      </c>
      <c r="I39" s="145"/>
      <c r="J39" s="132">
        <f>J37/G4</f>
        <v>59.035531707636125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+C40+'25'!D40</f>
        <v>0</v>
      </c>
      <c r="E40" s="146">
        <f t="shared" si="0"/>
        <v>0</v>
      </c>
      <c r="F40" s="372">
        <v>830</v>
      </c>
      <c r="G40" s="372">
        <f>+F40-F40*0.14</f>
        <v>713.8</v>
      </c>
      <c r="H40" s="190" t="s">
        <v>70</v>
      </c>
      <c r="I40" s="121">
        <f>(K34+L34)/1000</f>
        <v>57.335000000000001</v>
      </c>
      <c r="J40" s="134">
        <f>+I40+'25'!J40</f>
        <v>1342.6279999999999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+C41+'25'!D41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51.639538461538457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+C42+'25'!D42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713.8</v>
      </c>
      <c r="H42" s="190" t="s">
        <v>73</v>
      </c>
      <c r="I42" s="248" t="s">
        <v>521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+C43+'25'!D43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+Report1!AH34</f>
        <v>122.66800000000001</v>
      </c>
      <c r="J43" s="136">
        <f>+I43+'25'!J43</f>
        <v>3300.3879999999995</v>
      </c>
      <c r="K43" s="133" t="s">
        <v>66</v>
      </c>
      <c r="L43" s="441">
        <f>+Report1!AN34</f>
        <v>0</v>
      </c>
      <c r="M43" s="442">
        <f>+L43+'25'!M43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+C44+'25'!D44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2.1214395655707938</v>
      </c>
      <c r="J44" s="137">
        <f>J43/J38</f>
        <v>2.3828535576514174</v>
      </c>
      <c r="K44" s="133" t="s">
        <v>66</v>
      </c>
      <c r="L44" s="443">
        <f>+L43/I38</f>
        <v>0</v>
      </c>
      <c r="M44" s="444">
        <f>+M43/J38</f>
        <v>4.5124496681364014E-2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+C45+'25'!D45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2.139495944885323</v>
      </c>
      <c r="J45" s="137">
        <f>J43/J40</f>
        <v>2.4581552001001019</v>
      </c>
      <c r="K45" s="133" t="s">
        <v>66</v>
      </c>
      <c r="L45" s="443">
        <f>+L43/I40</f>
        <v>0</v>
      </c>
      <c r="M45" s="444">
        <f>+M43/J40</f>
        <v>4.6550496488975357E-2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+C46+'25'!D46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+SUMIF(Listrik!AC33,"&gt;0")</f>
        <v>45688.989999999503</v>
      </c>
      <c r="J46" s="138">
        <f>+I46+'25'!J46</f>
        <v>1087068.0599999998</v>
      </c>
      <c r="K46" s="133" t="s">
        <v>81</v>
      </c>
      <c r="L46" s="443">
        <f>+Listrik!AF33</f>
        <v>451</v>
      </c>
      <c r="M46" s="445">
        <f>+L46+'25'!M46</f>
        <v>115483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+C47+'25'!D47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790.15253445859787</v>
      </c>
      <c r="J47" s="138">
        <f>J46/J38</f>
        <v>784.85438505418892</v>
      </c>
      <c r="K47" s="133" t="s">
        <v>25</v>
      </c>
      <c r="L47" s="443">
        <f>+L46/I38</f>
        <v>7.7996644933676906</v>
      </c>
      <c r="M47" s="444">
        <f>+M46/J38</f>
        <v>83.37779600406337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+C48+'25'!D48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796.8778233190809</v>
      </c>
      <c r="J48" s="138">
        <f>J46/J40</f>
        <v>809.65692656491592</v>
      </c>
      <c r="K48" s="133" t="s">
        <v>25</v>
      </c>
      <c r="L48" s="443">
        <f>+L46/I38</f>
        <v>7.7996644933676906</v>
      </c>
      <c r="M48" s="444">
        <f>+M46/J40</f>
        <v>86.012655776581454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+C49+'25'!D49</f>
        <v>1406</v>
      </c>
      <c r="E49" s="146">
        <f t="shared" si="0"/>
        <v>23.433333333333334</v>
      </c>
      <c r="F49" s="188"/>
      <c r="H49" s="191" t="s">
        <v>85</v>
      </c>
      <c r="I49" s="121">
        <f>+Report1!AB34</f>
        <v>0</v>
      </c>
      <c r="J49" s="138">
        <f>+I49+'25'!J49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+C50+'25'!D50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+C51+'25'!D51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28</v>
      </c>
      <c r="D52" s="147">
        <f>SUM(D38:D51)</f>
        <v>3167</v>
      </c>
      <c r="E52" s="148">
        <f>SUM(E38:E51)</f>
        <v>52.783333333333331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1.9444444444444445E-2</v>
      </c>
      <c r="D53" s="149">
        <f>D52/(24*60*G4)</f>
        <v>8.4588675213675218E-2</v>
      </c>
      <c r="E53" s="150">
        <f>E52/(G4*24)</f>
        <v>8.4588675213675205E-2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+D34+'25'!J56</f>
        <v>12361</v>
      </c>
      <c r="K56" s="204">
        <f>J56/(J40+J56/1000)/1000</f>
        <v>9.1225832829639215E-3</v>
      </c>
    </row>
    <row r="57" spans="1:13">
      <c r="A57" s="179"/>
      <c r="I57" s="202" t="s">
        <v>92</v>
      </c>
      <c r="J57" s="203">
        <f>+E34+'25'!J57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R61"/>
  <sheetViews>
    <sheetView zoomScale="80" zoomScaleNormal="80" workbookViewId="0">
      <selection activeCell="H25" sqref="H25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4.42578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25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261+260+264</f>
        <v>785</v>
      </c>
    </row>
    <row r="7" spans="1:18" ht="13.5" customHeight="1" thickBot="1">
      <c r="A7" s="781" t="s">
        <v>409</v>
      </c>
      <c r="B7" s="218" t="s">
        <v>629</v>
      </c>
      <c r="C7" s="219">
        <v>15856</v>
      </c>
      <c r="D7" s="220"/>
      <c r="E7" s="221"/>
      <c r="F7" s="231"/>
      <c r="G7" s="232" t="s">
        <v>13</v>
      </c>
      <c r="H7" s="233" t="s">
        <v>391</v>
      </c>
      <c r="I7" s="784" t="s">
        <v>636</v>
      </c>
      <c r="J7" s="217" t="str">
        <f>+'24'!J7</f>
        <v>TW 38 RC BR</v>
      </c>
      <c r="K7" s="241"/>
      <c r="L7" s="245"/>
      <c r="M7" s="120">
        <f>+K7+'24'!M7+L7</f>
        <v>53722</v>
      </c>
    </row>
    <row r="8" spans="1:18" ht="13.5" thickBot="1">
      <c r="A8" s="782"/>
      <c r="B8" s="218"/>
      <c r="C8" s="219"/>
      <c r="D8" s="220"/>
      <c r="E8" s="222"/>
      <c r="F8" s="234">
        <v>3</v>
      </c>
      <c r="G8" s="235" t="s">
        <v>13</v>
      </c>
      <c r="H8" s="233" t="s">
        <v>389</v>
      </c>
      <c r="I8" s="785"/>
      <c r="J8" s="217" t="str">
        <f>+'24'!J8</f>
        <v>TW 36 RC BR</v>
      </c>
      <c r="K8" s="242"/>
      <c r="L8" s="242"/>
      <c r="M8" s="120">
        <f>+K8+'24'!M8+L8</f>
        <v>45750</v>
      </c>
      <c r="N8" s="152">
        <v>830</v>
      </c>
      <c r="O8" s="152">
        <f>+N8-N8*0.18</f>
        <v>680.6</v>
      </c>
      <c r="P8" s="152">
        <v>420</v>
      </c>
      <c r="Q8" s="152">
        <f>+N8*P8</f>
        <v>348600</v>
      </c>
      <c r="R8" s="152">
        <f>+O8*P8</f>
        <v>285852</v>
      </c>
    </row>
    <row r="9" spans="1:18" ht="13.5" thickBot="1">
      <c r="A9" s="782"/>
      <c r="B9" s="218"/>
      <c r="C9" s="219"/>
      <c r="D9" s="220"/>
      <c r="E9" s="223"/>
      <c r="F9" s="231">
        <v>2</v>
      </c>
      <c r="G9" s="235" t="s">
        <v>13</v>
      </c>
      <c r="H9" s="236" t="s">
        <v>226</v>
      </c>
      <c r="I9" s="785"/>
      <c r="J9" s="217" t="str">
        <f>+'24'!J9</f>
        <v>TW 34 RC BR</v>
      </c>
      <c r="K9" s="242"/>
      <c r="L9" s="242"/>
      <c r="M9" s="120">
        <f>+K9+'24'!M9+L9</f>
        <v>19926</v>
      </c>
      <c r="N9" s="152">
        <v>830</v>
      </c>
      <c r="O9" s="152">
        <f>+N9-N9*0.14</f>
        <v>713.8</v>
      </c>
      <c r="P9" s="152">
        <v>60</v>
      </c>
      <c r="Q9" s="152">
        <f>+N9*P9</f>
        <v>49800</v>
      </c>
      <c r="R9" s="152">
        <f>+O9*P9</f>
        <v>42828</v>
      </c>
    </row>
    <row r="10" spans="1:18" ht="13.5" thickBot="1">
      <c r="A10" s="782"/>
      <c r="B10" s="218"/>
      <c r="C10" s="219"/>
      <c r="D10" s="220"/>
      <c r="E10" s="222"/>
      <c r="F10" s="231"/>
      <c r="G10" s="235"/>
      <c r="H10" s="236" t="s">
        <v>633</v>
      </c>
      <c r="I10" s="785"/>
      <c r="J10" s="217" t="str">
        <f>+'24'!J10</f>
        <v>TW 30 RC BR</v>
      </c>
      <c r="K10" s="242"/>
      <c r="L10" s="242"/>
      <c r="M10" s="120">
        <f>+K10+'24'!M10+L10</f>
        <v>11017</v>
      </c>
      <c r="P10" s="152">
        <f>+P8+P9</f>
        <v>480</v>
      </c>
      <c r="Q10" s="152">
        <f>+Q8+Q9</f>
        <v>398400</v>
      </c>
      <c r="R10" s="152">
        <f>+R8+R9</f>
        <v>328680</v>
      </c>
    </row>
    <row r="11" spans="1:18" ht="13.5" thickBot="1">
      <c r="A11" s="782"/>
      <c r="B11" s="218"/>
      <c r="C11" s="219"/>
      <c r="D11" s="220"/>
      <c r="E11" s="222"/>
      <c r="F11" s="231">
        <v>5</v>
      </c>
      <c r="G11" s="235" t="s">
        <v>13</v>
      </c>
      <c r="H11" s="236" t="s">
        <v>635</v>
      </c>
      <c r="I11" s="785"/>
      <c r="J11" s="217" t="str">
        <f>+'24'!J11</f>
        <v>TW 20 RC BR</v>
      </c>
      <c r="K11" s="242"/>
      <c r="L11" s="242"/>
      <c r="M11" s="120">
        <f>+K11+'24'!M11+L11</f>
        <v>13885</v>
      </c>
      <c r="Q11" s="152">
        <f>+Q10/P10</f>
        <v>830</v>
      </c>
      <c r="R11" s="152">
        <f>+R10/P10</f>
        <v>684.75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+'24'!J12</f>
        <v>N 20 RC BR</v>
      </c>
      <c r="K12" s="242"/>
      <c r="L12" s="242"/>
      <c r="M12" s="120">
        <f>+K12+'24'!M12+L12</f>
        <v>16183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+'24'!J13</f>
        <v>N 17,5 RC BR</v>
      </c>
      <c r="K13" s="242"/>
      <c r="L13" s="242"/>
      <c r="M13" s="120">
        <f>+K13+'24'!M13+L13</f>
        <v>61888</v>
      </c>
    </row>
    <row r="14" spans="1:18" ht="13.5" thickBot="1">
      <c r="A14" s="783"/>
      <c r="B14" s="168" t="s">
        <v>3</v>
      </c>
      <c r="C14" s="102">
        <f>SUM(C7:C13)</f>
        <v>15856</v>
      </c>
      <c r="D14" s="114">
        <f>SUM(D7:D13)</f>
        <v>0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 t="str">
        <f>+'24'!J14</f>
        <v>N 16 RC BR</v>
      </c>
      <c r="K14" s="242"/>
      <c r="L14" s="242"/>
      <c r="M14" s="120">
        <f>+K14+'24'!M14+L14</f>
        <v>24358</v>
      </c>
    </row>
    <row r="15" spans="1:18" ht="13.5" customHeight="1" thickBot="1">
      <c r="A15" s="781" t="s">
        <v>410</v>
      </c>
      <c r="B15" s="168"/>
      <c r="C15" s="116">
        <f>C14/($C$23+$D$23+$E$23)</f>
        <v>0.84040918004982246</v>
      </c>
      <c r="D15" s="117">
        <f>D14/($C$23+$D$23+$E$23)</f>
        <v>0</v>
      </c>
      <c r="E15" s="118">
        <f>E14/($C$23+$D$23+$E$23)</f>
        <v>0</v>
      </c>
      <c r="F15" s="231">
        <v>3</v>
      </c>
      <c r="G15" s="232" t="s">
        <v>13</v>
      </c>
      <c r="H15" s="233" t="s">
        <v>435</v>
      </c>
      <c r="I15" s="784" t="s">
        <v>521</v>
      </c>
      <c r="J15" s="217" t="str">
        <f>+'24'!J15</f>
        <v>N 15,5 RC BR</v>
      </c>
      <c r="K15" s="242"/>
      <c r="L15" s="242"/>
      <c r="M15" s="120">
        <f>+K15+'24'!M15+L15</f>
        <v>0</v>
      </c>
    </row>
    <row r="16" spans="1:18" ht="13.5" thickBot="1">
      <c r="A16" s="787"/>
      <c r="B16" s="218" t="s">
        <v>629</v>
      </c>
      <c r="C16" s="225">
        <f>685+250</f>
        <v>935</v>
      </c>
      <c r="D16" s="226"/>
      <c r="E16" s="227"/>
      <c r="F16" s="234"/>
      <c r="G16" s="235" t="s">
        <v>13</v>
      </c>
      <c r="H16" s="233" t="s">
        <v>486</v>
      </c>
      <c r="I16" s="785"/>
      <c r="J16" s="217" t="str">
        <f>+'24'!J16</f>
        <v>N 17 VP OW</v>
      </c>
      <c r="K16" s="242"/>
      <c r="L16" s="232"/>
      <c r="M16" s="120">
        <f>+K16+'24'!M16+L16</f>
        <v>62993</v>
      </c>
    </row>
    <row r="17" spans="1:14" ht="13.5" thickBot="1">
      <c r="A17" s="787"/>
      <c r="B17" s="218" t="s">
        <v>642</v>
      </c>
      <c r="C17" s="219">
        <f>12593+5339</f>
        <v>17932</v>
      </c>
      <c r="D17" s="220"/>
      <c r="E17" s="228"/>
      <c r="F17" s="231">
        <v>2</v>
      </c>
      <c r="G17" s="235" t="s">
        <v>13</v>
      </c>
      <c r="H17" s="236" t="s">
        <v>226</v>
      </c>
      <c r="I17" s="785"/>
      <c r="J17" s="217" t="str">
        <f>+'24'!J17</f>
        <v>N 16 VP OW</v>
      </c>
      <c r="K17" s="242"/>
      <c r="L17" s="232"/>
      <c r="M17" s="120">
        <f>+K17+'24'!M17+L17</f>
        <v>263057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641</v>
      </c>
      <c r="I18" s="785"/>
      <c r="J18" s="217" t="str">
        <f>+'24'!J18</f>
        <v>N 19 VP OW</v>
      </c>
      <c r="K18" s="242"/>
      <c r="L18" s="242"/>
      <c r="M18" s="120">
        <f>+K18+'24'!M18+L18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+'24'!J19</f>
        <v>N 25 VP OW</v>
      </c>
      <c r="K19" s="242"/>
      <c r="L19" s="242"/>
      <c r="M19" s="120">
        <f>+K19+'24'!M19+L19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+'24'!J20</f>
        <v>N 23 VP OW</v>
      </c>
      <c r="K20" s="242"/>
      <c r="L20" s="243"/>
      <c r="M20" s="120">
        <f>+K20+'24'!M20+L20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+'24'!J21</f>
        <v>TW 23 VP OW</v>
      </c>
      <c r="K21" s="242"/>
      <c r="L21" s="242"/>
      <c r="M21" s="120">
        <f>+K21+'24'!M21+L21</f>
        <v>162640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+'24'!J22</f>
        <v>TW 17 VP OW</v>
      </c>
      <c r="K22" s="242"/>
      <c r="L22" s="242"/>
      <c r="M22" s="120">
        <f>+K22+'24'!M22+L22</f>
        <v>232569</v>
      </c>
    </row>
    <row r="23" spans="1:14" ht="13.5" thickBot="1">
      <c r="A23" s="788"/>
      <c r="B23" s="168" t="s">
        <v>3</v>
      </c>
      <c r="C23" s="103">
        <f>SUM(C16:C22)</f>
        <v>18867</v>
      </c>
      <c r="D23" s="114">
        <f>SUM(D16:D22)</f>
        <v>0</v>
      </c>
      <c r="E23" s="115">
        <f>SUM(E18:E22)</f>
        <v>0</v>
      </c>
      <c r="F23" s="105">
        <f>SUM(F15:F22)</f>
        <v>5</v>
      </c>
      <c r="G23" s="162"/>
      <c r="H23" s="169"/>
      <c r="I23" s="172"/>
      <c r="J23" s="217" t="str">
        <f>+'24'!J23</f>
        <v>TW 16 VP OW</v>
      </c>
      <c r="K23" s="242">
        <f>+C7+C16</f>
        <v>16791</v>
      </c>
      <c r="L23" s="242"/>
      <c r="M23" s="120">
        <f>+K23+'24'!M23+L23</f>
        <v>130611</v>
      </c>
    </row>
    <row r="24" spans="1:14" ht="13.5" customHeight="1" thickBot="1">
      <c r="A24" s="781" t="s">
        <v>607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521</v>
      </c>
      <c r="J24" s="217" t="s">
        <v>642</v>
      </c>
      <c r="K24" s="242">
        <f>+C17+C25</f>
        <v>38088</v>
      </c>
      <c r="L24" s="242"/>
      <c r="M24" s="120">
        <f>+K24+'24'!M24+L24</f>
        <v>38088</v>
      </c>
    </row>
    <row r="25" spans="1:14" ht="13.5" thickBot="1">
      <c r="A25" s="787"/>
      <c r="B25" s="218" t="s">
        <v>642</v>
      </c>
      <c r="C25" s="229">
        <v>20156</v>
      </c>
      <c r="D25" s="220"/>
      <c r="E25" s="228"/>
      <c r="F25" s="234">
        <v>2</v>
      </c>
      <c r="G25" s="235" t="s">
        <v>13</v>
      </c>
      <c r="H25" s="233" t="s">
        <v>389</v>
      </c>
      <c r="I25" s="785"/>
      <c r="J25" s="217">
        <f>+'24'!J25</f>
        <v>0</v>
      </c>
      <c r="K25" s="242"/>
      <c r="L25" s="242"/>
      <c r="M25" s="120">
        <f>+K25+'24'!M25+L25</f>
        <v>0</v>
      </c>
    </row>
    <row r="26" spans="1:14" ht="13.5" thickBot="1">
      <c r="A26" s="787"/>
      <c r="B26" s="218"/>
      <c r="C26" s="229"/>
      <c r="D26" s="220"/>
      <c r="E26" s="230"/>
      <c r="F26" s="231">
        <v>5</v>
      </c>
      <c r="G26" s="235" t="s">
        <v>13</v>
      </c>
      <c r="H26" s="236" t="s">
        <v>226</v>
      </c>
      <c r="I26" s="785"/>
      <c r="J26" s="217">
        <f>+'24'!J26</f>
        <v>0</v>
      </c>
      <c r="K26" s="242"/>
      <c r="L26" s="242"/>
      <c r="M26" s="120">
        <f>+K26+'24'!M26+L26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641</v>
      </c>
      <c r="I27" s="785"/>
      <c r="J27" s="217">
        <f>+'24'!J27</f>
        <v>0</v>
      </c>
      <c r="K27" s="242"/>
      <c r="L27" s="242"/>
      <c r="M27" s="120">
        <f>+K27+'24'!M27+L27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+'24'!J28</f>
        <v>0</v>
      </c>
      <c r="K28" s="242"/>
      <c r="L28" s="242"/>
      <c r="M28" s="120">
        <f>+K28+'24'!M28+L28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+'24'!J29</f>
        <v>0</v>
      </c>
      <c r="K29" s="242"/>
      <c r="L29" s="242"/>
      <c r="M29" s="120">
        <f>+K29+'24'!M29+L29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+'24'!J30</f>
        <v>0</v>
      </c>
      <c r="K30" s="242"/>
      <c r="L30" s="242"/>
      <c r="M30" s="120">
        <f>+K30+'24'!M30+L30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+'24'!J31</f>
        <v>0</v>
      </c>
      <c r="K31" s="242"/>
      <c r="L31" s="242"/>
      <c r="M31" s="120">
        <f>+K31+'24'!M31+L31</f>
        <v>0</v>
      </c>
    </row>
    <row r="32" spans="1:14" ht="13.5" thickBot="1">
      <c r="A32" s="788"/>
      <c r="B32" s="168" t="s">
        <v>3</v>
      </c>
      <c r="C32" s="102">
        <f>SUM(C25:C31)</f>
        <v>20156</v>
      </c>
      <c r="D32" s="103">
        <f>SUM(D25:D31)</f>
        <v>0</v>
      </c>
      <c r="E32" s="104">
        <f>SUM(E25:E31)</f>
        <v>0</v>
      </c>
      <c r="F32" s="105">
        <f>SUM(F24:F31)</f>
        <v>7</v>
      </c>
      <c r="G32" s="174"/>
      <c r="H32" s="175"/>
      <c r="I32" s="172"/>
      <c r="J32" s="217">
        <f>+'24'!J32</f>
        <v>0</v>
      </c>
      <c r="K32" s="242"/>
      <c r="L32" s="246"/>
      <c r="M32" s="120">
        <f>+K32+'24'!M32+L32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54879</v>
      </c>
      <c r="D34" s="110">
        <f>D14+D23+D32</f>
        <v>0</v>
      </c>
      <c r="E34" s="110">
        <f>E14+E23+E32</f>
        <v>0</v>
      </c>
      <c r="F34" s="111">
        <f>F14+F23+F32</f>
        <v>22</v>
      </c>
      <c r="H34" s="181"/>
      <c r="I34" s="181"/>
      <c r="J34" s="126" t="s">
        <v>29</v>
      </c>
      <c r="K34" s="127">
        <f>SUM(K7:K32)</f>
        <v>54879</v>
      </c>
      <c r="L34" s="215">
        <f>SUM(L7:L32)</f>
        <v>0</v>
      </c>
      <c r="M34" s="123">
        <f>SUM(M7:M32)</f>
        <v>1285293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(16*420+18*1020)/1440*G42*3.4*1440/1000000</f>
        <v>60.041436400000009</v>
      </c>
      <c r="J37" s="128">
        <f>+I37+'24'!J37</f>
        <v>1472.0180579985392</v>
      </c>
      <c r="K37" s="129" t="s">
        <v>66</v>
      </c>
      <c r="L37" s="437"/>
      <c r="M37" s="438"/>
      <c r="N37" s="152">
        <f>16.084-0.117-1.715</f>
        <v>14.251999999999999</v>
      </c>
    </row>
    <row r="38" spans="1:14" ht="17.45" customHeight="1">
      <c r="A38" s="797" t="s">
        <v>13</v>
      </c>
      <c r="B38" s="798"/>
      <c r="C38" s="167">
        <f>SUMIF($G$7:$G$31,"Process",$F$7:$F$31)</f>
        <v>22</v>
      </c>
      <c r="D38" s="121">
        <f>+C38+'24'!D38</f>
        <v>1143</v>
      </c>
      <c r="E38" s="146">
        <f t="shared" ref="E38:E51" si="0">D38/60</f>
        <v>19.05</v>
      </c>
      <c r="F38" s="372">
        <v>830</v>
      </c>
      <c r="G38" s="372">
        <v>684.75</v>
      </c>
      <c r="H38" s="190" t="s">
        <v>67</v>
      </c>
      <c r="I38" s="562">
        <f>16.084+19.951+19.364</f>
        <v>55.399000000000001</v>
      </c>
      <c r="J38" s="130">
        <f>+I38+'24'!J38</f>
        <v>1327.2339999999999</v>
      </c>
      <c r="K38" s="131" t="s">
        <v>66</v>
      </c>
      <c r="L38" s="439"/>
      <c r="M38" s="440"/>
      <c r="N38" s="563">
        <f>+I38-N37</f>
        <v>41.147000000000006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+C39+'24'!D39</f>
        <v>0</v>
      </c>
      <c r="E39" s="146">
        <f t="shared" si="0"/>
        <v>0</v>
      </c>
      <c r="F39" s="372">
        <v>830</v>
      </c>
      <c r="G39" s="372">
        <v>713.8</v>
      </c>
      <c r="H39" s="190" t="s">
        <v>68</v>
      </c>
      <c r="I39" s="145"/>
      <c r="J39" s="132">
        <f>J37/G4</f>
        <v>58.880722319941569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+C40+'24'!D40</f>
        <v>0</v>
      </c>
      <c r="E40" s="146">
        <f t="shared" si="0"/>
        <v>0</v>
      </c>
      <c r="F40" s="372">
        <v>830</v>
      </c>
      <c r="G40" s="372">
        <v>713.8</v>
      </c>
      <c r="H40" s="190" t="s">
        <v>70</v>
      </c>
      <c r="I40" s="121">
        <f>(K34+L34)/1000</f>
        <v>54.878999999999998</v>
      </c>
      <c r="J40" s="134">
        <f>+I40+'24'!J40</f>
        <v>1285.2929999999999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+C41+'24'!D41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51.411719999999995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+C42+'24'!D42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704.11666666666667</v>
      </c>
      <c r="H42" s="190" t="s">
        <v>73</v>
      </c>
      <c r="I42" s="248" t="s">
        <v>637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>+C43+'24'!D43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+Report1!AH33</f>
        <v>109.325</v>
      </c>
      <c r="J43" s="136">
        <f>+I43+'24'!J43</f>
        <v>3177.7199999999993</v>
      </c>
      <c r="K43" s="133" t="s">
        <v>66</v>
      </c>
      <c r="L43" s="441">
        <f>+Report1!AN33</f>
        <v>0</v>
      </c>
      <c r="M43" s="442">
        <f>+L43+'24'!M43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+C44+'24'!D44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1.9734110724020288</v>
      </c>
      <c r="J44" s="137">
        <f>J43/J38</f>
        <v>2.3942424621430733</v>
      </c>
      <c r="K44" s="133" t="s">
        <v>66</v>
      </c>
      <c r="L44" s="443">
        <f>+L43/I38</f>
        <v>0</v>
      </c>
      <c r="M44" s="444">
        <f>+M43/J38</f>
        <v>4.7090415103892759E-2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+C45+'24'!D45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1.9921099145392591</v>
      </c>
      <c r="J45" s="137">
        <f>J43/J40</f>
        <v>2.4723701132737825</v>
      </c>
      <c r="K45" s="133" t="s">
        <v>66</v>
      </c>
      <c r="L45" s="443">
        <f>+L43/I40</f>
        <v>0</v>
      </c>
      <c r="M45" s="444">
        <f>+M43/J40</f>
        <v>4.8627044572716112E-2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+C46+'24'!D46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+SUMIF(Listrik!AC32,"&gt;0")</f>
        <v>43253.169999999562</v>
      </c>
      <c r="J46" s="138">
        <f>+I46+'24'!J46</f>
        <v>1041379.0700000004</v>
      </c>
      <c r="K46" s="133" t="s">
        <v>81</v>
      </c>
      <c r="L46" s="443">
        <f>+Listrik!AF32</f>
        <v>436</v>
      </c>
      <c r="M46" s="445">
        <f>+L46+'24'!M46</f>
        <v>115032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+C47+'24'!D47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780.75723388508027</v>
      </c>
      <c r="J47" s="138">
        <f>J46/J38</f>
        <v>784.62356298889301</v>
      </c>
      <c r="K47" s="133" t="s">
        <v>25</v>
      </c>
      <c r="L47" s="443">
        <f>+L46/I38</f>
        <v>7.8701781620606868</v>
      </c>
      <c r="M47" s="444">
        <f>+M46/J38</f>
        <v>86.670474083695865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+C48+'24'!D48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788.15521419850154</v>
      </c>
      <c r="J48" s="138">
        <f>J46/J40</f>
        <v>810.2269832637387</v>
      </c>
      <c r="K48" s="133" t="s">
        <v>25</v>
      </c>
      <c r="L48" s="443">
        <f>+L46/I38</f>
        <v>7.8701781620606868</v>
      </c>
      <c r="M48" s="444">
        <f>+M46/J40</f>
        <v>89.498659060618877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+C49+'24'!D49</f>
        <v>1406</v>
      </c>
      <c r="E49" s="146">
        <f t="shared" si="0"/>
        <v>23.433333333333334</v>
      </c>
      <c r="F49" s="188"/>
      <c r="H49" s="191" t="s">
        <v>85</v>
      </c>
      <c r="I49" s="121">
        <f>+Report1!AB33</f>
        <v>0</v>
      </c>
      <c r="J49" s="138">
        <f>+I49+'24'!J49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+C50+'24'!D50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+C51+'24'!D51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22</v>
      </c>
      <c r="D52" s="147">
        <f>SUM(D38:D51)</f>
        <v>3139</v>
      </c>
      <c r="E52" s="148">
        <f>SUM(E38:E51)</f>
        <v>52.316666666666663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1.5277777777777777E-2</v>
      </c>
      <c r="D53" s="149">
        <f>D52/(24*60*G4)</f>
        <v>8.7194444444444449E-2</v>
      </c>
      <c r="E53" s="150">
        <f>E52/(G4*24)</f>
        <v>8.7194444444444436E-2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+D34+'24'!J56</f>
        <v>12361</v>
      </c>
      <c r="K56" s="204">
        <f>J56/(J40+J56/1000)/1000</f>
        <v>9.5256516760245796E-3</v>
      </c>
    </row>
    <row r="57" spans="1:13">
      <c r="A57" s="179"/>
      <c r="I57" s="202" t="s">
        <v>92</v>
      </c>
      <c r="J57" s="203">
        <f>+E34+'24'!J57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O61"/>
  <sheetViews>
    <sheetView topLeftCell="A4" zoomScale="80" zoomScaleNormal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85546875" style="152" customWidth="1"/>
    <col min="11" max="11" width="12.5703125" style="152" bestFit="1" customWidth="1"/>
    <col min="12" max="12" width="8.28515625" style="152" customWidth="1"/>
    <col min="13" max="13" width="15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24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261+262+253</f>
        <v>776</v>
      </c>
    </row>
    <row r="7" spans="1:15" ht="13.5" customHeight="1" thickBot="1">
      <c r="A7" s="781" t="s">
        <v>409</v>
      </c>
      <c r="B7" s="218" t="s">
        <v>629</v>
      </c>
      <c r="C7" s="219">
        <v>16599</v>
      </c>
      <c r="D7" s="220"/>
      <c r="E7" s="221"/>
      <c r="F7" s="231"/>
      <c r="G7" s="232" t="s">
        <v>13</v>
      </c>
      <c r="H7" s="233" t="s">
        <v>391</v>
      </c>
      <c r="I7" s="784" t="s">
        <v>585</v>
      </c>
      <c r="J7" s="217" t="str">
        <f>+'23'!J7</f>
        <v>TW 38 RC BR</v>
      </c>
      <c r="K7" s="241"/>
      <c r="L7" s="245"/>
      <c r="M7" s="120">
        <f>+K7+'23'!M7+L7</f>
        <v>53722</v>
      </c>
    </row>
    <row r="8" spans="1:15" ht="13.5" thickBot="1">
      <c r="A8" s="782"/>
      <c r="B8" s="218"/>
      <c r="C8" s="219"/>
      <c r="D8" s="220"/>
      <c r="E8" s="222"/>
      <c r="F8" s="234"/>
      <c r="G8" s="235" t="s">
        <v>13</v>
      </c>
      <c r="H8" s="233" t="s">
        <v>486</v>
      </c>
      <c r="I8" s="785"/>
      <c r="J8" s="217" t="str">
        <f>+'23'!J8</f>
        <v>TW 36 RC BR</v>
      </c>
      <c r="K8" s="242"/>
      <c r="L8" s="242"/>
      <c r="M8" s="120">
        <f>+K8+'23'!M8+L8</f>
        <v>45750</v>
      </c>
      <c r="N8" s="152">
        <v>830</v>
      </c>
      <c r="O8" s="152">
        <f>+N8-N8*0.18</f>
        <v>680.6</v>
      </c>
    </row>
    <row r="9" spans="1:15" ht="13.5" thickBot="1">
      <c r="A9" s="782"/>
      <c r="B9" s="218"/>
      <c r="C9" s="219"/>
      <c r="D9" s="220"/>
      <c r="E9" s="223"/>
      <c r="F9" s="231">
        <v>5</v>
      </c>
      <c r="G9" s="235" t="s">
        <v>13</v>
      </c>
      <c r="H9" s="236" t="s">
        <v>226</v>
      </c>
      <c r="I9" s="785"/>
      <c r="J9" s="217" t="str">
        <f>+'23'!J9</f>
        <v>TW 34 RC BR</v>
      </c>
      <c r="K9" s="242"/>
      <c r="L9" s="242"/>
      <c r="M9" s="120">
        <f>+K9+'23'!M9+L9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633</v>
      </c>
      <c r="I10" s="785"/>
      <c r="J10" s="217" t="str">
        <f>+'23'!J10</f>
        <v>TW 30 RC BR</v>
      </c>
      <c r="K10" s="242"/>
      <c r="L10" s="242"/>
      <c r="M10" s="120">
        <f>+K10+'23'!M10+L10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+'23'!J11</f>
        <v>TW 20 RC BR</v>
      </c>
      <c r="K11" s="242"/>
      <c r="L11" s="242"/>
      <c r="M11" s="120">
        <f>+K11+'23'!M11+L11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+'23'!J12</f>
        <v>N 20 RC BR</v>
      </c>
      <c r="K12" s="242"/>
      <c r="L12" s="242"/>
      <c r="M12" s="120">
        <f>+K12+'23'!M12+L12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+'23'!J13</f>
        <v>N 17,5 RC BR</v>
      </c>
      <c r="K13" s="242"/>
      <c r="L13" s="242"/>
      <c r="M13" s="120">
        <f>+K13+'23'!M13+L13</f>
        <v>61888</v>
      </c>
    </row>
    <row r="14" spans="1:15" ht="13.5" thickBot="1">
      <c r="A14" s="783"/>
      <c r="B14" s="168" t="s">
        <v>3</v>
      </c>
      <c r="C14" s="102">
        <f>SUM(C7:C13)</f>
        <v>16599</v>
      </c>
      <c r="D14" s="114">
        <f>SUM(D7:D13)</f>
        <v>0</v>
      </c>
      <c r="E14" s="115">
        <f>SUM(E5:E13)</f>
        <v>0</v>
      </c>
      <c r="F14" s="105">
        <f>SUM(F6:F13)</f>
        <v>5</v>
      </c>
      <c r="G14" s="162"/>
      <c r="H14" s="169"/>
      <c r="I14" s="170"/>
      <c r="J14" s="217" t="str">
        <f>+'23'!J14</f>
        <v>N 16 RC BR</v>
      </c>
      <c r="K14" s="242"/>
      <c r="L14" s="242"/>
      <c r="M14" s="120">
        <f>+K14+'23'!M14+L14</f>
        <v>24358</v>
      </c>
    </row>
    <row r="15" spans="1:15" ht="13.5" customHeight="1" thickBot="1">
      <c r="A15" s="781" t="s">
        <v>461</v>
      </c>
      <c r="B15" s="168"/>
      <c r="C15" s="116">
        <f>C14/($C$23+$D$23+$E$23)</f>
        <v>0.93843283582089554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585</v>
      </c>
      <c r="J15" s="217" t="str">
        <f>+'23'!J15</f>
        <v>N 15,5 RC BR</v>
      </c>
      <c r="K15" s="242"/>
      <c r="L15" s="242"/>
      <c r="M15" s="120">
        <f>+K15+'23'!M15+L15</f>
        <v>0</v>
      </c>
    </row>
    <row r="16" spans="1:15" ht="13.5" thickBot="1">
      <c r="A16" s="787"/>
      <c r="B16" s="218" t="s">
        <v>629</v>
      </c>
      <c r="C16" s="225">
        <v>17688</v>
      </c>
      <c r="D16" s="226"/>
      <c r="E16" s="227"/>
      <c r="F16" s="234">
        <v>3</v>
      </c>
      <c r="G16" s="235" t="s">
        <v>13</v>
      </c>
      <c r="H16" s="233" t="s">
        <v>389</v>
      </c>
      <c r="I16" s="785"/>
      <c r="J16" s="217" t="str">
        <f>+'23'!J16</f>
        <v>N 17 VP OW</v>
      </c>
      <c r="K16" s="242"/>
      <c r="L16" s="232"/>
      <c r="M16" s="120">
        <f>+K16+'23'!M16+L16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3</v>
      </c>
      <c r="G17" s="235" t="s">
        <v>13</v>
      </c>
      <c r="H17" s="236" t="s">
        <v>226</v>
      </c>
      <c r="I17" s="785"/>
      <c r="J17" s="217" t="str">
        <f>+'23'!J17</f>
        <v>N 16 VP OW</v>
      </c>
      <c r="K17" s="242"/>
      <c r="L17" s="232"/>
      <c r="M17" s="120">
        <f>+K17+'23'!M17+L17</f>
        <v>263057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633</v>
      </c>
      <c r="I18" s="785"/>
      <c r="J18" s="217" t="str">
        <f>+'23'!J18</f>
        <v>N 19 VP OW</v>
      </c>
      <c r="K18" s="242"/>
      <c r="L18" s="242"/>
      <c r="M18" s="120">
        <f>+K18+'23'!M18+L18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+'23'!J19</f>
        <v>N 25 VP OW</v>
      </c>
      <c r="K19" s="242"/>
      <c r="L19" s="242"/>
      <c r="M19" s="120">
        <f>+K19+'23'!M19+L19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+'23'!J20</f>
        <v>N 23 VP OW</v>
      </c>
      <c r="K20" s="242"/>
      <c r="L20" s="243"/>
      <c r="M20" s="120">
        <f>+K20+'23'!M20+L20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+'23'!J21</f>
        <v>TW 23 VP OW</v>
      </c>
      <c r="K21" s="242"/>
      <c r="L21" s="242"/>
      <c r="M21" s="120">
        <f>+K21+'23'!M21+L21</f>
        <v>162640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+'23'!J22</f>
        <v>TW 17 VP OW</v>
      </c>
      <c r="K22" s="242"/>
      <c r="L22" s="242"/>
      <c r="M22" s="120">
        <f>+K22+'23'!M22+L22</f>
        <v>232569</v>
      </c>
    </row>
    <row r="23" spans="1:14" ht="14.25" customHeight="1" thickBot="1">
      <c r="A23" s="788"/>
      <c r="B23" s="168" t="s">
        <v>3</v>
      </c>
      <c r="C23" s="103">
        <f>SUM(C16:C22)</f>
        <v>17688</v>
      </c>
      <c r="D23" s="114">
        <f>SUM(D16:D22)</f>
        <v>0</v>
      </c>
      <c r="E23" s="115">
        <f>SUM(E18:E22)</f>
        <v>0</v>
      </c>
      <c r="F23" s="105">
        <f>SUM(F15:F22)</f>
        <v>6</v>
      </c>
      <c r="G23" s="162"/>
      <c r="H23" s="169"/>
      <c r="I23" s="172"/>
      <c r="J23" s="217" t="str">
        <f>+'23'!J23</f>
        <v>TW 16 VP OW</v>
      </c>
      <c r="K23" s="242">
        <f>+C34</f>
        <v>51229</v>
      </c>
      <c r="L23" s="242"/>
      <c r="M23" s="120">
        <f>+K23+'23'!M23+L23</f>
        <v>113820</v>
      </c>
    </row>
    <row r="24" spans="1:14" ht="13.5" customHeight="1" thickBot="1">
      <c r="A24" s="781" t="s">
        <v>607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585</v>
      </c>
      <c r="J24" s="217">
        <f>+'23'!J24</f>
        <v>0</v>
      </c>
      <c r="K24" s="242"/>
      <c r="L24" s="242"/>
      <c r="M24" s="120">
        <f>+K24+'23'!M24+L24</f>
        <v>0</v>
      </c>
    </row>
    <row r="25" spans="1:14" ht="13.5" thickBot="1">
      <c r="A25" s="787"/>
      <c r="B25" s="218" t="s">
        <v>629</v>
      </c>
      <c r="C25" s="229">
        <v>16942</v>
      </c>
      <c r="D25" s="220"/>
      <c r="E25" s="228"/>
      <c r="F25" s="234">
        <v>2</v>
      </c>
      <c r="G25" s="235" t="s">
        <v>13</v>
      </c>
      <c r="H25" s="233" t="s">
        <v>389</v>
      </c>
      <c r="I25" s="785"/>
      <c r="J25" s="217">
        <f>+'23'!J25</f>
        <v>0</v>
      </c>
      <c r="K25" s="242"/>
      <c r="L25" s="242"/>
      <c r="M25" s="120">
        <f>+K25+'23'!M25+L25</f>
        <v>0</v>
      </c>
    </row>
    <row r="26" spans="1:14" ht="13.5" thickBot="1">
      <c r="A26" s="787"/>
      <c r="B26" s="218"/>
      <c r="C26" s="229"/>
      <c r="D26" s="220"/>
      <c r="E26" s="230"/>
      <c r="F26" s="231">
        <v>5</v>
      </c>
      <c r="G26" s="235" t="s">
        <v>13</v>
      </c>
      <c r="H26" s="236" t="s">
        <v>226</v>
      </c>
      <c r="I26" s="785"/>
      <c r="J26" s="217">
        <f>+'23'!J26</f>
        <v>0</v>
      </c>
      <c r="K26" s="242"/>
      <c r="L26" s="242"/>
      <c r="M26" s="120">
        <f>+K26+'23'!M26+L26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633</v>
      </c>
      <c r="I27" s="785"/>
      <c r="J27" s="217">
        <f>+'23'!J27</f>
        <v>0</v>
      </c>
      <c r="K27" s="242"/>
      <c r="L27" s="242"/>
      <c r="M27" s="120">
        <f>+K27+'23'!M27+L27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+'23'!J28</f>
        <v>0</v>
      </c>
      <c r="K28" s="242"/>
      <c r="L28" s="242"/>
      <c r="M28" s="120">
        <f>+K28+'23'!M28+L28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+'23'!J29</f>
        <v>0</v>
      </c>
      <c r="K29" s="242"/>
      <c r="L29" s="242"/>
      <c r="M29" s="120">
        <f>+K29+'23'!M29+L29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+'23'!J30</f>
        <v>0</v>
      </c>
      <c r="K30" s="242"/>
      <c r="L30" s="242"/>
      <c r="M30" s="120">
        <f>+K30+'23'!M30+L30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+'23'!J31</f>
        <v>0</v>
      </c>
      <c r="K31" s="242"/>
      <c r="L31" s="242"/>
      <c r="M31" s="120">
        <f>+K31+'23'!M31+L31</f>
        <v>0</v>
      </c>
    </row>
    <row r="32" spans="1:14" ht="13.5" thickBot="1">
      <c r="A32" s="788"/>
      <c r="B32" s="168" t="s">
        <v>3</v>
      </c>
      <c r="C32" s="102">
        <f>SUM(C25:C31)</f>
        <v>16942</v>
      </c>
      <c r="D32" s="103">
        <f>SUM(D25:D31)</f>
        <v>0</v>
      </c>
      <c r="E32" s="104">
        <f>SUM(E25:E31)</f>
        <v>0</v>
      </c>
      <c r="F32" s="105">
        <f>SUM(F24:F31)</f>
        <v>7</v>
      </c>
      <c r="G32" s="174"/>
      <c r="H32" s="175"/>
      <c r="I32" s="172"/>
      <c r="J32" s="217">
        <f>+'23'!J32</f>
        <v>0</v>
      </c>
      <c r="K32" s="244"/>
      <c r="L32" s="246"/>
      <c r="M32" s="120">
        <f>+K32+'23'!M32+L32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51229</v>
      </c>
      <c r="D34" s="110">
        <f>D14+D23+D32</f>
        <v>0</v>
      </c>
      <c r="E34" s="110">
        <f>E14+E23+E32</f>
        <v>0</v>
      </c>
      <c r="F34" s="111">
        <f>F14+F23+F32</f>
        <v>18</v>
      </c>
      <c r="H34" s="181"/>
      <c r="I34" s="181"/>
      <c r="J34" s="126" t="s">
        <v>29</v>
      </c>
      <c r="K34" s="127">
        <f>SUM(K7:K32)</f>
        <v>51229</v>
      </c>
      <c r="L34" s="215">
        <f>SUM(L7:L32)</f>
        <v>0</v>
      </c>
      <c r="M34" s="123">
        <f>SUM(M7:M32)</f>
        <v>1230414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(16*1440)/1440*G42*3.4*1440/1000000</f>
        <v>53.315481599999998</v>
      </c>
      <c r="J37" s="128">
        <f>+I37+'23'!J37</f>
        <v>1411.9766215985392</v>
      </c>
      <c r="K37" s="129" t="s">
        <v>66</v>
      </c>
      <c r="L37" s="437"/>
      <c r="M37" s="438"/>
    </row>
    <row r="38" spans="1:14" ht="17.45" customHeight="1">
      <c r="A38" s="797" t="s">
        <v>13</v>
      </c>
      <c r="B38" s="798"/>
      <c r="C38" s="167">
        <f>SUMIF($G$7:$G$31,"Process",$F$7:$F$31)</f>
        <v>18</v>
      </c>
      <c r="D38" s="121">
        <f>+C38+'23'!D38</f>
        <v>1121</v>
      </c>
      <c r="E38" s="146">
        <f t="shared" ref="E38:E51" si="0">D38/60</f>
        <v>18.683333333333334</v>
      </c>
      <c r="F38" s="372">
        <v>830</v>
      </c>
      <c r="G38" s="372">
        <f>+F38-F38*0.18</f>
        <v>680.6</v>
      </c>
      <c r="H38" s="190" t="s">
        <v>67</v>
      </c>
      <c r="I38" s="562">
        <f>17.056+16.531+17.004</f>
        <v>50.591000000000008</v>
      </c>
      <c r="J38" s="130">
        <f>+I38+'23'!J38</f>
        <v>1271.835</v>
      </c>
      <c r="K38" s="131" t="s">
        <v>66</v>
      </c>
      <c r="L38" s="439"/>
      <c r="M38" s="440"/>
      <c r="N38" s="563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+C39+'23'!D39</f>
        <v>0</v>
      </c>
      <c r="E39" s="146">
        <f t="shared" si="0"/>
        <v>0</v>
      </c>
      <c r="F39" s="372">
        <v>830</v>
      </c>
      <c r="G39" s="372">
        <f>+F39-F39*0.18</f>
        <v>680.6</v>
      </c>
      <c r="H39" s="190" t="s">
        <v>68</v>
      </c>
      <c r="I39" s="145"/>
      <c r="J39" s="132">
        <f>J37/G4</f>
        <v>58.832359233272463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+C40+'23'!D40</f>
        <v>0</v>
      </c>
      <c r="E40" s="146">
        <f t="shared" si="0"/>
        <v>0</v>
      </c>
      <c r="F40" s="372">
        <v>830</v>
      </c>
      <c r="G40" s="372">
        <f>+F40-F40*0.18</f>
        <v>680.6</v>
      </c>
      <c r="H40" s="190" t="s">
        <v>70</v>
      </c>
      <c r="I40" s="121">
        <f>(K34+L34)/1000</f>
        <v>51.228999999999999</v>
      </c>
      <c r="J40" s="134">
        <f>+I40+'23'!J40</f>
        <v>1230.414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+C41+'23'!D41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51.267249999999997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+C42+'23'!D42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680.6</v>
      </c>
      <c r="H42" s="190" t="s">
        <v>73</v>
      </c>
      <c r="I42" s="248" t="s">
        <v>585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+C43+'23'!D43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+Report1!AH32</f>
        <v>105.10600000000001</v>
      </c>
      <c r="J43" s="136">
        <f>+I43+'23'!J43</f>
        <v>3068.3949999999995</v>
      </c>
      <c r="K43" s="133" t="s">
        <v>66</v>
      </c>
      <c r="L43" s="441">
        <f>+Report1!AN32</f>
        <v>0</v>
      </c>
      <c r="M43" s="442">
        <f>+L43+'23'!M43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+C44+'23'!D44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2.0775632029412345</v>
      </c>
      <c r="J44" s="137">
        <f>J43/J38</f>
        <v>2.4125731718343961</v>
      </c>
      <c r="K44" s="133" t="s">
        <v>66</v>
      </c>
      <c r="L44" s="443">
        <f>+L43/I38</f>
        <v>0</v>
      </c>
      <c r="M44" s="444">
        <f>+M43/J38</f>
        <v>4.9141594625088943E-2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+C45+'23'!D45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2.0516894727595698</v>
      </c>
      <c r="J45" s="137">
        <f>J43/J40</f>
        <v>2.493790707843051</v>
      </c>
      <c r="K45" s="133" t="s">
        <v>66</v>
      </c>
      <c r="L45" s="443">
        <f>+L43/I40</f>
        <v>0</v>
      </c>
      <c r="M45" s="444">
        <f>+M43/J40</f>
        <v>5.0795910969803661E-2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+C46+'23'!D46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+SUMIF(Listrik!AC31,"&gt;0")</f>
        <v>43127.88000000015</v>
      </c>
      <c r="J46" s="138">
        <f>+I46+'23'!J46</f>
        <v>998125.90000000084</v>
      </c>
      <c r="K46" s="133" t="s">
        <v>81</v>
      </c>
      <c r="L46" s="443">
        <f>+Listrik!AF31</f>
        <v>736</v>
      </c>
      <c r="M46" s="445">
        <f>+L46+'23'!M46</f>
        <v>114596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+C47+'23'!D47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852.48127137238134</v>
      </c>
      <c r="J47" s="138">
        <f>J46/J38</f>
        <v>784.79197380163373</v>
      </c>
      <c r="K47" s="133" t="s">
        <v>25</v>
      </c>
      <c r="L47" s="443">
        <f>+L46/I38</f>
        <v>14.548042141882942</v>
      </c>
      <c r="M47" s="444">
        <f>+M46/J38</f>
        <v>90.102882842507086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+C48+'23'!D48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841.86456889652641</v>
      </c>
      <c r="J48" s="138">
        <f>J46/J40</f>
        <v>811.21142964888315</v>
      </c>
      <c r="K48" s="133" t="s">
        <v>25</v>
      </c>
      <c r="L48" s="443">
        <f>+L46/I38</f>
        <v>14.548042141882942</v>
      </c>
      <c r="M48" s="444">
        <f>+M46/J40</f>
        <v>93.136131415929924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+C49+'23'!D49</f>
        <v>1406</v>
      </c>
      <c r="E49" s="146">
        <f t="shared" si="0"/>
        <v>23.433333333333334</v>
      </c>
      <c r="F49" s="188"/>
      <c r="H49" s="191" t="s">
        <v>85</v>
      </c>
      <c r="I49" s="121">
        <f>+Report1!AB32</f>
        <v>0</v>
      </c>
      <c r="J49" s="138">
        <f>+I49+'23'!J49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+C50+'23'!D50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+C51+'23'!D51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18</v>
      </c>
      <c r="D52" s="147">
        <f>SUM(D38:D51)</f>
        <v>3117</v>
      </c>
      <c r="E52" s="148">
        <f>SUM(E38:E51)</f>
        <v>51.95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1.2500000000000001E-2</v>
      </c>
      <c r="D53" s="149">
        <f>D52/(24*60*G4)</f>
        <v>9.0190972222222221E-2</v>
      </c>
      <c r="E53" s="150">
        <f>E52/(G4*24)</f>
        <v>9.0190972222222221E-2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+D34+'23'!J56</f>
        <v>12361</v>
      </c>
      <c r="K56" s="204">
        <f>J56/(J40+J56/1000)/1000</f>
        <v>9.9462895536199213E-3</v>
      </c>
    </row>
    <row r="57" spans="1:13">
      <c r="A57" s="179"/>
      <c r="I57" s="202" t="s">
        <v>92</v>
      </c>
      <c r="J57" s="203">
        <f>+E34+'23'!J57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O61"/>
  <sheetViews>
    <sheetView topLeftCell="A7" zoomScale="80" zoomScaleNormal="80" workbookViewId="0">
      <selection activeCell="D17" sqref="D1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6.28515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23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260+255+257</f>
        <v>772</v>
      </c>
    </row>
    <row r="7" spans="1:15" ht="13.5" customHeight="1" thickBot="1">
      <c r="A7" s="781" t="s">
        <v>409</v>
      </c>
      <c r="B7" s="218" t="s">
        <v>629</v>
      </c>
      <c r="C7" s="219">
        <v>17115</v>
      </c>
      <c r="D7" s="220"/>
      <c r="E7" s="221"/>
      <c r="F7" s="231"/>
      <c r="G7" s="232" t="s">
        <v>13</v>
      </c>
      <c r="H7" s="233" t="s">
        <v>391</v>
      </c>
      <c r="I7" s="784" t="s">
        <v>585</v>
      </c>
      <c r="J7" s="217" t="str">
        <f>+'22'!J7</f>
        <v>TW 38 RC BR</v>
      </c>
      <c r="K7" s="241"/>
      <c r="L7" s="245"/>
      <c r="M7" s="120">
        <f>+K7+'22'!M7+L7</f>
        <v>53722</v>
      </c>
    </row>
    <row r="8" spans="1:15" ht="13.5" thickBot="1">
      <c r="A8" s="782"/>
      <c r="B8" s="218"/>
      <c r="C8" s="219"/>
      <c r="D8" s="220"/>
      <c r="E8" s="222"/>
      <c r="F8" s="234">
        <v>5</v>
      </c>
      <c r="G8" s="235" t="s">
        <v>13</v>
      </c>
      <c r="H8" s="233" t="s">
        <v>389</v>
      </c>
      <c r="I8" s="785"/>
      <c r="J8" s="217" t="str">
        <f>+'22'!J8</f>
        <v>TW 36 RC BR</v>
      </c>
      <c r="K8" s="242"/>
      <c r="L8" s="242"/>
      <c r="M8" s="120">
        <f>+K8+'22'!M8+L8</f>
        <v>45750</v>
      </c>
      <c r="N8" s="152">
        <v>830</v>
      </c>
      <c r="O8" s="152">
        <f>+N8-N8*0.18</f>
        <v>680.6</v>
      </c>
    </row>
    <row r="9" spans="1:15" ht="13.5" thickBot="1">
      <c r="A9" s="782"/>
      <c r="B9" s="218"/>
      <c r="C9" s="219"/>
      <c r="D9" s="220"/>
      <c r="E9" s="223"/>
      <c r="F9" s="231">
        <v>5</v>
      </c>
      <c r="G9" s="235" t="s">
        <v>13</v>
      </c>
      <c r="H9" s="236" t="s">
        <v>226</v>
      </c>
      <c r="I9" s="785"/>
      <c r="J9" s="217" t="str">
        <f>+'22'!J9</f>
        <v>TW 34 RC BR</v>
      </c>
      <c r="K9" s="242"/>
      <c r="L9" s="242"/>
      <c r="M9" s="120">
        <f>+K9+'22'!M9+L9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633</v>
      </c>
      <c r="I10" s="785"/>
      <c r="J10" s="217" t="str">
        <f>+'22'!J10</f>
        <v>TW 30 RC BR</v>
      </c>
      <c r="K10" s="242"/>
      <c r="L10" s="242"/>
      <c r="M10" s="120">
        <f>+K10+'22'!M10+L10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+'22'!J11</f>
        <v>TW 20 RC BR</v>
      </c>
      <c r="K11" s="242"/>
      <c r="L11" s="242"/>
      <c r="M11" s="120">
        <f>+K11+'22'!M11+L11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+'22'!J12</f>
        <v>N 20 RC BR</v>
      </c>
      <c r="K12" s="242"/>
      <c r="L12" s="242"/>
      <c r="M12" s="120">
        <f>+K12+'22'!M12+L12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+'22'!J13</f>
        <v>N 17,5 RC BR</v>
      </c>
      <c r="K13" s="242"/>
      <c r="L13" s="242"/>
      <c r="M13" s="120">
        <f>+K13+'22'!M13+L13</f>
        <v>61888</v>
      </c>
    </row>
    <row r="14" spans="1:15" ht="13.5" thickBot="1">
      <c r="A14" s="783"/>
      <c r="B14" s="168" t="s">
        <v>3</v>
      </c>
      <c r="C14" s="102">
        <f>SUM(C7:C13)</f>
        <v>17115</v>
      </c>
      <c r="D14" s="114">
        <f>SUM(D7:D13)</f>
        <v>0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 t="str">
        <f>+'22'!J14</f>
        <v>N 16 RC BR</v>
      </c>
      <c r="K14" s="242"/>
      <c r="L14" s="242"/>
      <c r="M14" s="120">
        <f>+K14+'22'!M14+L14</f>
        <v>24358</v>
      </c>
    </row>
    <row r="15" spans="1:15" ht="13.5" customHeight="1" thickBot="1">
      <c r="A15" s="781" t="s">
        <v>461</v>
      </c>
      <c r="B15" s="168"/>
      <c r="C15" s="116">
        <f>C14/($C$23+$D$23+$E$23)</f>
        <v>1.0439158279963403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585</v>
      </c>
      <c r="J15" s="217" t="str">
        <f>+'22'!J15</f>
        <v>N 15,5 RC BR</v>
      </c>
      <c r="K15" s="242"/>
      <c r="L15" s="242"/>
      <c r="M15" s="120">
        <f>+K15+'22'!M15+L15</f>
        <v>0</v>
      </c>
    </row>
    <row r="16" spans="1:15" ht="13.5" thickBot="1">
      <c r="A16" s="787"/>
      <c r="B16" s="218" t="s">
        <v>629</v>
      </c>
      <c r="C16" s="225">
        <v>16145</v>
      </c>
      <c r="D16" s="226">
        <v>250</v>
      </c>
      <c r="E16" s="227"/>
      <c r="F16" s="234">
        <v>6</v>
      </c>
      <c r="G16" s="235" t="s">
        <v>13</v>
      </c>
      <c r="H16" s="233" t="s">
        <v>434</v>
      </c>
      <c r="I16" s="785"/>
      <c r="J16" s="217" t="str">
        <f>+'22'!J16</f>
        <v>N 17 VP OW</v>
      </c>
      <c r="K16" s="242"/>
      <c r="L16" s="232"/>
      <c r="M16" s="120">
        <f>+K16+'22'!M16+L16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4</v>
      </c>
      <c r="G17" s="235" t="s">
        <v>13</v>
      </c>
      <c r="H17" s="236" t="s">
        <v>226</v>
      </c>
      <c r="I17" s="785"/>
      <c r="J17" s="217" t="str">
        <f>+'22'!J17</f>
        <v>N 16 VP OW</v>
      </c>
      <c r="K17" s="242"/>
      <c r="L17" s="232"/>
      <c r="M17" s="120">
        <f>+K17+'22'!M17+L17</f>
        <v>263057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633</v>
      </c>
      <c r="I18" s="785"/>
      <c r="J18" s="217" t="str">
        <f>+'22'!J18</f>
        <v>N 19 VP OW</v>
      </c>
      <c r="K18" s="242"/>
      <c r="L18" s="242"/>
      <c r="M18" s="120">
        <f>+K18+'22'!M18+L18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+'22'!J19</f>
        <v>N 25 VP OW</v>
      </c>
      <c r="K19" s="242"/>
      <c r="L19" s="242"/>
      <c r="M19" s="120">
        <f>+K19+'22'!M19+L19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+'22'!J20</f>
        <v>N 23 VP OW</v>
      </c>
      <c r="K20" s="242"/>
      <c r="L20" s="243"/>
      <c r="M20" s="120">
        <f>+K20+'22'!M20+L20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+'22'!J21</f>
        <v>TW 23 VP OW</v>
      </c>
      <c r="K21" s="242"/>
      <c r="L21" s="242"/>
      <c r="M21" s="120">
        <f>+K21+'22'!M21+L21</f>
        <v>162640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+'22'!J22</f>
        <v>TW 17 VP OW</v>
      </c>
      <c r="K22" s="242"/>
      <c r="L22" s="242"/>
      <c r="M22" s="120">
        <f>+K22+'22'!M22+L22</f>
        <v>232569</v>
      </c>
    </row>
    <row r="23" spans="1:14" ht="13.5" thickBot="1">
      <c r="A23" s="788"/>
      <c r="B23" s="168" t="s">
        <v>3</v>
      </c>
      <c r="C23" s="103">
        <f>SUM(C16:C22)</f>
        <v>16145</v>
      </c>
      <c r="D23" s="114">
        <f>SUM(D16:D22)</f>
        <v>250</v>
      </c>
      <c r="E23" s="115">
        <f>SUM(E18:E22)</f>
        <v>0</v>
      </c>
      <c r="F23" s="105">
        <f>SUM(F15:F22)</f>
        <v>10</v>
      </c>
      <c r="G23" s="162"/>
      <c r="H23" s="169"/>
      <c r="I23" s="172"/>
      <c r="J23" s="217" t="str">
        <f>+'22'!J23</f>
        <v>TW 16 VP OW</v>
      </c>
      <c r="K23" s="242">
        <f>+C34</f>
        <v>50241</v>
      </c>
      <c r="L23" s="242"/>
      <c r="M23" s="120">
        <f>+K23+'22'!M23+L23</f>
        <v>62591</v>
      </c>
    </row>
    <row r="24" spans="1:14" ht="13.5" customHeight="1" thickBot="1">
      <c r="A24" s="781" t="s">
        <v>607</v>
      </c>
      <c r="B24" s="173"/>
      <c r="C24" s="116">
        <f>C23/($C$23+$D$23+$E$23)</f>
        <v>0.98475144861238184</v>
      </c>
      <c r="D24" s="117">
        <f>D23/($C$23+$D$23+$E$23)</f>
        <v>1.5248551387618176E-2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585</v>
      </c>
      <c r="J24" s="217">
        <f>+'22'!J24</f>
        <v>0</v>
      </c>
      <c r="K24" s="242"/>
      <c r="L24" s="242"/>
      <c r="M24" s="120">
        <f>+K24+'22'!M24+L24</f>
        <v>0</v>
      </c>
    </row>
    <row r="25" spans="1:14" ht="13.5" thickBot="1">
      <c r="A25" s="787"/>
      <c r="B25" s="218" t="s">
        <v>629</v>
      </c>
      <c r="C25" s="229">
        <v>16981</v>
      </c>
      <c r="D25" s="220"/>
      <c r="E25" s="228"/>
      <c r="F25" s="234">
        <v>4</v>
      </c>
      <c r="G25" s="235" t="s">
        <v>13</v>
      </c>
      <c r="H25" s="233" t="s">
        <v>434</v>
      </c>
      <c r="I25" s="785"/>
      <c r="J25" s="217">
        <f>+'22'!J25</f>
        <v>0</v>
      </c>
      <c r="K25" s="242"/>
      <c r="L25" s="242"/>
      <c r="M25" s="120">
        <f>+K25+'22'!M25+L25</f>
        <v>0</v>
      </c>
    </row>
    <row r="26" spans="1:14" ht="13.5" thickBot="1">
      <c r="A26" s="787"/>
      <c r="B26" s="218"/>
      <c r="C26" s="229"/>
      <c r="D26" s="220"/>
      <c r="E26" s="230"/>
      <c r="F26" s="231">
        <v>6</v>
      </c>
      <c r="G26" s="235" t="s">
        <v>13</v>
      </c>
      <c r="H26" s="236" t="s">
        <v>226</v>
      </c>
      <c r="I26" s="785"/>
      <c r="J26" s="217">
        <f>+'22'!J26</f>
        <v>0</v>
      </c>
      <c r="K26" s="242"/>
      <c r="L26" s="242"/>
      <c r="M26" s="120">
        <f>+K26+'22'!M26+L26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633</v>
      </c>
      <c r="I27" s="785"/>
      <c r="J27" s="217">
        <f>+'22'!J27</f>
        <v>0</v>
      </c>
      <c r="K27" s="242"/>
      <c r="L27" s="242"/>
      <c r="M27" s="120">
        <f>+K27+'22'!M27+L27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+'22'!J28</f>
        <v>0</v>
      </c>
      <c r="K28" s="242"/>
      <c r="L28" s="242"/>
      <c r="M28" s="120">
        <f>+K28+'22'!M28+L28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+'22'!J29</f>
        <v>0</v>
      </c>
      <c r="K29" s="242"/>
      <c r="L29" s="242"/>
      <c r="M29" s="120">
        <f>+K29+'22'!M29+L29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+'22'!J30</f>
        <v>0</v>
      </c>
      <c r="K30" s="242"/>
      <c r="L30" s="242"/>
      <c r="M30" s="120">
        <f>+K30+'22'!M30+L30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+'22'!J31</f>
        <v>0</v>
      </c>
      <c r="K31" s="242"/>
      <c r="L31" s="242"/>
      <c r="M31" s="120">
        <f>+K31+'22'!M31+L31</f>
        <v>0</v>
      </c>
    </row>
    <row r="32" spans="1:14" ht="13.5" thickBot="1">
      <c r="A32" s="788"/>
      <c r="B32" s="168" t="s">
        <v>3</v>
      </c>
      <c r="C32" s="102">
        <f>SUM(C25:C31)</f>
        <v>16981</v>
      </c>
      <c r="D32" s="103">
        <f>SUM(D25:D31)</f>
        <v>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+'22'!J32</f>
        <v>0</v>
      </c>
      <c r="K32" s="242"/>
      <c r="L32" s="246"/>
      <c r="M32" s="120">
        <f>+K32+'22'!M32+L32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50241</v>
      </c>
      <c r="D34" s="110">
        <f>D14+D23+D32</f>
        <v>250</v>
      </c>
      <c r="E34" s="110">
        <f>E14+E23+E32</f>
        <v>0</v>
      </c>
      <c r="F34" s="111">
        <f>F14+F23+F32</f>
        <v>30</v>
      </c>
      <c r="H34" s="181"/>
      <c r="I34" s="181"/>
      <c r="J34" s="126" t="s">
        <v>29</v>
      </c>
      <c r="K34" s="127">
        <f>SUM(K7:K32)</f>
        <v>50241</v>
      </c>
      <c r="L34" s="215">
        <f>SUM(L7:L32)</f>
        <v>0</v>
      </c>
      <c r="M34" s="123">
        <f>SUM(M7:M32)</f>
        <v>1179185</v>
      </c>
      <c r="N34" s="158"/>
    </row>
    <row r="35" spans="1:14" ht="13.5" thickBot="1">
      <c r="A35" s="182"/>
      <c r="B35" s="183"/>
      <c r="C35" s="107">
        <f>C34/($C$34+$D$34+$E$34)</f>
        <v>0.99504862252678694</v>
      </c>
      <c r="D35" s="107">
        <f>D34/($C$34+$D$34+$E$34)</f>
        <v>4.9513774732130476E-3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(16*1440)/1440*G42*3.4*1440/1000000</f>
        <v>53.315481599999998</v>
      </c>
      <c r="J37" s="128">
        <f>+I37+'22'!J37</f>
        <v>1358.6611399985391</v>
      </c>
      <c r="K37" s="129" t="s">
        <v>66</v>
      </c>
      <c r="L37" s="437"/>
      <c r="M37" s="438"/>
    </row>
    <row r="38" spans="1:14" ht="17.45" customHeight="1">
      <c r="A38" s="797" t="s">
        <v>13</v>
      </c>
      <c r="B38" s="798"/>
      <c r="C38" s="167">
        <f>SUMIF($G$7:$G$31,"Process",$F$7:$F$31)</f>
        <v>30</v>
      </c>
      <c r="D38" s="121">
        <f>+C38+'22'!D38</f>
        <v>1103</v>
      </c>
      <c r="E38" s="146">
        <f t="shared" ref="E38:E51" si="0">D38/60</f>
        <v>18.383333333333333</v>
      </c>
      <c r="F38" s="372">
        <v>830</v>
      </c>
      <c r="G38" s="372">
        <f>+F38-F38*0.18</f>
        <v>680.6</v>
      </c>
      <c r="H38" s="190" t="s">
        <v>67</v>
      </c>
      <c r="I38" s="562">
        <f>16.272+16.507+16.402</f>
        <v>49.180999999999997</v>
      </c>
      <c r="J38" s="130">
        <f>+I38+'22'!J38</f>
        <v>1221.2440000000001</v>
      </c>
      <c r="K38" s="131" t="s">
        <v>66</v>
      </c>
      <c r="L38" s="439"/>
      <c r="M38" s="440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+C39+'22'!D39</f>
        <v>0</v>
      </c>
      <c r="E39" s="146">
        <f t="shared" si="0"/>
        <v>0</v>
      </c>
      <c r="F39" s="372">
        <v>830</v>
      </c>
      <c r="G39" s="372">
        <f>+F39-F39*0.18</f>
        <v>680.6</v>
      </c>
      <c r="H39" s="190" t="s">
        <v>68</v>
      </c>
      <c r="I39" s="145"/>
      <c r="J39" s="132">
        <f>J37/G4</f>
        <v>59.072223478197351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+C40+'22'!D40</f>
        <v>0</v>
      </c>
      <c r="E40" s="146">
        <f t="shared" si="0"/>
        <v>0</v>
      </c>
      <c r="F40" s="372">
        <v>830</v>
      </c>
      <c r="G40" s="372">
        <f>+F40-F40*0.18</f>
        <v>680.6</v>
      </c>
      <c r="H40" s="190" t="s">
        <v>70</v>
      </c>
      <c r="I40" s="121">
        <f>(K34+L34)/1000</f>
        <v>50.241</v>
      </c>
      <c r="J40" s="134">
        <f>+I40+'22'!J40</f>
        <v>1179.1849999999999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+C41+'22'!D41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51.268913043478257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+C42+'22'!D42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680.6</v>
      </c>
      <c r="H42" s="190" t="s">
        <v>73</v>
      </c>
      <c r="I42" s="248" t="s">
        <v>585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>+C43+'22'!D43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+Report1!AH31</f>
        <v>105.31100000000001</v>
      </c>
      <c r="J43" s="136">
        <f>+I43+'22'!J43</f>
        <v>2963.2889999999993</v>
      </c>
      <c r="K43" s="133" t="s">
        <v>66</v>
      </c>
      <c r="L43" s="441">
        <f>+Report1!AN31</f>
        <v>0</v>
      </c>
      <c r="M43" s="442">
        <f>+L43+'22'!M43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+C44+'22'!D44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2.1412944023098355</v>
      </c>
      <c r="J44" s="137">
        <f>J43/J38</f>
        <v>2.4264512251441963</v>
      </c>
      <c r="K44" s="133" t="s">
        <v>66</v>
      </c>
      <c r="L44" s="443">
        <f>+L43/I38</f>
        <v>0</v>
      </c>
      <c r="M44" s="444">
        <f>+M43/J38</f>
        <v>5.1177324105584135E-2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+C45+'22'!D45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2.0961167174220261</v>
      </c>
      <c r="J45" s="137">
        <f>J43/J40</f>
        <v>2.512997536434062</v>
      </c>
      <c r="K45" s="133" t="s">
        <v>66</v>
      </c>
      <c r="L45" s="443">
        <f>+L43/I40</f>
        <v>0</v>
      </c>
      <c r="M45" s="444">
        <f>+M43/J40</f>
        <v>5.3002709498509569E-2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+C46+'22'!D46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+SUMIF(Listrik!AC30,"&gt;0")</f>
        <v>43551.409999999814</v>
      </c>
      <c r="J46" s="138">
        <f>+I46+'22'!J46</f>
        <v>954998.02000000072</v>
      </c>
      <c r="K46" s="133" t="s">
        <v>81</v>
      </c>
      <c r="L46" s="443">
        <f>+Listrik!AF30</f>
        <v>269</v>
      </c>
      <c r="M46" s="445">
        <f>+L46+'22'!M46</f>
        <v>113860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+C47+'22'!D47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885.53323437912638</v>
      </c>
      <c r="J47" s="138">
        <f>J46/J38</f>
        <v>781.98789103569857</v>
      </c>
      <c r="K47" s="133" t="s">
        <v>25</v>
      </c>
      <c r="L47" s="443">
        <f>+L46/I38</f>
        <v>5.469591915577154</v>
      </c>
      <c r="M47" s="444">
        <f>+M46/J38</f>
        <v>93.232801962588951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+C48+'22'!D48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866.8499830815432</v>
      </c>
      <c r="J48" s="138">
        <f>J46/J40</f>
        <v>809.87972201138984</v>
      </c>
      <c r="K48" s="133" t="s">
        <v>25</v>
      </c>
      <c r="L48" s="443">
        <f>+L46/I38</f>
        <v>5.469591915577154</v>
      </c>
      <c r="M48" s="444">
        <f>+M46/J40</f>
        <v>96.558216056004781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+C49+'22'!D49</f>
        <v>1406</v>
      </c>
      <c r="E49" s="146">
        <f t="shared" si="0"/>
        <v>23.433333333333334</v>
      </c>
      <c r="F49" s="188"/>
      <c r="H49" s="191" t="s">
        <v>85</v>
      </c>
      <c r="I49" s="121">
        <f>+Report1!AB31</f>
        <v>0</v>
      </c>
      <c r="J49" s="138">
        <f>+I49+'22'!J49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+C50+'22'!D50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+C51+'22'!D51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30</v>
      </c>
      <c r="D52" s="147">
        <f>SUM(D38:D51)</f>
        <v>3099</v>
      </c>
      <c r="E52" s="148">
        <f>SUM(E38:E51)</f>
        <v>51.650000000000006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2.0833333333333332E-2</v>
      </c>
      <c r="D53" s="149">
        <f>D52/(24*60*G4)</f>
        <v>9.3568840579710141E-2</v>
      </c>
      <c r="E53" s="150">
        <f>E52/(G4*24)</f>
        <v>9.3568840579710155E-2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+D34+'22'!J56</f>
        <v>12361</v>
      </c>
      <c r="K56" s="204">
        <f>J56/(J40+J56/1000)/1000</f>
        <v>1.0373917582703479E-2</v>
      </c>
    </row>
    <row r="57" spans="1:13">
      <c r="A57" s="179"/>
      <c r="I57" s="202" t="s">
        <v>92</v>
      </c>
      <c r="J57" s="203">
        <f>+E34+'22'!J57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7109375" style="152" bestFit="1" customWidth="1"/>
    <col min="12" max="12" width="8.28515625" style="152" customWidth="1"/>
    <col min="13" max="13" width="14.425781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22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258+259+255</f>
        <v>772</v>
      </c>
    </row>
    <row r="7" spans="1:15" ht="13.5" customHeight="1" thickBot="1">
      <c r="A7" s="781" t="s">
        <v>409</v>
      </c>
      <c r="B7" s="218" t="s">
        <v>593</v>
      </c>
      <c r="C7" s="219">
        <v>16893</v>
      </c>
      <c r="D7" s="220"/>
      <c r="E7" s="221"/>
      <c r="F7" s="231"/>
      <c r="G7" s="232" t="s">
        <v>13</v>
      </c>
      <c r="H7" s="233" t="s">
        <v>391</v>
      </c>
      <c r="I7" s="784" t="s">
        <v>585</v>
      </c>
      <c r="J7" s="217" t="str">
        <f>+'21'!J7</f>
        <v>TW 38 RC BR</v>
      </c>
      <c r="K7" s="241"/>
      <c r="L7" s="245"/>
      <c r="M7" s="120">
        <f>+K7+'21'!M7+L7</f>
        <v>53722</v>
      </c>
    </row>
    <row r="8" spans="1:15" ht="13.5" thickBot="1">
      <c r="A8" s="782"/>
      <c r="B8" s="218"/>
      <c r="C8" s="219"/>
      <c r="D8" s="220"/>
      <c r="E8" s="222"/>
      <c r="F8" s="234">
        <v>5</v>
      </c>
      <c r="G8" s="235" t="s">
        <v>13</v>
      </c>
      <c r="H8" s="233" t="s">
        <v>389</v>
      </c>
      <c r="I8" s="785"/>
      <c r="J8" s="217" t="str">
        <f>+'21'!J8</f>
        <v>TW 36 RC BR</v>
      </c>
      <c r="K8" s="242"/>
      <c r="L8" s="242"/>
      <c r="M8" s="120">
        <f>+K8+'21'!M8+L8</f>
        <v>45750</v>
      </c>
      <c r="N8" s="152">
        <v>830</v>
      </c>
      <c r="O8" s="152">
        <f>+N8-N8*0.18</f>
        <v>680.6</v>
      </c>
    </row>
    <row r="9" spans="1:15" ht="13.5" thickBot="1">
      <c r="A9" s="782"/>
      <c r="B9" s="218"/>
      <c r="C9" s="219"/>
      <c r="D9" s="220"/>
      <c r="E9" s="223"/>
      <c r="F9" s="231">
        <v>5</v>
      </c>
      <c r="G9" s="235" t="s">
        <v>13</v>
      </c>
      <c r="H9" s="236" t="s">
        <v>226</v>
      </c>
      <c r="I9" s="785"/>
      <c r="J9" s="217" t="str">
        <f>+'21'!J9</f>
        <v>TW 34 RC BR</v>
      </c>
      <c r="K9" s="242"/>
      <c r="L9" s="242"/>
      <c r="M9" s="120">
        <f>+K9+'21'!M9+L9</f>
        <v>19926</v>
      </c>
      <c r="N9" s="152">
        <v>830</v>
      </c>
      <c r="O9" s="152">
        <f>+N9-N9*0.18</f>
        <v>680.6</v>
      </c>
    </row>
    <row r="10" spans="1:15" ht="13.5" thickBot="1">
      <c r="A10" s="782"/>
      <c r="B10" s="218"/>
      <c r="C10" s="219"/>
      <c r="D10" s="220"/>
      <c r="E10" s="222"/>
      <c r="F10" s="231" t="s">
        <v>0</v>
      </c>
      <c r="G10" s="235"/>
      <c r="H10" s="236" t="s">
        <v>620</v>
      </c>
      <c r="I10" s="785"/>
      <c r="J10" s="217" t="str">
        <f>+'21'!J10</f>
        <v>TW 30 RC BR</v>
      </c>
      <c r="K10" s="242"/>
      <c r="L10" s="242"/>
      <c r="M10" s="120">
        <f>+K10+'21'!M10+L10</f>
        <v>11017</v>
      </c>
      <c r="N10" s="152">
        <v>830</v>
      </c>
      <c r="O10" s="152">
        <f>+N10-N10*0.18</f>
        <v>680.6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+'21'!J11</f>
        <v>TW 20 RC BR</v>
      </c>
      <c r="K11" s="242"/>
      <c r="L11" s="242"/>
      <c r="M11" s="120">
        <f>+K11+'21'!M11+L11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+'21'!J12</f>
        <v>N 20 RC BR</v>
      </c>
      <c r="K12" s="242"/>
      <c r="L12" s="242"/>
      <c r="M12" s="120">
        <f>+K12+'21'!M12+L12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+'21'!J13</f>
        <v>N 17,5 RC BR</v>
      </c>
      <c r="K13" s="242"/>
      <c r="L13" s="242"/>
      <c r="M13" s="120">
        <f>+K13+'21'!M13+L13</f>
        <v>61888</v>
      </c>
    </row>
    <row r="14" spans="1:15" ht="13.5" thickBot="1">
      <c r="A14" s="783"/>
      <c r="B14" s="168" t="s">
        <v>3</v>
      </c>
      <c r="C14" s="102">
        <f>SUM(C7:C13)</f>
        <v>16893</v>
      </c>
      <c r="D14" s="114">
        <f>SUM(D7:D13)</f>
        <v>0</v>
      </c>
      <c r="E14" s="115">
        <f>SUM(E5:E13)</f>
        <v>0</v>
      </c>
      <c r="F14" s="119"/>
      <c r="G14" s="162"/>
      <c r="H14" s="169"/>
      <c r="I14" s="170"/>
      <c r="J14" s="217" t="str">
        <f>+'21'!J14</f>
        <v>N 16 RC BR</v>
      </c>
      <c r="K14" s="242"/>
      <c r="L14" s="242"/>
      <c r="M14" s="120">
        <f>+K14+'21'!M14+L14</f>
        <v>24358</v>
      </c>
    </row>
    <row r="15" spans="1:15" ht="13.5" customHeight="1" thickBot="1">
      <c r="A15" s="781" t="s">
        <v>461</v>
      </c>
      <c r="B15" s="168"/>
      <c r="C15" s="116">
        <f>C14/($C$23+$D$23+$E$23)</f>
        <v>1.0110120294452092</v>
      </c>
      <c r="D15" s="117">
        <f>D14/($C$23+$D$23+$E$23)</f>
        <v>0</v>
      </c>
      <c r="E15" s="118">
        <f>E14/($C$23+$D$23+$E$23)</f>
        <v>0</v>
      </c>
      <c r="F15" s="231">
        <v>2</v>
      </c>
      <c r="G15" s="232" t="s">
        <v>13</v>
      </c>
      <c r="H15" s="233" t="s">
        <v>435</v>
      </c>
      <c r="I15" s="784" t="s">
        <v>585</v>
      </c>
      <c r="J15" s="217" t="str">
        <f>+'21'!J15</f>
        <v>N 15,5 RC BR</v>
      </c>
      <c r="K15" s="242"/>
      <c r="L15" s="242"/>
      <c r="M15" s="120">
        <f>+K15+'21'!M15+L15</f>
        <v>0</v>
      </c>
    </row>
    <row r="16" spans="1:15" ht="13.5" thickBot="1">
      <c r="A16" s="787"/>
      <c r="B16" s="218" t="s">
        <v>593</v>
      </c>
      <c r="C16" s="225">
        <v>16709</v>
      </c>
      <c r="D16" s="226"/>
      <c r="E16" s="227"/>
      <c r="F16" s="234">
        <v>4</v>
      </c>
      <c r="G16" s="235" t="s">
        <v>13</v>
      </c>
      <c r="H16" s="233" t="s">
        <v>389</v>
      </c>
      <c r="I16" s="785"/>
      <c r="J16" s="217" t="str">
        <f>+'21'!J16</f>
        <v>N 17 VP OW</v>
      </c>
      <c r="K16" s="242"/>
      <c r="L16" s="232"/>
      <c r="M16" s="120">
        <f>+K16+'21'!M16+L16</f>
        <v>62993</v>
      </c>
    </row>
    <row r="17" spans="1:13" ht="13.5" thickBot="1">
      <c r="A17" s="787"/>
      <c r="B17" s="218"/>
      <c r="C17" s="219"/>
      <c r="D17" s="220"/>
      <c r="E17" s="228"/>
      <c r="F17" s="231">
        <v>4</v>
      </c>
      <c r="G17" s="235" t="s">
        <v>13</v>
      </c>
      <c r="H17" s="236" t="s">
        <v>226</v>
      </c>
      <c r="I17" s="785"/>
      <c r="J17" s="217" t="str">
        <f>+'21'!J17</f>
        <v>N 16 VP OW</v>
      </c>
      <c r="K17" s="242"/>
      <c r="L17" s="232"/>
      <c r="M17" s="120">
        <f>+K17+'21'!M17+L17</f>
        <v>263057</v>
      </c>
    </row>
    <row r="18" spans="1:13" ht="13.5" thickBot="1">
      <c r="A18" s="787"/>
      <c r="B18" s="218"/>
      <c r="C18" s="219"/>
      <c r="D18" s="220"/>
      <c r="E18" s="228"/>
      <c r="F18" s="231"/>
      <c r="G18" s="235"/>
      <c r="H18" s="236" t="s">
        <v>620</v>
      </c>
      <c r="I18" s="785"/>
      <c r="J18" s="217" t="str">
        <f>+'21'!J18</f>
        <v>N 19 VP OW</v>
      </c>
      <c r="K18" s="242"/>
      <c r="L18" s="242"/>
      <c r="M18" s="120">
        <f>+K18+'21'!M18+L18</f>
        <v>24049</v>
      </c>
    </row>
    <row r="19" spans="1:13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+'21'!J19</f>
        <v>N 25 VP OW</v>
      </c>
      <c r="K19" s="242"/>
      <c r="L19" s="242"/>
      <c r="M19" s="120">
        <f>+K19+'21'!M19+L19</f>
        <v>114797</v>
      </c>
    </row>
    <row r="20" spans="1:13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+'21'!J20</f>
        <v>N 23 VP OW</v>
      </c>
      <c r="K20" s="242"/>
      <c r="L20" s="243"/>
      <c r="M20" s="120">
        <f>+K20+'21'!M20+L20</f>
        <v>9760</v>
      </c>
    </row>
    <row r="21" spans="1:13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+'21'!J21</f>
        <v>TW 23 VP OW</v>
      </c>
      <c r="K21" s="242"/>
      <c r="L21" s="242"/>
      <c r="M21" s="120">
        <f>+K21+'21'!M21+L21</f>
        <v>162640</v>
      </c>
    </row>
    <row r="22" spans="1:13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+'21'!J22</f>
        <v>TW 17 VP OW</v>
      </c>
      <c r="K22" s="242">
        <f>+C7+C16+C25</f>
        <v>37635</v>
      </c>
      <c r="L22" s="242"/>
      <c r="M22" s="120">
        <f>+K22+'21'!M22+L22</f>
        <v>232569</v>
      </c>
    </row>
    <row r="23" spans="1:13" ht="13.5" thickBot="1">
      <c r="A23" s="788"/>
      <c r="B23" s="168" t="s">
        <v>3</v>
      </c>
      <c r="C23" s="103">
        <f>SUM(C16:C22)</f>
        <v>16709</v>
      </c>
      <c r="D23" s="114">
        <f>SUM(D16:D22)</f>
        <v>0</v>
      </c>
      <c r="E23" s="115">
        <f>SUM(E18:E22)</f>
        <v>0</v>
      </c>
      <c r="F23" s="119"/>
      <c r="G23" s="162"/>
      <c r="H23" s="169"/>
      <c r="I23" s="172"/>
      <c r="J23" s="217" t="s">
        <v>629</v>
      </c>
      <c r="K23" s="242">
        <v>12350</v>
      </c>
      <c r="L23" s="242"/>
      <c r="M23" s="120">
        <f>+K23+'21'!M23+L23</f>
        <v>12350</v>
      </c>
    </row>
    <row r="24" spans="1:13" ht="13.5" customHeight="1" thickBot="1">
      <c r="A24" s="781" t="s">
        <v>410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5</v>
      </c>
      <c r="G24" s="232" t="s">
        <v>13</v>
      </c>
      <c r="H24" s="233" t="s">
        <v>469</v>
      </c>
      <c r="I24" s="784" t="s">
        <v>585</v>
      </c>
      <c r="J24" s="217">
        <f>+'21'!J24</f>
        <v>0</v>
      </c>
      <c r="K24" s="242"/>
      <c r="L24" s="242"/>
      <c r="M24" s="120">
        <f>+K24+'21'!M24+L24</f>
        <v>0</v>
      </c>
    </row>
    <row r="25" spans="1:13" ht="13.5" customHeight="1" thickBot="1">
      <c r="A25" s="787"/>
      <c r="B25" s="218" t="s">
        <v>593</v>
      </c>
      <c r="C25" s="229">
        <f>2606+1427</f>
        <v>4033</v>
      </c>
      <c r="D25" s="220"/>
      <c r="E25" s="228"/>
      <c r="F25" s="234">
        <v>3</v>
      </c>
      <c r="G25" s="235" t="s">
        <v>13</v>
      </c>
      <c r="H25" s="233" t="s">
        <v>389</v>
      </c>
      <c r="I25" s="785"/>
      <c r="J25" s="217">
        <f>+'21'!J25</f>
        <v>0</v>
      </c>
      <c r="K25" s="242"/>
      <c r="L25" s="242"/>
      <c r="M25" s="120">
        <f>+K25+'21'!M25+L25</f>
        <v>0</v>
      </c>
    </row>
    <row r="26" spans="1:13" ht="13.5" customHeight="1" thickBot="1">
      <c r="A26" s="787"/>
      <c r="B26" s="218" t="s">
        <v>629</v>
      </c>
      <c r="C26" s="229">
        <f>9541+2809</f>
        <v>12350</v>
      </c>
      <c r="D26" s="220"/>
      <c r="E26" s="230"/>
      <c r="F26" s="231">
        <v>5</v>
      </c>
      <c r="G26" s="235" t="s">
        <v>13</v>
      </c>
      <c r="H26" s="236" t="s">
        <v>226</v>
      </c>
      <c r="I26" s="785"/>
      <c r="J26" s="217">
        <f>+'21'!J26</f>
        <v>0</v>
      </c>
      <c r="K26" s="242"/>
      <c r="L26" s="242"/>
      <c r="M26" s="120">
        <f>+K26+'21'!M26+L26</f>
        <v>0</v>
      </c>
    </row>
    <row r="27" spans="1:13" ht="13.5" customHeight="1" thickBot="1">
      <c r="A27" s="787"/>
      <c r="B27" s="218"/>
      <c r="C27" s="219"/>
      <c r="D27" s="220"/>
      <c r="E27" s="228"/>
      <c r="F27" s="231"/>
      <c r="G27" s="235"/>
      <c r="H27" s="236" t="s">
        <v>620</v>
      </c>
      <c r="I27" s="785"/>
      <c r="J27" s="217">
        <f>+'21'!J27</f>
        <v>0</v>
      </c>
      <c r="K27" s="242"/>
      <c r="L27" s="242"/>
      <c r="M27" s="120">
        <f>+K27+'21'!M27+L27</f>
        <v>0</v>
      </c>
    </row>
    <row r="28" spans="1:13" ht="13.5" customHeight="1" thickBot="1">
      <c r="A28" s="787"/>
      <c r="B28" s="218"/>
      <c r="C28" s="219"/>
      <c r="D28" s="220"/>
      <c r="E28" s="228"/>
      <c r="F28" s="234">
        <v>4</v>
      </c>
      <c r="G28" s="235" t="s">
        <v>13</v>
      </c>
      <c r="H28" s="236" t="s">
        <v>628</v>
      </c>
      <c r="I28" s="785"/>
      <c r="J28" s="217">
        <f>+'21'!J28</f>
        <v>0</v>
      </c>
      <c r="K28" s="242"/>
      <c r="L28" s="242"/>
      <c r="M28" s="120">
        <f>+K28+'21'!M28+L28</f>
        <v>0</v>
      </c>
    </row>
    <row r="29" spans="1:13" ht="13.5" customHeight="1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+'21'!J29</f>
        <v>0</v>
      </c>
      <c r="K29" s="242"/>
      <c r="L29" s="242"/>
      <c r="M29" s="120">
        <f>+K29+'21'!M29+L29</f>
        <v>0</v>
      </c>
    </row>
    <row r="30" spans="1:13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+'21'!J30</f>
        <v>0</v>
      </c>
      <c r="K30" s="242"/>
      <c r="L30" s="242"/>
      <c r="M30" s="120">
        <f>+K30+'21'!M30+L30</f>
        <v>0</v>
      </c>
    </row>
    <row r="31" spans="1:13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+'21'!J31</f>
        <v>0</v>
      </c>
      <c r="K31" s="242"/>
      <c r="L31" s="242"/>
      <c r="M31" s="120">
        <f>+K31+'21'!M31+L31</f>
        <v>0</v>
      </c>
    </row>
    <row r="32" spans="1:13" ht="13.5" customHeight="1" thickBot="1">
      <c r="A32" s="788"/>
      <c r="B32" s="168" t="s">
        <v>3</v>
      </c>
      <c r="C32" s="102">
        <f>SUM(C25:C31)</f>
        <v>16383</v>
      </c>
      <c r="D32" s="103">
        <f>SUM(D25:D31)</f>
        <v>0</v>
      </c>
      <c r="E32" s="104">
        <f>SUM(E25:E31)</f>
        <v>0</v>
      </c>
      <c r="F32" s="105">
        <f>SUM(F24:F31)</f>
        <v>17</v>
      </c>
      <c r="G32" s="174"/>
      <c r="H32" s="175"/>
      <c r="I32" s="172"/>
      <c r="J32" s="217">
        <f>+'21'!J32</f>
        <v>0</v>
      </c>
      <c r="K32" s="244"/>
      <c r="L32" s="246"/>
      <c r="M32" s="120">
        <f>+K32+'21'!M32+L32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49985</v>
      </c>
      <c r="D34" s="110">
        <f>D14+D23+D32</f>
        <v>0</v>
      </c>
      <c r="E34" s="110">
        <f>E14+E23+E32</f>
        <v>0</v>
      </c>
      <c r="F34" s="111">
        <f>F14+F23+F32</f>
        <v>17</v>
      </c>
      <c r="H34" s="181"/>
      <c r="I34" s="181"/>
      <c r="J34" s="126" t="s">
        <v>29</v>
      </c>
      <c r="K34" s="127">
        <f>SUM(K7:K32)</f>
        <v>49985</v>
      </c>
      <c r="L34" s="215">
        <f>SUM(L7:L32)</f>
        <v>0</v>
      </c>
      <c r="M34" s="123">
        <f>SUM(M7:M32)</f>
        <v>1128944</v>
      </c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(17*1039+16*401)/1440*G42*3.4*1440/1000000</f>
        <v>55.719769160000006</v>
      </c>
      <c r="J37" s="128">
        <f>+I37+'21'!J37</f>
        <v>1305.3456583985392</v>
      </c>
      <c r="K37" s="129" t="s">
        <v>66</v>
      </c>
      <c r="L37" s="437"/>
      <c r="M37" s="438"/>
      <c r="N37" s="152">
        <f>17.063+16.922+2.041</f>
        <v>36.025999999999996</v>
      </c>
    </row>
    <row r="38" spans="1:14" ht="17.45" customHeight="1">
      <c r="A38" s="797" t="s">
        <v>13</v>
      </c>
      <c r="B38" s="798"/>
      <c r="C38" s="167">
        <f>SUMIF($G$7:$G$31,"Process",$F$7:$F$31)</f>
        <v>37</v>
      </c>
      <c r="D38" s="121">
        <f>+C38+'21'!D38</f>
        <v>1073</v>
      </c>
      <c r="E38" s="146">
        <f t="shared" ref="E38:E51" si="0">D38/60</f>
        <v>17.883333333333333</v>
      </c>
      <c r="F38" s="372">
        <v>830</v>
      </c>
      <c r="G38" s="372">
        <v>680.6</v>
      </c>
      <c r="H38" s="190" t="s">
        <v>67</v>
      </c>
      <c r="I38" s="562">
        <f>17.063+16.922+16.22</f>
        <v>50.204999999999998</v>
      </c>
      <c r="J38" s="130">
        <f>+I38+'21'!J38</f>
        <v>1172.0630000000001</v>
      </c>
      <c r="K38" s="131" t="s">
        <v>66</v>
      </c>
      <c r="L38" s="439"/>
      <c r="M38" s="440"/>
      <c r="N38" s="563">
        <f>+I38-N37</f>
        <v>14.179000000000002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+C39+'21'!D39</f>
        <v>0</v>
      </c>
      <c r="E39" s="146">
        <f t="shared" si="0"/>
        <v>0</v>
      </c>
      <c r="F39" s="372">
        <v>830</v>
      </c>
      <c r="G39" s="372">
        <v>680.6</v>
      </c>
      <c r="H39" s="190" t="s">
        <v>68</v>
      </c>
      <c r="I39" s="145"/>
      <c r="J39" s="132">
        <f>J37/G4</f>
        <v>59.333893563569966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+C40+'21'!D40</f>
        <v>0</v>
      </c>
      <c r="E40" s="146">
        <f t="shared" si="0"/>
        <v>0</v>
      </c>
      <c r="F40" s="372">
        <v>830</v>
      </c>
      <c r="G40" s="372">
        <v>680.6</v>
      </c>
      <c r="H40" s="190" t="s">
        <v>70</v>
      </c>
      <c r="I40" s="121">
        <f>(K34+L34)/1000</f>
        <v>49.984999999999999</v>
      </c>
      <c r="J40" s="134">
        <f>+I40+'21'!J40</f>
        <v>1128.944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+C41+'21'!D41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51.315636363636365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+C42+'21'!D42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680.6</v>
      </c>
      <c r="H42" s="190" t="s">
        <v>73</v>
      </c>
      <c r="I42" s="248" t="s">
        <v>585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>+C43+'21'!D43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+Report1!AH30</f>
        <v>105.152</v>
      </c>
      <c r="J43" s="136">
        <f>+I43+'21'!J43</f>
        <v>2857.9779999999992</v>
      </c>
      <c r="K43" s="133" t="s">
        <v>66</v>
      </c>
      <c r="L43" s="441">
        <f>+Report1!AN30</f>
        <v>0</v>
      </c>
      <c r="M43" s="442">
        <f>+L43+'21'!M43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+C44+'21'!D44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2.0944527437506224</v>
      </c>
      <c r="J44" s="137">
        <f>J43/J38</f>
        <v>2.4384167062692015</v>
      </c>
      <c r="K44" s="133" t="s">
        <v>66</v>
      </c>
      <c r="L44" s="443">
        <f>+L43/I38</f>
        <v>0</v>
      </c>
      <c r="M44" s="444">
        <f>+M43/J38</f>
        <v>5.3324778616849089E-2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+C45+'21'!D45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2.103671101330399</v>
      </c>
      <c r="J45" s="137">
        <f>J43/J40</f>
        <v>2.531549837724457</v>
      </c>
      <c r="K45" s="133" t="s">
        <v>66</v>
      </c>
      <c r="L45" s="443">
        <f>+L43/I40</f>
        <v>0</v>
      </c>
      <c r="M45" s="444">
        <f>+M43/J40</f>
        <v>5.5361470542382975E-2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+C46+'21'!D46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+SUMIF(Listrik!AC29,"&gt;0")</f>
        <v>43762.280000000334</v>
      </c>
      <c r="J46" s="138">
        <f>+I46+'21'!J46</f>
        <v>911446.61000000092</v>
      </c>
      <c r="K46" s="133" t="s">
        <v>81</v>
      </c>
      <c r="L46" s="443">
        <f>+Listrik!AF29</f>
        <v>442</v>
      </c>
      <c r="M46" s="445">
        <f>+L46+'21'!M46</f>
        <v>113591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+C47+'21'!D47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871.67174584205429</v>
      </c>
      <c r="J47" s="138">
        <f>J46/J38</f>
        <v>777.6430191892423</v>
      </c>
      <c r="K47" s="133" t="s">
        <v>25</v>
      </c>
      <c r="L47" s="443">
        <f>+L46/I38</f>
        <v>8.8039039936261325</v>
      </c>
      <c r="M47" s="444">
        <f>+M46/J38</f>
        <v>96.915438845864074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+C48+'21'!D48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875.50825247574937</v>
      </c>
      <c r="J48" s="138">
        <f>J46/J40</f>
        <v>807.34439440751794</v>
      </c>
      <c r="K48" s="133" t="s">
        <v>25</v>
      </c>
      <c r="L48" s="443">
        <f>+L46/I38</f>
        <v>8.8039039936261325</v>
      </c>
      <c r="M48" s="444">
        <f>+M46/J40</f>
        <v>100.61703680607718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+C49+'21'!D49</f>
        <v>1406</v>
      </c>
      <c r="E49" s="146">
        <f t="shared" si="0"/>
        <v>23.433333333333334</v>
      </c>
      <c r="F49" s="188"/>
      <c r="H49" s="191" t="s">
        <v>85</v>
      </c>
      <c r="I49" s="121">
        <f>+Report1!AB30</f>
        <v>0</v>
      </c>
      <c r="J49" s="138">
        <f>+I49+'21'!J49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+C50+'21'!D50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+C51+'21'!D51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37</v>
      </c>
      <c r="D52" s="147">
        <f>SUM(D38:D51)</f>
        <v>3069</v>
      </c>
      <c r="E52" s="148">
        <f>SUM(E38:E51)</f>
        <v>51.150000000000006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2.5694444444444443E-2</v>
      </c>
      <c r="D53" s="149">
        <f>D52/(24*60*G4)</f>
        <v>9.6875000000000003E-2</v>
      </c>
      <c r="E53" s="150">
        <f>E52/(G4*24)</f>
        <v>9.6875000000000017E-2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+D34+'21'!J56</f>
        <v>12111</v>
      </c>
      <c r="K56" s="204">
        <f>J56/(J40+J56/1000)/1000</f>
        <v>1.0613861733220572E-2</v>
      </c>
    </row>
    <row r="57" spans="1:13">
      <c r="A57" s="179"/>
      <c r="I57" s="202" t="s">
        <v>92</v>
      </c>
      <c r="J57" s="203">
        <f>+E34+'21'!J57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O61"/>
  <sheetViews>
    <sheetView zoomScale="80" zoomScaleNormal="80" workbookViewId="0">
      <selection activeCell="G24" sqref="G24:H2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710937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7.7109375" style="152" customWidth="1"/>
    <col min="11" max="11" width="12.5703125" style="152" bestFit="1" customWidth="1"/>
    <col min="12" max="12" width="11" style="152" customWidth="1"/>
    <col min="13" max="13" width="14.710937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21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273+0+262</f>
        <v>535</v>
      </c>
    </row>
    <row r="7" spans="1:15" ht="13.5" customHeight="1" thickBot="1">
      <c r="A7" s="781" t="s">
        <v>409</v>
      </c>
      <c r="B7" s="218" t="s">
        <v>593</v>
      </c>
      <c r="C7" s="219">
        <v>15020</v>
      </c>
      <c r="D7" s="220"/>
      <c r="E7" s="221"/>
      <c r="F7" s="231">
        <v>10</v>
      </c>
      <c r="G7" s="232" t="s">
        <v>13</v>
      </c>
      <c r="H7" s="233" t="s">
        <v>436</v>
      </c>
      <c r="I7" s="784" t="s">
        <v>585</v>
      </c>
      <c r="J7" s="377" t="str">
        <f>+'20'!J7</f>
        <v>TW 38 RC BR</v>
      </c>
      <c r="K7" s="241"/>
      <c r="L7" s="245"/>
      <c r="M7" s="120">
        <f>+K7+'20'!M7+L7</f>
        <v>53722</v>
      </c>
    </row>
    <row r="8" spans="1:15" ht="13.5" thickBot="1">
      <c r="A8" s="782"/>
      <c r="B8" s="218"/>
      <c r="C8" s="219"/>
      <c r="D8" s="220"/>
      <c r="E8" s="222"/>
      <c r="F8" s="234">
        <v>10</v>
      </c>
      <c r="G8" s="235" t="s">
        <v>13</v>
      </c>
      <c r="H8" s="233" t="s">
        <v>389</v>
      </c>
      <c r="I8" s="785"/>
      <c r="J8" s="217" t="str">
        <f>+'20'!J8</f>
        <v>TW 36 RC BR</v>
      </c>
      <c r="K8" s="242"/>
      <c r="L8" s="242"/>
      <c r="M8" s="120">
        <f>+K8+'20'!M8+L8</f>
        <v>45750</v>
      </c>
      <c r="N8" s="152">
        <v>830</v>
      </c>
      <c r="O8" s="152">
        <f>+N8-N8*0.18</f>
        <v>680.6</v>
      </c>
    </row>
    <row r="9" spans="1:15" ht="13.5" thickBot="1">
      <c r="A9" s="782"/>
      <c r="B9" s="218"/>
      <c r="C9" s="219"/>
      <c r="D9" s="220"/>
      <c r="E9" s="223"/>
      <c r="F9" s="231">
        <v>10</v>
      </c>
      <c r="G9" s="235" t="s">
        <v>13</v>
      </c>
      <c r="H9" s="236" t="s">
        <v>226</v>
      </c>
      <c r="I9" s="785"/>
      <c r="J9" s="217" t="str">
        <f>+'20'!J9</f>
        <v>TW 34 RC BR</v>
      </c>
      <c r="K9" s="242"/>
      <c r="L9" s="242"/>
      <c r="M9" s="120">
        <f>+K9+'20'!M9+L9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620</v>
      </c>
      <c r="I10" s="785"/>
      <c r="J10" s="217" t="str">
        <f>+'20'!J10</f>
        <v>TW 30 RC BR</v>
      </c>
      <c r="K10" s="242"/>
      <c r="L10" s="242"/>
      <c r="M10" s="120">
        <f>+K10+'20'!M10+L10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+'20'!J11</f>
        <v>TW 20 RC BR</v>
      </c>
      <c r="K11" s="242"/>
      <c r="L11" s="242"/>
      <c r="M11" s="120">
        <f>+K11+'20'!M11+L11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+'20'!J12</f>
        <v>N 20 RC BR</v>
      </c>
      <c r="K12" s="242"/>
      <c r="L12" s="242"/>
      <c r="M12" s="120">
        <f>+K12+'20'!M12+L12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+'20'!J13</f>
        <v>N 17,5 RC BR</v>
      </c>
      <c r="K13" s="242"/>
      <c r="L13" s="242"/>
      <c r="M13" s="120">
        <f>+K13+'20'!M13+L13</f>
        <v>61888</v>
      </c>
    </row>
    <row r="14" spans="1:15" ht="13.5" thickBot="1">
      <c r="A14" s="783"/>
      <c r="B14" s="168" t="s">
        <v>3</v>
      </c>
      <c r="C14" s="102">
        <f>SUM(C7:C13)</f>
        <v>15020</v>
      </c>
      <c r="D14" s="114">
        <f>SUM(D7:D13)</f>
        <v>0</v>
      </c>
      <c r="E14" s="115">
        <f>SUM(E5:E13)</f>
        <v>0</v>
      </c>
      <c r="F14" s="119"/>
      <c r="G14" s="162"/>
      <c r="H14" s="169"/>
      <c r="I14" s="170"/>
      <c r="J14" s="217" t="str">
        <f>+'20'!J14</f>
        <v>N 16 RC BR</v>
      </c>
      <c r="K14" s="242"/>
      <c r="L14" s="242"/>
      <c r="M14" s="120">
        <f>+K14+'20'!M14+L14</f>
        <v>24358</v>
      </c>
    </row>
    <row r="15" spans="1:15" ht="13.5" customHeight="1" thickBot="1">
      <c r="A15" s="781" t="s">
        <v>461</v>
      </c>
      <c r="B15" s="168"/>
      <c r="C15" s="116">
        <f>C14/($C$23+$D$23+$E$23)</f>
        <v>0.91770025050406301</v>
      </c>
      <c r="D15" s="117">
        <f>D14/($C$23+$D$23+$E$23)</f>
        <v>0</v>
      </c>
      <c r="E15" s="118">
        <f>E14/($C$23+$D$23+$E$23)</f>
        <v>0</v>
      </c>
      <c r="F15" s="231">
        <v>2</v>
      </c>
      <c r="G15" s="232" t="s">
        <v>13</v>
      </c>
      <c r="H15" s="233" t="s">
        <v>435</v>
      </c>
      <c r="I15" s="784" t="s">
        <v>585</v>
      </c>
      <c r="J15" s="217" t="str">
        <f>+'20'!J15</f>
        <v>N 15,5 RC BR</v>
      </c>
      <c r="K15" s="242"/>
      <c r="L15" s="242"/>
      <c r="M15" s="120">
        <f>+K15+'20'!M15+L15</f>
        <v>0</v>
      </c>
    </row>
    <row r="16" spans="1:15" ht="13.5" thickBot="1">
      <c r="A16" s="787"/>
      <c r="B16" s="218" t="s">
        <v>593</v>
      </c>
      <c r="C16" s="225">
        <v>16367</v>
      </c>
      <c r="D16" s="226"/>
      <c r="E16" s="227"/>
      <c r="F16" s="234"/>
      <c r="G16" s="235" t="s">
        <v>13</v>
      </c>
      <c r="H16" s="233" t="s">
        <v>486</v>
      </c>
      <c r="I16" s="785"/>
      <c r="J16" s="217" t="str">
        <f>+'20'!J16</f>
        <v>N 17 VP OW</v>
      </c>
      <c r="K16" s="242"/>
      <c r="L16" s="232"/>
      <c r="M16" s="120">
        <f>+K16+'20'!M16+L16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3</v>
      </c>
      <c r="G17" s="235" t="s">
        <v>13</v>
      </c>
      <c r="H17" s="236" t="s">
        <v>226</v>
      </c>
      <c r="I17" s="785"/>
      <c r="J17" s="217" t="str">
        <f>+'20'!J17</f>
        <v>N 16 VP OW</v>
      </c>
      <c r="K17" s="242"/>
      <c r="L17" s="232"/>
      <c r="M17" s="120">
        <f>+K17+'20'!M17+L17</f>
        <v>263057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620</v>
      </c>
      <c r="I18" s="785"/>
      <c r="J18" s="217" t="str">
        <f>+'20'!J18</f>
        <v>N 19 VP OW</v>
      </c>
      <c r="K18" s="242"/>
      <c r="L18" s="242"/>
      <c r="M18" s="120">
        <f>+K18+'20'!M18+L18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+'20'!J19</f>
        <v>N 25 VP OW</v>
      </c>
      <c r="K19" s="242"/>
      <c r="L19" s="242"/>
      <c r="M19" s="120">
        <f>+K19+'20'!M19+L19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+'20'!J20</f>
        <v>N 23 VP OW</v>
      </c>
      <c r="K20" s="242"/>
      <c r="L20" s="243"/>
      <c r="M20" s="120">
        <f>+K20+'20'!M20+L20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+'20'!J21</f>
        <v>TW 23 VP OW</v>
      </c>
      <c r="K21" s="242"/>
      <c r="L21" s="242"/>
      <c r="M21" s="120">
        <f>+K21+'20'!M21+L21</f>
        <v>162640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+'20'!J22</f>
        <v>TW 17 VP OW</v>
      </c>
      <c r="K22" s="242">
        <f>+C34</f>
        <v>49950</v>
      </c>
      <c r="L22" s="242"/>
      <c r="M22" s="120">
        <f>+K22+'20'!M22+L22</f>
        <v>194934</v>
      </c>
    </row>
    <row r="23" spans="1:14" ht="13.5" thickBot="1">
      <c r="A23" s="788"/>
      <c r="B23" s="168" t="s">
        <v>3</v>
      </c>
      <c r="C23" s="103">
        <f>SUM(C16:C22)</f>
        <v>16367</v>
      </c>
      <c r="D23" s="114">
        <f>SUM(D16:D22)</f>
        <v>0</v>
      </c>
      <c r="E23" s="115">
        <f>SUM(E18:E22)</f>
        <v>0</v>
      </c>
      <c r="F23" s="119"/>
      <c r="G23" s="162"/>
      <c r="H23" s="169"/>
      <c r="I23" s="172"/>
      <c r="J23" s="217">
        <f>+'20'!J23</f>
        <v>0</v>
      </c>
      <c r="K23" s="242"/>
      <c r="L23" s="242"/>
      <c r="M23" s="120">
        <f>+K23+'20'!M23+L23</f>
        <v>0</v>
      </c>
    </row>
    <row r="24" spans="1:14" ht="13.5" customHeight="1" thickBot="1">
      <c r="A24" s="781" t="s">
        <v>410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585</v>
      </c>
      <c r="J24" s="217">
        <f>+'20'!J24</f>
        <v>0</v>
      </c>
      <c r="K24" s="242"/>
      <c r="L24" s="242"/>
      <c r="M24" s="120">
        <f>+K24+'20'!M24+L24</f>
        <v>0</v>
      </c>
    </row>
    <row r="25" spans="1:14" ht="13.5" thickBot="1">
      <c r="A25" s="787"/>
      <c r="B25" s="218" t="s">
        <v>593</v>
      </c>
      <c r="C25" s="229">
        <v>18563</v>
      </c>
      <c r="D25" s="220"/>
      <c r="E25" s="228"/>
      <c r="F25" s="234">
        <v>3</v>
      </c>
      <c r="G25" s="235" t="s">
        <v>13</v>
      </c>
      <c r="H25" s="233" t="s">
        <v>389</v>
      </c>
      <c r="I25" s="785"/>
      <c r="J25" s="217">
        <f>+'20'!J25</f>
        <v>0</v>
      </c>
      <c r="K25" s="242"/>
      <c r="L25" s="242"/>
      <c r="M25" s="120">
        <f>+K25+'20'!M25+L25</f>
        <v>0</v>
      </c>
    </row>
    <row r="26" spans="1:14" ht="13.5" thickBot="1">
      <c r="A26" s="787"/>
      <c r="B26" s="218"/>
      <c r="C26" s="229"/>
      <c r="D26" s="220"/>
      <c r="E26" s="230"/>
      <c r="F26" s="231">
        <v>3</v>
      </c>
      <c r="G26" s="235" t="s">
        <v>13</v>
      </c>
      <c r="H26" s="236" t="s">
        <v>226</v>
      </c>
      <c r="I26" s="785"/>
      <c r="J26" s="217">
        <f>+'20'!J26</f>
        <v>0</v>
      </c>
      <c r="K26" s="242"/>
      <c r="L26" s="242"/>
      <c r="M26" s="120">
        <f>+K26+'20'!M26+L26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620</v>
      </c>
      <c r="I27" s="785"/>
      <c r="J27" s="217">
        <f>+'20'!J27</f>
        <v>0</v>
      </c>
      <c r="K27" s="242"/>
      <c r="L27" s="242"/>
      <c r="M27" s="120">
        <f>+K27+'20'!M27+L27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+'20'!J28</f>
        <v>0</v>
      </c>
      <c r="K28" s="242"/>
      <c r="L28" s="242"/>
      <c r="M28" s="120">
        <f>+K28+'20'!M28+L28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+'20'!J29</f>
        <v>0</v>
      </c>
      <c r="K29" s="242"/>
      <c r="L29" s="242"/>
      <c r="M29" s="120">
        <f>+K29+'20'!M29+L29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+'20'!J30</f>
        <v>0</v>
      </c>
      <c r="K30" s="242"/>
      <c r="L30" s="242"/>
      <c r="M30" s="120">
        <f>+K30+'20'!M30+L30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+'20'!J31</f>
        <v>0</v>
      </c>
      <c r="K31" s="242"/>
      <c r="L31" s="242"/>
      <c r="M31" s="120">
        <f>+K31+'20'!M31+L31</f>
        <v>0</v>
      </c>
    </row>
    <row r="32" spans="1:14" ht="13.5" thickBot="1">
      <c r="A32" s="788"/>
      <c r="B32" s="168" t="s">
        <v>3</v>
      </c>
      <c r="C32" s="102">
        <f>SUM(C25:C31)</f>
        <v>18563</v>
      </c>
      <c r="D32" s="103">
        <f>SUM(D25:D31)</f>
        <v>0</v>
      </c>
      <c r="E32" s="104">
        <f>SUM(E25:E31)</f>
        <v>0</v>
      </c>
      <c r="F32" s="105">
        <f>SUM(F24:F31)</f>
        <v>6</v>
      </c>
      <c r="G32" s="174"/>
      <c r="H32" s="175"/>
      <c r="I32" s="172"/>
      <c r="J32" s="217">
        <f>+'20'!J32</f>
        <v>0</v>
      </c>
      <c r="K32" s="244"/>
      <c r="L32" s="246"/>
      <c r="M32" s="120">
        <f>+K32+'20'!M32+L32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49950</v>
      </c>
      <c r="D34" s="110">
        <f>D14+D23+D32</f>
        <v>0</v>
      </c>
      <c r="E34" s="110">
        <f>E14+E23+E32</f>
        <v>0</v>
      </c>
      <c r="F34" s="111">
        <f>F14+F23+F32</f>
        <v>6</v>
      </c>
      <c r="H34" s="181"/>
      <c r="I34" s="181"/>
      <c r="J34" s="126" t="s">
        <v>29</v>
      </c>
      <c r="K34" s="127">
        <f>SUM(K7:K32)</f>
        <v>49950</v>
      </c>
      <c r="L34" s="215">
        <f>SUM(L7:L32)</f>
        <v>0</v>
      </c>
      <c r="M34" s="123">
        <f>SUM(M7:M32)</f>
        <v>1078959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(17*1440)/1440*G42*3.4*1440/1000000</f>
        <v>56.647699200000005</v>
      </c>
      <c r="J37" s="128">
        <f>+I37+'20'!J37</f>
        <v>1249.6258892385392</v>
      </c>
      <c r="K37" s="129" t="s">
        <v>66</v>
      </c>
      <c r="L37" s="437"/>
      <c r="M37" s="438"/>
      <c r="N37" s="563"/>
    </row>
    <row r="38" spans="1:14" ht="17.45" customHeight="1">
      <c r="A38" s="797" t="s">
        <v>13</v>
      </c>
      <c r="B38" s="798"/>
      <c r="C38" s="167">
        <f>SUMIF($G$7:$G$31,"Process",$F$7:$F$31)</f>
        <v>41</v>
      </c>
      <c r="D38" s="121">
        <f>+C38+'20'!D38</f>
        <v>1036</v>
      </c>
      <c r="E38" s="146">
        <f t="shared" ref="E38:E51" si="0">D38/60</f>
        <v>17.266666666666666</v>
      </c>
      <c r="F38" s="372">
        <v>830</v>
      </c>
      <c r="G38" s="372">
        <f>+F38-F38*0.18</f>
        <v>680.6</v>
      </c>
      <c r="H38" s="190" t="s">
        <v>67</v>
      </c>
      <c r="I38" s="562">
        <f>15.594+17.769+17.459</f>
        <v>50.822000000000003</v>
      </c>
      <c r="J38" s="130">
        <f>+I38+'20'!J38</f>
        <v>1121.8580000000002</v>
      </c>
      <c r="K38" s="131" t="s">
        <v>66</v>
      </c>
      <c r="L38" s="439"/>
      <c r="M38" s="440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+C39+'20'!D39</f>
        <v>0</v>
      </c>
      <c r="E39" s="146">
        <f t="shared" si="0"/>
        <v>0</v>
      </c>
      <c r="F39" s="372">
        <v>830</v>
      </c>
      <c r="G39" s="372">
        <f>+F39-F39*0.18</f>
        <v>680.6</v>
      </c>
      <c r="H39" s="190" t="s">
        <v>68</v>
      </c>
      <c r="I39" s="145"/>
      <c r="J39" s="132">
        <f>J37/G4</f>
        <v>59.505994725644726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+C40+'20'!D40</f>
        <v>0</v>
      </c>
      <c r="E40" s="146">
        <f t="shared" si="0"/>
        <v>0</v>
      </c>
      <c r="F40" s="372">
        <v>830</v>
      </c>
      <c r="G40" s="372">
        <f>+F40-F40*0.18</f>
        <v>680.6</v>
      </c>
      <c r="H40" s="190" t="s">
        <v>70</v>
      </c>
      <c r="I40" s="121">
        <f>(K34+L34)/1000</f>
        <v>49.95</v>
      </c>
      <c r="J40" s="134">
        <f>+I40+'20'!J40</f>
        <v>1078.9590000000001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+C41+'20'!D41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51.379000000000005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+C42+'20'!D42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680.6</v>
      </c>
      <c r="H42" s="190" t="s">
        <v>73</v>
      </c>
      <c r="I42" s="248" t="s">
        <v>585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+C43+'20'!D43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+Report1!AH29</f>
        <v>108.176</v>
      </c>
      <c r="J43" s="136">
        <f>+I43+'20'!J43</f>
        <v>2752.8259999999991</v>
      </c>
      <c r="K43" s="133" t="s">
        <v>66</v>
      </c>
      <c r="L43" s="441">
        <f>+Report1!AN29</f>
        <v>0</v>
      </c>
      <c r="M43" s="442">
        <f>+L43+'20'!M43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+C44+'20'!D44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2.1285270158592735</v>
      </c>
      <c r="J44" s="137">
        <f>J43/J38</f>
        <v>2.4538096621854093</v>
      </c>
      <c r="K44" s="133" t="s">
        <v>66</v>
      </c>
      <c r="L44" s="443">
        <f>+L43/I38</f>
        <v>0</v>
      </c>
      <c r="M44" s="444">
        <f>+M43/J38</f>
        <v>5.5711150609078858E-2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+C45+'20'!D45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2.1656856856856854</v>
      </c>
      <c r="J45" s="137">
        <f>J43/J40</f>
        <v>2.5513722022801599</v>
      </c>
      <c r="K45" s="133" t="s">
        <v>66</v>
      </c>
      <c r="L45" s="443">
        <f>+L43/I40</f>
        <v>0</v>
      </c>
      <c r="M45" s="444">
        <f>+M43/J40</f>
        <v>5.7926204795548296E-2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+C46+'20'!D46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+SUMIF(Listrik!AC28,"&gt;0")</f>
        <v>42917.650000000591</v>
      </c>
      <c r="J46" s="138">
        <f>+I46+'20'!J46</f>
        <v>867684.33000000054</v>
      </c>
      <c r="K46" s="133" t="s">
        <v>81</v>
      </c>
      <c r="L46" s="443">
        <f>+Listrik!AF28</f>
        <v>426</v>
      </c>
      <c r="M46" s="445">
        <f>+L46+'20'!M46</f>
        <v>113149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+C47+'20'!D47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844.46991460392326</v>
      </c>
      <c r="J47" s="138">
        <f>J46/J38</f>
        <v>773.4350782362834</v>
      </c>
      <c r="K47" s="133" t="s">
        <v>25</v>
      </c>
      <c r="L47" s="443">
        <f>+L46/I38</f>
        <v>8.3821966864743604</v>
      </c>
      <c r="M47" s="444">
        <f>+M46/J38</f>
        <v>100.85857568426663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+C48+'20'!D48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859.21221221222402</v>
      </c>
      <c r="J48" s="138">
        <f>J46/J40</f>
        <v>804.18656315949033</v>
      </c>
      <c r="K48" s="133" t="s">
        <v>25</v>
      </c>
      <c r="L48" s="443">
        <f>+L46/I38</f>
        <v>8.3821966864743604</v>
      </c>
      <c r="M48" s="444">
        <f>+M46/J40</f>
        <v>104.86867434258392</v>
      </c>
    </row>
    <row r="49" spans="1:13" ht="17.45" customHeight="1">
      <c r="A49" s="803" t="s">
        <v>21</v>
      </c>
      <c r="B49" s="794"/>
      <c r="C49" s="167">
        <f>SUMIF($G$7:$G$31,"Others",$F$7:$F$31)</f>
        <v>0</v>
      </c>
      <c r="D49" s="121">
        <f>+C49+'20'!D49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+Report1!AB29</f>
        <v>0</v>
      </c>
      <c r="J49" s="138">
        <f>+I49+'20'!J49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+C50+'20'!D50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+C51+'20'!D51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41</v>
      </c>
      <c r="D52" s="147">
        <f>SUM(D38:D51)</f>
        <v>3032</v>
      </c>
      <c r="E52" s="148">
        <f>SUM(E38:E51)</f>
        <v>50.533333333333331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2.8472222222222222E-2</v>
      </c>
      <c r="D53" s="149">
        <f>D52/(24*60*G4)</f>
        <v>0.10026455026455026</v>
      </c>
      <c r="E53" s="150">
        <f>E52/(G4*24)</f>
        <v>0.10026455026455026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+D34+'20'!J56</f>
        <v>12111</v>
      </c>
      <c r="K56" s="204">
        <f>J56/(J40+J56/1000)/1000</f>
        <v>1.1100112733371827E-2</v>
      </c>
    </row>
    <row r="57" spans="1:13">
      <c r="A57" s="179"/>
      <c r="I57" s="202" t="s">
        <v>92</v>
      </c>
      <c r="J57" s="203">
        <f>+E34+'20'!J57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O61"/>
  <sheetViews>
    <sheetView view="pageBreakPreview" topLeftCell="A7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customWidth="1"/>
    <col min="11" max="11" width="12.5703125" style="152" bestFit="1" customWidth="1"/>
    <col min="12" max="12" width="10" style="152" customWidth="1"/>
    <col min="13" max="13" width="14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20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267+263+264</f>
        <v>794</v>
      </c>
    </row>
    <row r="7" spans="1:15" ht="13.5" customHeight="1" thickBot="1">
      <c r="A7" s="781" t="s">
        <v>607</v>
      </c>
      <c r="B7" s="218" t="s">
        <v>593</v>
      </c>
      <c r="C7" s="219">
        <v>14282</v>
      </c>
      <c r="D7" s="220">
        <v>950</v>
      </c>
      <c r="E7" s="221"/>
      <c r="F7" s="231">
        <v>4</v>
      </c>
      <c r="G7" s="232" t="s">
        <v>13</v>
      </c>
      <c r="H7" s="233" t="s">
        <v>436</v>
      </c>
      <c r="I7" s="784" t="s">
        <v>585</v>
      </c>
      <c r="J7" s="217" t="str">
        <f>+'19'!J7</f>
        <v>TW 38 RC BR</v>
      </c>
      <c r="K7" s="241"/>
      <c r="L7" s="245"/>
      <c r="M7" s="120">
        <f>+K7+'19'!M7+L7</f>
        <v>53722</v>
      </c>
    </row>
    <row r="8" spans="1:15" ht="13.5" thickBot="1">
      <c r="A8" s="782"/>
      <c r="B8" s="218"/>
      <c r="C8" s="219"/>
      <c r="D8" s="220"/>
      <c r="E8" s="222"/>
      <c r="F8" s="234">
        <v>2</v>
      </c>
      <c r="G8" s="235" t="s">
        <v>13</v>
      </c>
      <c r="H8" s="233" t="s">
        <v>389</v>
      </c>
      <c r="I8" s="785"/>
      <c r="J8" s="217" t="str">
        <f>+'19'!J8</f>
        <v>TW 36 RC BR</v>
      </c>
      <c r="K8" s="242"/>
      <c r="L8" s="242"/>
      <c r="M8" s="120">
        <f>+K8+'19'!M8+L8</f>
        <v>45750</v>
      </c>
      <c r="N8" s="152">
        <v>830</v>
      </c>
      <c r="O8" s="152">
        <f>+N8-N8*0.18</f>
        <v>680.6</v>
      </c>
    </row>
    <row r="9" spans="1:15" ht="13.5" thickBot="1">
      <c r="A9" s="782"/>
      <c r="B9" s="218"/>
      <c r="C9" s="219"/>
      <c r="D9" s="220"/>
      <c r="E9" s="223"/>
      <c r="F9" s="231">
        <v>9</v>
      </c>
      <c r="G9" s="235" t="s">
        <v>13</v>
      </c>
      <c r="H9" s="236" t="s">
        <v>226</v>
      </c>
      <c r="I9" s="785"/>
      <c r="J9" s="217" t="str">
        <f>+'19'!J9</f>
        <v>TW 34 RC BR</v>
      </c>
      <c r="K9" s="242"/>
      <c r="L9" s="242"/>
      <c r="M9" s="120">
        <f>+K9+'19'!M9+L9</f>
        <v>19926</v>
      </c>
      <c r="N9" s="152">
        <v>830</v>
      </c>
      <c r="O9" s="152">
        <f>+N9-N9*0.18</f>
        <v>680.6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620</v>
      </c>
      <c r="I10" s="785"/>
      <c r="J10" s="217" t="str">
        <f>+'19'!J10</f>
        <v>TW 30 RC BR</v>
      </c>
      <c r="K10" s="242"/>
      <c r="L10" s="242"/>
      <c r="M10" s="120">
        <f>+K10+'19'!M10+L10</f>
        <v>11017</v>
      </c>
      <c r="N10" s="152">
        <v>830</v>
      </c>
      <c r="O10" s="152">
        <f>+N10-N10*0.18</f>
        <v>680.6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+'19'!J11</f>
        <v>TW 20 RC BR</v>
      </c>
      <c r="K11" s="242"/>
      <c r="L11" s="242"/>
      <c r="M11" s="120">
        <f>+K11+'19'!M11+L11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+'19'!J12</f>
        <v>N 20 RC BR</v>
      </c>
      <c r="K12" s="242"/>
      <c r="L12" s="242"/>
      <c r="M12" s="120">
        <f>+K12+'19'!M12+L12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+'19'!J13</f>
        <v>N 17,5 RC BR</v>
      </c>
      <c r="K13" s="242"/>
      <c r="L13" s="242"/>
      <c r="M13" s="120">
        <f>+K13+'19'!M13+L13</f>
        <v>61888</v>
      </c>
    </row>
    <row r="14" spans="1:15" ht="13.5" thickBot="1">
      <c r="A14" s="783"/>
      <c r="B14" s="168" t="s">
        <v>3</v>
      </c>
      <c r="C14" s="102">
        <f>SUM(C7:C13)</f>
        <v>14282</v>
      </c>
      <c r="D14" s="114">
        <f>SUM(D7:D13)</f>
        <v>950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+'19'!J14</f>
        <v>N 16 RC BR</v>
      </c>
      <c r="K14" s="242"/>
      <c r="L14" s="242"/>
      <c r="M14" s="120">
        <f>+K14+'19'!M14+L14</f>
        <v>24358</v>
      </c>
    </row>
    <row r="15" spans="1:15" ht="13.5" customHeight="1" thickBot="1">
      <c r="A15" s="781" t="s">
        <v>461</v>
      </c>
      <c r="B15" s="168"/>
      <c r="C15" s="116">
        <f>C14/($C$23+$D$23+$E$23)</f>
        <v>0.74381542627988129</v>
      </c>
      <c r="D15" s="117">
        <f>D14/($C$23+$D$23+$E$23)</f>
        <v>4.947658976094995E-2</v>
      </c>
      <c r="E15" s="118">
        <f>E14/($C$23+$D$23+$E$23)</f>
        <v>0</v>
      </c>
      <c r="F15" s="231">
        <v>2</v>
      </c>
      <c r="G15" s="232" t="s">
        <v>13</v>
      </c>
      <c r="H15" s="233" t="s">
        <v>435</v>
      </c>
      <c r="I15" s="784" t="s">
        <v>585</v>
      </c>
      <c r="J15" s="217" t="str">
        <f>+'19'!J15</f>
        <v>N 15,5 RC BR</v>
      </c>
      <c r="K15" s="242"/>
      <c r="L15" s="242"/>
      <c r="M15" s="120">
        <f>+K15+'19'!M15+L15</f>
        <v>0</v>
      </c>
    </row>
    <row r="16" spans="1:15" ht="13.5" thickBot="1">
      <c r="A16" s="787"/>
      <c r="B16" s="218" t="s">
        <v>593</v>
      </c>
      <c r="C16" s="225">
        <v>19201</v>
      </c>
      <c r="D16" s="226"/>
      <c r="E16" s="227"/>
      <c r="F16" s="234">
        <v>4</v>
      </c>
      <c r="G16" s="235" t="s">
        <v>13</v>
      </c>
      <c r="H16" s="233" t="s">
        <v>389</v>
      </c>
      <c r="I16" s="785"/>
      <c r="J16" s="217" t="str">
        <f>+'19'!J16</f>
        <v>N 17 VP OW</v>
      </c>
      <c r="K16" s="232"/>
      <c r="L16" s="232"/>
      <c r="M16" s="120">
        <f>+K16+'19'!M16+L16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2</v>
      </c>
      <c r="G17" s="235" t="s">
        <v>13</v>
      </c>
      <c r="H17" s="236" t="s">
        <v>226</v>
      </c>
      <c r="I17" s="785"/>
      <c r="J17" s="217" t="str">
        <f>+'19'!J17</f>
        <v>N 16 VP OW</v>
      </c>
      <c r="K17" s="232"/>
      <c r="L17" s="232"/>
      <c r="M17" s="120">
        <f>+K17+'19'!M17+L17</f>
        <v>263057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620</v>
      </c>
      <c r="I18" s="785"/>
      <c r="J18" s="217" t="str">
        <f>+'19'!J18</f>
        <v>N 19 VP OW</v>
      </c>
      <c r="K18" s="242"/>
      <c r="L18" s="242"/>
      <c r="M18" s="120">
        <f>+K18+'19'!M18+L18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+'19'!J19</f>
        <v>N 25 VP OW</v>
      </c>
      <c r="K19" s="242"/>
      <c r="L19" s="242"/>
      <c r="M19" s="120">
        <f>+K19+'19'!M19+L19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+'19'!J20</f>
        <v>N 23 VP OW</v>
      </c>
      <c r="K20" s="243"/>
      <c r="L20" s="243"/>
      <c r="M20" s="120">
        <f>+K20+'19'!M20+L20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+'19'!J21</f>
        <v>TW 23 VP OW</v>
      </c>
      <c r="K21" s="243"/>
      <c r="L21" s="243"/>
      <c r="M21" s="120">
        <f>+K21+'19'!M21+L21</f>
        <v>162640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+'19'!J22</f>
        <v>TW 17 VP OW</v>
      </c>
      <c r="K22" s="243">
        <f>+C34</f>
        <v>50193</v>
      </c>
      <c r="L22" s="243"/>
      <c r="M22" s="120">
        <f>+K22+'19'!M22+L22</f>
        <v>144984</v>
      </c>
    </row>
    <row r="23" spans="1:14" ht="13.5" thickBot="1">
      <c r="A23" s="788"/>
      <c r="B23" s="168" t="s">
        <v>3</v>
      </c>
      <c r="C23" s="103">
        <f>SUM(C16:C22)</f>
        <v>19201</v>
      </c>
      <c r="D23" s="114">
        <f>SUM(D16:D22)</f>
        <v>0</v>
      </c>
      <c r="E23" s="115">
        <f>SUM(E18:E22)</f>
        <v>0</v>
      </c>
      <c r="F23" s="105">
        <f>SUM(F15:F22)</f>
        <v>8</v>
      </c>
      <c r="G23" s="162"/>
      <c r="H23" s="169"/>
      <c r="I23" s="172"/>
      <c r="J23" s="217">
        <f>+'19'!J23</f>
        <v>0</v>
      </c>
      <c r="K23" s="243"/>
      <c r="L23" s="243"/>
      <c r="M23" s="120">
        <f>+K23+'19'!M23+L23</f>
        <v>0</v>
      </c>
    </row>
    <row r="24" spans="1:14" ht="13.5" customHeight="1" thickBot="1">
      <c r="A24" s="781" t="s">
        <v>410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585</v>
      </c>
      <c r="J24" s="217">
        <f>+'19'!J24</f>
        <v>0</v>
      </c>
      <c r="K24" s="243"/>
      <c r="L24" s="243"/>
      <c r="M24" s="120">
        <f>+K24+'19'!M24+L24</f>
        <v>0</v>
      </c>
    </row>
    <row r="25" spans="1:14" ht="13.5" thickBot="1">
      <c r="A25" s="787"/>
      <c r="B25" s="218" t="s">
        <v>593</v>
      </c>
      <c r="C25" s="229">
        <v>16710</v>
      </c>
      <c r="D25" s="220"/>
      <c r="E25" s="228"/>
      <c r="F25" s="234">
        <v>4</v>
      </c>
      <c r="G25" s="235" t="s">
        <v>13</v>
      </c>
      <c r="H25" s="233" t="s">
        <v>389</v>
      </c>
      <c r="I25" s="785"/>
      <c r="J25" s="217">
        <f>+'19'!J25</f>
        <v>0</v>
      </c>
      <c r="K25" s="243"/>
      <c r="L25" s="243"/>
      <c r="M25" s="120">
        <f>+K25+'19'!M25+L25</f>
        <v>0</v>
      </c>
    </row>
    <row r="26" spans="1:14" ht="13.5" thickBot="1">
      <c r="A26" s="787"/>
      <c r="B26" s="218"/>
      <c r="C26" s="229"/>
      <c r="D26" s="220"/>
      <c r="E26" s="230"/>
      <c r="F26" s="231">
        <v>4</v>
      </c>
      <c r="G26" s="235" t="s">
        <v>13</v>
      </c>
      <c r="H26" s="236" t="s">
        <v>226</v>
      </c>
      <c r="I26" s="785"/>
      <c r="J26" s="217">
        <f>+'19'!J26</f>
        <v>0</v>
      </c>
      <c r="K26" s="243"/>
      <c r="L26" s="243"/>
      <c r="M26" s="120">
        <f>+K26+'19'!M26+L26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620</v>
      </c>
      <c r="I27" s="785"/>
      <c r="J27" s="217">
        <f>+'19'!J27</f>
        <v>0</v>
      </c>
      <c r="K27" s="243"/>
      <c r="L27" s="243"/>
      <c r="M27" s="120">
        <f>+K27+'19'!M27+L27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+'19'!J28</f>
        <v>0</v>
      </c>
      <c r="K28" s="243"/>
      <c r="L28" s="243"/>
      <c r="M28" s="120">
        <f>+K28+'19'!M28+L28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+'19'!J29</f>
        <v>0</v>
      </c>
      <c r="K29" s="243"/>
      <c r="L29" s="243"/>
      <c r="M29" s="120">
        <f>+K29+'19'!M29+L29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+'19'!J30</f>
        <v>0</v>
      </c>
      <c r="K30" s="242"/>
      <c r="L30" s="242"/>
      <c r="M30" s="120">
        <f>+K30+'19'!M30+L30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+'19'!J31</f>
        <v>0</v>
      </c>
      <c r="K31" s="242"/>
      <c r="L31" s="242"/>
      <c r="M31" s="120">
        <f>+K31+'19'!M31+L31</f>
        <v>0</v>
      </c>
    </row>
    <row r="32" spans="1:14" ht="13.5" thickBot="1">
      <c r="A32" s="788"/>
      <c r="B32" s="168" t="s">
        <v>3</v>
      </c>
      <c r="C32" s="102">
        <f>SUM(C25:C31)</f>
        <v>16710</v>
      </c>
      <c r="D32" s="103">
        <f>SUM(D25:D31)</f>
        <v>0</v>
      </c>
      <c r="E32" s="104">
        <f>SUM(E25:E31)</f>
        <v>0</v>
      </c>
      <c r="F32" s="105">
        <f>SUM(F24:F31)</f>
        <v>8</v>
      </c>
      <c r="G32" s="174"/>
      <c r="H32" s="175"/>
      <c r="I32" s="172"/>
      <c r="J32" s="217">
        <f>+'19'!J32</f>
        <v>0</v>
      </c>
      <c r="K32" s="244"/>
      <c r="L32" s="246"/>
      <c r="M32" s="120">
        <f>+K32+'19'!M32+L32</f>
        <v>0</v>
      </c>
    </row>
    <row r="33" spans="1:13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91" t="s">
        <v>60</v>
      </c>
      <c r="B34" s="792"/>
      <c r="C34" s="110">
        <f>C14+C23+C32</f>
        <v>50193</v>
      </c>
      <c r="D34" s="110">
        <f>D14+D23+D32</f>
        <v>950</v>
      </c>
      <c r="E34" s="110">
        <f>E14+E23+E32</f>
        <v>0</v>
      </c>
      <c r="F34" s="111">
        <f>F14+F23+F32</f>
        <v>31</v>
      </c>
      <c r="H34" s="181"/>
      <c r="I34" s="181"/>
      <c r="J34" s="126" t="s">
        <v>29</v>
      </c>
      <c r="K34" s="127">
        <f>SUM(K7:K32)</f>
        <v>50193</v>
      </c>
      <c r="L34" s="215">
        <f>SUM(L7:L32)</f>
        <v>0</v>
      </c>
      <c r="M34" s="123">
        <f>SUM(M7:M32)</f>
        <v>1029009</v>
      </c>
    </row>
    <row r="35" spans="1:13" ht="13.5" thickBot="1">
      <c r="A35" s="182"/>
      <c r="B35" s="183"/>
      <c r="C35" s="107">
        <f>C34/($C$34+$D$34+$E$34)</f>
        <v>0.98142463289208692</v>
      </c>
      <c r="D35" s="107">
        <f>D34/($C$34+$D$34+$E$34)</f>
        <v>1.8575367107913108E-2</v>
      </c>
      <c r="E35" s="112">
        <f>E34/($C$34+$D$34+$E$34)</f>
        <v>0</v>
      </c>
      <c r="K35" s="158"/>
      <c r="L35" s="780" t="s">
        <v>186</v>
      </c>
      <c r="M35" s="780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3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(17*1440)/1440*G42*3.4*1440/1000000</f>
        <v>56.647699200000005</v>
      </c>
      <c r="J37" s="128">
        <f>+I37+'19'!J37</f>
        <v>1192.9781900385392</v>
      </c>
      <c r="K37" s="129" t="s">
        <v>66</v>
      </c>
      <c r="L37" s="437"/>
      <c r="M37" s="438"/>
    </row>
    <row r="38" spans="1:13" ht="17.45" customHeight="1">
      <c r="A38" s="797" t="s">
        <v>13</v>
      </c>
      <c r="B38" s="798"/>
      <c r="C38" s="167">
        <f>SUMIF($G$7:$G$31,"Process",$F$7:$F$31)</f>
        <v>31</v>
      </c>
      <c r="D38" s="121">
        <f>+C38+'19'!D38</f>
        <v>995</v>
      </c>
      <c r="E38" s="146">
        <f t="shared" ref="E38:E51" si="0">D38/60</f>
        <v>16.583333333333332</v>
      </c>
      <c r="F38" s="372">
        <v>830</v>
      </c>
      <c r="G38" s="372">
        <f>+F38-F38*0.18</f>
        <v>680.6</v>
      </c>
      <c r="H38" s="190" t="s">
        <v>67</v>
      </c>
      <c r="I38" s="562">
        <f>16.226+17.626+16.857</f>
        <v>50.709000000000003</v>
      </c>
      <c r="J38" s="130">
        <f>+I38+'19'!J38</f>
        <v>1071.0360000000001</v>
      </c>
      <c r="K38" s="131" t="s">
        <v>66</v>
      </c>
      <c r="L38" s="439"/>
      <c r="M38" s="440"/>
    </row>
    <row r="39" spans="1:13" ht="17.45" customHeight="1">
      <c r="A39" s="793" t="s">
        <v>14</v>
      </c>
      <c r="B39" s="794"/>
      <c r="C39" s="167">
        <f>SUMIF($G$7:$G$31,"Cleaning",$F$7:$F$31)</f>
        <v>0</v>
      </c>
      <c r="D39" s="121">
        <f>+C39+'19'!D39</f>
        <v>0</v>
      </c>
      <c r="E39" s="146">
        <f t="shared" si="0"/>
        <v>0</v>
      </c>
      <c r="F39" s="372">
        <v>830</v>
      </c>
      <c r="G39" s="372">
        <f>+F39-F39*0.18</f>
        <v>680.6</v>
      </c>
      <c r="H39" s="190" t="s">
        <v>68</v>
      </c>
      <c r="I39" s="145"/>
      <c r="J39" s="132">
        <f>J37/G4</f>
        <v>59.648909501926958</v>
      </c>
      <c r="K39" s="133" t="s">
        <v>66</v>
      </c>
      <c r="L39" s="439"/>
      <c r="M39" s="440"/>
    </row>
    <row r="40" spans="1:13" ht="17.45" customHeight="1">
      <c r="A40" s="793" t="s">
        <v>69</v>
      </c>
      <c r="B40" s="794"/>
      <c r="C40" s="167">
        <f>SUMIF($G$7:$G$31,"Mechanical",$F$7:$F$31)</f>
        <v>0</v>
      </c>
      <c r="D40" s="121">
        <f>+C40+'19'!D40</f>
        <v>0</v>
      </c>
      <c r="E40" s="146">
        <f t="shared" si="0"/>
        <v>0</v>
      </c>
      <c r="F40" s="372">
        <v>830</v>
      </c>
      <c r="G40" s="372">
        <f>+F40-F40*0.18</f>
        <v>680.6</v>
      </c>
      <c r="H40" s="190" t="s">
        <v>70</v>
      </c>
      <c r="I40" s="121">
        <f>(K34+L34)/1000</f>
        <v>50.192999999999998</v>
      </c>
      <c r="J40" s="134">
        <f>+I40+'19'!J40</f>
        <v>1029.009</v>
      </c>
      <c r="K40" s="133" t="s">
        <v>66</v>
      </c>
      <c r="L40" s="439"/>
      <c r="M40" s="440"/>
    </row>
    <row r="41" spans="1:13" ht="17.45" customHeight="1">
      <c r="A41" s="793" t="s">
        <v>71</v>
      </c>
      <c r="B41" s="794"/>
      <c r="C41" s="167">
        <f>SUMIF($G$7:$G$31,"Electrical",$F$7:$F$31)</f>
        <v>0</v>
      </c>
      <c r="D41" s="121">
        <f>+C41+'19'!D41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51.450450000000004</v>
      </c>
      <c r="K41" s="133" t="s">
        <v>66</v>
      </c>
      <c r="L41" s="439"/>
      <c r="M41" s="440"/>
    </row>
    <row r="42" spans="1:13" ht="17.45" customHeight="1">
      <c r="A42" s="793" t="s">
        <v>17</v>
      </c>
      <c r="B42" s="794"/>
      <c r="C42" s="167">
        <f>SUMIF($G$7:$G$31,"Instrument",$F$7:$F$31)</f>
        <v>0</v>
      </c>
      <c r="D42" s="121">
        <f>+C42+'19'!D42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680.6</v>
      </c>
      <c r="H42" s="190" t="s">
        <v>73</v>
      </c>
      <c r="I42" s="248" t="s">
        <v>585</v>
      </c>
      <c r="J42" s="135"/>
      <c r="K42" s="133" t="s">
        <v>74</v>
      </c>
      <c r="L42" s="439"/>
      <c r="M42" s="440"/>
    </row>
    <row r="43" spans="1:13" ht="17.45" customHeight="1">
      <c r="A43" s="793" t="s">
        <v>75</v>
      </c>
      <c r="B43" s="794"/>
      <c r="C43" s="167">
        <f>SUMIF($G$7:$G$31,"Water",$F$7:$F$31)</f>
        <v>0</v>
      </c>
      <c r="D43" s="121">
        <f>+C43+'19'!D43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+Report1!AH28</f>
        <v>123.075</v>
      </c>
      <c r="J43" s="136">
        <f>+I43+'19'!J43</f>
        <v>2644.6499999999992</v>
      </c>
      <c r="K43" s="133" t="s">
        <v>66</v>
      </c>
      <c r="L43" s="441">
        <f>+Report1!AN28</f>
        <v>0</v>
      </c>
      <c r="M43" s="442">
        <f>+L43+'19'!M43</f>
        <v>62.5</v>
      </c>
    </row>
    <row r="44" spans="1:13" ht="17.45" customHeight="1">
      <c r="A44" s="793" t="s">
        <v>18</v>
      </c>
      <c r="B44" s="794"/>
      <c r="C44" s="167">
        <f>SUMIF($G$7:$G$31,"PLN",$F$7:$F$31)</f>
        <v>0</v>
      </c>
      <c r="D44" s="121">
        <f>+C44+'19'!D44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2.4270839495947465</v>
      </c>
      <c r="J44" s="137">
        <f>J43/J38</f>
        <v>2.4692447312695363</v>
      </c>
      <c r="K44" s="133" t="s">
        <v>66</v>
      </c>
      <c r="L44" s="443">
        <f>+L43/I38</f>
        <v>0</v>
      </c>
      <c r="M44" s="444">
        <f>+M43/J38</f>
        <v>5.8354714500726393E-2</v>
      </c>
    </row>
    <row r="45" spans="1:13" ht="17.45" customHeight="1">
      <c r="A45" s="793" t="s">
        <v>19</v>
      </c>
      <c r="B45" s="794"/>
      <c r="C45" s="167">
        <f>SUMIF($G$7:$G$31,"Boiler",$F$7:$F$31)</f>
        <v>0</v>
      </c>
      <c r="D45" s="121">
        <f>+C45+'19'!D45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2.4520351443428368</v>
      </c>
      <c r="J45" s="137">
        <f>J43/J40</f>
        <v>2.5700941391183161</v>
      </c>
      <c r="K45" s="133" t="s">
        <v>66</v>
      </c>
      <c r="L45" s="443">
        <f>+L43/I40</f>
        <v>0</v>
      </c>
      <c r="M45" s="444">
        <f>+M43/J40</f>
        <v>6.0738049910156279E-2</v>
      </c>
    </row>
    <row r="46" spans="1:13" ht="17.45" customHeight="1">
      <c r="A46" s="793" t="s">
        <v>79</v>
      </c>
      <c r="B46" s="794"/>
      <c r="C46" s="167">
        <f>SUMIF($G$7:$G$31,"Gas",$F$7:$F$31)</f>
        <v>0</v>
      </c>
      <c r="D46" s="121">
        <f>+C46+'19'!D46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+SUMIF(Listrik!AC27,"&gt;0")</f>
        <v>48289.199999999277</v>
      </c>
      <c r="J46" s="138">
        <f>+I46+'19'!J46</f>
        <v>824766.67999999993</v>
      </c>
      <c r="K46" s="133" t="s">
        <v>81</v>
      </c>
      <c r="L46" s="443">
        <f>+Listrik!AF27</f>
        <v>448</v>
      </c>
      <c r="M46" s="445">
        <f>+L46+'19'!M46</f>
        <v>112723</v>
      </c>
    </row>
    <row r="47" spans="1:13" ht="17.45" customHeight="1">
      <c r="A47" s="793" t="s">
        <v>82</v>
      </c>
      <c r="B47" s="794"/>
      <c r="C47" s="167">
        <f>SUMIF($G$7:$G$31,"Gas",$F$7:$F$31)</f>
        <v>0</v>
      </c>
      <c r="D47" s="121">
        <f>+C47+'19'!D47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952.28066023781332</v>
      </c>
      <c r="J47" s="138">
        <f>J46/J38</f>
        <v>770.0643862577914</v>
      </c>
      <c r="K47" s="133" t="s">
        <v>25</v>
      </c>
      <c r="L47" s="443">
        <f>+L46/I38</f>
        <v>8.8347236190814247</v>
      </c>
      <c r="M47" s="444">
        <f>+M46/J38</f>
        <v>105.24669572264611</v>
      </c>
    </row>
    <row r="48" spans="1:13" ht="17.45" customHeight="1">
      <c r="A48" s="793" t="s">
        <v>15</v>
      </c>
      <c r="B48" s="794"/>
      <c r="C48" s="167">
        <f>SUMIF($G$7:$G$31,"Start Up",$F$7:$F$31)</f>
        <v>0</v>
      </c>
      <c r="D48" s="121">
        <f>+C48+'19'!D48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962.07040822424005</v>
      </c>
      <c r="J48" s="138">
        <f>J46/J40</f>
        <v>801.5155163851822</v>
      </c>
      <c r="K48" s="133" t="s">
        <v>25</v>
      </c>
      <c r="L48" s="443">
        <f>+L46/I38</f>
        <v>8.8347236190814247</v>
      </c>
      <c r="M48" s="444">
        <f>+M46/J40</f>
        <v>109.54520320036073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+C49+'19'!D49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+Report1!AB28</f>
        <v>0</v>
      </c>
      <c r="J49" s="138">
        <f>+I49+'19'!J49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+C50+'19'!D50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+C51+'19'!D51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31</v>
      </c>
      <c r="D52" s="147">
        <f>SUM(D38:D51)</f>
        <v>2991</v>
      </c>
      <c r="E52" s="148">
        <f>SUM(E38:E51)</f>
        <v>49.849999999999994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2.1527777777777778E-2</v>
      </c>
      <c r="D53" s="149">
        <f>D52/(24*60*G4)</f>
        <v>0.10385416666666666</v>
      </c>
      <c r="E53" s="150">
        <f>E52/(G4*24)</f>
        <v>0.10385416666666665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+D34+'19'!J56</f>
        <v>12111</v>
      </c>
      <c r="K56" s="204">
        <f>J56/(J40+J56/1000)/1000</f>
        <v>1.1632664822498846E-2</v>
      </c>
    </row>
    <row r="57" spans="1:13">
      <c r="A57" s="179"/>
      <c r="I57" s="202" t="s">
        <v>92</v>
      </c>
      <c r="J57" s="203">
        <f>+E34+'19'!J57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7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4.710937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19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261+266+269</f>
        <v>796</v>
      </c>
    </row>
    <row r="7" spans="1:18" ht="13.5" customHeight="1" thickBot="1">
      <c r="A7" s="781" t="s">
        <v>607</v>
      </c>
      <c r="B7" s="218" t="s">
        <v>582</v>
      </c>
      <c r="C7" s="219">
        <v>24706</v>
      </c>
      <c r="D7" s="220"/>
      <c r="E7" s="221"/>
      <c r="F7" s="231">
        <v>4</v>
      </c>
      <c r="G7" s="232" t="s">
        <v>13</v>
      </c>
      <c r="H7" s="233" t="s">
        <v>436</v>
      </c>
      <c r="I7" s="784" t="s">
        <v>613</v>
      </c>
      <c r="J7" s="217" t="str">
        <f>+'18'!J7</f>
        <v>TW 38 RC BR</v>
      </c>
      <c r="K7" s="241"/>
      <c r="L7" s="245"/>
      <c r="M7" s="120">
        <f>+K7+'18'!M7+L7</f>
        <v>53722</v>
      </c>
    </row>
    <row r="8" spans="1:18" ht="13.5" thickBot="1">
      <c r="A8" s="782"/>
      <c r="B8" s="218"/>
      <c r="C8" s="219"/>
      <c r="D8" s="220"/>
      <c r="E8" s="222"/>
      <c r="F8" s="234">
        <v>4</v>
      </c>
      <c r="G8" s="235" t="s">
        <v>13</v>
      </c>
      <c r="H8" s="233" t="s">
        <v>434</v>
      </c>
      <c r="I8" s="785"/>
      <c r="J8" s="217" t="str">
        <f>+'18'!J8</f>
        <v>TW 36 RC BR</v>
      </c>
      <c r="K8" s="242"/>
      <c r="L8" s="242"/>
      <c r="M8" s="120">
        <f>+K8+'18'!M8+L8</f>
        <v>45750</v>
      </c>
      <c r="N8" s="152">
        <v>830</v>
      </c>
      <c r="O8" s="152">
        <f>+N8-N8*0.12</f>
        <v>730.4</v>
      </c>
      <c r="P8" s="152">
        <f>480+360</f>
        <v>840</v>
      </c>
      <c r="Q8" s="152">
        <f>+N8*P8</f>
        <v>697200</v>
      </c>
      <c r="R8" s="152">
        <f>+O8*P8</f>
        <v>613536</v>
      </c>
    </row>
    <row r="9" spans="1:18" ht="13.5" thickBot="1">
      <c r="A9" s="782"/>
      <c r="B9" s="218"/>
      <c r="C9" s="219"/>
      <c r="D9" s="220"/>
      <c r="E9" s="223"/>
      <c r="F9" s="231">
        <v>7</v>
      </c>
      <c r="G9" s="235" t="s">
        <v>13</v>
      </c>
      <c r="H9" s="236" t="s">
        <v>226</v>
      </c>
      <c r="I9" s="785"/>
      <c r="J9" s="217" t="str">
        <f>+'18'!J9</f>
        <v>TW 34 RC BR</v>
      </c>
      <c r="K9" s="242"/>
      <c r="L9" s="242"/>
      <c r="M9" s="120">
        <f>+K9+'18'!M9+L9</f>
        <v>19926</v>
      </c>
      <c r="N9" s="152">
        <v>830</v>
      </c>
      <c r="O9" s="152">
        <f>+N9-N9*0.18</f>
        <v>680.6</v>
      </c>
      <c r="P9" s="152">
        <f>480+120</f>
        <v>600</v>
      </c>
      <c r="Q9" s="152">
        <f>+N9*P9</f>
        <v>498000</v>
      </c>
      <c r="R9" s="152">
        <f>+O9*P9</f>
        <v>408360</v>
      </c>
    </row>
    <row r="10" spans="1:18" ht="13.5" thickBot="1">
      <c r="A10" s="782"/>
      <c r="B10" s="218"/>
      <c r="C10" s="219"/>
      <c r="D10" s="220"/>
      <c r="E10" s="222"/>
      <c r="F10" s="231"/>
      <c r="G10" s="235"/>
      <c r="H10" s="236" t="s">
        <v>614</v>
      </c>
      <c r="I10" s="785"/>
      <c r="J10" s="217" t="str">
        <f>+'18'!J10</f>
        <v>TW 30 RC BR</v>
      </c>
      <c r="K10" s="242"/>
      <c r="L10" s="242"/>
      <c r="M10" s="120">
        <f>+K10+'18'!M10+L10</f>
        <v>11017</v>
      </c>
      <c r="P10" s="152">
        <f>+P8+P9</f>
        <v>1440</v>
      </c>
      <c r="Q10" s="152">
        <f>+Q8+Q9</f>
        <v>1195200</v>
      </c>
      <c r="R10" s="152">
        <f>+R8+R9</f>
        <v>1021896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+'18'!J11</f>
        <v>TW 20 RC BR</v>
      </c>
      <c r="K11" s="242"/>
      <c r="L11" s="242"/>
      <c r="M11" s="120">
        <f>+K11+'18'!M11+L11</f>
        <v>13885</v>
      </c>
      <c r="Q11" s="152">
        <f>+Q10/P10</f>
        <v>830</v>
      </c>
      <c r="R11" s="152">
        <f>+R10/P10</f>
        <v>709.65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+'18'!J12</f>
        <v>N 20 RC BR</v>
      </c>
      <c r="K12" s="242"/>
      <c r="L12" s="242"/>
      <c r="M12" s="120">
        <f>+K12+'18'!M12+L12</f>
        <v>16183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+'18'!J13</f>
        <v>N 17,5 RC BR</v>
      </c>
      <c r="K13" s="242"/>
      <c r="L13" s="242"/>
      <c r="M13" s="120">
        <f>+K13+'18'!M13+L13</f>
        <v>61888</v>
      </c>
    </row>
    <row r="14" spans="1:18" ht="13.5" thickBot="1">
      <c r="A14" s="783"/>
      <c r="B14" s="168" t="s">
        <v>3</v>
      </c>
      <c r="C14" s="102">
        <f>SUM(C7:C13)</f>
        <v>24706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+'18'!J14</f>
        <v>N 16 RC BR</v>
      </c>
      <c r="K14" s="242"/>
      <c r="L14" s="242"/>
      <c r="M14" s="120">
        <f>+K14+'18'!M14+L14</f>
        <v>24358</v>
      </c>
    </row>
    <row r="15" spans="1:18" ht="13.5" customHeight="1" thickBot="1">
      <c r="A15" s="781" t="s">
        <v>461</v>
      </c>
      <c r="B15" s="168"/>
      <c r="C15" s="116">
        <f>C14/($C$23+$D$23+$E$23)</f>
        <v>0.99173089274245341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621</v>
      </c>
      <c r="J15" s="217" t="str">
        <f>+'18'!J15</f>
        <v>N 15,5 RC BR</v>
      </c>
      <c r="K15" s="242"/>
      <c r="L15" s="242"/>
      <c r="M15" s="120">
        <f>+K15+'18'!M15+L15</f>
        <v>0</v>
      </c>
    </row>
    <row r="16" spans="1:18" ht="13.5" thickBot="1">
      <c r="A16" s="787"/>
      <c r="B16" s="218" t="s">
        <v>582</v>
      </c>
      <c r="C16" s="225">
        <v>24003</v>
      </c>
      <c r="D16" s="226"/>
      <c r="E16" s="227"/>
      <c r="F16" s="234">
        <v>2</v>
      </c>
      <c r="G16" s="235" t="s">
        <v>13</v>
      </c>
      <c r="H16" s="233" t="s">
        <v>434</v>
      </c>
      <c r="I16" s="785"/>
      <c r="J16" s="217" t="str">
        <f>+'18'!J16</f>
        <v>N 17 VP OW</v>
      </c>
      <c r="K16" s="242"/>
      <c r="L16" s="242"/>
      <c r="M16" s="120">
        <f>+K16+'18'!M16+L16</f>
        <v>62993</v>
      </c>
    </row>
    <row r="17" spans="1:14" ht="13.5" thickBot="1">
      <c r="A17" s="787"/>
      <c r="B17" s="218" t="s">
        <v>593</v>
      </c>
      <c r="C17" s="219">
        <f>417+492</f>
        <v>909</v>
      </c>
      <c r="D17" s="220"/>
      <c r="E17" s="228"/>
      <c r="F17" s="231">
        <v>2</v>
      </c>
      <c r="G17" s="235" t="s">
        <v>13</v>
      </c>
      <c r="H17" s="236" t="s">
        <v>226</v>
      </c>
      <c r="I17" s="785"/>
      <c r="J17" s="217" t="str">
        <f>+'18'!J17</f>
        <v>N 16 VP OW</v>
      </c>
      <c r="K17" s="242"/>
      <c r="L17" s="242"/>
      <c r="M17" s="120">
        <f>+K17+'18'!M17+L17</f>
        <v>263057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614</v>
      </c>
      <c r="I18" s="785"/>
      <c r="J18" s="217" t="str">
        <f>+'18'!J18</f>
        <v>N 19 VP OW</v>
      </c>
      <c r="K18" s="242"/>
      <c r="L18" s="242"/>
      <c r="M18" s="120">
        <f>+K18+'18'!M18+L18</f>
        <v>24049</v>
      </c>
    </row>
    <row r="19" spans="1:14" ht="13.5" thickBot="1">
      <c r="A19" s="787"/>
      <c r="B19" s="218"/>
      <c r="C19" s="219"/>
      <c r="D19" s="220"/>
      <c r="E19" s="228"/>
      <c r="F19" s="238">
        <v>4</v>
      </c>
      <c r="G19" s="235" t="s">
        <v>13</v>
      </c>
      <c r="H19" s="236" t="s">
        <v>619</v>
      </c>
      <c r="I19" s="785"/>
      <c r="J19" s="217" t="str">
        <f>+'18'!J19</f>
        <v>N 25 VP OW</v>
      </c>
      <c r="K19" s="242"/>
      <c r="L19" s="242"/>
      <c r="M19" s="120">
        <f>+K19+'18'!M19+L19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+'18'!J20</f>
        <v>N 23 VP OW</v>
      </c>
      <c r="K20" s="242"/>
      <c r="L20" s="242"/>
      <c r="M20" s="120">
        <f>+K20+'18'!M20+L20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+'18'!J21</f>
        <v>TW 23 VP OW</v>
      </c>
      <c r="K21" s="242">
        <f>+C7+C16</f>
        <v>48709</v>
      </c>
      <c r="L21" s="242"/>
      <c r="M21" s="120">
        <f>+K21+'18'!M21+L21</f>
        <v>162640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+'18'!J22</f>
        <v>TW 17 VP OW</v>
      </c>
      <c r="K22" s="242">
        <f>+C17+C25</f>
        <v>13283</v>
      </c>
      <c r="L22" s="242"/>
      <c r="M22" s="120">
        <f>+K22+'18'!M22+L22</f>
        <v>94791</v>
      </c>
    </row>
    <row r="23" spans="1:14" ht="13.5" thickBot="1">
      <c r="A23" s="788"/>
      <c r="B23" s="168" t="s">
        <v>3</v>
      </c>
      <c r="C23" s="103">
        <f>SUM(C16:C22)</f>
        <v>24912</v>
      </c>
      <c r="D23" s="114">
        <f>SUM(D16:D22)</f>
        <v>0</v>
      </c>
      <c r="E23" s="115">
        <f>SUM(E18:E22)</f>
        <v>0</v>
      </c>
      <c r="F23" s="105">
        <f>SUM(F15:F22)</f>
        <v>8</v>
      </c>
      <c r="G23" s="162"/>
      <c r="H23" s="169"/>
      <c r="I23" s="172"/>
      <c r="J23" s="217">
        <f>+'18'!J23</f>
        <v>0</v>
      </c>
      <c r="K23" s="242"/>
      <c r="L23" s="242"/>
      <c r="M23" s="120">
        <f>+K23+'18'!M23+L23</f>
        <v>0</v>
      </c>
    </row>
    <row r="24" spans="1:14" ht="13.5" customHeight="1" thickBot="1">
      <c r="A24" s="781" t="s">
        <v>410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585</v>
      </c>
      <c r="J24" s="217">
        <f>+'18'!J24</f>
        <v>0</v>
      </c>
      <c r="K24" s="242"/>
      <c r="L24" s="242"/>
      <c r="M24" s="120">
        <f>+K24+'18'!M24+L24</f>
        <v>0</v>
      </c>
    </row>
    <row r="25" spans="1:14" ht="13.5" thickBot="1">
      <c r="A25" s="787"/>
      <c r="B25" s="218" t="s">
        <v>593</v>
      </c>
      <c r="C25" s="229">
        <v>12374</v>
      </c>
      <c r="D25" s="220">
        <v>500</v>
      </c>
      <c r="E25" s="228"/>
      <c r="F25" s="234">
        <v>4</v>
      </c>
      <c r="G25" s="235" t="s">
        <v>13</v>
      </c>
      <c r="H25" s="233" t="s">
        <v>389</v>
      </c>
      <c r="I25" s="785"/>
      <c r="J25" s="217">
        <f>+'18'!J25</f>
        <v>0</v>
      </c>
      <c r="K25" s="242"/>
      <c r="L25" s="242"/>
      <c r="M25" s="120">
        <f>+K25+'18'!M25+L25</f>
        <v>0</v>
      </c>
    </row>
    <row r="26" spans="1:14" ht="13.5" thickBot="1">
      <c r="A26" s="787"/>
      <c r="B26" s="218"/>
      <c r="C26" s="229"/>
      <c r="D26" s="220"/>
      <c r="E26" s="230"/>
      <c r="F26" s="231">
        <v>4</v>
      </c>
      <c r="G26" s="235" t="s">
        <v>13</v>
      </c>
      <c r="H26" s="236" t="s">
        <v>226</v>
      </c>
      <c r="I26" s="785"/>
      <c r="J26" s="217">
        <f>+'18'!J26</f>
        <v>0</v>
      </c>
      <c r="K26" s="242"/>
      <c r="L26" s="242"/>
      <c r="M26" s="120">
        <f>+K26+'18'!M26+L26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620</v>
      </c>
      <c r="I27" s="785"/>
      <c r="J27" s="217">
        <f>+'18'!J27</f>
        <v>0</v>
      </c>
      <c r="K27" s="242"/>
      <c r="L27" s="242"/>
      <c r="M27" s="120">
        <f>+K27+'18'!M27+L27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+'18'!J28</f>
        <v>0</v>
      </c>
      <c r="K28" s="242"/>
      <c r="L28" s="242"/>
      <c r="M28" s="120">
        <f>+K28+'18'!M28+L28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+'18'!J29</f>
        <v>0</v>
      </c>
      <c r="K29" s="242"/>
      <c r="L29" s="242"/>
      <c r="M29" s="120">
        <f>+K29+'18'!M29+L29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+'18'!J30</f>
        <v>0</v>
      </c>
      <c r="K30" s="242"/>
      <c r="L30" s="242"/>
      <c r="M30" s="120">
        <f>+K30+'18'!M30+L30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+'18'!J31</f>
        <v>0</v>
      </c>
      <c r="K31" s="242"/>
      <c r="L31" s="242"/>
      <c r="M31" s="120">
        <f>+K31+'18'!M31+L31</f>
        <v>0</v>
      </c>
    </row>
    <row r="32" spans="1:14" ht="13.5" thickBot="1">
      <c r="A32" s="788"/>
      <c r="B32" s="168" t="s">
        <v>3</v>
      </c>
      <c r="C32" s="102">
        <f>SUM(C25:C31)</f>
        <v>12374</v>
      </c>
      <c r="D32" s="103">
        <f>SUM(D25:D31)</f>
        <v>500</v>
      </c>
      <c r="E32" s="104">
        <f>SUM(E25:E31)</f>
        <v>0</v>
      </c>
      <c r="F32" s="105">
        <f>SUM(F24:F31)</f>
        <v>8</v>
      </c>
      <c r="G32" s="174"/>
      <c r="H32" s="175"/>
      <c r="I32" s="172"/>
      <c r="J32" s="217">
        <f>+'18'!J32</f>
        <v>0</v>
      </c>
      <c r="K32" s="244"/>
      <c r="L32" s="246"/>
      <c r="M32" s="120">
        <f>+K32+'18'!M32+L32</f>
        <v>0</v>
      </c>
    </row>
    <row r="33" spans="1:14" ht="13.5" thickBot="1">
      <c r="A33" s="176"/>
      <c r="B33" s="177"/>
      <c r="C33" s="106">
        <f>C32/($C$32+$D$32+$E$32)</f>
        <v>0.96116203200248562</v>
      </c>
      <c r="D33" s="107">
        <f>D32/($C$32+$D$32+$E$32)</f>
        <v>3.8837967997514371E-2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61992</v>
      </c>
      <c r="D34" s="110">
        <f>D14+D23+D32</f>
        <v>500</v>
      </c>
      <c r="E34" s="110">
        <f>E14+E23+E32</f>
        <v>0</v>
      </c>
      <c r="F34" s="111">
        <f>F14+F23+F32</f>
        <v>31</v>
      </c>
      <c r="H34" s="181"/>
      <c r="I34" s="181"/>
      <c r="J34" s="126" t="s">
        <v>29</v>
      </c>
      <c r="K34" s="127">
        <f>SUM(K7:K32)</f>
        <v>61992</v>
      </c>
      <c r="L34" s="215">
        <f>SUM(L7:L32)</f>
        <v>0</v>
      </c>
      <c r="M34" s="123">
        <f>SUM(M7:M32)</f>
        <v>978816</v>
      </c>
      <c r="N34" s="158"/>
    </row>
    <row r="35" spans="1:14" ht="13.5" thickBot="1">
      <c r="A35" s="182"/>
      <c r="B35" s="183"/>
      <c r="C35" s="107">
        <f>C34/($C$34+$D$34+$E$34)</f>
        <v>0.99199897586891117</v>
      </c>
      <c r="D35" s="107">
        <f>D34/($C$34+$D$34+$E$34)</f>
        <v>8.0010241310887794E-3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(23*840+17*600)/1440*G42*3.4*1440/1000000</f>
        <v>71.22615119999999</v>
      </c>
      <c r="J37" s="128">
        <f>+I37+'18'!J37</f>
        <v>1136.3304908385392</v>
      </c>
      <c r="K37" s="129" t="s">
        <v>66</v>
      </c>
      <c r="L37" s="437"/>
      <c r="M37" s="438"/>
      <c r="N37" s="563">
        <f>+I38-N38</f>
        <v>46.024000000000001</v>
      </c>
    </row>
    <row r="38" spans="1:14" ht="17.45" customHeight="1">
      <c r="A38" s="797" t="s">
        <v>13</v>
      </c>
      <c r="B38" s="798"/>
      <c r="C38" s="167">
        <f>SUMIF($G$7:$G$31,"Process",$F$7:$F$31)</f>
        <v>31</v>
      </c>
      <c r="D38" s="121">
        <f>+C38+'18'!D38</f>
        <v>964</v>
      </c>
      <c r="E38" s="146">
        <f t="shared" ref="E38:E51" si="0">D38/60</f>
        <v>16.066666666666666</v>
      </c>
      <c r="F38" s="372">
        <v>830</v>
      </c>
      <c r="G38" s="372">
        <v>730.4</v>
      </c>
      <c r="H38" s="190" t="s">
        <v>67</v>
      </c>
      <c r="I38" s="562">
        <f>24.826+24.424+16.626</f>
        <v>65.876000000000005</v>
      </c>
      <c r="J38" s="130">
        <f>+I38+'18'!J38</f>
        <v>1020.327</v>
      </c>
      <c r="K38" s="131" t="s">
        <v>66</v>
      </c>
      <c r="L38" s="439"/>
      <c r="M38" s="440"/>
      <c r="N38" s="152">
        <f>1.094+2.132+16.626</f>
        <v>19.852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+C39+'18'!D39</f>
        <v>0</v>
      </c>
      <c r="E39" s="146">
        <f t="shared" si="0"/>
        <v>0</v>
      </c>
      <c r="F39" s="372">
        <v>830</v>
      </c>
      <c r="G39" s="372">
        <v>717.95</v>
      </c>
      <c r="H39" s="190" t="s">
        <v>68</v>
      </c>
      <c r="I39" s="145"/>
      <c r="J39" s="132">
        <f>J37/G4</f>
        <v>59.806867938870482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+C40+'18'!D40</f>
        <v>0</v>
      </c>
      <c r="E40" s="146">
        <f t="shared" si="0"/>
        <v>0</v>
      </c>
      <c r="F40" s="372">
        <v>830</v>
      </c>
      <c r="G40" s="372">
        <v>680.6</v>
      </c>
      <c r="H40" s="190" t="s">
        <v>70</v>
      </c>
      <c r="I40" s="121">
        <f>(K34+L34)/1000</f>
        <v>61.991999999999997</v>
      </c>
      <c r="J40" s="134">
        <f>+I40+'18'!J40</f>
        <v>978.81600000000003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+C41+'18'!D41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51.516631578947369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+C42+'18'!D42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709.65</v>
      </c>
      <c r="H42" s="190" t="s">
        <v>73</v>
      </c>
      <c r="I42" s="248" t="s">
        <v>622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>+C43+'18'!D43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+Report1!AH27</f>
        <v>138.81700000000001</v>
      </c>
      <c r="J43" s="136">
        <f>+I43+'18'!J43</f>
        <v>2521.5749999999994</v>
      </c>
      <c r="K43" s="133" t="s">
        <v>66</v>
      </c>
      <c r="L43" s="441">
        <f>+Report1!AN27</f>
        <v>0</v>
      </c>
      <c r="M43" s="442">
        <f>+L43+'18'!M43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+C44+'18'!D44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2.1072469488129211</v>
      </c>
      <c r="J44" s="137">
        <f>J43/J38</f>
        <v>2.4713400703891981</v>
      </c>
      <c r="K44" s="133" t="s">
        <v>66</v>
      </c>
      <c r="L44" s="443">
        <f>+L43/I38</f>
        <v>0</v>
      </c>
      <c r="M44" s="444">
        <f>+M43/J38</f>
        <v>6.1254872212535783E-2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+C45+'18'!D45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2.2392728093947607</v>
      </c>
      <c r="J45" s="137">
        <f>J43/J40</f>
        <v>2.5761481218124747</v>
      </c>
      <c r="K45" s="133" t="s">
        <v>66</v>
      </c>
      <c r="L45" s="443">
        <f>+L43/I40</f>
        <v>0</v>
      </c>
      <c r="M45" s="444">
        <f>+M43/J40</f>
        <v>6.385265463580489E-2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+C46+'18'!D46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+SUMIF(Listrik!AC26,"&gt;0")</f>
        <v>48109.289999999746</v>
      </c>
      <c r="J46" s="138">
        <f>+I46+'18'!J46</f>
        <v>776477.48000000068</v>
      </c>
      <c r="K46" s="133" t="s">
        <v>81</v>
      </c>
      <c r="L46" s="443">
        <f>+Listrik!AF26</f>
        <v>448</v>
      </c>
      <c r="M46" s="445">
        <f>+L46+'18'!M46</f>
        <v>112275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+C47+'18'!D47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730.30071649765841</v>
      </c>
      <c r="J47" s="138">
        <f>J46/J38</f>
        <v>761.00846101298964</v>
      </c>
      <c r="K47" s="133" t="s">
        <v>25</v>
      </c>
      <c r="L47" s="443">
        <f>+L46/I38</f>
        <v>6.8006557775214036</v>
      </c>
      <c r="M47" s="444">
        <f>+M46/J38</f>
        <v>110.03825244259929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+C48+'18'!D48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776.05642663569085</v>
      </c>
      <c r="J48" s="138">
        <f>J46/J40</f>
        <v>793.28237380672226</v>
      </c>
      <c r="K48" s="133" t="s">
        <v>25</v>
      </c>
      <c r="L48" s="443">
        <f>+L46/I38</f>
        <v>6.8006557775214036</v>
      </c>
      <c r="M48" s="444">
        <f>+M46/J40</f>
        <v>114.7049087877599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+C49+'18'!D49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+Report1!AB27</f>
        <v>0</v>
      </c>
      <c r="J49" s="138">
        <f>+I49+'18'!J49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+C50+'18'!D50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+C51+'18'!D51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31</v>
      </c>
      <c r="D52" s="147">
        <f>SUM(D38:D51)</f>
        <v>2960</v>
      </c>
      <c r="E52" s="148">
        <f>SUM(E38:E51)</f>
        <v>49.333333333333329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2.1527777777777778E-2</v>
      </c>
      <c r="D53" s="149">
        <f>D52/(24*60*G4)</f>
        <v>0.10818713450292397</v>
      </c>
      <c r="E53" s="150">
        <f>E52/(G4*24)</f>
        <v>0.10818713450292397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+D34+'18'!J56</f>
        <v>11161</v>
      </c>
      <c r="K56" s="204">
        <f>J56/(J40+J56/1000)/1000</f>
        <v>1.1273999294933114E-2</v>
      </c>
    </row>
    <row r="57" spans="1:13">
      <c r="A57" s="179"/>
      <c r="I57" s="202" t="s">
        <v>92</v>
      </c>
      <c r="J57" s="203">
        <f>+E34+'18'!J57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R61"/>
  <sheetViews>
    <sheetView view="pageBreakPreview" topLeftCell="A7" zoomScale="80" zoomScaleNormal="80" zoomScaleSheetLayoutView="80" workbookViewId="0">
      <selection activeCell="F14" sqref="F14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710937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85546875" style="152" customWidth="1"/>
    <col min="11" max="11" width="12.5703125" style="152" bestFit="1" customWidth="1"/>
    <col min="12" max="12" width="8.28515625" style="152" customWidth="1"/>
    <col min="13" max="13" width="13.8554687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18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265+263+270</f>
        <v>798</v>
      </c>
    </row>
    <row r="7" spans="1:15" ht="13.5" customHeight="1" thickBot="1">
      <c r="A7" s="781" t="s">
        <v>607</v>
      </c>
      <c r="B7" s="218" t="s">
        <v>532</v>
      </c>
      <c r="C7" s="219">
        <v>14405</v>
      </c>
      <c r="D7" s="220">
        <v>660</v>
      </c>
      <c r="E7" s="221"/>
      <c r="F7" s="231">
        <v>1</v>
      </c>
      <c r="G7" s="232" t="s">
        <v>13</v>
      </c>
      <c r="H7" s="233" t="s">
        <v>435</v>
      </c>
      <c r="I7" s="784" t="s">
        <v>606</v>
      </c>
      <c r="J7" s="217" t="str">
        <f>+'17'!J7</f>
        <v>TW 38 RC BR</v>
      </c>
      <c r="K7" s="241"/>
      <c r="L7" s="245"/>
      <c r="M7" s="120">
        <f>+K7+'17'!M7+L7</f>
        <v>53722</v>
      </c>
    </row>
    <row r="8" spans="1:15" ht="13.5" thickBot="1">
      <c r="A8" s="782"/>
      <c r="B8" s="218"/>
      <c r="C8" s="219"/>
      <c r="D8" s="220"/>
      <c r="E8" s="222"/>
      <c r="F8" s="234">
        <v>2</v>
      </c>
      <c r="G8" s="235" t="s">
        <v>13</v>
      </c>
      <c r="H8" s="233" t="s">
        <v>389</v>
      </c>
      <c r="I8" s="785"/>
      <c r="J8" s="217" t="str">
        <f>+'17'!J8</f>
        <v>TW 36 RC BR</v>
      </c>
      <c r="K8" s="242"/>
      <c r="L8" s="242"/>
      <c r="M8" s="120">
        <f>+K8+'17'!M8+L8</f>
        <v>45750</v>
      </c>
      <c r="N8" s="152">
        <v>830</v>
      </c>
      <c r="O8" s="152">
        <f>+N8-N8*0.15</f>
        <v>705.5</v>
      </c>
    </row>
    <row r="9" spans="1:15" ht="13.5" thickBot="1">
      <c r="A9" s="782"/>
      <c r="B9" s="218"/>
      <c r="C9" s="219"/>
      <c r="D9" s="220"/>
      <c r="E9" s="223"/>
      <c r="F9" s="231">
        <v>4</v>
      </c>
      <c r="G9" s="235" t="s">
        <v>13</v>
      </c>
      <c r="H9" s="236" t="s">
        <v>226</v>
      </c>
      <c r="I9" s="785"/>
      <c r="J9" s="217" t="str">
        <f>+'17'!J9</f>
        <v>TW 34 RC BR</v>
      </c>
      <c r="K9" s="242"/>
      <c r="L9" s="242"/>
      <c r="M9" s="120">
        <f>+K9+'17'!M9+L9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605</v>
      </c>
      <c r="I10" s="785"/>
      <c r="J10" s="217" t="str">
        <f>+'17'!J10</f>
        <v>TW 30 RC BR</v>
      </c>
      <c r="K10" s="242"/>
      <c r="L10" s="242"/>
      <c r="M10" s="120">
        <f>+K10+'17'!M10+L10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+'17'!J11</f>
        <v>TW 20 RC BR</v>
      </c>
      <c r="K11" s="242"/>
      <c r="L11" s="242"/>
      <c r="M11" s="120">
        <f>+K11+'17'!M11+L11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+'17'!J12</f>
        <v>N 20 RC BR</v>
      </c>
      <c r="K12" s="242"/>
      <c r="L12" s="242"/>
      <c r="M12" s="120">
        <f>+K12+'17'!M12+L12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+'17'!J13</f>
        <v>N 17,5 RC BR</v>
      </c>
      <c r="K13" s="242"/>
      <c r="L13" s="242"/>
      <c r="M13" s="120">
        <f>+K13+'17'!M13+L13</f>
        <v>61888</v>
      </c>
    </row>
    <row r="14" spans="1:15" ht="13.5" thickBot="1">
      <c r="A14" s="783"/>
      <c r="B14" s="168" t="s">
        <v>3</v>
      </c>
      <c r="C14" s="102">
        <f>SUM(C7:C13)</f>
        <v>14405</v>
      </c>
      <c r="D14" s="114">
        <f>SUM(D7:D13)</f>
        <v>660</v>
      </c>
      <c r="E14" s="115">
        <f>SUM(E5:E13)</f>
        <v>0</v>
      </c>
      <c r="F14" s="105">
        <f>SUM(F6:F13)</f>
        <v>7</v>
      </c>
      <c r="G14" s="162"/>
      <c r="H14" s="169"/>
      <c r="I14" s="170"/>
      <c r="J14" s="217" t="str">
        <f>+'17'!J14</f>
        <v>N 16 RC BR</v>
      </c>
      <c r="K14" s="242"/>
      <c r="L14" s="242"/>
      <c r="M14" s="120">
        <f>+K14+'17'!M14+L14</f>
        <v>24358</v>
      </c>
    </row>
    <row r="15" spans="1:15" ht="13.5" customHeight="1" thickBot="1">
      <c r="A15" s="781" t="s">
        <v>409</v>
      </c>
      <c r="B15" s="168"/>
      <c r="C15" s="116">
        <f>C14/($C$23+$D$23+$E$23)</f>
        <v>0.62459350474786457</v>
      </c>
      <c r="D15" s="117">
        <f>D14/($C$23+$D$23+$E$23)</f>
        <v>2.8617265750336036E-2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612</v>
      </c>
      <c r="J15" s="217" t="str">
        <f>+'17'!J15</f>
        <v>N 15,5 RC BR</v>
      </c>
      <c r="K15" s="242"/>
      <c r="L15" s="242"/>
      <c r="M15" s="120">
        <f>+K15+'17'!M15+L15</f>
        <v>0</v>
      </c>
    </row>
    <row r="16" spans="1:15" ht="13.5" thickBot="1">
      <c r="A16" s="787"/>
      <c r="B16" s="218" t="s">
        <v>532</v>
      </c>
      <c r="C16" s="225">
        <f>8071+3573</f>
        <v>11644</v>
      </c>
      <c r="D16" s="226"/>
      <c r="E16" s="227"/>
      <c r="F16" s="234">
        <v>5</v>
      </c>
      <c r="G16" s="235" t="s">
        <v>13</v>
      </c>
      <c r="H16" s="233" t="s">
        <v>389</v>
      </c>
      <c r="I16" s="785"/>
      <c r="J16" s="217" t="str">
        <f>+'17'!J16</f>
        <v>N 17 VP OW</v>
      </c>
      <c r="K16" s="232"/>
      <c r="L16" s="232"/>
      <c r="M16" s="120">
        <f>+K16+'17'!M16+L16</f>
        <v>62993</v>
      </c>
    </row>
    <row r="17" spans="1:18" ht="13.5" thickBot="1">
      <c r="A17" s="787"/>
      <c r="B17" s="218" t="s">
        <v>582</v>
      </c>
      <c r="C17" s="219">
        <v>11419</v>
      </c>
      <c r="D17" s="220"/>
      <c r="E17" s="228"/>
      <c r="F17" s="231">
        <v>5</v>
      </c>
      <c r="G17" s="235" t="s">
        <v>13</v>
      </c>
      <c r="H17" s="236" t="s">
        <v>226</v>
      </c>
      <c r="I17" s="785"/>
      <c r="J17" s="217" t="str">
        <f>+'17'!J17</f>
        <v>N 16 VP OW</v>
      </c>
      <c r="K17" s="232">
        <f>+C7+C16</f>
        <v>26049</v>
      </c>
      <c r="L17" s="232"/>
      <c r="M17" s="120">
        <f>+K17+'17'!M17+L17</f>
        <v>263057</v>
      </c>
    </row>
    <row r="18" spans="1:18" ht="13.5" thickBot="1">
      <c r="A18" s="787"/>
      <c r="B18" s="218"/>
      <c r="C18" s="219"/>
      <c r="D18" s="220"/>
      <c r="E18" s="228"/>
      <c r="F18" s="231"/>
      <c r="G18" s="235"/>
      <c r="H18" s="236" t="s">
        <v>605</v>
      </c>
      <c r="I18" s="785"/>
      <c r="J18" s="217" t="str">
        <f>+'17'!J18</f>
        <v>N 19 VP OW</v>
      </c>
      <c r="K18" s="232"/>
      <c r="L18" s="242"/>
      <c r="M18" s="120">
        <f>+K18+'17'!M18+L18</f>
        <v>24049</v>
      </c>
      <c r="N18" s="152">
        <v>830</v>
      </c>
      <c r="O18" s="152">
        <f>+N18-N18*0.15</f>
        <v>705.5</v>
      </c>
      <c r="P18" s="152">
        <v>180</v>
      </c>
      <c r="Q18" s="152">
        <f>+N18*P18</f>
        <v>149400</v>
      </c>
      <c r="R18" s="152">
        <f>+O18*P18</f>
        <v>126990</v>
      </c>
    </row>
    <row r="19" spans="1:18" ht="13.5" thickBot="1">
      <c r="A19" s="787"/>
      <c r="B19" s="218"/>
      <c r="C19" s="219"/>
      <c r="D19" s="220"/>
      <c r="E19" s="228"/>
      <c r="F19" s="238">
        <v>5</v>
      </c>
      <c r="G19" s="235" t="s">
        <v>13</v>
      </c>
      <c r="H19" s="236" t="s">
        <v>615</v>
      </c>
      <c r="I19" s="785"/>
      <c r="J19" s="217" t="str">
        <f>+'17'!J19</f>
        <v>N 25 VP OW</v>
      </c>
      <c r="K19" s="232"/>
      <c r="L19" s="242"/>
      <c r="M19" s="120">
        <f>+K19+'17'!M19+L19</f>
        <v>114797</v>
      </c>
      <c r="N19" s="152">
        <v>830</v>
      </c>
      <c r="O19" s="152">
        <f>+N19-N19*0.12</f>
        <v>730.4</v>
      </c>
      <c r="P19" s="152">
        <v>300</v>
      </c>
      <c r="Q19" s="152">
        <f>+N19*P19</f>
        <v>249000</v>
      </c>
      <c r="R19" s="152">
        <f>+O19*P19</f>
        <v>219120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+'17'!J20</f>
        <v>N 23 VP OW</v>
      </c>
      <c r="K20" s="232"/>
      <c r="L20" s="242"/>
      <c r="M20" s="120">
        <f>+K20+'17'!M20+L20</f>
        <v>9760</v>
      </c>
      <c r="P20" s="152">
        <f>+P18+P19</f>
        <v>480</v>
      </c>
      <c r="Q20" s="152">
        <f>+Q18+Q19</f>
        <v>398400</v>
      </c>
      <c r="R20" s="152">
        <f>+R18+R19</f>
        <v>346110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+'17'!J21</f>
        <v>TW 23 VP OW</v>
      </c>
      <c r="K21" s="232">
        <f>+C17+C25</f>
        <v>36545</v>
      </c>
      <c r="L21" s="242"/>
      <c r="M21" s="120">
        <f>+K21+'17'!M21+L21</f>
        <v>113931</v>
      </c>
      <c r="Q21" s="152">
        <f>+Q20/P20</f>
        <v>830</v>
      </c>
      <c r="R21" s="152">
        <f>+R20/P20</f>
        <v>721.0625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+'17'!J22</f>
        <v>TW 17 VP OW</v>
      </c>
      <c r="K22" s="232"/>
      <c r="L22" s="242"/>
      <c r="M22" s="120">
        <f>+K22+'17'!M22+L22</f>
        <v>81508</v>
      </c>
    </row>
    <row r="23" spans="1:18" ht="13.5" thickBot="1">
      <c r="A23" s="788"/>
      <c r="B23" s="168" t="s">
        <v>3</v>
      </c>
      <c r="C23" s="103">
        <f>SUM(C16:C22)</f>
        <v>23063</v>
      </c>
      <c r="D23" s="114">
        <f>SUM(D16:D22)</f>
        <v>0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+'17'!J23</f>
        <v>0</v>
      </c>
      <c r="K23" s="232"/>
      <c r="L23" s="242"/>
      <c r="M23" s="120">
        <f>+K23+'17'!M23+L23</f>
        <v>0</v>
      </c>
    </row>
    <row r="24" spans="1:18" ht="13.5" customHeight="1" thickBot="1">
      <c r="A24" s="781" t="s">
        <v>410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10</v>
      </c>
      <c r="G24" s="232" t="s">
        <v>13</v>
      </c>
      <c r="H24" s="233" t="s">
        <v>436</v>
      </c>
      <c r="I24" s="784" t="s">
        <v>613</v>
      </c>
      <c r="J24" s="217">
        <f>+'17'!J24</f>
        <v>0</v>
      </c>
      <c r="K24" s="232"/>
      <c r="L24" s="242"/>
      <c r="M24" s="120">
        <f>+K24+'17'!M24+L24</f>
        <v>0</v>
      </c>
    </row>
    <row r="25" spans="1:18" ht="13.5" thickBot="1">
      <c r="A25" s="787"/>
      <c r="B25" s="218" t="s">
        <v>582</v>
      </c>
      <c r="C25" s="229">
        <v>25126</v>
      </c>
      <c r="D25" s="220"/>
      <c r="E25" s="228"/>
      <c r="F25" s="234">
        <v>10</v>
      </c>
      <c r="G25" s="235" t="s">
        <v>13</v>
      </c>
      <c r="H25" s="233" t="s">
        <v>434</v>
      </c>
      <c r="I25" s="785"/>
      <c r="J25" s="217">
        <f>+'17'!J25</f>
        <v>0</v>
      </c>
      <c r="K25" s="232"/>
      <c r="L25" s="242"/>
      <c r="M25" s="120">
        <f>+K25+'17'!M25+L25</f>
        <v>0</v>
      </c>
    </row>
    <row r="26" spans="1:18" ht="13.5" thickBot="1">
      <c r="A26" s="787"/>
      <c r="B26" s="218"/>
      <c r="C26" s="229"/>
      <c r="D26" s="220"/>
      <c r="E26" s="230"/>
      <c r="F26" s="231">
        <v>10</v>
      </c>
      <c r="G26" s="235" t="s">
        <v>13</v>
      </c>
      <c r="H26" s="236" t="s">
        <v>226</v>
      </c>
      <c r="I26" s="785"/>
      <c r="J26" s="217">
        <f>+'17'!J26</f>
        <v>0</v>
      </c>
      <c r="K26" s="232"/>
      <c r="L26" s="242"/>
      <c r="M26" s="120">
        <f>+K26+'17'!M26+L26</f>
        <v>0</v>
      </c>
    </row>
    <row r="27" spans="1:18" ht="13.5" thickBot="1">
      <c r="A27" s="787"/>
      <c r="B27" s="218"/>
      <c r="C27" s="219"/>
      <c r="D27" s="220"/>
      <c r="E27" s="228"/>
      <c r="F27" s="231"/>
      <c r="G27" s="235"/>
      <c r="H27" s="236" t="s">
        <v>614</v>
      </c>
      <c r="I27" s="785"/>
      <c r="J27" s="217">
        <f>+'17'!J27</f>
        <v>0</v>
      </c>
      <c r="K27" s="232"/>
      <c r="L27" s="242"/>
      <c r="M27" s="120">
        <f>+K27+'17'!M27+L27</f>
        <v>0</v>
      </c>
    </row>
    <row r="28" spans="1:18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+'17'!J28</f>
        <v>0</v>
      </c>
      <c r="K28" s="232"/>
      <c r="L28" s="242"/>
      <c r="M28" s="120">
        <f>+K28+'17'!M28+L28</f>
        <v>0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+'17'!J29</f>
        <v>0</v>
      </c>
      <c r="K29" s="232"/>
      <c r="L29" s="242"/>
      <c r="M29" s="120">
        <f>+K29+'17'!M29+L29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+'17'!J30</f>
        <v>0</v>
      </c>
      <c r="K30" s="242"/>
      <c r="L30" s="242"/>
      <c r="M30" s="120">
        <f>+K30+'17'!M30+L30</f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+'17'!J31</f>
        <v>0</v>
      </c>
      <c r="K31" s="242"/>
      <c r="L31" s="242"/>
      <c r="M31" s="120">
        <f>+K31+'17'!M31+L31</f>
        <v>0</v>
      </c>
    </row>
    <row r="32" spans="1:18" ht="13.5" thickBot="1">
      <c r="A32" s="788"/>
      <c r="B32" s="168" t="s">
        <v>3</v>
      </c>
      <c r="C32" s="102">
        <f>SUM(C25:C31)</f>
        <v>25126</v>
      </c>
      <c r="D32" s="103">
        <f>SUM(D25:D31)</f>
        <v>0</v>
      </c>
      <c r="E32" s="104">
        <f>SUM(E25:E31)</f>
        <v>0</v>
      </c>
      <c r="F32" s="105">
        <f>SUM(F24:F31)</f>
        <v>30</v>
      </c>
      <c r="G32" s="174"/>
      <c r="H32" s="175"/>
      <c r="I32" s="172"/>
      <c r="J32" s="217">
        <f>+'17'!J32</f>
        <v>0</v>
      </c>
      <c r="K32" s="244"/>
      <c r="L32" s="246"/>
      <c r="M32" s="120">
        <f>+K32+'17'!M32+L32</f>
        <v>0</v>
      </c>
    </row>
    <row r="33" spans="1:15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91" t="s">
        <v>60</v>
      </c>
      <c r="B34" s="792"/>
      <c r="C34" s="110">
        <f>C14+C23+C32</f>
        <v>62594</v>
      </c>
      <c r="D34" s="110">
        <f>D14+D23+D32</f>
        <v>660</v>
      </c>
      <c r="E34" s="110">
        <f>E14+E23+E32</f>
        <v>0</v>
      </c>
      <c r="F34" s="111">
        <f>F14+F23+F32</f>
        <v>52</v>
      </c>
      <c r="H34" s="181"/>
      <c r="I34" s="181"/>
      <c r="J34" s="126" t="s">
        <v>29</v>
      </c>
      <c r="K34" s="127">
        <f>SUM(K7:K32)</f>
        <v>62594</v>
      </c>
      <c r="L34" s="215">
        <f>SUM(L7:L32)</f>
        <v>0</v>
      </c>
      <c r="M34" s="123">
        <f>SUM(M7:M32)</f>
        <v>916824</v>
      </c>
      <c r="N34" s="158"/>
    </row>
    <row r="35" spans="1:15" ht="13.5" thickBot="1">
      <c r="A35" s="182"/>
      <c r="B35" s="183"/>
      <c r="C35" s="107">
        <f>C34/($C$34+$D$34+$E$34)</f>
        <v>0.98956587725677425</v>
      </c>
      <c r="D35" s="107">
        <f>D34/($C$34+$D$34+$E$34)</f>
        <v>1.0434122743225725E-2</v>
      </c>
      <c r="E35" s="112">
        <f>E34/($C$34+$D$34+$E$34)</f>
        <v>0</v>
      </c>
      <c r="K35" s="158"/>
      <c r="L35" s="780" t="s">
        <v>186</v>
      </c>
      <c r="M35" s="780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5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(16*660+23*780)/1440*G42*3.4*1440/1000000</f>
        <v>69.669888749999998</v>
      </c>
      <c r="J37" s="128">
        <f>+I37+'17'!J37</f>
        <v>1065.1043396385392</v>
      </c>
      <c r="K37" s="129" t="s">
        <v>66</v>
      </c>
      <c r="L37" s="437"/>
      <c r="M37" s="438"/>
      <c r="N37" s="152">
        <f>17.325+2.564+2.564+2.564</f>
        <v>25.016999999999999</v>
      </c>
    </row>
    <row r="38" spans="1:15" ht="17.45" customHeight="1">
      <c r="A38" s="797" t="s">
        <v>13</v>
      </c>
      <c r="B38" s="798"/>
      <c r="C38" s="167">
        <f>SUMIF($G$7:$G$31,"Process",$F$7:$F$31)</f>
        <v>52</v>
      </c>
      <c r="D38" s="121">
        <f>+C38+'17'!D38</f>
        <v>933</v>
      </c>
      <c r="E38" s="146">
        <f t="shared" ref="E38:E51" si="0">D38/60</f>
        <v>15.55</v>
      </c>
      <c r="F38" s="372">
        <v>830</v>
      </c>
      <c r="G38" s="372">
        <v>705.5</v>
      </c>
      <c r="H38" s="190" t="s">
        <v>67</v>
      </c>
      <c r="I38" s="562">
        <f>17.325+22.24+24.25</f>
        <v>63.814999999999998</v>
      </c>
      <c r="J38" s="130">
        <f>+I38+'17'!J38</f>
        <v>954.45100000000002</v>
      </c>
      <c r="K38" s="131" t="s">
        <v>66</v>
      </c>
      <c r="L38" s="439"/>
      <c r="M38" s="440"/>
      <c r="N38" s="563">
        <f>+I38-N37</f>
        <v>38.798000000000002</v>
      </c>
      <c r="O38" s="572"/>
    </row>
    <row r="39" spans="1:15" ht="17.45" customHeight="1">
      <c r="A39" s="793" t="s">
        <v>14</v>
      </c>
      <c r="B39" s="794"/>
      <c r="C39" s="167">
        <f>SUMIF($G$7:$G$31,"Cleaning",$F$7:$F$31)</f>
        <v>0</v>
      </c>
      <c r="D39" s="121">
        <f>+C39+'17'!D39</f>
        <v>0</v>
      </c>
      <c r="E39" s="146">
        <f t="shared" si="0"/>
        <v>0</v>
      </c>
      <c r="F39" s="372">
        <v>830</v>
      </c>
      <c r="G39" s="372">
        <v>721.0625</v>
      </c>
      <c r="H39" s="190" t="s">
        <v>68</v>
      </c>
      <c r="I39" s="145"/>
      <c r="J39" s="132">
        <f>J37/G4</f>
        <v>59.172463313252173</v>
      </c>
      <c r="K39" s="133" t="s">
        <v>66</v>
      </c>
      <c r="L39" s="439"/>
      <c r="M39" s="440"/>
    </row>
    <row r="40" spans="1:15" ht="17.45" customHeight="1">
      <c r="A40" s="793" t="s">
        <v>69</v>
      </c>
      <c r="B40" s="794"/>
      <c r="C40" s="167">
        <f>SUMIF($G$7:$G$31,"Mechanical",$F$7:$F$31)</f>
        <v>0</v>
      </c>
      <c r="D40" s="121">
        <f>+C40+'17'!D40</f>
        <v>0</v>
      </c>
      <c r="E40" s="146">
        <f t="shared" si="0"/>
        <v>0</v>
      </c>
      <c r="F40" s="372">
        <v>830</v>
      </c>
      <c r="G40" s="372">
        <v>730.4</v>
      </c>
      <c r="H40" s="190" t="s">
        <v>70</v>
      </c>
      <c r="I40" s="121">
        <f>(K34+L34)/1000</f>
        <v>62.594000000000001</v>
      </c>
      <c r="J40" s="134">
        <f>+I40+'17'!J40</f>
        <v>916.82400000000007</v>
      </c>
      <c r="K40" s="133" t="s">
        <v>66</v>
      </c>
      <c r="L40" s="439"/>
      <c r="M40" s="440"/>
    </row>
    <row r="41" spans="1:15" ht="17.45" customHeight="1">
      <c r="A41" s="793" t="s">
        <v>71</v>
      </c>
      <c r="B41" s="794"/>
      <c r="C41" s="167">
        <f>SUMIF($G$7:$G$31,"Electrical",$F$7:$F$31)</f>
        <v>0</v>
      </c>
      <c r="D41" s="121">
        <f>+C41+'17'!D41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50.934666666666672</v>
      </c>
      <c r="K41" s="133" t="s">
        <v>66</v>
      </c>
      <c r="L41" s="439"/>
      <c r="M41" s="440"/>
    </row>
    <row r="42" spans="1:15" ht="17.45" customHeight="1">
      <c r="A42" s="793" t="s">
        <v>17</v>
      </c>
      <c r="B42" s="794"/>
      <c r="C42" s="167">
        <f>SUMIF($G$7:$G$31,"Instrument",$F$7:$F$31)</f>
        <v>0</v>
      </c>
      <c r="D42" s="121">
        <f>+C42+'17'!D42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718.98749999999995</v>
      </c>
      <c r="H42" s="190" t="s">
        <v>73</v>
      </c>
      <c r="I42" s="248" t="s">
        <v>616</v>
      </c>
      <c r="J42" s="135"/>
      <c r="K42" s="133" t="s">
        <v>74</v>
      </c>
      <c r="L42" s="439"/>
      <c r="M42" s="440"/>
    </row>
    <row r="43" spans="1:15" ht="17.45" customHeight="1">
      <c r="A43" s="793" t="s">
        <v>75</v>
      </c>
      <c r="B43" s="794"/>
      <c r="C43" s="167">
        <f>SUMIF($G$7:$G$31,"Water",$F$7:$F$31)</f>
        <v>0</v>
      </c>
      <c r="D43" s="121">
        <f>+C43+'17'!D43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+Report1!AH26</f>
        <v>135.75200000000001</v>
      </c>
      <c r="J43" s="136">
        <f>+I43+'17'!J43</f>
        <v>2382.7579999999994</v>
      </c>
      <c r="K43" s="133" t="s">
        <v>66</v>
      </c>
      <c r="L43" s="441">
        <f>+Report1!AN26</f>
        <v>0</v>
      </c>
      <c r="M43" s="442">
        <f>+L43+'17'!M43</f>
        <v>62.5</v>
      </c>
    </row>
    <row r="44" spans="1:15" ht="17.45" customHeight="1">
      <c r="A44" s="793" t="s">
        <v>18</v>
      </c>
      <c r="B44" s="794"/>
      <c r="C44" s="167">
        <f>SUMIF($G$7:$G$31,"PLN",$F$7:$F$31)</f>
        <v>0</v>
      </c>
      <c r="D44" s="121">
        <f>+C44+'17'!D44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2.1272741518451777</v>
      </c>
      <c r="J44" s="137">
        <f>J43/J38</f>
        <v>2.4964696982872869</v>
      </c>
      <c r="K44" s="133" t="s">
        <v>66</v>
      </c>
      <c r="L44" s="443">
        <f>+L43/I38</f>
        <v>0</v>
      </c>
      <c r="M44" s="444">
        <f>+M43/J38</f>
        <v>6.5482670142312183E-2</v>
      </c>
    </row>
    <row r="45" spans="1:15" ht="17.45" customHeight="1">
      <c r="A45" s="793" t="s">
        <v>19</v>
      </c>
      <c r="B45" s="794"/>
      <c r="C45" s="167">
        <f>SUMIF($G$7:$G$31,"Boiler",$F$7:$F$31)</f>
        <v>0</v>
      </c>
      <c r="D45" s="121">
        <f>+C45+'17'!D45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2.1687701696648243</v>
      </c>
      <c r="J45" s="137">
        <f>J43/J40</f>
        <v>2.5989262933780086</v>
      </c>
      <c r="K45" s="133" t="s">
        <v>66</v>
      </c>
      <c r="L45" s="443">
        <f>+L43/I40</f>
        <v>0</v>
      </c>
      <c r="M45" s="444">
        <f>+M43/J40</f>
        <v>6.8170117710705649E-2</v>
      </c>
    </row>
    <row r="46" spans="1:15" ht="17.45" customHeight="1">
      <c r="A46" s="793" t="s">
        <v>79</v>
      </c>
      <c r="B46" s="794"/>
      <c r="C46" s="167">
        <f>SUMIF($G$7:$G$31,"Gas",$F$7:$F$31)</f>
        <v>0</v>
      </c>
      <c r="D46" s="121">
        <f>+C46+'17'!D46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+SUMIF(Listrik!AC25,"&gt;0")</f>
        <v>46342.469999999914</v>
      </c>
      <c r="J46" s="138">
        <f>+I46+'17'!J46</f>
        <v>728368.19000000088</v>
      </c>
      <c r="K46" s="133" t="s">
        <v>81</v>
      </c>
      <c r="L46" s="443">
        <f>+Listrik!AF25</f>
        <v>451</v>
      </c>
      <c r="M46" s="445">
        <f>+L46+'17'!M46</f>
        <v>111827</v>
      </c>
    </row>
    <row r="47" spans="1:15" ht="17.45" customHeight="1">
      <c r="A47" s="793" t="s">
        <v>82</v>
      </c>
      <c r="B47" s="794"/>
      <c r="C47" s="167">
        <f>SUMIF($G$7:$G$31,"Gas",$F$7:$F$31)</f>
        <v>0</v>
      </c>
      <c r="D47" s="121">
        <f>+C47+'17'!D47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726.20026639504681</v>
      </c>
      <c r="J47" s="138">
        <f>J46/J38</f>
        <v>763.12790284676828</v>
      </c>
      <c r="K47" s="133" t="s">
        <v>25</v>
      </c>
      <c r="L47" s="443">
        <f>+L46/I38</f>
        <v>7.0673039254093863</v>
      </c>
      <c r="M47" s="444">
        <f>+M46/J38</f>
        <v>117.1636888640695</v>
      </c>
    </row>
    <row r="48" spans="1:15" ht="17.45" customHeight="1">
      <c r="A48" s="793" t="s">
        <v>15</v>
      </c>
      <c r="B48" s="794"/>
      <c r="C48" s="167">
        <f>SUMIF($G$7:$G$31,"Start Up",$F$7:$F$31)</f>
        <v>0</v>
      </c>
      <c r="D48" s="121">
        <f>+C48+'17'!D48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740.36600952167805</v>
      </c>
      <c r="J48" s="138">
        <f>J46/J40</f>
        <v>794.44712398453885</v>
      </c>
      <c r="K48" s="133" t="s">
        <v>25</v>
      </c>
      <c r="L48" s="443">
        <f>+L46/I38</f>
        <v>7.0673039254093863</v>
      </c>
      <c r="M48" s="444">
        <f>+M46/J40</f>
        <v>121.97215605176129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+C49+'17'!D49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+Report1!AB26</f>
        <v>0</v>
      </c>
      <c r="J49" s="138">
        <f>+I49+'17'!J49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+C50+'17'!D50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+C51+'17'!D51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52</v>
      </c>
      <c r="D52" s="147">
        <f>SUM(D38:D51)</f>
        <v>2929</v>
      </c>
      <c r="E52" s="148">
        <f>SUM(E38:E51)</f>
        <v>48.816666666666663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3.6111111111111108E-2</v>
      </c>
      <c r="D53" s="149">
        <f>D52/(24*60*G4)</f>
        <v>0.11300154320987654</v>
      </c>
      <c r="E53" s="150">
        <f>E52/(G4*24)</f>
        <v>0.11300154320987653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+D34+'17'!J56</f>
        <v>10661</v>
      </c>
      <c r="K56" s="204">
        <f>J56/(J40+J56/1000)/1000</f>
        <v>1.1494525517932905E-2</v>
      </c>
    </row>
    <row r="57" spans="1:13">
      <c r="A57" s="179"/>
      <c r="I57" s="202" t="s">
        <v>92</v>
      </c>
      <c r="J57" s="203">
        <f>+E34+'17'!J57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O61"/>
  <sheetViews>
    <sheetView view="pageBreakPreview" topLeftCell="A7" zoomScale="80" zoomScaleNormal="80" zoomScaleSheetLayoutView="80" workbookViewId="0">
      <selection activeCell="D26" sqref="D26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12.140625" style="152" customWidth="1"/>
    <col min="13" max="13" width="13.8554687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17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263+260+268</f>
        <v>791</v>
      </c>
    </row>
    <row r="7" spans="1:15" ht="13.5" customHeight="1" thickBot="1">
      <c r="A7" s="781" t="s">
        <v>607</v>
      </c>
      <c r="B7" s="218" t="s">
        <v>532</v>
      </c>
      <c r="C7" s="219">
        <v>16366</v>
      </c>
      <c r="D7" s="220">
        <v>190</v>
      </c>
      <c r="E7" s="221"/>
      <c r="F7" s="231">
        <v>2</v>
      </c>
      <c r="G7" s="232" t="s">
        <v>13</v>
      </c>
      <c r="H7" s="233" t="s">
        <v>435</v>
      </c>
      <c r="I7" s="784" t="s">
        <v>606</v>
      </c>
      <c r="J7" s="217" t="str">
        <f>+'16'!J7</f>
        <v>TW 38 RC BR</v>
      </c>
      <c r="K7" s="241"/>
      <c r="L7" s="245"/>
      <c r="M7" s="120">
        <f>+K7+'16'!M7+L7</f>
        <v>53722</v>
      </c>
    </row>
    <row r="8" spans="1:15" ht="13.5" thickBot="1">
      <c r="A8" s="782"/>
      <c r="B8" s="218"/>
      <c r="C8" s="219"/>
      <c r="D8" s="220"/>
      <c r="E8" s="222"/>
      <c r="F8" s="234">
        <v>2</v>
      </c>
      <c r="G8" s="235" t="s">
        <v>13</v>
      </c>
      <c r="H8" s="233" t="s">
        <v>389</v>
      </c>
      <c r="I8" s="785"/>
      <c r="J8" s="217" t="str">
        <f>+'16'!J8</f>
        <v>TW 36 RC BR</v>
      </c>
      <c r="K8" s="242"/>
      <c r="L8" s="242"/>
      <c r="M8" s="120">
        <f>+K8+'16'!M8+L8</f>
        <v>45750</v>
      </c>
      <c r="N8" s="152">
        <v>830</v>
      </c>
      <c r="O8" s="152">
        <f>+N8-N8*0.15</f>
        <v>705.5</v>
      </c>
    </row>
    <row r="9" spans="1:15" ht="13.5" thickBot="1">
      <c r="A9" s="782"/>
      <c r="B9" s="218"/>
      <c r="C9" s="219"/>
      <c r="D9" s="220"/>
      <c r="E9" s="223"/>
      <c r="F9" s="231">
        <v>6</v>
      </c>
      <c r="G9" s="235" t="s">
        <v>13</v>
      </c>
      <c r="H9" s="236" t="s">
        <v>226</v>
      </c>
      <c r="I9" s="785"/>
      <c r="J9" s="217" t="str">
        <f>+'16'!J9</f>
        <v>TW 34 RC BR</v>
      </c>
      <c r="K9" s="242"/>
      <c r="L9" s="242"/>
      <c r="M9" s="120">
        <f>+K9+'16'!M9+L9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605</v>
      </c>
      <c r="I10" s="785"/>
      <c r="J10" s="217" t="str">
        <f>+'16'!J10</f>
        <v>TW 30 RC BR</v>
      </c>
      <c r="K10" s="242"/>
      <c r="L10" s="242"/>
      <c r="M10" s="120">
        <f>+K10+'16'!M10+L10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+'16'!J11</f>
        <v>TW 20 RC BR</v>
      </c>
      <c r="K11" s="242"/>
      <c r="L11" s="242"/>
      <c r="M11" s="120">
        <f>+K11+'16'!M11+L11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+'16'!J12</f>
        <v>N 20 RC BR</v>
      </c>
      <c r="K12" s="242"/>
      <c r="L12" s="242"/>
      <c r="M12" s="120">
        <f>+K12+'16'!M12+L12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+'16'!J13</f>
        <v>N 17,5 RC BR</v>
      </c>
      <c r="K13" s="242"/>
      <c r="L13" s="242"/>
      <c r="M13" s="120">
        <f>+K13+'16'!M13+L13</f>
        <v>61888</v>
      </c>
    </row>
    <row r="14" spans="1:15" ht="13.5" thickBot="1">
      <c r="A14" s="783"/>
      <c r="B14" s="168" t="s">
        <v>3</v>
      </c>
      <c r="C14" s="102">
        <f>SUM(C7:C13)</f>
        <v>16366</v>
      </c>
      <c r="D14" s="114">
        <f>SUM(D7:D13)</f>
        <v>190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 t="str">
        <f>+'16'!J14</f>
        <v>N 16 RC BR</v>
      </c>
      <c r="K14" s="242"/>
      <c r="L14" s="242"/>
      <c r="M14" s="120">
        <f>+K14+'16'!M14+L14</f>
        <v>24358</v>
      </c>
    </row>
    <row r="15" spans="1:15" ht="13.5" customHeight="1" thickBot="1">
      <c r="A15" s="781" t="s">
        <v>409</v>
      </c>
      <c r="B15" s="168"/>
      <c r="C15" s="116">
        <f>C14/($C$23+$D$23+$E$23)</f>
        <v>1.031318923687693</v>
      </c>
      <c r="D15" s="117">
        <f>D14/($C$23+$D$23+$E$23)</f>
        <v>1.1973029176381624E-2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606</v>
      </c>
      <c r="J15" s="217" t="str">
        <f>+'16'!J15</f>
        <v>N 15,5 RC BR</v>
      </c>
      <c r="K15" s="242"/>
      <c r="L15" s="242"/>
      <c r="M15" s="120">
        <f>+K15+'16'!M15+L15</f>
        <v>0</v>
      </c>
    </row>
    <row r="16" spans="1:15" ht="13.5" thickBot="1">
      <c r="A16" s="787"/>
      <c r="B16" s="218" t="s">
        <v>532</v>
      </c>
      <c r="C16" s="225">
        <v>15669</v>
      </c>
      <c r="D16" s="226">
        <v>200</v>
      </c>
      <c r="E16" s="227"/>
      <c r="F16" s="234">
        <v>5</v>
      </c>
      <c r="G16" s="235" t="s">
        <v>13</v>
      </c>
      <c r="H16" s="233" t="s">
        <v>434</v>
      </c>
      <c r="I16" s="785"/>
      <c r="J16" s="217" t="str">
        <f>+'16'!J16</f>
        <v>N 17 VP OW</v>
      </c>
      <c r="K16" s="242"/>
      <c r="L16" s="232"/>
      <c r="M16" s="120">
        <f>+K16+'16'!M16+L16</f>
        <v>62993</v>
      </c>
    </row>
    <row r="17" spans="1:13" ht="13.5" thickBot="1">
      <c r="A17" s="787"/>
      <c r="B17" s="218"/>
      <c r="C17" s="219"/>
      <c r="D17" s="220"/>
      <c r="E17" s="228"/>
      <c r="F17" s="231">
        <v>10</v>
      </c>
      <c r="G17" s="235" t="s">
        <v>13</v>
      </c>
      <c r="H17" s="236" t="s">
        <v>226</v>
      </c>
      <c r="I17" s="785"/>
      <c r="J17" s="217" t="str">
        <f>+'16'!J17</f>
        <v>N 16 VP OW</v>
      </c>
      <c r="K17" s="242">
        <f>+C34</f>
        <v>49252</v>
      </c>
      <c r="L17" s="232"/>
      <c r="M17" s="120">
        <f>+K17+'16'!M17+L17</f>
        <v>237008</v>
      </c>
    </row>
    <row r="18" spans="1:13" ht="13.5" thickBot="1">
      <c r="A18" s="787"/>
      <c r="B18" s="218"/>
      <c r="C18" s="219"/>
      <c r="D18" s="220"/>
      <c r="E18" s="228"/>
      <c r="F18" s="231"/>
      <c r="G18" s="235"/>
      <c r="H18" s="236" t="s">
        <v>605</v>
      </c>
      <c r="I18" s="785"/>
      <c r="J18" s="217" t="str">
        <f>+'16'!J18</f>
        <v>N 19 VP OW</v>
      </c>
      <c r="K18" s="242"/>
      <c r="L18" s="242"/>
      <c r="M18" s="120">
        <f>+K18+'16'!M18+L18</f>
        <v>24049</v>
      </c>
    </row>
    <row r="19" spans="1:13" ht="13.5" thickBot="1">
      <c r="A19" s="787"/>
      <c r="B19" s="218"/>
      <c r="C19" s="219"/>
      <c r="D19" s="220"/>
      <c r="E19" s="228"/>
      <c r="F19" s="238">
        <v>15</v>
      </c>
      <c r="G19" s="235" t="s">
        <v>13</v>
      </c>
      <c r="H19" s="236" t="s">
        <v>610</v>
      </c>
      <c r="I19" s="785"/>
      <c r="J19" s="217" t="str">
        <f>+'16'!J19</f>
        <v>N 25 VP OW</v>
      </c>
      <c r="K19" s="242"/>
      <c r="L19" s="242"/>
      <c r="M19" s="120">
        <f>+K19+'16'!M19+L19</f>
        <v>114797</v>
      </c>
    </row>
    <row r="20" spans="1:13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+'16'!J20</f>
        <v>N 23 VP OW</v>
      </c>
      <c r="K20" s="242"/>
      <c r="L20" s="243"/>
      <c r="M20" s="120">
        <f>+K20+'16'!M20+L20</f>
        <v>9760</v>
      </c>
    </row>
    <row r="21" spans="1:13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+'16'!J21</f>
        <v>TW 23 VP OW</v>
      </c>
      <c r="K21" s="242"/>
      <c r="L21" s="242"/>
      <c r="M21" s="120">
        <f>+K21+'16'!M21+L21</f>
        <v>77386</v>
      </c>
    </row>
    <row r="22" spans="1:13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+'16'!J22</f>
        <v>TW 17 VP OW</v>
      </c>
      <c r="K22" s="242"/>
      <c r="L22" s="242"/>
      <c r="M22" s="120">
        <f>+K22+'16'!M22+L22</f>
        <v>81508</v>
      </c>
    </row>
    <row r="23" spans="1:13" ht="13.5" thickBot="1">
      <c r="A23" s="788"/>
      <c r="B23" s="168" t="s">
        <v>3</v>
      </c>
      <c r="C23" s="103">
        <f>SUM(C16:C22)</f>
        <v>15669</v>
      </c>
      <c r="D23" s="114">
        <f>SUM(D16:D22)</f>
        <v>200</v>
      </c>
      <c r="E23" s="115">
        <f>SUM(E18:E22)</f>
        <v>0</v>
      </c>
      <c r="F23" s="105">
        <f>SUM(F15:F22)</f>
        <v>30</v>
      </c>
      <c r="G23" s="162"/>
      <c r="H23" s="169"/>
      <c r="I23" s="172"/>
      <c r="J23" s="217">
        <f>+'16'!J23</f>
        <v>0</v>
      </c>
      <c r="K23" s="242"/>
      <c r="L23" s="242"/>
      <c r="M23" s="120">
        <f>+K23+'16'!M23+L23</f>
        <v>0</v>
      </c>
    </row>
    <row r="24" spans="1:13" ht="13.5" customHeight="1" thickBot="1">
      <c r="A24" s="781" t="s">
        <v>410</v>
      </c>
      <c r="B24" s="173"/>
      <c r="C24" s="116">
        <f>C23/($C$23+$D$23+$E$23)</f>
        <v>0.9873968113932825</v>
      </c>
      <c r="D24" s="117">
        <f>D23/($C$23+$D$23+$E$23)</f>
        <v>1.2603188606717499E-2</v>
      </c>
      <c r="E24" s="118">
        <f>E23/($C$23+$D$23+$E$23)</f>
        <v>0</v>
      </c>
      <c r="F24" s="231">
        <v>5</v>
      </c>
      <c r="G24" s="232" t="s">
        <v>13</v>
      </c>
      <c r="H24" s="233" t="s">
        <v>435</v>
      </c>
      <c r="I24" s="784" t="s">
        <v>606</v>
      </c>
      <c r="J24" s="217">
        <f>+'16'!J24</f>
        <v>0</v>
      </c>
      <c r="K24" s="242"/>
      <c r="L24" s="242"/>
      <c r="M24" s="120">
        <f>+K24+'16'!M24+L24</f>
        <v>0</v>
      </c>
    </row>
    <row r="25" spans="1:13" ht="13.5" thickBot="1">
      <c r="A25" s="787"/>
      <c r="B25" s="218" t="s">
        <v>532</v>
      </c>
      <c r="C25" s="229">
        <v>17217</v>
      </c>
      <c r="D25" s="220">
        <v>250</v>
      </c>
      <c r="E25" s="228"/>
      <c r="F25" s="234">
        <v>5</v>
      </c>
      <c r="G25" s="235" t="s">
        <v>13</v>
      </c>
      <c r="H25" s="233" t="s">
        <v>389</v>
      </c>
      <c r="I25" s="785"/>
      <c r="J25" s="217">
        <f>+'16'!J25</f>
        <v>0</v>
      </c>
      <c r="K25" s="242"/>
      <c r="L25" s="242"/>
      <c r="M25" s="120">
        <f>+K25+'16'!M25+L25</f>
        <v>0</v>
      </c>
    </row>
    <row r="26" spans="1:13" ht="13.5" thickBot="1">
      <c r="A26" s="787"/>
      <c r="B26" s="218"/>
      <c r="C26" s="229"/>
      <c r="D26" s="220"/>
      <c r="E26" s="230"/>
      <c r="F26" s="231">
        <v>5</v>
      </c>
      <c r="G26" s="235" t="s">
        <v>13</v>
      </c>
      <c r="H26" s="236" t="s">
        <v>226</v>
      </c>
      <c r="I26" s="785"/>
      <c r="J26" s="217">
        <f>+'16'!J26</f>
        <v>0</v>
      </c>
      <c r="K26" s="242"/>
      <c r="L26" s="242"/>
      <c r="M26" s="120">
        <f>+K26+'16'!M26+L26</f>
        <v>0</v>
      </c>
    </row>
    <row r="27" spans="1:13" ht="13.5" thickBot="1">
      <c r="A27" s="787"/>
      <c r="B27" s="218"/>
      <c r="C27" s="219"/>
      <c r="D27" s="220"/>
      <c r="E27" s="228"/>
      <c r="F27" s="231"/>
      <c r="G27" s="235"/>
      <c r="H27" s="236" t="s">
        <v>605</v>
      </c>
      <c r="I27" s="785"/>
      <c r="J27" s="217">
        <f>+'16'!J27</f>
        <v>0</v>
      </c>
      <c r="K27" s="242"/>
      <c r="L27" s="242"/>
      <c r="M27" s="120">
        <f>+K27+'16'!M27+L27</f>
        <v>0</v>
      </c>
    </row>
    <row r="28" spans="1:13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+'16'!J28</f>
        <v>0</v>
      </c>
      <c r="K28" s="242"/>
      <c r="L28" s="242"/>
      <c r="M28" s="120">
        <f>+K28+'16'!M28+L28</f>
        <v>0</v>
      </c>
    </row>
    <row r="29" spans="1:13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+'16'!J29</f>
        <v>0</v>
      </c>
      <c r="K29" s="242"/>
      <c r="L29" s="242"/>
      <c r="M29" s="120">
        <f>+K29+'16'!M29+L29</f>
        <v>0</v>
      </c>
    </row>
    <row r="30" spans="1:13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+'16'!J30</f>
        <v>0</v>
      </c>
      <c r="K30" s="242"/>
      <c r="L30" s="242"/>
      <c r="M30" s="120">
        <f>+K30+'16'!M30+L30</f>
        <v>0</v>
      </c>
    </row>
    <row r="31" spans="1:13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+'16'!J31</f>
        <v>0</v>
      </c>
      <c r="K31" s="242"/>
      <c r="L31" s="242"/>
      <c r="M31" s="120">
        <f>+K31+'16'!M31+L31</f>
        <v>0</v>
      </c>
    </row>
    <row r="32" spans="1:13" ht="13.5" thickBot="1">
      <c r="A32" s="788"/>
      <c r="B32" s="168" t="s">
        <v>3</v>
      </c>
      <c r="C32" s="102">
        <f>SUM(C25:C31)</f>
        <v>17217</v>
      </c>
      <c r="D32" s="103">
        <f>SUM(D25:D31)</f>
        <v>250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+'16'!J32</f>
        <v>0</v>
      </c>
      <c r="K32" s="244"/>
      <c r="L32" s="246"/>
      <c r="M32" s="120">
        <f>+K32+'16'!M32+L32</f>
        <v>0</v>
      </c>
    </row>
    <row r="33" spans="1:14" ht="13.5" thickBot="1">
      <c r="A33" s="176"/>
      <c r="B33" s="177"/>
      <c r="C33" s="106">
        <f>C32/($C$32+$D$32+$E$32)</f>
        <v>0.98568729604396865</v>
      </c>
      <c r="D33" s="107">
        <f>D32/($C$32+$D$32+$E$32)</f>
        <v>1.4312703956031373E-2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49252</v>
      </c>
      <c r="D34" s="110">
        <f>D14+D23+D32</f>
        <v>640</v>
      </c>
      <c r="E34" s="110">
        <f>E14+E23+E32</f>
        <v>0</v>
      </c>
      <c r="F34" s="111">
        <f>F14+F23+F32</f>
        <v>55</v>
      </c>
      <c r="H34" s="181"/>
      <c r="I34" s="181"/>
      <c r="J34" s="126" t="s">
        <v>29</v>
      </c>
      <c r="K34" s="127">
        <f>SUM(K7:K32)</f>
        <v>49252</v>
      </c>
      <c r="L34" s="215">
        <f>SUM(L7:L32)</f>
        <v>0</v>
      </c>
      <c r="M34" s="123">
        <f>SUM(M7:M32)</f>
        <v>854230</v>
      </c>
      <c r="N34" s="158"/>
    </row>
    <row r="35" spans="1:14" ht="13.5" thickBot="1">
      <c r="A35" s="182"/>
      <c r="B35" s="183"/>
      <c r="C35" s="107">
        <f>C34/($C$34+$D$34+$E$34)</f>
        <v>0.98717229215104629</v>
      </c>
      <c r="D35" s="107">
        <f>D34/($C$34+$D$34+$E$34)</f>
        <v>1.282770784895374E-2</v>
      </c>
      <c r="E35" s="112">
        <f>E34/($C$34+$D$34+$E$34)</f>
        <v>0</v>
      </c>
      <c r="K35" s="158"/>
      <c r="L35" s="780" t="s">
        <v>186</v>
      </c>
      <c r="M35" s="780"/>
      <c r="N35" s="158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  <c r="N36" s="158"/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(16*1440)/1440*G42*3.4*1440/1000000</f>
        <v>55.266047999999991</v>
      </c>
      <c r="J37" s="128">
        <f>+I37+'16'!J37</f>
        <v>995.43445088853923</v>
      </c>
      <c r="K37" s="129" t="s">
        <v>66</v>
      </c>
      <c r="L37" s="437"/>
      <c r="M37" s="438"/>
      <c r="N37" s="158"/>
    </row>
    <row r="38" spans="1:14" ht="17.45" customHeight="1">
      <c r="A38" s="797" t="s">
        <v>13</v>
      </c>
      <c r="B38" s="798"/>
      <c r="C38" s="167">
        <f>SUMIF($G$7:$G$31,"Process",$F$7:$F$31)</f>
        <v>55</v>
      </c>
      <c r="D38" s="121">
        <f>+C38+'16'!D38</f>
        <v>881</v>
      </c>
      <c r="E38" s="146">
        <f t="shared" ref="E38:E51" si="0">D38/60</f>
        <v>14.683333333333334</v>
      </c>
      <c r="F38" s="372">
        <v>830</v>
      </c>
      <c r="G38" s="372">
        <f>+F38-F38*0.15</f>
        <v>705.5</v>
      </c>
      <c r="H38" s="190" t="s">
        <v>67</v>
      </c>
      <c r="I38" s="562">
        <f>16.742+16.077+15.718</f>
        <v>48.537000000000006</v>
      </c>
      <c r="J38" s="130">
        <f>+I38+'16'!J38</f>
        <v>890.63599999999997</v>
      </c>
      <c r="K38" s="131" t="s">
        <v>66</v>
      </c>
      <c r="L38" s="439"/>
      <c r="M38" s="440"/>
      <c r="N38" s="158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+C39+'16'!D39</f>
        <v>0</v>
      </c>
      <c r="E39" s="146">
        <f t="shared" si="0"/>
        <v>0</v>
      </c>
      <c r="F39" s="372">
        <v>830</v>
      </c>
      <c r="G39" s="372">
        <f>+F39-F39*0.15</f>
        <v>705.5</v>
      </c>
      <c r="H39" s="190" t="s">
        <v>68</v>
      </c>
      <c r="I39" s="145"/>
      <c r="J39" s="132">
        <f>J37/G4</f>
        <v>58.554967699325836</v>
      </c>
      <c r="K39" s="133" t="s">
        <v>66</v>
      </c>
      <c r="L39" s="439"/>
      <c r="M39" s="440"/>
      <c r="N39" s="158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+C40+'16'!D40</f>
        <v>0</v>
      </c>
      <c r="E40" s="146">
        <f t="shared" si="0"/>
        <v>0</v>
      </c>
      <c r="F40" s="372">
        <v>830</v>
      </c>
      <c r="G40" s="372">
        <f>+F40-F40*0.15</f>
        <v>705.5</v>
      </c>
      <c r="H40" s="190" t="s">
        <v>70</v>
      </c>
      <c r="I40" s="121">
        <f>(K34+L34)/1000</f>
        <v>49.252000000000002</v>
      </c>
      <c r="J40" s="134">
        <f>+I40+'16'!J40</f>
        <v>854.23</v>
      </c>
      <c r="K40" s="133" t="s">
        <v>66</v>
      </c>
      <c r="L40" s="439"/>
      <c r="M40" s="440"/>
      <c r="N40" s="158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+C41+'16'!D41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50.248823529411766</v>
      </c>
      <c r="K41" s="133" t="s">
        <v>66</v>
      </c>
      <c r="L41" s="439"/>
      <c r="M41" s="440"/>
      <c r="N41" s="158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+C42+'16'!D42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705.5</v>
      </c>
      <c r="H42" s="190" t="s">
        <v>73</v>
      </c>
      <c r="I42" s="248" t="s">
        <v>606</v>
      </c>
      <c r="J42" s="135"/>
      <c r="K42" s="133" t="s">
        <v>74</v>
      </c>
      <c r="L42" s="439"/>
      <c r="M42" s="440"/>
      <c r="N42" s="158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+C43+'16'!D43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+Report1!AH25</f>
        <v>113.32499999999999</v>
      </c>
      <c r="J43" s="136">
        <f>+I43+'16'!J43</f>
        <v>2247.0059999999994</v>
      </c>
      <c r="K43" s="133" t="s">
        <v>66</v>
      </c>
      <c r="L43" s="441">
        <f>+Report1!AN25</f>
        <v>0</v>
      </c>
      <c r="M43" s="442">
        <f>+L43+'16'!M43</f>
        <v>62.5</v>
      </c>
      <c r="N43" s="158"/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+C44+'16'!D44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2.3348167377464608</v>
      </c>
      <c r="J44" s="137">
        <f>J43/J38</f>
        <v>2.5229229449516968</v>
      </c>
      <c r="K44" s="133" t="s">
        <v>66</v>
      </c>
      <c r="L44" s="443">
        <f>+L43/I38</f>
        <v>0</v>
      </c>
      <c r="M44" s="444">
        <f>+M43/J38</f>
        <v>7.0174571878971886E-2</v>
      </c>
      <c r="N44" s="158"/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+C45+'16'!D45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2.3009217899780716</v>
      </c>
      <c r="J45" s="137">
        <f>J43/J40</f>
        <v>2.6304461327745448</v>
      </c>
      <c r="K45" s="133" t="s">
        <v>66</v>
      </c>
      <c r="L45" s="443">
        <f>+L43/I40</f>
        <v>0</v>
      </c>
      <c r="M45" s="444">
        <f>+M43/J40</f>
        <v>7.3165306767498217E-2</v>
      </c>
      <c r="N45" s="158"/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+C46+'16'!D46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+SUMIF(Listrik!AC24,"&gt;0")</f>
        <v>43184.710000001258</v>
      </c>
      <c r="J46" s="138">
        <f>+I46+'16'!J46</f>
        <v>682025.7200000009</v>
      </c>
      <c r="K46" s="133" t="s">
        <v>81</v>
      </c>
      <c r="L46" s="443">
        <f>+Listrik!AF24</f>
        <v>422</v>
      </c>
      <c r="M46" s="445">
        <f>+L46+'16'!M46</f>
        <v>111376</v>
      </c>
      <c r="N46" s="158"/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+C47+'16'!D47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889.72763046750424</v>
      </c>
      <c r="J47" s="138">
        <f>J46/J38</f>
        <v>765.77380658316179</v>
      </c>
      <c r="K47" s="133" t="s">
        <v>25</v>
      </c>
      <c r="L47" s="443">
        <f>+L46/I38</f>
        <v>8.6943980880565324</v>
      </c>
      <c r="M47" s="444">
        <f>+M46/J38</f>
        <v>125.05220988147796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+C48+'16'!D48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876.81129700319286</v>
      </c>
      <c r="J48" s="138">
        <f>J46/J40</f>
        <v>798.40993643398247</v>
      </c>
      <c r="K48" s="133" t="s">
        <v>25</v>
      </c>
      <c r="L48" s="443">
        <f>+L46/I38</f>
        <v>8.6943980880565324</v>
      </c>
      <c r="M48" s="444">
        <f>+M46/J40</f>
        <v>130.38174730459011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+C49+'16'!D49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+Report1!AB25</f>
        <v>0</v>
      </c>
      <c r="J49" s="138">
        <f>+I49+'16'!J49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+C50+'16'!D50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+C51+'16'!D51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55</v>
      </c>
      <c r="D52" s="147">
        <f>SUM(D38:D51)</f>
        <v>2877</v>
      </c>
      <c r="E52" s="148">
        <f>SUM(E38:E51)</f>
        <v>47.95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3.8194444444444448E-2</v>
      </c>
      <c r="D53" s="149">
        <f>D52/(24*60*G4)</f>
        <v>0.11752450980392157</v>
      </c>
      <c r="E53" s="150">
        <f>E52/(G4*24)</f>
        <v>0.11752450980392158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+D34+'16'!J56</f>
        <v>10001</v>
      </c>
      <c r="K56" s="204">
        <f>J56/(J40+J56/1000)/1000</f>
        <v>1.1572137541930341E-2</v>
      </c>
    </row>
    <row r="57" spans="1:13">
      <c r="A57" s="179"/>
      <c r="I57" s="202" t="s">
        <v>92</v>
      </c>
      <c r="J57" s="203">
        <f>+E34+'16'!J57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  <mergeCell ref="A39:B39"/>
    <mergeCell ref="A40:B40"/>
    <mergeCell ref="A41:B41"/>
    <mergeCell ref="A37:B37"/>
    <mergeCell ref="L35:M35"/>
    <mergeCell ref="A38:B38"/>
    <mergeCell ref="A7:A14"/>
    <mergeCell ref="I7:I13"/>
    <mergeCell ref="A15:A23"/>
    <mergeCell ref="I15:I22"/>
    <mergeCell ref="A34:B34"/>
    <mergeCell ref="I24:I31"/>
    <mergeCell ref="A24:A3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Q61"/>
  <sheetViews>
    <sheetView view="pageBreakPreview" zoomScale="80" zoomScaleNormal="80" zoomScaleSheetLayoutView="80" workbookViewId="0">
      <selection activeCell="D8" sqref="D8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42578125" style="152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4" width="12.28515625" style="152" bestFit="1" customWidth="1"/>
    <col min="15" max="16384" width="9.140625" style="152"/>
  </cols>
  <sheetData>
    <row r="1" spans="1:17" ht="15.75">
      <c r="A1" s="151"/>
    </row>
    <row r="2" spans="1:17" ht="15.75">
      <c r="A2" s="151" t="s">
        <v>175</v>
      </c>
    </row>
    <row r="3" spans="1:17" ht="15">
      <c r="A3" s="153"/>
    </row>
    <row r="4" spans="1:17" ht="20.25">
      <c r="A4" s="154" t="s">
        <v>4</v>
      </c>
      <c r="B4" s="155"/>
      <c r="F4" s="156" t="s">
        <v>31</v>
      </c>
      <c r="G4" s="157">
        <v>16</v>
      </c>
      <c r="H4" s="157" t="str">
        <f>+'1'!H4</f>
        <v>.06.24</v>
      </c>
    </row>
    <row r="5" spans="1:17" ht="13.5" thickBot="1">
      <c r="C5" s="158"/>
      <c r="D5" s="158"/>
    </row>
    <row r="6" spans="1:17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261+261+262</f>
        <v>784</v>
      </c>
    </row>
    <row r="7" spans="1:17" ht="13.5" customHeight="1" thickBot="1">
      <c r="A7" s="781" t="s">
        <v>607</v>
      </c>
      <c r="B7" s="218" t="s">
        <v>532</v>
      </c>
      <c r="C7" s="219">
        <v>15769</v>
      </c>
      <c r="D7" s="220">
        <v>60</v>
      </c>
      <c r="E7" s="221"/>
      <c r="F7" s="231">
        <v>2</v>
      </c>
      <c r="G7" s="232" t="s">
        <v>13</v>
      </c>
      <c r="H7" s="233" t="s">
        <v>435</v>
      </c>
      <c r="I7" s="784" t="s">
        <v>606</v>
      </c>
      <c r="J7" s="217" t="str">
        <f>+'15'!J7</f>
        <v>TW 38 RC BR</v>
      </c>
      <c r="K7" s="241"/>
      <c r="L7" s="245"/>
      <c r="M7" s="120">
        <f>+K7+'15'!M7+L7</f>
        <v>53722</v>
      </c>
    </row>
    <row r="8" spans="1:17" ht="13.5" thickBot="1">
      <c r="A8" s="782"/>
      <c r="B8" s="218"/>
      <c r="C8" s="219"/>
      <c r="D8" s="220"/>
      <c r="E8" s="222"/>
      <c r="F8" s="234">
        <v>3</v>
      </c>
      <c r="G8" s="235" t="s">
        <v>13</v>
      </c>
      <c r="H8" s="233" t="s">
        <v>389</v>
      </c>
      <c r="I8" s="785"/>
      <c r="J8" s="217" t="str">
        <f>+'15'!J8</f>
        <v>TW 36 RC BR</v>
      </c>
      <c r="K8" s="242"/>
      <c r="L8" s="242"/>
      <c r="M8" s="120">
        <f>+K8+'15'!M8+L8</f>
        <v>45750</v>
      </c>
      <c r="N8" s="152">
        <v>830</v>
      </c>
      <c r="O8" s="152">
        <f>+N8-N8*0.15</f>
        <v>705.5</v>
      </c>
    </row>
    <row r="9" spans="1:17" ht="13.5" thickBot="1">
      <c r="A9" s="782"/>
      <c r="B9" s="218"/>
      <c r="C9" s="219"/>
      <c r="D9" s="220"/>
      <c r="E9" s="223"/>
      <c r="F9" s="231">
        <v>10</v>
      </c>
      <c r="G9" s="235" t="s">
        <v>13</v>
      </c>
      <c r="H9" s="236" t="s">
        <v>226</v>
      </c>
      <c r="I9" s="785"/>
      <c r="J9" s="217" t="str">
        <f>+'15'!J9</f>
        <v>TW 34 RC BR</v>
      </c>
      <c r="K9" s="242"/>
      <c r="L9" s="242"/>
      <c r="M9" s="120">
        <f>+K9+'15'!M9+L9</f>
        <v>19926</v>
      </c>
    </row>
    <row r="10" spans="1:17" ht="13.5" thickBot="1">
      <c r="A10" s="782"/>
      <c r="B10" s="218"/>
      <c r="C10" s="219"/>
      <c r="D10" s="220"/>
      <c r="E10" s="222"/>
      <c r="F10" s="231"/>
      <c r="G10" s="235"/>
      <c r="H10" s="236" t="s">
        <v>605</v>
      </c>
      <c r="I10" s="785"/>
      <c r="J10" s="217" t="str">
        <f>+'15'!J10</f>
        <v>TW 30 RC BR</v>
      </c>
      <c r="K10" s="242"/>
      <c r="L10" s="242"/>
      <c r="M10" s="120">
        <f>+K10+'15'!M10+L10</f>
        <v>11017</v>
      </c>
    </row>
    <row r="11" spans="1:17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+'15'!J11</f>
        <v>TW 20 RC BR</v>
      </c>
      <c r="K11" s="242"/>
      <c r="L11" s="242"/>
      <c r="M11" s="120">
        <f>+K11+'15'!M11+L11</f>
        <v>13885</v>
      </c>
    </row>
    <row r="12" spans="1:17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+'15'!J12</f>
        <v>N 20 RC BR</v>
      </c>
      <c r="K12" s="242"/>
      <c r="L12" s="242"/>
      <c r="M12" s="120">
        <f>+K12+'15'!M12+L12</f>
        <v>16183</v>
      </c>
      <c r="Q12" s="572"/>
    </row>
    <row r="13" spans="1:17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+'15'!J13</f>
        <v>N 17,5 RC BR</v>
      </c>
      <c r="K13" s="242"/>
      <c r="L13" s="242"/>
      <c r="M13" s="120">
        <f>+K13+'15'!M13+L13</f>
        <v>61888</v>
      </c>
      <c r="Q13" s="572"/>
    </row>
    <row r="14" spans="1:17" ht="13.5" thickBot="1">
      <c r="A14" s="783"/>
      <c r="B14" s="168" t="s">
        <v>3</v>
      </c>
      <c r="C14" s="102">
        <f>SUM(C7:C13)</f>
        <v>15769</v>
      </c>
      <c r="D14" s="114">
        <f>SUM(D7:D13)</f>
        <v>60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 t="str">
        <f>+'15'!J14</f>
        <v>N 16 RC BR</v>
      </c>
      <c r="K14" s="242"/>
      <c r="L14" s="242"/>
      <c r="M14" s="120">
        <f>+K14+'15'!M14+L14</f>
        <v>24358</v>
      </c>
    </row>
    <row r="15" spans="1:17" ht="13.5" customHeight="1" thickBot="1">
      <c r="A15" s="781" t="s">
        <v>409</v>
      </c>
      <c r="B15" s="168"/>
      <c r="C15" s="116">
        <f>C14/($C$23+$D$23+$E$23)</f>
        <v>0.90206509925061495</v>
      </c>
      <c r="D15" s="117">
        <f>D14/($C$23+$D$23+$E$23)</f>
        <v>3.4322979234597561E-3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606</v>
      </c>
      <c r="J15" s="217" t="str">
        <f>+'15'!J15</f>
        <v>N 15,5 RC BR</v>
      </c>
      <c r="K15" s="242"/>
      <c r="L15" s="242"/>
      <c r="M15" s="120">
        <f>+K15+'15'!M15+L15</f>
        <v>0</v>
      </c>
    </row>
    <row r="16" spans="1:17" ht="13.5" thickBot="1">
      <c r="A16" s="787"/>
      <c r="B16" s="218" t="s">
        <v>532</v>
      </c>
      <c r="C16" s="225">
        <v>17481</v>
      </c>
      <c r="D16" s="226"/>
      <c r="E16" s="227"/>
      <c r="F16" s="234">
        <v>5</v>
      </c>
      <c r="G16" s="235" t="s">
        <v>13</v>
      </c>
      <c r="H16" s="233" t="s">
        <v>389</v>
      </c>
      <c r="I16" s="785"/>
      <c r="J16" s="217" t="str">
        <f>+'15'!J16</f>
        <v>N 17 VP OW</v>
      </c>
      <c r="K16" s="242"/>
      <c r="L16" s="242"/>
      <c r="M16" s="120">
        <f>+K16+'15'!M16+L16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5</v>
      </c>
      <c r="G17" s="235" t="s">
        <v>13</v>
      </c>
      <c r="H17" s="236" t="s">
        <v>226</v>
      </c>
      <c r="I17" s="785"/>
      <c r="J17" s="217" t="str">
        <f>+'15'!J17</f>
        <v>N 16 VP OW</v>
      </c>
      <c r="K17" s="242">
        <f>+C34</f>
        <v>48913</v>
      </c>
      <c r="L17" s="242"/>
      <c r="M17" s="120">
        <f>+K17+'15'!M17+L17</f>
        <v>187756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605</v>
      </c>
      <c r="I18" s="785"/>
      <c r="J18" s="217" t="str">
        <f>+'15'!J18</f>
        <v>N 19 VP OW</v>
      </c>
      <c r="K18" s="242"/>
      <c r="L18" s="242"/>
      <c r="M18" s="120">
        <f>+K18+'15'!M18+L18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+'15'!J19</f>
        <v>N 25 VP OW</v>
      </c>
      <c r="K19" s="242"/>
      <c r="L19" s="242"/>
      <c r="M19" s="120">
        <f>+K19+'15'!M19+L19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+'15'!J20</f>
        <v>N 23 VP OW</v>
      </c>
      <c r="K20" s="242"/>
      <c r="L20" s="242"/>
      <c r="M20" s="120">
        <f>+K20+'15'!M20+L20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+'15'!J21</f>
        <v>TW 23 VP OW</v>
      </c>
      <c r="K21" s="242"/>
      <c r="L21" s="242"/>
      <c r="M21" s="120">
        <f>+K21+'15'!M21+L21</f>
        <v>77386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+'15'!J22</f>
        <v>TW 17 VP OW</v>
      </c>
      <c r="K22" s="242"/>
      <c r="L22" s="242"/>
      <c r="M22" s="120">
        <f>+K22+'15'!M22+L22</f>
        <v>81508</v>
      </c>
    </row>
    <row r="23" spans="1:14" ht="13.5" thickBot="1">
      <c r="A23" s="788"/>
      <c r="B23" s="168" t="s">
        <v>3</v>
      </c>
      <c r="C23" s="103">
        <f>SUM(C16:C22)</f>
        <v>17481</v>
      </c>
      <c r="D23" s="114">
        <f>SUM(D16:D22)</f>
        <v>0</v>
      </c>
      <c r="E23" s="115">
        <f>SUM(E18:E22)</f>
        <v>0</v>
      </c>
      <c r="F23" s="105">
        <f>SUM(F15:F22)</f>
        <v>10</v>
      </c>
      <c r="G23" s="162"/>
      <c r="H23" s="169"/>
      <c r="I23" s="172"/>
      <c r="J23" s="217">
        <f>+'15'!J23</f>
        <v>0</v>
      </c>
      <c r="K23" s="242"/>
      <c r="L23" s="242"/>
      <c r="M23" s="120">
        <f>+K23+'15'!M23+L23</f>
        <v>0</v>
      </c>
    </row>
    <row r="24" spans="1:14" ht="13.5" customHeight="1" thickBot="1">
      <c r="A24" s="781" t="s">
        <v>410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3</v>
      </c>
      <c r="G24" s="232" t="s">
        <v>13</v>
      </c>
      <c r="H24" s="233" t="s">
        <v>435</v>
      </c>
      <c r="I24" s="784" t="s">
        <v>606</v>
      </c>
      <c r="J24" s="217">
        <f>+'15'!J24</f>
        <v>0</v>
      </c>
      <c r="K24" s="242"/>
      <c r="L24" s="242"/>
      <c r="M24" s="120">
        <f>+K24+'15'!M24+L24</f>
        <v>0</v>
      </c>
    </row>
    <row r="25" spans="1:14" ht="13.5" thickBot="1">
      <c r="A25" s="787"/>
      <c r="B25" s="218" t="s">
        <v>532</v>
      </c>
      <c r="C25" s="229">
        <v>15663</v>
      </c>
      <c r="D25" s="220"/>
      <c r="E25" s="228"/>
      <c r="F25" s="234">
        <v>5</v>
      </c>
      <c r="G25" s="235" t="s">
        <v>13</v>
      </c>
      <c r="H25" s="233" t="s">
        <v>389</v>
      </c>
      <c r="I25" s="785"/>
      <c r="J25" s="217">
        <f>+'15'!J25</f>
        <v>0</v>
      </c>
      <c r="K25" s="242"/>
      <c r="L25" s="242"/>
      <c r="M25" s="120">
        <f>+K25+'15'!M25+L25</f>
        <v>0</v>
      </c>
    </row>
    <row r="26" spans="1:14" ht="13.5" thickBot="1">
      <c r="A26" s="787"/>
      <c r="B26" s="218"/>
      <c r="C26" s="229"/>
      <c r="D26" s="220"/>
      <c r="E26" s="230"/>
      <c r="F26" s="231">
        <v>12</v>
      </c>
      <c r="G26" s="235" t="s">
        <v>13</v>
      </c>
      <c r="H26" s="236" t="s">
        <v>226</v>
      </c>
      <c r="I26" s="785"/>
      <c r="J26" s="217">
        <f>+'15'!J26</f>
        <v>0</v>
      </c>
      <c r="K26" s="242"/>
      <c r="L26" s="242"/>
      <c r="M26" s="120">
        <f>+K26+'15'!M26+L26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605</v>
      </c>
      <c r="I27" s="785"/>
      <c r="J27" s="217">
        <f>+'15'!J27</f>
        <v>0</v>
      </c>
      <c r="K27" s="242"/>
      <c r="L27" s="242"/>
      <c r="M27" s="120">
        <f>+K27+'15'!M27+L27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+'15'!J28</f>
        <v>0</v>
      </c>
      <c r="K28" s="242"/>
      <c r="L28" s="242"/>
      <c r="M28" s="120">
        <f>+K28+'15'!M28+L28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+'15'!J29</f>
        <v>0</v>
      </c>
      <c r="K29" s="242"/>
      <c r="L29" s="242"/>
      <c r="M29" s="120">
        <f>+K29+'15'!M29+L29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+'15'!J30</f>
        <v>0</v>
      </c>
      <c r="K30" s="242"/>
      <c r="L30" s="242"/>
      <c r="M30" s="120">
        <f>+K30+'15'!M30+L30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+'15'!J31</f>
        <v>0</v>
      </c>
      <c r="K31" s="242"/>
      <c r="L31" s="242"/>
      <c r="M31" s="120">
        <f>+K31+'15'!M31+L31</f>
        <v>0</v>
      </c>
    </row>
    <row r="32" spans="1:14" ht="13.5" thickBot="1">
      <c r="A32" s="788"/>
      <c r="B32" s="168" t="s">
        <v>3</v>
      </c>
      <c r="C32" s="102">
        <f>SUM(C25:C31)</f>
        <v>15663</v>
      </c>
      <c r="D32" s="103">
        <f>SUM(D25:D31)</f>
        <v>0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+'15'!J32</f>
        <v>0</v>
      </c>
      <c r="K32" s="244"/>
      <c r="L32" s="246"/>
      <c r="M32" s="120">
        <f>+K32+'15'!M32+L32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48913</v>
      </c>
      <c r="D34" s="110">
        <f>D14+D23+D32</f>
        <v>60</v>
      </c>
      <c r="E34" s="110">
        <f>E14+E23+E32</f>
        <v>0</v>
      </c>
      <c r="F34" s="111">
        <f>F14+F23+F32</f>
        <v>45</v>
      </c>
      <c r="H34" s="181"/>
      <c r="I34" s="181"/>
      <c r="J34" s="126" t="s">
        <v>29</v>
      </c>
      <c r="K34" s="127">
        <f>SUM(K7:K32)</f>
        <v>48913</v>
      </c>
      <c r="L34" s="215">
        <f>SUM(L7:L32)</f>
        <v>0</v>
      </c>
      <c r="M34" s="123">
        <f>SUM(M7:M32)</f>
        <v>804978</v>
      </c>
      <c r="N34" s="158"/>
    </row>
    <row r="35" spans="1:14" ht="13.5" thickBot="1">
      <c r="A35" s="182"/>
      <c r="B35" s="183"/>
      <c r="C35" s="107">
        <f>C34/($C$34+$D$34+$E$34)</f>
        <v>0.99877483511322562</v>
      </c>
      <c r="D35" s="107">
        <f>D34/($C$34+$D$34+$E$34)</f>
        <v>1.2251648867743451E-3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(16*1440)/1440*G42*3.4*1440/1000000</f>
        <v>55.266047999999991</v>
      </c>
      <c r="J37" s="128">
        <f>+I37+'15'!J37</f>
        <v>940.16840288853928</v>
      </c>
      <c r="K37" s="129" t="s">
        <v>66</v>
      </c>
      <c r="L37" s="437"/>
      <c r="M37" s="438"/>
    </row>
    <row r="38" spans="1:14" ht="17.45" customHeight="1">
      <c r="A38" s="797" t="s">
        <v>13</v>
      </c>
      <c r="B38" s="798"/>
      <c r="C38" s="167">
        <f>SUMIF($G$7:$G$31,"Process",$F$7:$F$31)</f>
        <v>45</v>
      </c>
      <c r="D38" s="121">
        <f>+C38+'15'!D38</f>
        <v>826</v>
      </c>
      <c r="E38" s="146">
        <f t="shared" ref="E38:E51" si="0">D38/60</f>
        <v>13.766666666666667</v>
      </c>
      <c r="F38" s="372">
        <v>830</v>
      </c>
      <c r="G38" s="372">
        <f>+F38-F38*0.15</f>
        <v>705.5</v>
      </c>
      <c r="H38" s="190" t="s">
        <v>67</v>
      </c>
      <c r="I38" s="562">
        <f>16+16.435+16.41</f>
        <v>48.844999999999999</v>
      </c>
      <c r="J38" s="130">
        <f>+I38+'15'!J38</f>
        <v>842.09899999999993</v>
      </c>
      <c r="K38" s="131" t="s">
        <v>66</v>
      </c>
      <c r="L38" s="439"/>
      <c r="M38" s="440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+C39+'15'!D39</f>
        <v>0</v>
      </c>
      <c r="E39" s="146">
        <f t="shared" si="0"/>
        <v>0</v>
      </c>
      <c r="F39" s="372">
        <v>830</v>
      </c>
      <c r="G39" s="372">
        <f>+F39-F39*0.15</f>
        <v>705.5</v>
      </c>
      <c r="H39" s="190" t="s">
        <v>68</v>
      </c>
      <c r="I39" s="145"/>
      <c r="J39" s="132">
        <f>J37/G4</f>
        <v>58.760525180533705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+C40+'15'!D40</f>
        <v>0</v>
      </c>
      <c r="E40" s="146">
        <f t="shared" si="0"/>
        <v>0</v>
      </c>
      <c r="F40" s="372">
        <v>830</v>
      </c>
      <c r="G40" s="372">
        <f>+F40-F40*0.15</f>
        <v>705.5</v>
      </c>
      <c r="H40" s="190" t="s">
        <v>70</v>
      </c>
      <c r="I40" s="121">
        <f>(K34+L34)/1000</f>
        <v>48.912999999999997</v>
      </c>
      <c r="J40" s="134">
        <f>+I40+'15'!J40</f>
        <v>804.97800000000007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+C41+'15'!D41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50.311125000000004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+C42+'15'!D42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705.5</v>
      </c>
      <c r="H42" s="190" t="s">
        <v>73</v>
      </c>
      <c r="I42" s="248" t="s">
        <v>606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+C43+'15'!D43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+Report1!AH24</f>
        <v>115.42999999999999</v>
      </c>
      <c r="J43" s="136">
        <f>+I43+'15'!J43</f>
        <v>2133.6809999999996</v>
      </c>
      <c r="K43" s="133" t="s">
        <v>66</v>
      </c>
      <c r="L43" s="441">
        <f>+Report1!AN24</f>
        <v>0</v>
      </c>
      <c r="M43" s="442">
        <f>+L43+'15'!M43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+C44+'15'!D44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2.3631896816460229</v>
      </c>
      <c r="J44" s="137">
        <f>J43/J38</f>
        <v>2.5337650323774281</v>
      </c>
      <c r="K44" s="133" t="s">
        <v>66</v>
      </c>
      <c r="L44" s="443">
        <f>+L43/I38</f>
        <v>0</v>
      </c>
      <c r="M44" s="444">
        <f>+M43/J38</f>
        <v>7.4219302006058682E-2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+C45+'15'!D45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2.3599043199149512</v>
      </c>
      <c r="J45" s="137">
        <f>J43/J40</f>
        <v>2.6506078426988058</v>
      </c>
      <c r="K45" s="133" t="s">
        <v>66</v>
      </c>
      <c r="L45" s="443">
        <f>+L43/I40</f>
        <v>0</v>
      </c>
      <c r="M45" s="444">
        <f>+M43/J40</f>
        <v>7.7641873442504006E-2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+C46+'15'!D46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+SUMIF(Listrik!AC23,"&gt;0")</f>
        <v>45451.200000000325</v>
      </c>
      <c r="J46" s="138">
        <f>+I46+'15'!J46</f>
        <v>638841.00999999966</v>
      </c>
      <c r="K46" s="133" t="s">
        <v>81</v>
      </c>
      <c r="L46" s="443">
        <f>+Listrik!AF23</f>
        <v>438</v>
      </c>
      <c r="M46" s="445">
        <f>+L46+'15'!M46</f>
        <v>110954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+C47+'15'!D47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930.51898863753354</v>
      </c>
      <c r="J47" s="138">
        <f>J46/J38</f>
        <v>758.62934168072843</v>
      </c>
      <c r="K47" s="133" t="s">
        <v>25</v>
      </c>
      <c r="L47" s="443">
        <f>+L46/I38</f>
        <v>8.9671409560855775</v>
      </c>
      <c r="M47" s="444">
        <f>+M46/J38</f>
        <v>131.75885495648376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+C48+'15'!D48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929.22535931143716</v>
      </c>
      <c r="J48" s="138">
        <f>J46/J40</f>
        <v>793.61300557282266</v>
      </c>
      <c r="K48" s="133" t="s">
        <v>25</v>
      </c>
      <c r="L48" s="443">
        <f>+L46/I38</f>
        <v>8.9671409560855775</v>
      </c>
      <c r="M48" s="444">
        <f>+M46/J40</f>
        <v>137.83482281503345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+C49+'15'!D49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+Report1!AB24</f>
        <v>0</v>
      </c>
      <c r="J49" s="138">
        <f>+I49+'15'!J49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+C50+'15'!D50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+C51+'15'!D51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45</v>
      </c>
      <c r="D52" s="147">
        <f>SUM(D38:D51)</f>
        <v>2822</v>
      </c>
      <c r="E52" s="148">
        <f>SUM(E38:E51)</f>
        <v>47.033333333333331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3.125E-2</v>
      </c>
      <c r="D53" s="149">
        <f>D52/(24*60*G4)</f>
        <v>0.12248263888888888</v>
      </c>
      <c r="E53" s="150">
        <f>E52/(G4*24)</f>
        <v>0.12248263888888888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+D34+'15'!J56</f>
        <v>9361</v>
      </c>
      <c r="K56" s="204">
        <f>J56/(J40+J56/1000)/1000</f>
        <v>1.1495212681696442E-2</v>
      </c>
    </row>
    <row r="57" spans="1:13">
      <c r="A57" s="179"/>
      <c r="I57" s="202" t="s">
        <v>92</v>
      </c>
      <c r="J57" s="203">
        <f>+E34+'15'!J57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9686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O61"/>
  <sheetViews>
    <sheetView view="pageBreakPreview" topLeftCell="A25" zoomScale="80" zoomScaleNormal="75" zoomScaleSheetLayoutView="80" workbookViewId="0">
      <selection activeCell="J61" sqref="J61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15</v>
      </c>
      <c r="H4" s="157" t="str">
        <f>+'1'!H4</f>
        <v>.06.24</v>
      </c>
      <c r="J4" s="152">
        <v>554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264+266+265</f>
        <v>795</v>
      </c>
    </row>
    <row r="7" spans="1:15" ht="13.5" customHeight="1" thickBot="1">
      <c r="A7" s="781" t="s">
        <v>607</v>
      </c>
      <c r="B7" s="218" t="s">
        <v>532</v>
      </c>
      <c r="C7" s="219">
        <v>15117</v>
      </c>
      <c r="D7" s="220"/>
      <c r="E7" s="221"/>
      <c r="F7" s="231">
        <v>5</v>
      </c>
      <c r="G7" s="232" t="s">
        <v>13</v>
      </c>
      <c r="H7" s="233" t="s">
        <v>523</v>
      </c>
      <c r="I7" s="784" t="s">
        <v>606</v>
      </c>
      <c r="J7" s="217" t="str">
        <f>+'14'!J7</f>
        <v>TW 38 RC BR</v>
      </c>
      <c r="K7" s="241"/>
      <c r="L7" s="245"/>
      <c r="M7" s="120">
        <f>+K7+'14'!M7+L7</f>
        <v>53722</v>
      </c>
    </row>
    <row r="8" spans="1:15" ht="13.5" thickBot="1">
      <c r="A8" s="782"/>
      <c r="B8" s="218"/>
      <c r="C8" s="219"/>
      <c r="D8" s="220"/>
      <c r="E8" s="222"/>
      <c r="F8" s="234">
        <v>5</v>
      </c>
      <c r="G8" s="235" t="s">
        <v>13</v>
      </c>
      <c r="H8" s="233" t="s">
        <v>434</v>
      </c>
      <c r="I8" s="785"/>
      <c r="J8" s="217" t="str">
        <f>+'14'!J8</f>
        <v>TW 36 RC BR</v>
      </c>
      <c r="K8" s="242"/>
      <c r="L8" s="242"/>
      <c r="M8" s="120">
        <f>+K8+'14'!M8+L8</f>
        <v>45750</v>
      </c>
      <c r="N8" s="152">
        <v>830</v>
      </c>
      <c r="O8" s="152">
        <f>+N8-N8*0.15</f>
        <v>705.5</v>
      </c>
    </row>
    <row r="9" spans="1:15" ht="13.5" thickBot="1">
      <c r="A9" s="782"/>
      <c r="B9" s="218"/>
      <c r="C9" s="219"/>
      <c r="D9" s="220"/>
      <c r="E9" s="223"/>
      <c r="F9" s="231">
        <v>10</v>
      </c>
      <c r="G9" s="235" t="s">
        <v>13</v>
      </c>
      <c r="H9" s="236" t="s">
        <v>226</v>
      </c>
      <c r="I9" s="785"/>
      <c r="J9" s="217" t="str">
        <f>+'14'!J9</f>
        <v>TW 34 RC BR</v>
      </c>
      <c r="K9" s="242"/>
      <c r="L9" s="242"/>
      <c r="M9" s="120">
        <f>+K9+'14'!M9+L9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605</v>
      </c>
      <c r="I10" s="785"/>
      <c r="J10" s="217" t="str">
        <f>+'14'!J10</f>
        <v>TW 30 RC BR</v>
      </c>
      <c r="K10" s="242"/>
      <c r="L10" s="242"/>
      <c r="M10" s="120">
        <f>+K10+'14'!M10+L10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+'14'!J11</f>
        <v>TW 20 RC BR</v>
      </c>
      <c r="K11" s="242"/>
      <c r="L11" s="242"/>
      <c r="M11" s="120">
        <f>+K11+'14'!M11+L11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+'14'!J12</f>
        <v>N 20 RC BR</v>
      </c>
      <c r="K12" s="242"/>
      <c r="L12" s="242"/>
      <c r="M12" s="120">
        <f>+K12+'14'!M12+L12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+'14'!J13</f>
        <v>N 17,5 RC BR</v>
      </c>
      <c r="K13" s="242"/>
      <c r="L13" s="242"/>
      <c r="M13" s="120">
        <f>+K13+'14'!M13+L13</f>
        <v>61888</v>
      </c>
    </row>
    <row r="14" spans="1:15" ht="13.5" thickBot="1">
      <c r="A14" s="783"/>
      <c r="B14" s="168" t="s">
        <v>3</v>
      </c>
      <c r="C14" s="102">
        <f>SUM(C7:C13)</f>
        <v>15117</v>
      </c>
      <c r="D14" s="114">
        <f>SUM(D7:D13)</f>
        <v>0</v>
      </c>
      <c r="E14" s="115">
        <f>SUM(E5:E13)</f>
        <v>0</v>
      </c>
      <c r="F14" s="105">
        <f>SUM(F6:F13)</f>
        <v>20</v>
      </c>
      <c r="G14" s="162"/>
      <c r="H14" s="169"/>
      <c r="I14" s="170"/>
      <c r="J14" s="217" t="str">
        <f>+'14'!J14</f>
        <v>N 16 RC BR</v>
      </c>
      <c r="K14" s="242"/>
      <c r="L14" s="242"/>
      <c r="M14" s="120">
        <f>+K14+'14'!M14+L14</f>
        <v>24358</v>
      </c>
    </row>
    <row r="15" spans="1:15" ht="13.5" customHeight="1" thickBot="1">
      <c r="A15" s="781" t="s">
        <v>409</v>
      </c>
      <c r="B15" s="168"/>
      <c r="C15" s="116">
        <f>C14/($C$23+$D$23+$E$23)</f>
        <v>0.85755616065350582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606</v>
      </c>
      <c r="J15" s="217" t="str">
        <f>+'14'!J15</f>
        <v>N 15,5 RC BR</v>
      </c>
      <c r="K15" s="242"/>
      <c r="L15" s="242"/>
      <c r="M15" s="120">
        <f>+K15+'14'!M15+L15</f>
        <v>0</v>
      </c>
    </row>
    <row r="16" spans="1:15" ht="13.5" thickBot="1">
      <c r="A16" s="787"/>
      <c r="B16" s="218" t="s">
        <v>532</v>
      </c>
      <c r="C16" s="225">
        <v>17428</v>
      </c>
      <c r="D16" s="226">
        <v>200</v>
      </c>
      <c r="E16" s="227"/>
      <c r="F16" s="234">
        <v>5</v>
      </c>
      <c r="G16" s="235" t="s">
        <v>13</v>
      </c>
      <c r="H16" s="233" t="s">
        <v>389</v>
      </c>
      <c r="I16" s="785"/>
      <c r="J16" s="217" t="str">
        <f>+'14'!J16</f>
        <v>N 17 VP OW</v>
      </c>
      <c r="K16" s="242"/>
      <c r="L16" s="232"/>
      <c r="M16" s="120">
        <f>+K16+'14'!M16+L16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5</v>
      </c>
      <c r="G17" s="235" t="s">
        <v>13</v>
      </c>
      <c r="H17" s="236" t="s">
        <v>226</v>
      </c>
      <c r="I17" s="785"/>
      <c r="J17" s="217" t="str">
        <f>+'14'!J17</f>
        <v>N 16 VP OW</v>
      </c>
      <c r="K17" s="242">
        <f>+C34</f>
        <v>48419</v>
      </c>
      <c r="L17" s="232"/>
      <c r="M17" s="120">
        <f>+K17+'14'!M17+L17</f>
        <v>138843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605</v>
      </c>
      <c r="I18" s="785"/>
      <c r="J18" s="217" t="str">
        <f>+'14'!J18</f>
        <v>N 19 VP OW</v>
      </c>
      <c r="K18" s="242"/>
      <c r="L18" s="242"/>
      <c r="M18" s="120">
        <f>+K18+'14'!M18+L18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+'14'!J19</f>
        <v>N 25 VP OW</v>
      </c>
      <c r="K19" s="242"/>
      <c r="L19" s="242"/>
      <c r="M19" s="120">
        <f>+K19+'14'!M19+L19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+'14'!J20</f>
        <v>N 23 VP OW</v>
      </c>
      <c r="K20" s="242"/>
      <c r="L20" s="243"/>
      <c r="M20" s="120">
        <f>+K20+'14'!M20+L20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+'14'!J21</f>
        <v>TW 23 VP OW</v>
      </c>
      <c r="K21" s="242"/>
      <c r="L21" s="242"/>
      <c r="M21" s="120">
        <f>+K21+'14'!M21+L21</f>
        <v>77386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+'14'!J22</f>
        <v>TW 17 VP OW</v>
      </c>
      <c r="K22" s="242"/>
      <c r="L22" s="242"/>
      <c r="M22" s="120">
        <f>+K22+'14'!M22+L22</f>
        <v>81508</v>
      </c>
    </row>
    <row r="23" spans="1:14" ht="13.5" thickBot="1">
      <c r="A23" s="788"/>
      <c r="B23" s="168" t="s">
        <v>3</v>
      </c>
      <c r="C23" s="103">
        <f>SUM(C16:C22)</f>
        <v>17428</v>
      </c>
      <c r="D23" s="114">
        <f>SUM(D16:D22)</f>
        <v>200</v>
      </c>
      <c r="E23" s="115">
        <f>SUM(E18:E22)</f>
        <v>0</v>
      </c>
      <c r="F23" s="105">
        <f>SUM(F15:F22)</f>
        <v>10</v>
      </c>
      <c r="G23" s="162"/>
      <c r="H23" s="169"/>
      <c r="I23" s="172"/>
      <c r="J23" s="217">
        <f>+'14'!J23</f>
        <v>0</v>
      </c>
      <c r="K23" s="242"/>
      <c r="L23" s="242"/>
      <c r="M23" s="120">
        <f>+K23+'14'!M23+L23</f>
        <v>0</v>
      </c>
    </row>
    <row r="24" spans="1:14" ht="13.5" customHeight="1" thickBot="1">
      <c r="A24" s="781" t="s">
        <v>461</v>
      </c>
      <c r="B24" s="173"/>
      <c r="C24" s="116">
        <f>C23/($C$23+$D$23+$E$23)</f>
        <v>0.98865441343317451</v>
      </c>
      <c r="D24" s="117">
        <f>D23/($C$23+$D$23+$E$23)</f>
        <v>1.1345586566825504E-2</v>
      </c>
      <c r="E24" s="118">
        <f>E23/($C$23+$D$23+$E$23)</f>
        <v>0</v>
      </c>
      <c r="F24" s="231">
        <v>2</v>
      </c>
      <c r="G24" s="232" t="s">
        <v>13</v>
      </c>
      <c r="H24" s="233" t="s">
        <v>435</v>
      </c>
      <c r="I24" s="784" t="s">
        <v>606</v>
      </c>
      <c r="J24" s="217">
        <f>+'14'!J24</f>
        <v>0</v>
      </c>
      <c r="K24" s="242"/>
      <c r="L24" s="242"/>
      <c r="M24" s="120">
        <f>+K24+'14'!M24+L24</f>
        <v>0</v>
      </c>
    </row>
    <row r="25" spans="1:14" ht="13.5" thickBot="1">
      <c r="A25" s="787"/>
      <c r="B25" s="218" t="s">
        <v>532</v>
      </c>
      <c r="C25" s="229">
        <v>15874</v>
      </c>
      <c r="D25" s="220">
        <v>60</v>
      </c>
      <c r="E25" s="228"/>
      <c r="F25" s="234">
        <v>0</v>
      </c>
      <c r="G25" s="235" t="s">
        <v>13</v>
      </c>
      <c r="H25" s="233" t="s">
        <v>434</v>
      </c>
      <c r="I25" s="785"/>
      <c r="J25" s="217">
        <f>+'14'!J25</f>
        <v>0</v>
      </c>
      <c r="K25" s="242"/>
      <c r="L25" s="242"/>
      <c r="M25" s="120">
        <f>+K25+'14'!M25+L25</f>
        <v>0</v>
      </c>
    </row>
    <row r="26" spans="1:14" ht="13.5" thickBot="1">
      <c r="A26" s="787"/>
      <c r="B26" s="218"/>
      <c r="C26" s="229"/>
      <c r="D26" s="220"/>
      <c r="E26" s="230"/>
      <c r="F26" s="231">
        <v>3</v>
      </c>
      <c r="G26" s="235" t="s">
        <v>13</v>
      </c>
      <c r="H26" s="236" t="s">
        <v>226</v>
      </c>
      <c r="I26" s="785"/>
      <c r="J26" s="217">
        <f>+'14'!J26</f>
        <v>0</v>
      </c>
      <c r="K26" s="242"/>
      <c r="L26" s="242"/>
      <c r="M26" s="120">
        <f>+K26+'14'!M26+L26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605</v>
      </c>
      <c r="I27" s="785"/>
      <c r="J27" s="217">
        <f>+'14'!J27</f>
        <v>0</v>
      </c>
      <c r="K27" s="242"/>
      <c r="L27" s="242"/>
      <c r="M27" s="120">
        <f>+K27+'14'!M27+L27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+'14'!J28</f>
        <v>0</v>
      </c>
      <c r="K28" s="242"/>
      <c r="L28" s="242"/>
      <c r="M28" s="120">
        <f>+K28+'14'!M28+L28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+'14'!J29</f>
        <v>0</v>
      </c>
      <c r="K29" s="242"/>
      <c r="L29" s="242"/>
      <c r="M29" s="120">
        <f>+K29+'14'!M29+L29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+'14'!J30</f>
        <v>0</v>
      </c>
      <c r="K30" s="242"/>
      <c r="L30" s="242"/>
      <c r="M30" s="120">
        <f>+K30+'14'!M30+L30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+'14'!J31</f>
        <v>0</v>
      </c>
      <c r="K31" s="242"/>
      <c r="L31" s="242"/>
      <c r="M31" s="120">
        <f>+K31+'14'!M31+L31</f>
        <v>0</v>
      </c>
    </row>
    <row r="32" spans="1:14" ht="13.5" thickBot="1">
      <c r="A32" s="788"/>
      <c r="B32" s="168" t="s">
        <v>3</v>
      </c>
      <c r="C32" s="102">
        <f>SUM(C25:C31)</f>
        <v>15874</v>
      </c>
      <c r="D32" s="103">
        <f>SUM(D25:D31)</f>
        <v>60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17">
        <f>+'14'!J32</f>
        <v>0</v>
      </c>
      <c r="K32" s="244"/>
      <c r="L32" s="246"/>
      <c r="M32" s="120">
        <f>+K32+'14'!M32+L32</f>
        <v>0</v>
      </c>
    </row>
    <row r="33" spans="1:14" ht="13.5" thickBot="1">
      <c r="A33" s="176"/>
      <c r="B33" s="177"/>
      <c r="C33" s="106">
        <f>C32/($C$32+$D$32+$E$32)</f>
        <v>0.99623446717710551</v>
      </c>
      <c r="D33" s="107">
        <f>D32/($C$32+$D$32+$E$32)</f>
        <v>3.7655328228944395E-3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48419</v>
      </c>
      <c r="D34" s="110">
        <f>D14+D23+D32</f>
        <v>260</v>
      </c>
      <c r="E34" s="110">
        <f>E14+E23+E32</f>
        <v>0</v>
      </c>
      <c r="F34" s="111">
        <f>F14+F23+F32</f>
        <v>35</v>
      </c>
      <c r="H34" s="181"/>
      <c r="I34" s="181"/>
      <c r="J34" s="126" t="s">
        <v>29</v>
      </c>
      <c r="K34" s="127">
        <f>SUM(K7:K32)</f>
        <v>48419</v>
      </c>
      <c r="L34" s="215">
        <f>SUM(L7:L32)</f>
        <v>0</v>
      </c>
      <c r="M34" s="123">
        <f>SUM(M7:M32)</f>
        <v>756065</v>
      </c>
      <c r="N34" s="158"/>
    </row>
    <row r="35" spans="1:14" ht="13.5" thickBot="1">
      <c r="A35" s="182"/>
      <c r="B35" s="183"/>
      <c r="C35" s="107">
        <f>C34/($C$34+$D$34+$E$34)</f>
        <v>0.99465888781610134</v>
      </c>
      <c r="D35" s="107">
        <f>D34/($C$34+$D$34+$E$34)</f>
        <v>5.3411121838986006E-3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(16*1440)/1440*G42*3.4*1440/1000000</f>
        <v>55.266047999999991</v>
      </c>
      <c r="J37" s="128">
        <f>+I37+'14'!J37</f>
        <v>884.90235488853932</v>
      </c>
      <c r="K37" s="129" t="s">
        <v>66</v>
      </c>
      <c r="L37" s="437"/>
      <c r="M37" s="438"/>
    </row>
    <row r="38" spans="1:14" ht="17.45" customHeight="1">
      <c r="A38" s="797" t="s">
        <v>13</v>
      </c>
      <c r="B38" s="798"/>
      <c r="C38" s="167">
        <f>SUMIF($G$7:$G$31,"Process",$F$7:$F$31)</f>
        <v>35</v>
      </c>
      <c r="D38" s="121">
        <f>+C38+'14'!D38</f>
        <v>781</v>
      </c>
      <c r="E38" s="146">
        <f t="shared" ref="E38:E51" si="0">D38/60</f>
        <v>13.016666666666667</v>
      </c>
      <c r="F38" s="372">
        <v>830</v>
      </c>
      <c r="G38" s="372">
        <f>+F38-F38*0.15</f>
        <v>705.5</v>
      </c>
      <c r="H38" s="190" t="s">
        <v>67</v>
      </c>
      <c r="I38" s="562">
        <f>15.334+16.589+17.05</f>
        <v>48.972999999999999</v>
      </c>
      <c r="J38" s="130">
        <f>+I38+'14'!J38</f>
        <v>793.25399999999991</v>
      </c>
      <c r="K38" s="131" t="s">
        <v>66</v>
      </c>
      <c r="L38" s="439"/>
      <c r="M38" s="440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+C39+'14'!D39</f>
        <v>0</v>
      </c>
      <c r="E39" s="146">
        <f t="shared" si="0"/>
        <v>0</v>
      </c>
      <c r="F39" s="372">
        <v>830</v>
      </c>
      <c r="G39" s="372">
        <f>+F39-F39*0.15</f>
        <v>705.5</v>
      </c>
      <c r="H39" s="190" t="s">
        <v>68</v>
      </c>
      <c r="I39" s="145"/>
      <c r="J39" s="132">
        <f>J37/G4</f>
        <v>58.99349032590262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+C40+'14'!D40</f>
        <v>0</v>
      </c>
      <c r="E40" s="146">
        <f t="shared" si="0"/>
        <v>0</v>
      </c>
      <c r="F40" s="372">
        <v>830</v>
      </c>
      <c r="G40" s="372">
        <f>+F40-F40*0.15</f>
        <v>705.5</v>
      </c>
      <c r="H40" s="190" t="s">
        <v>70</v>
      </c>
      <c r="I40" s="121">
        <f>(K34+L34)/1000</f>
        <v>48.418999999999997</v>
      </c>
      <c r="J40" s="134">
        <f>+I40+'14'!J40</f>
        <v>756.06500000000005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+C41+'14'!D41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50.404333333333334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+C42+'14'!D42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705.5</v>
      </c>
      <c r="H42" s="190" t="s">
        <v>73</v>
      </c>
      <c r="I42" s="248" t="s">
        <v>606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>+C43+'14'!D43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+Report1!AH23</f>
        <v>117.89099999999999</v>
      </c>
      <c r="J43" s="136">
        <f>+I43+'14'!J43</f>
        <v>2018.2509999999997</v>
      </c>
      <c r="K43" s="133" t="s">
        <v>66</v>
      </c>
      <c r="L43" s="441">
        <f>+Report1!AN23</f>
        <v>0</v>
      </c>
      <c r="M43" s="442">
        <f>+L43+'14'!M43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+C44+'14'!D44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2.4072652277785718</v>
      </c>
      <c r="J44" s="137">
        <f>J43/J38</f>
        <v>2.544268292375456</v>
      </c>
      <c r="K44" s="133" t="s">
        <v>66</v>
      </c>
      <c r="L44" s="443">
        <f>+L43/I38</f>
        <v>0</v>
      </c>
      <c r="M44" s="444">
        <f>+M43/J38</f>
        <v>7.8789391544196452E-2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+C45+'14'!D45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2.4348086494970982</v>
      </c>
      <c r="J45" s="137">
        <f>J43/J40</f>
        <v>2.6694146667283891</v>
      </c>
      <c r="K45" s="133" t="s">
        <v>66</v>
      </c>
      <c r="L45" s="443">
        <f>+L43/I40</f>
        <v>0</v>
      </c>
      <c r="M45" s="444">
        <f>+M43/J40</f>
        <v>8.2664850244357296E-2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+C46+'14'!D46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+SUMIF(Listrik!AC22,"&gt;0")</f>
        <v>45444.289999998975</v>
      </c>
      <c r="J46" s="138">
        <f>+I46+'14'!J46</f>
        <v>593389.80999999936</v>
      </c>
      <c r="K46" s="133" t="s">
        <v>81</v>
      </c>
      <c r="L46" s="443">
        <f>+Listrik!AF22</f>
        <v>444</v>
      </c>
      <c r="M46" s="445">
        <f>+L46+'14'!M46</f>
        <v>110516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+C47+'14'!D47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927.94580687315408</v>
      </c>
      <c r="J47" s="138">
        <f>J46/J38</f>
        <v>748.04515325482055</v>
      </c>
      <c r="K47" s="133" t="s">
        <v>25</v>
      </c>
      <c r="L47" s="443">
        <f>+L46/I38</f>
        <v>9.0662201621301541</v>
      </c>
      <c r="M47" s="444">
        <f>+M46/J38</f>
        <v>139.31981433437463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+C48+'14'!D48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938.56316735163841</v>
      </c>
      <c r="J48" s="138">
        <f>J46/J40</f>
        <v>784.83967648284113</v>
      </c>
      <c r="K48" s="133" t="s">
        <v>25</v>
      </c>
      <c r="L48" s="443">
        <f>+L46/I38</f>
        <v>9.0662201621301541</v>
      </c>
      <c r="M48" s="444">
        <f>+M46/J40</f>
        <v>146.17261743368624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+C49+'14'!D49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+Report1!AB23</f>
        <v>0</v>
      </c>
      <c r="J49" s="138">
        <f>+I49+'14'!J49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+C50+'14'!D50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+C51+'14'!D51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35</v>
      </c>
      <c r="D52" s="147">
        <f>SUM(D38:D51)</f>
        <v>2777</v>
      </c>
      <c r="E52" s="148">
        <f>SUM(E38:E51)</f>
        <v>46.283333333333331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2.4305555555555556E-2</v>
      </c>
      <c r="D53" s="149">
        <f>D52/(24*60*G4)</f>
        <v>0.12856481481481483</v>
      </c>
      <c r="E53" s="150">
        <f>E52/(G4*24)</f>
        <v>0.1285648148148148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+D34+'14'!J56</f>
        <v>9301</v>
      </c>
      <c r="K56" s="204">
        <f>J56/(J40+J56/1000)/1000</f>
        <v>1.2152355866343683E-2</v>
      </c>
    </row>
    <row r="57" spans="1:13">
      <c r="A57" s="179"/>
      <c r="I57" s="202" t="s">
        <v>92</v>
      </c>
      <c r="J57" s="203">
        <f>+E34+'14'!J57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14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262+260+265</f>
        <v>787</v>
      </c>
    </row>
    <row r="7" spans="1:15" ht="13.5" customHeight="1" thickBot="1">
      <c r="A7" s="781" t="s">
        <v>410</v>
      </c>
      <c r="B7" s="218" t="s">
        <v>532</v>
      </c>
      <c r="C7" s="219">
        <v>15911</v>
      </c>
      <c r="D7" s="220"/>
      <c r="E7" s="221"/>
      <c r="F7" s="231">
        <v>3</v>
      </c>
      <c r="G7" s="232" t="s">
        <v>13</v>
      </c>
      <c r="H7" s="233" t="s">
        <v>435</v>
      </c>
      <c r="I7" s="784" t="s">
        <v>606</v>
      </c>
      <c r="J7" s="217" t="str">
        <f>+'13'!J7</f>
        <v>TW 38 RC BR</v>
      </c>
      <c r="K7" s="241"/>
      <c r="L7" s="245"/>
      <c r="M7" s="120">
        <f>+K7+'13'!M7+L7</f>
        <v>53722</v>
      </c>
    </row>
    <row r="8" spans="1:15" ht="13.5" thickBot="1">
      <c r="A8" s="782"/>
      <c r="B8" s="218"/>
      <c r="C8" s="219"/>
      <c r="D8" s="220"/>
      <c r="E8" s="222"/>
      <c r="F8" s="234">
        <v>3</v>
      </c>
      <c r="G8" s="235" t="s">
        <v>13</v>
      </c>
      <c r="H8" s="233" t="s">
        <v>389</v>
      </c>
      <c r="I8" s="785"/>
      <c r="J8" s="217" t="str">
        <f>+'13'!J8</f>
        <v>TW 36 RC BR</v>
      </c>
      <c r="K8" s="242"/>
      <c r="L8" s="242"/>
      <c r="M8" s="120">
        <f>+K8+'13'!M8+L8</f>
        <v>45750</v>
      </c>
      <c r="N8" s="152">
        <v>830</v>
      </c>
      <c r="O8" s="152">
        <f>+N8-N8*0.15</f>
        <v>705.5</v>
      </c>
    </row>
    <row r="9" spans="1:15" ht="13.5" thickBot="1">
      <c r="A9" s="782"/>
      <c r="B9" s="218"/>
      <c r="C9" s="219"/>
      <c r="D9" s="220"/>
      <c r="E9" s="223"/>
      <c r="F9" s="231">
        <v>2</v>
      </c>
      <c r="G9" s="235" t="s">
        <v>13</v>
      </c>
      <c r="H9" s="236" t="s">
        <v>226</v>
      </c>
      <c r="I9" s="785"/>
      <c r="J9" s="217" t="str">
        <f>+'13'!J9</f>
        <v>TW 34 RC BR</v>
      </c>
      <c r="K9" s="242"/>
      <c r="L9" s="242"/>
      <c r="M9" s="120">
        <f>+K9+'13'!M9+L9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605</v>
      </c>
      <c r="I10" s="785"/>
      <c r="J10" s="217" t="str">
        <f>+'13'!J10</f>
        <v>TW 30 RC BR</v>
      </c>
      <c r="K10" s="242"/>
      <c r="L10" s="242"/>
      <c r="M10" s="120">
        <f>+K10+'13'!M10+L10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+'13'!J11</f>
        <v>TW 20 RC BR</v>
      </c>
      <c r="K11" s="242"/>
      <c r="L11" s="242"/>
      <c r="M11" s="120">
        <f>+K11+'13'!M11+L11</f>
        <v>13885</v>
      </c>
    </row>
    <row r="12" spans="1:15" ht="42" customHeight="1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+'13'!J12</f>
        <v>N 20 RC BR</v>
      </c>
      <c r="K12" s="242"/>
      <c r="L12" s="242"/>
      <c r="M12" s="120">
        <f>+K12+'13'!M12+L12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+'13'!J13</f>
        <v>N 17,5 RC BR</v>
      </c>
      <c r="K13" s="242"/>
      <c r="L13" s="242"/>
      <c r="M13" s="120">
        <f>+K13+'13'!M13+L13</f>
        <v>61888</v>
      </c>
    </row>
    <row r="14" spans="1:15" ht="13.5" thickBot="1">
      <c r="A14" s="783"/>
      <c r="B14" s="168" t="s">
        <v>3</v>
      </c>
      <c r="C14" s="102">
        <f>SUM(C7:C13)</f>
        <v>15911</v>
      </c>
      <c r="D14" s="114">
        <f>SUM(D7:D13)</f>
        <v>0</v>
      </c>
      <c r="E14" s="115">
        <f>SUM(E5:E13)</f>
        <v>0</v>
      </c>
      <c r="F14" s="105">
        <f>SUM(F6:F13)</f>
        <v>8</v>
      </c>
      <c r="G14" s="162"/>
      <c r="H14" s="169"/>
      <c r="I14" s="170"/>
      <c r="J14" s="217" t="str">
        <f>+'13'!J14</f>
        <v>N 16 RC BR</v>
      </c>
      <c r="K14" s="242"/>
      <c r="L14" s="242"/>
      <c r="M14" s="120">
        <f>+K14+'13'!M14+L14</f>
        <v>24358</v>
      </c>
    </row>
    <row r="15" spans="1:15" ht="13.5" customHeight="1" thickBot="1">
      <c r="A15" s="781" t="s">
        <v>409</v>
      </c>
      <c r="B15" s="168"/>
      <c r="C15" s="116">
        <f>C14/($C$23+$D$23+$E$23)</f>
        <v>1.1164830538207846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606</v>
      </c>
      <c r="J15" s="217" t="str">
        <f>+'13'!J15</f>
        <v>N 15,5 RC BR</v>
      </c>
      <c r="K15" s="242"/>
      <c r="L15" s="242"/>
      <c r="M15" s="120">
        <f>+K15+'13'!M15+L15</f>
        <v>0</v>
      </c>
    </row>
    <row r="16" spans="1:15" ht="13.5" thickBot="1">
      <c r="A16" s="787"/>
      <c r="B16" s="218" t="s">
        <v>532</v>
      </c>
      <c r="C16" s="225">
        <v>14131</v>
      </c>
      <c r="D16" s="226">
        <v>120</v>
      </c>
      <c r="E16" s="227"/>
      <c r="F16" s="234">
        <v>10</v>
      </c>
      <c r="G16" s="235" t="s">
        <v>13</v>
      </c>
      <c r="H16" s="233" t="s">
        <v>389</v>
      </c>
      <c r="I16" s="785"/>
      <c r="J16" s="217" t="str">
        <f>+'13'!J16</f>
        <v>N 17 VP OW</v>
      </c>
      <c r="K16" s="242"/>
      <c r="L16" s="232"/>
      <c r="M16" s="120">
        <f>+K16+'13'!M16+L16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7</v>
      </c>
      <c r="G17" s="235" t="s">
        <v>13</v>
      </c>
      <c r="H17" s="236" t="s">
        <v>226</v>
      </c>
      <c r="I17" s="785"/>
      <c r="J17" s="217" t="str">
        <f>+'13'!J17</f>
        <v>N 16 VP OW</v>
      </c>
      <c r="K17" s="242">
        <f>+C34</f>
        <v>45267</v>
      </c>
      <c r="L17" s="232"/>
      <c r="M17" s="120">
        <f>+K17+'13'!M17+L17</f>
        <v>90424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605</v>
      </c>
      <c r="I18" s="785"/>
      <c r="J18" s="217" t="str">
        <f>+'13'!J18</f>
        <v>N 19 VP OW</v>
      </c>
      <c r="K18" s="242"/>
      <c r="L18" s="242"/>
      <c r="M18" s="120">
        <f>+K18+'13'!M18+L18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+'13'!J19</f>
        <v>N 25 VP OW</v>
      </c>
      <c r="K19" s="242"/>
      <c r="L19" s="242"/>
      <c r="M19" s="120">
        <f>+K19+'13'!M19+L19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+'13'!J20</f>
        <v>N 23 VP OW</v>
      </c>
      <c r="K20" s="242"/>
      <c r="L20" s="243"/>
      <c r="M20" s="120">
        <f>+K20+'13'!M20+L20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+'13'!J21</f>
        <v>TW 23 VP OW</v>
      </c>
      <c r="K21" s="242"/>
      <c r="L21" s="242"/>
      <c r="M21" s="120">
        <f>+K21+'13'!M21+L21</f>
        <v>77386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+'13'!J22</f>
        <v>TW 17 VP OW</v>
      </c>
      <c r="K22" s="242"/>
      <c r="L22" s="242"/>
      <c r="M22" s="120">
        <f>+K22+'13'!M22+L22</f>
        <v>81508</v>
      </c>
    </row>
    <row r="23" spans="1:14" ht="13.5" thickBot="1">
      <c r="A23" s="788"/>
      <c r="B23" s="168" t="s">
        <v>3</v>
      </c>
      <c r="C23" s="103">
        <f>SUM(C16:C22)</f>
        <v>14131</v>
      </c>
      <c r="D23" s="114">
        <f>SUM(D16:D22)</f>
        <v>120</v>
      </c>
      <c r="E23" s="115">
        <f>SUM(E18:E22)</f>
        <v>0</v>
      </c>
      <c r="F23" s="105">
        <f>SUM(F15:F22)</f>
        <v>17</v>
      </c>
      <c r="G23" s="162"/>
      <c r="H23" s="169"/>
      <c r="I23" s="172"/>
      <c r="J23" s="217">
        <f>+'13'!J23</f>
        <v>0</v>
      </c>
      <c r="K23" s="242"/>
      <c r="L23" s="242"/>
      <c r="M23" s="120">
        <f>+K23+'13'!M23+L23</f>
        <v>0</v>
      </c>
    </row>
    <row r="24" spans="1:14" ht="13.5" customHeight="1" thickBot="1">
      <c r="A24" s="781" t="s">
        <v>461</v>
      </c>
      <c r="B24" s="173"/>
      <c r="C24" s="116">
        <f>C23/($C$23+$D$23+$E$23)</f>
        <v>0.99157953827801559</v>
      </c>
      <c r="D24" s="117">
        <f>D23/($C$23+$D$23+$E$23)</f>
        <v>8.4204617219844225E-3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606</v>
      </c>
      <c r="J24" s="217">
        <f>+'13'!J24</f>
        <v>0</v>
      </c>
      <c r="K24" s="242"/>
      <c r="L24" s="242"/>
      <c r="M24" s="120">
        <f>+K24+'13'!M24+L24</f>
        <v>0</v>
      </c>
    </row>
    <row r="25" spans="1:14" ht="13.5" thickBot="1">
      <c r="A25" s="787"/>
      <c r="B25" s="218" t="s">
        <v>532</v>
      </c>
      <c r="C25" s="229">
        <v>15225</v>
      </c>
      <c r="D25" s="220">
        <v>527</v>
      </c>
      <c r="E25" s="228"/>
      <c r="F25" s="234">
        <v>15</v>
      </c>
      <c r="G25" s="235" t="s">
        <v>13</v>
      </c>
      <c r="H25" s="233" t="s">
        <v>434</v>
      </c>
      <c r="I25" s="785"/>
      <c r="J25" s="217">
        <f>+'13'!J25</f>
        <v>0</v>
      </c>
      <c r="K25" s="242"/>
      <c r="L25" s="242"/>
      <c r="M25" s="120">
        <f>+K25+'13'!M25+L25</f>
        <v>0</v>
      </c>
    </row>
    <row r="26" spans="1:14" ht="13.5" thickBot="1">
      <c r="A26" s="787"/>
      <c r="B26" s="218"/>
      <c r="C26" s="229"/>
      <c r="D26" s="220"/>
      <c r="E26" s="230"/>
      <c r="F26" s="231">
        <v>9</v>
      </c>
      <c r="G26" s="235" t="s">
        <v>13</v>
      </c>
      <c r="H26" s="236" t="s">
        <v>226</v>
      </c>
      <c r="I26" s="785"/>
      <c r="J26" s="217">
        <f>+'13'!J26</f>
        <v>0</v>
      </c>
      <c r="K26" s="242"/>
      <c r="L26" s="242"/>
      <c r="M26" s="120">
        <f>+K26+'13'!M26+L26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605</v>
      </c>
      <c r="I27" s="785"/>
      <c r="J27" s="217">
        <f>+'13'!J27</f>
        <v>0</v>
      </c>
      <c r="K27" s="242"/>
      <c r="L27" s="242"/>
      <c r="M27" s="120">
        <f>+K27+'13'!M27+L27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+'13'!J28</f>
        <v>0</v>
      </c>
      <c r="K28" s="242"/>
      <c r="L28" s="242"/>
      <c r="M28" s="120">
        <f>+K28+'13'!M28+L28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+'13'!J29</f>
        <v>0</v>
      </c>
      <c r="K29" s="242"/>
      <c r="L29" s="242"/>
      <c r="M29" s="120">
        <f>+K29+'13'!M29+L29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+'13'!J30</f>
        <v>0</v>
      </c>
      <c r="K30" s="242"/>
      <c r="L30" s="242"/>
      <c r="M30" s="120">
        <f>+K30+'13'!M30+L30</f>
        <v>0</v>
      </c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+'13'!J31</f>
        <v>0</v>
      </c>
      <c r="K31" s="242"/>
      <c r="L31" s="242"/>
      <c r="M31" s="120">
        <f>+K31+'13'!M31+L31</f>
        <v>0</v>
      </c>
    </row>
    <row r="32" spans="1:14" ht="13.5" thickBot="1">
      <c r="A32" s="788"/>
      <c r="B32" s="168" t="s">
        <v>3</v>
      </c>
      <c r="C32" s="102">
        <f>SUM(C25:C31)</f>
        <v>15225</v>
      </c>
      <c r="D32" s="103">
        <f>SUM(D25:D31)</f>
        <v>527</v>
      </c>
      <c r="E32" s="104">
        <f>SUM(E25:E31)</f>
        <v>0</v>
      </c>
      <c r="F32" s="105">
        <f>SUM(F24:F31)</f>
        <v>24</v>
      </c>
      <c r="G32" s="174"/>
      <c r="H32" s="175"/>
      <c r="I32" s="172"/>
      <c r="J32" s="217">
        <f>+'13'!J32</f>
        <v>0</v>
      </c>
      <c r="K32" s="244"/>
      <c r="L32" s="246"/>
      <c r="M32" s="120">
        <f>+K32+'13'!M32+L32</f>
        <v>0</v>
      </c>
      <c r="N32" s="158"/>
    </row>
    <row r="33" spans="1:14" ht="13.5" thickBot="1">
      <c r="A33" s="176"/>
      <c r="B33" s="177"/>
      <c r="C33" s="106">
        <f>C32/($C$32+$D$32+$E$32)</f>
        <v>0.96654393092940583</v>
      </c>
      <c r="D33" s="107">
        <f>D32/($C$32+$D$32+$E$32)</f>
        <v>3.3456069070594209E-2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45267</v>
      </c>
      <c r="D34" s="110">
        <f>D14+D23+D32</f>
        <v>647</v>
      </c>
      <c r="E34" s="110">
        <f>E14+E23+E32</f>
        <v>0</v>
      </c>
      <c r="F34" s="111">
        <f>F14+F23+F32</f>
        <v>49</v>
      </c>
      <c r="H34" s="181"/>
      <c r="I34" s="181"/>
      <c r="J34" s="126" t="s">
        <v>29</v>
      </c>
      <c r="K34" s="127">
        <f>SUM(K7:K32)</f>
        <v>45267</v>
      </c>
      <c r="L34" s="215">
        <f>SUM(L7:L32)</f>
        <v>0</v>
      </c>
      <c r="M34" s="123">
        <f>SUM(M7:M32)</f>
        <v>707646</v>
      </c>
    </row>
    <row r="35" spans="1:14" ht="13.5" thickBot="1">
      <c r="A35" s="182"/>
      <c r="B35" s="183"/>
      <c r="C35" s="107">
        <f>C34/($C$34+$D$34+$E$34)</f>
        <v>0.98590843751361246</v>
      </c>
      <c r="D35" s="107">
        <f>D34/($C$34+$D$34+$E$34)</f>
        <v>1.4091562486387594E-2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  <c r="N36" s="158"/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(16*1440)/1440*G42*3.4*1440/1000000</f>
        <v>55.266047999999991</v>
      </c>
      <c r="J37" s="128">
        <f>+I37+'13'!J37</f>
        <v>829.63630688853937</v>
      </c>
      <c r="K37" s="129" t="s">
        <v>66</v>
      </c>
      <c r="L37" s="437"/>
      <c r="M37" s="438"/>
      <c r="N37" s="572"/>
    </row>
    <row r="38" spans="1:14" ht="17.45" customHeight="1">
      <c r="A38" s="797" t="s">
        <v>13</v>
      </c>
      <c r="B38" s="798"/>
      <c r="C38" s="167">
        <f>SUMIF($G$7:$G$31,"Process",$F$7:$F$31)</f>
        <v>49</v>
      </c>
      <c r="D38" s="121">
        <f>+C38+'13'!D38</f>
        <v>746</v>
      </c>
      <c r="E38" s="146">
        <f t="shared" ref="E38:E51" si="0">D38/60</f>
        <v>12.433333333333334</v>
      </c>
      <c r="F38" s="372">
        <v>830</v>
      </c>
      <c r="G38" s="372">
        <f>+F38-F38*0.15</f>
        <v>705.5</v>
      </c>
      <c r="H38" s="190" t="s">
        <v>67</v>
      </c>
      <c r="I38" s="562">
        <f>15.718+16.23+16.128</f>
        <v>48.076000000000001</v>
      </c>
      <c r="J38" s="130">
        <f>+I38+'13'!J38</f>
        <v>744.28099999999995</v>
      </c>
      <c r="K38" s="131" t="s">
        <v>66</v>
      </c>
      <c r="L38" s="439"/>
      <c r="M38" s="440"/>
      <c r="N38" s="572"/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+C39+'13'!D39</f>
        <v>0</v>
      </c>
      <c r="E39" s="146">
        <f t="shared" si="0"/>
        <v>0</v>
      </c>
      <c r="F39" s="372">
        <v>830</v>
      </c>
      <c r="G39" s="372">
        <f>+F39-F39*0.15</f>
        <v>705.5</v>
      </c>
      <c r="H39" s="190" t="s">
        <v>68</v>
      </c>
      <c r="I39" s="145"/>
      <c r="J39" s="132">
        <f>J37/G4</f>
        <v>59.259736206324241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+C40+'13'!D40</f>
        <v>0</v>
      </c>
      <c r="E40" s="146">
        <f t="shared" si="0"/>
        <v>0</v>
      </c>
      <c r="F40" s="372">
        <v>830</v>
      </c>
      <c r="G40" s="372">
        <f>+F40-F40*0.15</f>
        <v>705.5</v>
      </c>
      <c r="H40" s="190" t="s">
        <v>70</v>
      </c>
      <c r="I40" s="121">
        <f>(K34+L34)/1000</f>
        <v>45.267000000000003</v>
      </c>
      <c r="J40" s="134">
        <f>+I40+'13'!J40</f>
        <v>707.64600000000007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+C41+'13'!D41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50.546142857142861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+C42+'13'!D42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705.5</v>
      </c>
      <c r="H42" s="190" t="s">
        <v>73</v>
      </c>
      <c r="I42" s="248" t="s">
        <v>606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>+C43+'13'!D43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+Report1!AH22</f>
        <v>115.741</v>
      </c>
      <c r="J43" s="136">
        <f>+I43+'13'!J43</f>
        <v>1900.3599999999997</v>
      </c>
      <c r="K43" s="133" t="s">
        <v>66</v>
      </c>
      <c r="L43" s="441">
        <f>+Report1!AN22</f>
        <v>0</v>
      </c>
      <c r="M43" s="442">
        <f>+L43+'13'!M43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+C44+'13'!D44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2.4074590232132458</v>
      </c>
      <c r="J44" s="137">
        <f>J43/J38</f>
        <v>2.5532829670514223</v>
      </c>
      <c r="K44" s="133" t="s">
        <v>66</v>
      </c>
      <c r="L44" s="443">
        <f>+L43/I38</f>
        <v>0</v>
      </c>
      <c r="M44" s="444">
        <f>+M43/J38</f>
        <v>8.3973660485757398E-2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+C45+'13'!D45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2.5568515695760707</v>
      </c>
      <c r="J45" s="137">
        <f>J43/J40</f>
        <v>2.6854670272989596</v>
      </c>
      <c r="K45" s="133" t="s">
        <v>66</v>
      </c>
      <c r="L45" s="443">
        <f>+L43/I40</f>
        <v>0</v>
      </c>
      <c r="M45" s="444">
        <f>+M43/J40</f>
        <v>8.8320996656520337E-2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+C46+'13'!D46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+SUMIF(Listrik!AC21,"&gt;0")</f>
        <v>41466.239999999969</v>
      </c>
      <c r="J46" s="138">
        <f>+I46+'13'!J46</f>
        <v>547945.52000000037</v>
      </c>
      <c r="K46" s="133" t="s">
        <v>81</v>
      </c>
      <c r="L46" s="443">
        <f>+Listrik!AF21</f>
        <v>363</v>
      </c>
      <c r="M46" s="445">
        <f>+L46+'13'!M46</f>
        <v>110072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+C47+'13'!D47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862.51435227556306</v>
      </c>
      <c r="J47" s="138">
        <f>J46/J38</f>
        <v>736.20785697874919</v>
      </c>
      <c r="K47" s="133" t="s">
        <v>25</v>
      </c>
      <c r="L47" s="443">
        <f>+L46/I38</f>
        <v>7.5505449704634326</v>
      </c>
      <c r="M47" s="444">
        <f>+M46/J38</f>
        <v>147.89038011181262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+C48+'13'!D48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916.03684803499164</v>
      </c>
      <c r="J48" s="138">
        <f>J46/J40</f>
        <v>774.32151103800527</v>
      </c>
      <c r="K48" s="133" t="s">
        <v>25</v>
      </c>
      <c r="L48" s="443">
        <f>+L46/I38</f>
        <v>7.5505449704634326</v>
      </c>
      <c r="M48" s="444">
        <f>+M46/J40</f>
        <v>155.5466999036241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+C49+'13'!D49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+Report1!AB22</f>
        <v>0</v>
      </c>
      <c r="J49" s="138">
        <f>+I49+'13'!J49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+C50+'13'!D50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+C51+'13'!D51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49</v>
      </c>
      <c r="D52" s="147">
        <f>SUM(D38:D51)</f>
        <v>2742</v>
      </c>
      <c r="E52" s="148">
        <f>SUM(E38:E51)</f>
        <v>45.7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3.4027777777777775E-2</v>
      </c>
      <c r="D53" s="149">
        <f>D52/(24*60*G4)</f>
        <v>0.13601190476190475</v>
      </c>
      <c r="E53" s="150">
        <f>E52/(G4*24)</f>
        <v>0.13601190476190478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+D34+'13'!J56</f>
        <v>9041</v>
      </c>
      <c r="K56" s="204">
        <f>J56/(J40+J56/1000)/1000</f>
        <v>1.261499092351333E-2</v>
      </c>
    </row>
    <row r="57" spans="1:13">
      <c r="A57" s="179"/>
      <c r="I57" s="202" t="s">
        <v>92</v>
      </c>
      <c r="J57" s="203">
        <f>+E34+'13'!J57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9366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R61"/>
  <sheetViews>
    <sheetView view="pageBreakPreview" topLeftCell="A7" zoomScale="85" zoomScaleNormal="70" zoomScaleSheetLayoutView="85" workbookViewId="0">
      <selection activeCell="H11" sqref="H11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710937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13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245+259+261</f>
        <v>765</v>
      </c>
    </row>
    <row r="7" spans="1:15" ht="13.5" customHeight="1" thickBot="1">
      <c r="A7" s="781" t="s">
        <v>410</v>
      </c>
      <c r="B7" s="218" t="s">
        <v>593</v>
      </c>
      <c r="C7" s="219">
        <v>12508</v>
      </c>
      <c r="D7" s="220">
        <v>650</v>
      </c>
      <c r="E7" s="221"/>
      <c r="F7" s="231">
        <v>10</v>
      </c>
      <c r="G7" s="232" t="s">
        <v>13</v>
      </c>
      <c r="H7" s="233" t="s">
        <v>469</v>
      </c>
      <c r="I7" s="784" t="s">
        <v>585</v>
      </c>
      <c r="J7" s="217" t="str">
        <f>+'12'!J7</f>
        <v>TW 38 RC BR</v>
      </c>
      <c r="K7" s="241"/>
      <c r="L7" s="245"/>
      <c r="M7" s="120">
        <f>+K7+'12'!M7+L7</f>
        <v>53722</v>
      </c>
    </row>
    <row r="8" spans="1:15" ht="13.5" thickBot="1">
      <c r="A8" s="782"/>
      <c r="B8" s="218"/>
      <c r="C8" s="219"/>
      <c r="D8" s="220"/>
      <c r="E8" s="222"/>
      <c r="F8" s="234">
        <v>15</v>
      </c>
      <c r="G8" s="235" t="s">
        <v>13</v>
      </c>
      <c r="H8" s="233" t="s">
        <v>527</v>
      </c>
      <c r="I8" s="785"/>
      <c r="J8" s="217" t="str">
        <f>+'12'!J8</f>
        <v>TW 36 RC BR</v>
      </c>
      <c r="K8" s="242"/>
      <c r="L8" s="242"/>
      <c r="M8" s="120">
        <f>+K8+'12'!M8+L8</f>
        <v>45750</v>
      </c>
      <c r="N8" s="152">
        <v>830</v>
      </c>
      <c r="O8" s="152">
        <f>+N8-N8*0.18</f>
        <v>680.6</v>
      </c>
    </row>
    <row r="9" spans="1:15" ht="13.5" thickBot="1">
      <c r="A9" s="782"/>
      <c r="B9" s="218"/>
      <c r="C9" s="219"/>
      <c r="D9" s="220"/>
      <c r="E9" s="223"/>
      <c r="F9" s="231">
        <v>5</v>
      </c>
      <c r="G9" s="235" t="s">
        <v>13</v>
      </c>
      <c r="H9" s="236" t="s">
        <v>226</v>
      </c>
      <c r="I9" s="785"/>
      <c r="J9" s="217" t="str">
        <f>+'12'!J9</f>
        <v>TW 34 RC BR</v>
      </c>
      <c r="K9" s="242"/>
      <c r="L9" s="242"/>
      <c r="M9" s="120">
        <f>+K9+'12'!M9+L9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592</v>
      </c>
      <c r="I10" s="785"/>
      <c r="J10" s="217" t="str">
        <f>+'12'!J10</f>
        <v>TW 30 RC BR</v>
      </c>
      <c r="K10" s="242"/>
      <c r="L10" s="242"/>
      <c r="M10" s="120">
        <f>+K10+'12'!M10+L10</f>
        <v>11017</v>
      </c>
    </row>
    <row r="11" spans="1:15" ht="26.25" thickBot="1">
      <c r="A11" s="782"/>
      <c r="B11" s="218"/>
      <c r="C11" s="219"/>
      <c r="D11" s="220"/>
      <c r="E11" s="222"/>
      <c r="F11" s="231">
        <v>30</v>
      </c>
      <c r="G11" s="235" t="s">
        <v>13</v>
      </c>
      <c r="H11" s="236" t="s">
        <v>597</v>
      </c>
      <c r="I11" s="785"/>
      <c r="J11" s="217" t="str">
        <f>+'12'!J11</f>
        <v>TW 20 RC BR</v>
      </c>
      <c r="K11" s="242"/>
      <c r="L11" s="242"/>
      <c r="M11" s="120">
        <f>+K11+'12'!M11+L11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+'12'!J12</f>
        <v>N 20 RC BR</v>
      </c>
      <c r="K12" s="242"/>
      <c r="L12" s="242"/>
      <c r="M12" s="120">
        <f>+K12+'12'!M12+L12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+'12'!J13</f>
        <v>N 17,5 RC BR</v>
      </c>
      <c r="K13" s="242"/>
      <c r="L13" s="242"/>
      <c r="M13" s="120">
        <f>+K13+'12'!M13+L13</f>
        <v>61888</v>
      </c>
    </row>
    <row r="14" spans="1:15" ht="13.5" thickBot="1">
      <c r="A14" s="783"/>
      <c r="B14" s="168" t="s">
        <v>3</v>
      </c>
      <c r="C14" s="102">
        <f>SUM(C7:C13)</f>
        <v>12508</v>
      </c>
      <c r="D14" s="114">
        <f>SUM(D7:D13)</f>
        <v>650</v>
      </c>
      <c r="E14" s="115">
        <f>SUM(E5:E13)</f>
        <v>0</v>
      </c>
      <c r="F14" s="105">
        <f>SUM(F6:F13)</f>
        <v>60</v>
      </c>
      <c r="G14" s="162"/>
      <c r="H14" s="169"/>
      <c r="I14" s="170"/>
      <c r="J14" s="217" t="str">
        <f>+'12'!J14</f>
        <v>N 16 RC BR</v>
      </c>
      <c r="K14" s="242"/>
      <c r="L14" s="242"/>
      <c r="M14" s="120">
        <f>+K14+'12'!M14+L14</f>
        <v>24358</v>
      </c>
    </row>
    <row r="15" spans="1:15" ht="13.5" customHeight="1" thickBot="1">
      <c r="A15" s="781" t="s">
        <v>409</v>
      </c>
      <c r="B15" s="168"/>
      <c r="C15" s="116">
        <f>C14/($C$23+$D$23+$E$23)</f>
        <v>0.74443518628734673</v>
      </c>
      <c r="D15" s="117">
        <f>D14/($C$23+$D$23+$E$23)</f>
        <v>3.868587072967504E-2</v>
      </c>
      <c r="E15" s="118">
        <f>E14/($C$23+$D$23+$E$23)</f>
        <v>0</v>
      </c>
      <c r="F15" s="231">
        <v>2</v>
      </c>
      <c r="G15" s="232" t="s">
        <v>13</v>
      </c>
      <c r="H15" s="233" t="s">
        <v>435</v>
      </c>
      <c r="I15" s="784" t="s">
        <v>585</v>
      </c>
      <c r="J15" s="217" t="str">
        <f>+'12'!J15</f>
        <v>N 15,5 RC BR</v>
      </c>
      <c r="K15" s="242"/>
      <c r="L15" s="242"/>
      <c r="M15" s="120">
        <f>+K15+'12'!M15+L15</f>
        <v>0</v>
      </c>
    </row>
    <row r="16" spans="1:15" ht="13.5" thickBot="1">
      <c r="A16" s="787"/>
      <c r="B16" s="218" t="s">
        <v>593</v>
      </c>
      <c r="C16" s="225">
        <v>16802</v>
      </c>
      <c r="D16" s="226"/>
      <c r="E16" s="227"/>
      <c r="F16" s="234"/>
      <c r="G16" s="235" t="s">
        <v>13</v>
      </c>
      <c r="H16" s="233" t="s">
        <v>486</v>
      </c>
      <c r="I16" s="785"/>
      <c r="J16" s="217" t="str">
        <f>+'12'!J16</f>
        <v>N 17 VP OW</v>
      </c>
      <c r="K16" s="242"/>
      <c r="L16" s="232"/>
      <c r="M16" s="120">
        <f>+K16+'12'!M16+L16</f>
        <v>62993</v>
      </c>
    </row>
    <row r="17" spans="1:18" ht="13.5" thickBot="1">
      <c r="A17" s="787"/>
      <c r="B17" s="218"/>
      <c r="C17" s="219"/>
      <c r="D17" s="220"/>
      <c r="E17" s="228"/>
      <c r="F17" s="231">
        <v>3</v>
      </c>
      <c r="G17" s="235" t="s">
        <v>13</v>
      </c>
      <c r="H17" s="236" t="s">
        <v>226</v>
      </c>
      <c r="I17" s="785"/>
      <c r="J17" s="217" t="str">
        <f>+'12'!J17</f>
        <v>N 16 VP OW</v>
      </c>
      <c r="K17" s="242">
        <f>+C26</f>
        <v>6983</v>
      </c>
      <c r="L17" s="232"/>
      <c r="M17" s="120">
        <f>+K17+'12'!M17+L17</f>
        <v>45157</v>
      </c>
    </row>
    <row r="18" spans="1:18" ht="13.5" thickBot="1">
      <c r="A18" s="787"/>
      <c r="B18" s="218"/>
      <c r="C18" s="219"/>
      <c r="D18" s="220"/>
      <c r="E18" s="228"/>
      <c r="F18" s="231"/>
      <c r="G18" s="235"/>
      <c r="H18" s="236" t="s">
        <v>592</v>
      </c>
      <c r="I18" s="785"/>
      <c r="J18" s="217" t="str">
        <f>+'12'!J18</f>
        <v>N 19 VP OW</v>
      </c>
      <c r="K18" s="242"/>
      <c r="L18" s="242"/>
      <c r="M18" s="120">
        <f>+K18+'12'!M18+L18</f>
        <v>24049</v>
      </c>
    </row>
    <row r="19" spans="1:18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+'12'!J19</f>
        <v>N 25 VP OW</v>
      </c>
      <c r="K19" s="242"/>
      <c r="L19" s="242"/>
      <c r="M19" s="120">
        <f>+K19+'12'!M19+L19</f>
        <v>114797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+'12'!J20</f>
        <v>N 23 VP OW</v>
      </c>
      <c r="K20" s="242"/>
      <c r="L20" s="243"/>
      <c r="M20" s="120">
        <f>+K20+'12'!M20+L20</f>
        <v>9760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+'12'!J21</f>
        <v>TW 23 VP OW</v>
      </c>
      <c r="K21" s="242"/>
      <c r="L21" s="242"/>
      <c r="M21" s="120">
        <f>+K21+'12'!M21+L21</f>
        <v>77386</v>
      </c>
    </row>
    <row r="22" spans="1:18" ht="16.5" customHeight="1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tr">
        <f>+'12'!J22</f>
        <v>TW 17 VP OW</v>
      </c>
      <c r="K22" s="242">
        <f>+C7+C16+C25</f>
        <v>36271</v>
      </c>
      <c r="L22" s="242"/>
      <c r="M22" s="120">
        <f>+K22+'12'!M22+L22</f>
        <v>81508</v>
      </c>
    </row>
    <row r="23" spans="1:18" ht="13.5" thickBot="1">
      <c r="A23" s="788"/>
      <c r="B23" s="168" t="s">
        <v>3</v>
      </c>
      <c r="C23" s="103">
        <f>SUM(C16:C22)</f>
        <v>16802</v>
      </c>
      <c r="D23" s="114">
        <f>SUM(D16:D22)</f>
        <v>0</v>
      </c>
      <c r="E23" s="115">
        <f>SUM(E18:E22)</f>
        <v>0</v>
      </c>
      <c r="F23" s="105">
        <f>SUM(F15:F22)</f>
        <v>5</v>
      </c>
      <c r="G23" s="162"/>
      <c r="H23" s="169"/>
      <c r="I23" s="172"/>
      <c r="J23" s="217">
        <f>+'12'!J23</f>
        <v>0</v>
      </c>
      <c r="K23" s="242"/>
      <c r="L23" s="242"/>
      <c r="M23" s="120">
        <f>+K23+'12'!M23+L23</f>
        <v>0</v>
      </c>
    </row>
    <row r="24" spans="1:18" ht="13.5" customHeight="1" thickBot="1">
      <c r="A24" s="781" t="s">
        <v>461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5</v>
      </c>
      <c r="G24" s="232" t="s">
        <v>13</v>
      </c>
      <c r="H24" s="233" t="s">
        <v>435</v>
      </c>
      <c r="I24" s="784" t="s">
        <v>600</v>
      </c>
      <c r="J24" s="217">
        <f>+'12'!J24</f>
        <v>0</v>
      </c>
      <c r="K24" s="242"/>
      <c r="L24" s="242"/>
      <c r="M24" s="120">
        <f>+K24+'12'!M24+L24</f>
        <v>0</v>
      </c>
    </row>
    <row r="25" spans="1:18" ht="13.5" thickBot="1">
      <c r="A25" s="787"/>
      <c r="B25" s="218" t="s">
        <v>593</v>
      </c>
      <c r="C25" s="229">
        <f>2876+4085</f>
        <v>6961</v>
      </c>
      <c r="D25" s="220"/>
      <c r="E25" s="228"/>
      <c r="F25" s="234">
        <v>25</v>
      </c>
      <c r="G25" s="235" t="s">
        <v>13</v>
      </c>
      <c r="H25" s="233" t="s">
        <v>434</v>
      </c>
      <c r="I25" s="785"/>
      <c r="J25" s="217">
        <f>+'12'!J25</f>
        <v>0</v>
      </c>
      <c r="K25" s="242"/>
      <c r="L25" s="242"/>
      <c r="M25" s="120">
        <f>+K25+'12'!M25+L25</f>
        <v>0</v>
      </c>
      <c r="N25" s="152">
        <v>830</v>
      </c>
      <c r="O25" s="152">
        <f>+N25-N25*0.18</f>
        <v>680.6</v>
      </c>
      <c r="P25" s="152">
        <v>180</v>
      </c>
      <c r="Q25" s="152">
        <f>+N25*P25</f>
        <v>149400</v>
      </c>
      <c r="R25" s="152">
        <f>+O25*P25</f>
        <v>122508</v>
      </c>
    </row>
    <row r="26" spans="1:18" ht="13.5" thickBot="1">
      <c r="A26" s="787"/>
      <c r="B26" s="218" t="s">
        <v>532</v>
      </c>
      <c r="C26" s="229">
        <f>1824+3688+1471</f>
        <v>6983</v>
      </c>
      <c r="D26" s="220">
        <v>69</v>
      </c>
      <c r="E26" s="230"/>
      <c r="F26" s="231">
        <v>5</v>
      </c>
      <c r="G26" s="235" t="s">
        <v>13</v>
      </c>
      <c r="H26" s="236" t="s">
        <v>226</v>
      </c>
      <c r="I26" s="785"/>
      <c r="J26" s="217">
        <f>+'12'!J26</f>
        <v>0</v>
      </c>
      <c r="K26" s="242"/>
      <c r="L26" s="242"/>
      <c r="M26" s="120">
        <f>+K26+'12'!M26+L26</f>
        <v>0</v>
      </c>
      <c r="N26" s="152">
        <v>830</v>
      </c>
      <c r="O26" s="152">
        <f>+N26-N26*0.15</f>
        <v>705.5</v>
      </c>
      <c r="P26" s="152">
        <v>300</v>
      </c>
      <c r="Q26" s="152">
        <f>+N26*P26</f>
        <v>249000</v>
      </c>
      <c r="R26" s="152">
        <f>+O26*P26</f>
        <v>211650</v>
      </c>
    </row>
    <row r="27" spans="1:18" ht="13.5" thickBot="1">
      <c r="A27" s="787"/>
      <c r="B27" s="218"/>
      <c r="C27" s="219"/>
      <c r="D27" s="220"/>
      <c r="E27" s="228"/>
      <c r="F27" s="231"/>
      <c r="G27" s="235"/>
      <c r="H27" s="236" t="s">
        <v>592</v>
      </c>
      <c r="I27" s="785"/>
      <c r="J27" s="217">
        <f>+'12'!J27</f>
        <v>0</v>
      </c>
      <c r="K27" s="242"/>
      <c r="L27" s="242"/>
      <c r="M27" s="120">
        <f>+K27+'12'!M27+L27</f>
        <v>0</v>
      </c>
      <c r="P27" s="152">
        <f>SUM(P25:P26)</f>
        <v>480</v>
      </c>
      <c r="Q27" s="152">
        <f>SUM(Q25:Q26)</f>
        <v>398400</v>
      </c>
      <c r="R27" s="152">
        <f>SUM(R25:R26)</f>
        <v>334158</v>
      </c>
    </row>
    <row r="28" spans="1:18" ht="26.25" thickBot="1">
      <c r="A28" s="787"/>
      <c r="B28" s="218"/>
      <c r="C28" s="219"/>
      <c r="D28" s="220"/>
      <c r="E28" s="228"/>
      <c r="F28" s="234">
        <v>10</v>
      </c>
      <c r="G28" s="235" t="s">
        <v>13</v>
      </c>
      <c r="H28" s="236" t="s">
        <v>598</v>
      </c>
      <c r="I28" s="785"/>
      <c r="J28" s="217">
        <f>+'12'!J28</f>
        <v>0</v>
      </c>
      <c r="K28" s="242"/>
      <c r="L28" s="242"/>
      <c r="M28" s="120">
        <f>+K28+'12'!M28+L28</f>
        <v>0</v>
      </c>
      <c r="Q28" s="152">
        <f>+Q27/P27</f>
        <v>830</v>
      </c>
      <c r="R28" s="152">
        <f>+R27/P27</f>
        <v>696.16250000000002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 t="s">
        <v>599</v>
      </c>
      <c r="I29" s="785"/>
      <c r="J29" s="217">
        <f>+'12'!J29</f>
        <v>0</v>
      </c>
      <c r="K29" s="242"/>
      <c r="L29" s="242"/>
      <c r="M29" s="120">
        <f>+K29+'12'!M29+L29</f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+'12'!J30</f>
        <v>0</v>
      </c>
      <c r="K30" s="242"/>
      <c r="L30" s="242"/>
      <c r="M30" s="120">
        <f>+K30+'12'!M30+L30</f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+'12'!J31</f>
        <v>0</v>
      </c>
      <c r="K31" s="242"/>
      <c r="L31" s="242"/>
      <c r="M31" s="120">
        <f>+K31+'12'!M31+L31</f>
        <v>0</v>
      </c>
    </row>
    <row r="32" spans="1:18" ht="13.5" thickBot="1">
      <c r="A32" s="788"/>
      <c r="B32" s="168" t="s">
        <v>3</v>
      </c>
      <c r="C32" s="102">
        <f>SUM(C25:C31)</f>
        <v>13944</v>
      </c>
      <c r="D32" s="103">
        <f>SUM(D25:D31)</f>
        <v>69</v>
      </c>
      <c r="E32" s="104">
        <f>SUM(E25:E31)</f>
        <v>0</v>
      </c>
      <c r="F32" s="105">
        <f>SUM(F24:F31)</f>
        <v>45</v>
      </c>
      <c r="G32" s="174"/>
      <c r="H32" s="175"/>
      <c r="I32" s="172"/>
      <c r="J32" s="217">
        <f>+'12'!J32</f>
        <v>0</v>
      </c>
      <c r="K32" s="244"/>
      <c r="L32" s="246"/>
      <c r="M32" s="120">
        <f>+K32+'12'!M32+L32</f>
        <v>0</v>
      </c>
    </row>
    <row r="33" spans="1:15" ht="13.5" thickBot="1">
      <c r="A33" s="176"/>
      <c r="B33" s="177"/>
      <c r="C33" s="106">
        <f>C32/($C$32+$D$32+$E$32)</f>
        <v>0.99507600085634773</v>
      </c>
      <c r="D33" s="107">
        <f>D32/($C$32+$D$32+$E$32)</f>
        <v>4.9239991436523228E-3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91" t="s">
        <v>60</v>
      </c>
      <c r="B34" s="792"/>
      <c r="C34" s="110">
        <f>C14+C23+C32</f>
        <v>43254</v>
      </c>
      <c r="D34" s="110">
        <f>D14+D23+D32</f>
        <v>719</v>
      </c>
      <c r="E34" s="110">
        <f>E14+E23+E32</f>
        <v>0</v>
      </c>
      <c r="F34" s="111">
        <f>F14+F23+F32</f>
        <v>110</v>
      </c>
      <c r="H34" s="181"/>
      <c r="I34" s="181"/>
      <c r="J34" s="126" t="s">
        <v>29</v>
      </c>
      <c r="K34" s="127">
        <f>SUM(K7:K32)</f>
        <v>43254</v>
      </c>
      <c r="L34" s="215">
        <f>SUM(L7:L32)</f>
        <v>0</v>
      </c>
      <c r="M34" s="123">
        <f>SUM(M7:M32)</f>
        <v>662379</v>
      </c>
      <c r="N34" s="158"/>
    </row>
    <row r="35" spans="1:15" ht="13.5" thickBot="1">
      <c r="A35" s="182"/>
      <c r="B35" s="183"/>
      <c r="C35" s="107">
        <f>C34/($C$34+$D$34+$E$34)</f>
        <v>0.98364905737611719</v>
      </c>
      <c r="D35" s="107">
        <f>D34/($C$34+$D$34+$E$34)</f>
        <v>1.6350942623882838E-2</v>
      </c>
      <c r="E35" s="112">
        <f>E34/($C$34+$D$34+$E$34)</f>
        <v>0</v>
      </c>
      <c r="K35" s="158"/>
      <c r="L35" s="780" t="s">
        <v>186</v>
      </c>
      <c r="M35" s="780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5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(17*1140+16*300)/1440*G42*3.4*1440/1000000</f>
        <v>56.379961950000002</v>
      </c>
      <c r="J37" s="128">
        <f>+I37+'12'!J37</f>
        <v>774.37025888853941</v>
      </c>
      <c r="K37" s="129" t="s">
        <v>66</v>
      </c>
      <c r="L37" s="437"/>
      <c r="M37" s="438"/>
      <c r="N37" s="563">
        <f>+I38-N38</f>
        <v>37.284999999999997</v>
      </c>
      <c r="O37" s="571"/>
    </row>
    <row r="38" spans="1:15" ht="17.45" customHeight="1">
      <c r="A38" s="797" t="s">
        <v>13</v>
      </c>
      <c r="B38" s="798"/>
      <c r="C38" s="167">
        <f>SUMIF($G$7:$G$31,"Process",$F$7:$F$31)</f>
        <v>110</v>
      </c>
      <c r="D38" s="121">
        <f>+C38+'12'!D38</f>
        <v>697</v>
      </c>
      <c r="E38" s="146">
        <f t="shared" ref="E38:E51" si="0">D38/60</f>
        <v>11.616666666666667</v>
      </c>
      <c r="F38" s="372">
        <v>830</v>
      </c>
      <c r="G38" s="372">
        <f>+F38-F38*0.18</f>
        <v>680.6</v>
      </c>
      <c r="H38" s="190" t="s">
        <v>67</v>
      </c>
      <c r="I38" s="562">
        <f>14.936+17.352+15.237</f>
        <v>47.524999999999999</v>
      </c>
      <c r="J38" s="130">
        <f>+I38+'12'!J38</f>
        <v>696.20499999999993</v>
      </c>
      <c r="K38" s="131" t="s">
        <v>66</v>
      </c>
      <c r="L38" s="439"/>
      <c r="M38" s="440"/>
      <c r="N38" s="572">
        <f>15.237-1.922-1.098-1.977</f>
        <v>10.239999999999998</v>
      </c>
    </row>
    <row r="39" spans="1:15" ht="17.45" customHeight="1">
      <c r="A39" s="793" t="s">
        <v>14</v>
      </c>
      <c r="B39" s="794"/>
      <c r="C39" s="167">
        <f>SUMIF($G$7:$G$31,"Cleaning",$F$7:$F$31)</f>
        <v>0</v>
      </c>
      <c r="D39" s="121">
        <f>+C39+'12'!D39</f>
        <v>0</v>
      </c>
      <c r="E39" s="146">
        <f t="shared" si="0"/>
        <v>0</v>
      </c>
      <c r="F39" s="372">
        <v>830</v>
      </c>
      <c r="G39" s="372">
        <f>+F39-F39*0.18</f>
        <v>680.6</v>
      </c>
      <c r="H39" s="190" t="s">
        <v>68</v>
      </c>
      <c r="I39" s="145"/>
      <c r="J39" s="132">
        <f>J37/G4</f>
        <v>59.56694299142611</v>
      </c>
      <c r="K39" s="133" t="s">
        <v>66</v>
      </c>
      <c r="L39" s="439"/>
      <c r="M39" s="440"/>
    </row>
    <row r="40" spans="1:15" ht="17.45" customHeight="1">
      <c r="A40" s="793" t="s">
        <v>69</v>
      </c>
      <c r="B40" s="794"/>
      <c r="C40" s="167">
        <f>SUMIF($G$7:$G$31,"Mechanical",$F$7:$F$31)</f>
        <v>0</v>
      </c>
      <c r="D40" s="121">
        <f>+C40+'12'!D40</f>
        <v>0</v>
      </c>
      <c r="E40" s="146">
        <f t="shared" si="0"/>
        <v>0</v>
      </c>
      <c r="F40" s="372">
        <v>830</v>
      </c>
      <c r="G40" s="372">
        <v>696.16250000000002</v>
      </c>
      <c r="H40" s="190" t="s">
        <v>70</v>
      </c>
      <c r="I40" s="121">
        <f>(K34+L34)/1000</f>
        <v>43.253999999999998</v>
      </c>
      <c r="J40" s="134">
        <f>+I40+'12'!J40</f>
        <v>662.37900000000002</v>
      </c>
      <c r="K40" s="133" t="s">
        <v>66</v>
      </c>
      <c r="L40" s="439"/>
      <c r="M40" s="440"/>
    </row>
    <row r="41" spans="1:15" ht="17.45" customHeight="1">
      <c r="A41" s="793" t="s">
        <v>71</v>
      </c>
      <c r="B41" s="794"/>
      <c r="C41" s="167">
        <f>SUMIF($G$7:$G$31,"Electrical",$F$7:$F$31)</f>
        <v>0</v>
      </c>
      <c r="D41" s="121">
        <f>+C41+'12'!D41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50.952230769230773</v>
      </c>
      <c r="K41" s="133" t="s">
        <v>66</v>
      </c>
      <c r="L41" s="439"/>
      <c r="M41" s="440"/>
    </row>
    <row r="42" spans="1:15" ht="17.45" customHeight="1">
      <c r="A42" s="793" t="s">
        <v>17</v>
      </c>
      <c r="B42" s="794"/>
      <c r="C42" s="167">
        <f>SUMIF($G$7:$G$31,"Instrument",$F$7:$F$31)</f>
        <v>0</v>
      </c>
      <c r="D42" s="121">
        <f>+C42+'12'!D42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685.78750000000002</v>
      </c>
      <c r="H42" s="190" t="s">
        <v>73</v>
      </c>
      <c r="I42" s="248" t="s">
        <v>601</v>
      </c>
      <c r="J42" s="135"/>
      <c r="K42" s="133" t="s">
        <v>74</v>
      </c>
      <c r="L42" s="439"/>
      <c r="M42" s="440"/>
    </row>
    <row r="43" spans="1:15" ht="17.45" customHeight="1">
      <c r="A43" s="793" t="s">
        <v>75</v>
      </c>
      <c r="B43" s="794"/>
      <c r="C43" s="167">
        <f>SUMIF($G$7:$G$31,"Water",$F$7:$F$31)</f>
        <v>0</v>
      </c>
      <c r="D43" s="121">
        <f>+C43+'12'!D43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+Report1!AH21</f>
        <v>116.601</v>
      </c>
      <c r="J43" s="136">
        <f>+I43+'12'!J43</f>
        <v>1784.6189999999997</v>
      </c>
      <c r="K43" s="133" t="s">
        <v>66</v>
      </c>
      <c r="L43" s="441">
        <f>+Report1!AN21</f>
        <v>0</v>
      </c>
      <c r="M43" s="442">
        <f>+L43+'12'!M43</f>
        <v>62.5</v>
      </c>
    </row>
    <row r="44" spans="1:15" ht="17.45" customHeight="1">
      <c r="A44" s="793" t="s">
        <v>18</v>
      </c>
      <c r="B44" s="794"/>
      <c r="C44" s="167">
        <f>SUMIF($G$7:$G$31,"PLN",$F$7:$F$31)</f>
        <v>0</v>
      </c>
      <c r="D44" s="121">
        <f>+C44+'12'!D44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2.453466596528143</v>
      </c>
      <c r="J44" s="137">
        <f>J43/J38</f>
        <v>2.5633527481129836</v>
      </c>
      <c r="K44" s="133" t="s">
        <v>66</v>
      </c>
      <c r="L44" s="443">
        <f>+L43/I38</f>
        <v>0</v>
      </c>
      <c r="M44" s="444">
        <f>+M43/J38</f>
        <v>8.9772408988731775E-2</v>
      </c>
    </row>
    <row r="45" spans="1:15" ht="17.45" customHeight="1">
      <c r="A45" s="793" t="s">
        <v>19</v>
      </c>
      <c r="B45" s="794"/>
      <c r="C45" s="167">
        <f>SUMIF($G$7:$G$31,"Boiler",$F$7:$F$31)</f>
        <v>0</v>
      </c>
      <c r="D45" s="121">
        <f>+C45+'12'!D45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2.6957275627687616</v>
      </c>
      <c r="J45" s="137">
        <f>J43/J40</f>
        <v>2.6942566113961939</v>
      </c>
      <c r="K45" s="133" t="s">
        <v>66</v>
      </c>
      <c r="L45" s="443">
        <f>+L43/I40</f>
        <v>0</v>
      </c>
      <c r="M45" s="444">
        <f>+M43/J40</f>
        <v>9.4356856120136653E-2</v>
      </c>
    </row>
    <row r="46" spans="1:15" ht="17.45" customHeight="1">
      <c r="A46" s="793" t="s">
        <v>79</v>
      </c>
      <c r="B46" s="794"/>
      <c r="C46" s="167">
        <f>SUMIF($G$7:$G$31,"Gas",$F$7:$F$31)</f>
        <v>0</v>
      </c>
      <c r="D46" s="121">
        <f>+C46+'12'!D46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+SUMIF(Listrik!AC20,"&gt;0")</f>
        <v>45494.83</v>
      </c>
      <c r="J46" s="138">
        <f>+I46+'12'!J46</f>
        <v>506479.28000000044</v>
      </c>
      <c r="K46" s="133" t="s">
        <v>81</v>
      </c>
      <c r="L46" s="443">
        <f>+Listrik!AF20</f>
        <v>531</v>
      </c>
      <c r="M46" s="445">
        <f>+L46+'12'!M46</f>
        <v>109709</v>
      </c>
    </row>
    <row r="47" spans="1:15" ht="17.45" customHeight="1">
      <c r="A47" s="793" t="s">
        <v>82</v>
      </c>
      <c r="B47" s="794"/>
      <c r="C47" s="167">
        <f>SUMIF($G$7:$G$31,"Gas",$F$7:$F$31)</f>
        <v>0</v>
      </c>
      <c r="D47" s="121">
        <f>+C47+'12'!D47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957.28206207259348</v>
      </c>
      <c r="J47" s="138">
        <f>J46/J38</f>
        <v>727.48584109565502</v>
      </c>
      <c r="K47" s="133" t="s">
        <v>25</v>
      </c>
      <c r="L47" s="443">
        <f>+L46/I38</f>
        <v>11.173066806943714</v>
      </c>
      <c r="M47" s="444">
        <f>+M46/J38</f>
        <v>157.5814594839164</v>
      </c>
    </row>
    <row r="48" spans="1:15" ht="17.45" customHeight="1">
      <c r="A48" s="793" t="s">
        <v>15</v>
      </c>
      <c r="B48" s="794"/>
      <c r="C48" s="167">
        <f>SUMIF($G$7:$G$31,"Start Up",$F$7:$F$31)</f>
        <v>0</v>
      </c>
      <c r="D48" s="121">
        <f>+C48+'12'!D48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1051.8063069311509</v>
      </c>
      <c r="J48" s="138">
        <f>J46/J40</f>
        <v>764.63668081264723</v>
      </c>
      <c r="K48" s="133" t="s">
        <v>25</v>
      </c>
      <c r="L48" s="443">
        <f>+L46/I38</f>
        <v>11.173066806943714</v>
      </c>
      <c r="M48" s="444">
        <f>+M46/J40</f>
        <v>165.62874124934515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+C49+'12'!D49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+Report1!AB21</f>
        <v>0</v>
      </c>
      <c r="J49" s="138">
        <f>+I49+'12'!J49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+C50+'12'!D50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+C51+'12'!D51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110</v>
      </c>
      <c r="D52" s="147">
        <f>SUM(D38:D51)</f>
        <v>2693</v>
      </c>
      <c r="E52" s="148">
        <f>SUM(E38:E51)</f>
        <v>44.88333333333334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7.6388888888888895E-2</v>
      </c>
      <c r="D53" s="149">
        <f>D52/(24*60*G4)</f>
        <v>0.1438568376068376</v>
      </c>
      <c r="E53" s="150">
        <f>E52/(G4*24)</f>
        <v>0.14385683760683762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+D34+'12'!J56</f>
        <v>8394</v>
      </c>
      <c r="K56" s="204">
        <f>J56/(J40+J56/1000)/1000</f>
        <v>1.2513920506639355E-2</v>
      </c>
    </row>
    <row r="57" spans="1:13">
      <c r="A57" s="179"/>
      <c r="I57" s="202" t="s">
        <v>92</v>
      </c>
      <c r="J57" s="203">
        <f>+E34+'12'!J57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8719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N61"/>
  <sheetViews>
    <sheetView topLeftCell="A4" zoomScale="80" zoomScaleNormal="80" workbookViewId="0">
      <selection activeCell="D16" sqref="D16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4" style="152" bestFit="1" customWidth="1"/>
    <col min="12" max="12" width="12.140625" style="152" customWidth="1"/>
    <col min="13" max="13" width="15" style="152" bestFit="1" customWidth="1"/>
    <col min="14" max="16384" width="9.140625" style="152"/>
  </cols>
  <sheetData>
    <row r="1" spans="1:14" ht="15.75">
      <c r="A1" s="151"/>
    </row>
    <row r="2" spans="1:14" ht="15.75">
      <c r="A2" s="151" t="s">
        <v>175</v>
      </c>
    </row>
    <row r="3" spans="1:14" ht="15">
      <c r="A3" s="153"/>
    </row>
    <row r="4" spans="1:14" ht="20.25">
      <c r="A4" s="154" t="s">
        <v>4</v>
      </c>
      <c r="B4" s="155"/>
      <c r="F4" s="156" t="s">
        <v>31</v>
      </c>
      <c r="G4" s="157">
        <v>12</v>
      </c>
      <c r="H4" s="157" t="str">
        <f>+'1'!H4</f>
        <v>.06.24</v>
      </c>
    </row>
    <row r="5" spans="1:14" ht="13.5" thickBot="1">
      <c r="C5" s="158"/>
      <c r="D5" s="158"/>
    </row>
    <row r="6" spans="1:14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249+243+243</f>
        <v>735</v>
      </c>
    </row>
    <row r="7" spans="1:14" ht="13.5" customHeight="1" thickBot="1">
      <c r="A7" s="781" t="s">
        <v>410</v>
      </c>
      <c r="B7" s="218" t="s">
        <v>531</v>
      </c>
      <c r="C7" s="219">
        <f>538+3251</f>
        <v>3789</v>
      </c>
      <c r="D7" s="220"/>
      <c r="E7" s="221"/>
      <c r="F7" s="231"/>
      <c r="G7" s="232" t="s">
        <v>13</v>
      </c>
      <c r="H7" s="233" t="s">
        <v>391</v>
      </c>
      <c r="I7" s="784" t="s">
        <v>585</v>
      </c>
      <c r="J7" s="217" t="str">
        <f>+'11'!J7</f>
        <v>TW 38 RC BR</v>
      </c>
      <c r="K7" s="241"/>
      <c r="L7" s="245"/>
      <c r="M7" s="120">
        <f>+K7+'11'!M7+L7</f>
        <v>53722</v>
      </c>
    </row>
    <row r="8" spans="1:14" ht="13.5" thickBot="1">
      <c r="A8" s="782"/>
      <c r="B8" s="218" t="s">
        <v>593</v>
      </c>
      <c r="C8" s="219">
        <f>6062+6732</f>
        <v>12794</v>
      </c>
      <c r="D8" s="220"/>
      <c r="E8" s="222"/>
      <c r="F8" s="234">
        <v>4</v>
      </c>
      <c r="G8" s="585" t="s">
        <v>13</v>
      </c>
      <c r="H8" s="233" t="s">
        <v>389</v>
      </c>
      <c r="I8" s="785"/>
      <c r="J8" s="217" t="str">
        <f>+'11'!J8</f>
        <v>TW 36 RC BR</v>
      </c>
      <c r="K8" s="242"/>
      <c r="L8" s="242"/>
      <c r="M8" s="120">
        <f>+K8+'11'!M8+L8</f>
        <v>45750</v>
      </c>
    </row>
    <row r="9" spans="1:14" ht="13.5" thickBot="1">
      <c r="A9" s="782"/>
      <c r="B9" s="218"/>
      <c r="C9" s="219"/>
      <c r="D9" s="220"/>
      <c r="E9" s="223"/>
      <c r="F9" s="231">
        <v>4</v>
      </c>
      <c r="G9" s="585" t="s">
        <v>13</v>
      </c>
      <c r="H9" s="236" t="s">
        <v>226</v>
      </c>
      <c r="I9" s="785"/>
      <c r="J9" s="217" t="str">
        <f>+'11'!J9</f>
        <v>TW 34 RC BR</v>
      </c>
      <c r="K9" s="242"/>
      <c r="L9" s="242"/>
      <c r="M9" s="120">
        <f>+K9+'11'!M9+L9</f>
        <v>19926</v>
      </c>
    </row>
    <row r="10" spans="1:14" ht="13.5" thickBot="1">
      <c r="A10" s="782"/>
      <c r="B10" s="218"/>
      <c r="C10" s="219"/>
      <c r="D10" s="220"/>
      <c r="E10" s="222"/>
      <c r="F10" s="231"/>
      <c r="G10" s="235"/>
      <c r="H10" s="236" t="s">
        <v>583</v>
      </c>
      <c r="I10" s="785"/>
      <c r="J10" s="217" t="str">
        <f>+'11'!J10</f>
        <v>TW 30 RC BR</v>
      </c>
      <c r="K10" s="242"/>
      <c r="L10" s="242"/>
      <c r="M10" s="120">
        <f>+K10+'11'!M10+L10</f>
        <v>11017</v>
      </c>
    </row>
    <row r="11" spans="1:14" ht="13.5" thickBot="1">
      <c r="A11" s="782"/>
      <c r="B11" s="218"/>
      <c r="C11" s="219"/>
      <c r="D11" s="220"/>
      <c r="E11" s="222"/>
      <c r="F11" s="231"/>
      <c r="G11" s="235"/>
      <c r="H11" s="236" t="s">
        <v>591</v>
      </c>
      <c r="I11" s="785"/>
      <c r="J11" s="217" t="str">
        <f>+'11'!J11</f>
        <v>TW 20 RC BR</v>
      </c>
      <c r="K11" s="242"/>
      <c r="L11" s="242"/>
      <c r="M11" s="120">
        <f>+K11+'11'!M11+L11</f>
        <v>13885</v>
      </c>
    </row>
    <row r="12" spans="1:14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+'11'!J12</f>
        <v>N 20 RC BR</v>
      </c>
      <c r="K12" s="242"/>
      <c r="L12" s="242"/>
      <c r="M12" s="120">
        <f>+K12+'11'!M12+L12</f>
        <v>16183</v>
      </c>
    </row>
    <row r="13" spans="1:14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+'11'!J13</f>
        <v>N 17,5 RC BR</v>
      </c>
      <c r="K13" s="242"/>
      <c r="L13" s="242"/>
      <c r="M13" s="120">
        <f>+K13+'11'!M13+L13</f>
        <v>61888</v>
      </c>
    </row>
    <row r="14" spans="1:14" ht="13.5" thickBot="1">
      <c r="A14" s="783"/>
      <c r="B14" s="168" t="s">
        <v>3</v>
      </c>
      <c r="C14" s="102">
        <f>SUM(C7:C13)</f>
        <v>16583</v>
      </c>
      <c r="D14" s="114">
        <f>SUM(D7:D13)</f>
        <v>0</v>
      </c>
      <c r="E14" s="115">
        <f>SUM(E5:E13)</f>
        <v>0</v>
      </c>
      <c r="F14" s="105">
        <f>SUM(F6:F13)</f>
        <v>8</v>
      </c>
      <c r="G14" s="162"/>
      <c r="H14" s="169"/>
      <c r="I14" s="170"/>
      <c r="J14" s="217" t="str">
        <f>+'11'!J14</f>
        <v>N 16 RC BR</v>
      </c>
      <c r="K14" s="242"/>
      <c r="L14" s="242"/>
      <c r="M14" s="120">
        <f>+K14+'11'!M14+L14</f>
        <v>24358</v>
      </c>
    </row>
    <row r="15" spans="1:14" ht="13.5" customHeight="1" thickBot="1">
      <c r="A15" s="781" t="s">
        <v>408</v>
      </c>
      <c r="B15" s="168"/>
      <c r="C15" s="116">
        <f>C14/($C$23+$D$23+$E$23)</f>
        <v>0.98661351737267966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585</v>
      </c>
      <c r="J15" s="217" t="str">
        <f>+'11'!J15</f>
        <v>N 15,5 RC BR</v>
      </c>
      <c r="K15" s="242"/>
      <c r="L15" s="242"/>
      <c r="M15" s="120">
        <f>+K15+'11'!M15+L15</f>
        <v>0</v>
      </c>
    </row>
    <row r="16" spans="1:14" ht="13.5" thickBot="1">
      <c r="A16" s="787"/>
      <c r="B16" s="218" t="s">
        <v>593</v>
      </c>
      <c r="C16" s="225">
        <v>16808</v>
      </c>
      <c r="D16" s="226"/>
      <c r="E16" s="227"/>
      <c r="F16" s="234">
        <v>2</v>
      </c>
      <c r="G16" s="585" t="s">
        <v>13</v>
      </c>
      <c r="H16" s="233" t="s">
        <v>389</v>
      </c>
      <c r="I16" s="785"/>
      <c r="J16" s="217" t="str">
        <f>+'11'!J16</f>
        <v>N 17 VP OW</v>
      </c>
      <c r="K16" s="242">
        <f>+C7</f>
        <v>3789</v>
      </c>
      <c r="L16" s="242"/>
      <c r="M16" s="120">
        <f>+K16+'11'!M16+L16</f>
        <v>62993</v>
      </c>
    </row>
    <row r="17" spans="1:14" ht="13.5" thickBot="1">
      <c r="A17" s="787"/>
      <c r="B17" s="218"/>
      <c r="C17" s="219"/>
      <c r="D17" s="220"/>
      <c r="E17" s="228"/>
      <c r="F17" s="231">
        <v>6</v>
      </c>
      <c r="G17" s="585" t="s">
        <v>13</v>
      </c>
      <c r="H17" s="236" t="s">
        <v>226</v>
      </c>
      <c r="I17" s="785"/>
      <c r="J17" s="217" t="str">
        <f>+'11'!J17</f>
        <v>N 16 VP OW</v>
      </c>
      <c r="K17" s="242"/>
      <c r="L17" s="242"/>
      <c r="M17" s="120">
        <f>+K17+'11'!M17+L17</f>
        <v>38174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592</v>
      </c>
      <c r="I18" s="785"/>
      <c r="J18" s="217" t="str">
        <f>+'11'!J18</f>
        <v>N 19 VP OW</v>
      </c>
      <c r="K18" s="242"/>
      <c r="L18" s="242"/>
      <c r="M18" s="120">
        <f>+K18+'11'!M18+L18</f>
        <v>24049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+'11'!J19</f>
        <v>N 25 VP OW</v>
      </c>
      <c r="K19" s="242"/>
      <c r="L19" s="242"/>
      <c r="M19" s="120">
        <f>+K19+'11'!M19+L19</f>
        <v>114797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+'11'!J20</f>
        <v>N 23 VP OW</v>
      </c>
      <c r="K20" s="242"/>
      <c r="L20" s="242"/>
      <c r="M20" s="120">
        <f>+K20+'11'!M20+L20</f>
        <v>9760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+'11'!J21</f>
        <v>TW 23 VP OW</v>
      </c>
      <c r="K21" s="242"/>
      <c r="L21" s="242"/>
      <c r="M21" s="120">
        <f>+K21+'11'!M21+L21</f>
        <v>77386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 t="s">
        <v>593</v>
      </c>
      <c r="K22" s="242">
        <f>+C8+C16+C25</f>
        <v>45237</v>
      </c>
      <c r="L22" s="242"/>
      <c r="M22" s="120">
        <f>+K22+'11'!M22+L22</f>
        <v>45237</v>
      </c>
    </row>
    <row r="23" spans="1:14" ht="13.5" thickBot="1">
      <c r="A23" s="788"/>
      <c r="B23" s="168" t="s">
        <v>3</v>
      </c>
      <c r="C23" s="103">
        <f>SUM(C16:C22)</f>
        <v>16808</v>
      </c>
      <c r="D23" s="114">
        <f>SUM(D16:D22)</f>
        <v>0</v>
      </c>
      <c r="E23" s="115">
        <f>SUM(E18:E22)</f>
        <v>0</v>
      </c>
      <c r="F23" s="105">
        <f>SUM(F15:F22)</f>
        <v>8</v>
      </c>
      <c r="G23" s="162"/>
      <c r="H23" s="169"/>
      <c r="I23" s="172"/>
      <c r="J23" s="217">
        <f>+'11'!J23</f>
        <v>0</v>
      </c>
      <c r="K23" s="242"/>
      <c r="L23" s="242"/>
      <c r="M23" s="120">
        <f>+K23+'11'!M23+L23</f>
        <v>0</v>
      </c>
    </row>
    <row r="24" spans="1:14" ht="13.5" customHeight="1" thickBot="1">
      <c r="A24" s="781" t="s">
        <v>461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585</v>
      </c>
      <c r="J24" s="217">
        <f>+'11'!J24</f>
        <v>0</v>
      </c>
      <c r="K24" s="242"/>
      <c r="L24" s="242"/>
      <c r="M24" s="120">
        <f>+K24+'11'!M24+L24</f>
        <v>0</v>
      </c>
    </row>
    <row r="25" spans="1:14" ht="13.5" thickBot="1">
      <c r="A25" s="787"/>
      <c r="B25" s="218" t="s">
        <v>593</v>
      </c>
      <c r="C25" s="229">
        <v>15635</v>
      </c>
      <c r="D25" s="220"/>
      <c r="E25" s="228"/>
      <c r="F25" s="234">
        <v>3</v>
      </c>
      <c r="G25" s="585" t="s">
        <v>13</v>
      </c>
      <c r="H25" s="233" t="s">
        <v>389</v>
      </c>
      <c r="I25" s="785"/>
      <c r="J25" s="217">
        <f>+'11'!J25</f>
        <v>0</v>
      </c>
      <c r="K25" s="242"/>
      <c r="L25" s="242"/>
      <c r="M25" s="120">
        <f>+K25+'11'!M25+L25</f>
        <v>0</v>
      </c>
    </row>
    <row r="26" spans="1:14" ht="13.5" thickBot="1">
      <c r="A26" s="787"/>
      <c r="B26" s="218"/>
      <c r="C26" s="229"/>
      <c r="D26" s="220"/>
      <c r="E26" s="230"/>
      <c r="F26" s="231">
        <v>5</v>
      </c>
      <c r="G26" s="585" t="s">
        <v>13</v>
      </c>
      <c r="H26" s="236" t="s">
        <v>226</v>
      </c>
      <c r="I26" s="785"/>
      <c r="J26" s="217">
        <f>+'11'!J26</f>
        <v>0</v>
      </c>
      <c r="K26" s="242"/>
      <c r="L26" s="242"/>
      <c r="M26" s="120">
        <f>+K26+'11'!M26+L26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235"/>
      <c r="H27" s="236" t="s">
        <v>592</v>
      </c>
      <c r="I27" s="785"/>
      <c r="J27" s="217">
        <f>+'11'!J27</f>
        <v>0</v>
      </c>
      <c r="K27" s="242"/>
      <c r="L27" s="242"/>
      <c r="M27" s="120">
        <f>+K27+'11'!M27+L27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/>
      <c r="I28" s="785"/>
      <c r="J28" s="217">
        <f>+'11'!J28</f>
        <v>0</v>
      </c>
      <c r="K28" s="242"/>
      <c r="L28" s="242"/>
      <c r="M28" s="120">
        <f>+K28+'11'!M28+L28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+'11'!J29</f>
        <v>0</v>
      </c>
      <c r="K29" s="242"/>
      <c r="L29" s="242"/>
      <c r="M29" s="120">
        <f>+K29+'11'!M29+L29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+'11'!J30</f>
        <v>0</v>
      </c>
      <c r="K30" s="242"/>
      <c r="L30" s="242"/>
      <c r="M30" s="120">
        <f>+K30+'11'!M30+L30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+'11'!J31</f>
        <v>0</v>
      </c>
      <c r="K31" s="242"/>
      <c r="L31" s="242"/>
      <c r="M31" s="120">
        <f>+K31+'11'!M31+L31</f>
        <v>0</v>
      </c>
    </row>
    <row r="32" spans="1:14" ht="13.5" thickBot="1">
      <c r="A32" s="788"/>
      <c r="B32" s="168" t="s">
        <v>3</v>
      </c>
      <c r="C32" s="102">
        <f>SUM(C25:C31)</f>
        <v>15635</v>
      </c>
      <c r="D32" s="103">
        <f>SUM(D25:D31)</f>
        <v>0</v>
      </c>
      <c r="E32" s="104">
        <f>SUM(E25:E31)</f>
        <v>0</v>
      </c>
      <c r="F32" s="105">
        <f>SUM(F24:F31)</f>
        <v>8</v>
      </c>
      <c r="G32" s="174"/>
      <c r="H32" s="175"/>
      <c r="I32" s="172"/>
      <c r="J32" s="217">
        <f>+'1'!J32</f>
        <v>0</v>
      </c>
      <c r="K32" s="244"/>
      <c r="L32" s="246"/>
      <c r="M32" s="120">
        <f>+K32+'11'!M32+L32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49026</v>
      </c>
      <c r="D34" s="110">
        <f>D14+D23+D32</f>
        <v>0</v>
      </c>
      <c r="E34" s="110">
        <f>E14+E23+E32</f>
        <v>0</v>
      </c>
      <c r="F34" s="111">
        <f>F14+F23+F32</f>
        <v>24</v>
      </c>
      <c r="H34" s="181"/>
      <c r="I34" s="181"/>
      <c r="J34" s="126" t="s">
        <v>29</v>
      </c>
      <c r="K34" s="127">
        <f>SUM(K7:K32)</f>
        <v>49026</v>
      </c>
      <c r="L34" s="215">
        <f>SUM(L7:L32)</f>
        <v>0</v>
      </c>
      <c r="M34" s="123">
        <f>SUM(M7:M32)</f>
        <v>619125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(17*1440)/1440*G42*3.4*1440/1000000</f>
        <v>56.647699200000005</v>
      </c>
      <c r="J37" s="128">
        <f>+I37+'11'!J37</f>
        <v>717.99029693853936</v>
      </c>
      <c r="K37" s="129" t="s">
        <v>66</v>
      </c>
      <c r="L37" s="437"/>
      <c r="M37" s="438"/>
      <c r="N37" s="563">
        <v>1.9219999999999999</v>
      </c>
    </row>
    <row r="38" spans="1:14" ht="17.45" customHeight="1">
      <c r="A38" s="797" t="s">
        <v>13</v>
      </c>
      <c r="B38" s="798"/>
      <c r="C38" s="167">
        <f>SUMIF($G$7:$G$31,"Process",$F$7:$F$31)</f>
        <v>24</v>
      </c>
      <c r="D38" s="121">
        <f>+C38+'11'!D38</f>
        <v>587</v>
      </c>
      <c r="E38" s="146">
        <f t="shared" ref="E38:E51" si="0">D38/60</f>
        <v>9.7833333333333332</v>
      </c>
      <c r="F38" s="372">
        <v>830</v>
      </c>
      <c r="G38" s="372">
        <f>+F38-F38*0.18</f>
        <v>680.6</v>
      </c>
      <c r="H38" s="190" t="s">
        <v>67</v>
      </c>
      <c r="I38" s="562">
        <f>16.573+16.912+17.022</f>
        <v>50.506999999999998</v>
      </c>
      <c r="J38" s="130">
        <f>+I38+'11'!J38</f>
        <v>648.67999999999995</v>
      </c>
      <c r="K38" s="131" t="s">
        <v>66</v>
      </c>
      <c r="L38" s="439"/>
      <c r="M38" s="440"/>
      <c r="N38" s="563">
        <f>+I38-N37</f>
        <v>48.585000000000001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+C39+'11'!D39</f>
        <v>0</v>
      </c>
      <c r="E39" s="146">
        <f t="shared" si="0"/>
        <v>0</v>
      </c>
      <c r="F39" s="372">
        <v>830</v>
      </c>
      <c r="G39" s="372">
        <f>+F39-F39*0.18</f>
        <v>680.6</v>
      </c>
      <c r="H39" s="190" t="s">
        <v>68</v>
      </c>
      <c r="I39" s="145"/>
      <c r="J39" s="132">
        <f>J37/G4</f>
        <v>59.832524744878278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+C40+'11'!D40</f>
        <v>0</v>
      </c>
      <c r="E40" s="146">
        <f t="shared" si="0"/>
        <v>0</v>
      </c>
      <c r="F40" s="372">
        <v>830</v>
      </c>
      <c r="G40" s="372">
        <f>+F40-F40*0.18</f>
        <v>680.6</v>
      </c>
      <c r="H40" s="190" t="s">
        <v>70</v>
      </c>
      <c r="I40" s="121">
        <f>(K34+L34)/1000</f>
        <v>49.026000000000003</v>
      </c>
      <c r="J40" s="134">
        <f>+I40+'11'!J40</f>
        <v>619.125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+C41+'11'!D41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51.59375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+C42+'11'!D42</f>
        <v>0</v>
      </c>
      <c r="E42" s="146">
        <f t="shared" si="0"/>
        <v>0</v>
      </c>
      <c r="F42" s="372">
        <f>+F40</f>
        <v>830</v>
      </c>
      <c r="G42" s="372">
        <f>+G40</f>
        <v>680.6</v>
      </c>
      <c r="H42" s="190" t="s">
        <v>73</v>
      </c>
      <c r="I42" s="248" t="s">
        <v>585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+C43+'11'!D43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+Report1!AH20</f>
        <v>116.59099999999999</v>
      </c>
      <c r="J43" s="136">
        <f>+I43+'11'!J43</f>
        <v>1668.0179999999996</v>
      </c>
      <c r="K43" s="133" t="s">
        <v>66</v>
      </c>
      <c r="L43" s="441">
        <f>+Report1!AN20</f>
        <v>0</v>
      </c>
      <c r="M43" s="442">
        <f>+L43+'11'!M43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+C44+'11'!D44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2.3084126952699626</v>
      </c>
      <c r="J44" s="137">
        <f>J43/J38</f>
        <v>2.5714034654991669</v>
      </c>
      <c r="K44" s="133" t="s">
        <v>66</v>
      </c>
      <c r="L44" s="443">
        <f>+L43/I38</f>
        <v>0</v>
      </c>
      <c r="M44" s="444">
        <f>+M43/J38</f>
        <v>9.6349509773694275E-2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+C45+'11'!D45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2.3781462897238197</v>
      </c>
      <c r="J45" s="137">
        <f>J43/J40</f>
        <v>2.6941538461538457</v>
      </c>
      <c r="K45" s="133" t="s">
        <v>66</v>
      </c>
      <c r="L45" s="443">
        <f>+L43/I40</f>
        <v>0</v>
      </c>
      <c r="M45" s="444">
        <f>+M43/J40</f>
        <v>0.10094891984655764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+C46+'11'!D46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+SUMIF(Listrik!AC19,"&gt;0")</f>
        <v>46234.880000000558</v>
      </c>
      <c r="J46" s="138">
        <f>+I46+'11'!J46</f>
        <v>460984.45000000042</v>
      </c>
      <c r="K46" s="133" t="s">
        <v>81</v>
      </c>
      <c r="L46" s="443">
        <f>+Listrik!AF19</f>
        <v>456</v>
      </c>
      <c r="M46" s="445">
        <f>+L46+'11'!M46</f>
        <v>109178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+C47+'11'!D47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915.41528896985687</v>
      </c>
      <c r="J47" s="138">
        <f>J46/J38</f>
        <v>710.6500123327379</v>
      </c>
      <c r="K47" s="133" t="s">
        <v>25</v>
      </c>
      <c r="L47" s="443">
        <f>+L46/I38</f>
        <v>9.0284515017720324</v>
      </c>
      <c r="M47" s="444">
        <f>+M46/J38</f>
        <v>168.30794844915832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+C48+'11'!D48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943.06857585771945</v>
      </c>
      <c r="J48" s="138">
        <f>J46/J40</f>
        <v>744.57411669695205</v>
      </c>
      <c r="K48" s="133" t="s">
        <v>25</v>
      </c>
      <c r="L48" s="443">
        <f>+L46/I38</f>
        <v>9.0284515017720324</v>
      </c>
      <c r="M48" s="444">
        <f>+M46/J40</f>
        <v>176.34241873611953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+C49+'11'!D49</f>
        <v>1406</v>
      </c>
      <c r="E49" s="146">
        <f t="shared" si="0"/>
        <v>23.433333333333334</v>
      </c>
      <c r="F49" s="188"/>
      <c r="H49" s="191" t="s">
        <v>85</v>
      </c>
      <c r="I49" s="121">
        <f>+Report1!AB20</f>
        <v>0</v>
      </c>
      <c r="J49" s="138">
        <f>+I49+'11'!J49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+C50+'11'!D50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+C51+'11'!D51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24</v>
      </c>
      <c r="D52" s="147">
        <f>SUM(D38:D51)</f>
        <v>2583</v>
      </c>
      <c r="E52" s="148">
        <f>SUM(E38:E51)</f>
        <v>43.05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1.6666666666666666E-2</v>
      </c>
      <c r="D53" s="149">
        <f>D52/(24*60*G4)</f>
        <v>0.14947916666666666</v>
      </c>
      <c r="E53" s="150">
        <f>E52/(G4*24)</f>
        <v>0.14947916666666666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+D34+'11'!J56</f>
        <v>7675</v>
      </c>
      <c r="K56" s="204">
        <f>J56/(J40+J56/1000)/1000</f>
        <v>1.2244735162731335E-2</v>
      </c>
    </row>
    <row r="57" spans="1:13">
      <c r="A57" s="179"/>
      <c r="I57" s="202" t="s">
        <v>92</v>
      </c>
      <c r="J57" s="203">
        <f>+E34+'11'!J57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8000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</mergeCells>
  <phoneticPr fontId="30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O61"/>
  <sheetViews>
    <sheetView view="pageBreakPreview" topLeftCell="A7" zoomScale="80" zoomScaleNormal="70" zoomScaleSheetLayoutView="80" workbookViewId="0">
      <selection activeCell="F14" sqref="F14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2.5703125" style="152" customWidth="1"/>
    <col min="11" max="11" width="14" style="152" bestFit="1" customWidth="1"/>
    <col min="12" max="12" width="8.28515625" style="152" customWidth="1"/>
    <col min="13" max="13" width="15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11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244+246+246</f>
        <v>736</v>
      </c>
    </row>
    <row r="7" spans="1:15" ht="13.5" customHeight="1" thickBot="1">
      <c r="A7" s="781" t="s">
        <v>410</v>
      </c>
      <c r="B7" s="218" t="s">
        <v>531</v>
      </c>
      <c r="C7" s="219">
        <v>13683</v>
      </c>
      <c r="D7" s="220">
        <v>300</v>
      </c>
      <c r="E7" s="221"/>
      <c r="F7" s="231"/>
      <c r="G7" s="232" t="s">
        <v>13</v>
      </c>
      <c r="H7" s="233" t="s">
        <v>391</v>
      </c>
      <c r="I7" s="784" t="s">
        <v>585</v>
      </c>
      <c r="J7" s="217" t="str">
        <f>+'10'!J7</f>
        <v>TW 38 RC BR</v>
      </c>
      <c r="K7" s="241"/>
      <c r="L7" s="245"/>
      <c r="M7" s="120">
        <f>+K7+'10'!M7+L7</f>
        <v>53722</v>
      </c>
    </row>
    <row r="8" spans="1:15" ht="13.5" thickBot="1">
      <c r="A8" s="782"/>
      <c r="B8" s="218" t="s">
        <v>582</v>
      </c>
      <c r="C8" s="219">
        <v>2319</v>
      </c>
      <c r="D8" s="220"/>
      <c r="E8" s="222"/>
      <c r="F8" s="234">
        <v>6</v>
      </c>
      <c r="G8" s="585" t="s">
        <v>13</v>
      </c>
      <c r="H8" s="233" t="s">
        <v>389</v>
      </c>
      <c r="I8" s="785"/>
      <c r="J8" s="217" t="str">
        <f>+'10'!J8</f>
        <v>TW 36 RC BR</v>
      </c>
      <c r="K8" s="242"/>
      <c r="L8" s="242"/>
      <c r="M8" s="120">
        <f>+K8+'10'!M8+L8</f>
        <v>45750</v>
      </c>
    </row>
    <row r="9" spans="1:15" ht="13.5" thickBot="1">
      <c r="A9" s="782"/>
      <c r="B9" s="218"/>
      <c r="C9" s="219"/>
      <c r="D9" s="220"/>
      <c r="E9" s="223"/>
      <c r="F9" s="231">
        <v>6</v>
      </c>
      <c r="G9" s="585" t="s">
        <v>13</v>
      </c>
      <c r="H9" s="236" t="s">
        <v>226</v>
      </c>
      <c r="I9" s="785"/>
      <c r="J9" s="217" t="str">
        <f>+'10'!J9</f>
        <v>TW 34 RC BR</v>
      </c>
      <c r="K9" s="242"/>
      <c r="L9" s="242"/>
      <c r="M9" s="120">
        <f>+K9+'10'!M9+L9</f>
        <v>19926</v>
      </c>
      <c r="N9" s="152">
        <v>830</v>
      </c>
      <c r="O9" s="152">
        <f>+N9-N9*0.18</f>
        <v>680.6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583</v>
      </c>
      <c r="I10" s="785"/>
      <c r="J10" s="217" t="str">
        <f>+'10'!J10</f>
        <v>TW 30 RC BR</v>
      </c>
      <c r="K10" s="242"/>
      <c r="L10" s="242"/>
      <c r="M10" s="120">
        <f>+K10+'10'!M10+L10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/>
      <c r="I11" s="785"/>
      <c r="J11" s="217" t="str">
        <f>+'10'!J11</f>
        <v>TW 20 RC BR</v>
      </c>
      <c r="K11" s="242"/>
      <c r="L11" s="242"/>
      <c r="M11" s="120">
        <f>+K11+'10'!M11+L11</f>
        <v>13885</v>
      </c>
    </row>
    <row r="12" spans="1:15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+'10'!J12</f>
        <v>N 20 RC BR</v>
      </c>
      <c r="K12" s="242"/>
      <c r="L12" s="242"/>
      <c r="M12" s="120">
        <f>+K12+'10'!M12+L12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+'10'!J13</f>
        <v>N 17,5 RC BR</v>
      </c>
      <c r="K13" s="242"/>
      <c r="L13" s="242"/>
      <c r="M13" s="120">
        <f>+K13+'10'!M13+L13</f>
        <v>61888</v>
      </c>
    </row>
    <row r="14" spans="1:15" ht="13.5" thickBot="1">
      <c r="A14" s="783"/>
      <c r="B14" s="168" t="s">
        <v>3</v>
      </c>
      <c r="C14" s="102">
        <f>SUM(C7:C13)</f>
        <v>16002</v>
      </c>
      <c r="D14" s="114">
        <f>SUM(D7:D13)</f>
        <v>300</v>
      </c>
      <c r="E14" s="115">
        <f>SUM(E5:E13)</f>
        <v>0</v>
      </c>
      <c r="F14" s="105">
        <f>SUM(F6:F13)</f>
        <v>12</v>
      </c>
      <c r="G14" s="162"/>
      <c r="H14" s="169"/>
      <c r="I14" s="170"/>
      <c r="J14" s="217" t="str">
        <f>+'10'!J14</f>
        <v>N 16 RC BR</v>
      </c>
      <c r="K14" s="242"/>
      <c r="L14" s="242"/>
      <c r="M14" s="120">
        <f>+K14+'10'!M14+L14</f>
        <v>24358</v>
      </c>
    </row>
    <row r="15" spans="1:15" ht="13.5" customHeight="1" thickBot="1">
      <c r="A15" s="781" t="s">
        <v>408</v>
      </c>
      <c r="B15" s="168"/>
      <c r="C15" s="116">
        <f>C14/($C$23+$D$23+$E$23)</f>
        <v>0.94613610831904449</v>
      </c>
      <c r="D15" s="117">
        <f>D14/($C$23+$D$23+$E$23)</f>
        <v>1.773783480163188E-2</v>
      </c>
      <c r="E15" s="118">
        <f>E14/($C$23+$D$23+$E$23)</f>
        <v>0</v>
      </c>
      <c r="F15" s="231">
        <v>4</v>
      </c>
      <c r="G15" s="232" t="s">
        <v>13</v>
      </c>
      <c r="H15" s="233" t="s">
        <v>436</v>
      </c>
      <c r="I15" s="784" t="s">
        <v>585</v>
      </c>
      <c r="J15" s="217" t="str">
        <f>+'10'!J15</f>
        <v>N 15,5 RC BR</v>
      </c>
      <c r="K15" s="242"/>
      <c r="L15" s="242"/>
      <c r="M15" s="120">
        <f>+K15+'10'!M15+L15</f>
        <v>0</v>
      </c>
    </row>
    <row r="16" spans="1:15" ht="13.5" thickBot="1">
      <c r="A16" s="787"/>
      <c r="B16" s="218" t="s">
        <v>531</v>
      </c>
      <c r="C16" s="225">
        <v>16780</v>
      </c>
      <c r="D16" s="226">
        <v>133</v>
      </c>
      <c r="E16" s="227"/>
      <c r="F16" s="234">
        <v>2</v>
      </c>
      <c r="G16" s="585" t="s">
        <v>13</v>
      </c>
      <c r="H16" s="233" t="s">
        <v>389</v>
      </c>
      <c r="I16" s="785"/>
      <c r="J16" s="217" t="str">
        <f>+'10'!J16</f>
        <v>N 17 VP OW</v>
      </c>
      <c r="K16" s="242">
        <f>+C7+C16+C25</f>
        <v>44834</v>
      </c>
      <c r="L16" s="232"/>
      <c r="M16" s="120">
        <f>+K16+'10'!M16+L16</f>
        <v>59204</v>
      </c>
    </row>
    <row r="17" spans="1:13" ht="13.5" thickBot="1">
      <c r="A17" s="787"/>
      <c r="B17" s="218"/>
      <c r="C17" s="219"/>
      <c r="D17" s="220"/>
      <c r="E17" s="228"/>
      <c r="F17" s="231">
        <v>9</v>
      </c>
      <c r="G17" s="585" t="s">
        <v>13</v>
      </c>
      <c r="H17" s="236" t="s">
        <v>226</v>
      </c>
      <c r="I17" s="785"/>
      <c r="J17" s="217" t="str">
        <f>+'10'!J17</f>
        <v>N 16 VP OW</v>
      </c>
      <c r="K17" s="242"/>
      <c r="L17" s="232"/>
      <c r="M17" s="120">
        <f>+K17+'10'!M17+L17</f>
        <v>38174</v>
      </c>
    </row>
    <row r="18" spans="1:13" ht="13.5" thickBot="1">
      <c r="A18" s="787"/>
      <c r="B18" s="218"/>
      <c r="C18" s="219"/>
      <c r="D18" s="220"/>
      <c r="E18" s="228"/>
      <c r="F18" s="231"/>
      <c r="G18" s="235"/>
      <c r="H18" s="236" t="s">
        <v>583</v>
      </c>
      <c r="I18" s="785"/>
      <c r="J18" s="217" t="str">
        <f>+'10'!J18</f>
        <v>N 19 VP OW</v>
      </c>
      <c r="K18" s="242"/>
      <c r="L18" s="242"/>
      <c r="M18" s="120">
        <f>+K18+'10'!M18+L18</f>
        <v>24049</v>
      </c>
    </row>
    <row r="19" spans="1:13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 t="str">
        <f>+'10'!J19</f>
        <v>N 25 VP OW</v>
      </c>
      <c r="K19" s="242"/>
      <c r="L19" s="242"/>
      <c r="M19" s="120">
        <f>+K19+'10'!M19+L19</f>
        <v>114797</v>
      </c>
    </row>
    <row r="20" spans="1:13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tr">
        <f>+'10'!J20</f>
        <v>N 23 VP OW</v>
      </c>
      <c r="K20" s="242"/>
      <c r="L20" s="243"/>
      <c r="M20" s="120">
        <f>+K20+'10'!M20+L20</f>
        <v>9760</v>
      </c>
    </row>
    <row r="21" spans="1:13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 t="str">
        <f>+'10'!J21</f>
        <v>TW 23 VP OW</v>
      </c>
      <c r="K21" s="242">
        <f>+C8</f>
        <v>2319</v>
      </c>
      <c r="L21" s="242"/>
      <c r="M21" s="120">
        <f>+K21+'10'!M21+L21</f>
        <v>77386</v>
      </c>
    </row>
    <row r="22" spans="1:13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+'10'!J22</f>
        <v>0</v>
      </c>
      <c r="K22" s="242"/>
      <c r="L22" s="242"/>
      <c r="M22" s="120">
        <f>+K22+'10'!M22+L22</f>
        <v>0</v>
      </c>
    </row>
    <row r="23" spans="1:13" ht="13.5" thickBot="1">
      <c r="A23" s="788"/>
      <c r="B23" s="168" t="s">
        <v>3</v>
      </c>
      <c r="C23" s="103">
        <f>SUM(C16:C22)</f>
        <v>16780</v>
      </c>
      <c r="D23" s="114">
        <f>SUM(D16:D22)</f>
        <v>133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+'10'!J23</f>
        <v>0</v>
      </c>
      <c r="K23" s="242"/>
      <c r="L23" s="242"/>
      <c r="M23" s="120">
        <f>+K23+'10'!M23+L23</f>
        <v>0</v>
      </c>
    </row>
    <row r="24" spans="1:13" ht="13.5" customHeight="1" thickBot="1">
      <c r="A24" s="781" t="s">
        <v>461</v>
      </c>
      <c r="B24" s="173"/>
      <c r="C24" s="116">
        <f>C23/($C$23+$D$23+$E$23)</f>
        <v>0.99213622657127654</v>
      </c>
      <c r="D24" s="117">
        <f>D23/($C$23+$D$23+$E$23)</f>
        <v>7.8637734287234674E-3</v>
      </c>
      <c r="E24" s="118">
        <f>E23/($C$23+$D$23+$E$23)</f>
        <v>0</v>
      </c>
      <c r="F24" s="231">
        <v>25</v>
      </c>
      <c r="G24" s="232" t="s">
        <v>13</v>
      </c>
      <c r="H24" s="233" t="s">
        <v>586</v>
      </c>
      <c r="I24" s="784" t="s">
        <v>585</v>
      </c>
      <c r="J24" s="217">
        <f>+'10'!J24</f>
        <v>0</v>
      </c>
      <c r="K24" s="242"/>
      <c r="L24" s="242"/>
      <c r="M24" s="120">
        <f>+K24+'10'!M24+L24</f>
        <v>0</v>
      </c>
    </row>
    <row r="25" spans="1:13" ht="13.5" customHeight="1" thickBot="1">
      <c r="A25" s="787"/>
      <c r="B25" s="218" t="s">
        <v>531</v>
      </c>
      <c r="C25" s="229">
        <v>14371</v>
      </c>
      <c r="D25" s="220">
        <v>154</v>
      </c>
      <c r="E25" s="228"/>
      <c r="F25" s="234">
        <v>8</v>
      </c>
      <c r="G25" s="585" t="s">
        <v>13</v>
      </c>
      <c r="H25" s="233" t="s">
        <v>434</v>
      </c>
      <c r="I25" s="785"/>
      <c r="J25" s="217">
        <f>+'10'!J25</f>
        <v>0</v>
      </c>
      <c r="K25" s="242"/>
      <c r="L25" s="242"/>
      <c r="M25" s="120">
        <f>+K25+'10'!M25+L25</f>
        <v>0</v>
      </c>
    </row>
    <row r="26" spans="1:13" ht="13.5" customHeight="1" thickBot="1">
      <c r="A26" s="787"/>
      <c r="B26" s="218"/>
      <c r="C26" s="229"/>
      <c r="D26" s="220"/>
      <c r="E26" s="230"/>
      <c r="F26" s="231">
        <v>7</v>
      </c>
      <c r="G26" s="585" t="s">
        <v>13</v>
      </c>
      <c r="H26" s="236" t="s">
        <v>226</v>
      </c>
      <c r="I26" s="785"/>
      <c r="J26" s="217">
        <f>+'10'!J26</f>
        <v>0</v>
      </c>
      <c r="K26" s="232"/>
      <c r="L26" s="232"/>
      <c r="M26" s="120">
        <f>+K26+'10'!M26+L26</f>
        <v>0</v>
      </c>
    </row>
    <row r="27" spans="1:13" ht="13.5" customHeight="1" thickBot="1">
      <c r="A27" s="787"/>
      <c r="B27" s="218"/>
      <c r="C27" s="219"/>
      <c r="D27" s="220"/>
      <c r="E27" s="228"/>
      <c r="F27" s="231"/>
      <c r="G27" s="235"/>
      <c r="H27" s="236" t="s">
        <v>583</v>
      </c>
      <c r="I27" s="785"/>
      <c r="J27" s="217">
        <f>+'10'!J27</f>
        <v>0</v>
      </c>
      <c r="K27" s="232"/>
      <c r="L27" s="232"/>
      <c r="M27" s="120">
        <f>+K27+'10'!M27+L27</f>
        <v>0</v>
      </c>
    </row>
    <row r="28" spans="1:13" ht="13.5" customHeight="1" thickBot="1">
      <c r="A28" s="787"/>
      <c r="B28" s="218"/>
      <c r="C28" s="219"/>
      <c r="D28" s="220"/>
      <c r="E28" s="228"/>
      <c r="F28" s="234"/>
      <c r="G28" s="235"/>
      <c r="H28" s="236" t="s">
        <v>584</v>
      </c>
      <c r="I28" s="785"/>
      <c r="J28" s="217">
        <f>+'10'!J28</f>
        <v>0</v>
      </c>
      <c r="K28" s="242"/>
      <c r="L28" s="242"/>
      <c r="M28" s="120">
        <f>+K28+'10'!M28+L28</f>
        <v>0</v>
      </c>
    </row>
    <row r="29" spans="1:13" ht="13.5" customHeight="1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+'10'!J29</f>
        <v>0</v>
      </c>
      <c r="K29" s="242"/>
      <c r="L29" s="242"/>
      <c r="M29" s="120">
        <f>+K29+'10'!M29+L29</f>
        <v>0</v>
      </c>
    </row>
    <row r="30" spans="1:13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+'10'!J30</f>
        <v>0</v>
      </c>
      <c r="K30" s="243"/>
      <c r="L30" s="243"/>
      <c r="M30" s="120">
        <f>+K30+'10'!M30+L30</f>
        <v>0</v>
      </c>
    </row>
    <row r="31" spans="1:13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+'10'!J31</f>
        <v>0</v>
      </c>
      <c r="K31" s="242"/>
      <c r="L31" s="242"/>
      <c r="M31" s="120">
        <f>+K31+'10'!M31+L31</f>
        <v>0</v>
      </c>
    </row>
    <row r="32" spans="1:13" ht="13.5" customHeight="1" thickBot="1">
      <c r="A32" s="788"/>
      <c r="B32" s="168" t="s">
        <v>3</v>
      </c>
      <c r="C32" s="102">
        <f>SUM(C25:C31)</f>
        <v>14371</v>
      </c>
      <c r="D32" s="103">
        <f>SUM(D25:D31)</f>
        <v>154</v>
      </c>
      <c r="E32" s="104">
        <f>SUM(E25:E31)</f>
        <v>0</v>
      </c>
      <c r="F32" s="105">
        <f>SUM(F24:F31)</f>
        <v>40</v>
      </c>
      <c r="G32" s="174"/>
      <c r="H32" s="175"/>
      <c r="I32" s="172"/>
      <c r="J32" s="217">
        <f>+'10'!J32</f>
        <v>0</v>
      </c>
      <c r="K32" s="242"/>
      <c r="L32" s="242"/>
      <c r="M32" s="120">
        <f>+K32+'10'!M32+L32</f>
        <v>0</v>
      </c>
    </row>
    <row r="33" spans="1:13" ht="13.5" thickBot="1">
      <c r="A33" s="176"/>
      <c r="B33" s="177"/>
      <c r="C33" s="106">
        <f>C32/($C$32+$D$32+$E$32)</f>
        <v>0.98939759036144581</v>
      </c>
      <c r="D33" s="107">
        <f>D32/($C$32+$D$32+$E$32)</f>
        <v>1.0602409638554217E-2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91" t="s">
        <v>60</v>
      </c>
      <c r="B34" s="792"/>
      <c r="C34" s="110">
        <f>C14+C23+C32</f>
        <v>47153</v>
      </c>
      <c r="D34" s="110">
        <f>D14+D23+D32</f>
        <v>587</v>
      </c>
      <c r="E34" s="110">
        <f>E14+E23+E32</f>
        <v>0</v>
      </c>
      <c r="F34" s="111">
        <f>F14+F23+F32</f>
        <v>67</v>
      </c>
      <c r="H34" s="181"/>
      <c r="I34" s="181"/>
      <c r="J34" s="126" t="s">
        <v>29</v>
      </c>
      <c r="K34" s="127">
        <f>SUM(K7:K32)</f>
        <v>47153</v>
      </c>
      <c r="L34" s="215">
        <f>SUM(L7:L32)</f>
        <v>0</v>
      </c>
      <c r="M34" s="123">
        <f>SUM(M7:M32)</f>
        <v>570099</v>
      </c>
    </row>
    <row r="35" spans="1:13" ht="13.5" thickBot="1">
      <c r="A35" s="182"/>
      <c r="B35" s="183"/>
      <c r="C35" s="107">
        <f>C34/($C$34+$D$34+$E$34)</f>
        <v>0.9877042312526183</v>
      </c>
      <c r="D35" s="107">
        <f>D34/($C$34+$D$34+$E$34)</f>
        <v>1.229576874738165E-2</v>
      </c>
      <c r="E35" s="112">
        <f>E34/($C$34+$D$34+$E$34)</f>
        <v>0</v>
      </c>
      <c r="K35" s="158"/>
      <c r="L35" s="780" t="s">
        <v>186</v>
      </c>
      <c r="M35" s="780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3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(17*1440)/1440*G42*3.4*1440/1000000</f>
        <v>56.647699200000005</v>
      </c>
      <c r="J37" s="128">
        <f>+I37+'10'!J37</f>
        <v>661.34259773853933</v>
      </c>
      <c r="K37" s="129" t="s">
        <v>66</v>
      </c>
      <c r="L37" s="437"/>
      <c r="M37" s="438"/>
    </row>
    <row r="38" spans="1:13" ht="17.45" customHeight="1">
      <c r="A38" s="797" t="s">
        <v>13</v>
      </c>
      <c r="B38" s="798"/>
      <c r="C38" s="167">
        <f>SUMIF($G$7:$G$31,"Process",$F$7:$F$31)</f>
        <v>67</v>
      </c>
      <c r="D38" s="121">
        <f>+C38+'10'!D38</f>
        <v>563</v>
      </c>
      <c r="E38" s="146">
        <f t="shared" ref="E38:E51" si="0">D38/60</f>
        <v>9.3833333333333329</v>
      </c>
      <c r="F38" s="372">
        <v>830</v>
      </c>
      <c r="G38" s="372">
        <f>+F38-F38*0.18</f>
        <v>680.6</v>
      </c>
      <c r="H38" s="190" t="s">
        <v>67</v>
      </c>
      <c r="I38" s="562">
        <f>16.979+16.059+16.728</f>
        <v>49.765999999999998</v>
      </c>
      <c r="J38" s="130">
        <f>+I38+'10'!J38</f>
        <v>598.173</v>
      </c>
      <c r="K38" s="131" t="s">
        <v>66</v>
      </c>
      <c r="L38" s="439"/>
      <c r="M38" s="440"/>
    </row>
    <row r="39" spans="1:13" ht="17.45" customHeight="1">
      <c r="A39" s="793" t="s">
        <v>14</v>
      </c>
      <c r="B39" s="794"/>
      <c r="C39" s="167">
        <f>SUMIF($G$7:$G$31,"Cleaning",$F$7:$F$31)</f>
        <v>0</v>
      </c>
      <c r="D39" s="121">
        <f>+C39+'10'!D39</f>
        <v>0</v>
      </c>
      <c r="E39" s="146">
        <f t="shared" si="0"/>
        <v>0</v>
      </c>
      <c r="F39" s="372">
        <v>830</v>
      </c>
      <c r="G39" s="372">
        <f>+F39-F39*0.18</f>
        <v>680.6</v>
      </c>
      <c r="H39" s="190" t="s">
        <v>68</v>
      </c>
      <c r="I39" s="145"/>
      <c r="J39" s="132">
        <f>J37/G4</f>
        <v>60.122054339867212</v>
      </c>
      <c r="K39" s="133" t="s">
        <v>66</v>
      </c>
      <c r="L39" s="439"/>
      <c r="M39" s="440"/>
    </row>
    <row r="40" spans="1:13" ht="17.45" customHeight="1">
      <c r="A40" s="793" t="s">
        <v>69</v>
      </c>
      <c r="B40" s="794"/>
      <c r="C40" s="167">
        <f>SUMIF($G$7:$G$31,"Mechanical",$F$7:$F$31)</f>
        <v>0</v>
      </c>
      <c r="D40" s="121">
        <f>+C40+'10'!D40</f>
        <v>0</v>
      </c>
      <c r="E40" s="146">
        <f t="shared" si="0"/>
        <v>0</v>
      </c>
      <c r="F40" s="372">
        <v>830</v>
      </c>
      <c r="G40" s="372">
        <f>+F40-F40*0.18</f>
        <v>680.6</v>
      </c>
      <c r="H40" s="190" t="s">
        <v>70</v>
      </c>
      <c r="I40" s="121">
        <f>(K34+L34)/1000</f>
        <v>47.152999999999999</v>
      </c>
      <c r="J40" s="134">
        <f>+I40+'10'!J40</f>
        <v>570.09900000000005</v>
      </c>
      <c r="K40" s="133" t="s">
        <v>66</v>
      </c>
      <c r="L40" s="439"/>
      <c r="M40" s="440"/>
    </row>
    <row r="41" spans="1:13" ht="17.45" customHeight="1">
      <c r="A41" s="793" t="s">
        <v>71</v>
      </c>
      <c r="B41" s="794"/>
      <c r="C41" s="167">
        <f>SUMIF($G$7:$G$31,"Electrical",$F$7:$F$31)</f>
        <v>0</v>
      </c>
      <c r="D41" s="121">
        <f>+C41+'10'!D41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51.82718181818182</v>
      </c>
      <c r="K41" s="133" t="s">
        <v>66</v>
      </c>
      <c r="L41" s="439"/>
      <c r="M41" s="440"/>
    </row>
    <row r="42" spans="1:13" ht="17.45" customHeight="1">
      <c r="A42" s="793" t="s">
        <v>17</v>
      </c>
      <c r="B42" s="794"/>
      <c r="C42" s="167">
        <f>SUMIF($G$7:$G$31,"Instrument",$F$7:$F$31)</f>
        <v>0</v>
      </c>
      <c r="D42" s="121">
        <f>+C42+'10'!D42</f>
        <v>0</v>
      </c>
      <c r="E42" s="146">
        <f t="shared" si="0"/>
        <v>0</v>
      </c>
      <c r="F42" s="372">
        <f>+(F38*480+F39*480+F40*480)/1440</f>
        <v>830</v>
      </c>
      <c r="G42" s="372">
        <f>+(G38*480+G39*480+G40*480)/1440</f>
        <v>680.6</v>
      </c>
      <c r="H42" s="190" t="s">
        <v>73</v>
      </c>
      <c r="I42" s="248" t="s">
        <v>585</v>
      </c>
      <c r="J42" s="135"/>
      <c r="K42" s="133" t="s">
        <v>74</v>
      </c>
      <c r="L42" s="439"/>
      <c r="M42" s="440"/>
    </row>
    <row r="43" spans="1:13" ht="17.45" customHeight="1">
      <c r="A43" s="793" t="s">
        <v>201</v>
      </c>
      <c r="B43" s="794"/>
      <c r="C43" s="167">
        <f>SUMIF($G$7:$G$31,"Change Grade",$F$7:$F$31)</f>
        <v>0</v>
      </c>
      <c r="D43" s="121">
        <f>+C43+'10'!D43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+Report1!AH19</f>
        <v>133.88400000000001</v>
      </c>
      <c r="J43" s="136">
        <f>+I43+'10'!J43</f>
        <v>1551.4269999999997</v>
      </c>
      <c r="K43" s="133" t="s">
        <v>66</v>
      </c>
      <c r="L43" s="441">
        <f>+Report1!AN19</f>
        <v>0</v>
      </c>
      <c r="M43" s="442">
        <f>+L43+'10'!M43</f>
        <v>62.5</v>
      </c>
    </row>
    <row r="44" spans="1:13" ht="17.45" customHeight="1">
      <c r="A44" s="793" t="s">
        <v>18</v>
      </c>
      <c r="B44" s="794"/>
      <c r="C44" s="167">
        <f>SUMIF($G$7:$G$31,"PLN",$F$7:$F$31)</f>
        <v>0</v>
      </c>
      <c r="D44" s="121">
        <f>+C44+'10'!D44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2.6902704657798502</v>
      </c>
      <c r="J44" s="137">
        <f>J43/J38</f>
        <v>2.5936092067010708</v>
      </c>
      <c r="K44" s="133" t="s">
        <v>66</v>
      </c>
      <c r="L44" s="443">
        <f>+L43/I38</f>
        <v>0</v>
      </c>
      <c r="M44" s="444">
        <f>+M43/J38</f>
        <v>0.1044848229525572</v>
      </c>
    </row>
    <row r="45" spans="1:13" ht="17.45" customHeight="1">
      <c r="A45" s="793" t="s">
        <v>19</v>
      </c>
      <c r="B45" s="794"/>
      <c r="C45" s="167">
        <f>SUMIF($G$7:$G$31,"Boiler",$F$7:$F$31)</f>
        <v>0</v>
      </c>
      <c r="D45" s="121">
        <f>+C45+'10'!D45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2.8393527453184317</v>
      </c>
      <c r="J45" s="137">
        <f>J43/J40</f>
        <v>2.7213291024892161</v>
      </c>
      <c r="K45" s="133" t="s">
        <v>66</v>
      </c>
      <c r="L45" s="443">
        <f>+L43/I40</f>
        <v>0</v>
      </c>
      <c r="M45" s="444">
        <f>+M43/J40</f>
        <v>0.10963008179281142</v>
      </c>
    </row>
    <row r="46" spans="1:13" ht="17.45" customHeight="1">
      <c r="A46" s="793" t="s">
        <v>79</v>
      </c>
      <c r="B46" s="794"/>
      <c r="C46" s="167">
        <f>SUMIF($G$7:$G$31,"Gas",$F$7:$F$31)</f>
        <v>0</v>
      </c>
      <c r="D46" s="121">
        <f>+C46+'10'!D46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+SUMIF(Listrik!AC18,"&gt;0")</f>
        <v>45530.729999999923</v>
      </c>
      <c r="J46" s="138">
        <f>+I46+'10'!J46</f>
        <v>414749.56999999983</v>
      </c>
      <c r="K46" s="133" t="s">
        <v>81</v>
      </c>
      <c r="L46" s="443">
        <f>+Listrik!AF18</f>
        <v>459</v>
      </c>
      <c r="M46" s="445">
        <f>+L46+'10'!M46</f>
        <v>108722</v>
      </c>
    </row>
    <row r="47" spans="1:13" ht="17.45" customHeight="1">
      <c r="A47" s="793" t="s">
        <v>82</v>
      </c>
      <c r="B47" s="794"/>
      <c r="C47" s="167">
        <f>SUMIF($G$7:$G$31,"Gas",$F$7:$F$31)</f>
        <v>0</v>
      </c>
      <c r="D47" s="121">
        <f>+C47+'10'!D47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914.8963147530427</v>
      </c>
      <c r="J47" s="138">
        <f>J46/J38</f>
        <v>693.36056625758738</v>
      </c>
      <c r="K47" s="133" t="s">
        <v>25</v>
      </c>
      <c r="L47" s="443">
        <f>+L46/I38</f>
        <v>9.223164409436162</v>
      </c>
      <c r="M47" s="444">
        <f>+M46/J38</f>
        <v>181.75678273676678</v>
      </c>
    </row>
    <row r="48" spans="1:13" ht="17.45" customHeight="1">
      <c r="A48" s="793" t="s">
        <v>15</v>
      </c>
      <c r="B48" s="794"/>
      <c r="C48" s="167">
        <f>SUMIF($G$7:$G$31,"Start Up",$F$7:$F$31)</f>
        <v>0</v>
      </c>
      <c r="D48" s="121">
        <f>+C48+'10'!D48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965.59561427692665</v>
      </c>
      <c r="J48" s="138">
        <f>J46/J40</f>
        <v>727.50446852213349</v>
      </c>
      <c r="K48" s="133" t="s">
        <v>25</v>
      </c>
      <c r="L48" s="443">
        <f>+L46/I38</f>
        <v>9.223164409436162</v>
      </c>
      <c r="M48" s="444">
        <f>+M46/J40</f>
        <v>190.70722804284867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+C49+'10'!D49</f>
        <v>1406</v>
      </c>
      <c r="E49" s="146">
        <f t="shared" si="0"/>
        <v>23.433333333333334</v>
      </c>
      <c r="F49" s="188"/>
      <c r="H49" s="191" t="s">
        <v>170</v>
      </c>
      <c r="I49" s="121">
        <f>+Report1!AB19</f>
        <v>0</v>
      </c>
      <c r="J49" s="138">
        <f>+I49+'10'!J49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+C50+'10'!D50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+C51+'10'!D51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67</v>
      </c>
      <c r="D52" s="147">
        <f>SUM(D38:D51)</f>
        <v>2559</v>
      </c>
      <c r="E52" s="148">
        <f>SUM(E38:E51)</f>
        <v>42.650000000000006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4.6527777777777779E-2</v>
      </c>
      <c r="D53" s="149">
        <f>D52/(24*60*G4)</f>
        <v>0.16155303030303031</v>
      </c>
      <c r="E53" s="150">
        <f>E52/(G4*24)</f>
        <v>0.16155303030303034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+D34+'10'!J56</f>
        <v>7675</v>
      </c>
      <c r="K56" s="204">
        <f>J56/(J40+J56/1000)/1000</f>
        <v>1.3283740701381509E-2</v>
      </c>
    </row>
    <row r="57" spans="1:13">
      <c r="A57" s="179"/>
      <c r="I57" s="202" t="s">
        <v>92</v>
      </c>
      <c r="J57" s="203">
        <f>+E34+'10'!J57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8000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S61"/>
  <sheetViews>
    <sheetView view="pageBreakPreview" topLeftCell="A40" zoomScale="80" zoomScaleNormal="75" zoomScaleSheetLayoutView="80" workbookViewId="0">
      <selection activeCell="H21" sqref="H21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140625" style="152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9" ht="15.75">
      <c r="A1" s="151"/>
    </row>
    <row r="2" spans="1:19" ht="15.75">
      <c r="A2" s="151" t="s">
        <v>175</v>
      </c>
    </row>
    <row r="3" spans="1:19" ht="15">
      <c r="A3" s="153"/>
    </row>
    <row r="4" spans="1:19" ht="20.25">
      <c r="A4" s="154" t="s">
        <v>4</v>
      </c>
      <c r="B4" s="155"/>
      <c r="F4" s="156" t="s">
        <v>31</v>
      </c>
      <c r="G4" s="157">
        <v>10</v>
      </c>
      <c r="H4" s="157" t="str">
        <f>+'1'!H4</f>
        <v>.06.24</v>
      </c>
      <c r="J4" s="152">
        <f>251+258+248</f>
        <v>757</v>
      </c>
    </row>
    <row r="5" spans="1:19" ht="13.5" thickBot="1">
      <c r="C5" s="158"/>
      <c r="D5" s="158"/>
    </row>
    <row r="6" spans="1:19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 t="s">
        <v>566</v>
      </c>
      <c r="O6" s="152">
        <v>830</v>
      </c>
      <c r="P6" s="152">
        <f>+O6-O6*0.14</f>
        <v>713.8</v>
      </c>
      <c r="Q6" s="152">
        <v>10</v>
      </c>
      <c r="R6" s="152">
        <f>+O6*Q6</f>
        <v>8300</v>
      </c>
      <c r="S6" s="152">
        <f>+P6*Q6</f>
        <v>7138</v>
      </c>
    </row>
    <row r="7" spans="1:19" ht="13.5" customHeight="1" thickBot="1">
      <c r="A7" s="781" t="s">
        <v>410</v>
      </c>
      <c r="B7" s="218" t="s">
        <v>582</v>
      </c>
      <c r="C7" s="219">
        <v>23779</v>
      </c>
      <c r="D7" s="220"/>
      <c r="E7" s="221"/>
      <c r="F7" s="231"/>
      <c r="G7" s="232" t="s">
        <v>13</v>
      </c>
      <c r="H7" s="233" t="s">
        <v>391</v>
      </c>
      <c r="I7" s="784" t="s">
        <v>570</v>
      </c>
      <c r="J7" s="217" t="str">
        <f>+'9'!J7</f>
        <v>TW 38 RC BR</v>
      </c>
      <c r="K7" s="241"/>
      <c r="L7" s="245"/>
      <c r="M7" s="120">
        <f>+K7+'9'!M7+L7</f>
        <v>53722</v>
      </c>
      <c r="N7" s="152" t="s">
        <v>572</v>
      </c>
      <c r="O7" s="152">
        <v>830</v>
      </c>
      <c r="P7" s="152">
        <f>+O7-O7*0.14</f>
        <v>713.8</v>
      </c>
      <c r="Q7" s="152">
        <f>480-Q6</f>
        <v>470</v>
      </c>
      <c r="R7" s="152">
        <f>+O7*Q7</f>
        <v>390100</v>
      </c>
      <c r="S7" s="152">
        <f>+P7*Q7</f>
        <v>335486</v>
      </c>
    </row>
    <row r="8" spans="1:19" ht="13.5" thickBot="1">
      <c r="A8" s="782"/>
      <c r="B8" s="218"/>
      <c r="C8" s="219"/>
      <c r="D8" s="220"/>
      <c r="E8" s="222"/>
      <c r="F8" s="234">
        <v>2</v>
      </c>
      <c r="G8" s="585" t="s">
        <v>13</v>
      </c>
      <c r="H8" s="233" t="s">
        <v>389</v>
      </c>
      <c r="I8" s="785"/>
      <c r="J8" s="217" t="str">
        <f>+'9'!J8</f>
        <v>TW 36 RC BR</v>
      </c>
      <c r="K8" s="242"/>
      <c r="L8" s="242"/>
      <c r="M8" s="120">
        <f>+K8+'9'!M8+L8</f>
        <v>45750</v>
      </c>
      <c r="P8" s="152">
        <f>+O8-O8*0.14</f>
        <v>0</v>
      </c>
      <c r="R8" s="152">
        <f>+O8*Q8</f>
        <v>0</v>
      </c>
      <c r="S8" s="152">
        <f>+P8*Q8</f>
        <v>0</v>
      </c>
    </row>
    <row r="9" spans="1:19" ht="13.5" thickBot="1">
      <c r="A9" s="782"/>
      <c r="B9" s="218"/>
      <c r="C9" s="219"/>
      <c r="D9" s="220"/>
      <c r="E9" s="223"/>
      <c r="F9" s="231">
        <v>5</v>
      </c>
      <c r="G9" s="585" t="s">
        <v>13</v>
      </c>
      <c r="H9" s="236" t="s">
        <v>226</v>
      </c>
      <c r="I9" s="785"/>
      <c r="J9" s="217" t="str">
        <f>+'9'!J9</f>
        <v>TW 34 RC BR</v>
      </c>
      <c r="K9" s="242"/>
      <c r="L9" s="242"/>
      <c r="M9" s="120">
        <f>+K9+'9'!M9+L9</f>
        <v>19926</v>
      </c>
      <c r="P9" s="152">
        <f>+O9-O9*0.25</f>
        <v>0</v>
      </c>
      <c r="R9" s="152">
        <f>+O9*Q9</f>
        <v>0</v>
      </c>
      <c r="S9" s="152">
        <f>+P9*Q9</f>
        <v>0</v>
      </c>
    </row>
    <row r="10" spans="1:19" ht="26.25" thickBot="1">
      <c r="A10" s="782"/>
      <c r="B10" s="218"/>
      <c r="C10" s="219"/>
      <c r="D10" s="220"/>
      <c r="E10" s="222"/>
      <c r="F10" s="231"/>
      <c r="G10" s="235"/>
      <c r="H10" s="236" t="s">
        <v>557</v>
      </c>
      <c r="I10" s="785"/>
      <c r="J10" s="217" t="str">
        <f>+'9'!J10</f>
        <v>TW 30 RC BR</v>
      </c>
      <c r="K10" s="242"/>
      <c r="L10" s="242"/>
      <c r="M10" s="120">
        <f>+K10+'9'!M10+L10</f>
        <v>11017</v>
      </c>
      <c r="P10" s="152">
        <f>+O10-O10*0.25</f>
        <v>0</v>
      </c>
      <c r="R10" s="152">
        <f>+O10*Q10</f>
        <v>0</v>
      </c>
      <c r="S10" s="152">
        <f>+P10*Q10</f>
        <v>0</v>
      </c>
    </row>
    <row r="11" spans="1:19" ht="13.5" thickBot="1">
      <c r="A11" s="782"/>
      <c r="B11" s="218"/>
      <c r="C11" s="219"/>
      <c r="D11" s="220"/>
      <c r="E11" s="222"/>
      <c r="F11" s="231"/>
      <c r="G11" s="235"/>
      <c r="H11" s="236" t="s">
        <v>571</v>
      </c>
      <c r="I11" s="785"/>
      <c r="J11" s="217" t="str">
        <f>+'9'!J11</f>
        <v>TW 20 RC BR</v>
      </c>
      <c r="K11" s="242"/>
      <c r="L11" s="242"/>
      <c r="M11" s="120">
        <f>+K11+'9'!M11+L11</f>
        <v>13885</v>
      </c>
      <c r="Q11" s="152">
        <f>SUM(Q6:Q10)</f>
        <v>480</v>
      </c>
      <c r="R11" s="152">
        <f>SUM(R6:R10)</f>
        <v>398400</v>
      </c>
      <c r="S11" s="152">
        <f>SUM(S6:S10)</f>
        <v>342624</v>
      </c>
    </row>
    <row r="12" spans="1:19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+'9'!J12</f>
        <v>N 20 RC BR</v>
      </c>
      <c r="K12" s="242"/>
      <c r="L12" s="242"/>
      <c r="M12" s="120">
        <f>+K12+'9'!M12+L12</f>
        <v>16183</v>
      </c>
      <c r="O12" s="152" t="s">
        <v>542</v>
      </c>
      <c r="R12" s="152">
        <f>+R11/Q11</f>
        <v>830</v>
      </c>
      <c r="S12" s="152">
        <f>+S11/Q11</f>
        <v>713.8</v>
      </c>
    </row>
    <row r="13" spans="1:19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+'9'!J13</f>
        <v>N 17,5 RC BR</v>
      </c>
      <c r="K13" s="242"/>
      <c r="L13" s="242"/>
      <c r="M13" s="120">
        <f>+K13+'9'!M13+L13</f>
        <v>61888</v>
      </c>
      <c r="Q13" s="152">
        <f>+Q11+Q12</f>
        <v>480</v>
      </c>
    </row>
    <row r="14" spans="1:19" ht="13.5" thickBot="1">
      <c r="A14" s="783"/>
      <c r="B14" s="168" t="s">
        <v>3</v>
      </c>
      <c r="C14" s="102">
        <f>SUM(C7:C13)</f>
        <v>23779</v>
      </c>
      <c r="D14" s="114">
        <f>SUM(D7:D13)</f>
        <v>0</v>
      </c>
      <c r="E14" s="115">
        <f>SUM(E5:E13)</f>
        <v>0</v>
      </c>
      <c r="F14" s="105">
        <f>SUM(F6:F13)</f>
        <v>7</v>
      </c>
      <c r="G14" s="162"/>
      <c r="H14" s="169"/>
      <c r="I14" s="170"/>
      <c r="J14" s="217" t="str">
        <f>+'9'!J14</f>
        <v>N 16 RC BR</v>
      </c>
      <c r="K14" s="242"/>
      <c r="L14" s="242"/>
      <c r="M14" s="120">
        <f>+K14+'9'!M14+L14</f>
        <v>24358</v>
      </c>
    </row>
    <row r="15" spans="1:19" ht="13.5" customHeight="1" thickBot="1">
      <c r="A15" s="781" t="s">
        <v>408</v>
      </c>
      <c r="B15" s="168"/>
      <c r="C15" s="116">
        <f>C14/($C$23+$D$23+$E$23)</f>
        <v>0.86324693240397876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570</v>
      </c>
      <c r="J15" s="217" t="str">
        <f>+'9'!J15</f>
        <v>N 15,5 RC BR</v>
      </c>
      <c r="K15" s="242"/>
      <c r="L15" s="242"/>
      <c r="M15" s="120">
        <f>+K15+'9'!M15+L15</f>
        <v>0</v>
      </c>
      <c r="N15" s="152" t="s">
        <v>572</v>
      </c>
      <c r="O15" s="152">
        <v>830</v>
      </c>
      <c r="P15" s="152">
        <f>+O15-O15*0.14</f>
        <v>713.8</v>
      </c>
      <c r="Q15" s="152">
        <v>480</v>
      </c>
      <c r="R15" s="152">
        <f>+O15*Q15</f>
        <v>398400</v>
      </c>
      <c r="S15" s="152">
        <f>+P15*Q15</f>
        <v>342624</v>
      </c>
    </row>
    <row r="16" spans="1:19" ht="13.5" thickBot="1">
      <c r="A16" s="787"/>
      <c r="B16" s="218" t="s">
        <v>582</v>
      </c>
      <c r="C16" s="225">
        <v>27546</v>
      </c>
      <c r="D16" s="226"/>
      <c r="E16" s="227"/>
      <c r="F16" s="234">
        <v>4</v>
      </c>
      <c r="G16" s="585" t="s">
        <v>13</v>
      </c>
      <c r="H16" s="233" t="s">
        <v>389</v>
      </c>
      <c r="I16" s="804"/>
      <c r="J16" s="217" t="str">
        <f>+'9'!J16</f>
        <v>N 17 VP OW</v>
      </c>
      <c r="K16" s="242"/>
      <c r="L16" s="242"/>
      <c r="M16" s="120">
        <f>+K16+'9'!M16+L16</f>
        <v>14370</v>
      </c>
      <c r="P16" s="152">
        <f>+O16-O16*0.14</f>
        <v>0</v>
      </c>
      <c r="Q16" s="152">
        <f>480-Q15</f>
        <v>0</v>
      </c>
      <c r="R16" s="152">
        <f>+O16*Q16</f>
        <v>0</v>
      </c>
      <c r="S16" s="152">
        <f>+P16*Q16</f>
        <v>0</v>
      </c>
    </row>
    <row r="17" spans="1:19" ht="13.5" thickBot="1">
      <c r="A17" s="787"/>
      <c r="B17" s="218"/>
      <c r="C17" s="219"/>
      <c r="D17" s="220"/>
      <c r="E17" s="228"/>
      <c r="F17" s="231">
        <v>4</v>
      </c>
      <c r="G17" s="585" t="s">
        <v>13</v>
      </c>
      <c r="H17" s="236" t="s">
        <v>226</v>
      </c>
      <c r="I17" s="804"/>
      <c r="J17" s="217" t="str">
        <f>+'9'!J17</f>
        <v>N 16 VP OW</v>
      </c>
      <c r="K17" s="242"/>
      <c r="L17" s="242"/>
      <c r="M17" s="120">
        <f>+K17+'9'!M17+L17</f>
        <v>38174</v>
      </c>
      <c r="P17" s="152">
        <f>+O17-O17*0.14</f>
        <v>0</v>
      </c>
      <c r="R17" s="152">
        <f>+O17*Q17</f>
        <v>0</v>
      </c>
      <c r="S17" s="152">
        <f>+P17*Q17</f>
        <v>0</v>
      </c>
    </row>
    <row r="18" spans="1:19" ht="26.25" thickBot="1">
      <c r="A18" s="787"/>
      <c r="B18" s="218"/>
      <c r="C18" s="219"/>
      <c r="D18" s="220"/>
      <c r="E18" s="228"/>
      <c r="F18" s="231"/>
      <c r="G18" s="235"/>
      <c r="H18" s="236" t="s">
        <v>556</v>
      </c>
      <c r="I18" s="804"/>
      <c r="J18" s="217" t="str">
        <f>+'9'!J18</f>
        <v>N 19 VP OW</v>
      </c>
      <c r="K18" s="242"/>
      <c r="L18" s="242"/>
      <c r="M18" s="120">
        <f>+K18+'9'!M18+L18</f>
        <v>24049</v>
      </c>
      <c r="P18" s="152">
        <f>+O18-O18*0.25</f>
        <v>0</v>
      </c>
      <c r="R18" s="152">
        <f>+O18*Q18</f>
        <v>0</v>
      </c>
      <c r="S18" s="152">
        <f>+P18*Q18</f>
        <v>0</v>
      </c>
    </row>
    <row r="19" spans="1:19" ht="13.5" thickBot="1">
      <c r="A19" s="787"/>
      <c r="B19" s="218"/>
      <c r="C19" s="219"/>
      <c r="D19" s="220"/>
      <c r="E19" s="228"/>
      <c r="F19" s="238"/>
      <c r="G19" s="235"/>
      <c r="H19" s="236"/>
      <c r="I19" s="804"/>
      <c r="J19" s="217" t="str">
        <f>+'9'!J19</f>
        <v>N 25 VP OW</v>
      </c>
      <c r="K19" s="242"/>
      <c r="L19" s="242"/>
      <c r="M19" s="120">
        <f>+K19+'9'!M19+L19</f>
        <v>114797</v>
      </c>
      <c r="P19" s="152">
        <f>+O19-O19*0.25</f>
        <v>0</v>
      </c>
      <c r="R19" s="152">
        <f>+O19*Q19</f>
        <v>0</v>
      </c>
      <c r="S19" s="152">
        <f>+P19*Q19</f>
        <v>0</v>
      </c>
    </row>
    <row r="20" spans="1:19" ht="13.5" thickBot="1">
      <c r="A20" s="787"/>
      <c r="B20" s="218"/>
      <c r="C20" s="219"/>
      <c r="D20" s="220"/>
      <c r="E20" s="228"/>
      <c r="F20" s="231"/>
      <c r="G20" s="235"/>
      <c r="H20" s="236"/>
      <c r="I20" s="804"/>
      <c r="J20" s="217" t="str">
        <f>+'9'!J20</f>
        <v>N 23 VP OW</v>
      </c>
      <c r="K20" s="242"/>
      <c r="L20" s="242"/>
      <c r="M20" s="120">
        <f>+K20+'9'!M20+L20</f>
        <v>9760</v>
      </c>
      <c r="Q20" s="152">
        <f>SUM(Q15:Q19)</f>
        <v>480</v>
      </c>
      <c r="R20" s="152">
        <f>SUM(R15:R19)</f>
        <v>398400</v>
      </c>
      <c r="S20" s="152">
        <f>SUM(S15:S19)</f>
        <v>342624</v>
      </c>
    </row>
    <row r="21" spans="1:19" ht="13.5" thickBot="1">
      <c r="A21" s="787"/>
      <c r="B21" s="218"/>
      <c r="C21" s="219"/>
      <c r="D21" s="220"/>
      <c r="E21" s="228"/>
      <c r="F21" s="234"/>
      <c r="G21" s="235"/>
      <c r="H21" s="236"/>
      <c r="I21" s="804"/>
      <c r="J21" s="217" t="s">
        <v>582</v>
      </c>
      <c r="K21" s="242">
        <f>+C34</f>
        <v>75067</v>
      </c>
      <c r="L21" s="242"/>
      <c r="M21" s="120">
        <f>+K21+'9'!M21+L21</f>
        <v>75067</v>
      </c>
      <c r="O21" s="152" t="s">
        <v>542</v>
      </c>
      <c r="R21" s="152">
        <f>+R20/Q20</f>
        <v>830</v>
      </c>
      <c r="S21" s="152">
        <f>+S20/Q20</f>
        <v>713.8</v>
      </c>
    </row>
    <row r="22" spans="1:19" ht="13.5" thickBot="1">
      <c r="A22" s="787"/>
      <c r="B22" s="218"/>
      <c r="C22" s="219"/>
      <c r="D22" s="220"/>
      <c r="E22" s="228"/>
      <c r="F22" s="239"/>
      <c r="G22" s="235"/>
      <c r="H22" s="236"/>
      <c r="I22" s="805"/>
      <c r="J22" s="217">
        <f>+'9'!J22</f>
        <v>0</v>
      </c>
      <c r="K22" s="242"/>
      <c r="L22" s="242"/>
      <c r="M22" s="120">
        <f>+K22+'9'!M22+L22</f>
        <v>0</v>
      </c>
      <c r="Q22" s="152">
        <f>+Q20+Q21</f>
        <v>480</v>
      </c>
    </row>
    <row r="23" spans="1:19" ht="13.5" thickBot="1">
      <c r="A23" s="788"/>
      <c r="B23" s="168" t="s">
        <v>3</v>
      </c>
      <c r="C23" s="103">
        <f>SUM(C16:C22)</f>
        <v>27546</v>
      </c>
      <c r="D23" s="114">
        <f>SUM(D16:D22)</f>
        <v>0</v>
      </c>
      <c r="E23" s="115">
        <f>SUM(E18:E22)</f>
        <v>0</v>
      </c>
      <c r="F23" s="105">
        <f>SUM(F15:F22)</f>
        <v>8</v>
      </c>
      <c r="G23" s="162"/>
      <c r="H23" s="169"/>
      <c r="I23" s="172"/>
      <c r="J23" s="217">
        <f>+'9'!J23</f>
        <v>0</v>
      </c>
      <c r="K23" s="242"/>
      <c r="L23" s="242"/>
      <c r="M23" s="120">
        <f>+K23+'9'!M23+L23</f>
        <v>0</v>
      </c>
    </row>
    <row r="24" spans="1:19" ht="13.5" customHeight="1" thickBot="1">
      <c r="A24" s="781" t="s">
        <v>409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590</v>
      </c>
      <c r="J24" s="217">
        <f>+'9'!J24</f>
        <v>0</v>
      </c>
      <c r="K24" s="242"/>
      <c r="L24" s="242"/>
      <c r="M24" s="120">
        <f>+K24+'9'!M24+L24</f>
        <v>0</v>
      </c>
      <c r="N24" s="152" t="s">
        <v>572</v>
      </c>
      <c r="O24" s="152">
        <v>830</v>
      </c>
      <c r="P24" s="152">
        <f>+O24-O24*0.14</f>
        <v>713.8</v>
      </c>
      <c r="Q24" s="152">
        <f>480-Q25</f>
        <v>460</v>
      </c>
      <c r="R24" s="152">
        <f>+O24*Q24</f>
        <v>381800</v>
      </c>
      <c r="S24" s="152">
        <f>+P24*Q24</f>
        <v>328348</v>
      </c>
    </row>
    <row r="25" spans="1:19" ht="13.5" customHeight="1" thickBot="1">
      <c r="A25" s="787"/>
      <c r="B25" s="218" t="s">
        <v>582</v>
      </c>
      <c r="C25" s="229">
        <v>23742</v>
      </c>
      <c r="D25" s="220">
        <v>603</v>
      </c>
      <c r="E25" s="228"/>
      <c r="F25" s="234">
        <v>3</v>
      </c>
      <c r="G25" s="585" t="s">
        <v>13</v>
      </c>
      <c r="H25" s="233" t="s">
        <v>434</v>
      </c>
      <c r="I25" s="785"/>
      <c r="J25" s="217">
        <f>+'9'!J25</f>
        <v>0</v>
      </c>
      <c r="K25" s="242"/>
      <c r="L25" s="242"/>
      <c r="M25" s="120">
        <f>+K25+'9'!M25+L25</f>
        <v>0</v>
      </c>
      <c r="N25" s="152" t="s">
        <v>509</v>
      </c>
      <c r="O25" s="152">
        <v>830</v>
      </c>
      <c r="P25" s="152">
        <f>+O25-O25*0.18</f>
        <v>680.6</v>
      </c>
      <c r="Q25" s="152">
        <v>20</v>
      </c>
      <c r="R25" s="152">
        <f>+O25*Q25</f>
        <v>16600</v>
      </c>
      <c r="S25" s="152">
        <f>+P25*Q25</f>
        <v>13612</v>
      </c>
    </row>
    <row r="26" spans="1:19" ht="13.5" customHeight="1" thickBot="1">
      <c r="A26" s="787"/>
      <c r="B26" s="218"/>
      <c r="C26" s="229"/>
      <c r="D26" s="220"/>
      <c r="E26" s="230"/>
      <c r="F26" s="231">
        <v>2</v>
      </c>
      <c r="G26" s="585" t="s">
        <v>13</v>
      </c>
      <c r="H26" s="236" t="s">
        <v>226</v>
      </c>
      <c r="I26" s="785"/>
      <c r="J26" s="217">
        <f>+'9'!J26</f>
        <v>0</v>
      </c>
      <c r="K26" s="242"/>
      <c r="L26" s="242"/>
      <c r="M26" s="120">
        <f>+K26+'9'!M26+L26</f>
        <v>0</v>
      </c>
      <c r="P26" s="152">
        <f>+O26-O26*0.14</f>
        <v>0</v>
      </c>
      <c r="R26" s="152">
        <f>+O26*Q26</f>
        <v>0</v>
      </c>
      <c r="S26" s="152">
        <f>+P26*Q26</f>
        <v>0</v>
      </c>
    </row>
    <row r="27" spans="1:19" ht="26.25" thickBot="1">
      <c r="A27" s="787"/>
      <c r="B27" s="218"/>
      <c r="C27" s="219"/>
      <c r="D27" s="220"/>
      <c r="E27" s="228"/>
      <c r="F27" s="231"/>
      <c r="G27" s="235"/>
      <c r="H27" s="236" t="s">
        <v>564</v>
      </c>
      <c r="I27" s="785"/>
      <c r="J27" s="217">
        <f>+'9'!J27</f>
        <v>0</v>
      </c>
      <c r="K27" s="242"/>
      <c r="L27" s="242"/>
      <c r="M27" s="120">
        <f>+K27+'9'!M27+L27</f>
        <v>0</v>
      </c>
      <c r="P27" s="152">
        <f>+O27-O27*0.25</f>
        <v>0</v>
      </c>
      <c r="R27" s="152">
        <f>+O27*Q27</f>
        <v>0</v>
      </c>
      <c r="S27" s="152">
        <f>+P27*Q27</f>
        <v>0</v>
      </c>
    </row>
    <row r="28" spans="1:19" ht="13.5" thickBot="1">
      <c r="A28" s="787"/>
      <c r="B28" s="218"/>
      <c r="C28" s="219"/>
      <c r="D28" s="220"/>
      <c r="E28" s="228"/>
      <c r="F28" s="231">
        <v>5</v>
      </c>
      <c r="G28" s="235" t="s">
        <v>201</v>
      </c>
      <c r="H28" s="236" t="s">
        <v>565</v>
      </c>
      <c r="I28" s="785"/>
      <c r="J28" s="217">
        <f>+'9'!J28</f>
        <v>0</v>
      </c>
      <c r="K28" s="242"/>
      <c r="L28" s="242"/>
      <c r="M28" s="120">
        <f>+K28+'9'!M28+L28</f>
        <v>0</v>
      </c>
      <c r="P28" s="152">
        <f>+O28-O28*0.25</f>
        <v>0</v>
      </c>
      <c r="R28" s="152">
        <f>+O28*Q28</f>
        <v>0</v>
      </c>
      <c r="S28" s="152">
        <f>+P28*Q28</f>
        <v>0</v>
      </c>
    </row>
    <row r="29" spans="1:19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+'9'!J29</f>
        <v>0</v>
      </c>
      <c r="K29" s="242"/>
      <c r="L29" s="242"/>
      <c r="M29" s="120">
        <f>+K29+'9'!M29+L29</f>
        <v>0</v>
      </c>
      <c r="Q29" s="152">
        <f>SUM(Q24:Q28)</f>
        <v>480</v>
      </c>
      <c r="R29" s="152">
        <f>SUM(R24:R28)</f>
        <v>398400</v>
      </c>
      <c r="S29" s="152">
        <f>SUM(S24:S28)</f>
        <v>341960</v>
      </c>
    </row>
    <row r="30" spans="1:19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+'9'!J30</f>
        <v>0</v>
      </c>
      <c r="K30" s="242"/>
      <c r="L30" s="242"/>
      <c r="M30" s="120">
        <f>+K30+'9'!M30+L30</f>
        <v>0</v>
      </c>
      <c r="O30" s="152" t="s">
        <v>542</v>
      </c>
      <c r="R30" s="152">
        <f>+R29/Q29</f>
        <v>830</v>
      </c>
      <c r="S30" s="152">
        <f>+S29/Q29</f>
        <v>712.41666666666663</v>
      </c>
    </row>
    <row r="31" spans="1:19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+'9'!J31</f>
        <v>0</v>
      </c>
      <c r="K31" s="242"/>
      <c r="L31" s="242"/>
      <c r="M31" s="120">
        <f>+K31+'9'!M31+L31</f>
        <v>0</v>
      </c>
      <c r="Q31" s="152">
        <f>+Q29+Q30</f>
        <v>480</v>
      </c>
    </row>
    <row r="32" spans="1:19" ht="13.5" customHeight="1" thickBot="1">
      <c r="A32" s="788"/>
      <c r="B32" s="168" t="s">
        <v>3</v>
      </c>
      <c r="C32" s="102">
        <f>SUM(C25:C31)</f>
        <v>23742</v>
      </c>
      <c r="D32" s="103">
        <f>SUM(D25:D31)</f>
        <v>603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+'9'!J32</f>
        <v>0</v>
      </c>
      <c r="K32" s="244"/>
      <c r="L32" s="246"/>
      <c r="M32" s="120">
        <f>+K32+'9'!M32+L32</f>
        <v>0</v>
      </c>
    </row>
    <row r="33" spans="1:17" ht="13.5" thickBot="1">
      <c r="A33" s="176"/>
      <c r="B33" s="177"/>
      <c r="C33" s="106">
        <f>C32/($C$32+$D$32+$E$32)</f>
        <v>0.97523105360443618</v>
      </c>
      <c r="D33" s="107">
        <f>D32/($C$32+$D$32+$E$32)</f>
        <v>2.4768946395563769E-2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7" ht="13.5" thickBot="1">
      <c r="A34" s="791" t="s">
        <v>60</v>
      </c>
      <c r="B34" s="792"/>
      <c r="C34" s="110">
        <f>C14+C23+C32</f>
        <v>75067</v>
      </c>
      <c r="D34" s="110">
        <f>D14+D23+D32</f>
        <v>603</v>
      </c>
      <c r="E34" s="110">
        <f>E14+E23+E32</f>
        <v>0</v>
      </c>
      <c r="F34" s="111">
        <f>F14+F23+F32</f>
        <v>25</v>
      </c>
      <c r="H34" s="181"/>
      <c r="I34" s="181"/>
      <c r="J34" s="126" t="s">
        <v>29</v>
      </c>
      <c r="K34" s="127">
        <f>SUM(K7:K32)</f>
        <v>75067</v>
      </c>
      <c r="L34" s="215">
        <f>SUM(L7:L32)</f>
        <v>0</v>
      </c>
      <c r="M34" s="123">
        <f>SUM(M7:M32)</f>
        <v>522946</v>
      </c>
      <c r="N34" s="152" t="s">
        <v>566</v>
      </c>
      <c r="O34" s="152">
        <v>830</v>
      </c>
      <c r="P34" s="152">
        <v>713.8</v>
      </c>
      <c r="Q34" s="152">
        <v>10</v>
      </c>
    </row>
    <row r="35" spans="1:17" ht="13.5" thickBot="1">
      <c r="A35" s="182"/>
      <c r="B35" s="183"/>
      <c r="C35" s="107">
        <f>C34/($C$34+$D$34+$E$34)</f>
        <v>0.99203118805338975</v>
      </c>
      <c r="D35" s="107">
        <f>D34/($C$34+$D$34+$E$34)</f>
        <v>7.9688119466102807E-3</v>
      </c>
      <c r="E35" s="112">
        <f>E34/($C$34+$D$34+$E$34)</f>
        <v>0</v>
      </c>
      <c r="K35" s="158"/>
      <c r="L35" s="780" t="s">
        <v>186</v>
      </c>
      <c r="M35" s="780"/>
      <c r="N35" s="152" t="s">
        <v>572</v>
      </c>
      <c r="O35" s="152">
        <v>830</v>
      </c>
      <c r="P35" s="152">
        <v>713.8</v>
      </c>
      <c r="Q35" s="152">
        <f>470+480+460</f>
        <v>1410</v>
      </c>
    </row>
    <row r="36" spans="1:17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  <c r="N36" s="152" t="s">
        <v>509</v>
      </c>
      <c r="O36" s="152">
        <v>830</v>
      </c>
      <c r="P36" s="152">
        <v>713.8</v>
      </c>
      <c r="Q36" s="152">
        <v>20</v>
      </c>
    </row>
    <row r="37" spans="1:17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(23*10+1410*23+17*20)/1440*G42*3.4*1440/1000000</f>
        <v>80.088359999999994</v>
      </c>
      <c r="J37" s="385">
        <f>+I37+'9'!J37</f>
        <v>604.69489853853929</v>
      </c>
      <c r="K37" s="129" t="s">
        <v>66</v>
      </c>
      <c r="L37" s="437"/>
      <c r="M37" s="438"/>
      <c r="Q37" s="152">
        <f>+Q34+Q35+Q36</f>
        <v>1440</v>
      </c>
    </row>
    <row r="38" spans="1:17" ht="17.45" customHeight="1">
      <c r="A38" s="797" t="s">
        <v>13</v>
      </c>
      <c r="B38" s="798"/>
      <c r="C38" s="167">
        <f>SUMIF($G$7:$G$31,"Process",$F$7:$F$31)</f>
        <v>20</v>
      </c>
      <c r="D38" s="121">
        <f>+C38+'9'!D38</f>
        <v>496</v>
      </c>
      <c r="E38" s="146">
        <f t="shared" ref="E38:E51" si="0">D38/60</f>
        <v>8.2666666666666675</v>
      </c>
      <c r="F38" s="372">
        <v>830</v>
      </c>
      <c r="G38" s="374">
        <v>713.8</v>
      </c>
      <c r="H38" s="190" t="s">
        <v>67</v>
      </c>
      <c r="I38" s="562">
        <f>24.518+25.235+24.292</f>
        <v>74.045000000000002</v>
      </c>
      <c r="J38" s="386">
        <f>+I38+'9'!J38</f>
        <v>548.40700000000004</v>
      </c>
      <c r="K38" s="131" t="s">
        <v>66</v>
      </c>
      <c r="L38" s="439"/>
      <c r="M38" s="440"/>
    </row>
    <row r="39" spans="1:17" ht="17.45" customHeight="1">
      <c r="A39" s="793" t="s">
        <v>14</v>
      </c>
      <c r="B39" s="794"/>
      <c r="C39" s="167">
        <f>SUMIF($G$7:$G$23,"Cleaning",$F$7:$F$23)</f>
        <v>0</v>
      </c>
      <c r="D39" s="121">
        <f>+C39+'9'!D39</f>
        <v>0</v>
      </c>
      <c r="E39" s="146">
        <f t="shared" si="0"/>
        <v>0</v>
      </c>
      <c r="F39" s="372">
        <v>830</v>
      </c>
      <c r="G39" s="374">
        <v>713.8</v>
      </c>
      <c r="H39" s="190" t="s">
        <v>68</v>
      </c>
      <c r="I39" s="145"/>
      <c r="J39" s="387">
        <f>J37/G4</f>
        <v>60.469489853853929</v>
      </c>
      <c r="K39" s="133" t="s">
        <v>66</v>
      </c>
      <c r="L39" s="439"/>
      <c r="M39" s="440"/>
    </row>
    <row r="40" spans="1:17" ht="17.45" customHeight="1">
      <c r="A40" s="793" t="s">
        <v>69</v>
      </c>
      <c r="B40" s="794"/>
      <c r="C40" s="167">
        <f>SUMIF($G$7:$G$23,"Mechanical",$F$7:$F$23)</f>
        <v>0</v>
      </c>
      <c r="D40" s="121">
        <f>+C40+'9'!D40</f>
        <v>0</v>
      </c>
      <c r="E40" s="146">
        <f t="shared" si="0"/>
        <v>0</v>
      </c>
      <c r="F40" s="372">
        <v>830</v>
      </c>
      <c r="G40" s="374">
        <v>712</v>
      </c>
      <c r="H40" s="190" t="s">
        <v>70</v>
      </c>
      <c r="I40" s="121">
        <f>+(K34+L34)/1000</f>
        <v>75.066999999999993</v>
      </c>
      <c r="J40" s="388">
        <f>+I40+'9'!J40</f>
        <v>522.94600000000003</v>
      </c>
      <c r="K40" s="133" t="s">
        <v>66</v>
      </c>
      <c r="L40" s="439"/>
      <c r="M40" s="440"/>
    </row>
    <row r="41" spans="1:17" ht="17.45" customHeight="1">
      <c r="A41" s="793" t="s">
        <v>71</v>
      </c>
      <c r="B41" s="794"/>
      <c r="C41" s="167">
        <f>SUMIF($G$7:$G$31,"Electrical",$F$7:$F$31)</f>
        <v>0</v>
      </c>
      <c r="D41" s="121">
        <f>+C41+'9'!D41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387">
        <f>J40/G4</f>
        <v>52.294600000000003</v>
      </c>
      <c r="K41" s="133" t="s">
        <v>66</v>
      </c>
      <c r="L41" s="439"/>
      <c r="M41" s="440"/>
    </row>
    <row r="42" spans="1:17" ht="17.45" customHeight="1">
      <c r="A42" s="793" t="s">
        <v>17</v>
      </c>
      <c r="B42" s="794"/>
      <c r="C42" s="167">
        <f>SUMIF($G$7:$G$23,"Instrument",$F$7:$F$23)</f>
        <v>0</v>
      </c>
      <c r="D42" s="121">
        <f>+C42+'9'!D42</f>
        <v>0</v>
      </c>
      <c r="E42" s="146">
        <f t="shared" si="0"/>
        <v>0</v>
      </c>
      <c r="F42" s="372">
        <v>830</v>
      </c>
      <c r="G42" s="374">
        <v>713.8</v>
      </c>
      <c r="H42" s="190" t="s">
        <v>73</v>
      </c>
      <c r="I42" s="248" t="s">
        <v>570</v>
      </c>
      <c r="J42" s="389"/>
      <c r="K42" s="133" t="s">
        <v>74</v>
      </c>
      <c r="L42" s="439"/>
      <c r="M42" s="440"/>
    </row>
    <row r="43" spans="1:17" ht="17.45" customHeight="1">
      <c r="A43" s="793" t="s">
        <v>75</v>
      </c>
      <c r="B43" s="794"/>
      <c r="C43" s="167">
        <f>SUMIF($G$7:$G$23,"Water",$F$7:$F$23)</f>
        <v>0</v>
      </c>
      <c r="D43" s="121">
        <f>+C43+'9'!D43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+Report1!AH18</f>
        <v>157.11799999999999</v>
      </c>
      <c r="J43" s="390">
        <f>+I43+'9'!J43</f>
        <v>1417.5429999999997</v>
      </c>
      <c r="K43" s="133" t="s">
        <v>66</v>
      </c>
      <c r="L43" s="441">
        <f>+Report1!AN18</f>
        <v>0</v>
      </c>
      <c r="M43" s="442">
        <f>+L43+'9'!M43</f>
        <v>62.5</v>
      </c>
    </row>
    <row r="44" spans="1:17" ht="17.45" customHeight="1">
      <c r="A44" s="793" t="s">
        <v>18</v>
      </c>
      <c r="B44" s="794"/>
      <c r="C44" s="167">
        <f>SUMIF($G$7:$G$23,"PLN",$F$7:$F$23)</f>
        <v>0</v>
      </c>
      <c r="D44" s="121">
        <f>+C44+'9'!D44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2.1219258558984402</v>
      </c>
      <c r="J44" s="390">
        <f>J43/J38</f>
        <v>2.5848375385434532</v>
      </c>
      <c r="K44" s="133" t="s">
        <v>66</v>
      </c>
      <c r="L44" s="443">
        <f>+L43/I38</f>
        <v>0</v>
      </c>
      <c r="M44" s="444">
        <f>+M43/J38</f>
        <v>0.11396645192348018</v>
      </c>
    </row>
    <row r="45" spans="1:17" ht="17.45" customHeight="1">
      <c r="A45" s="793" t="s">
        <v>19</v>
      </c>
      <c r="B45" s="794"/>
      <c r="C45" s="167">
        <f>SUMIF($G$7:$G$23,"Boiler",$F$7:$F$23)</f>
        <v>0</v>
      </c>
      <c r="D45" s="121">
        <f>+C45+'9'!D45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2.0930368870475711</v>
      </c>
      <c r="J45" s="390">
        <f>J43/J40</f>
        <v>2.710687145517892</v>
      </c>
      <c r="K45" s="133" t="s">
        <v>66</v>
      </c>
      <c r="L45" s="443">
        <f>+L43/I40</f>
        <v>0</v>
      </c>
      <c r="M45" s="444">
        <f>+M43/J40</f>
        <v>0.11951520807119664</v>
      </c>
    </row>
    <row r="46" spans="1:17" ht="17.45" customHeight="1">
      <c r="A46" s="793" t="s">
        <v>79</v>
      </c>
      <c r="B46" s="794"/>
      <c r="C46" s="167">
        <f>SUMIF($G$7:$G$23,"Gas",$F$7:$F$23)</f>
        <v>0</v>
      </c>
      <c r="D46" s="121">
        <f>+C46+'9'!D46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+SUMIF(Listrik!AC17,"&gt;0")</f>
        <v>45373.809999999808</v>
      </c>
      <c r="J46" s="390">
        <f>+I46+'9'!J46</f>
        <v>369218.83999999991</v>
      </c>
      <c r="K46" s="133" t="s">
        <v>81</v>
      </c>
      <c r="L46" s="443">
        <f>+Listrik!AF17</f>
        <v>455</v>
      </c>
      <c r="M46" s="445">
        <f>+L46+'9'!M46</f>
        <v>108263</v>
      </c>
    </row>
    <row r="47" spans="1:17" ht="17.45" customHeight="1">
      <c r="A47" s="793" t="s">
        <v>82</v>
      </c>
      <c r="B47" s="794"/>
      <c r="C47" s="167">
        <f>SUMIF($G$7:$G$23,"Gas",$F$7:$F$23)</f>
        <v>0</v>
      </c>
      <c r="D47" s="121">
        <f>+C47+'9'!D47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612.78695387939501</v>
      </c>
      <c r="J47" s="390">
        <f>J46/J38</f>
        <v>673.25697884964973</v>
      </c>
      <c r="K47" s="133" t="s">
        <v>25</v>
      </c>
      <c r="L47" s="443">
        <f>+L46/I38</f>
        <v>6.1449118779120804</v>
      </c>
      <c r="M47" s="444">
        <f>+M46/J38</f>
        <v>197.41359975346776</v>
      </c>
    </row>
    <row r="48" spans="1:17" ht="17.45" customHeight="1">
      <c r="A48" s="793" t="s">
        <v>15</v>
      </c>
      <c r="B48" s="794"/>
      <c r="C48" s="167">
        <f>SUMIF($G$7:$G$23,"Start Up",$F$7:$F$23)</f>
        <v>0</v>
      </c>
      <c r="D48" s="121">
        <f>+C48+'9'!D48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604.44416321419283</v>
      </c>
      <c r="J48" s="390">
        <f>J46/J40</f>
        <v>706.03626378249362</v>
      </c>
      <c r="K48" s="133" t="s">
        <v>25</v>
      </c>
      <c r="L48" s="443">
        <f>+L46/I38</f>
        <v>6.1449118779120804</v>
      </c>
      <c r="M48" s="444">
        <f>+M46/J40</f>
        <v>207.02519954259139</v>
      </c>
    </row>
    <row r="49" spans="1:13" ht="17.45" customHeight="1">
      <c r="A49" s="793" t="s">
        <v>21</v>
      </c>
      <c r="B49" s="794"/>
      <c r="C49" s="167">
        <f>SUMIF($G$7:$G$23,"Others",$F$7:$F$23)</f>
        <v>0</v>
      </c>
      <c r="D49" s="121">
        <f>+C49+'9'!D49</f>
        <v>1406</v>
      </c>
      <c r="E49" s="146">
        <f t="shared" si="0"/>
        <v>23.433333333333334</v>
      </c>
      <c r="F49" s="188"/>
      <c r="H49" s="191" t="s">
        <v>170</v>
      </c>
      <c r="I49" s="121">
        <f>+Report1!AB18</f>
        <v>0</v>
      </c>
      <c r="J49" s="390">
        <f>+I49+'9'!J49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SUMIF($G$7:$G$23,"Steam",$F$7:$F$23)</f>
        <v>0</v>
      </c>
      <c r="D50" s="121">
        <f>+C50+'9'!D50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390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SUMIF($G$7:$G$23,"Planned shut",$F$7:$F$23)</f>
        <v>0</v>
      </c>
      <c r="D51" s="121">
        <f>+C51+'9'!D51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391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20</v>
      </c>
      <c r="D52" s="147">
        <f>SUM(D38:D51)</f>
        <v>2492</v>
      </c>
      <c r="E52" s="148">
        <f>SUM(E38:E51)</f>
        <v>41.533333333333331</v>
      </c>
      <c r="F52" s="188"/>
      <c r="H52" s="194"/>
      <c r="I52" s="195"/>
      <c r="J52" s="392"/>
      <c r="K52" s="142"/>
      <c r="L52" s="446"/>
      <c r="M52" s="447"/>
    </row>
    <row r="53" spans="1:13" ht="13.5" thickBot="1">
      <c r="A53" s="801"/>
      <c r="B53" s="802"/>
      <c r="C53" s="149">
        <f>C52/(24*60)</f>
        <v>1.3888888888888888E-2</v>
      </c>
      <c r="D53" s="149">
        <f>D52/(24*60*G4)</f>
        <v>0.17305555555555555</v>
      </c>
      <c r="E53" s="150">
        <f>E52/(G4*24)</f>
        <v>0.17305555555555555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+D34+'9'!J56</f>
        <v>7088</v>
      </c>
      <c r="K56" s="204">
        <f>J56/(J40+J56/1000)/1000</f>
        <v>1.3372727032605456E-2</v>
      </c>
    </row>
    <row r="57" spans="1:13">
      <c r="A57" s="179"/>
      <c r="I57" s="202" t="s">
        <v>92</v>
      </c>
      <c r="J57" s="203">
        <f>+E34+'9'!J57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  <mergeCell ref="A7:A14"/>
    <mergeCell ref="I7:I13"/>
    <mergeCell ref="A15:A23"/>
    <mergeCell ref="I15:I22"/>
    <mergeCell ref="A24:A32"/>
    <mergeCell ref="I24:I31"/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B61"/>
  <sheetViews>
    <sheetView view="pageBreakPreview" topLeftCell="A7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12" style="152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42578125" style="152" customWidth="1"/>
    <col min="11" max="11" width="12.5703125" style="152" bestFit="1" customWidth="1"/>
    <col min="12" max="12" width="10.5703125" style="152" bestFit="1" customWidth="1"/>
    <col min="13" max="13" width="12.140625" style="152" customWidth="1"/>
    <col min="14" max="16384" width="9.140625" style="152"/>
  </cols>
  <sheetData>
    <row r="1" spans="1:28" ht="15.75">
      <c r="A1" s="151"/>
    </row>
    <row r="2" spans="1:28" ht="15.75">
      <c r="A2" s="151" t="s">
        <v>175</v>
      </c>
    </row>
    <row r="3" spans="1:28" ht="15">
      <c r="A3" s="153"/>
    </row>
    <row r="4" spans="1:28" ht="20.25">
      <c r="A4" s="154" t="s">
        <v>4</v>
      </c>
      <c r="B4" s="155"/>
      <c r="F4" s="156" t="s">
        <v>31</v>
      </c>
      <c r="G4" s="157">
        <v>9</v>
      </c>
      <c r="H4" s="157" t="str">
        <f>+'1'!H4</f>
        <v>.06.24</v>
      </c>
      <c r="J4" s="152">
        <f>248+245+253</f>
        <v>746</v>
      </c>
    </row>
    <row r="5" spans="1:28" ht="13.5" thickBot="1">
      <c r="C5" s="158"/>
      <c r="D5" s="158"/>
    </row>
    <row r="6" spans="1:2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O6" s="152" t="s">
        <v>543</v>
      </c>
      <c r="P6" s="152">
        <v>790</v>
      </c>
      <c r="Q6" s="152">
        <f>+P6-P6*0.14</f>
        <v>679.4</v>
      </c>
      <c r="R6" s="152">
        <v>10</v>
      </c>
      <c r="S6" s="152">
        <f>+P6*R6</f>
        <v>7900</v>
      </c>
      <c r="T6" s="152">
        <f>+Q6*R6</f>
        <v>6794</v>
      </c>
      <c r="W6" s="152" t="s">
        <v>543</v>
      </c>
      <c r="X6" s="152">
        <v>790</v>
      </c>
      <c r="Y6" s="152">
        <f>+X6-X6*0.14</f>
        <v>679.4</v>
      </c>
      <c r="Z6" s="152">
        <v>10</v>
      </c>
      <c r="AA6" s="152">
        <f>+X6*Z6</f>
        <v>7900</v>
      </c>
      <c r="AB6" s="152">
        <f>+Y6*Z6</f>
        <v>6794</v>
      </c>
    </row>
    <row r="7" spans="1:28" ht="13.5" customHeight="1" thickBot="1">
      <c r="A7" s="781" t="s">
        <v>410</v>
      </c>
      <c r="B7" s="218" t="s">
        <v>552</v>
      </c>
      <c r="C7" s="219">
        <v>21980</v>
      </c>
      <c r="D7" s="220"/>
      <c r="E7" s="221"/>
      <c r="F7" s="231">
        <v>4</v>
      </c>
      <c r="G7" s="232" t="s">
        <v>13</v>
      </c>
      <c r="H7" s="233" t="s">
        <v>436</v>
      </c>
      <c r="I7" s="784" t="s">
        <v>569</v>
      </c>
      <c r="J7" s="217" t="str">
        <f>+'8'!J7</f>
        <v>TW 38 RC BR</v>
      </c>
      <c r="K7" s="241"/>
      <c r="L7" s="245"/>
      <c r="M7" s="120">
        <f>+K7+'8'!M7+L7</f>
        <v>53722</v>
      </c>
      <c r="P7" s="152">
        <v>830</v>
      </c>
      <c r="Q7" s="152">
        <f>+P7-P7*0.14</f>
        <v>713.8</v>
      </c>
      <c r="R7" s="152">
        <f>60-10+120+40</f>
        <v>210</v>
      </c>
      <c r="S7" s="152">
        <f>+P7*R7</f>
        <v>174300</v>
      </c>
      <c r="T7" s="152">
        <f>+Q7*R7</f>
        <v>149898</v>
      </c>
      <c r="X7" s="152">
        <v>830</v>
      </c>
      <c r="Y7" s="152">
        <f>+X7-X7*0.14</f>
        <v>713.8</v>
      </c>
      <c r="Z7" s="152">
        <f>60-10+120+40</f>
        <v>210</v>
      </c>
      <c r="AA7" s="152">
        <f>+X7*Z7</f>
        <v>174300</v>
      </c>
      <c r="AB7" s="152">
        <f>+Y7*Z7</f>
        <v>149898</v>
      </c>
    </row>
    <row r="8" spans="1:28" ht="13.5" thickBot="1">
      <c r="A8" s="782"/>
      <c r="B8" s="218"/>
      <c r="C8" s="219"/>
      <c r="D8" s="220"/>
      <c r="E8" s="222"/>
      <c r="F8" s="234">
        <v>8</v>
      </c>
      <c r="G8" s="585" t="s">
        <v>13</v>
      </c>
      <c r="H8" s="233" t="s">
        <v>527</v>
      </c>
      <c r="I8" s="785"/>
      <c r="J8" s="217" t="str">
        <f>+'8'!J8</f>
        <v>TW 36 RC BR</v>
      </c>
      <c r="K8" s="242"/>
      <c r="L8" s="242"/>
      <c r="M8" s="120">
        <f>+K8+'8'!M8+L8</f>
        <v>45750</v>
      </c>
      <c r="P8" s="152">
        <v>800</v>
      </c>
      <c r="Q8" s="152">
        <f>+P8-P8*0.14</f>
        <v>688</v>
      </c>
      <c r="R8" s="152">
        <f>60-35+180</f>
        <v>205</v>
      </c>
      <c r="S8" s="152">
        <f>+P8*R8</f>
        <v>164000</v>
      </c>
      <c r="T8" s="152">
        <f>+Q8*R8</f>
        <v>141040</v>
      </c>
      <c r="X8" s="152">
        <v>800</v>
      </c>
      <c r="Y8" s="152">
        <f>+X8-X8*0.14</f>
        <v>688</v>
      </c>
      <c r="Z8" s="152">
        <f>60-35+180</f>
        <v>205</v>
      </c>
      <c r="AA8" s="152">
        <f>+X8*Z8</f>
        <v>164000</v>
      </c>
      <c r="AB8" s="152">
        <f>+Y8*Z8</f>
        <v>141040</v>
      </c>
    </row>
    <row r="9" spans="1:28" ht="13.5" thickBot="1">
      <c r="A9" s="782"/>
      <c r="B9" s="218"/>
      <c r="C9" s="219"/>
      <c r="D9" s="220"/>
      <c r="E9" s="223"/>
      <c r="F9" s="231">
        <v>8</v>
      </c>
      <c r="G9" s="585" t="s">
        <v>13</v>
      </c>
      <c r="H9" s="236" t="s">
        <v>226</v>
      </c>
      <c r="I9" s="785"/>
      <c r="J9" s="217" t="str">
        <f>+'8'!J9</f>
        <v>TW 34 RC BR</v>
      </c>
      <c r="K9" s="242"/>
      <c r="L9" s="242"/>
      <c r="M9" s="120">
        <f>+K9+'8'!M9+L9</f>
        <v>19926</v>
      </c>
      <c r="Q9" s="152">
        <f>+P9-P9*0.25</f>
        <v>0</v>
      </c>
      <c r="S9" s="152">
        <f>+P9*R9</f>
        <v>0</v>
      </c>
      <c r="T9" s="152">
        <f>+Q9*R9</f>
        <v>0</v>
      </c>
      <c r="W9" s="152" t="s">
        <v>543</v>
      </c>
      <c r="X9" s="152">
        <v>830</v>
      </c>
      <c r="Y9" s="152">
        <v>713.8</v>
      </c>
      <c r="Z9" s="152">
        <v>480</v>
      </c>
      <c r="AA9" s="152">
        <f>+X9*Z9</f>
        <v>398400</v>
      </c>
      <c r="AB9" s="152">
        <f>+Y9*Z9</f>
        <v>342624</v>
      </c>
    </row>
    <row r="10" spans="1:28" ht="26.25" thickBot="1">
      <c r="A10" s="782"/>
      <c r="B10" s="218"/>
      <c r="C10" s="219"/>
      <c r="D10" s="220"/>
      <c r="E10" s="222"/>
      <c r="F10" s="231"/>
      <c r="G10" s="235"/>
      <c r="H10" s="236" t="s">
        <v>562</v>
      </c>
      <c r="I10" s="785"/>
      <c r="J10" s="217" t="str">
        <f>+'8'!J10</f>
        <v>TW 30 RC BR</v>
      </c>
      <c r="K10" s="242"/>
      <c r="L10" s="242"/>
      <c r="M10" s="120">
        <f>+K10+'8'!M10+L10</f>
        <v>11017</v>
      </c>
      <c r="Q10" s="152">
        <f>+P10-P10*0.25</f>
        <v>0</v>
      </c>
      <c r="S10" s="152">
        <f>+P10*R10</f>
        <v>0</v>
      </c>
      <c r="T10" s="152">
        <f>+Q10*R10</f>
        <v>0</v>
      </c>
      <c r="W10" s="152" t="s">
        <v>543</v>
      </c>
      <c r="X10" s="152">
        <v>830</v>
      </c>
      <c r="Y10" s="152">
        <v>713.8</v>
      </c>
      <c r="Z10" s="152">
        <v>100</v>
      </c>
      <c r="AA10" s="152">
        <f>+X10*Z10</f>
        <v>83000</v>
      </c>
      <c r="AB10" s="152">
        <f>+Y10*Z10</f>
        <v>71380</v>
      </c>
    </row>
    <row r="11" spans="1:28" ht="39" thickBot="1">
      <c r="A11" s="782"/>
      <c r="B11" s="218"/>
      <c r="C11" s="219"/>
      <c r="D11" s="220"/>
      <c r="E11" s="222"/>
      <c r="F11" s="231">
        <v>55</v>
      </c>
      <c r="G11" s="235" t="s">
        <v>71</v>
      </c>
      <c r="H11" s="236" t="s">
        <v>563</v>
      </c>
      <c r="I11" s="785"/>
      <c r="J11" s="217" t="str">
        <f>+'8'!J11</f>
        <v>TW 20 RC BR</v>
      </c>
      <c r="K11" s="242"/>
      <c r="L11" s="242"/>
      <c r="M11" s="120">
        <f>+K11+'8'!M11+L11</f>
        <v>13885</v>
      </c>
      <c r="R11" s="152">
        <f>SUM(R6:R10)</f>
        <v>425</v>
      </c>
      <c r="S11" s="152">
        <f>SUM(S6:S10)</f>
        <v>346200</v>
      </c>
      <c r="T11" s="152">
        <f>SUM(T6:T10)</f>
        <v>297732</v>
      </c>
      <c r="Z11" s="152">
        <f>SUM(Z6:Z10)</f>
        <v>1005</v>
      </c>
      <c r="AA11" s="152">
        <f>SUM(AA6:AA10)</f>
        <v>827600</v>
      </c>
      <c r="AB11" s="152">
        <f>SUM(AB6:AB10)</f>
        <v>711736</v>
      </c>
    </row>
    <row r="12" spans="1:2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+'8'!J12</f>
        <v>N 20 RC BR</v>
      </c>
      <c r="K12" s="242"/>
      <c r="L12" s="242"/>
      <c r="M12" s="120">
        <f>+K12+'8'!M12+L12</f>
        <v>16183</v>
      </c>
      <c r="P12" s="152" t="s">
        <v>542</v>
      </c>
      <c r="R12" s="152">
        <v>55</v>
      </c>
      <c r="S12" s="152">
        <f>+S11/R11</f>
        <v>814.58823529411768</v>
      </c>
      <c r="T12" s="152">
        <f>+T11/R11</f>
        <v>700.54588235294113</v>
      </c>
      <c r="X12" s="152" t="s">
        <v>542</v>
      </c>
      <c r="AA12" s="152">
        <f>+AA11/Z11</f>
        <v>823.48258706467664</v>
      </c>
      <c r="AB12" s="152">
        <f>+AB11/Z11</f>
        <v>708.19502487562193</v>
      </c>
    </row>
    <row r="13" spans="1:2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+'8'!J13</f>
        <v>N 17,5 RC BR</v>
      </c>
      <c r="K13" s="242"/>
      <c r="L13" s="242"/>
      <c r="M13" s="120">
        <f>+K13+'8'!M13+L13</f>
        <v>61888</v>
      </c>
      <c r="R13" s="152">
        <f>+R11+R12</f>
        <v>480</v>
      </c>
      <c r="Z13" s="152">
        <f>+Z11+Z12</f>
        <v>1005</v>
      </c>
    </row>
    <row r="14" spans="1:28" ht="13.5" thickBot="1">
      <c r="A14" s="783"/>
      <c r="B14" s="168" t="s">
        <v>3</v>
      </c>
      <c r="C14" s="102">
        <f>SUM(C7:C13)</f>
        <v>21980</v>
      </c>
      <c r="D14" s="114">
        <f>SUM(D7:D13)</f>
        <v>0</v>
      </c>
      <c r="E14" s="115">
        <f>SUM(E5:E13)</f>
        <v>0</v>
      </c>
      <c r="F14" s="105">
        <f>SUM(F6:F13)</f>
        <v>75</v>
      </c>
      <c r="G14" s="162"/>
      <c r="H14" s="169"/>
      <c r="I14" s="170"/>
      <c r="J14" s="217" t="str">
        <f>+'8'!J14</f>
        <v>N 16 RC BR</v>
      </c>
      <c r="K14" s="242"/>
      <c r="L14" s="242"/>
      <c r="M14" s="120">
        <f>+K14+'8'!M14+L14</f>
        <v>24358</v>
      </c>
    </row>
    <row r="15" spans="1:28" ht="13.5" customHeight="1" thickBot="1">
      <c r="A15" s="781" t="s">
        <v>408</v>
      </c>
      <c r="B15" s="168"/>
      <c r="C15" s="116">
        <f>C14/($C$23+$D$23+$E$23)</f>
        <v>0.90725223923721465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570</v>
      </c>
      <c r="J15" s="217" t="str">
        <f>+'8'!J15</f>
        <v>N 15,5 RC BR</v>
      </c>
      <c r="K15" s="242"/>
      <c r="L15" s="242"/>
      <c r="M15" s="120">
        <f>+K15+'8'!M15+L15</f>
        <v>0</v>
      </c>
    </row>
    <row r="16" spans="1:28" ht="13.5" thickBot="1">
      <c r="A16" s="787"/>
      <c r="B16" s="218" t="s">
        <v>552</v>
      </c>
      <c r="C16" s="225">
        <v>24227</v>
      </c>
      <c r="D16" s="226"/>
      <c r="E16" s="227"/>
      <c r="F16" s="234">
        <v>10</v>
      </c>
      <c r="G16" s="585" t="s">
        <v>13</v>
      </c>
      <c r="H16" s="233" t="s">
        <v>389</v>
      </c>
      <c r="I16" s="785"/>
      <c r="J16" s="217" t="str">
        <f>+'8'!J16</f>
        <v>N 17 VP OW</v>
      </c>
      <c r="K16" s="242"/>
      <c r="L16" s="232"/>
      <c r="M16" s="120">
        <f>+K16+'8'!M16+L16</f>
        <v>14370</v>
      </c>
    </row>
    <row r="17" spans="1:20" ht="13.5" thickBot="1">
      <c r="A17" s="787"/>
      <c r="B17" s="218"/>
      <c r="C17" s="219"/>
      <c r="D17" s="220"/>
      <c r="E17" s="228"/>
      <c r="F17" s="231">
        <v>10</v>
      </c>
      <c r="G17" s="585" t="s">
        <v>13</v>
      </c>
      <c r="H17" s="236" t="s">
        <v>226</v>
      </c>
      <c r="I17" s="785"/>
      <c r="J17" s="217" t="str">
        <f>+'8'!J17</f>
        <v>N 16 VP OW</v>
      </c>
      <c r="K17" s="242"/>
      <c r="L17" s="232"/>
      <c r="M17" s="120">
        <f>+K17+'8'!M17+L17</f>
        <v>38174</v>
      </c>
    </row>
    <row r="18" spans="1:20" ht="26.25" thickBot="1">
      <c r="A18" s="787"/>
      <c r="B18" s="218"/>
      <c r="C18" s="219"/>
      <c r="D18" s="220"/>
      <c r="E18" s="228"/>
      <c r="F18" s="231"/>
      <c r="G18" s="235"/>
      <c r="H18" s="236" t="s">
        <v>560</v>
      </c>
      <c r="I18" s="785"/>
      <c r="J18" s="217" t="str">
        <f>+'8'!J18</f>
        <v>N 19 VP OW</v>
      </c>
      <c r="K18" s="242"/>
      <c r="L18" s="242"/>
      <c r="M18" s="120">
        <f>+K18+'8'!M18+L18</f>
        <v>24049</v>
      </c>
      <c r="O18" s="152" t="s">
        <v>543</v>
      </c>
      <c r="P18" s="152">
        <v>830</v>
      </c>
      <c r="Q18" s="152">
        <f>+P18-P18*0.14</f>
        <v>713.8</v>
      </c>
      <c r="R18" s="152">
        <v>480</v>
      </c>
      <c r="S18" s="152">
        <f>+P18*R18</f>
        <v>398400</v>
      </c>
      <c r="T18" s="152">
        <f>+Q18*R18</f>
        <v>342624</v>
      </c>
    </row>
    <row r="19" spans="1:20" ht="13.5" thickBot="1">
      <c r="A19" s="787"/>
      <c r="B19" s="218"/>
      <c r="C19" s="219"/>
      <c r="D19" s="220"/>
      <c r="E19" s="228"/>
      <c r="F19" s="238">
        <v>15</v>
      </c>
      <c r="G19" s="235" t="s">
        <v>71</v>
      </c>
      <c r="H19" s="236" t="s">
        <v>561</v>
      </c>
      <c r="I19" s="785"/>
      <c r="J19" s="217" t="str">
        <f>+'8'!J19</f>
        <v>N 25 VP OW</v>
      </c>
      <c r="K19" s="242">
        <f>+C7+C16+C25</f>
        <v>58109</v>
      </c>
      <c r="L19" s="242"/>
      <c r="M19" s="120">
        <f>+K19+'8'!M19+L19</f>
        <v>114797</v>
      </c>
      <c r="Q19" s="152">
        <f>+P19-P19*0.14</f>
        <v>0</v>
      </c>
      <c r="S19" s="152">
        <f>+P19*R19</f>
        <v>0</v>
      </c>
      <c r="T19" s="152">
        <f>+Q19*R19</f>
        <v>0</v>
      </c>
    </row>
    <row r="20" spans="1:20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 t="s">
        <v>581</v>
      </c>
      <c r="K20" s="243">
        <f>+C26</f>
        <v>9760</v>
      </c>
      <c r="L20" s="243"/>
      <c r="M20" s="120">
        <f>+K20+'8'!M20+L20</f>
        <v>9760</v>
      </c>
      <c r="Q20" s="152">
        <f>+P20-P20*0.14</f>
        <v>0</v>
      </c>
      <c r="S20" s="152">
        <f>+P20*R20</f>
        <v>0</v>
      </c>
      <c r="T20" s="152">
        <f>+Q20*R20</f>
        <v>0</v>
      </c>
    </row>
    <row r="21" spans="1:20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+'8'!J21</f>
        <v>0</v>
      </c>
      <c r="K21" s="242"/>
      <c r="L21" s="242"/>
      <c r="M21" s="120">
        <f>+K21+'8'!M21+L21</f>
        <v>0</v>
      </c>
      <c r="Q21" s="152">
        <f>+P21-P21*0.25</f>
        <v>0</v>
      </c>
      <c r="S21" s="152">
        <f>+P21*R21</f>
        <v>0</v>
      </c>
      <c r="T21" s="152">
        <f>+Q21*R21</f>
        <v>0</v>
      </c>
    </row>
    <row r="22" spans="1:20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+'8'!J22</f>
        <v>0</v>
      </c>
      <c r="K22" s="242"/>
      <c r="L22" s="242"/>
      <c r="M22" s="120">
        <f>+K22+'8'!M22+L22</f>
        <v>0</v>
      </c>
      <c r="Q22" s="152">
        <f>+P22-P22*0.25</f>
        <v>0</v>
      </c>
      <c r="S22" s="152">
        <f>+P22*R22</f>
        <v>0</v>
      </c>
      <c r="T22" s="152">
        <f>+Q22*R22</f>
        <v>0</v>
      </c>
    </row>
    <row r="23" spans="1:20" ht="13.5" thickBot="1">
      <c r="A23" s="788"/>
      <c r="B23" s="168" t="s">
        <v>3</v>
      </c>
      <c r="C23" s="103">
        <f>SUM(C16:C22)</f>
        <v>24227</v>
      </c>
      <c r="D23" s="114">
        <f>SUM(D16:D22)</f>
        <v>0</v>
      </c>
      <c r="E23" s="115">
        <f>SUM(E18:E22)</f>
        <v>0</v>
      </c>
      <c r="F23" s="105">
        <f>SUM(F15:F22)</f>
        <v>35</v>
      </c>
      <c r="G23" s="162"/>
      <c r="H23" s="169"/>
      <c r="I23" s="172"/>
      <c r="J23" s="217">
        <f>+'8'!J23</f>
        <v>0</v>
      </c>
      <c r="K23" s="242"/>
      <c r="L23" s="242"/>
      <c r="M23" s="120">
        <f>+K23+'8'!M23+L23</f>
        <v>0</v>
      </c>
      <c r="R23" s="152">
        <f>SUM(R18:R22)</f>
        <v>480</v>
      </c>
      <c r="S23" s="152">
        <f>SUM(S18:S22)</f>
        <v>398400</v>
      </c>
      <c r="T23" s="152">
        <f>SUM(T18:T22)</f>
        <v>342624</v>
      </c>
    </row>
    <row r="24" spans="1:20" ht="13.5" customHeight="1" thickBot="1">
      <c r="A24" s="781" t="s">
        <v>409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570</v>
      </c>
      <c r="J24" s="217">
        <f>+'8'!J24</f>
        <v>0</v>
      </c>
      <c r="K24" s="242"/>
      <c r="L24" s="242"/>
      <c r="M24" s="120">
        <f>+K24+'8'!M24+L24</f>
        <v>0</v>
      </c>
      <c r="P24" s="152" t="s">
        <v>542</v>
      </c>
      <c r="S24" s="152">
        <f>+S23/R23</f>
        <v>830</v>
      </c>
      <c r="T24" s="152">
        <f>+T23/R23</f>
        <v>713.8</v>
      </c>
    </row>
    <row r="25" spans="1:20" ht="13.5" customHeight="1" thickBot="1">
      <c r="A25" s="787"/>
      <c r="B25" s="218" t="s">
        <v>552</v>
      </c>
      <c r="C25" s="229">
        <v>11902</v>
      </c>
      <c r="D25" s="220"/>
      <c r="E25" s="228"/>
      <c r="F25" s="234">
        <v>10</v>
      </c>
      <c r="G25" s="585" t="s">
        <v>13</v>
      </c>
      <c r="H25" s="233" t="s">
        <v>434</v>
      </c>
      <c r="I25" s="785"/>
      <c r="J25" s="217">
        <f>+'8'!J25</f>
        <v>0</v>
      </c>
      <c r="K25" s="242"/>
      <c r="L25" s="242"/>
      <c r="M25" s="120">
        <f>+K25+'8'!M25+L25</f>
        <v>0</v>
      </c>
      <c r="R25" s="152">
        <f>+R23+R24</f>
        <v>480</v>
      </c>
    </row>
    <row r="26" spans="1:20" ht="13.5" customHeight="1" thickBot="1">
      <c r="A26" s="787"/>
      <c r="B26" s="218" t="s">
        <v>581</v>
      </c>
      <c r="C26" s="229">
        <v>9760</v>
      </c>
      <c r="D26" s="220"/>
      <c r="E26" s="230"/>
      <c r="F26" s="231">
        <v>10</v>
      </c>
      <c r="G26" s="585" t="s">
        <v>13</v>
      </c>
      <c r="H26" s="236" t="s">
        <v>226</v>
      </c>
      <c r="I26" s="785"/>
      <c r="J26" s="217">
        <f>+'8'!J26</f>
        <v>0</v>
      </c>
      <c r="K26" s="242"/>
      <c r="L26" s="242"/>
      <c r="M26" s="120">
        <f>+K26+'8'!M26+L26</f>
        <v>0</v>
      </c>
    </row>
    <row r="27" spans="1:20" ht="27" customHeight="1" thickBot="1">
      <c r="A27" s="787"/>
      <c r="B27" s="218"/>
      <c r="C27" s="219"/>
      <c r="D27" s="220"/>
      <c r="E27" s="228"/>
      <c r="F27" s="231"/>
      <c r="G27" s="235"/>
      <c r="H27" s="236" t="s">
        <v>558</v>
      </c>
      <c r="I27" s="785"/>
      <c r="J27" s="217">
        <f>+'8'!J27</f>
        <v>0</v>
      </c>
      <c r="K27" s="242"/>
      <c r="L27" s="242"/>
      <c r="M27" s="120">
        <f>+K27+'8'!M27+L27</f>
        <v>0</v>
      </c>
      <c r="O27" s="152" t="s">
        <v>543</v>
      </c>
      <c r="P27" s="152">
        <v>830</v>
      </c>
      <c r="Q27" s="152">
        <f>+P27-P27*0.14</f>
        <v>713.8</v>
      </c>
      <c r="R27" s="152">
        <f>60+40</f>
        <v>100</v>
      </c>
      <c r="S27" s="152">
        <f>+P27*R27</f>
        <v>83000</v>
      </c>
      <c r="T27" s="152">
        <f>+Q27*R27</f>
        <v>71380</v>
      </c>
    </row>
    <row r="28" spans="1:20" ht="39" thickBot="1">
      <c r="A28" s="787"/>
      <c r="B28" s="218"/>
      <c r="C28" s="219"/>
      <c r="D28" s="220"/>
      <c r="E28" s="228"/>
      <c r="F28" s="231">
        <v>30</v>
      </c>
      <c r="G28" s="235" t="s">
        <v>71</v>
      </c>
      <c r="H28" s="236" t="s">
        <v>567</v>
      </c>
      <c r="I28" s="785"/>
      <c r="J28" s="217">
        <f>+'8'!J28</f>
        <v>0</v>
      </c>
      <c r="K28" s="242"/>
      <c r="L28" s="242"/>
      <c r="M28" s="120">
        <f>+K28+'8'!M28+L28</f>
        <v>0</v>
      </c>
      <c r="O28" s="152" t="s">
        <v>566</v>
      </c>
      <c r="P28" s="152">
        <v>830</v>
      </c>
      <c r="Q28" s="152">
        <f>+P28-P28*0.14</f>
        <v>713.8</v>
      </c>
      <c r="R28" s="152">
        <f>480-R27</f>
        <v>380</v>
      </c>
      <c r="S28" s="152">
        <f>+P28*R28</f>
        <v>315400</v>
      </c>
      <c r="T28" s="152">
        <f>+Q28*R28</f>
        <v>271244</v>
      </c>
    </row>
    <row r="29" spans="1:20" ht="39" thickBot="1">
      <c r="A29" s="787"/>
      <c r="B29" s="218"/>
      <c r="C29" s="219"/>
      <c r="D29" s="220"/>
      <c r="E29" s="228"/>
      <c r="F29" s="239"/>
      <c r="G29" s="235"/>
      <c r="H29" s="236" t="s">
        <v>559</v>
      </c>
      <c r="I29" s="785"/>
      <c r="J29" s="217">
        <f>+'8'!J29</f>
        <v>0</v>
      </c>
      <c r="K29" s="242"/>
      <c r="L29" s="242"/>
      <c r="M29" s="120">
        <f>+K29+'8'!M29+L29</f>
        <v>0</v>
      </c>
      <c r="Q29" s="152">
        <f>+P29-P29*0.14</f>
        <v>0</v>
      </c>
      <c r="S29" s="152">
        <f>+P29*R29</f>
        <v>0</v>
      </c>
      <c r="T29" s="152">
        <f>+Q29*R29</f>
        <v>0</v>
      </c>
    </row>
    <row r="30" spans="1:20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+'8'!J30</f>
        <v>0</v>
      </c>
      <c r="K30" s="242"/>
      <c r="L30" s="242"/>
      <c r="M30" s="120">
        <f>+K30+'8'!M30+L30</f>
        <v>0</v>
      </c>
      <c r="Q30" s="152">
        <f>+P30-P30*0.25</f>
        <v>0</v>
      </c>
      <c r="S30" s="152">
        <f>+P30*R30</f>
        <v>0</v>
      </c>
      <c r="T30" s="152">
        <f>+Q30*R30</f>
        <v>0</v>
      </c>
    </row>
    <row r="31" spans="1:20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+'8'!J31</f>
        <v>0</v>
      </c>
      <c r="K31" s="242"/>
      <c r="L31" s="242"/>
      <c r="M31" s="120">
        <f>+K31+'8'!M31+L31</f>
        <v>0</v>
      </c>
      <c r="Q31" s="152">
        <f>+P31-P31*0.25</f>
        <v>0</v>
      </c>
      <c r="S31" s="152">
        <f>+P31*R31</f>
        <v>0</v>
      </c>
      <c r="T31" s="152">
        <f>+Q31*R31</f>
        <v>0</v>
      </c>
    </row>
    <row r="32" spans="1:20" ht="13.5" customHeight="1" thickBot="1">
      <c r="A32" s="788"/>
      <c r="B32" s="168" t="s">
        <v>3</v>
      </c>
      <c r="C32" s="102">
        <f>SUM(C25:C31)</f>
        <v>21662</v>
      </c>
      <c r="D32" s="103">
        <f>SUM(D25:D31)</f>
        <v>0</v>
      </c>
      <c r="E32" s="104">
        <f>SUM(E25:E31)</f>
        <v>0</v>
      </c>
      <c r="F32" s="105">
        <f>SUM(F24:F31)</f>
        <v>50</v>
      </c>
      <c r="G32" s="174"/>
      <c r="H32" s="175"/>
      <c r="I32" s="172"/>
      <c r="J32" s="217">
        <f>+'8'!J32</f>
        <v>0</v>
      </c>
      <c r="K32" s="244"/>
      <c r="L32" s="246"/>
      <c r="M32" s="120">
        <f>+K32+'8'!M32+L32</f>
        <v>0</v>
      </c>
      <c r="R32" s="152">
        <f>SUM(R27:R31)</f>
        <v>480</v>
      </c>
      <c r="S32" s="152">
        <f>SUM(S27:S31)</f>
        <v>398400</v>
      </c>
      <c r="T32" s="152">
        <f>SUM(T27:T31)</f>
        <v>342624</v>
      </c>
    </row>
    <row r="33" spans="1:20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  <c r="P33" s="152" t="s">
        <v>542</v>
      </c>
      <c r="S33" s="152">
        <f>+S32/R32</f>
        <v>830</v>
      </c>
      <c r="T33" s="152">
        <f>+T32/R32</f>
        <v>713.8</v>
      </c>
    </row>
    <row r="34" spans="1:20" ht="13.5" thickBot="1">
      <c r="A34" s="791" t="s">
        <v>60</v>
      </c>
      <c r="B34" s="792"/>
      <c r="C34" s="110">
        <f>C14+C23+C32</f>
        <v>67869</v>
      </c>
      <c r="D34" s="110">
        <f>D14+D23+D32</f>
        <v>0</v>
      </c>
      <c r="E34" s="110">
        <f>E14+E23+E32</f>
        <v>0</v>
      </c>
      <c r="F34" s="111">
        <f>F14+F23+F32</f>
        <v>160</v>
      </c>
      <c r="H34" s="181"/>
      <c r="I34" s="181"/>
      <c r="J34" s="126" t="s">
        <v>29</v>
      </c>
      <c r="K34" s="127">
        <f>SUM(K7:K32)</f>
        <v>67869</v>
      </c>
      <c r="L34" s="215">
        <f>SUM(L7:L32)</f>
        <v>0</v>
      </c>
      <c r="M34" s="123">
        <f>SUM(M7:M32)</f>
        <v>447879</v>
      </c>
      <c r="R34" s="152">
        <f>+R32+R33</f>
        <v>480</v>
      </c>
    </row>
    <row r="35" spans="1:20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80" t="s">
        <v>186</v>
      </c>
      <c r="M35" s="780"/>
    </row>
    <row r="36" spans="1:20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20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(25*1005+380*23)/1385*G42*3.4*1385/1000000</f>
        <v>81.719350310469309</v>
      </c>
      <c r="J37" s="128">
        <f>+I37+'8'!J37</f>
        <v>524.60653853853933</v>
      </c>
      <c r="K37" s="129" t="s">
        <v>66</v>
      </c>
      <c r="L37" s="437"/>
      <c r="M37" s="438"/>
    </row>
    <row r="38" spans="1:20" ht="17.45" customHeight="1">
      <c r="A38" s="797" t="s">
        <v>13</v>
      </c>
      <c r="B38" s="798"/>
      <c r="C38" s="167">
        <f>SUMIF($G$7:$G$31,"Process",$F$7:$F$31)</f>
        <v>60</v>
      </c>
      <c r="D38" s="121">
        <f>+C38+'8'!D38</f>
        <v>476</v>
      </c>
      <c r="E38" s="146">
        <f t="shared" ref="E38:E51" si="0">D38/60</f>
        <v>7.9333333333333336</v>
      </c>
      <c r="F38" s="372">
        <v>814.58823529411768</v>
      </c>
      <c r="G38" s="372">
        <v>700.54588235294113</v>
      </c>
      <c r="H38" s="190" t="s">
        <v>67</v>
      </c>
      <c r="I38" s="562">
        <f>23.247+24.705+22.437</f>
        <v>70.388999999999996</v>
      </c>
      <c r="J38" s="130">
        <f>+I38+'8'!J38</f>
        <v>474.36200000000002</v>
      </c>
      <c r="K38" s="131" t="s">
        <v>66</v>
      </c>
      <c r="L38" s="439"/>
      <c r="M38" s="440"/>
      <c r="O38" s="152" t="s">
        <v>543</v>
      </c>
      <c r="P38" s="152">
        <v>823.48258706467664</v>
      </c>
      <c r="Q38" s="152">
        <v>708.19502487562193</v>
      </c>
      <c r="R38" s="152">
        <v>1005</v>
      </c>
    </row>
    <row r="39" spans="1:20" ht="17.45" customHeight="1">
      <c r="A39" s="793" t="s">
        <v>14</v>
      </c>
      <c r="B39" s="794"/>
      <c r="C39" s="167">
        <f>SUMIF($G$7:$G$31,"Cleaning",$F$7:$F$31)</f>
        <v>0</v>
      </c>
      <c r="D39" s="121">
        <f>+C39+'8'!D39</f>
        <v>0</v>
      </c>
      <c r="E39" s="146">
        <f t="shared" si="0"/>
        <v>0</v>
      </c>
      <c r="F39" s="372">
        <v>830</v>
      </c>
      <c r="G39" s="372">
        <v>713.8</v>
      </c>
      <c r="H39" s="190" t="s">
        <v>68</v>
      </c>
      <c r="I39" s="145"/>
      <c r="J39" s="132">
        <f>J37/G4</f>
        <v>58.289615393171033</v>
      </c>
      <c r="K39" s="133" t="s">
        <v>66</v>
      </c>
      <c r="L39" s="439"/>
      <c r="M39" s="440"/>
      <c r="O39" s="152" t="s">
        <v>566</v>
      </c>
      <c r="P39" s="152">
        <v>830</v>
      </c>
      <c r="Q39" s="152">
        <v>713.8</v>
      </c>
      <c r="R39" s="152">
        <v>380</v>
      </c>
    </row>
    <row r="40" spans="1:20" ht="17.45" customHeight="1">
      <c r="A40" s="793" t="s">
        <v>69</v>
      </c>
      <c r="B40" s="794"/>
      <c r="C40" s="167">
        <f>SUMIF($G$7:$G$31,"Mechanical",$F$7:$F$31)</f>
        <v>0</v>
      </c>
      <c r="D40" s="121">
        <f>+C40+'8'!D40</f>
        <v>0</v>
      </c>
      <c r="E40" s="146">
        <f t="shared" si="0"/>
        <v>0</v>
      </c>
      <c r="F40" s="372">
        <v>830</v>
      </c>
      <c r="G40" s="372">
        <v>713.8</v>
      </c>
      <c r="H40" s="190" t="s">
        <v>70</v>
      </c>
      <c r="I40" s="121">
        <f>(K34+L34)/1000</f>
        <v>67.869</v>
      </c>
      <c r="J40" s="134">
        <f>+I40+'8'!J40</f>
        <v>447.87900000000002</v>
      </c>
      <c r="K40" s="133" t="s">
        <v>66</v>
      </c>
      <c r="L40" s="439"/>
      <c r="M40" s="440"/>
      <c r="R40" s="152">
        <f>+R38+R39</f>
        <v>1385</v>
      </c>
    </row>
    <row r="41" spans="1:20" ht="17.45" customHeight="1">
      <c r="A41" s="793" t="s">
        <v>71</v>
      </c>
      <c r="B41" s="794"/>
      <c r="C41" s="167">
        <f>SUMIF($G$7:$G$31,"Electrical",$F$7:$F$31)</f>
        <v>100</v>
      </c>
      <c r="D41" s="121">
        <f>+C41+'8'!D41</f>
        <v>590</v>
      </c>
      <c r="E41" s="146">
        <f t="shared" si="0"/>
        <v>9.8333333333333339</v>
      </c>
      <c r="F41" s="372"/>
      <c r="G41" s="372"/>
      <c r="H41" s="190" t="s">
        <v>72</v>
      </c>
      <c r="I41" s="145"/>
      <c r="J41" s="132">
        <f>J40/G4</f>
        <v>49.764333333333333</v>
      </c>
      <c r="K41" s="133" t="s">
        <v>66</v>
      </c>
      <c r="L41" s="439"/>
      <c r="M41" s="440"/>
      <c r="N41" s="152">
        <f>480-55</f>
        <v>425</v>
      </c>
      <c r="Q41" s="152" t="s">
        <v>542</v>
      </c>
      <c r="R41" s="152">
        <v>55</v>
      </c>
    </row>
    <row r="42" spans="1:20" ht="17.45" customHeight="1">
      <c r="A42" s="793" t="s">
        <v>17</v>
      </c>
      <c r="B42" s="794"/>
      <c r="C42" s="167">
        <f>SUMIF($G$7:$G$31,"Instrument",$F$7:$F$31)</f>
        <v>0</v>
      </c>
      <c r="D42" s="121">
        <f>+C42+'8'!D42</f>
        <v>0</v>
      </c>
      <c r="E42" s="146">
        <f t="shared" si="0"/>
        <v>0</v>
      </c>
      <c r="F42" s="372">
        <f>+(425*F38+480*F39+480*F40)/1385</f>
        <v>825.2707581227437</v>
      </c>
      <c r="G42" s="372">
        <f>+(425*G38+480*G39+480*G40)/1385</f>
        <v>709.73285198555959</v>
      </c>
      <c r="H42" s="190" t="s">
        <v>73</v>
      </c>
      <c r="I42" s="248" t="s">
        <v>568</v>
      </c>
      <c r="J42" s="135"/>
      <c r="K42" s="133" t="s">
        <v>74</v>
      </c>
      <c r="L42" s="439"/>
      <c r="M42" s="440"/>
      <c r="N42" s="152">
        <v>480</v>
      </c>
      <c r="R42" s="152">
        <f>+R40+R41</f>
        <v>1440</v>
      </c>
    </row>
    <row r="43" spans="1:20" ht="17.45" customHeight="1">
      <c r="A43" s="793" t="s">
        <v>201</v>
      </c>
      <c r="B43" s="794"/>
      <c r="C43" s="167">
        <f>SUMIF($G$7:$G$31,"Change Grade",$F$7:$F$31)</f>
        <v>0</v>
      </c>
      <c r="D43" s="121">
        <f>+C43+'8'!D43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+Report1!AH17</f>
        <v>158.43700000000001</v>
      </c>
      <c r="J43" s="136">
        <f>+I43+'8'!J43</f>
        <v>1260.4249999999997</v>
      </c>
      <c r="K43" s="133" t="s">
        <v>66</v>
      </c>
      <c r="L43" s="441">
        <f>+Report1!AN17</f>
        <v>0</v>
      </c>
      <c r="M43" s="442">
        <f>+L43+'8'!M43</f>
        <v>62.5</v>
      </c>
      <c r="N43" s="152">
        <v>480</v>
      </c>
    </row>
    <row r="44" spans="1:20" ht="17.45" customHeight="1">
      <c r="A44" s="793" t="s">
        <v>18</v>
      </c>
      <c r="B44" s="794"/>
      <c r="C44" s="167">
        <f>SUMIF($G$7:$G$31,"PLN",$F$7:$F$31)</f>
        <v>0</v>
      </c>
      <c r="D44" s="121">
        <f>+C44+'8'!D44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2.2508772677549054</v>
      </c>
      <c r="J44" s="137">
        <f>J43/J38</f>
        <v>2.657095214203498</v>
      </c>
      <c r="K44" s="133" t="s">
        <v>66</v>
      </c>
      <c r="L44" s="443">
        <f>+L43/I38</f>
        <v>0</v>
      </c>
      <c r="M44" s="444">
        <f>+M43/J38</f>
        <v>0.13175591636766856</v>
      </c>
      <c r="N44" s="152">
        <f>+N41+N42+N43</f>
        <v>1385</v>
      </c>
    </row>
    <row r="45" spans="1:20" ht="17.45" customHeight="1">
      <c r="A45" s="793" t="s">
        <v>19</v>
      </c>
      <c r="B45" s="794"/>
      <c r="C45" s="167">
        <f>SUMIF($G$7:$G$31,"Boiler",$F$7:$F$31)</f>
        <v>0</v>
      </c>
      <c r="D45" s="121">
        <f>+C45+'8'!D45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2.3344531376622615</v>
      </c>
      <c r="J45" s="137">
        <f>J43/J40</f>
        <v>2.8142087483449765</v>
      </c>
      <c r="K45" s="133" t="s">
        <v>66</v>
      </c>
      <c r="L45" s="443">
        <f>+L43/I40</f>
        <v>0</v>
      </c>
      <c r="M45" s="444">
        <f>+M43/J40</f>
        <v>0.13954661861797493</v>
      </c>
    </row>
    <row r="46" spans="1:20" ht="17.45" customHeight="1">
      <c r="A46" s="793" t="s">
        <v>79</v>
      </c>
      <c r="B46" s="794"/>
      <c r="C46" s="167">
        <f>SUMIF($G$7:$G$31,"Gas",$F$7:$F$31)</f>
        <v>0</v>
      </c>
      <c r="D46" s="121">
        <f>+C46+'8'!D46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+SUMIF(Listrik!AC16,"&gt;0")</f>
        <v>45323.430000000211</v>
      </c>
      <c r="J46" s="138">
        <f>+I46+'8'!J46</f>
        <v>323845.03000000009</v>
      </c>
      <c r="K46" s="133" t="s">
        <v>81</v>
      </c>
      <c r="L46" s="443">
        <f>+Listrik!AF16</f>
        <v>451</v>
      </c>
      <c r="M46" s="445">
        <f>+L46+'8'!M46</f>
        <v>107808</v>
      </c>
    </row>
    <row r="47" spans="1:20" ht="17.45" customHeight="1">
      <c r="A47" s="793" t="s">
        <v>82</v>
      </c>
      <c r="B47" s="794"/>
      <c r="C47" s="167">
        <f>SUMIF($G$7:$G$31,"Gas",$F$7:$F$31)</f>
        <v>0</v>
      </c>
      <c r="D47" s="121">
        <f>+C47+'8'!D47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643.8993308613592</v>
      </c>
      <c r="J47" s="138">
        <f>J46/J38</f>
        <v>682.69597902024202</v>
      </c>
      <c r="K47" s="133" t="s">
        <v>25</v>
      </c>
      <c r="L47" s="443">
        <f>+L46/I38</f>
        <v>6.4072511329895301</v>
      </c>
      <c r="M47" s="444">
        <f>+M46/J38</f>
        <v>227.2694693082498</v>
      </c>
    </row>
    <row r="48" spans="1:20" ht="17.45" customHeight="1">
      <c r="A48" s="793" t="s">
        <v>15</v>
      </c>
      <c r="B48" s="794"/>
      <c r="C48" s="167">
        <f>SUMIF($G$7:$G$31,"Start Up",$F$7:$F$31)</f>
        <v>0</v>
      </c>
      <c r="D48" s="121">
        <f>+C48+'8'!D48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667.80754099810235</v>
      </c>
      <c r="J48" s="138">
        <f>J46/J40</f>
        <v>723.06366228378658</v>
      </c>
      <c r="K48" s="133" t="s">
        <v>25</v>
      </c>
      <c r="L48" s="443">
        <f>+L46/I38</f>
        <v>6.4072511329895301</v>
      </c>
      <c r="M48" s="444">
        <f>+M46/J40</f>
        <v>240.70786975946626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+C49+'8'!D49</f>
        <v>1406</v>
      </c>
      <c r="E49" s="146">
        <f t="shared" si="0"/>
        <v>23.433333333333334</v>
      </c>
      <c r="F49" s="188"/>
      <c r="H49" s="191" t="s">
        <v>170</v>
      </c>
      <c r="I49" s="121">
        <f>+Report1!AB17</f>
        <v>0</v>
      </c>
      <c r="J49" s="138">
        <f>+I49+'8'!J49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+C50+'8'!D50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+C51+'8'!D51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160</v>
      </c>
      <c r="D52" s="147">
        <f>SUM(D38:D51)</f>
        <v>2472</v>
      </c>
      <c r="E52" s="148">
        <f>SUM(E38:E51)</f>
        <v>41.2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0.1111111111111111</v>
      </c>
      <c r="D53" s="149">
        <f>D52/(24*60*G4)</f>
        <v>0.19074074074074074</v>
      </c>
      <c r="E53" s="150">
        <f>E52/(G4*24)</f>
        <v>0.19074074074074077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+D34+'8'!J56</f>
        <v>6485</v>
      </c>
      <c r="K56" s="204">
        <f>J56/(J40+J56/1000)/1000</f>
        <v>1.4272697660906232E-2</v>
      </c>
    </row>
    <row r="57" spans="1:13">
      <c r="A57" s="179"/>
      <c r="I57" s="202" t="s">
        <v>92</v>
      </c>
      <c r="J57" s="203">
        <f>+E34+'8'!J57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8">
        <f>+J56+325</f>
        <v>6810</v>
      </c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Z61"/>
  <sheetViews>
    <sheetView view="pageBreakPreview" topLeftCell="A10" zoomScale="80" zoomScaleNormal="75" zoomScaleSheetLayoutView="80" workbookViewId="0">
      <selection activeCell="A7" sqref="A7:A14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4" style="152" bestFit="1" customWidth="1"/>
    <col min="12" max="12" width="13.7109375" style="152" bestFit="1" customWidth="1"/>
    <col min="13" max="13" width="15" style="152" bestFit="1" customWidth="1"/>
    <col min="14" max="16384" width="9.140625" style="152"/>
  </cols>
  <sheetData>
    <row r="1" spans="1:26" ht="15.75">
      <c r="A1" s="151"/>
    </row>
    <row r="2" spans="1:26" ht="15.75">
      <c r="A2" s="151" t="s">
        <v>175</v>
      </c>
    </row>
    <row r="3" spans="1:26" ht="15">
      <c r="A3" s="153"/>
    </row>
    <row r="4" spans="1:26" ht="20.25">
      <c r="A4" s="154" t="s">
        <v>4</v>
      </c>
      <c r="B4" s="155"/>
      <c r="F4" s="156" t="s">
        <v>31</v>
      </c>
      <c r="G4" s="157">
        <v>8</v>
      </c>
      <c r="H4" s="157" t="str">
        <f>+'1'!H4</f>
        <v>.06.24</v>
      </c>
      <c r="J4" s="152">
        <f>313+258+286</f>
        <v>857</v>
      </c>
    </row>
    <row r="5" spans="1:26" ht="13.5" thickBot="1">
      <c r="C5" s="158"/>
      <c r="D5" s="158"/>
    </row>
    <row r="6" spans="1:26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 t="s">
        <v>536</v>
      </c>
      <c r="O6" s="152">
        <v>830</v>
      </c>
      <c r="P6" s="152">
        <f>+O6-O6*0.14</f>
        <v>713.8</v>
      </c>
      <c r="Q6" s="152">
        <f>60*4</f>
        <v>240</v>
      </c>
      <c r="R6" s="152">
        <f>+O6*Q6</f>
        <v>199200</v>
      </c>
      <c r="S6" s="152">
        <f>+P6*Q6</f>
        <v>171312</v>
      </c>
      <c r="U6" s="152" t="s">
        <v>543</v>
      </c>
      <c r="V6" s="152">
        <v>750</v>
      </c>
      <c r="W6" s="152">
        <v>645</v>
      </c>
      <c r="X6" s="152">
        <v>120</v>
      </c>
      <c r="Y6" s="152">
        <f>+V6*X6</f>
        <v>90000</v>
      </c>
      <c r="Z6" s="152">
        <f>+W6*X6</f>
        <v>77400</v>
      </c>
    </row>
    <row r="7" spans="1:26" ht="13.5" customHeight="1" thickBot="1">
      <c r="A7" s="781" t="s">
        <v>461</v>
      </c>
      <c r="B7" s="218" t="s">
        <v>533</v>
      </c>
      <c r="C7" s="219">
        <v>12082</v>
      </c>
      <c r="D7" s="220"/>
      <c r="E7" s="221"/>
      <c r="F7" s="231">
        <v>20</v>
      </c>
      <c r="G7" s="232" t="s">
        <v>13</v>
      </c>
      <c r="H7" s="233" t="s">
        <v>469</v>
      </c>
      <c r="I7" s="784" t="s">
        <v>544</v>
      </c>
      <c r="J7" s="217" t="str">
        <f>+'7'!J7</f>
        <v>TW 38 RC BR</v>
      </c>
      <c r="K7" s="241"/>
      <c r="L7" s="245"/>
      <c r="M7" s="120">
        <f>+K7+'7'!M7+L7</f>
        <v>53722</v>
      </c>
      <c r="N7" s="152" t="s">
        <v>543</v>
      </c>
      <c r="O7" s="152">
        <v>750</v>
      </c>
      <c r="P7" s="152">
        <f>+O7-O7*0.14</f>
        <v>645</v>
      </c>
      <c r="Q7" s="152">
        <v>120</v>
      </c>
      <c r="R7" s="152">
        <f>+O7*Q7</f>
        <v>90000</v>
      </c>
      <c r="S7" s="152">
        <f>+P7*Q7</f>
        <v>77400</v>
      </c>
      <c r="V7" s="152">
        <v>780</v>
      </c>
      <c r="W7" s="152">
        <v>670.8</v>
      </c>
      <c r="X7" s="152">
        <v>120</v>
      </c>
      <c r="Y7" s="152">
        <f>+V7*X7</f>
        <v>93600</v>
      </c>
      <c r="Z7" s="152">
        <f>+W7*X7</f>
        <v>80496</v>
      </c>
    </row>
    <row r="8" spans="1:26" ht="13.5" thickBot="1">
      <c r="A8" s="782"/>
      <c r="B8" s="218" t="s">
        <v>552</v>
      </c>
      <c r="C8" s="219">
        <v>8645</v>
      </c>
      <c r="D8" s="220"/>
      <c r="E8" s="222"/>
      <c r="F8" s="234">
        <v>4</v>
      </c>
      <c r="G8" s="585" t="s">
        <v>13</v>
      </c>
      <c r="H8" s="233" t="s">
        <v>434</v>
      </c>
      <c r="I8" s="785"/>
      <c r="J8" s="217" t="str">
        <f>+'7'!J8</f>
        <v>TW 36 RC BR</v>
      </c>
      <c r="K8" s="242"/>
      <c r="L8" s="242"/>
      <c r="M8" s="120">
        <f>+K8+'7'!M8+L8</f>
        <v>45750</v>
      </c>
      <c r="O8" s="152">
        <v>780</v>
      </c>
      <c r="P8" s="152">
        <f>+O8-O8*0.14</f>
        <v>670.8</v>
      </c>
      <c r="Q8" s="152">
        <v>120</v>
      </c>
      <c r="R8" s="152">
        <f>+O8*Q8</f>
        <v>93600</v>
      </c>
      <c r="S8" s="152">
        <f>+P8*Q8</f>
        <v>80496</v>
      </c>
      <c r="U8" s="152" t="s">
        <v>543</v>
      </c>
      <c r="V8" s="152">
        <v>780</v>
      </c>
      <c r="W8" s="152">
        <v>670.8</v>
      </c>
      <c r="X8" s="152">
        <v>120</v>
      </c>
      <c r="Y8" s="152">
        <f>+V8*X8</f>
        <v>93600</v>
      </c>
      <c r="Z8" s="152">
        <f>+W8*X8</f>
        <v>80496</v>
      </c>
    </row>
    <row r="9" spans="1:26" ht="13.5" thickBot="1">
      <c r="A9" s="782"/>
      <c r="B9" s="218"/>
      <c r="C9" s="219"/>
      <c r="D9" s="220"/>
      <c r="E9" s="223"/>
      <c r="F9" s="231">
        <v>5</v>
      </c>
      <c r="G9" s="585" t="s">
        <v>13</v>
      </c>
      <c r="H9" s="236" t="s">
        <v>226</v>
      </c>
      <c r="I9" s="785"/>
      <c r="J9" s="217" t="str">
        <f>+'7'!J9</f>
        <v>TW 34 RC BR</v>
      </c>
      <c r="K9" s="242"/>
      <c r="L9" s="242"/>
      <c r="M9" s="120">
        <f>+K9+'7'!M9+L9</f>
        <v>19926</v>
      </c>
      <c r="P9" s="152">
        <f>+O9-O9*0.25</f>
        <v>0</v>
      </c>
      <c r="R9" s="152">
        <f>+O9*Q9</f>
        <v>0</v>
      </c>
      <c r="S9" s="152">
        <f>+P9*Q9</f>
        <v>0</v>
      </c>
      <c r="V9" s="152">
        <v>790</v>
      </c>
      <c r="W9" s="152">
        <v>679.4</v>
      </c>
      <c r="X9" s="152">
        <v>360</v>
      </c>
      <c r="Y9" s="152">
        <f>+V9*X9</f>
        <v>284400</v>
      </c>
      <c r="Z9" s="152">
        <f>+W9*X9</f>
        <v>244584</v>
      </c>
    </row>
    <row r="10" spans="1:26" ht="26.25" thickBot="1">
      <c r="A10" s="782"/>
      <c r="B10" s="218"/>
      <c r="C10" s="219"/>
      <c r="D10" s="220"/>
      <c r="E10" s="222"/>
      <c r="F10" s="231"/>
      <c r="G10" s="235"/>
      <c r="H10" s="236" t="s">
        <v>540</v>
      </c>
      <c r="I10" s="785"/>
      <c r="J10" s="217" t="str">
        <f>+'7'!J10</f>
        <v>TW 30 RC BR</v>
      </c>
      <c r="K10" s="242"/>
      <c r="L10" s="242"/>
      <c r="M10" s="120">
        <f>+K10+'7'!M10+L10</f>
        <v>11017</v>
      </c>
      <c r="P10" s="152">
        <f>+O10-O10*0.25</f>
        <v>0</v>
      </c>
      <c r="R10" s="152">
        <f>+O10*Q10</f>
        <v>0</v>
      </c>
      <c r="S10" s="152">
        <f>+P10*Q10</f>
        <v>0</v>
      </c>
      <c r="U10" s="152" t="s">
        <v>543</v>
      </c>
      <c r="V10" s="152">
        <v>790</v>
      </c>
      <c r="W10" s="152">
        <v>679.4</v>
      </c>
      <c r="X10" s="152">
        <v>480</v>
      </c>
      <c r="Y10" s="152">
        <f>+V10*X10</f>
        <v>379200</v>
      </c>
      <c r="Z10" s="152">
        <f>+W10*X10</f>
        <v>326112</v>
      </c>
    </row>
    <row r="11" spans="1:26" ht="56.25" customHeight="1" thickBot="1">
      <c r="A11" s="782"/>
      <c r="B11" s="218"/>
      <c r="C11" s="219"/>
      <c r="D11" s="220"/>
      <c r="E11" s="222"/>
      <c r="F11" s="231"/>
      <c r="G11" s="235"/>
      <c r="H11" s="236" t="s">
        <v>541</v>
      </c>
      <c r="I11" s="785"/>
      <c r="J11" s="217" t="str">
        <f>+'7'!J11</f>
        <v>TW 20 RC BR</v>
      </c>
      <c r="K11" s="242"/>
      <c r="L11" s="242"/>
      <c r="M11" s="120">
        <f>+K11+'7'!M11+L11</f>
        <v>13885</v>
      </c>
      <c r="Q11" s="152">
        <f>SUM(Q6:Q10)</f>
        <v>480</v>
      </c>
      <c r="R11" s="152">
        <f>SUM(R6:R10)</f>
        <v>382800</v>
      </c>
      <c r="S11" s="152">
        <f>SUM(S6:S10)</f>
        <v>329208</v>
      </c>
      <c r="X11" s="152">
        <f>SUM(X6:X10)</f>
        <v>1200</v>
      </c>
      <c r="Y11" s="152">
        <f>SUM(Y6:Y10)</f>
        <v>940800</v>
      </c>
      <c r="Z11" s="152">
        <f>SUM(Z6:Z10)</f>
        <v>809088</v>
      </c>
    </row>
    <row r="12" spans="1:26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+'7'!J12</f>
        <v>N 20 RC BR</v>
      </c>
      <c r="K12" s="242"/>
      <c r="L12" s="242"/>
      <c r="M12" s="120">
        <f>+K12+'7'!M12+L12</f>
        <v>16183</v>
      </c>
      <c r="O12" s="152" t="s">
        <v>542</v>
      </c>
      <c r="R12" s="152">
        <f>+R11/Q11</f>
        <v>797.5</v>
      </c>
      <c r="S12" s="152">
        <f>+S11/Q11</f>
        <v>685.85</v>
      </c>
      <c r="V12" s="152" t="s">
        <v>542</v>
      </c>
      <c r="Y12" s="152">
        <f>+Y11/X11</f>
        <v>784</v>
      </c>
      <c r="Z12" s="152">
        <f>+Z11/X11</f>
        <v>674.24</v>
      </c>
    </row>
    <row r="13" spans="1:26" ht="13.5" thickBot="1">
      <c r="A13" s="782"/>
      <c r="B13" s="218"/>
      <c r="C13" s="219"/>
      <c r="D13" s="219"/>
      <c r="E13" s="222"/>
      <c r="F13" s="239"/>
      <c r="G13" s="235"/>
      <c r="H13" s="236"/>
      <c r="I13" s="786"/>
      <c r="J13" s="217" t="str">
        <f>+'7'!J13</f>
        <v>N 17,5 RC BR</v>
      </c>
      <c r="K13" s="242"/>
      <c r="L13" s="242"/>
      <c r="M13" s="120">
        <f>+K13+'7'!M13+L13</f>
        <v>61888</v>
      </c>
    </row>
    <row r="14" spans="1:26" ht="13.5" thickBot="1">
      <c r="A14" s="783"/>
      <c r="B14" s="168" t="s">
        <v>3</v>
      </c>
      <c r="C14" s="102">
        <f>SUM(C7:C13)</f>
        <v>20727</v>
      </c>
      <c r="D14" s="114">
        <f>SUM(D7:D13)</f>
        <v>0</v>
      </c>
      <c r="E14" s="115">
        <f>SUM(E5:E13)</f>
        <v>0</v>
      </c>
      <c r="F14" s="105">
        <f>SUM(F6:F13)</f>
        <v>29</v>
      </c>
      <c r="G14" s="162"/>
      <c r="H14" s="169"/>
      <c r="I14" s="170"/>
      <c r="J14" s="217" t="str">
        <f>+'7'!J14</f>
        <v>N 16 RC BR</v>
      </c>
      <c r="K14" s="242"/>
      <c r="L14" s="242"/>
      <c r="M14" s="120">
        <f>+K14+'7'!M14+L14</f>
        <v>24358</v>
      </c>
    </row>
    <row r="15" spans="1:26" ht="13.5" customHeight="1" thickBot="1">
      <c r="A15" s="781" t="s">
        <v>408</v>
      </c>
      <c r="B15" s="168"/>
      <c r="C15" s="116">
        <f>C14/($C$23+$D$23+$E$23)</f>
        <v>0.91003688092729185</v>
      </c>
      <c r="D15" s="117">
        <f>D14/($C$23+$D$23+$E$23)</f>
        <v>0</v>
      </c>
      <c r="E15" s="118">
        <f>E14/($C$23+$D$23+$E$23)</f>
        <v>0</v>
      </c>
      <c r="F15" s="231">
        <v>10</v>
      </c>
      <c r="G15" s="232" t="s">
        <v>13</v>
      </c>
      <c r="H15" s="233" t="s">
        <v>523</v>
      </c>
      <c r="I15" s="784" t="s">
        <v>545</v>
      </c>
      <c r="J15" s="217" t="str">
        <f>+'7'!J15</f>
        <v>N 15,5 RC BR</v>
      </c>
      <c r="K15" s="242"/>
      <c r="L15" s="242"/>
      <c r="M15" s="120">
        <f>+K15+'7'!M15+L15</f>
        <v>0</v>
      </c>
      <c r="N15" s="152" t="s">
        <v>543</v>
      </c>
      <c r="O15" s="152">
        <v>780</v>
      </c>
      <c r="P15" s="152">
        <f>+O15-O15*0.14</f>
        <v>670.8</v>
      </c>
      <c r="Q15" s="152">
        <f>60*2</f>
        <v>120</v>
      </c>
      <c r="R15" s="152">
        <f>+O15*Q15</f>
        <v>93600</v>
      </c>
      <c r="S15" s="152">
        <f>+P15*Q15</f>
        <v>80496</v>
      </c>
    </row>
    <row r="16" spans="1:26" ht="13.5" thickBot="1">
      <c r="A16" s="787"/>
      <c r="B16" s="218" t="s">
        <v>552</v>
      </c>
      <c r="C16" s="225">
        <v>21576</v>
      </c>
      <c r="D16" s="226">
        <v>1200</v>
      </c>
      <c r="E16" s="227"/>
      <c r="F16" s="234">
        <v>8</v>
      </c>
      <c r="G16" s="585" t="s">
        <v>13</v>
      </c>
      <c r="H16" s="233" t="s">
        <v>390</v>
      </c>
      <c r="I16" s="785"/>
      <c r="J16" s="217" t="str">
        <f>+'7'!J16</f>
        <v>N 17 VP OW</v>
      </c>
      <c r="K16" s="242"/>
      <c r="L16" s="232"/>
      <c r="M16" s="120">
        <f>+K16+'7'!M16+L16</f>
        <v>14370</v>
      </c>
      <c r="O16" s="152">
        <v>790</v>
      </c>
      <c r="P16" s="152">
        <f>+O16-O16*0.14</f>
        <v>679.4</v>
      </c>
      <c r="Q16" s="152">
        <f>480-Q15</f>
        <v>360</v>
      </c>
      <c r="R16" s="152">
        <f>+O16*Q16</f>
        <v>284400</v>
      </c>
      <c r="S16" s="152">
        <f>+P16*Q16</f>
        <v>244584</v>
      </c>
    </row>
    <row r="17" spans="1:19" ht="13.5" thickBot="1">
      <c r="A17" s="787"/>
      <c r="B17" s="218"/>
      <c r="C17" s="219"/>
      <c r="D17" s="220"/>
      <c r="E17" s="228"/>
      <c r="F17" s="231">
        <v>7</v>
      </c>
      <c r="G17" s="585" t="s">
        <v>13</v>
      </c>
      <c r="H17" s="236" t="s">
        <v>226</v>
      </c>
      <c r="I17" s="785"/>
      <c r="J17" s="217" t="str">
        <f>+'7'!J17</f>
        <v>N 16 VP OW</v>
      </c>
      <c r="K17" s="242"/>
      <c r="L17" s="232"/>
      <c r="M17" s="120">
        <f>+K17+'7'!M17+L17</f>
        <v>38174</v>
      </c>
      <c r="P17" s="152">
        <f>+O17-O17*0.14</f>
        <v>0</v>
      </c>
      <c r="R17" s="152">
        <f>+O17*Q17</f>
        <v>0</v>
      </c>
      <c r="S17" s="152">
        <f>+P17*Q17</f>
        <v>0</v>
      </c>
    </row>
    <row r="18" spans="1:19" ht="26.25" thickBot="1">
      <c r="A18" s="787"/>
      <c r="B18" s="218"/>
      <c r="C18" s="219"/>
      <c r="D18" s="220"/>
      <c r="E18" s="228"/>
      <c r="F18" s="231"/>
      <c r="G18" s="235"/>
      <c r="H18" s="236" t="s">
        <v>538</v>
      </c>
      <c r="I18" s="785"/>
      <c r="J18" s="217" t="str">
        <f>+'7'!J18</f>
        <v>N 19 VP OW</v>
      </c>
      <c r="K18" s="242">
        <f>+C7</f>
        <v>12082</v>
      </c>
      <c r="L18" s="242"/>
      <c r="M18" s="120">
        <f>+K18+'7'!M18+L18</f>
        <v>24049</v>
      </c>
      <c r="P18" s="152">
        <f>+O18-O18*0.25</f>
        <v>0</v>
      </c>
      <c r="R18" s="152">
        <f>+O18*Q18</f>
        <v>0</v>
      </c>
      <c r="S18" s="152">
        <f>+P18*Q18</f>
        <v>0</v>
      </c>
    </row>
    <row r="19" spans="1:19" ht="51.75" thickBot="1">
      <c r="A19" s="787"/>
      <c r="B19" s="218"/>
      <c r="C19" s="219"/>
      <c r="D19" s="220"/>
      <c r="E19" s="228"/>
      <c r="F19" s="238"/>
      <c r="G19" s="235"/>
      <c r="H19" s="236" t="s">
        <v>539</v>
      </c>
      <c r="I19" s="785"/>
      <c r="J19" s="217" t="s">
        <v>552</v>
      </c>
      <c r="K19" s="242">
        <f>+C8+C16+C25</f>
        <v>56688</v>
      </c>
      <c r="L19" s="242"/>
      <c r="M19" s="120">
        <f>+K19+'7'!M19+L19</f>
        <v>56688</v>
      </c>
      <c r="P19" s="152">
        <f>+O19-O19*0.25</f>
        <v>0</v>
      </c>
      <c r="R19" s="152">
        <f>+O19*Q19</f>
        <v>0</v>
      </c>
      <c r="S19" s="152">
        <f>+P19*Q19</f>
        <v>0</v>
      </c>
    </row>
    <row r="20" spans="1:19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+'7'!J20</f>
        <v>0</v>
      </c>
      <c r="K20" s="242"/>
      <c r="L20" s="243"/>
      <c r="M20" s="120">
        <f>+K20+'7'!M20+L20</f>
        <v>0</v>
      </c>
      <c r="Q20" s="152">
        <f>SUM(Q15:Q19)</f>
        <v>480</v>
      </c>
      <c r="R20" s="152">
        <f>SUM(R15:R19)</f>
        <v>378000</v>
      </c>
      <c r="S20" s="152">
        <f>SUM(S15:S19)</f>
        <v>325080</v>
      </c>
    </row>
    <row r="21" spans="1:19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+'7'!J21</f>
        <v>0</v>
      </c>
      <c r="K21" s="242"/>
      <c r="L21" s="242"/>
      <c r="M21" s="120">
        <f>+K21+'7'!M21+L21</f>
        <v>0</v>
      </c>
      <c r="O21" s="152" t="s">
        <v>542</v>
      </c>
      <c r="R21" s="152">
        <f>+R20/Q20</f>
        <v>787.5</v>
      </c>
      <c r="S21" s="152">
        <f>+S20/Q20</f>
        <v>677.25</v>
      </c>
    </row>
    <row r="22" spans="1:19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+'7'!J22</f>
        <v>0</v>
      </c>
      <c r="K22" s="242"/>
      <c r="L22" s="242"/>
      <c r="M22" s="120">
        <f>+K22+'7'!M22+L22</f>
        <v>0</v>
      </c>
    </row>
    <row r="23" spans="1:19" ht="13.5" thickBot="1">
      <c r="A23" s="788"/>
      <c r="B23" s="168" t="s">
        <v>3</v>
      </c>
      <c r="C23" s="103">
        <f>SUM(C16:C22)</f>
        <v>21576</v>
      </c>
      <c r="D23" s="114">
        <f>SUM(D16:D22)</f>
        <v>1200</v>
      </c>
      <c r="E23" s="115">
        <f>SUM(E18:E22)</f>
        <v>0</v>
      </c>
      <c r="F23" s="105">
        <f>SUM(F15:F22)</f>
        <v>25</v>
      </c>
      <c r="G23" s="162"/>
      <c r="H23" s="169"/>
      <c r="I23" s="172"/>
      <c r="J23" s="217">
        <f>+'7'!J23</f>
        <v>0</v>
      </c>
      <c r="K23" s="242"/>
      <c r="L23" s="242"/>
      <c r="M23" s="120">
        <f>+K23+'7'!M23+L23</f>
        <v>0</v>
      </c>
    </row>
    <row r="24" spans="1:19" ht="13.5" customHeight="1" thickBot="1">
      <c r="A24" s="781" t="s">
        <v>551</v>
      </c>
      <c r="B24" s="173"/>
      <c r="C24" s="116">
        <f>C23/($C$23+$D$23+$E$23)</f>
        <v>0.94731296101159113</v>
      </c>
      <c r="D24" s="117">
        <f>D23/($C$23+$D$23+$E$23)</f>
        <v>5.2687038988408853E-2</v>
      </c>
      <c r="E24" s="118">
        <f>E23/($C$23+$D$23+$E$23)</f>
        <v>0</v>
      </c>
      <c r="F24" s="231">
        <v>0</v>
      </c>
      <c r="G24" s="232" t="s">
        <v>13</v>
      </c>
      <c r="H24" s="233" t="s">
        <v>391</v>
      </c>
      <c r="I24" s="784" t="s">
        <v>546</v>
      </c>
      <c r="J24" s="217">
        <f>+'7'!J24</f>
        <v>0</v>
      </c>
      <c r="K24" s="242"/>
      <c r="L24" s="242"/>
      <c r="M24" s="120">
        <f>+K24+'7'!M24+L24</f>
        <v>0</v>
      </c>
      <c r="N24" s="152" t="s">
        <v>543</v>
      </c>
      <c r="O24" s="152">
        <v>790</v>
      </c>
      <c r="P24" s="152">
        <f>+O24-O24*0.14</f>
        <v>679.4</v>
      </c>
      <c r="Q24" s="152">
        <v>480</v>
      </c>
      <c r="R24" s="152">
        <f>+O24*Q24</f>
        <v>379200</v>
      </c>
      <c r="S24" s="152">
        <f>+P24*Q24</f>
        <v>326112</v>
      </c>
    </row>
    <row r="25" spans="1:19" ht="13.5" thickBot="1">
      <c r="A25" s="789"/>
      <c r="B25" s="218" t="s">
        <v>552</v>
      </c>
      <c r="C25" s="229">
        <v>26467</v>
      </c>
      <c r="D25" s="220"/>
      <c r="E25" s="228"/>
      <c r="F25" s="234">
        <v>5</v>
      </c>
      <c r="G25" s="585" t="s">
        <v>13</v>
      </c>
      <c r="H25" s="233" t="s">
        <v>434</v>
      </c>
      <c r="I25" s="785"/>
      <c r="J25" s="217">
        <f>+'7'!J25</f>
        <v>0</v>
      </c>
      <c r="K25" s="242"/>
      <c r="L25" s="242"/>
      <c r="M25" s="120">
        <f>+K25+'7'!M25+L25</f>
        <v>0</v>
      </c>
      <c r="P25" s="152">
        <f>+O25-O25*0.14</f>
        <v>0</v>
      </c>
      <c r="Q25" s="152">
        <f>480-Q24</f>
        <v>0</v>
      </c>
      <c r="R25" s="152">
        <f>+O25*Q25</f>
        <v>0</v>
      </c>
      <c r="S25" s="152">
        <f>+P25*Q25</f>
        <v>0</v>
      </c>
    </row>
    <row r="26" spans="1:19" ht="13.5" thickBot="1">
      <c r="A26" s="789"/>
      <c r="B26" s="218"/>
      <c r="C26" s="229"/>
      <c r="D26" s="220"/>
      <c r="E26" s="230"/>
      <c r="F26" s="231">
        <v>5</v>
      </c>
      <c r="G26" s="585" t="s">
        <v>13</v>
      </c>
      <c r="H26" s="236" t="s">
        <v>226</v>
      </c>
      <c r="I26" s="785"/>
      <c r="J26" s="217">
        <f>+'7'!J26</f>
        <v>0</v>
      </c>
      <c r="K26" s="242"/>
      <c r="L26" s="242"/>
      <c r="M26" s="120">
        <f>+K26+'7'!M26+L26</f>
        <v>0</v>
      </c>
      <c r="P26" s="152">
        <f>+O26-O26*0.14</f>
        <v>0</v>
      </c>
      <c r="R26" s="152">
        <f>+O26*Q26</f>
        <v>0</v>
      </c>
      <c r="S26" s="152">
        <f>+P26*Q26</f>
        <v>0</v>
      </c>
    </row>
    <row r="27" spans="1:19" ht="26.25" thickBot="1">
      <c r="A27" s="789"/>
      <c r="B27" s="218"/>
      <c r="C27" s="219"/>
      <c r="D27" s="220"/>
      <c r="E27" s="228"/>
      <c r="F27" s="231"/>
      <c r="G27" s="235"/>
      <c r="H27" s="236" t="s">
        <v>537</v>
      </c>
      <c r="I27" s="785"/>
      <c r="J27" s="217">
        <f>+'7'!J27</f>
        <v>0</v>
      </c>
      <c r="K27" s="242"/>
      <c r="L27" s="242"/>
      <c r="M27" s="120">
        <f>+K27+'7'!M27+L27</f>
        <v>0</v>
      </c>
      <c r="P27" s="152">
        <f>+O27-O27*0.25</f>
        <v>0</v>
      </c>
      <c r="R27" s="152">
        <f>+O27*Q27</f>
        <v>0</v>
      </c>
      <c r="S27" s="152">
        <f>+P27*Q27</f>
        <v>0</v>
      </c>
    </row>
    <row r="28" spans="1:19" ht="13.5" thickBot="1">
      <c r="A28" s="789"/>
      <c r="B28" s="218"/>
      <c r="C28" s="219"/>
      <c r="D28" s="220"/>
      <c r="E28" s="228"/>
      <c r="F28" s="234"/>
      <c r="G28" s="235"/>
      <c r="H28" s="236"/>
      <c r="I28" s="785"/>
      <c r="J28" s="217">
        <f>+'7'!J28</f>
        <v>0</v>
      </c>
      <c r="K28" s="242"/>
      <c r="L28" s="242"/>
      <c r="M28" s="120">
        <f>+K28+'7'!M28+L28</f>
        <v>0</v>
      </c>
      <c r="P28" s="152">
        <f>+O28-O28*0.25</f>
        <v>0</v>
      </c>
      <c r="R28" s="152">
        <f>+O28*Q28</f>
        <v>0</v>
      </c>
      <c r="S28" s="152">
        <f>+P28*Q28</f>
        <v>0</v>
      </c>
    </row>
    <row r="29" spans="1:19" ht="13.5" thickBot="1">
      <c r="A29" s="789"/>
      <c r="B29" s="218"/>
      <c r="C29" s="219"/>
      <c r="D29" s="220"/>
      <c r="E29" s="228"/>
      <c r="F29" s="239"/>
      <c r="G29" s="235"/>
      <c r="H29" s="236"/>
      <c r="I29" s="785"/>
      <c r="J29" s="217">
        <f>+'7'!J29</f>
        <v>0</v>
      </c>
      <c r="K29" s="242"/>
      <c r="L29" s="242"/>
      <c r="M29" s="120">
        <f>+K29+'7'!M29+L29</f>
        <v>0</v>
      </c>
      <c r="Q29" s="152">
        <f>SUM(Q24:Q28)</f>
        <v>480</v>
      </c>
      <c r="R29" s="152">
        <f>SUM(R24:R28)</f>
        <v>379200</v>
      </c>
      <c r="S29" s="152">
        <f>SUM(S24:S28)</f>
        <v>326112</v>
      </c>
    </row>
    <row r="30" spans="1:19" ht="13.5" thickBot="1">
      <c r="A30" s="789"/>
      <c r="B30" s="218"/>
      <c r="C30" s="229"/>
      <c r="D30" s="220"/>
      <c r="E30" s="228"/>
      <c r="F30" s="239"/>
      <c r="G30" s="235"/>
      <c r="H30" s="236"/>
      <c r="I30" s="785"/>
      <c r="J30" s="217">
        <f>+'7'!J30</f>
        <v>0</v>
      </c>
      <c r="K30" s="242"/>
      <c r="L30" s="242"/>
      <c r="M30" s="120">
        <f>+K30+'7'!M30+L30</f>
        <v>0</v>
      </c>
      <c r="O30" s="152" t="s">
        <v>542</v>
      </c>
      <c r="R30" s="152">
        <f>+R29/Q29</f>
        <v>790</v>
      </c>
      <c r="S30" s="152">
        <f>+S29/Q29</f>
        <v>679.4</v>
      </c>
    </row>
    <row r="31" spans="1:19" ht="13.5" thickBot="1">
      <c r="A31" s="789"/>
      <c r="B31" s="218"/>
      <c r="C31" s="229"/>
      <c r="D31" s="220"/>
      <c r="E31" s="228"/>
      <c r="F31" s="239"/>
      <c r="G31" s="240"/>
      <c r="H31" s="237"/>
      <c r="I31" s="786"/>
      <c r="J31" s="217">
        <f>+'7'!J31</f>
        <v>0</v>
      </c>
      <c r="K31" s="242"/>
      <c r="L31" s="242"/>
      <c r="M31" s="120">
        <f>+K31+'7'!M31+L31</f>
        <v>0</v>
      </c>
    </row>
    <row r="32" spans="1:19" ht="13.5" thickBot="1">
      <c r="A32" s="790"/>
      <c r="B32" s="168" t="s">
        <v>3</v>
      </c>
      <c r="C32" s="102">
        <f>SUM(C25:C31)</f>
        <v>26467</v>
      </c>
      <c r="D32" s="103">
        <f>SUM(D25:D31)</f>
        <v>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+'7'!J32</f>
        <v>0</v>
      </c>
      <c r="K32" s="244"/>
      <c r="L32" s="246"/>
      <c r="M32" s="120">
        <f>+K32+'7'!M32+L32</f>
        <v>0</v>
      </c>
    </row>
    <row r="33" spans="1:17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7" ht="13.5" thickBot="1">
      <c r="A34" s="791" t="s">
        <v>60</v>
      </c>
      <c r="B34" s="792"/>
      <c r="C34" s="110">
        <f>C14+C23+C32</f>
        <v>68770</v>
      </c>
      <c r="D34" s="110">
        <f>D14+D23+D32</f>
        <v>1200</v>
      </c>
      <c r="E34" s="110">
        <f>E14+E23+E32</f>
        <v>0</v>
      </c>
      <c r="F34" s="111">
        <f>F14+F23+F32</f>
        <v>64</v>
      </c>
      <c r="H34" s="181"/>
      <c r="I34" s="181"/>
      <c r="J34" s="126" t="s">
        <v>29</v>
      </c>
      <c r="K34" s="127">
        <f>SUM(K7:K32)</f>
        <v>68770</v>
      </c>
      <c r="L34" s="215">
        <f>SUM(L7:L32)</f>
        <v>0</v>
      </c>
      <c r="M34" s="123">
        <f>SUM(M7:M32)</f>
        <v>380010</v>
      </c>
      <c r="N34" s="158"/>
    </row>
    <row r="35" spans="1:17" ht="13.5" thickBot="1">
      <c r="A35" s="182"/>
      <c r="B35" s="183"/>
      <c r="C35" s="107">
        <f>C34/($C$34+$D$34+$E$34)</f>
        <v>0.98284979276832929</v>
      </c>
      <c r="D35" s="107">
        <f>D34/($C$34+$D$34+$E$34)</f>
        <v>1.7150207231670715E-2</v>
      </c>
      <c r="E35" s="112">
        <f>E34/($C$34+$D$34+$E$34)</f>
        <v>0</v>
      </c>
      <c r="K35" s="158"/>
      <c r="L35" s="780" t="s">
        <v>186</v>
      </c>
      <c r="M35" s="780"/>
      <c r="N35" s="152" t="s">
        <v>536</v>
      </c>
      <c r="O35" s="152">
        <v>830</v>
      </c>
      <c r="P35" s="152">
        <v>713.8</v>
      </c>
      <c r="Q35" s="152">
        <v>240</v>
      </c>
    </row>
    <row r="36" spans="1:17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  <c r="N36" s="152" t="s">
        <v>543</v>
      </c>
      <c r="O36" s="152">
        <v>784</v>
      </c>
      <c r="P36" s="152">
        <v>674.24</v>
      </c>
      <c r="Q36" s="152">
        <v>1200</v>
      </c>
    </row>
    <row r="37" spans="1:17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(19*240+1200*25)/1440*G42*3.4*1440/1000000</f>
        <v>80.000640000000004</v>
      </c>
      <c r="J37" s="128">
        <f>+I37+'7'!J37</f>
        <v>442.88718822807004</v>
      </c>
      <c r="K37" s="129" t="s">
        <v>66</v>
      </c>
      <c r="L37" s="437"/>
      <c r="M37" s="438"/>
    </row>
    <row r="38" spans="1:17" ht="17.45" customHeight="1">
      <c r="A38" s="797" t="s">
        <v>13</v>
      </c>
      <c r="B38" s="798"/>
      <c r="C38" s="167">
        <f>SUMIF($G$7:$G$31,"Process",$F$7:$F$31)</f>
        <v>64</v>
      </c>
      <c r="D38" s="121">
        <f>+C38+'7'!D38</f>
        <v>416</v>
      </c>
      <c r="E38" s="146">
        <f t="shared" ref="E38:E51" si="0">D38/60</f>
        <v>6.9333333333333336</v>
      </c>
      <c r="F38" s="372">
        <v>797.5</v>
      </c>
      <c r="G38" s="372">
        <v>685.85</v>
      </c>
      <c r="H38" s="190" t="s">
        <v>67</v>
      </c>
      <c r="I38" s="562">
        <f>21.536+22.032+25.839</f>
        <v>69.406999999999996</v>
      </c>
      <c r="J38" s="130">
        <f>+I38+'7'!J38</f>
        <v>403.97300000000001</v>
      </c>
      <c r="K38" s="131" t="s">
        <v>66</v>
      </c>
      <c r="L38" s="439"/>
      <c r="M38" s="440"/>
      <c r="N38" s="563"/>
    </row>
    <row r="39" spans="1:17" ht="17.45" customHeight="1">
      <c r="A39" s="793" t="s">
        <v>14</v>
      </c>
      <c r="B39" s="794"/>
      <c r="C39" s="167">
        <f>SUMIF($G$7:$G$31,"Cleaning",$F$7:$F$31)</f>
        <v>0</v>
      </c>
      <c r="D39" s="121">
        <f>+C39+'7'!D39</f>
        <v>0</v>
      </c>
      <c r="E39" s="146">
        <f t="shared" si="0"/>
        <v>0</v>
      </c>
      <c r="F39" s="372">
        <v>787.5</v>
      </c>
      <c r="G39" s="372">
        <v>677.25</v>
      </c>
      <c r="H39" s="190" t="s">
        <v>68</v>
      </c>
      <c r="I39" s="145"/>
      <c r="J39" s="132">
        <f>J37/G4</f>
        <v>55.360898528508756</v>
      </c>
      <c r="K39" s="133" t="s">
        <v>66</v>
      </c>
      <c r="L39" s="439"/>
      <c r="M39" s="440"/>
    </row>
    <row r="40" spans="1:17" ht="17.45" customHeight="1">
      <c r="A40" s="793" t="s">
        <v>69</v>
      </c>
      <c r="B40" s="794"/>
      <c r="C40" s="167">
        <f>SUMIF($G$7:$G$31,"Mechanical",$F$7:$F$31)</f>
        <v>0</v>
      </c>
      <c r="D40" s="121">
        <f>+C40+'7'!D40</f>
        <v>0</v>
      </c>
      <c r="E40" s="146">
        <f t="shared" si="0"/>
        <v>0</v>
      </c>
      <c r="F40" s="372">
        <v>790</v>
      </c>
      <c r="G40" s="372">
        <v>679.4</v>
      </c>
      <c r="H40" s="190" t="s">
        <v>70</v>
      </c>
      <c r="I40" s="121">
        <f>(K34+L34)/1000</f>
        <v>68.77</v>
      </c>
      <c r="J40" s="134">
        <f>+I40+'7'!J40</f>
        <v>380.01</v>
      </c>
      <c r="K40" s="133" t="s">
        <v>66</v>
      </c>
      <c r="L40" s="439"/>
      <c r="M40" s="440"/>
    </row>
    <row r="41" spans="1:17" ht="17.45" customHeight="1">
      <c r="A41" s="793" t="s">
        <v>71</v>
      </c>
      <c r="B41" s="794"/>
      <c r="C41" s="167">
        <f>SUMIF($G$7:$G$31,"Electrical",$F$7:$F$31)</f>
        <v>0</v>
      </c>
      <c r="D41" s="121">
        <f>+C41+'7'!D41</f>
        <v>490</v>
      </c>
      <c r="E41" s="146">
        <f t="shared" si="0"/>
        <v>8.1666666666666661</v>
      </c>
      <c r="F41" s="372"/>
      <c r="G41" s="372"/>
      <c r="H41" s="190" t="s">
        <v>72</v>
      </c>
      <c r="I41" s="145"/>
      <c r="J41" s="132">
        <f>J40/G4</f>
        <v>47.501249999999999</v>
      </c>
      <c r="K41" s="133" t="s">
        <v>66</v>
      </c>
      <c r="L41" s="439"/>
      <c r="M41" s="440"/>
    </row>
    <row r="42" spans="1:17" ht="17.45" customHeight="1">
      <c r="A42" s="793" t="s">
        <v>17</v>
      </c>
      <c r="B42" s="794"/>
      <c r="C42" s="167">
        <f>SUMIF($G$7:$G$31,"Instrument",$F$7:$F$31)</f>
        <v>0</v>
      </c>
      <c r="D42" s="121">
        <f>+C42+'7'!D42</f>
        <v>0</v>
      </c>
      <c r="E42" s="146">
        <f t="shared" si="0"/>
        <v>0</v>
      </c>
      <c r="F42" s="372">
        <f>+(F38*480+F39*480+F40*480)/1440</f>
        <v>791.66666666666663</v>
      </c>
      <c r="G42" s="372">
        <f>+(G38*480+G39*480+G40*480)/1440</f>
        <v>680.83333333333337</v>
      </c>
      <c r="H42" s="190" t="s">
        <v>73</v>
      </c>
      <c r="I42" s="248" t="s">
        <v>547</v>
      </c>
      <c r="J42" s="135"/>
      <c r="K42" s="133" t="s">
        <v>74</v>
      </c>
      <c r="L42" s="439"/>
      <c r="M42" s="440"/>
    </row>
    <row r="43" spans="1:17" ht="17.45" customHeight="1">
      <c r="A43" s="793" t="s">
        <v>201</v>
      </c>
      <c r="B43" s="794"/>
      <c r="C43" s="167">
        <f>SUMIF($G$7:$G$31,"Change Grade",$F$7:$F$31)</f>
        <v>0</v>
      </c>
      <c r="D43" s="121">
        <f>+C43+'7'!D43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+Report1!AH16</f>
        <v>146.91199999999998</v>
      </c>
      <c r="J43" s="136">
        <f>+I43+'7'!J43</f>
        <v>1101.9879999999998</v>
      </c>
      <c r="K43" s="133" t="s">
        <v>66</v>
      </c>
      <c r="L43" s="441">
        <f>+Report1!AN16</f>
        <v>0</v>
      </c>
      <c r="M43" s="442">
        <f>+L43+'7'!M43</f>
        <v>62.5</v>
      </c>
    </row>
    <row r="44" spans="1:17" ht="17.45" customHeight="1">
      <c r="A44" s="793" t="s">
        <v>18</v>
      </c>
      <c r="B44" s="794"/>
      <c r="C44" s="167">
        <f>SUMIF($G$7:$G$31,"PLN",$F$7:$F$31)</f>
        <v>0</v>
      </c>
      <c r="D44" s="121">
        <f>+C44+'7'!D44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2.1166741106804787</v>
      </c>
      <c r="J44" s="137">
        <f>J43/J38</f>
        <v>2.7278753778099025</v>
      </c>
      <c r="K44" s="133" t="s">
        <v>66</v>
      </c>
      <c r="L44" s="443">
        <f>+L43/I38</f>
        <v>0</v>
      </c>
      <c r="M44" s="444">
        <f>+M43/J38</f>
        <v>0.15471331004794875</v>
      </c>
    </row>
    <row r="45" spans="1:17" ht="17.45" customHeight="1">
      <c r="A45" s="793" t="s">
        <v>19</v>
      </c>
      <c r="B45" s="794"/>
      <c r="C45" s="167">
        <f>SUMIF($G$7:$G$31,"Boiler",$F$7:$F$31)</f>
        <v>0</v>
      </c>
      <c r="D45" s="121">
        <f>+C45+'7'!D45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2.1362803548058746</v>
      </c>
      <c r="J45" s="137">
        <f>J43/J40</f>
        <v>2.899892108102418</v>
      </c>
      <c r="K45" s="133" t="s">
        <v>66</v>
      </c>
      <c r="L45" s="443">
        <f>+L43/I40</f>
        <v>0</v>
      </c>
      <c r="M45" s="444">
        <f>+M43/J40</f>
        <v>0.16446935606957713</v>
      </c>
    </row>
    <row r="46" spans="1:17" ht="17.45" customHeight="1">
      <c r="A46" s="793" t="s">
        <v>79</v>
      </c>
      <c r="B46" s="794"/>
      <c r="C46" s="167">
        <f>SUMIF($G$7:$G$31,"Gas",$F$7:$F$31)</f>
        <v>0</v>
      </c>
      <c r="D46" s="121">
        <f>+C46+'7'!D46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+SUMIF(Listrik!AC15,"&gt;0")</f>
        <v>43791.809999999343</v>
      </c>
      <c r="J46" s="138">
        <f>+I46+'7'!J46</f>
        <v>278521.59999999986</v>
      </c>
      <c r="K46" s="133" t="s">
        <v>81</v>
      </c>
      <c r="L46" s="443">
        <f>+Listrik!AF15</f>
        <v>519</v>
      </c>
      <c r="M46" s="445">
        <f>+L46+'7'!M46</f>
        <v>107357</v>
      </c>
    </row>
    <row r="47" spans="1:17" ht="17.45" customHeight="1">
      <c r="A47" s="793" t="s">
        <v>82</v>
      </c>
      <c r="B47" s="794"/>
      <c r="C47" s="167">
        <f>SUMIF($G$7:$G$31,"Gas",$F$7:$F$31)</f>
        <v>0</v>
      </c>
      <c r="D47" s="121">
        <f>+C47+'7'!D47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630.94226807093446</v>
      </c>
      <c r="J47" s="138">
        <f>J46/J38</f>
        <v>689.45597849361184</v>
      </c>
      <c r="K47" s="133" t="s">
        <v>25</v>
      </c>
      <c r="L47" s="443">
        <f>+L46/I38</f>
        <v>7.4776319391415855</v>
      </c>
      <c r="M47" s="444">
        <f>+M46/J38</f>
        <v>265.75290922908215</v>
      </c>
    </row>
    <row r="48" spans="1:17" ht="17.45" customHeight="1">
      <c r="A48" s="793" t="s">
        <v>15</v>
      </c>
      <c r="B48" s="794"/>
      <c r="C48" s="167">
        <f>SUMIF($G$7:$G$31,"Start Up",$F$7:$F$31)</f>
        <v>0</v>
      </c>
      <c r="D48" s="121">
        <f>+C48+'7'!D48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636.78653482622281</v>
      </c>
      <c r="J48" s="138">
        <f>J46/J40</f>
        <v>732.93229125549294</v>
      </c>
      <c r="K48" s="133" t="s">
        <v>25</v>
      </c>
      <c r="L48" s="443">
        <f>+L46/I38</f>
        <v>7.4776319391415855</v>
      </c>
      <c r="M48" s="444">
        <f>+M46/J40</f>
        <v>282.51098655298546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+C49+'7'!D49</f>
        <v>1406</v>
      </c>
      <c r="E49" s="146">
        <f t="shared" si="0"/>
        <v>23.433333333333334</v>
      </c>
      <c r="F49" s="188"/>
      <c r="H49" s="191" t="s">
        <v>170</v>
      </c>
      <c r="I49" s="121">
        <f>+Report1!AB16</f>
        <v>0</v>
      </c>
      <c r="J49" s="138">
        <f>+I49+'7'!J49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+C50+'7'!D50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+C51+'7'!D51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64</v>
      </c>
      <c r="D52" s="147">
        <f>SUM(D38:D51)</f>
        <v>2312</v>
      </c>
      <c r="E52" s="148">
        <f>SUM(E38:E51)</f>
        <v>38.533333333333331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4.4444444444444446E-2</v>
      </c>
      <c r="D53" s="149">
        <f>D52/(24*60*G4)</f>
        <v>0.20069444444444445</v>
      </c>
      <c r="E53" s="150">
        <f>E52/(G4*24)</f>
        <v>0.20069444444444443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+D34+'7'!J56</f>
        <v>6485</v>
      </c>
      <c r="K56" s="204">
        <f>J56/(J40+J56/1000)/1000</f>
        <v>1.6779001022005458E-2</v>
      </c>
    </row>
    <row r="57" spans="1:13">
      <c r="A57" s="179"/>
      <c r="I57" s="202" t="s">
        <v>92</v>
      </c>
      <c r="J57" s="203">
        <f>+E34+'7'!J57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R61"/>
  <sheetViews>
    <sheetView view="pageBreakPreview" topLeftCell="A3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28515625" style="152" bestFit="1" customWidth="1"/>
    <col min="12" max="12" width="12" style="152" bestFit="1" customWidth="1"/>
    <col min="13" max="13" width="15.5703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7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265+195+237</f>
        <v>697</v>
      </c>
    </row>
    <row r="7" spans="1:18" ht="13.5" customHeight="1" thickBot="1">
      <c r="A7" s="781" t="s">
        <v>461</v>
      </c>
      <c r="B7" s="218" t="s">
        <v>532</v>
      </c>
      <c r="C7" s="219">
        <v>13470</v>
      </c>
      <c r="D7" s="220"/>
      <c r="E7" s="221"/>
      <c r="F7" s="231">
        <v>5</v>
      </c>
      <c r="G7" s="232" t="s">
        <v>13</v>
      </c>
      <c r="H7" s="233" t="s">
        <v>435</v>
      </c>
      <c r="I7" s="784" t="s">
        <v>520</v>
      </c>
      <c r="J7" s="217" t="str">
        <f>+'6'!J7</f>
        <v>TW 38 RC BR</v>
      </c>
      <c r="K7" s="241"/>
      <c r="L7" s="245"/>
      <c r="M7" s="120">
        <f>+K7+'6'!M7+L7</f>
        <v>53722</v>
      </c>
    </row>
    <row r="8" spans="1:18" ht="13.5" thickBot="1">
      <c r="A8" s="782"/>
      <c r="B8" s="218"/>
      <c r="C8" s="219"/>
      <c r="D8" s="220"/>
      <c r="E8" s="222"/>
      <c r="F8" s="234">
        <v>15</v>
      </c>
      <c r="G8" s="585" t="s">
        <v>13</v>
      </c>
      <c r="H8" s="233" t="s">
        <v>434</v>
      </c>
      <c r="I8" s="785"/>
      <c r="J8" s="217" t="str">
        <f>+'6'!J8</f>
        <v>TW 36 RC BR</v>
      </c>
      <c r="K8" s="242"/>
      <c r="L8" s="242"/>
      <c r="M8" s="120">
        <f>+K8+'6'!M8+L8</f>
        <v>45750</v>
      </c>
      <c r="N8" s="152">
        <v>785</v>
      </c>
      <c r="O8" s="152">
        <f>+N8-N8*0.14</f>
        <v>675.1</v>
      </c>
      <c r="P8" s="152">
        <f>15+60</f>
        <v>75</v>
      </c>
      <c r="Q8" s="152">
        <f>+N8*P8</f>
        <v>58875</v>
      </c>
      <c r="R8" s="152">
        <f>+O8*P8</f>
        <v>50632.5</v>
      </c>
    </row>
    <row r="9" spans="1:18" ht="13.5" thickBot="1">
      <c r="A9" s="782"/>
      <c r="B9" s="218"/>
      <c r="C9" s="219"/>
      <c r="D9" s="220"/>
      <c r="E9" s="223"/>
      <c r="F9" s="231">
        <v>15</v>
      </c>
      <c r="G9" s="585" t="s">
        <v>13</v>
      </c>
      <c r="H9" s="236" t="s">
        <v>226</v>
      </c>
      <c r="I9" s="785"/>
      <c r="J9" s="217" t="str">
        <f>+'6'!J9</f>
        <v>TW 34 RC BR</v>
      </c>
      <c r="K9" s="242"/>
      <c r="L9" s="242"/>
      <c r="M9" s="120">
        <f>+K9+'6'!M9+L9</f>
        <v>19926</v>
      </c>
      <c r="N9" s="152">
        <v>830</v>
      </c>
      <c r="O9" s="152">
        <f>+N9-N9*0.14</f>
        <v>713.8</v>
      </c>
      <c r="P9" s="152">
        <f>45+360+80</f>
        <v>485</v>
      </c>
      <c r="Q9" s="152">
        <f>+N9*P9</f>
        <v>402550</v>
      </c>
      <c r="R9" s="152">
        <f>+O9*P9</f>
        <v>346193</v>
      </c>
    </row>
    <row r="10" spans="1:18" ht="13.5" thickBot="1">
      <c r="A10" s="782"/>
      <c r="B10" s="218"/>
      <c r="C10" s="219"/>
      <c r="D10" s="220"/>
      <c r="E10" s="222"/>
      <c r="F10" s="231"/>
      <c r="G10" s="235"/>
      <c r="H10" s="236" t="s">
        <v>516</v>
      </c>
      <c r="I10" s="785"/>
      <c r="J10" s="217" t="str">
        <f>+'6'!J10</f>
        <v>TW 30 RC BR</v>
      </c>
      <c r="K10" s="242"/>
      <c r="L10" s="242"/>
      <c r="M10" s="120">
        <f>+K10+'6'!M10+L10</f>
        <v>11017</v>
      </c>
      <c r="P10" s="152">
        <f>SUM(P8:P9)</f>
        <v>560</v>
      </c>
      <c r="Q10" s="152">
        <f>SUM(Q8:Q9)</f>
        <v>461425</v>
      </c>
      <c r="R10" s="152">
        <f>SUM(R8:R9)</f>
        <v>396825.5</v>
      </c>
    </row>
    <row r="11" spans="1:18" ht="13.5" thickBot="1">
      <c r="A11" s="782"/>
      <c r="B11" s="218"/>
      <c r="C11" s="219"/>
      <c r="D11" s="220"/>
      <c r="E11" s="222"/>
      <c r="F11" s="231"/>
      <c r="G11" s="235"/>
      <c r="H11" s="236" t="s">
        <v>513</v>
      </c>
      <c r="I11" s="785"/>
      <c r="J11" s="217" t="str">
        <f>+'6'!J11</f>
        <v>TW 20 RC BR</v>
      </c>
      <c r="K11" s="242"/>
      <c r="L11" s="242"/>
      <c r="M11" s="120">
        <f>+K11+'6'!M11+L11</f>
        <v>13885</v>
      </c>
      <c r="Q11" s="152">
        <f>+Q10/P10</f>
        <v>823.97321428571433</v>
      </c>
      <c r="R11" s="152">
        <f>+R10/P10</f>
        <v>708.61696428571429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+'6'!J12</f>
        <v>N 20 RC BR</v>
      </c>
      <c r="K12" s="242"/>
      <c r="L12" s="242"/>
      <c r="M12" s="120">
        <f>+K12+'6'!M12+L12</f>
        <v>16183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+'6'!J13</f>
        <v>N 17,5 RC BR</v>
      </c>
      <c r="K13" s="242"/>
      <c r="L13" s="242"/>
      <c r="M13" s="120">
        <f>+K13+'6'!M13+L13</f>
        <v>61888</v>
      </c>
    </row>
    <row r="14" spans="1:18" ht="13.5" thickBot="1">
      <c r="A14" s="783"/>
      <c r="B14" s="168" t="s">
        <v>3</v>
      </c>
      <c r="C14" s="102">
        <f>SUM(C7:C13)</f>
        <v>13470</v>
      </c>
      <c r="D14" s="114">
        <f>SUM(D7:D13)</f>
        <v>0</v>
      </c>
      <c r="E14" s="115">
        <f>SUM(E5:E13)</f>
        <v>0</v>
      </c>
      <c r="F14" s="105">
        <f>SUM(F6:F13)</f>
        <v>35</v>
      </c>
      <c r="G14" s="162"/>
      <c r="H14" s="169"/>
      <c r="I14" s="170"/>
      <c r="J14" s="217" t="str">
        <f>+'6'!J14</f>
        <v>N 16 RC BR</v>
      </c>
      <c r="K14" s="242"/>
      <c r="L14" s="242"/>
      <c r="M14" s="120">
        <f>+K14+'6'!M14+L14</f>
        <v>24358</v>
      </c>
    </row>
    <row r="15" spans="1:18" ht="13.5" customHeight="1" thickBot="1">
      <c r="A15" s="781" t="s">
        <v>408</v>
      </c>
      <c r="B15" s="168"/>
      <c r="C15" s="116">
        <f>C14/($C$23+$D$23+$E$23)</f>
        <v>1.9967388081826267</v>
      </c>
      <c r="D15" s="117">
        <f>D14/($C$23+$D$23+$E$23)</f>
        <v>0</v>
      </c>
      <c r="E15" s="118">
        <f>E14/($C$23+$D$23+$E$23)</f>
        <v>0</v>
      </c>
      <c r="F15" s="231">
        <v>8</v>
      </c>
      <c r="G15" s="232" t="s">
        <v>13</v>
      </c>
      <c r="H15" s="233" t="s">
        <v>523</v>
      </c>
      <c r="I15" s="784" t="s">
        <v>521</v>
      </c>
      <c r="J15" s="217" t="str">
        <f>+'6'!J15</f>
        <v>N 15,5 RC BR</v>
      </c>
      <c r="K15" s="242"/>
      <c r="L15" s="242"/>
      <c r="M15" s="120">
        <f>+K15+'6'!M15+L15</f>
        <v>0</v>
      </c>
    </row>
    <row r="16" spans="1:18" ht="13.5" thickBot="1">
      <c r="A16" s="787"/>
      <c r="B16" s="218" t="s">
        <v>532</v>
      </c>
      <c r="C16" s="225">
        <v>6041</v>
      </c>
      <c r="D16" s="226">
        <v>705</v>
      </c>
      <c r="E16" s="227"/>
      <c r="F16" s="234">
        <v>0</v>
      </c>
      <c r="G16" s="585" t="s">
        <v>13</v>
      </c>
      <c r="H16" s="233" t="s">
        <v>486</v>
      </c>
      <c r="I16" s="785"/>
      <c r="J16" s="217" t="str">
        <f>+'6'!J16</f>
        <v>N 17 VP OW</v>
      </c>
      <c r="K16" s="242"/>
      <c r="L16" s="242"/>
      <c r="M16" s="120">
        <f>+K16+'6'!M16+L16</f>
        <v>14370</v>
      </c>
    </row>
    <row r="17" spans="1:14" ht="13.5" thickBot="1">
      <c r="A17" s="787"/>
      <c r="B17" s="218"/>
      <c r="C17" s="219"/>
      <c r="D17" s="220"/>
      <c r="E17" s="228"/>
      <c r="F17" s="231">
        <v>12</v>
      </c>
      <c r="G17" s="585" t="s">
        <v>13</v>
      </c>
      <c r="H17" s="236" t="s">
        <v>226</v>
      </c>
      <c r="I17" s="785"/>
      <c r="J17" s="217" t="str">
        <f>+'6'!J17</f>
        <v>N 16 VP OW</v>
      </c>
      <c r="K17" s="242">
        <f>+C7+C16</f>
        <v>19511</v>
      </c>
      <c r="L17" s="232"/>
      <c r="M17" s="120">
        <f>+K17+'6'!M17+L17</f>
        <v>38174</v>
      </c>
    </row>
    <row r="18" spans="1:14" ht="13.5" thickBot="1">
      <c r="A18" s="787"/>
      <c r="B18" s="218"/>
      <c r="C18" s="219"/>
      <c r="D18" s="220"/>
      <c r="E18" s="228"/>
      <c r="F18" s="231"/>
      <c r="G18" s="235"/>
      <c r="H18" s="236" t="s">
        <v>515</v>
      </c>
      <c r="I18" s="785"/>
      <c r="J18" s="217" t="s">
        <v>533</v>
      </c>
      <c r="K18" s="242">
        <f>+C25</f>
        <v>11967</v>
      </c>
      <c r="L18" s="242"/>
      <c r="M18" s="120">
        <f>+K18+'6'!M18+L18</f>
        <v>11967</v>
      </c>
    </row>
    <row r="19" spans="1:14" ht="51.75" thickBot="1">
      <c r="A19" s="787"/>
      <c r="B19" s="218"/>
      <c r="C19" s="219"/>
      <c r="D19" s="220"/>
      <c r="E19" s="228" t="s">
        <v>517</v>
      </c>
      <c r="F19" s="238">
        <v>400</v>
      </c>
      <c r="G19" s="235" t="s">
        <v>71</v>
      </c>
      <c r="H19" s="236" t="s">
        <v>514</v>
      </c>
      <c r="I19" s="785"/>
      <c r="J19" s="217">
        <f>+'6'!J19</f>
        <v>0</v>
      </c>
      <c r="K19" s="242"/>
      <c r="L19" s="242"/>
      <c r="M19" s="120">
        <f>+K19+'6'!M19+L19</f>
        <v>0</v>
      </c>
    </row>
    <row r="20" spans="1:14" ht="39" thickBot="1">
      <c r="A20" s="787"/>
      <c r="B20" s="218"/>
      <c r="C20" s="219"/>
      <c r="D20" s="220"/>
      <c r="E20" s="228"/>
      <c r="F20" s="231"/>
      <c r="G20" s="235"/>
      <c r="H20" s="236" t="s">
        <v>526</v>
      </c>
      <c r="I20" s="785"/>
      <c r="J20" s="217">
        <f>+'6'!J20</f>
        <v>0</v>
      </c>
      <c r="K20" s="243"/>
      <c r="L20" s="243"/>
      <c r="M20" s="120">
        <f>+K20+'6'!M20+L20</f>
        <v>0</v>
      </c>
    </row>
    <row r="21" spans="1:14" ht="39" thickBot="1">
      <c r="A21" s="787"/>
      <c r="B21" s="218"/>
      <c r="C21" s="219"/>
      <c r="D21" s="220"/>
      <c r="E21" s="228"/>
      <c r="F21" s="234"/>
      <c r="G21" s="235"/>
      <c r="H21" s="236" t="s">
        <v>525</v>
      </c>
      <c r="I21" s="785"/>
      <c r="J21" s="217">
        <f>+'6'!J21</f>
        <v>0</v>
      </c>
      <c r="K21" s="242"/>
      <c r="L21" s="242"/>
      <c r="M21" s="120">
        <f>+K21+'6'!M21+L21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+'6'!J22</f>
        <v>0</v>
      </c>
      <c r="K22" s="242"/>
      <c r="L22" s="242"/>
      <c r="M22" s="120">
        <f>+K22+'6'!M22+L22</f>
        <v>0</v>
      </c>
    </row>
    <row r="23" spans="1:14" ht="13.5" thickBot="1">
      <c r="A23" s="788"/>
      <c r="B23" s="168" t="s">
        <v>3</v>
      </c>
      <c r="C23" s="103">
        <f>SUM(C16:C22)</f>
        <v>6041</v>
      </c>
      <c r="D23" s="114">
        <f>SUM(D16:D22)</f>
        <v>705</v>
      </c>
      <c r="E23" s="115">
        <f>SUM(E18:E22)</f>
        <v>0</v>
      </c>
      <c r="F23" s="105">
        <f>SUM(F15:F22)</f>
        <v>420</v>
      </c>
      <c r="G23" s="162"/>
      <c r="H23" s="169"/>
      <c r="I23" s="172"/>
      <c r="J23" s="217">
        <f>+'6'!J23</f>
        <v>0</v>
      </c>
      <c r="K23" s="242"/>
      <c r="L23" s="242"/>
      <c r="M23" s="120">
        <f>+K23+'6'!M23+L23</f>
        <v>0</v>
      </c>
    </row>
    <row r="24" spans="1:14" ht="13.5" customHeight="1" thickBot="1">
      <c r="A24" s="781" t="s">
        <v>409</v>
      </c>
      <c r="B24" s="173"/>
      <c r="C24" s="116">
        <f>C23/($C$23+$D$23+$E$23)</f>
        <v>0.89549362585235692</v>
      </c>
      <c r="D24" s="117">
        <f>D23/($C$23+$D$23+$E$23)</f>
        <v>0.10450637414764305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521</v>
      </c>
      <c r="J24" s="217">
        <f>+'6'!J24</f>
        <v>0</v>
      </c>
      <c r="K24" s="242"/>
      <c r="L24" s="242"/>
      <c r="M24" s="120">
        <f>+K24+'6'!M24+L24</f>
        <v>0</v>
      </c>
    </row>
    <row r="25" spans="1:14" ht="13.5" thickBot="1">
      <c r="A25" s="787"/>
      <c r="B25" s="218" t="s">
        <v>533</v>
      </c>
      <c r="C25" s="229">
        <v>11967</v>
      </c>
      <c r="D25" s="220">
        <v>574</v>
      </c>
      <c r="E25" s="228"/>
      <c r="F25" s="234">
        <v>10</v>
      </c>
      <c r="G25" s="585" t="s">
        <v>13</v>
      </c>
      <c r="H25" s="233" t="s">
        <v>434</v>
      </c>
      <c r="I25" s="785"/>
      <c r="J25" s="217">
        <f>+'6'!J25</f>
        <v>0</v>
      </c>
      <c r="K25" s="242"/>
      <c r="L25" s="242"/>
      <c r="M25" s="120">
        <f>+K25+'6'!M25+L25</f>
        <v>0</v>
      </c>
    </row>
    <row r="26" spans="1:14" ht="13.5" thickBot="1">
      <c r="A26" s="787"/>
      <c r="B26" s="218"/>
      <c r="C26" s="229"/>
      <c r="D26" s="220"/>
      <c r="E26" s="230"/>
      <c r="F26" s="231">
        <v>10</v>
      </c>
      <c r="G26" s="585" t="s">
        <v>13</v>
      </c>
      <c r="H26" s="236" t="s">
        <v>226</v>
      </c>
      <c r="I26" s="785"/>
      <c r="J26" s="217">
        <f>+'6'!J26</f>
        <v>0</v>
      </c>
      <c r="K26" s="242"/>
      <c r="L26" s="242"/>
      <c r="M26" s="120">
        <f>+K26+'6'!M26+L26</f>
        <v>0</v>
      </c>
    </row>
    <row r="27" spans="1:14" ht="13.5" thickBot="1">
      <c r="A27" s="787"/>
      <c r="B27" s="218"/>
      <c r="C27" s="219"/>
      <c r="D27" s="220"/>
      <c r="E27" s="228"/>
      <c r="F27" s="231">
        <v>40</v>
      </c>
      <c r="G27" s="235" t="s">
        <v>71</v>
      </c>
      <c r="H27" s="236" t="s">
        <v>518</v>
      </c>
      <c r="I27" s="785"/>
      <c r="J27" s="217">
        <f>+'6'!J27</f>
        <v>0</v>
      </c>
      <c r="K27" s="242"/>
      <c r="L27" s="242"/>
      <c r="M27" s="120">
        <f>+K27+'6'!M27+L27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 t="s">
        <v>519</v>
      </c>
      <c r="I28" s="785"/>
      <c r="J28" s="217">
        <f>+'6'!J28</f>
        <v>0</v>
      </c>
      <c r="K28" s="242"/>
      <c r="L28" s="242"/>
      <c r="M28" s="120">
        <f>+K28+'6'!M28+L28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 t="s">
        <v>522</v>
      </c>
      <c r="I29" s="785"/>
      <c r="J29" s="217">
        <f>+'6'!J29</f>
        <v>0</v>
      </c>
      <c r="K29" s="242"/>
      <c r="L29" s="242"/>
      <c r="M29" s="120">
        <f>+K29+'6'!M29+L29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592"/>
      <c r="I30" s="785"/>
      <c r="J30" s="217">
        <f>+'6'!J30</f>
        <v>0</v>
      </c>
      <c r="K30" s="242"/>
      <c r="L30" s="242"/>
      <c r="M30" s="120">
        <f>+K30+'6'!M30+L30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+'6'!J31</f>
        <v>0</v>
      </c>
      <c r="K31" s="242"/>
      <c r="L31" s="242"/>
      <c r="M31" s="120">
        <f>+K31+'6'!M31+L31</f>
        <v>0</v>
      </c>
    </row>
    <row r="32" spans="1:14" ht="13.5" thickBot="1">
      <c r="A32" s="788"/>
      <c r="B32" s="168" t="s">
        <v>3</v>
      </c>
      <c r="C32" s="102">
        <f>SUM(C25:C31)</f>
        <v>11967</v>
      </c>
      <c r="D32" s="103">
        <f>SUM(D25:D31)</f>
        <v>574</v>
      </c>
      <c r="E32" s="104">
        <f>SUM(E25:E31)</f>
        <v>0</v>
      </c>
      <c r="F32" s="105">
        <f>SUM(F24:F31)</f>
        <v>60</v>
      </c>
      <c r="G32" s="174"/>
      <c r="H32" s="175"/>
      <c r="I32" s="172"/>
      <c r="J32" s="217">
        <f>+'6'!J32</f>
        <v>0</v>
      </c>
      <c r="K32" s="244"/>
      <c r="L32" s="246"/>
      <c r="M32" s="120">
        <f>+K32+'6'!M32+L32</f>
        <v>0</v>
      </c>
    </row>
    <row r="33" spans="1:15" ht="13.5" thickBot="1">
      <c r="A33" s="176"/>
      <c r="B33" s="177"/>
      <c r="C33" s="106">
        <f>C32/($C$32+$D$32+$E$32)</f>
        <v>0.95423012518937889</v>
      </c>
      <c r="D33" s="107">
        <f>D32/($C$32+$D$32+$E$32)</f>
        <v>4.5769874810621163E-2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91" t="s">
        <v>60</v>
      </c>
      <c r="B34" s="792"/>
      <c r="C34" s="110">
        <f>C14+C23+C32</f>
        <v>31478</v>
      </c>
      <c r="D34" s="110">
        <f>D14+D23+D32</f>
        <v>1279</v>
      </c>
      <c r="E34" s="110">
        <f>E14+E23+E32</f>
        <v>0</v>
      </c>
      <c r="F34" s="111">
        <f>F14+F23+F32</f>
        <v>515</v>
      </c>
      <c r="H34" s="181"/>
      <c r="I34" s="181"/>
      <c r="J34" s="126" t="s">
        <v>29</v>
      </c>
      <c r="K34" s="127">
        <f>SUM(K7:K32)</f>
        <v>31478</v>
      </c>
      <c r="L34" s="215">
        <f>SUM(L7:L32)</f>
        <v>0</v>
      </c>
      <c r="M34" s="123">
        <f>SUM(M7:M32)</f>
        <v>311240</v>
      </c>
      <c r="N34" s="158"/>
    </row>
    <row r="35" spans="1:15" ht="13.5" thickBot="1">
      <c r="A35" s="182"/>
      <c r="B35" s="183"/>
      <c r="C35" s="107">
        <f>C34/($C$34+$D$34+$E$34)</f>
        <v>0.96095491040083036</v>
      </c>
      <c r="D35" s="107">
        <f>D34/($C$34+$D$34+$E$34)</f>
        <v>3.9045089599169643E-2</v>
      </c>
      <c r="E35" s="112">
        <f>E34/($C$34+$D$34+$E$34)</f>
        <v>0</v>
      </c>
      <c r="K35" s="158"/>
      <c r="L35" s="780" t="s">
        <v>186</v>
      </c>
      <c r="M35" s="780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5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(16*560+19*440)/1000*G42*3.4*1000/1000000</f>
        <v>41.863331980000005</v>
      </c>
      <c r="J37" s="128">
        <f>+I37+'6'!J37</f>
        <v>362.88654822807007</v>
      </c>
      <c r="K37" s="129" t="s">
        <v>66</v>
      </c>
      <c r="L37" s="437"/>
      <c r="M37" s="438"/>
      <c r="N37" s="152">
        <f>14.747+3.379</f>
        <v>18.126000000000001</v>
      </c>
    </row>
    <row r="38" spans="1:15" ht="17.45" customHeight="1">
      <c r="A38" s="797" t="s">
        <v>13</v>
      </c>
      <c r="B38" s="798"/>
      <c r="C38" s="167">
        <f>SUMIF($G$7:$G$31,"Process",$F$7:$F$31)</f>
        <v>75</v>
      </c>
      <c r="D38" s="121">
        <f>+C38+'6'!D38</f>
        <v>352</v>
      </c>
      <c r="E38" s="146">
        <f t="shared" ref="E38:E51" si="0">D38/60</f>
        <v>5.8666666666666663</v>
      </c>
      <c r="F38" s="372">
        <v>822.96875</v>
      </c>
      <c r="G38" s="372">
        <v>707.75312499999995</v>
      </c>
      <c r="H38" s="190" t="s">
        <v>67</v>
      </c>
      <c r="I38" s="562">
        <f>14.747+3.379+16.498</f>
        <v>34.624000000000002</v>
      </c>
      <c r="J38" s="130">
        <f>+I38+'6'!J38</f>
        <v>334.56600000000003</v>
      </c>
      <c r="K38" s="131" t="s">
        <v>66</v>
      </c>
      <c r="L38" s="439"/>
      <c r="M38" s="440"/>
      <c r="N38" s="563">
        <f>+I38-N37</f>
        <v>16.498000000000001</v>
      </c>
      <c r="O38" s="563"/>
    </row>
    <row r="39" spans="1:15" ht="17.45" customHeight="1">
      <c r="A39" s="793" t="s">
        <v>14</v>
      </c>
      <c r="B39" s="794"/>
      <c r="C39" s="167">
        <f>SUMIF($G$7:$G$31,"Cleaning",$F$7:$F$31)</f>
        <v>0</v>
      </c>
      <c r="D39" s="121">
        <f>+C39+'6'!D39</f>
        <v>0</v>
      </c>
      <c r="E39" s="146">
        <f t="shared" si="0"/>
        <v>0</v>
      </c>
      <c r="F39" s="372">
        <v>830</v>
      </c>
      <c r="G39" s="372">
        <v>713.8</v>
      </c>
      <c r="H39" s="190" t="s">
        <v>68</v>
      </c>
      <c r="I39" s="145"/>
      <c r="J39" s="132">
        <f>J37/G4</f>
        <v>51.840935461152867</v>
      </c>
      <c r="K39" s="133" t="s">
        <v>66</v>
      </c>
      <c r="L39" s="439"/>
      <c r="M39" s="440"/>
    </row>
    <row r="40" spans="1:15" ht="17.45" customHeight="1">
      <c r="A40" s="793" t="s">
        <v>69</v>
      </c>
      <c r="B40" s="794"/>
      <c r="C40" s="167">
        <f>SUMIF($G$7:$G$31,"Mechanical",$F$7:$F$31)</f>
        <v>0</v>
      </c>
      <c r="D40" s="121">
        <f>+C40+'6'!D40</f>
        <v>0</v>
      </c>
      <c r="E40" s="146">
        <f t="shared" si="0"/>
        <v>0</v>
      </c>
      <c r="F40" s="372">
        <v>830</v>
      </c>
      <c r="G40" s="372">
        <v>713.8</v>
      </c>
      <c r="H40" s="190" t="s">
        <v>70</v>
      </c>
      <c r="I40" s="121">
        <f>(K34+L34)/1000</f>
        <v>31.478000000000002</v>
      </c>
      <c r="J40" s="134">
        <f>+I40+'6'!J40</f>
        <v>311.24</v>
      </c>
      <c r="K40" s="133" t="s">
        <v>66</v>
      </c>
      <c r="L40" s="439"/>
      <c r="M40" s="440"/>
    </row>
    <row r="41" spans="1:15" ht="17.45" customHeight="1">
      <c r="A41" s="793" t="s">
        <v>71</v>
      </c>
      <c r="B41" s="794"/>
      <c r="C41" s="167">
        <f>SUMIF($G$7:$G$31,"Electrical",$F$7:$F$31)</f>
        <v>440</v>
      </c>
      <c r="D41" s="121">
        <f>+C41+'6'!D41</f>
        <v>490</v>
      </c>
      <c r="E41" s="146">
        <f t="shared" si="0"/>
        <v>8.1666666666666661</v>
      </c>
      <c r="F41" s="372"/>
      <c r="G41" s="372"/>
      <c r="H41" s="190" t="s">
        <v>72</v>
      </c>
      <c r="I41" s="145"/>
      <c r="J41" s="132">
        <f>J40/G4</f>
        <v>44.462857142857146</v>
      </c>
      <c r="K41" s="133" t="s">
        <v>66</v>
      </c>
      <c r="L41" s="439"/>
      <c r="M41" s="440"/>
    </row>
    <row r="42" spans="1:15" ht="17.45" customHeight="1">
      <c r="A42" s="793" t="s">
        <v>17</v>
      </c>
      <c r="B42" s="794"/>
      <c r="C42" s="167">
        <f>SUMIF($G$7:$G$31,"Instrument",$F$7:$F$31)</f>
        <v>0</v>
      </c>
      <c r="D42" s="121">
        <f>+C42+'6'!D42</f>
        <v>0</v>
      </c>
      <c r="E42" s="146">
        <f t="shared" si="0"/>
        <v>0</v>
      </c>
      <c r="F42" s="372">
        <f>+(F38*480+F39*80+F40*440)/1000</f>
        <v>826.625</v>
      </c>
      <c r="G42" s="372">
        <f>+(G38*480+G39*80+G40*440)/1000</f>
        <v>710.89750000000004</v>
      </c>
      <c r="H42" s="190" t="s">
        <v>73</v>
      </c>
      <c r="I42" s="248" t="s">
        <v>524</v>
      </c>
      <c r="J42" s="135"/>
      <c r="K42" s="133" t="s">
        <v>74</v>
      </c>
      <c r="L42" s="439"/>
      <c r="M42" s="440"/>
    </row>
    <row r="43" spans="1:15" ht="17.45" customHeight="1">
      <c r="A43" s="793" t="s">
        <v>201</v>
      </c>
      <c r="B43" s="794"/>
      <c r="C43" s="167">
        <f>SUMIF($G$7:$G$31,"Change Grade",$F$7:$F$31)</f>
        <v>0</v>
      </c>
      <c r="D43" s="121">
        <f>+C43+'6'!D43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+Report1!AH15</f>
        <v>108.702</v>
      </c>
      <c r="J43" s="136">
        <f>+I43+'6'!J43</f>
        <v>955.07599999999991</v>
      </c>
      <c r="K43" s="133" t="s">
        <v>66</v>
      </c>
      <c r="L43" s="441">
        <f>+Report1!AN15</f>
        <v>0</v>
      </c>
      <c r="M43" s="442">
        <f>+L43+'6'!M43</f>
        <v>62.5</v>
      </c>
    </row>
    <row r="44" spans="1:15" ht="17.45" customHeight="1">
      <c r="A44" s="793" t="s">
        <v>18</v>
      </c>
      <c r="B44" s="794"/>
      <c r="C44" s="167">
        <f>SUMIF($G$7:$G$31,"PLN",$F$7:$F$31)</f>
        <v>0</v>
      </c>
      <c r="D44" s="121">
        <f>+C44+'6'!D44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3.1394986136783731</v>
      </c>
      <c r="J44" s="137">
        <f>J43/J38</f>
        <v>2.8546714250700904</v>
      </c>
      <c r="K44" s="133" t="s">
        <v>66</v>
      </c>
      <c r="L44" s="443">
        <f>+L43/I38</f>
        <v>0</v>
      </c>
      <c r="M44" s="444">
        <f>+M43/J38</f>
        <v>0.18680917965364083</v>
      </c>
    </row>
    <row r="45" spans="1:15" ht="17.45" customHeight="1">
      <c r="A45" s="793" t="s">
        <v>19</v>
      </c>
      <c r="B45" s="794"/>
      <c r="C45" s="167">
        <f>SUMIF($G$7:$G$31,"Boiler",$F$7:$F$31)</f>
        <v>0</v>
      </c>
      <c r="D45" s="121">
        <f>+C45+'6'!D45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3.4532689497426774</v>
      </c>
      <c r="J45" s="137">
        <f>J43/J40</f>
        <v>3.0686158591440686</v>
      </c>
      <c r="K45" s="133" t="s">
        <v>66</v>
      </c>
      <c r="L45" s="443">
        <f>+L43/I40</f>
        <v>0</v>
      </c>
      <c r="M45" s="444">
        <f>+M43/J40</f>
        <v>0.20080966456753629</v>
      </c>
    </row>
    <row r="46" spans="1:15" ht="17.45" customHeight="1">
      <c r="A46" s="793" t="s">
        <v>79</v>
      </c>
      <c r="B46" s="794"/>
      <c r="C46" s="167">
        <f>SUMIF($G$7:$G$31,"Gas",$F$7:$F$31)</f>
        <v>0</v>
      </c>
      <c r="D46" s="121">
        <f>+C46+'6'!D46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+SUMIF(Listrik!AC14,"&gt;0")</f>
        <v>35046.910000000011</v>
      </c>
      <c r="J46" s="138">
        <f>+I46+'6'!J46</f>
        <v>234729.7900000005</v>
      </c>
      <c r="K46" s="133" t="s">
        <v>81</v>
      </c>
      <c r="L46" s="443">
        <f>+Listrik!AF14</f>
        <v>474</v>
      </c>
      <c r="M46" s="445">
        <f>+L46+'6'!M46</f>
        <v>106838</v>
      </c>
    </row>
    <row r="47" spans="1:15" ht="17.45" customHeight="1">
      <c r="A47" s="793" t="s">
        <v>82</v>
      </c>
      <c r="B47" s="794"/>
      <c r="C47" s="167">
        <f>SUMIF($G$7:$G$31,"Gas",$F$7:$F$31)</f>
        <v>0</v>
      </c>
      <c r="D47" s="121">
        <f>+C47+'6'!D47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1012.2143599815159</v>
      </c>
      <c r="J47" s="138">
        <f>J46/J38</f>
        <v>701.59487216274363</v>
      </c>
      <c r="K47" s="133" t="s">
        <v>25</v>
      </c>
      <c r="L47" s="443">
        <f>+L46/I38</f>
        <v>13.689926062846579</v>
      </c>
      <c r="M47" s="444">
        <f>+M46/J38</f>
        <v>319.33310617337082</v>
      </c>
    </row>
    <row r="48" spans="1:15" ht="17.45" customHeight="1">
      <c r="A48" s="793" t="s">
        <v>15</v>
      </c>
      <c r="B48" s="794"/>
      <c r="C48" s="167">
        <f>SUMIF($G$7:$G$31,"Start Up",$F$7:$F$31)</f>
        <v>0</v>
      </c>
      <c r="D48" s="121">
        <f>+C48+'6'!D48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1113.3779147341004</v>
      </c>
      <c r="J48" s="138">
        <f>J46/J40</f>
        <v>754.17616630253337</v>
      </c>
      <c r="K48" s="133" t="s">
        <v>25</v>
      </c>
      <c r="L48" s="443">
        <f>+L46/I38</f>
        <v>13.689926062846579</v>
      </c>
      <c r="M48" s="444">
        <f>+M46/J40</f>
        <v>343.26564708906307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+C49+'6'!D49</f>
        <v>1406</v>
      </c>
      <c r="E49" s="146">
        <f t="shared" si="0"/>
        <v>23.433333333333334</v>
      </c>
      <c r="F49" s="188"/>
      <c r="H49" s="191" t="s">
        <v>170</v>
      </c>
      <c r="I49" s="121">
        <f>+Report1!AB15</f>
        <v>0</v>
      </c>
      <c r="J49" s="138">
        <f>+I49+'6'!J49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+C50+'6'!D50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+C51+'6'!D51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515</v>
      </c>
      <c r="D52" s="147">
        <f>SUM(D38:D51)</f>
        <v>2248</v>
      </c>
      <c r="E52" s="148">
        <f>SUM(E38:E51)</f>
        <v>37.466666666666669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0.3576388888888889</v>
      </c>
      <c r="D53" s="149">
        <f>D52/(24*60*G4)</f>
        <v>0.22301587301587303</v>
      </c>
      <c r="E53" s="150">
        <f>E52/(G4*24)</f>
        <v>0.22301587301587303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+D34+'6'!J56</f>
        <v>5285</v>
      </c>
      <c r="K56" s="204">
        <f>J56/(J40+J56/1000)/1000</f>
        <v>1.6696943369402098E-2</v>
      </c>
    </row>
    <row r="57" spans="1:13">
      <c r="A57" s="179"/>
      <c r="I57" s="202" t="s">
        <v>92</v>
      </c>
      <c r="J57" s="203">
        <f>+E34+'6'!J57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61"/>
  <sheetViews>
    <sheetView view="pageBreakPreview" zoomScale="80" zoomScaleNormal="75" zoomScaleSheetLayoutView="80" workbookViewId="0">
      <selection activeCell="D17" sqref="D1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2.85546875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31</v>
      </c>
      <c r="G4" s="157">
        <v>6</v>
      </c>
      <c r="H4" s="157" t="str">
        <f>+'1'!H4</f>
        <v>.06.24</v>
      </c>
    </row>
    <row r="5" spans="1:15" ht="13.5" thickBot="1">
      <c r="C5" s="158"/>
      <c r="D5" s="158"/>
    </row>
    <row r="6" spans="1:15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314+260+260</f>
        <v>834</v>
      </c>
    </row>
    <row r="7" spans="1:15" ht="13.5" customHeight="1" thickBot="1">
      <c r="A7" s="781" t="s">
        <v>461</v>
      </c>
      <c r="B7" s="218" t="s">
        <v>531</v>
      </c>
      <c r="C7" s="219">
        <v>8061</v>
      </c>
      <c r="D7" s="220"/>
      <c r="E7" s="221"/>
      <c r="F7" s="231">
        <v>5</v>
      </c>
      <c r="G7" s="232" t="s">
        <v>13</v>
      </c>
      <c r="H7" s="233" t="s">
        <v>435</v>
      </c>
      <c r="I7" s="784" t="s">
        <v>484</v>
      </c>
      <c r="J7" s="217" t="str">
        <f>+'5'!J7</f>
        <v>TW 38 RC BR</v>
      </c>
      <c r="K7" s="241"/>
      <c r="L7" s="245"/>
      <c r="M7" s="120">
        <f>+K7+'5'!M7+L7</f>
        <v>53722</v>
      </c>
    </row>
    <row r="8" spans="1:15" ht="13.5" thickBot="1">
      <c r="A8" s="782"/>
      <c r="B8" s="218"/>
      <c r="C8" s="219"/>
      <c r="D8" s="220"/>
      <c r="E8" s="222"/>
      <c r="F8" s="234">
        <v>10</v>
      </c>
      <c r="G8" s="585" t="s">
        <v>13</v>
      </c>
      <c r="H8" s="233" t="s">
        <v>434</v>
      </c>
      <c r="I8" s="785"/>
      <c r="J8" s="217" t="str">
        <f>+'5'!J8</f>
        <v>TW 36 RC BR</v>
      </c>
      <c r="K8" s="242"/>
      <c r="L8" s="242"/>
      <c r="M8" s="120">
        <f>+K8+'5'!M8+L8</f>
        <v>45750</v>
      </c>
      <c r="N8" s="152">
        <v>700</v>
      </c>
      <c r="O8" s="152">
        <f>+N8-N8*0.14</f>
        <v>602</v>
      </c>
    </row>
    <row r="9" spans="1:15" ht="13.5" thickBot="1">
      <c r="A9" s="782"/>
      <c r="B9" s="218"/>
      <c r="C9" s="219"/>
      <c r="D9" s="220"/>
      <c r="E9" s="223"/>
      <c r="F9" s="231">
        <v>10</v>
      </c>
      <c r="G9" s="585" t="s">
        <v>13</v>
      </c>
      <c r="H9" s="236" t="s">
        <v>226</v>
      </c>
      <c r="I9" s="785"/>
      <c r="J9" s="217" t="str">
        <f>+'5'!J9</f>
        <v>TW 34 RC BR</v>
      </c>
      <c r="K9" s="242"/>
      <c r="L9" s="242"/>
      <c r="M9" s="120">
        <f>+K9+'5'!M9+L9</f>
        <v>19926</v>
      </c>
    </row>
    <row r="10" spans="1:15" ht="13.5" thickBot="1">
      <c r="A10" s="782"/>
      <c r="B10" s="218"/>
      <c r="C10" s="219"/>
      <c r="D10" s="220"/>
      <c r="E10" s="222"/>
      <c r="F10" s="231"/>
      <c r="G10" s="235"/>
      <c r="H10" s="236" t="s">
        <v>494</v>
      </c>
      <c r="I10" s="785"/>
      <c r="J10" s="217" t="str">
        <f>+'5'!J10</f>
        <v>TW 30 RC BR</v>
      </c>
      <c r="K10" s="242"/>
      <c r="L10" s="242"/>
      <c r="M10" s="120">
        <f>+K10+'5'!M10+L10</f>
        <v>11017</v>
      </c>
    </row>
    <row r="11" spans="1:15" ht="13.5" thickBot="1">
      <c r="A11" s="782"/>
      <c r="B11" s="218"/>
      <c r="C11" s="219"/>
      <c r="D11" s="220"/>
      <c r="E11" s="222"/>
      <c r="F11" s="231"/>
      <c r="G11" s="235"/>
      <c r="H11" s="236" t="s">
        <v>496</v>
      </c>
      <c r="I11" s="785"/>
      <c r="J11" s="217" t="str">
        <f>+'5'!J11</f>
        <v>TW 20 RC BR</v>
      </c>
      <c r="K11" s="242"/>
      <c r="L11" s="242"/>
      <c r="M11" s="120">
        <f>+K11+'5'!M11+L11</f>
        <v>13885</v>
      </c>
    </row>
    <row r="12" spans="1:15" ht="13.5" thickBot="1">
      <c r="A12" s="782"/>
      <c r="B12" s="218"/>
      <c r="C12" s="219"/>
      <c r="D12" s="220"/>
      <c r="E12" s="222"/>
      <c r="F12" s="231">
        <f>120+30</f>
        <v>150</v>
      </c>
      <c r="G12" s="235" t="s">
        <v>21</v>
      </c>
      <c r="H12" s="236" t="s">
        <v>497</v>
      </c>
      <c r="I12" s="785"/>
      <c r="J12" s="217" t="str">
        <f>+'5'!J12</f>
        <v>N 20 RC BR</v>
      </c>
      <c r="K12" s="242"/>
      <c r="L12" s="242"/>
      <c r="M12" s="120">
        <f>+K12+'5'!M12+L12</f>
        <v>16183</v>
      </c>
    </row>
    <row r="13" spans="1:15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+'5'!J13</f>
        <v>N 17,5 RC BR</v>
      </c>
      <c r="K13" s="242"/>
      <c r="L13" s="242"/>
      <c r="M13" s="120">
        <f>+K13+'5'!M13+L13</f>
        <v>61888</v>
      </c>
    </row>
    <row r="14" spans="1:15" ht="13.5" thickBot="1">
      <c r="A14" s="783"/>
      <c r="B14" s="168" t="s">
        <v>3</v>
      </c>
      <c r="C14" s="102">
        <f>SUM(C7:C13)</f>
        <v>8061</v>
      </c>
      <c r="D14" s="114">
        <f>SUM(D7:D13)</f>
        <v>0</v>
      </c>
      <c r="E14" s="115">
        <f>SUM(E5:E13)</f>
        <v>0</v>
      </c>
      <c r="F14" s="105">
        <f>SUM(F6:F13)</f>
        <v>175</v>
      </c>
      <c r="G14" s="162"/>
      <c r="H14" s="169"/>
      <c r="I14" s="170"/>
      <c r="J14" s="217" t="str">
        <f>+'5'!J14</f>
        <v>N 16 RC BR</v>
      </c>
      <c r="K14" s="242"/>
      <c r="L14" s="242"/>
      <c r="M14" s="120">
        <f>+K14+'5'!M14+L14</f>
        <v>24358</v>
      </c>
    </row>
    <row r="15" spans="1:15" ht="13.5" customHeight="1" thickBot="1">
      <c r="A15" s="781" t="s">
        <v>410</v>
      </c>
      <c r="B15" s="168"/>
      <c r="C15" s="116">
        <f>C14/($C$23+$D$23+$E$23)</f>
        <v>0.69749935104265814</v>
      </c>
      <c r="D15" s="117">
        <f>D14/($C$23+$D$23+$E$23)</f>
        <v>0</v>
      </c>
      <c r="E15" s="118">
        <f>E14/($C$23+$D$23+$E$23)</f>
        <v>0</v>
      </c>
      <c r="F15" s="231">
        <v>5</v>
      </c>
      <c r="G15" s="232" t="s">
        <v>13</v>
      </c>
      <c r="H15" s="233" t="s">
        <v>435</v>
      </c>
      <c r="I15" s="784" t="s">
        <v>499</v>
      </c>
      <c r="J15" s="217" t="str">
        <f>+'5'!J15</f>
        <v>N 15,5 RC BR</v>
      </c>
      <c r="K15" s="242"/>
      <c r="L15" s="242"/>
      <c r="M15" s="120">
        <f>+K15+'5'!M15+L15</f>
        <v>0</v>
      </c>
    </row>
    <row r="16" spans="1:15" ht="13.5" thickBot="1">
      <c r="A16" s="787"/>
      <c r="B16" s="218" t="s">
        <v>531</v>
      </c>
      <c r="C16" s="225">
        <f>1002+4335+972</f>
        <v>6309</v>
      </c>
      <c r="D16" s="226"/>
      <c r="E16" s="227"/>
      <c r="F16" s="234">
        <v>10</v>
      </c>
      <c r="G16" s="585" t="s">
        <v>13</v>
      </c>
      <c r="H16" s="233" t="s">
        <v>434</v>
      </c>
      <c r="I16" s="785"/>
      <c r="J16" s="217" t="s">
        <v>531</v>
      </c>
      <c r="K16" s="242">
        <f>+C7+C16</f>
        <v>14370</v>
      </c>
      <c r="L16" s="232"/>
      <c r="M16" s="120">
        <f>+K16+'5'!M16+L16</f>
        <v>14370</v>
      </c>
    </row>
    <row r="17" spans="1:18" ht="13.5" thickBot="1">
      <c r="A17" s="787"/>
      <c r="B17" s="218" t="s">
        <v>532</v>
      </c>
      <c r="C17" s="219">
        <v>4948</v>
      </c>
      <c r="D17" s="220">
        <v>300</v>
      </c>
      <c r="E17" s="228"/>
      <c r="F17" s="231">
        <v>5</v>
      </c>
      <c r="G17" s="585" t="s">
        <v>13</v>
      </c>
      <c r="H17" s="236" t="s">
        <v>226</v>
      </c>
      <c r="I17" s="785"/>
      <c r="J17" s="217" t="s">
        <v>532</v>
      </c>
      <c r="K17" s="232">
        <f>+C17+C25</f>
        <v>18663</v>
      </c>
      <c r="L17" s="232"/>
      <c r="M17" s="120">
        <f>+K17+'5'!M17+L17</f>
        <v>18663</v>
      </c>
      <c r="N17" s="152">
        <v>700</v>
      </c>
      <c r="O17" s="152">
        <f>+N17-N17*0.14</f>
        <v>602</v>
      </c>
      <c r="P17" s="152">
        <v>120</v>
      </c>
      <c r="Q17" s="152">
        <f>+N17*P17</f>
        <v>84000</v>
      </c>
      <c r="R17" s="152">
        <f>+O17*P17</f>
        <v>72240</v>
      </c>
    </row>
    <row r="18" spans="1:18" ht="13.5" thickBot="1">
      <c r="A18" s="787"/>
      <c r="B18" s="218"/>
      <c r="C18" s="219"/>
      <c r="D18" s="220"/>
      <c r="E18" s="228"/>
      <c r="F18" s="231"/>
      <c r="G18" s="235"/>
      <c r="H18" s="236" t="s">
        <v>494</v>
      </c>
      <c r="I18" s="785"/>
      <c r="J18" s="217">
        <f>+'5'!J18</f>
        <v>0</v>
      </c>
      <c r="K18" s="242"/>
      <c r="L18" s="242"/>
      <c r="M18" s="120">
        <f>+K18+'5'!M18+L18</f>
        <v>0</v>
      </c>
      <c r="N18" s="152">
        <v>785</v>
      </c>
      <c r="O18" s="152">
        <f>+N18-N18*0.15</f>
        <v>667.25</v>
      </c>
      <c r="P18" s="152">
        <v>360</v>
      </c>
      <c r="Q18" s="152">
        <f>+N18*P18</f>
        <v>282600</v>
      </c>
      <c r="R18" s="152">
        <f>+O18*P18</f>
        <v>240210</v>
      </c>
    </row>
    <row r="19" spans="1:18" ht="13.5" thickBot="1">
      <c r="A19" s="787"/>
      <c r="B19" s="218"/>
      <c r="C19" s="219"/>
      <c r="D19" s="220"/>
      <c r="E19" s="228"/>
      <c r="F19" s="238">
        <v>10</v>
      </c>
      <c r="G19" s="235" t="s">
        <v>13</v>
      </c>
      <c r="H19" s="236" t="s">
        <v>501</v>
      </c>
      <c r="I19" s="785"/>
      <c r="J19" s="217">
        <f>+'5'!J19</f>
        <v>0</v>
      </c>
      <c r="K19" s="242"/>
      <c r="L19" s="242"/>
      <c r="M19" s="120">
        <f>+K19+'5'!M19+L19</f>
        <v>0</v>
      </c>
      <c r="P19" s="152">
        <f>+P17+P18</f>
        <v>480</v>
      </c>
      <c r="Q19" s="152">
        <f>+Q17+Q18</f>
        <v>366600</v>
      </c>
      <c r="R19" s="152">
        <f>+R17+R18</f>
        <v>312450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+'5'!J20</f>
        <v>0</v>
      </c>
      <c r="K20" s="243"/>
      <c r="L20" s="243"/>
      <c r="M20" s="120">
        <f>+K20+'5'!M20+L20</f>
        <v>0</v>
      </c>
      <c r="Q20" s="152">
        <f>+Q19/P19</f>
        <v>763.75</v>
      </c>
      <c r="R20" s="152">
        <f>+R19/P19</f>
        <v>650.9375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+'5'!J21</f>
        <v>0</v>
      </c>
      <c r="K21" s="242"/>
      <c r="L21" s="242"/>
      <c r="M21" s="120">
        <f>+K21+'5'!M21+L21</f>
        <v>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+'5'!J22</f>
        <v>0</v>
      </c>
      <c r="K22" s="242"/>
      <c r="L22" s="242"/>
      <c r="M22" s="120">
        <f>+K22+'5'!M22+L22</f>
        <v>0</v>
      </c>
    </row>
    <row r="23" spans="1:18" ht="13.5" thickBot="1">
      <c r="A23" s="788"/>
      <c r="B23" s="168" t="s">
        <v>3</v>
      </c>
      <c r="C23" s="103">
        <f>SUM(C16:C22)</f>
        <v>11257</v>
      </c>
      <c r="D23" s="114">
        <f>SUM(D16:D22)</f>
        <v>300</v>
      </c>
      <c r="E23" s="115">
        <f>SUM(E18:E22)</f>
        <v>0</v>
      </c>
      <c r="F23" s="105">
        <f>SUM(F15:F22)</f>
        <v>30</v>
      </c>
      <c r="G23" s="162"/>
      <c r="H23" s="169"/>
      <c r="I23" s="172"/>
      <c r="J23" s="217">
        <f>+'5'!J23</f>
        <v>0</v>
      </c>
      <c r="K23" s="242"/>
      <c r="L23" s="242"/>
      <c r="M23" s="120">
        <f>+K23+'5'!M23+L23</f>
        <v>0</v>
      </c>
    </row>
    <row r="24" spans="1:18" ht="13.5" customHeight="1" thickBot="1">
      <c r="A24" s="781" t="s">
        <v>409</v>
      </c>
      <c r="B24" s="173"/>
      <c r="C24" s="116">
        <f>C23/($C$23+$D$23+$E$23)</f>
        <v>0.97404170632517084</v>
      </c>
      <c r="D24" s="117">
        <f>D23/($C$23+$D$23+$E$23)</f>
        <v>2.595829367482911E-2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502</v>
      </c>
      <c r="J24" s="217">
        <f>+'5'!J24</f>
        <v>0</v>
      </c>
      <c r="K24" s="242"/>
      <c r="L24" s="242"/>
      <c r="M24" s="120">
        <f>+K24+'5'!M24+L24</f>
        <v>0</v>
      </c>
    </row>
    <row r="25" spans="1:18" ht="13.5" customHeight="1" thickBot="1">
      <c r="A25" s="787"/>
      <c r="B25" s="218" t="s">
        <v>532</v>
      </c>
      <c r="C25" s="229">
        <v>13715</v>
      </c>
      <c r="D25" s="220"/>
      <c r="E25" s="228"/>
      <c r="F25" s="234">
        <v>10</v>
      </c>
      <c r="G25" s="585" t="s">
        <v>13</v>
      </c>
      <c r="H25" s="233" t="s">
        <v>434</v>
      </c>
      <c r="I25" s="785"/>
      <c r="J25" s="217">
        <f>+'5'!J25</f>
        <v>0</v>
      </c>
      <c r="K25" s="242"/>
      <c r="L25" s="242"/>
      <c r="M25" s="120">
        <f>+K25+'5'!M25+L25</f>
        <v>0</v>
      </c>
    </row>
    <row r="26" spans="1:18" ht="13.5" customHeight="1" thickBot="1">
      <c r="A26" s="787"/>
      <c r="B26" s="218"/>
      <c r="C26" s="229"/>
      <c r="D26" s="220"/>
      <c r="E26" s="230"/>
      <c r="F26" s="231">
        <v>15</v>
      </c>
      <c r="G26" s="585" t="s">
        <v>13</v>
      </c>
      <c r="H26" s="236" t="s">
        <v>226</v>
      </c>
      <c r="I26" s="785"/>
      <c r="J26" s="217">
        <f>+'5'!J26</f>
        <v>0</v>
      </c>
      <c r="K26" s="242"/>
      <c r="L26" s="242"/>
      <c r="M26" s="120">
        <f>+K26+'5'!M26+L26</f>
        <v>0</v>
      </c>
      <c r="N26" s="152">
        <v>785</v>
      </c>
      <c r="O26" s="152">
        <f>+N26-N26*0.15</f>
        <v>667.25</v>
      </c>
      <c r="P26" s="152">
        <v>480</v>
      </c>
    </row>
    <row r="27" spans="1:18" ht="13.5" customHeight="1" thickBot="1">
      <c r="A27" s="787"/>
      <c r="B27" s="218"/>
      <c r="C27" s="219"/>
      <c r="D27" s="220"/>
      <c r="E27" s="228"/>
      <c r="F27" s="231"/>
      <c r="G27" s="235"/>
      <c r="H27" s="236" t="s">
        <v>500</v>
      </c>
      <c r="I27" s="785"/>
      <c r="J27" s="217">
        <f>+'5'!J27</f>
        <v>0</v>
      </c>
      <c r="K27" s="242"/>
      <c r="L27" s="242"/>
      <c r="M27" s="120">
        <f>+K27+'5'!M27+L27</f>
        <v>0</v>
      </c>
    </row>
    <row r="28" spans="1:18" ht="13.5" customHeight="1" thickBot="1">
      <c r="A28" s="787"/>
      <c r="B28" s="218"/>
      <c r="C28" s="219"/>
      <c r="D28" s="220"/>
      <c r="E28" s="228"/>
      <c r="F28" s="234">
        <v>15</v>
      </c>
      <c r="G28" s="235" t="s">
        <v>13</v>
      </c>
      <c r="H28" s="236" t="s">
        <v>498</v>
      </c>
      <c r="I28" s="785"/>
      <c r="J28" s="217">
        <f>+'5'!J28</f>
        <v>0</v>
      </c>
      <c r="K28" s="242"/>
      <c r="L28" s="242"/>
      <c r="M28" s="120">
        <f>+K28+'5'!M28+L28</f>
        <v>0</v>
      </c>
    </row>
    <row r="29" spans="1:18" ht="13.5" customHeight="1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+'5'!J29</f>
        <v>0</v>
      </c>
      <c r="K29" s="242"/>
      <c r="L29" s="242"/>
      <c r="M29" s="120">
        <f>+K29+'5'!M29+L29</f>
        <v>0</v>
      </c>
    </row>
    <row r="30" spans="1:18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+'5'!J30</f>
        <v>0</v>
      </c>
      <c r="K30" s="242"/>
      <c r="L30" s="242"/>
      <c r="M30" s="120">
        <f>+K30+'5'!M30+L30</f>
        <v>0</v>
      </c>
    </row>
    <row r="31" spans="1:18" ht="13.5" customHeight="1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+'5'!J31</f>
        <v>0</v>
      </c>
      <c r="K31" s="242"/>
      <c r="L31" s="242"/>
      <c r="M31" s="120">
        <f>+K31+'5'!M31+L31</f>
        <v>0</v>
      </c>
    </row>
    <row r="32" spans="1:18" ht="13.5" customHeight="1" thickBot="1">
      <c r="A32" s="788"/>
      <c r="B32" s="168" t="s">
        <v>3</v>
      </c>
      <c r="C32" s="102">
        <f>SUM(C25:C31)</f>
        <v>13715</v>
      </c>
      <c r="D32" s="103">
        <f>SUM(D25:D31)</f>
        <v>0</v>
      </c>
      <c r="E32" s="104">
        <f>SUM(E25:E31)</f>
        <v>0</v>
      </c>
      <c r="F32" s="105">
        <f>SUM(F24:F31)</f>
        <v>40</v>
      </c>
      <c r="G32" s="174"/>
      <c r="H32" s="175"/>
      <c r="I32" s="172"/>
      <c r="J32" s="217">
        <f>+'5'!J32</f>
        <v>0</v>
      </c>
      <c r="K32" s="244"/>
      <c r="L32" s="246"/>
      <c r="M32" s="120">
        <f>+K32+'5'!M32+L32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33033</v>
      </c>
      <c r="D34" s="110">
        <f>D14+D23+D32</f>
        <v>300</v>
      </c>
      <c r="E34" s="110">
        <f>E14+E23+E32</f>
        <v>0</v>
      </c>
      <c r="F34" s="111">
        <f>F14+F23+F32</f>
        <v>245</v>
      </c>
      <c r="H34" s="181"/>
      <c r="I34" s="181"/>
      <c r="J34" s="126" t="s">
        <v>29</v>
      </c>
      <c r="K34" s="127">
        <f>SUM(K7:K32)</f>
        <v>33033</v>
      </c>
      <c r="L34" s="215">
        <f>SUM(L7:L32)</f>
        <v>0</v>
      </c>
      <c r="M34" s="123">
        <f>SUM(M7:M32)</f>
        <v>279762</v>
      </c>
    </row>
    <row r="35" spans="1:14" ht="13.5" thickBot="1">
      <c r="A35" s="182"/>
      <c r="B35" s="183"/>
      <c r="C35" s="107">
        <f>C34/($C$34+$D$34+$E$34)</f>
        <v>0.99099990999910004</v>
      </c>
      <c r="D35" s="107">
        <f>D34/($C$34+$D$34+$E$34)</f>
        <v>9.0000900009000098E-3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(17*600+16*840)/1440*G42*3.4*1440/1000000</f>
        <v>51.445663500000009</v>
      </c>
      <c r="J37" s="128">
        <f>+I37+'5'!J37</f>
        <v>321.02321624807007</v>
      </c>
      <c r="K37" s="129" t="s">
        <v>66</v>
      </c>
      <c r="L37" s="437"/>
      <c r="M37" s="438"/>
      <c r="N37" s="152">
        <f>14.021+2.107+0.998+2.106</f>
        <v>19.231999999999999</v>
      </c>
    </row>
    <row r="38" spans="1:14" ht="17.45" customHeight="1">
      <c r="A38" s="797" t="s">
        <v>13</v>
      </c>
      <c r="B38" s="798"/>
      <c r="C38" s="167">
        <f>SUMIF($G$7:$G$31,"Process",$F$7:$F$31)</f>
        <v>95</v>
      </c>
      <c r="D38" s="121">
        <f>+C38+'5'!D38</f>
        <v>277</v>
      </c>
      <c r="E38" s="146">
        <f t="shared" ref="E38:E51" si="0">D38/60</f>
        <v>4.6166666666666663</v>
      </c>
      <c r="F38" s="372">
        <v>700</v>
      </c>
      <c r="G38" s="372">
        <v>602</v>
      </c>
      <c r="H38" s="190" t="s">
        <v>67</v>
      </c>
      <c r="I38" s="562">
        <f>14.021+14.807+14.396</f>
        <v>43.224000000000004</v>
      </c>
      <c r="J38" s="130">
        <f>+I38+'5'!J38</f>
        <v>299.94200000000001</v>
      </c>
      <c r="K38" s="131" t="s">
        <v>66</v>
      </c>
      <c r="L38" s="439"/>
      <c r="M38" s="440"/>
      <c r="N38" s="563">
        <f>+I38-N37</f>
        <v>23.992000000000004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+C39+'5'!D39</f>
        <v>0</v>
      </c>
      <c r="E39" s="146">
        <f t="shared" si="0"/>
        <v>0</v>
      </c>
      <c r="F39" s="372">
        <v>763.75</v>
      </c>
      <c r="G39" s="372">
        <v>650.9375</v>
      </c>
      <c r="H39" s="190" t="s">
        <v>68</v>
      </c>
      <c r="I39" s="145"/>
      <c r="J39" s="132">
        <f>J37/G4</f>
        <v>53.503869374678345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+C40+'5'!D40</f>
        <v>0</v>
      </c>
      <c r="E40" s="146">
        <f t="shared" si="0"/>
        <v>0</v>
      </c>
      <c r="F40" s="372">
        <v>785</v>
      </c>
      <c r="G40" s="372">
        <v>667.25</v>
      </c>
      <c r="H40" s="190" t="s">
        <v>70</v>
      </c>
      <c r="I40" s="121">
        <f>(K34+L34)/1000</f>
        <v>33.033000000000001</v>
      </c>
      <c r="J40" s="134">
        <f>+I40+'5'!J40</f>
        <v>279.762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+C41+'5'!D41</f>
        <v>50</v>
      </c>
      <c r="E41" s="146">
        <f t="shared" si="0"/>
        <v>0.83333333333333337</v>
      </c>
      <c r="F41" s="372"/>
      <c r="G41" s="372"/>
      <c r="H41" s="190" t="s">
        <v>72</v>
      </c>
      <c r="I41" s="145"/>
      <c r="J41" s="132">
        <f>J40/G4</f>
        <v>46.627000000000002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+C42+'5'!D42</f>
        <v>0</v>
      </c>
      <c r="E42" s="146">
        <f t="shared" si="0"/>
        <v>0</v>
      </c>
      <c r="F42" s="372">
        <f>+(F38*480+F39*480+F40*480)/1440</f>
        <v>749.58333333333337</v>
      </c>
      <c r="G42" s="372">
        <f>+(G38*480+G39*480+G40*480)/1440</f>
        <v>640.0625</v>
      </c>
      <c r="H42" s="190" t="s">
        <v>73</v>
      </c>
      <c r="I42" s="248" t="s">
        <v>503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+C43+'5'!D43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+Report1!AH14</f>
        <v>132.04499999999999</v>
      </c>
      <c r="J43" s="136">
        <f>+I43+'5'!J43</f>
        <v>846.37399999999991</v>
      </c>
      <c r="K43" s="133" t="s">
        <v>66</v>
      </c>
      <c r="L43" s="441">
        <f>+Report1!AN14</f>
        <v>0</v>
      </c>
      <c r="M43" s="442">
        <f>+L43+'5'!M43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+C44+'5'!D44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3.0549000555247079</v>
      </c>
      <c r="J44" s="137">
        <f>J43/J38</f>
        <v>2.8217922131612108</v>
      </c>
      <c r="K44" s="133" t="s">
        <v>66</v>
      </c>
      <c r="L44" s="443">
        <f>+L43/I38</f>
        <v>0</v>
      </c>
      <c r="M44" s="444">
        <f>+M43/J38</f>
        <v>0.20837361889965392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+C45+'5'!D45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3.9973662700935422</v>
      </c>
      <c r="J45" s="137">
        <f>J43/J40</f>
        <v>3.0253358211622734</v>
      </c>
      <c r="K45" s="133" t="s">
        <v>66</v>
      </c>
      <c r="L45" s="443">
        <f>+L43/I40</f>
        <v>0</v>
      </c>
      <c r="M45" s="444">
        <f>+M43/J40</f>
        <v>0.22340417926666237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+C46+'5'!D46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+SUMIF(Listrik!AC13,"&gt;0")</f>
        <v>45279.069999999883</v>
      </c>
      <c r="J46" s="138">
        <f>+I46+'5'!J46</f>
        <v>199682.8800000005</v>
      </c>
      <c r="K46" s="133" t="s">
        <v>81</v>
      </c>
      <c r="L46" s="443">
        <f>+Listrik!AF13</f>
        <v>613</v>
      </c>
      <c r="M46" s="445">
        <f>+L46+'5'!M46</f>
        <v>106364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+C47+'5'!D47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1047.5446511197456</v>
      </c>
      <c r="J47" s="138">
        <f>J46/J38</f>
        <v>665.73830940648691</v>
      </c>
      <c r="K47" s="133" t="s">
        <v>25</v>
      </c>
      <c r="L47" s="443">
        <f>+L46/I38</f>
        <v>14.181935961502868</v>
      </c>
      <c r="M47" s="444">
        <f>+M46/J38</f>
        <v>354.61522561028465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+C48+'5'!D48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1370.7223079950318</v>
      </c>
      <c r="J48" s="138">
        <f>J46/J40</f>
        <v>713.75983872005668</v>
      </c>
      <c r="K48" s="133" t="s">
        <v>25</v>
      </c>
      <c r="L48" s="443">
        <f>+L46/I38</f>
        <v>14.181935961502868</v>
      </c>
      <c r="M48" s="444">
        <f>+M46/J40</f>
        <v>380.19459397630845</v>
      </c>
    </row>
    <row r="49" spans="1:13" ht="17.45" customHeight="1">
      <c r="A49" s="793" t="s">
        <v>21</v>
      </c>
      <c r="B49" s="794"/>
      <c r="C49" s="167">
        <f>SUMIF($G$7:$G$31,"Others",$F$7:$F$31)</f>
        <v>150</v>
      </c>
      <c r="D49" s="121">
        <f>+C49+'5'!D49</f>
        <v>1406</v>
      </c>
      <c r="E49" s="146">
        <f t="shared" si="0"/>
        <v>23.433333333333334</v>
      </c>
      <c r="F49" s="188"/>
      <c r="H49" s="191" t="s">
        <v>170</v>
      </c>
      <c r="I49" s="121">
        <f>+Report1!AB14</f>
        <v>0</v>
      </c>
      <c r="J49" s="138">
        <f>+I49+'5'!J49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+C50+'5'!D50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+C51+'5'!D51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245</v>
      </c>
      <c r="D52" s="147">
        <f>SUM(D38:D51)</f>
        <v>1733</v>
      </c>
      <c r="E52" s="148">
        <f>SUM(E38:E51)</f>
        <v>28.883333333333333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0.1701388888888889</v>
      </c>
      <c r="D53" s="149">
        <f>D52/(24*60*G4)</f>
        <v>0.2005787037037037</v>
      </c>
      <c r="E53" s="150">
        <f>E52/(G4*24)</f>
        <v>0.2005787037037037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+D34+'5'!J56</f>
        <v>4006</v>
      </c>
      <c r="K56" s="204">
        <f>J56/(J40+J56/1000)/1000</f>
        <v>1.4117166135716499E-2</v>
      </c>
    </row>
    <row r="57" spans="1:13">
      <c r="A57" s="179"/>
      <c r="I57" s="202" t="s">
        <v>92</v>
      </c>
      <c r="J57" s="203">
        <f>+E34+'5'!J57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P61"/>
  <sheetViews>
    <sheetView view="pageBreakPreview" topLeftCell="E4" zoomScale="80" zoomScaleNormal="75" zoomScaleSheetLayoutView="80" workbookViewId="0">
      <selection activeCell="O12" sqref="O1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4" style="152" customWidth="1"/>
    <col min="12" max="12" width="8.28515625" style="152" customWidth="1"/>
    <col min="13" max="13" width="15.5703125" style="152" bestFit="1" customWidth="1"/>
    <col min="14" max="16384" width="9.140625" style="152"/>
  </cols>
  <sheetData>
    <row r="1" spans="1:16" ht="15.75">
      <c r="A1" s="151"/>
    </row>
    <row r="2" spans="1:16" ht="15.75">
      <c r="A2" s="151" t="s">
        <v>175</v>
      </c>
    </row>
    <row r="3" spans="1:16" ht="15">
      <c r="A3" s="153"/>
    </row>
    <row r="4" spans="1:16" ht="20.25">
      <c r="A4" s="154" t="s">
        <v>4</v>
      </c>
      <c r="B4" s="155"/>
      <c r="F4" s="156" t="s">
        <v>31</v>
      </c>
      <c r="G4" s="157">
        <v>5</v>
      </c>
      <c r="H4" s="157" t="str">
        <f>+'1'!H4</f>
        <v>.06.24</v>
      </c>
    </row>
    <row r="5" spans="1:16" ht="13.5" thickBot="1">
      <c r="C5" s="158"/>
      <c r="D5" s="158"/>
    </row>
    <row r="6" spans="1:16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249+252</f>
        <v>501</v>
      </c>
    </row>
    <row r="7" spans="1:16" ht="13.5" customHeight="1" thickBot="1">
      <c r="A7" s="781" t="s">
        <v>461</v>
      </c>
      <c r="B7" s="218" t="s">
        <v>477</v>
      </c>
      <c r="C7" s="219">
        <v>2374</v>
      </c>
      <c r="D7" s="220">
        <v>436</v>
      </c>
      <c r="E7" s="221"/>
      <c r="F7" s="231"/>
      <c r="G7" s="232" t="s">
        <v>13</v>
      </c>
      <c r="H7" s="233" t="s">
        <v>391</v>
      </c>
      <c r="I7" s="784" t="s">
        <v>433</v>
      </c>
      <c r="J7" s="217" t="str">
        <f>+'4'!J7</f>
        <v>TW 38 RC BR</v>
      </c>
      <c r="K7" s="241"/>
      <c r="L7" s="245"/>
      <c r="M7" s="120">
        <f>+K7+'4'!M7+L7</f>
        <v>53722</v>
      </c>
    </row>
    <row r="8" spans="1:16" ht="13.5" thickBot="1">
      <c r="A8" s="782"/>
      <c r="B8" s="218"/>
      <c r="C8" s="219"/>
      <c r="D8" s="220"/>
      <c r="E8" s="222"/>
      <c r="F8" s="234"/>
      <c r="G8" s="585" t="s">
        <v>13</v>
      </c>
      <c r="H8" s="233" t="s">
        <v>486</v>
      </c>
      <c r="I8" s="785"/>
      <c r="J8" s="217" t="str">
        <f>+'4'!J8</f>
        <v>TW 36 RC BR</v>
      </c>
      <c r="K8" s="242"/>
      <c r="L8" s="242"/>
      <c r="M8" s="120">
        <f>+K8+'4'!M8+L8</f>
        <v>45750</v>
      </c>
      <c r="N8" s="152">
        <v>800</v>
      </c>
      <c r="O8" s="152">
        <f>+N8-N8*0.14</f>
        <v>688</v>
      </c>
      <c r="P8" s="152">
        <f>480-360</f>
        <v>120</v>
      </c>
    </row>
    <row r="9" spans="1:16" ht="13.5" thickBot="1">
      <c r="A9" s="782"/>
      <c r="B9" s="218"/>
      <c r="C9" s="219"/>
      <c r="D9" s="220"/>
      <c r="E9" s="223"/>
      <c r="F9" s="231">
        <v>5</v>
      </c>
      <c r="G9" s="585" t="s">
        <v>13</v>
      </c>
      <c r="H9" s="236" t="s">
        <v>226</v>
      </c>
      <c r="I9" s="785"/>
      <c r="J9" s="217" t="str">
        <f>+'4'!J9</f>
        <v>TW 34 RC BR</v>
      </c>
      <c r="K9" s="242"/>
      <c r="L9" s="242"/>
      <c r="M9" s="120">
        <f>+K9+'4'!M9+L9</f>
        <v>19926</v>
      </c>
      <c r="N9" s="152">
        <v>700</v>
      </c>
      <c r="O9" s="152">
        <f>+N9-N9*0.14</f>
        <v>602</v>
      </c>
      <c r="P9" s="152">
        <f>480-416</f>
        <v>64</v>
      </c>
    </row>
    <row r="10" spans="1:16" ht="13.5" thickBot="1">
      <c r="A10" s="782"/>
      <c r="B10" s="218"/>
      <c r="C10" s="219"/>
      <c r="D10" s="220"/>
      <c r="E10" s="222"/>
      <c r="F10" s="231"/>
      <c r="G10" s="585"/>
      <c r="H10" s="236" t="s">
        <v>466</v>
      </c>
      <c r="I10" s="785"/>
      <c r="J10" s="217" t="str">
        <f>+'4'!J10</f>
        <v>TW 30 RC BR</v>
      </c>
      <c r="K10" s="242"/>
      <c r="L10" s="242"/>
      <c r="M10" s="120">
        <f>+K10+'4'!M10+L10</f>
        <v>11017</v>
      </c>
    </row>
    <row r="11" spans="1:16" ht="90" thickBot="1">
      <c r="A11" s="782"/>
      <c r="B11" s="218"/>
      <c r="C11" s="219"/>
      <c r="D11" s="220"/>
      <c r="E11" s="222"/>
      <c r="F11" s="231">
        <v>360</v>
      </c>
      <c r="G11" s="235" t="s">
        <v>21</v>
      </c>
      <c r="H11" s="236" t="s">
        <v>480</v>
      </c>
      <c r="I11" s="785"/>
      <c r="J11" s="217" t="str">
        <f>+'4'!J11</f>
        <v>TW 20 RC BR</v>
      </c>
      <c r="K11" s="242"/>
      <c r="L11" s="242"/>
      <c r="M11" s="120">
        <f>+K11+'4'!M11+L11</f>
        <v>13885</v>
      </c>
    </row>
    <row r="12" spans="1:16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+'4'!J12</f>
        <v>N 20 RC BR</v>
      </c>
      <c r="K12" s="242"/>
      <c r="L12" s="242"/>
      <c r="M12" s="120">
        <f>+K12+'4'!M12+L12</f>
        <v>16183</v>
      </c>
    </row>
    <row r="13" spans="1:16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+'4'!J13</f>
        <v>N 17,5 RC BR</v>
      </c>
      <c r="K13" s="242"/>
      <c r="L13" s="242"/>
      <c r="M13" s="120">
        <f>+K13+'4'!M13+L13</f>
        <v>61888</v>
      </c>
    </row>
    <row r="14" spans="1:16" ht="13.5" thickBot="1">
      <c r="A14" s="783"/>
      <c r="B14" s="168" t="s">
        <v>3</v>
      </c>
      <c r="C14" s="102">
        <f>SUM(C7:C13)</f>
        <v>2374</v>
      </c>
      <c r="D14" s="114">
        <f>SUM(D7:D13)</f>
        <v>436</v>
      </c>
      <c r="E14" s="115">
        <f>SUM(E5:E13)</f>
        <v>0</v>
      </c>
      <c r="F14" s="105">
        <f>SUM(F6:F13)</f>
        <v>365</v>
      </c>
      <c r="G14" s="162"/>
      <c r="H14" s="169"/>
      <c r="I14" s="170"/>
      <c r="J14" s="217" t="str">
        <f>+'4'!J14</f>
        <v>N 16 RC BR</v>
      </c>
      <c r="K14" s="242">
        <f>+C7</f>
        <v>2374</v>
      </c>
      <c r="L14" s="242"/>
      <c r="M14" s="120">
        <f>+K14+'4'!M14+L14</f>
        <v>24358</v>
      </c>
    </row>
    <row r="15" spans="1:16" ht="13.5" customHeight="1" thickBot="1">
      <c r="A15" s="781" t="s">
        <v>410</v>
      </c>
      <c r="B15" s="168"/>
      <c r="C15" s="116" t="e">
        <f>C14/($C$23+$D$23+$E$23)</f>
        <v>#DIV/0!</v>
      </c>
      <c r="D15" s="117" t="e">
        <f>D14/($C$23+$D$23+$E$23)</f>
        <v>#DIV/0!</v>
      </c>
      <c r="E15" s="118" t="e">
        <f>E14/($C$23+$D$23+$E$23)</f>
        <v>#DIV/0!</v>
      </c>
      <c r="F15" s="231"/>
      <c r="G15" s="232" t="s">
        <v>13</v>
      </c>
      <c r="H15" s="233" t="s">
        <v>391</v>
      </c>
      <c r="I15" s="784">
        <v>0</v>
      </c>
      <c r="J15" s="217" t="str">
        <f>+'4'!J15</f>
        <v>N 15,5 RC BR</v>
      </c>
      <c r="K15" s="242"/>
      <c r="L15" s="242"/>
      <c r="M15" s="120">
        <f>+K15+'4'!M15+L15</f>
        <v>0</v>
      </c>
    </row>
    <row r="16" spans="1:16" ht="13.5" thickBot="1">
      <c r="A16" s="787"/>
      <c r="B16" s="218" t="s">
        <v>477</v>
      </c>
      <c r="C16" s="225"/>
      <c r="D16" s="226"/>
      <c r="E16" s="227"/>
      <c r="F16" s="234"/>
      <c r="G16" s="585" t="s">
        <v>13</v>
      </c>
      <c r="H16" s="233" t="s">
        <v>486</v>
      </c>
      <c r="I16" s="785"/>
      <c r="J16" s="217">
        <f>+'4'!J16</f>
        <v>0</v>
      </c>
      <c r="K16" s="232"/>
      <c r="L16" s="232"/>
      <c r="M16" s="120">
        <f>+K16+'4'!M16+L16</f>
        <v>0</v>
      </c>
    </row>
    <row r="17" spans="1:14" ht="13.5" thickBot="1">
      <c r="A17" s="787"/>
      <c r="B17" s="218"/>
      <c r="C17" s="219"/>
      <c r="D17" s="220"/>
      <c r="E17" s="228"/>
      <c r="F17" s="231"/>
      <c r="G17" s="585" t="s">
        <v>13</v>
      </c>
      <c r="H17" s="236" t="s">
        <v>226</v>
      </c>
      <c r="I17" s="785"/>
      <c r="J17" s="217">
        <f>+'4'!J17</f>
        <v>0</v>
      </c>
      <c r="K17" s="232"/>
      <c r="L17" s="232"/>
      <c r="M17" s="120">
        <f>+K17+'4'!M17+L17</f>
        <v>0</v>
      </c>
    </row>
    <row r="18" spans="1:14" ht="102.75" thickBot="1">
      <c r="A18" s="787"/>
      <c r="B18" s="218"/>
      <c r="C18" s="219"/>
      <c r="D18" s="220"/>
      <c r="E18" s="228"/>
      <c r="F18" s="231">
        <v>480</v>
      </c>
      <c r="G18" s="585" t="s">
        <v>21</v>
      </c>
      <c r="H18" s="236" t="s">
        <v>479</v>
      </c>
      <c r="I18" s="785"/>
      <c r="J18" s="217">
        <f>+'4'!J18</f>
        <v>0</v>
      </c>
      <c r="K18" s="242"/>
      <c r="L18" s="242"/>
      <c r="M18" s="120">
        <f>+K18+'4'!M18+L18</f>
        <v>0</v>
      </c>
    </row>
    <row r="19" spans="1:14" ht="13.5" thickBot="1">
      <c r="A19" s="787"/>
      <c r="B19" s="218"/>
      <c r="C19" s="219"/>
      <c r="D19" s="220"/>
      <c r="E19" s="228"/>
      <c r="F19" s="238"/>
      <c r="G19" s="235"/>
      <c r="H19" s="236"/>
      <c r="I19" s="785"/>
      <c r="J19" s="217">
        <f>+'4'!J19</f>
        <v>0</v>
      </c>
      <c r="K19" s="242"/>
      <c r="L19" s="242"/>
      <c r="M19" s="120">
        <f>+K19+'4'!M19+L19</f>
        <v>0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+'4'!J20</f>
        <v>0</v>
      </c>
      <c r="K20" s="243"/>
      <c r="L20" s="243"/>
      <c r="M20" s="120">
        <f>+K20+'4'!M20+L20</f>
        <v>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+'4'!J21</f>
        <v>0</v>
      </c>
      <c r="K21" s="242"/>
      <c r="L21" s="242"/>
      <c r="M21" s="120">
        <f>+K21+'4'!M21+L21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+'4'!J22</f>
        <v>0</v>
      </c>
      <c r="K22" s="242"/>
      <c r="L22" s="242"/>
      <c r="M22" s="120">
        <f>+K22+'4'!M22+L22</f>
        <v>0</v>
      </c>
    </row>
    <row r="23" spans="1:14" ht="13.5" thickBot="1">
      <c r="A23" s="788"/>
      <c r="B23" s="168" t="s">
        <v>3</v>
      </c>
      <c r="C23" s="103">
        <f>SUM(C16:C22)</f>
        <v>0</v>
      </c>
      <c r="D23" s="114">
        <f>SUM(D16:D22)</f>
        <v>0</v>
      </c>
      <c r="E23" s="115">
        <f>SUM(E18:E22)</f>
        <v>0</v>
      </c>
      <c r="F23" s="105">
        <f>SUM(F15:F22)</f>
        <v>480</v>
      </c>
      <c r="G23" s="162"/>
      <c r="H23" s="169"/>
      <c r="I23" s="172"/>
      <c r="J23" s="217">
        <f>+'4'!J23</f>
        <v>0</v>
      </c>
      <c r="K23" s="242"/>
      <c r="L23" s="242"/>
      <c r="M23" s="120">
        <f>+K23+'4'!M23+L23</f>
        <v>0</v>
      </c>
    </row>
    <row r="24" spans="1:14" ht="13.5" customHeight="1" thickBot="1">
      <c r="A24" s="781" t="s">
        <v>409</v>
      </c>
      <c r="B24" s="173"/>
      <c r="C24" s="116" t="e">
        <f>C23/($C$23+$D$23+$E$23)</f>
        <v>#DIV/0!</v>
      </c>
      <c r="D24" s="117" t="e">
        <f>D23/($C$23+$D$23+$E$23)</f>
        <v>#DIV/0!</v>
      </c>
      <c r="E24" s="118" t="e">
        <f>E23/($C$23+$D$23+$E$23)</f>
        <v>#DIV/0!</v>
      </c>
      <c r="F24" s="231"/>
      <c r="G24" s="232" t="s">
        <v>13</v>
      </c>
      <c r="H24" s="233" t="s">
        <v>391</v>
      </c>
      <c r="I24" s="784" t="s">
        <v>484</v>
      </c>
      <c r="J24" s="217">
        <f>+'4'!J24</f>
        <v>0</v>
      </c>
      <c r="K24" s="242"/>
      <c r="L24" s="242"/>
      <c r="M24" s="120">
        <f>+K24+'4'!M24+L24</f>
        <v>0</v>
      </c>
    </row>
    <row r="25" spans="1:14" ht="13.5" thickBot="1">
      <c r="A25" s="787"/>
      <c r="B25" s="218" t="s">
        <v>477</v>
      </c>
      <c r="C25" s="229"/>
      <c r="D25" s="220"/>
      <c r="E25" s="228"/>
      <c r="F25" s="234">
        <v>10</v>
      </c>
      <c r="G25" s="585" t="s">
        <v>13</v>
      </c>
      <c r="H25" s="233" t="s">
        <v>434</v>
      </c>
      <c r="I25" s="785"/>
      <c r="J25" s="217">
        <f>+'4'!J25</f>
        <v>0</v>
      </c>
      <c r="K25" s="242"/>
      <c r="L25" s="242"/>
      <c r="M25" s="120">
        <f>+K25+'4'!M25+L25</f>
        <v>0</v>
      </c>
    </row>
    <row r="26" spans="1:14" ht="13.5" thickBot="1">
      <c r="A26" s="787"/>
      <c r="B26" s="218"/>
      <c r="C26" s="229"/>
      <c r="D26" s="220"/>
      <c r="E26" s="230"/>
      <c r="F26" s="231">
        <v>5</v>
      </c>
      <c r="G26" s="585" t="s">
        <v>13</v>
      </c>
      <c r="H26" s="236" t="s">
        <v>226</v>
      </c>
      <c r="I26" s="785"/>
      <c r="J26" s="217">
        <f>+'4'!J26</f>
        <v>0</v>
      </c>
      <c r="K26" s="242"/>
      <c r="L26" s="242"/>
      <c r="M26" s="120">
        <f>+K26+'4'!M26+L26</f>
        <v>0</v>
      </c>
    </row>
    <row r="27" spans="1:14" ht="77.25" thickBot="1">
      <c r="A27" s="787"/>
      <c r="B27" s="218"/>
      <c r="C27" s="219"/>
      <c r="D27" s="220"/>
      <c r="E27" s="228"/>
      <c r="F27" s="231">
        <f>480-64</f>
        <v>416</v>
      </c>
      <c r="G27" s="585" t="s">
        <v>21</v>
      </c>
      <c r="H27" s="236" t="s">
        <v>482</v>
      </c>
      <c r="I27" s="785"/>
      <c r="J27" s="217">
        <f>+'4'!J27</f>
        <v>0</v>
      </c>
      <c r="K27" s="242"/>
      <c r="L27" s="242"/>
      <c r="M27" s="120">
        <f>+K27+'4'!M27+L27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235"/>
      <c r="H28" s="236" t="s">
        <v>483</v>
      </c>
      <c r="I28" s="785"/>
      <c r="J28" s="217">
        <f>+'4'!J28</f>
        <v>0</v>
      </c>
      <c r="K28" s="242"/>
      <c r="L28" s="242"/>
      <c r="M28" s="120">
        <f>+K28+'4'!M28+L28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 t="s">
        <v>495</v>
      </c>
      <c r="I29" s="785"/>
      <c r="J29" s="217">
        <f>+'4'!J29</f>
        <v>0</v>
      </c>
      <c r="K29" s="242"/>
      <c r="L29" s="242"/>
      <c r="M29" s="120">
        <f>+K29+'4'!M29+L29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 t="s">
        <v>481</v>
      </c>
      <c r="I30" s="785"/>
      <c r="J30" s="217">
        <f>+'4'!J30</f>
        <v>0</v>
      </c>
      <c r="K30" s="242"/>
      <c r="L30" s="242"/>
      <c r="M30" s="120">
        <f>+K30+'4'!M30+L30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+'4'!J31</f>
        <v>0</v>
      </c>
      <c r="K31" s="242"/>
      <c r="L31" s="242"/>
      <c r="M31" s="120">
        <f>+K31+'4'!M31+L31</f>
        <v>0</v>
      </c>
    </row>
    <row r="32" spans="1:14" ht="13.5" thickBot="1">
      <c r="A32" s="788"/>
      <c r="B32" s="168" t="s">
        <v>3</v>
      </c>
      <c r="C32" s="102">
        <f>SUM(C25:C31)</f>
        <v>0</v>
      </c>
      <c r="D32" s="103">
        <f>SUM(D25:D31)</f>
        <v>0</v>
      </c>
      <c r="E32" s="104">
        <f>SUM(E25:E31)</f>
        <v>0</v>
      </c>
      <c r="F32" s="105">
        <f>SUM(F24:F31)</f>
        <v>431</v>
      </c>
      <c r="G32" s="174"/>
      <c r="H32" s="175"/>
      <c r="I32" s="172"/>
      <c r="J32" s="217">
        <f>+'4'!J32</f>
        <v>0</v>
      </c>
      <c r="K32" s="244"/>
      <c r="L32" s="246"/>
      <c r="M32" s="120">
        <f>+K32+'4'!M32+L32</f>
        <v>0</v>
      </c>
    </row>
    <row r="33" spans="1:14" ht="13.5" thickBot="1">
      <c r="A33" s="176"/>
      <c r="B33" s="177"/>
      <c r="C33" s="106" t="e">
        <f>C32/($C$32+$D$32+$E$32)</f>
        <v>#DIV/0!</v>
      </c>
      <c r="D33" s="107" t="e">
        <f>D32/($C$32+$D$32+$E$32)</f>
        <v>#DIV/0!</v>
      </c>
      <c r="E33" s="108" t="e">
        <f>E32/($C$32+$D$32+$E$32)</f>
        <v>#DIV/0!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2374</v>
      </c>
      <c r="D34" s="110">
        <f>D14+D23+D32</f>
        <v>436</v>
      </c>
      <c r="E34" s="110">
        <f>E14+E23+E32</f>
        <v>0</v>
      </c>
      <c r="F34" s="111">
        <f>F14+F23+F32</f>
        <v>1276</v>
      </c>
      <c r="H34" s="181"/>
      <c r="I34" s="181"/>
      <c r="J34" s="126" t="s">
        <v>29</v>
      </c>
      <c r="K34" s="127">
        <f>SUM(K7:K32)</f>
        <v>2374</v>
      </c>
      <c r="L34" s="215">
        <f>SUM(L7:L32)</f>
        <v>0</v>
      </c>
      <c r="M34" s="123">
        <f>SUM(M7:M32)</f>
        <v>246729</v>
      </c>
      <c r="N34" s="158"/>
    </row>
    <row r="35" spans="1:14" ht="13.5" thickBot="1">
      <c r="A35" s="182"/>
      <c r="B35" s="183"/>
      <c r="C35" s="107">
        <f>C34/($C$34+$D$34+$E$34)</f>
        <v>0.84483985765124558</v>
      </c>
      <c r="D35" s="107">
        <f>D34/($C$34+$D$34+$E$34)</f>
        <v>0.15516014234875444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(16*120+17*64)/184*G42*3.4*184/1000000</f>
        <v>6.7303869217391306</v>
      </c>
      <c r="J37" s="128">
        <f>+I37+'4'!J37</f>
        <v>269.57755274807005</v>
      </c>
      <c r="K37" s="129" t="s">
        <v>66</v>
      </c>
      <c r="L37" s="437"/>
      <c r="M37" s="438"/>
      <c r="N37" s="152">
        <f>0.961</f>
        <v>0.96099999999999997</v>
      </c>
    </row>
    <row r="38" spans="1:14" ht="17.45" customHeight="1">
      <c r="A38" s="797" t="s">
        <v>13</v>
      </c>
      <c r="B38" s="798"/>
      <c r="C38" s="167">
        <f>SUMIF($G$7:$G$31,"Process",$F$7:$F$31)</f>
        <v>20</v>
      </c>
      <c r="D38" s="121">
        <f>+C38+'4'!D38</f>
        <v>182</v>
      </c>
      <c r="E38" s="146">
        <f t="shared" ref="E38:E51" si="0">D38/60</f>
        <v>3.0333333333333332</v>
      </c>
      <c r="F38" s="372">
        <v>800</v>
      </c>
      <c r="G38" s="372">
        <v>688</v>
      </c>
      <c r="H38" s="190" t="s">
        <v>67</v>
      </c>
      <c r="I38" s="562">
        <f>0.961+0.815</f>
        <v>1.7759999999999998</v>
      </c>
      <c r="J38" s="130">
        <f>+I38+'4'!J38</f>
        <v>256.71800000000002</v>
      </c>
      <c r="K38" s="131" t="s">
        <v>66</v>
      </c>
      <c r="L38" s="439"/>
      <c r="M38" s="440"/>
      <c r="N38" s="152">
        <v>0.81499999999999995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+C39+'4'!D39</f>
        <v>0</v>
      </c>
      <c r="E39" s="146">
        <f t="shared" si="0"/>
        <v>0</v>
      </c>
      <c r="F39" s="372">
        <v>0</v>
      </c>
      <c r="G39" s="372">
        <v>0</v>
      </c>
      <c r="H39" s="190" t="s">
        <v>68</v>
      </c>
      <c r="I39" s="145"/>
      <c r="J39" s="132">
        <f>J37/G4</f>
        <v>53.915510549614012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+C40+'4'!D40</f>
        <v>0</v>
      </c>
      <c r="E40" s="146">
        <f t="shared" si="0"/>
        <v>0</v>
      </c>
      <c r="F40" s="372">
        <v>700</v>
      </c>
      <c r="G40" s="372">
        <v>602</v>
      </c>
      <c r="H40" s="190" t="s">
        <v>70</v>
      </c>
      <c r="I40" s="121">
        <f>(K34+L34)/1000</f>
        <v>2.3740000000000001</v>
      </c>
      <c r="J40" s="134">
        <f>+I40+'4'!J40</f>
        <v>246.72899999999998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+C41+'4'!D41</f>
        <v>50</v>
      </c>
      <c r="E41" s="146">
        <f t="shared" si="0"/>
        <v>0.83333333333333337</v>
      </c>
      <c r="F41" s="372"/>
      <c r="G41" s="372"/>
      <c r="H41" s="190" t="s">
        <v>72</v>
      </c>
      <c r="I41" s="145"/>
      <c r="J41" s="132">
        <f>J40/G4</f>
        <v>49.345799999999997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+C42+'4'!D42</f>
        <v>0</v>
      </c>
      <c r="E42" s="146">
        <f t="shared" si="0"/>
        <v>0</v>
      </c>
      <c r="F42" s="372">
        <f>+(F38*120+F39*0+F40*64)/184</f>
        <v>765.21739130434787</v>
      </c>
      <c r="G42" s="372">
        <f>+(G38*120+G39*0+G40*64)/184</f>
        <v>658.08695652173913</v>
      </c>
      <c r="H42" s="190" t="s">
        <v>73</v>
      </c>
      <c r="I42" s="248" t="s">
        <v>485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+C43+'4'!D43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+Report1!AH13</f>
        <v>46.216999999999999</v>
      </c>
      <c r="J43" s="136">
        <f>+I43+'4'!J43</f>
        <v>714.32899999999995</v>
      </c>
      <c r="K43" s="133" t="s">
        <v>66</v>
      </c>
      <c r="L43" s="441">
        <f>+Report1!AN13</f>
        <v>0</v>
      </c>
      <c r="M43" s="442">
        <f>+L43+'4'!M43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+C44+'4'!D44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26.023085585585587</v>
      </c>
      <c r="J44" s="137">
        <f>J43/J38</f>
        <v>2.7825434913017393</v>
      </c>
      <c r="K44" s="133" t="s">
        <v>66</v>
      </c>
      <c r="L44" s="443">
        <f>+L43/I38</f>
        <v>0</v>
      </c>
      <c r="M44" s="444">
        <f>+M43/J38</f>
        <v>0.24345780194610428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+C45+'4'!D45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19.467986520640267</v>
      </c>
      <c r="J45" s="137">
        <f>J43/J40</f>
        <v>2.895196754333702</v>
      </c>
      <c r="K45" s="133" t="s">
        <v>66</v>
      </c>
      <c r="L45" s="443">
        <f>+L43/I40</f>
        <v>0</v>
      </c>
      <c r="M45" s="444">
        <f>+M43/J40</f>
        <v>0.25331436515367062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+C46+'4'!D46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+SUMIF(Listrik!AC12,"&gt;0")</f>
        <v>10057.150000000162</v>
      </c>
      <c r="J46" s="138">
        <f>+I46+'4'!J46</f>
        <v>154403.81000000061</v>
      </c>
      <c r="K46" s="133" t="s">
        <v>81</v>
      </c>
      <c r="L46" s="443">
        <f>+Listrik!AF12</f>
        <v>627</v>
      </c>
      <c r="M46" s="445">
        <f>+L46+'4'!M46</f>
        <v>105751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+C47+'4'!D47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5662.8096846847766</v>
      </c>
      <c r="J47" s="138">
        <f>J46/J38</f>
        <v>601.45299511526503</v>
      </c>
      <c r="K47" s="133" t="s">
        <v>25</v>
      </c>
      <c r="L47" s="443">
        <f>+L46/I38</f>
        <v>353.04054054054058</v>
      </c>
      <c r="M47" s="444">
        <f>+M46/J38</f>
        <v>411.93449621763955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+C48+'4'!D48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4236.3732097726033</v>
      </c>
      <c r="J48" s="138">
        <f>J46/J40</f>
        <v>625.80324971933021</v>
      </c>
      <c r="K48" s="133" t="s">
        <v>25</v>
      </c>
      <c r="L48" s="443">
        <f>+L46/I38</f>
        <v>353.04054054054058</v>
      </c>
      <c r="M48" s="444">
        <f>+M46/J40</f>
        <v>428.6119588698532</v>
      </c>
    </row>
    <row r="49" spans="1:13" ht="17.45" customHeight="1">
      <c r="A49" s="793" t="s">
        <v>21</v>
      </c>
      <c r="B49" s="794"/>
      <c r="C49" s="167">
        <f>SUMIF($G$7:$G$31,"Others",$F$7:$F$31)</f>
        <v>1256</v>
      </c>
      <c r="D49" s="121">
        <f>+C49+'4'!D49</f>
        <v>1256</v>
      </c>
      <c r="E49" s="146">
        <f t="shared" si="0"/>
        <v>20.933333333333334</v>
      </c>
      <c r="F49" s="188"/>
      <c r="H49" s="191" t="s">
        <v>170</v>
      </c>
      <c r="I49" s="121">
        <f>+Report1!AB13</f>
        <v>0</v>
      </c>
      <c r="J49" s="138">
        <f>+I49+'4'!J49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+C50+'4'!D50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+C51+'4'!D51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1276</v>
      </c>
      <c r="D52" s="147">
        <f>SUM(D38:D51)</f>
        <v>1488</v>
      </c>
      <c r="E52" s="148">
        <f>SUM(E38:E51)</f>
        <v>24.8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0.88611111111111107</v>
      </c>
      <c r="D53" s="149">
        <f>D52/(24*60*G4)</f>
        <v>0.20666666666666667</v>
      </c>
      <c r="E53" s="150">
        <f>E52/(G4*24)</f>
        <v>0.20666666666666667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+D34+'4'!J56</f>
        <v>3706</v>
      </c>
      <c r="K56" s="204">
        <f>J56/(J40+J56/1000)/1000</f>
        <v>1.479825104318486E-2</v>
      </c>
    </row>
    <row r="57" spans="1:13">
      <c r="A57" s="179"/>
      <c r="I57" s="202" t="s">
        <v>92</v>
      </c>
      <c r="J57" s="203">
        <f>+E34+'4'!J57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4027777777777778" header="0" footer="0"/>
  <pageSetup paperSize="9" scale="50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P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4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6" ht="15.75">
      <c r="A1" s="151"/>
    </row>
    <row r="2" spans="1:16" ht="15.75">
      <c r="A2" s="151" t="s">
        <v>175</v>
      </c>
    </row>
    <row r="3" spans="1:16" ht="15">
      <c r="A3" s="153"/>
    </row>
    <row r="4" spans="1:16" ht="20.25">
      <c r="A4" s="154" t="s">
        <v>4</v>
      </c>
      <c r="B4" s="155"/>
      <c r="F4" s="156" t="s">
        <v>31</v>
      </c>
      <c r="G4" s="157">
        <v>4</v>
      </c>
      <c r="H4" s="157" t="str">
        <f>+'5'!H4</f>
        <v>.06.24</v>
      </c>
    </row>
    <row r="5" spans="1:16" ht="13.5" thickBot="1">
      <c r="C5" s="158"/>
      <c r="D5" s="158"/>
    </row>
    <row r="6" spans="1:16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381+334+309</f>
        <v>1024</v>
      </c>
    </row>
    <row r="7" spans="1:16" ht="13.5" customHeight="1" thickBot="1">
      <c r="A7" s="781" t="s">
        <v>461</v>
      </c>
      <c r="B7" s="218" t="s">
        <v>444</v>
      </c>
      <c r="C7" s="219">
        <v>17717</v>
      </c>
      <c r="D7" s="220">
        <v>300</v>
      </c>
      <c r="E7" s="221"/>
      <c r="F7" s="231"/>
      <c r="G7" s="232" t="s">
        <v>13</v>
      </c>
      <c r="H7" s="233" t="s">
        <v>391</v>
      </c>
      <c r="I7" s="784" t="s">
        <v>433</v>
      </c>
      <c r="J7" s="217" t="str">
        <f>+'3'!J7</f>
        <v>TW 38 RC BR</v>
      </c>
      <c r="K7" s="241"/>
      <c r="L7" s="245"/>
      <c r="M7" s="120">
        <f>+K7+'3'!M7+L7</f>
        <v>53722</v>
      </c>
    </row>
    <row r="8" spans="1:16" ht="13.5" thickBot="1">
      <c r="A8" s="782"/>
      <c r="B8" s="218"/>
      <c r="C8" s="219"/>
      <c r="D8" s="220"/>
      <c r="E8" s="222"/>
      <c r="F8" s="234">
        <v>6</v>
      </c>
      <c r="G8" s="585" t="s">
        <v>13</v>
      </c>
      <c r="H8" s="233" t="s">
        <v>390</v>
      </c>
      <c r="I8" s="785"/>
      <c r="J8" s="217" t="str">
        <f>+'3'!J8</f>
        <v>TW 36 RC BR</v>
      </c>
      <c r="K8" s="242"/>
      <c r="L8" s="242"/>
      <c r="M8" s="120">
        <f>+K8+'3'!M8+L8</f>
        <v>45750</v>
      </c>
    </row>
    <row r="9" spans="1:16" ht="13.5" thickBot="1">
      <c r="A9" s="782"/>
      <c r="B9" s="218"/>
      <c r="C9" s="219"/>
      <c r="D9" s="220"/>
      <c r="E9" s="223"/>
      <c r="F9" s="231">
        <v>4</v>
      </c>
      <c r="G9" s="585" t="s">
        <v>13</v>
      </c>
      <c r="H9" s="236" t="s">
        <v>226</v>
      </c>
      <c r="I9" s="785"/>
      <c r="J9" s="217" t="str">
        <f>+'3'!J9</f>
        <v>TW 34 RC BR</v>
      </c>
      <c r="K9" s="242"/>
      <c r="L9" s="242"/>
      <c r="M9" s="120">
        <f>+K9+'3'!M9+L9</f>
        <v>19926</v>
      </c>
      <c r="N9" s="152">
        <v>800</v>
      </c>
      <c r="O9" s="152">
        <f>+N9-N9*0.14</f>
        <v>688</v>
      </c>
      <c r="P9" s="152">
        <f>480-40</f>
        <v>440</v>
      </c>
    </row>
    <row r="10" spans="1:16" ht="13.5" thickBot="1">
      <c r="A10" s="782"/>
      <c r="B10" s="218"/>
      <c r="C10" s="219"/>
      <c r="D10" s="220"/>
      <c r="E10" s="222"/>
      <c r="F10" s="231"/>
      <c r="G10" s="585"/>
      <c r="H10" s="236" t="s">
        <v>431</v>
      </c>
      <c r="I10" s="785"/>
      <c r="J10" s="217" t="str">
        <f>+'3'!J10</f>
        <v>TW 30 RC BR</v>
      </c>
      <c r="K10" s="242"/>
      <c r="L10" s="242"/>
      <c r="M10" s="120">
        <f>+K10+'3'!M10+L10</f>
        <v>11017</v>
      </c>
      <c r="N10" s="152">
        <v>800</v>
      </c>
      <c r="O10" s="152">
        <f>+N10-N10*0.14</f>
        <v>688</v>
      </c>
      <c r="P10" s="152">
        <v>40</v>
      </c>
    </row>
    <row r="11" spans="1:16" ht="13.5" thickBot="1">
      <c r="A11" s="782"/>
      <c r="B11" s="218"/>
      <c r="C11" s="219"/>
      <c r="D11" s="220"/>
      <c r="E11" s="222"/>
      <c r="F11" s="231">
        <v>3</v>
      </c>
      <c r="G11" s="235" t="s">
        <v>13</v>
      </c>
      <c r="H11" s="236" t="s">
        <v>463</v>
      </c>
      <c r="I11" s="785"/>
      <c r="J11" s="217" t="str">
        <f>+'3'!J11</f>
        <v>TW 20 RC BR</v>
      </c>
      <c r="K11" s="242"/>
      <c r="L11" s="242"/>
      <c r="M11" s="120">
        <f>+K11+'3'!M11+L11</f>
        <v>13885</v>
      </c>
      <c r="P11" s="152">
        <f>+P9+P10</f>
        <v>480</v>
      </c>
    </row>
    <row r="12" spans="1:16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tr">
        <f>+'3'!J12</f>
        <v>N 20 RC BR</v>
      </c>
      <c r="K12" s="242"/>
      <c r="L12" s="242"/>
      <c r="M12" s="120">
        <f>+K12+'3'!M12+L12</f>
        <v>16183</v>
      </c>
    </row>
    <row r="13" spans="1:16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tr">
        <f>+'3'!J13</f>
        <v>N 17,5 RC BR</v>
      </c>
      <c r="K13" s="242">
        <f>+C7+C16</f>
        <v>21014</v>
      </c>
      <c r="L13" s="242"/>
      <c r="M13" s="120">
        <f>+K13+'3'!M13+L13</f>
        <v>61888</v>
      </c>
    </row>
    <row r="14" spans="1:16" ht="13.5" thickBot="1">
      <c r="A14" s="783"/>
      <c r="B14" s="168" t="s">
        <v>3</v>
      </c>
      <c r="C14" s="102">
        <f>SUM(C7:C13)</f>
        <v>17717</v>
      </c>
      <c r="D14" s="114">
        <f>SUM(D7:D13)</f>
        <v>300</v>
      </c>
      <c r="E14" s="115">
        <f>SUM(E5:E13)</f>
        <v>0</v>
      </c>
      <c r="F14" s="105">
        <f>SUM(F6:F13)</f>
        <v>13</v>
      </c>
      <c r="G14" s="162"/>
      <c r="H14" s="169"/>
      <c r="I14" s="170"/>
      <c r="J14" s="217" t="s">
        <v>477</v>
      </c>
      <c r="K14" s="242">
        <f>+C17+C25</f>
        <v>21984</v>
      </c>
      <c r="L14" s="242"/>
      <c r="M14" s="120">
        <f>+K14+'3'!M14+L14</f>
        <v>21984</v>
      </c>
    </row>
    <row r="15" spans="1:16" ht="13.5" customHeight="1" thickBot="1">
      <c r="A15" s="781" t="s">
        <v>410</v>
      </c>
      <c r="B15" s="168"/>
      <c r="C15" s="116">
        <f>C14/($C$23+$D$23+$E$23)</f>
        <v>1.599873577749684</v>
      </c>
      <c r="D15" s="117">
        <f>D14/($C$23+$D$23+$E$23)</f>
        <v>2.7090482210583348E-2</v>
      </c>
      <c r="E15" s="118">
        <f>E14/($C$23+$D$23+$E$23)</f>
        <v>0</v>
      </c>
      <c r="F15" s="234">
        <v>30</v>
      </c>
      <c r="G15" s="235" t="s">
        <v>13</v>
      </c>
      <c r="H15" s="233" t="s">
        <v>468</v>
      </c>
      <c r="I15" s="784" t="s">
        <v>433</v>
      </c>
      <c r="J15" s="217" t="s">
        <v>478</v>
      </c>
      <c r="K15" s="242"/>
      <c r="L15" s="242"/>
      <c r="M15" s="120">
        <f>+K15+'3'!M15+L15</f>
        <v>0</v>
      </c>
    </row>
    <row r="16" spans="1:16" ht="13.5" thickBot="1">
      <c r="A16" s="787"/>
      <c r="B16" s="218" t="s">
        <v>444</v>
      </c>
      <c r="C16" s="225">
        <f>2612+685</f>
        <v>3297</v>
      </c>
      <c r="D16" s="226"/>
      <c r="E16" s="227"/>
      <c r="F16" s="234">
        <v>10</v>
      </c>
      <c r="G16" s="585" t="s">
        <v>13</v>
      </c>
      <c r="H16" s="233" t="s">
        <v>390</v>
      </c>
      <c r="I16" s="785"/>
      <c r="J16" s="217">
        <f>+'3'!J16</f>
        <v>0</v>
      </c>
      <c r="K16" s="232"/>
      <c r="L16" s="232"/>
      <c r="M16" s="120">
        <f>+K16+'3'!M16+L16</f>
        <v>0</v>
      </c>
    </row>
    <row r="17" spans="1:16" ht="13.5" thickBot="1">
      <c r="A17" s="787"/>
      <c r="B17" s="218" t="s">
        <v>477</v>
      </c>
      <c r="C17" s="219">
        <f>3064+4613</f>
        <v>7677</v>
      </c>
      <c r="D17" s="220">
        <v>100</v>
      </c>
      <c r="E17" s="228"/>
      <c r="F17" s="231">
        <v>10</v>
      </c>
      <c r="G17" s="585" t="s">
        <v>13</v>
      </c>
      <c r="H17" s="236" t="s">
        <v>226</v>
      </c>
      <c r="I17" s="785"/>
      <c r="J17" s="217">
        <f>+'3'!J17</f>
        <v>0</v>
      </c>
      <c r="K17" s="232"/>
      <c r="L17" s="232"/>
      <c r="M17" s="120">
        <f>+K17+'3'!M17+L17</f>
        <v>0</v>
      </c>
      <c r="N17" s="152">
        <v>800</v>
      </c>
      <c r="O17" s="152">
        <f>+N17-N17*0.14</f>
        <v>688</v>
      </c>
      <c r="P17" s="152">
        <v>480</v>
      </c>
    </row>
    <row r="18" spans="1:16" ht="13.5" thickBot="1">
      <c r="A18" s="787"/>
      <c r="B18" s="218"/>
      <c r="C18" s="219"/>
      <c r="D18" s="220"/>
      <c r="E18" s="228"/>
      <c r="F18" s="231"/>
      <c r="G18" s="585"/>
      <c r="H18" s="236" t="s">
        <v>466</v>
      </c>
      <c r="I18" s="785"/>
      <c r="J18" s="217">
        <f>+'3'!J18</f>
        <v>0</v>
      </c>
      <c r="K18" s="242"/>
      <c r="L18" s="242"/>
      <c r="M18" s="120">
        <f>+K18+'3'!M18+L18</f>
        <v>0</v>
      </c>
    </row>
    <row r="19" spans="1:16" ht="39" thickBot="1">
      <c r="A19" s="787"/>
      <c r="B19" s="218"/>
      <c r="C19" s="219"/>
      <c r="D19" s="220"/>
      <c r="E19" s="228"/>
      <c r="F19" s="238"/>
      <c r="G19" s="235"/>
      <c r="H19" s="236" t="s">
        <v>465</v>
      </c>
      <c r="I19" s="785"/>
      <c r="J19" s="217">
        <f>+'3'!J19</f>
        <v>0</v>
      </c>
      <c r="K19" s="242"/>
      <c r="L19" s="242"/>
      <c r="M19" s="120">
        <f>+K19+'3'!M19+L19</f>
        <v>0</v>
      </c>
    </row>
    <row r="20" spans="1:16" ht="13.5" thickBot="1">
      <c r="A20" s="787"/>
      <c r="B20" s="218"/>
      <c r="C20" s="219"/>
      <c r="D20" s="220"/>
      <c r="E20" s="228"/>
      <c r="F20" s="231"/>
      <c r="G20" s="235"/>
      <c r="H20" s="236" t="s">
        <v>464</v>
      </c>
      <c r="I20" s="785"/>
      <c r="J20" s="217">
        <f>+'3'!J20</f>
        <v>0</v>
      </c>
      <c r="K20" s="243"/>
      <c r="L20" s="243"/>
      <c r="M20" s="120">
        <f>+K20+'3'!M20+L20</f>
        <v>0</v>
      </c>
    </row>
    <row r="21" spans="1:16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+'3'!J21</f>
        <v>0</v>
      </c>
      <c r="K21" s="242"/>
      <c r="L21" s="242"/>
      <c r="M21" s="120">
        <f>+K21+'3'!M21+L21</f>
        <v>0</v>
      </c>
    </row>
    <row r="22" spans="1:16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+'3'!J22</f>
        <v>0</v>
      </c>
      <c r="K22" s="242"/>
      <c r="L22" s="242"/>
      <c r="M22" s="120">
        <f>+K22+'3'!M22+L22</f>
        <v>0</v>
      </c>
    </row>
    <row r="23" spans="1:16" ht="13.5" thickBot="1">
      <c r="A23" s="788"/>
      <c r="B23" s="168" t="s">
        <v>3</v>
      </c>
      <c r="C23" s="103">
        <f>SUM(C16:C22)</f>
        <v>10974</v>
      </c>
      <c r="D23" s="114">
        <f>SUM(D16:D22)</f>
        <v>100</v>
      </c>
      <c r="E23" s="115">
        <f>SUM(E18:E22)</f>
        <v>0</v>
      </c>
      <c r="F23" s="105">
        <f>SUM(F15:F22)</f>
        <v>50</v>
      </c>
      <c r="G23" s="162"/>
      <c r="H23" s="169"/>
      <c r="I23" s="172"/>
      <c r="J23" s="217">
        <f>+'3'!J23</f>
        <v>0</v>
      </c>
      <c r="K23" s="242"/>
      <c r="L23" s="242"/>
      <c r="M23" s="120">
        <f>+K23+'3'!M23+L23</f>
        <v>0</v>
      </c>
    </row>
    <row r="24" spans="1:16" ht="13.5" customHeight="1" thickBot="1">
      <c r="A24" s="781" t="s">
        <v>408</v>
      </c>
      <c r="B24" s="173"/>
      <c r="C24" s="116">
        <f>C23/($C$23+$D$23+$E$23)</f>
        <v>0.99096983926313886</v>
      </c>
      <c r="D24" s="117">
        <f>D23/($C$23+$D$23+$E$23)</f>
        <v>9.0301607368611161E-3</v>
      </c>
      <c r="E24" s="118">
        <f>E23/($C$23+$D$23+$E$23)</f>
        <v>0</v>
      </c>
      <c r="F24" s="231">
        <v>5</v>
      </c>
      <c r="G24" s="232" t="s">
        <v>13</v>
      </c>
      <c r="H24" s="233" t="s">
        <v>469</v>
      </c>
      <c r="I24" s="784" t="s">
        <v>433</v>
      </c>
      <c r="J24" s="217">
        <f>+'3'!J24</f>
        <v>0</v>
      </c>
      <c r="K24" s="242"/>
      <c r="L24" s="242"/>
      <c r="M24" s="120">
        <f>+K24+'3'!M24+L24</f>
        <v>0</v>
      </c>
    </row>
    <row r="25" spans="1:16" ht="13.5" thickBot="1">
      <c r="A25" s="787"/>
      <c r="B25" s="218" t="s">
        <v>477</v>
      </c>
      <c r="C25" s="229">
        <v>14307</v>
      </c>
      <c r="D25" s="220">
        <v>450</v>
      </c>
      <c r="E25" s="228"/>
      <c r="F25" s="234">
        <v>6</v>
      </c>
      <c r="G25" s="585" t="s">
        <v>13</v>
      </c>
      <c r="H25" s="233" t="s">
        <v>390</v>
      </c>
      <c r="I25" s="785"/>
      <c r="J25" s="217">
        <f>+'3'!J25</f>
        <v>0</v>
      </c>
      <c r="K25" s="242"/>
      <c r="L25" s="242"/>
      <c r="M25" s="120">
        <f>+K25+'3'!M25+L25</f>
        <v>0</v>
      </c>
      <c r="N25" s="152">
        <v>800</v>
      </c>
      <c r="O25" s="152">
        <f>+N25-N25*0.14</f>
        <v>688</v>
      </c>
      <c r="P25" s="152">
        <f>480-30</f>
        <v>450</v>
      </c>
    </row>
    <row r="26" spans="1:16" ht="13.5" thickBot="1">
      <c r="A26" s="787"/>
      <c r="B26" s="218"/>
      <c r="C26" s="229"/>
      <c r="D26" s="220"/>
      <c r="E26" s="230"/>
      <c r="F26" s="231">
        <v>11</v>
      </c>
      <c r="G26" s="585" t="s">
        <v>13</v>
      </c>
      <c r="H26" s="236" t="s">
        <v>226</v>
      </c>
      <c r="I26" s="785"/>
      <c r="J26" s="217">
        <f>+'3'!J26</f>
        <v>0</v>
      </c>
      <c r="K26" s="242"/>
      <c r="L26" s="242"/>
      <c r="M26" s="120">
        <f>+K26+'3'!M26+L26</f>
        <v>0</v>
      </c>
      <c r="N26" s="152">
        <v>800</v>
      </c>
      <c r="O26" s="152">
        <f>+N26-N26*0.14</f>
        <v>688</v>
      </c>
      <c r="P26" s="152">
        <v>30</v>
      </c>
    </row>
    <row r="27" spans="1:16" ht="13.5" thickBot="1">
      <c r="A27" s="787"/>
      <c r="B27" s="218"/>
      <c r="C27" s="219"/>
      <c r="D27" s="220"/>
      <c r="E27" s="228"/>
      <c r="F27" s="231"/>
      <c r="G27" s="585"/>
      <c r="H27" s="236" t="s">
        <v>466</v>
      </c>
      <c r="I27" s="785"/>
      <c r="J27" s="217">
        <f>+'3'!J27</f>
        <v>0</v>
      </c>
      <c r="K27" s="242"/>
      <c r="L27" s="242"/>
      <c r="M27" s="120">
        <f>+K27+'3'!M27+L27</f>
        <v>0</v>
      </c>
      <c r="P27" s="152">
        <f>+P25+P26</f>
        <v>480</v>
      </c>
    </row>
    <row r="28" spans="1:16" ht="13.5" thickBot="1">
      <c r="A28" s="787"/>
      <c r="B28" s="218"/>
      <c r="C28" s="219"/>
      <c r="D28" s="220"/>
      <c r="E28" s="228"/>
      <c r="F28" s="234"/>
      <c r="G28" s="235"/>
      <c r="H28" s="236" t="s">
        <v>467</v>
      </c>
      <c r="I28" s="785"/>
      <c r="J28" s="217">
        <f>+'3'!J28</f>
        <v>0</v>
      </c>
      <c r="K28" s="242"/>
      <c r="L28" s="242"/>
      <c r="M28" s="120">
        <f>+K28+'3'!M28+L28</f>
        <v>0</v>
      </c>
    </row>
    <row r="29" spans="1:16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+'3'!J29</f>
        <v>0</v>
      </c>
      <c r="K29" s="242"/>
      <c r="L29" s="242"/>
      <c r="M29" s="120">
        <f>+K29+'3'!M29+L29</f>
        <v>0</v>
      </c>
    </row>
    <row r="30" spans="1:16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+'3'!J30</f>
        <v>0</v>
      </c>
      <c r="K30" s="242"/>
      <c r="L30" s="242"/>
      <c r="M30" s="120">
        <f>+K30+'3'!M30+L30</f>
        <v>0</v>
      </c>
      <c r="N30" s="158"/>
    </row>
    <row r="31" spans="1:16" ht="13.5" thickBot="1">
      <c r="A31" s="787"/>
      <c r="B31" s="218"/>
      <c r="C31" s="229"/>
      <c r="D31" s="220"/>
      <c r="E31" s="228"/>
      <c r="F31" s="239"/>
      <c r="G31" s="240"/>
      <c r="H31" s="237"/>
      <c r="I31" s="786"/>
      <c r="J31" s="217">
        <f>+'3'!J31</f>
        <v>0</v>
      </c>
      <c r="K31" s="242"/>
      <c r="L31" s="242"/>
      <c r="M31" s="120">
        <f>+K31+'3'!M31+L31</f>
        <v>0</v>
      </c>
    </row>
    <row r="32" spans="1:16" ht="13.5" thickBot="1">
      <c r="A32" s="788"/>
      <c r="B32" s="168" t="s">
        <v>3</v>
      </c>
      <c r="C32" s="102">
        <f>SUM(C25:C31)</f>
        <v>14307</v>
      </c>
      <c r="D32" s="103">
        <f>SUM(D25:D31)</f>
        <v>450</v>
      </c>
      <c r="E32" s="104">
        <f>SUM(E25:E31)</f>
        <v>0</v>
      </c>
      <c r="F32" s="105">
        <f>SUM(F24:F31)</f>
        <v>22</v>
      </c>
      <c r="G32" s="174"/>
      <c r="H32" s="175"/>
      <c r="I32" s="172"/>
      <c r="J32" s="217">
        <f>+'3'!J32</f>
        <v>0</v>
      </c>
      <c r="K32" s="244"/>
      <c r="L32" s="246"/>
      <c r="M32" s="120">
        <f>+K32+'3'!M32+L32</f>
        <v>0</v>
      </c>
    </row>
    <row r="33" spans="1:14" ht="13.5" thickBot="1">
      <c r="A33" s="176"/>
      <c r="B33" s="177"/>
      <c r="C33" s="106">
        <f>C32/($C$32+$D$32+$E$32)</f>
        <v>0.96950599715389307</v>
      </c>
      <c r="D33" s="107">
        <f>D32/($C$32+$D$32+$E$32)</f>
        <v>3.0494002846106934E-2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42998</v>
      </c>
      <c r="D34" s="110">
        <f>D14+D23+D32</f>
        <v>850</v>
      </c>
      <c r="E34" s="110">
        <f>E14+E23+E32</f>
        <v>0</v>
      </c>
      <c r="F34" s="111">
        <f>F14+F23+F32</f>
        <v>85</v>
      </c>
      <c r="H34" s="181"/>
      <c r="I34" s="181"/>
      <c r="J34" s="126" t="s">
        <v>29</v>
      </c>
      <c r="K34" s="127">
        <f>SUM(K7:K32)</f>
        <v>42998</v>
      </c>
      <c r="L34" s="215">
        <f>SUM(L7:L32)</f>
        <v>0</v>
      </c>
      <c r="M34" s="123">
        <f>SUM(M7:M32)</f>
        <v>244355</v>
      </c>
      <c r="N34" s="158"/>
    </row>
    <row r="35" spans="1:14" ht="13.5" thickBot="1">
      <c r="A35" s="182"/>
      <c r="B35" s="183"/>
      <c r="C35" s="107">
        <f>C34/($C$34+$D$34+$E$34)</f>
        <v>0.98061485130450643</v>
      </c>
      <c r="D35" s="107">
        <f>D34/($C$34+$D$34+$E$34)</f>
        <v>1.9385148695493522E-2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(17.5*440+16*970+15.5*30)/1440*G42*3.4*1440/1000000</f>
        <v>55.403951999999997</v>
      </c>
      <c r="J37" s="128">
        <f>+I37+'3'!J37</f>
        <v>262.84716582633092</v>
      </c>
      <c r="K37" s="129" t="s">
        <v>66</v>
      </c>
      <c r="L37" s="437"/>
      <c r="M37" s="438"/>
      <c r="N37" s="152">
        <v>19.055</v>
      </c>
    </row>
    <row r="38" spans="1:14" ht="17.45" customHeight="1">
      <c r="A38" s="797" t="s">
        <v>13</v>
      </c>
      <c r="B38" s="798"/>
      <c r="C38" s="167">
        <f>SUMIF($G$7:$G$31,"Process",$F$7:$F$31)</f>
        <v>85</v>
      </c>
      <c r="D38" s="121">
        <f>+C38+'3'!D38</f>
        <v>162</v>
      </c>
      <c r="E38" s="146">
        <f t="shared" ref="E38:E51" si="0">D38/60</f>
        <v>2.7</v>
      </c>
      <c r="F38" s="372">
        <v>800</v>
      </c>
      <c r="G38" s="372">
        <f>+F38-F38*0.14</f>
        <v>688</v>
      </c>
      <c r="H38" s="190" t="s">
        <v>67</v>
      </c>
      <c r="I38" s="562">
        <f>19.055+14.036+15.37</f>
        <v>48.460999999999999</v>
      </c>
      <c r="J38" s="130">
        <f>+I38+'3'!J38</f>
        <v>254.94200000000001</v>
      </c>
      <c r="K38" s="131" t="s">
        <v>66</v>
      </c>
      <c r="L38" s="439"/>
      <c r="M38" s="440"/>
      <c r="N38" s="563">
        <f>+I38-N37</f>
        <v>29.405999999999999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+C39+'3'!D39</f>
        <v>0</v>
      </c>
      <c r="E39" s="146">
        <f t="shared" si="0"/>
        <v>0</v>
      </c>
      <c r="F39" s="372">
        <v>800</v>
      </c>
      <c r="G39" s="372">
        <f>+F39-F39*0.14</f>
        <v>688</v>
      </c>
      <c r="H39" s="190" t="s">
        <v>68</v>
      </c>
      <c r="I39" s="145"/>
      <c r="J39" s="132">
        <f>J37/G4</f>
        <v>65.711791456582731</v>
      </c>
      <c r="K39" s="133" t="s">
        <v>66</v>
      </c>
      <c r="L39" s="439"/>
      <c r="M39" s="440"/>
      <c r="N39" s="152">
        <v>0</v>
      </c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+C40+'3'!D40</f>
        <v>0</v>
      </c>
      <c r="E40" s="146">
        <f t="shared" si="0"/>
        <v>0</v>
      </c>
      <c r="F40" s="372">
        <v>800</v>
      </c>
      <c r="G40" s="372">
        <f>+F40-F40*0.14</f>
        <v>688</v>
      </c>
      <c r="H40" s="190" t="s">
        <v>70</v>
      </c>
      <c r="I40" s="121">
        <f>(K34+L34)/1000</f>
        <v>42.997999999999998</v>
      </c>
      <c r="J40" s="134">
        <f>+I40+'3'!J40</f>
        <v>244.35499999999999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+C41+'3'!D41</f>
        <v>50</v>
      </c>
      <c r="E41" s="146">
        <f t="shared" si="0"/>
        <v>0.83333333333333337</v>
      </c>
      <c r="F41" s="372"/>
      <c r="G41" s="372"/>
      <c r="H41" s="190" t="s">
        <v>72</v>
      </c>
      <c r="I41" s="145"/>
      <c r="J41" s="132">
        <f>J40/G4</f>
        <v>61.088749999999997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+C42+'3'!D42</f>
        <v>0</v>
      </c>
      <c r="E42" s="146">
        <f t="shared" si="0"/>
        <v>0</v>
      </c>
      <c r="F42" s="372">
        <f>+(F38*480+F39*480+F40*480)/1440</f>
        <v>800</v>
      </c>
      <c r="G42" s="372">
        <f>+(G38*480+G39*480+G40*480)/1440</f>
        <v>688</v>
      </c>
      <c r="H42" s="190" t="s">
        <v>73</v>
      </c>
      <c r="I42" s="248" t="s">
        <v>433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>+C43+'3'!D43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+Report1!AH12</f>
        <v>147.404</v>
      </c>
      <c r="J43" s="136">
        <f>+I43+'3'!J43</f>
        <v>668.11199999999997</v>
      </c>
      <c r="K43" s="133" t="s">
        <v>66</v>
      </c>
      <c r="L43" s="441">
        <f>+Report1!AN12</f>
        <v>10.199999999999999</v>
      </c>
      <c r="M43" s="442">
        <f>+L43+'3'!M43</f>
        <v>62.5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+C44+'3'!D44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3.04170363797693</v>
      </c>
      <c r="J44" s="137">
        <f>J43/J38</f>
        <v>2.6206431266719488</v>
      </c>
      <c r="K44" s="133" t="s">
        <v>66</v>
      </c>
      <c r="L44" s="443">
        <f>+L43/I38</f>
        <v>0.2104785291265141</v>
      </c>
      <c r="M44" s="444">
        <f>+M43/J38</f>
        <v>0.24515379968777212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+C45+'3'!D45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3.4281594492767105</v>
      </c>
      <c r="J45" s="137">
        <f>J43/J40</f>
        <v>2.7341859180290968</v>
      </c>
      <c r="K45" s="133" t="s">
        <v>66</v>
      </c>
      <c r="L45" s="443">
        <f>+L43/I40</f>
        <v>0.23722033582957347</v>
      </c>
      <c r="M45" s="444">
        <f>+M43/J40</f>
        <v>0.25577540872910315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+C46+'3'!D46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+SUMIF(Listrik!AC11,"&gt;0")</f>
        <v>37811.290000000066</v>
      </c>
      <c r="J46" s="138">
        <f>+I46+'3'!J46</f>
        <v>144346.66000000044</v>
      </c>
      <c r="K46" s="133" t="s">
        <v>81</v>
      </c>
      <c r="L46" s="443">
        <f>+Listrik!AF11</f>
        <v>16754</v>
      </c>
      <c r="M46" s="445">
        <f>+L46+'3'!M46</f>
        <v>105124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+C47+'3'!D47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780.24163760549857</v>
      </c>
      <c r="J47" s="138">
        <f>J46/J38</f>
        <v>566.19411473982484</v>
      </c>
      <c r="K47" s="133" t="s">
        <v>25</v>
      </c>
      <c r="L47" s="439">
        <f>+L46/I38</f>
        <v>345.72130166525659</v>
      </c>
      <c r="M47" s="444">
        <f>+M46/J38</f>
        <v>412.34476861403772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+C48+'3'!D48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879.37322666170678</v>
      </c>
      <c r="J48" s="138">
        <f>J46/J40</f>
        <v>590.72521536289594</v>
      </c>
      <c r="K48" s="133" t="s">
        <v>25</v>
      </c>
      <c r="L48" s="443">
        <f>+L46/I38</f>
        <v>345.72130166525659</v>
      </c>
      <c r="M48" s="444">
        <f>+M46/J40</f>
        <v>430.21014507581185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+C49+'3'!D49</f>
        <v>0</v>
      </c>
      <c r="E49" s="146">
        <f t="shared" si="0"/>
        <v>0</v>
      </c>
      <c r="F49" s="188"/>
      <c r="H49" s="191" t="s">
        <v>170</v>
      </c>
      <c r="I49" s="121">
        <f>+Report1!AB12</f>
        <v>0</v>
      </c>
      <c r="J49" s="138">
        <f>+I49+'3'!J49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+C50+'3'!D50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+C51+'3'!D51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85</v>
      </c>
      <c r="D52" s="147">
        <f>SUM(D38:D51)</f>
        <v>212</v>
      </c>
      <c r="E52" s="148">
        <f>SUM(E38:E51)</f>
        <v>3.5333333333333337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5.9027777777777776E-2</v>
      </c>
      <c r="D53" s="149">
        <f>D52/(24*60*G4)</f>
        <v>3.6805555555555557E-2</v>
      </c>
      <c r="E53" s="150">
        <f>E52/(G4*24)</f>
        <v>3.6805555555555557E-2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+D34+'3'!J56</f>
        <v>3270</v>
      </c>
      <c r="K56" s="204">
        <f>J56/(J40+J56/1000)/1000</f>
        <v>1.3205451792024229E-2</v>
      </c>
    </row>
    <row r="57" spans="1:13">
      <c r="A57" s="179"/>
      <c r="I57" s="202" t="s">
        <v>92</v>
      </c>
      <c r="J57" s="203">
        <f>+E34+'3'!J57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R61"/>
  <sheetViews>
    <sheetView view="pageBreakPreview" topLeftCell="E1" zoomScale="80" zoomScaleNormal="75" zoomScaleSheetLayoutView="80" workbookViewId="0">
      <selection activeCell="Q19" sqref="Q19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7109375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3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377+366+362</f>
        <v>1105</v>
      </c>
    </row>
    <row r="7" spans="1:18" ht="13.5" customHeight="1" thickBot="1">
      <c r="A7" s="781" t="s">
        <v>461</v>
      </c>
      <c r="B7" s="218" t="s">
        <v>443</v>
      </c>
      <c r="C7" s="219">
        <f>8472+3790</f>
        <v>12262</v>
      </c>
      <c r="D7" s="220">
        <v>850</v>
      </c>
      <c r="E7" s="221"/>
      <c r="F7" s="231">
        <v>2</v>
      </c>
      <c r="G7" s="232" t="s">
        <v>13</v>
      </c>
      <c r="H7" s="233" t="s">
        <v>435</v>
      </c>
      <c r="I7" s="784" t="s">
        <v>433</v>
      </c>
      <c r="J7" s="217" t="str">
        <f>+'2'!J7</f>
        <v>TW 38 RC BR</v>
      </c>
      <c r="K7" s="241"/>
      <c r="L7" s="245"/>
      <c r="M7" s="120">
        <f>+K7+'2'!M7+L7</f>
        <v>53722</v>
      </c>
    </row>
    <row r="8" spans="1:18" ht="13.5" thickBot="1">
      <c r="A8" s="782"/>
      <c r="B8" s="218" t="s">
        <v>444</v>
      </c>
      <c r="C8" s="219">
        <f>3265+858</f>
        <v>4123</v>
      </c>
      <c r="D8" s="220"/>
      <c r="E8" s="222"/>
      <c r="F8" s="234">
        <v>4</v>
      </c>
      <c r="G8" s="585" t="s">
        <v>13</v>
      </c>
      <c r="H8" s="233" t="s">
        <v>434</v>
      </c>
      <c r="I8" s="785"/>
      <c r="J8" s="217" t="str">
        <f>+'2'!J8</f>
        <v>TW 36 RC BR</v>
      </c>
      <c r="K8" s="242"/>
      <c r="L8" s="242"/>
      <c r="M8" s="120">
        <f>+K8+'2'!M8+L8</f>
        <v>45750</v>
      </c>
      <c r="N8" s="152">
        <v>800</v>
      </c>
      <c r="O8" s="152">
        <f>+N8-N8*0.14</f>
        <v>688</v>
      </c>
      <c r="P8" s="152">
        <f>60+30</f>
        <v>90</v>
      </c>
      <c r="Q8" s="152">
        <f>+N8*P8</f>
        <v>72000</v>
      </c>
      <c r="R8" s="152">
        <f>+O8*P8</f>
        <v>61920</v>
      </c>
    </row>
    <row r="9" spans="1:18" ht="13.5" thickBot="1">
      <c r="A9" s="782"/>
      <c r="B9" s="218"/>
      <c r="C9" s="219"/>
      <c r="D9" s="220"/>
      <c r="E9" s="223"/>
      <c r="F9" s="231">
        <v>4</v>
      </c>
      <c r="G9" s="585" t="s">
        <v>13</v>
      </c>
      <c r="H9" s="236" t="s">
        <v>226</v>
      </c>
      <c r="I9" s="785"/>
      <c r="J9" s="217" t="str">
        <f>+'2'!J9</f>
        <v>TW 34 RC BR</v>
      </c>
      <c r="K9" s="242"/>
      <c r="L9" s="242"/>
      <c r="M9" s="120">
        <f>+K9+'2'!M9+L9</f>
        <v>19926</v>
      </c>
      <c r="N9" s="152">
        <v>800</v>
      </c>
      <c r="O9" s="152">
        <f>+N9-N9*0.14</f>
        <v>688</v>
      </c>
      <c r="P9" s="152">
        <f>30+360</f>
        <v>390</v>
      </c>
      <c r="Q9" s="152">
        <f>+N9*P9</f>
        <v>312000</v>
      </c>
      <c r="R9" s="152">
        <f>+O9*P9</f>
        <v>268320</v>
      </c>
    </row>
    <row r="10" spans="1:18" ht="13.5" thickBot="1">
      <c r="A10" s="782"/>
      <c r="B10" s="218"/>
      <c r="C10" s="219"/>
      <c r="D10" s="220"/>
      <c r="E10" s="222"/>
      <c r="F10" s="231"/>
      <c r="G10" s="585"/>
      <c r="H10" s="236" t="s">
        <v>439</v>
      </c>
      <c r="I10" s="785"/>
      <c r="J10" s="217" t="str">
        <f>+'2'!J10</f>
        <v>TW 30 RC BR</v>
      </c>
      <c r="K10" s="242"/>
      <c r="L10" s="242"/>
      <c r="M10" s="120">
        <f>+K10+'2'!M10+L10</f>
        <v>11017</v>
      </c>
      <c r="P10" s="152">
        <f>SUM(P8:P9)</f>
        <v>480</v>
      </c>
      <c r="Q10" s="152">
        <f>SUM(Q8:Q9)</f>
        <v>384000</v>
      </c>
      <c r="R10" s="152">
        <f>SUM(R8:R9)</f>
        <v>330240</v>
      </c>
    </row>
    <row r="11" spans="1:18" ht="13.5" thickBot="1">
      <c r="A11" s="782"/>
      <c r="B11" s="218"/>
      <c r="C11" s="219"/>
      <c r="D11" s="220"/>
      <c r="E11" s="222"/>
      <c r="F11" s="231"/>
      <c r="G11" s="585"/>
      <c r="H11" s="236" t="s">
        <v>428</v>
      </c>
      <c r="I11" s="785"/>
      <c r="J11" s="217" t="str">
        <f>+'2'!J11</f>
        <v>TW 20 RC BR</v>
      </c>
      <c r="K11" s="242"/>
      <c r="L11" s="242"/>
      <c r="M11" s="120">
        <f>+K11+'2'!M11+L11</f>
        <v>13885</v>
      </c>
      <c r="Q11" s="152">
        <f>+Q10/P10</f>
        <v>800</v>
      </c>
      <c r="R11" s="152">
        <f>+R10/P10</f>
        <v>688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597" t="s">
        <v>429</v>
      </c>
      <c r="I12" s="785"/>
      <c r="J12" s="217" t="str">
        <f>+'2'!J12</f>
        <v>N 20 RC BR</v>
      </c>
      <c r="K12" s="242">
        <f>+C7</f>
        <v>12262</v>
      </c>
      <c r="L12" s="242"/>
      <c r="M12" s="120">
        <f>+K12+'2'!M12+L12</f>
        <v>16183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 t="s">
        <v>444</v>
      </c>
      <c r="K13" s="242">
        <f>+C8+C16+C25</f>
        <v>40874</v>
      </c>
      <c r="L13" s="242"/>
      <c r="M13" s="120">
        <f>+K13+'2'!M13+L13</f>
        <v>40874</v>
      </c>
    </row>
    <row r="14" spans="1:18" ht="13.5" thickBot="1">
      <c r="A14" s="783"/>
      <c r="B14" s="168" t="s">
        <v>3</v>
      </c>
      <c r="C14" s="102">
        <f>SUM(C7:C13)</f>
        <v>16385</v>
      </c>
      <c r="D14" s="114">
        <f>SUM(D7:D13)</f>
        <v>850</v>
      </c>
      <c r="E14" s="115">
        <f>SUM(E5:E13)</f>
        <v>0</v>
      </c>
      <c r="F14" s="119">
        <f>SUM(F7:F13)</f>
        <v>10</v>
      </c>
      <c r="G14" s="162"/>
      <c r="H14" s="169"/>
      <c r="I14" s="170"/>
      <c r="J14" s="217">
        <f>+'2'!J14</f>
        <v>0</v>
      </c>
      <c r="K14" s="242"/>
      <c r="L14" s="242"/>
      <c r="M14" s="120">
        <f>+K14+'2'!M14+L14</f>
        <v>0</v>
      </c>
    </row>
    <row r="15" spans="1:18" ht="13.5" customHeight="1" thickBot="1">
      <c r="A15" s="781" t="s">
        <v>410</v>
      </c>
      <c r="B15" s="168"/>
      <c r="C15" s="116">
        <f>C14/($C$23+$D$23+$E$23)</f>
        <v>0.89594269466316712</v>
      </c>
      <c r="D15" s="117">
        <f>D14/($C$23+$D$23+$E$23)</f>
        <v>4.6478565179352581E-2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433</v>
      </c>
      <c r="J15" s="217">
        <f>+'2'!J15</f>
        <v>0</v>
      </c>
      <c r="K15" s="242"/>
      <c r="L15" s="242"/>
      <c r="M15" s="120">
        <f>+K15+'2'!M15+L15</f>
        <v>0</v>
      </c>
    </row>
    <row r="16" spans="1:18" ht="13.5" thickBot="1">
      <c r="A16" s="787"/>
      <c r="B16" s="218" t="s">
        <v>444</v>
      </c>
      <c r="C16" s="225">
        <v>18138</v>
      </c>
      <c r="D16" s="226">
        <v>150</v>
      </c>
      <c r="E16" s="227"/>
      <c r="F16" s="234">
        <v>4</v>
      </c>
      <c r="G16" s="585" t="s">
        <v>13</v>
      </c>
      <c r="H16" s="233" t="s">
        <v>434</v>
      </c>
      <c r="I16" s="785"/>
      <c r="J16" s="217">
        <f>+'2'!J16</f>
        <v>0</v>
      </c>
      <c r="K16" s="232"/>
      <c r="L16" s="232"/>
      <c r="M16" s="120">
        <f>+K16+'2'!M16+L16</f>
        <v>0</v>
      </c>
    </row>
    <row r="17" spans="1:14" ht="13.5" thickBot="1">
      <c r="A17" s="787"/>
      <c r="B17" s="218"/>
      <c r="C17" s="219"/>
      <c r="D17" s="220"/>
      <c r="E17" s="228"/>
      <c r="F17" s="231">
        <v>3</v>
      </c>
      <c r="G17" s="585" t="s">
        <v>13</v>
      </c>
      <c r="H17" s="236" t="s">
        <v>226</v>
      </c>
      <c r="I17" s="785"/>
      <c r="J17" s="217">
        <f>+'2'!J17</f>
        <v>0</v>
      </c>
      <c r="K17" s="232"/>
      <c r="L17" s="232"/>
      <c r="M17" s="120">
        <f>+K17+'2'!M17+L17</f>
        <v>0</v>
      </c>
    </row>
    <row r="18" spans="1:14" ht="13.5" thickBot="1">
      <c r="A18" s="787"/>
      <c r="B18" s="218"/>
      <c r="C18" s="219"/>
      <c r="D18" s="220"/>
      <c r="E18" s="228"/>
      <c r="F18" s="231"/>
      <c r="G18" s="585"/>
      <c r="H18" s="236" t="s">
        <v>430</v>
      </c>
      <c r="I18" s="785"/>
      <c r="J18" s="217">
        <f>+'2'!J18</f>
        <v>0</v>
      </c>
      <c r="K18" s="242"/>
      <c r="L18" s="242"/>
      <c r="M18" s="120">
        <f>+K18+'2'!M18+L18</f>
        <v>0</v>
      </c>
    </row>
    <row r="19" spans="1:14" ht="13.5" thickBot="1">
      <c r="A19" s="787"/>
      <c r="B19" s="218"/>
      <c r="C19" s="219"/>
      <c r="D19" s="220"/>
      <c r="E19" s="228"/>
      <c r="F19" s="238"/>
      <c r="G19" s="585"/>
      <c r="H19" s="236"/>
      <c r="I19" s="785"/>
      <c r="J19" s="217">
        <f>+'2'!J19</f>
        <v>0</v>
      </c>
      <c r="K19" s="242"/>
      <c r="L19" s="242"/>
      <c r="M19" s="120">
        <f>+K19+'2'!M19+L19</f>
        <v>0</v>
      </c>
    </row>
    <row r="20" spans="1:14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17">
        <f>+'2'!J20</f>
        <v>0</v>
      </c>
      <c r="K20" s="243"/>
      <c r="L20" s="243"/>
      <c r="M20" s="120">
        <f>+K20+'2'!M20+L20</f>
        <v>0</v>
      </c>
    </row>
    <row r="21" spans="1:14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17">
        <f>+'2'!J21</f>
        <v>0</v>
      </c>
      <c r="K21" s="242"/>
      <c r="L21" s="242"/>
      <c r="M21" s="120">
        <f>+K21+'2'!M21+L21</f>
        <v>0</v>
      </c>
    </row>
    <row r="22" spans="1:14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+'2'!J22</f>
        <v>0</v>
      </c>
      <c r="K22" s="242"/>
      <c r="L22" s="242"/>
      <c r="M22" s="120">
        <f>+K22+'2'!M22+L22</f>
        <v>0</v>
      </c>
    </row>
    <row r="23" spans="1:14" ht="13.5" thickBot="1">
      <c r="A23" s="788"/>
      <c r="B23" s="168" t="s">
        <v>3</v>
      </c>
      <c r="C23" s="103">
        <f>SUM(C16:C22)</f>
        <v>18138</v>
      </c>
      <c r="D23" s="114">
        <f>SUM(D16:D22)</f>
        <v>150</v>
      </c>
      <c r="E23" s="115">
        <f>SUM(E18:E22)</f>
        <v>0</v>
      </c>
      <c r="F23" s="119">
        <f>SUM(F15:F22)</f>
        <v>7</v>
      </c>
      <c r="G23" s="162"/>
      <c r="H23" s="169"/>
      <c r="I23" s="172"/>
      <c r="J23" s="217">
        <f>+'2'!J23</f>
        <v>0</v>
      </c>
      <c r="K23" s="242"/>
      <c r="L23" s="242"/>
      <c r="M23" s="120">
        <f>+K23+'2'!M23+L23</f>
        <v>0</v>
      </c>
    </row>
    <row r="24" spans="1:14" ht="13.5" customHeight="1" thickBot="1">
      <c r="A24" s="781" t="s">
        <v>408</v>
      </c>
      <c r="B24" s="173"/>
      <c r="C24" s="116">
        <f>C23/($C$23+$D$23+$E$23)</f>
        <v>0.99179790026246717</v>
      </c>
      <c r="D24" s="117">
        <f>D23/($C$23+$D$23+$E$23)</f>
        <v>8.2020997375328083E-3</v>
      </c>
      <c r="E24" s="118">
        <f>E23/($C$23+$D$23+$E$23)</f>
        <v>0</v>
      </c>
      <c r="F24" s="231">
        <v>1</v>
      </c>
      <c r="G24" s="232" t="s">
        <v>13</v>
      </c>
      <c r="H24" s="233" t="s">
        <v>435</v>
      </c>
      <c r="I24" s="784" t="s">
        <v>433</v>
      </c>
      <c r="J24" s="217">
        <f>+'2'!J24</f>
        <v>0</v>
      </c>
      <c r="K24" s="242"/>
      <c r="L24" s="242"/>
      <c r="M24" s="120">
        <f>+K24+'2'!M24+L24</f>
        <v>0</v>
      </c>
    </row>
    <row r="25" spans="1:14" ht="13.5" thickBot="1">
      <c r="A25" s="787"/>
      <c r="B25" s="218" t="s">
        <v>444</v>
      </c>
      <c r="C25" s="229">
        <v>18613</v>
      </c>
      <c r="D25" s="220"/>
      <c r="E25" s="228"/>
      <c r="F25" s="234">
        <v>3</v>
      </c>
      <c r="G25" s="585" t="s">
        <v>13</v>
      </c>
      <c r="H25" s="233" t="s">
        <v>434</v>
      </c>
      <c r="I25" s="785"/>
      <c r="J25" s="217">
        <f>+'2'!J25</f>
        <v>0</v>
      </c>
      <c r="K25" s="242"/>
      <c r="L25" s="242"/>
      <c r="M25" s="120">
        <f>+K25+'2'!M25+L25</f>
        <v>0</v>
      </c>
    </row>
    <row r="26" spans="1:14" ht="13.5" thickBot="1">
      <c r="A26" s="787"/>
      <c r="B26" s="218"/>
      <c r="C26" s="229"/>
      <c r="D26" s="220"/>
      <c r="E26" s="230"/>
      <c r="F26" s="231">
        <v>3</v>
      </c>
      <c r="G26" s="585" t="s">
        <v>13</v>
      </c>
      <c r="H26" s="236" t="s">
        <v>226</v>
      </c>
      <c r="I26" s="785"/>
      <c r="J26" s="217">
        <f>+'2'!J26</f>
        <v>0</v>
      </c>
      <c r="K26" s="242"/>
      <c r="L26" s="242"/>
      <c r="M26" s="120">
        <f>+K26+'2'!M26+L26</f>
        <v>0</v>
      </c>
    </row>
    <row r="27" spans="1:14" ht="13.5" thickBot="1">
      <c r="A27" s="787"/>
      <c r="B27" s="218"/>
      <c r="C27" s="219"/>
      <c r="D27" s="220"/>
      <c r="E27" s="228"/>
      <c r="F27" s="231"/>
      <c r="G27" s="585"/>
      <c r="H27" s="236" t="s">
        <v>431</v>
      </c>
      <c r="I27" s="785"/>
      <c r="J27" s="217">
        <f>+'2'!J27</f>
        <v>0</v>
      </c>
      <c r="K27" s="242"/>
      <c r="L27" s="242"/>
      <c r="M27" s="120">
        <f>+K27+'2'!M27+L27</f>
        <v>0</v>
      </c>
    </row>
    <row r="28" spans="1:14" ht="13.5" thickBot="1">
      <c r="A28" s="787"/>
      <c r="B28" s="218"/>
      <c r="C28" s="219"/>
      <c r="D28" s="220"/>
      <c r="E28" s="228"/>
      <c r="F28" s="234"/>
      <c r="G28" s="585"/>
      <c r="H28" s="236"/>
      <c r="I28" s="785"/>
      <c r="J28" s="217">
        <f>+'2'!J28</f>
        <v>0</v>
      </c>
      <c r="K28" s="242"/>
      <c r="L28" s="242"/>
      <c r="M28" s="120">
        <f>+K28+'2'!M28+L28</f>
        <v>0</v>
      </c>
    </row>
    <row r="29" spans="1:14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17">
        <f>+'2'!J29</f>
        <v>0</v>
      </c>
      <c r="K29" s="242"/>
      <c r="L29" s="242"/>
      <c r="M29" s="120">
        <f>+K29+'2'!M29+L29</f>
        <v>0</v>
      </c>
    </row>
    <row r="30" spans="1:14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+'2'!J30</f>
        <v>0</v>
      </c>
      <c r="K30" s="242"/>
      <c r="L30" s="242"/>
      <c r="M30" s="120">
        <f>+K30+'2'!M30+L30</f>
        <v>0</v>
      </c>
      <c r="N30" s="158"/>
    </row>
    <row r="31" spans="1:14" ht="13.5" thickBot="1">
      <c r="A31" s="787"/>
      <c r="B31" s="218"/>
      <c r="C31" s="229"/>
      <c r="D31" s="220"/>
      <c r="E31" s="228"/>
      <c r="F31" s="239"/>
      <c r="G31" s="240"/>
      <c r="H31" s="592"/>
      <c r="I31" s="786"/>
      <c r="J31" s="217">
        <f>+'2'!J31</f>
        <v>0</v>
      </c>
      <c r="K31" s="242"/>
      <c r="L31" s="242"/>
      <c r="M31" s="120">
        <f>+K31+'2'!M31+L31</f>
        <v>0</v>
      </c>
    </row>
    <row r="32" spans="1:14" ht="13.5" thickBot="1">
      <c r="A32" s="788"/>
      <c r="B32" s="168" t="s">
        <v>3</v>
      </c>
      <c r="C32" s="102">
        <f>SUM(C25:C31)</f>
        <v>18613</v>
      </c>
      <c r="D32" s="103">
        <f>SUM(D25:D31)</f>
        <v>0</v>
      </c>
      <c r="E32" s="104">
        <f>SUM(E25:E31)</f>
        <v>0</v>
      </c>
      <c r="F32" s="105">
        <f>SUM(F24:F31)</f>
        <v>7</v>
      </c>
      <c r="G32" s="174"/>
      <c r="H32" s="175"/>
      <c r="I32" s="172"/>
      <c r="J32" s="217">
        <f>+'2'!J32</f>
        <v>0</v>
      </c>
      <c r="K32" s="244"/>
      <c r="L32" s="246"/>
      <c r="M32" s="120">
        <f>+K32+'2'!M32+L32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53136</v>
      </c>
      <c r="D34" s="110">
        <f>D14+D23+D32</f>
        <v>1000</v>
      </c>
      <c r="E34" s="110">
        <f>E14+E23+E32</f>
        <v>0</v>
      </c>
      <c r="F34" s="111">
        <f>F14+F23+F32</f>
        <v>24</v>
      </c>
      <c r="H34" s="181"/>
      <c r="I34" s="181"/>
      <c r="J34" s="126" t="s">
        <v>29</v>
      </c>
      <c r="K34" s="127">
        <f>SUM(K7:K32)</f>
        <v>53136</v>
      </c>
      <c r="L34" s="215">
        <f>SUM(L7:L32)</f>
        <v>0</v>
      </c>
      <c r="M34" s="123">
        <f>SUM(M7:M32)</f>
        <v>201357</v>
      </c>
      <c r="N34" s="158"/>
    </row>
    <row r="35" spans="1:14" ht="13.5" thickBot="1">
      <c r="A35" s="182"/>
      <c r="B35" s="183"/>
      <c r="C35" s="107">
        <f>C34/($C$34+$D$34+$E$34)</f>
        <v>0.98152800354662328</v>
      </c>
      <c r="D35" s="107">
        <f>D34/($C$34+$D$34+$E$34)</f>
        <v>1.8471996453376681E-2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(20*90+17.5*1350)/1440*G42*3.4*1440/1000000</f>
        <v>59.474159999999998</v>
      </c>
      <c r="J37" s="128">
        <f>+I37+'2'!J37</f>
        <v>207.44321382633092</v>
      </c>
      <c r="K37" s="129" t="s">
        <v>66</v>
      </c>
      <c r="L37" s="437"/>
      <c r="M37" s="438"/>
      <c r="N37" s="152">
        <f>2.347+2.347</f>
        <v>4.694</v>
      </c>
    </row>
    <row r="38" spans="1:14" ht="17.45" customHeight="1">
      <c r="A38" s="797" t="s">
        <v>13</v>
      </c>
      <c r="B38" s="798"/>
      <c r="C38" s="167">
        <f>SUMIF($G$7:$G$31,"Process",$F$7:$F$31)</f>
        <v>24</v>
      </c>
      <c r="D38" s="121">
        <f>+C38+'2'!D38</f>
        <v>77</v>
      </c>
      <c r="E38" s="146">
        <f t="shared" ref="E38:E51" si="0">D38/60</f>
        <v>1.2833333333333334</v>
      </c>
      <c r="F38" s="372">
        <v>800</v>
      </c>
      <c r="G38" s="372">
        <v>688</v>
      </c>
      <c r="H38" s="190" t="s">
        <v>67</v>
      </c>
      <c r="I38" s="562">
        <f>18.82+17.864+17.527</f>
        <v>54.210999999999999</v>
      </c>
      <c r="J38" s="130">
        <f>+I38+'2'!J38</f>
        <v>206.48099999999999</v>
      </c>
      <c r="K38" s="131" t="s">
        <v>66</v>
      </c>
      <c r="L38" s="439"/>
      <c r="M38" s="440"/>
      <c r="N38" s="563">
        <f>+I38-N37</f>
        <v>49.516999999999996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+C39+'2'!D39</f>
        <v>0</v>
      </c>
      <c r="E39" s="146">
        <f t="shared" si="0"/>
        <v>0</v>
      </c>
      <c r="F39" s="372">
        <v>800</v>
      </c>
      <c r="G39" s="372">
        <v>688</v>
      </c>
      <c r="H39" s="190" t="s">
        <v>68</v>
      </c>
      <c r="I39" s="145"/>
      <c r="J39" s="132">
        <f>J37/G4</f>
        <v>69.147737942110311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+C40+'2'!D40</f>
        <v>0</v>
      </c>
      <c r="E40" s="146">
        <f t="shared" si="0"/>
        <v>0</v>
      </c>
      <c r="F40" s="372">
        <v>800</v>
      </c>
      <c r="G40" s="372">
        <v>688</v>
      </c>
      <c r="H40" s="190" t="s">
        <v>70</v>
      </c>
      <c r="I40" s="121">
        <f>(K34+L34)/1000</f>
        <v>53.136000000000003</v>
      </c>
      <c r="J40" s="134">
        <f>+I40+'2'!J40</f>
        <v>201.357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>+C41+'2'!D41</f>
        <v>50</v>
      </c>
      <c r="E41" s="146">
        <f t="shared" si="0"/>
        <v>0.83333333333333337</v>
      </c>
      <c r="F41" s="372"/>
      <c r="G41" s="372"/>
      <c r="H41" s="190" t="s">
        <v>72</v>
      </c>
      <c r="I41" s="145"/>
      <c r="J41" s="132">
        <f>J40/G4</f>
        <v>67.119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+C42+'2'!D42</f>
        <v>0</v>
      </c>
      <c r="E42" s="146">
        <f t="shared" si="0"/>
        <v>0</v>
      </c>
      <c r="F42" s="372">
        <f>+(F38*480+F39*480+F40*480)/1440</f>
        <v>800</v>
      </c>
      <c r="G42" s="372">
        <f>+(G38*480+G39*480+G40*480)/1440</f>
        <v>688</v>
      </c>
      <c r="H42" s="190" t="s">
        <v>73</v>
      </c>
      <c r="I42" s="248" t="s">
        <v>433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>+C43+'2'!D43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+Report1!AH11</f>
        <v>153.78700000000001</v>
      </c>
      <c r="J43" s="136">
        <f>+I43+'2'!J43</f>
        <v>520.70799999999997</v>
      </c>
      <c r="K43" s="133" t="s">
        <v>66</v>
      </c>
      <c r="L43" s="441">
        <f>+Report1!AN11</f>
        <v>15.2</v>
      </c>
      <c r="M43" s="442">
        <f>+L43+'2'!M43</f>
        <v>52.3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+C44+'2'!D44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2.8368227850436258</v>
      </c>
      <c r="J44" s="137">
        <f>J43/J38</f>
        <v>2.5218204096260672</v>
      </c>
      <c r="K44" s="133" t="s">
        <v>66</v>
      </c>
      <c r="L44" s="443">
        <f>+L43/I38</f>
        <v>0.2803858995406836</v>
      </c>
      <c r="M44" s="444">
        <f>+M43/J38</f>
        <v>0.25329207045684587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+C45+'2'!D45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2.894214844926227</v>
      </c>
      <c r="J45" s="137">
        <f>J43/J40</f>
        <v>2.5859940305030369</v>
      </c>
      <c r="K45" s="133" t="s">
        <v>66</v>
      </c>
      <c r="L45" s="443">
        <f>+L43/I40</f>
        <v>0.28605841613971694</v>
      </c>
      <c r="M45" s="444">
        <f>+M43/J40</f>
        <v>0.2597376798422702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+C46+'2'!D46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+SUMIF(Listrik!AC10,"&gt;0")</f>
        <v>36005.949999999728</v>
      </c>
      <c r="J46" s="138">
        <f>+I46+'2'!J46</f>
        <v>106535.37000000037</v>
      </c>
      <c r="K46" s="133" t="s">
        <v>81</v>
      </c>
      <c r="L46" s="443">
        <f>+Listrik!AF10</f>
        <v>25392</v>
      </c>
      <c r="M46" s="445">
        <f>+L46+'2'!M46</f>
        <v>88370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+C47+'2'!D47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664.18162365571061</v>
      </c>
      <c r="J47" s="138">
        <f>J46/J38</f>
        <v>515.95725514696448</v>
      </c>
      <c r="K47" s="133" t="s">
        <v>25</v>
      </c>
      <c r="L47" s="439">
        <f>+L46/I38</f>
        <v>468.39202375901573</v>
      </c>
      <c r="M47" s="444">
        <f>+M46/J38</f>
        <v>427.98126704151957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+C48+'2'!D48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677.61875188195813</v>
      </c>
      <c r="J48" s="138">
        <f>J46/J40</f>
        <v>529.08699474068635</v>
      </c>
      <c r="K48" s="133" t="s">
        <v>25</v>
      </c>
      <c r="L48" s="443">
        <f>+L46/I38</f>
        <v>468.39202375901573</v>
      </c>
      <c r="M48" s="444">
        <f>+M46/J40</f>
        <v>438.87225177172883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+C49+'2'!D49</f>
        <v>0</v>
      </c>
      <c r="E49" s="146">
        <f t="shared" si="0"/>
        <v>0</v>
      </c>
      <c r="F49" s="188"/>
      <c r="H49" s="191" t="s">
        <v>170</v>
      </c>
      <c r="I49" s="121">
        <f>+Report1!AB11</f>
        <v>0</v>
      </c>
      <c r="J49" s="138">
        <f>+I49+'2'!J49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+C50+'2'!D50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+C51+'2'!D51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24</v>
      </c>
      <c r="D52" s="147">
        <f>SUM(D38:D51)</f>
        <v>127</v>
      </c>
      <c r="E52" s="148">
        <f>SUM(E38:E51)</f>
        <v>2.1166666666666667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1.6666666666666666E-2</v>
      </c>
      <c r="D53" s="149">
        <f>D52/(24*60*G4)</f>
        <v>2.9398148148148149E-2</v>
      </c>
      <c r="E53" s="150">
        <f>E52/(G4*24)</f>
        <v>2.9398148148148149E-2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+D34+'2'!J56</f>
        <v>2420</v>
      </c>
      <c r="K56" s="204">
        <f>J56/(J40+J56/1000)/1000</f>
        <v>1.1875726897539959E-2</v>
      </c>
    </row>
    <row r="57" spans="1:13">
      <c r="A57" s="179"/>
      <c r="I57" s="202" t="s">
        <v>92</v>
      </c>
      <c r="J57" s="203">
        <f>+E34+'2'!J57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R61"/>
  <sheetViews>
    <sheetView view="pageBreakPreview" topLeftCell="E16" zoomScale="80" zoomScaleNormal="75" zoomScaleSheetLayoutView="80" workbookViewId="0">
      <selection activeCell="I43" sqref="I43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4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7109375" style="152" bestFit="1" customWidth="1"/>
    <col min="12" max="12" width="11.5703125" style="152" customWidth="1"/>
    <col min="13" max="13" width="14.42578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2</v>
      </c>
      <c r="H4" s="157" t="str">
        <f>+'1'!H4</f>
        <v>.06.24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388+373+394</f>
        <v>1155</v>
      </c>
    </row>
    <row r="7" spans="1:18" ht="13.5" customHeight="1" thickBot="1">
      <c r="A7" s="781" t="s">
        <v>409</v>
      </c>
      <c r="B7" s="218" t="s">
        <v>417</v>
      </c>
      <c r="C7" s="219">
        <f>13771+5532</f>
        <v>19303</v>
      </c>
      <c r="D7" s="220"/>
      <c r="E7" s="221"/>
      <c r="F7" s="231">
        <v>0</v>
      </c>
      <c r="G7" s="232" t="s">
        <v>13</v>
      </c>
      <c r="H7" s="233" t="s">
        <v>391</v>
      </c>
      <c r="I7" s="784" t="s">
        <v>655</v>
      </c>
      <c r="J7" s="217" t="str">
        <f>+'1'!J7</f>
        <v>TW 38 RC BR</v>
      </c>
      <c r="K7" s="241"/>
      <c r="L7" s="245"/>
      <c r="M7" s="120">
        <f>+K7+'1'!M7+L7</f>
        <v>53722</v>
      </c>
    </row>
    <row r="8" spans="1:18" ht="13.5" thickBot="1">
      <c r="A8" s="782"/>
      <c r="B8" s="218" t="s">
        <v>440</v>
      </c>
      <c r="C8" s="219">
        <v>7005</v>
      </c>
      <c r="D8" s="220"/>
      <c r="E8" s="222"/>
      <c r="F8" s="234">
        <v>2</v>
      </c>
      <c r="G8" s="585" t="s">
        <v>13</v>
      </c>
      <c r="H8" s="233" t="s">
        <v>434</v>
      </c>
      <c r="I8" s="785"/>
      <c r="J8" s="217" t="str">
        <f>+'1'!J8</f>
        <v>TW 36 RC BR</v>
      </c>
      <c r="K8" s="242">
        <f>+C7</f>
        <v>19303</v>
      </c>
      <c r="L8" s="242"/>
      <c r="M8" s="120">
        <f>+K8+'1'!M8+L8</f>
        <v>45750</v>
      </c>
      <c r="N8" s="152">
        <v>455</v>
      </c>
      <c r="O8" s="152">
        <f>+N8-N8*0.12</f>
        <v>400.4</v>
      </c>
      <c r="P8" s="152">
        <f>180+20</f>
        <v>200</v>
      </c>
      <c r="Q8" s="152">
        <f>+N8*P8</f>
        <v>91000</v>
      </c>
      <c r="R8" s="152">
        <f>+O8*P8</f>
        <v>80080</v>
      </c>
    </row>
    <row r="9" spans="1:18" ht="13.5" thickBot="1">
      <c r="A9" s="782"/>
      <c r="B9" s="218"/>
      <c r="C9" s="219"/>
      <c r="D9" s="220"/>
      <c r="E9" s="223"/>
      <c r="F9" s="231">
        <v>1</v>
      </c>
      <c r="G9" s="585" t="s">
        <v>13</v>
      </c>
      <c r="H9" s="236" t="s">
        <v>226</v>
      </c>
      <c r="I9" s="785"/>
      <c r="J9" s="217" t="s">
        <v>440</v>
      </c>
      <c r="K9" s="242">
        <f>+C8+C16</f>
        <v>19926</v>
      </c>
      <c r="L9" s="242"/>
      <c r="M9" s="120">
        <f>+K9+'1'!M9+L9</f>
        <v>19926</v>
      </c>
      <c r="N9" s="152">
        <v>480</v>
      </c>
      <c r="O9" s="152">
        <f>+N9-N9*0.12</f>
        <v>422.4</v>
      </c>
      <c r="P9" s="152">
        <v>280</v>
      </c>
      <c r="Q9" s="152">
        <f>+N9*P9</f>
        <v>134400</v>
      </c>
      <c r="R9" s="152">
        <f>+O9*P9</f>
        <v>118272</v>
      </c>
    </row>
    <row r="10" spans="1:18" ht="13.5" thickBot="1">
      <c r="A10" s="782"/>
      <c r="B10" s="218"/>
      <c r="C10" s="219"/>
      <c r="D10" s="220"/>
      <c r="E10" s="222"/>
      <c r="F10" s="231"/>
      <c r="G10" s="585"/>
      <c r="H10" s="236" t="s">
        <v>649</v>
      </c>
      <c r="I10" s="785"/>
      <c r="J10" s="217" t="s">
        <v>441</v>
      </c>
      <c r="K10" s="242">
        <f>+C17</f>
        <v>11017</v>
      </c>
      <c r="L10" s="242"/>
      <c r="M10" s="120">
        <f>+K10+'1'!M10+L10</f>
        <v>11017</v>
      </c>
      <c r="P10" s="152">
        <f>SUM(P8:P9)</f>
        <v>480</v>
      </c>
      <c r="Q10" s="152">
        <f>SUM(Q8:Q9)</f>
        <v>225400</v>
      </c>
      <c r="R10" s="152">
        <f>SUM(R8:R9)</f>
        <v>198352</v>
      </c>
    </row>
    <row r="11" spans="1:18" ht="13.5" thickBot="1">
      <c r="A11" s="782"/>
      <c r="B11" s="218"/>
      <c r="C11" s="219"/>
      <c r="D11" s="220"/>
      <c r="E11" s="222"/>
      <c r="F11" s="231">
        <v>2</v>
      </c>
      <c r="G11" s="585" t="s">
        <v>13</v>
      </c>
      <c r="H11" s="236" t="s">
        <v>652</v>
      </c>
      <c r="I11" s="785"/>
      <c r="J11" s="217" t="s">
        <v>442</v>
      </c>
      <c r="K11" s="242">
        <f>+C18+C25</f>
        <v>13885</v>
      </c>
      <c r="L11" s="242"/>
      <c r="M11" s="120">
        <f>+K11+'1'!M11+L11</f>
        <v>13885</v>
      </c>
      <c r="Q11" s="152">
        <f>+Q10/P10</f>
        <v>469.58333333333331</v>
      </c>
      <c r="R11" s="152">
        <f>+R10/P10</f>
        <v>413.23333333333335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17" t="s">
        <v>443</v>
      </c>
      <c r="K12" s="242">
        <f>+C26</f>
        <v>3921</v>
      </c>
      <c r="L12" s="242"/>
      <c r="M12" s="120">
        <f>+K12+'1'!M12+L12</f>
        <v>3921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17">
        <f>+'1'!J13</f>
        <v>0</v>
      </c>
      <c r="K13" s="242"/>
      <c r="L13" s="242"/>
      <c r="M13" s="120">
        <f>+K13+'1'!M13+L13</f>
        <v>0</v>
      </c>
    </row>
    <row r="14" spans="1:18" ht="13.5" thickBot="1">
      <c r="A14" s="783"/>
      <c r="B14" s="168" t="s">
        <v>3</v>
      </c>
      <c r="C14" s="102">
        <f>SUM(C7:C13)</f>
        <v>26308</v>
      </c>
      <c r="D14" s="114">
        <f>SUM(D7:D13)</f>
        <v>0</v>
      </c>
      <c r="E14" s="115">
        <f>SUM(E5:E13)</f>
        <v>0</v>
      </c>
      <c r="F14" s="119">
        <f>SUM(F7:F13)</f>
        <v>5</v>
      </c>
      <c r="G14" s="162"/>
      <c r="H14" s="169"/>
      <c r="I14" s="170"/>
      <c r="J14" s="217">
        <f>+'1'!J14</f>
        <v>0</v>
      </c>
      <c r="K14" s="242"/>
      <c r="L14" s="242"/>
      <c r="M14" s="120">
        <f>+K14+'1'!M14+L14</f>
        <v>0</v>
      </c>
    </row>
    <row r="15" spans="1:18" ht="13.5" customHeight="1" thickBot="1">
      <c r="A15" s="781" t="s">
        <v>410</v>
      </c>
      <c r="B15" s="168"/>
      <c r="C15" s="116">
        <f>C14/($C$23+$D$23+$E$23)</f>
        <v>1.0196108828772963</v>
      </c>
      <c r="D15" s="117">
        <f>D14/($C$23+$D$23+$E$23)</f>
        <v>0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656</v>
      </c>
      <c r="J15" s="217">
        <f>+'1'!J15</f>
        <v>0</v>
      </c>
      <c r="K15" s="242"/>
      <c r="L15" s="242"/>
      <c r="M15" s="120">
        <f>+K15+'1'!M15+L15</f>
        <v>0</v>
      </c>
    </row>
    <row r="16" spans="1:18" ht="13.5" thickBot="1">
      <c r="A16" s="787"/>
      <c r="B16" s="218" t="s">
        <v>440</v>
      </c>
      <c r="C16" s="225">
        <v>12921</v>
      </c>
      <c r="D16" s="226"/>
      <c r="E16" s="227"/>
      <c r="F16" s="234">
        <v>3</v>
      </c>
      <c r="G16" s="585" t="s">
        <v>13</v>
      </c>
      <c r="H16" s="233" t="s">
        <v>389</v>
      </c>
      <c r="I16" s="785"/>
      <c r="J16" s="217">
        <f>+'1'!J16</f>
        <v>0</v>
      </c>
      <c r="K16" s="242"/>
      <c r="L16" s="232"/>
      <c r="M16" s="120">
        <f>+K16+'1'!M16+L16</f>
        <v>0</v>
      </c>
      <c r="N16" s="152">
        <v>480</v>
      </c>
      <c r="O16" s="152">
        <f>+N16-N16*0.12</f>
        <v>422.4</v>
      </c>
      <c r="P16" s="152">
        <f>60+5</f>
        <v>65</v>
      </c>
      <c r="Q16" s="152">
        <f>+N16*P16</f>
        <v>31200</v>
      </c>
      <c r="R16" s="152">
        <f>+O16*P16</f>
        <v>27456</v>
      </c>
    </row>
    <row r="17" spans="1:18" ht="13.5" thickBot="1">
      <c r="A17" s="787"/>
      <c r="B17" s="218" t="s">
        <v>441</v>
      </c>
      <c r="C17" s="219">
        <f>2215+8802</f>
        <v>11017</v>
      </c>
      <c r="D17" s="220"/>
      <c r="E17" s="228"/>
      <c r="F17" s="231"/>
      <c r="G17" s="585" t="s">
        <v>13</v>
      </c>
      <c r="H17" s="236" t="s">
        <v>226</v>
      </c>
      <c r="I17" s="785"/>
      <c r="J17" s="217">
        <f>+'1'!J17</f>
        <v>0</v>
      </c>
      <c r="K17" s="232"/>
      <c r="L17" s="232"/>
      <c r="M17" s="120">
        <f>+K17+'1'!M17+L17</f>
        <v>0</v>
      </c>
      <c r="N17" s="152">
        <v>545</v>
      </c>
      <c r="O17" s="152">
        <f>+N17-N17*0.12</f>
        <v>479.6</v>
      </c>
      <c r="P17" s="152">
        <f>55+120+36</f>
        <v>211</v>
      </c>
      <c r="Q17" s="152">
        <f>+N17*P17</f>
        <v>114995</v>
      </c>
      <c r="R17" s="152">
        <f>+O17*P17</f>
        <v>101195.6</v>
      </c>
    </row>
    <row r="18" spans="1:18" ht="13.5" thickBot="1">
      <c r="A18" s="787"/>
      <c r="B18" s="218" t="s">
        <v>442</v>
      </c>
      <c r="C18" s="219">
        <v>1464</v>
      </c>
      <c r="D18" s="220">
        <v>400</v>
      </c>
      <c r="E18" s="228"/>
      <c r="F18" s="231"/>
      <c r="G18" s="585"/>
      <c r="H18" s="236" t="s">
        <v>653</v>
      </c>
      <c r="I18" s="785"/>
      <c r="J18" s="217">
        <f>+'1'!J18</f>
        <v>0</v>
      </c>
      <c r="K18" s="242"/>
      <c r="L18" s="242"/>
      <c r="M18" s="120">
        <f>+K18+'1'!M18+L18</f>
        <v>0</v>
      </c>
      <c r="N18" s="152">
        <v>800</v>
      </c>
      <c r="O18" s="152">
        <f>+N18-N18*0.14</f>
        <v>688</v>
      </c>
      <c r="P18" s="152">
        <f>60-36+120+45</f>
        <v>189</v>
      </c>
      <c r="Q18" s="152">
        <f>+N18*P18</f>
        <v>151200</v>
      </c>
      <c r="R18" s="152">
        <f>+O18*P18</f>
        <v>130032</v>
      </c>
    </row>
    <row r="19" spans="1:18" ht="13.5" thickBot="1">
      <c r="A19" s="787"/>
      <c r="B19" s="218"/>
      <c r="C19" s="219"/>
      <c r="D19" s="220"/>
      <c r="E19" s="228"/>
      <c r="F19" s="231">
        <v>5</v>
      </c>
      <c r="G19" s="585" t="s">
        <v>13</v>
      </c>
      <c r="H19" s="236" t="s">
        <v>654</v>
      </c>
      <c r="I19" s="785"/>
      <c r="J19" s="217">
        <f>+'1'!J19</f>
        <v>0</v>
      </c>
      <c r="K19" s="242"/>
      <c r="L19" s="242"/>
      <c r="M19" s="120">
        <f>+K19+'1'!M19+L19</f>
        <v>0</v>
      </c>
      <c r="P19" s="152">
        <f>SUM(P16:P18)</f>
        <v>465</v>
      </c>
      <c r="Q19" s="152">
        <f>SUM(Q16:Q18)</f>
        <v>297395</v>
      </c>
      <c r="R19" s="152">
        <f>SUM(R16:R18)</f>
        <v>258683.6</v>
      </c>
    </row>
    <row r="20" spans="1:18" ht="13.5" thickBot="1">
      <c r="A20" s="787"/>
      <c r="B20" s="218"/>
      <c r="C20" s="219"/>
      <c r="D20" s="220"/>
      <c r="E20" s="228"/>
      <c r="F20" s="231">
        <v>5</v>
      </c>
      <c r="G20" s="585" t="s">
        <v>13</v>
      </c>
      <c r="H20" s="236" t="s">
        <v>437</v>
      </c>
      <c r="I20" s="785"/>
      <c r="J20" s="217">
        <f>+'1'!J20</f>
        <v>0</v>
      </c>
      <c r="K20" s="243"/>
      <c r="L20" s="243"/>
      <c r="M20" s="120">
        <f>+K20+'1'!M20+L20</f>
        <v>0</v>
      </c>
      <c r="Q20" s="152">
        <f>+Q19/P19</f>
        <v>639.55913978494618</v>
      </c>
      <c r="R20" s="152">
        <f>+R19/P19</f>
        <v>556.30881720430114</v>
      </c>
    </row>
    <row r="21" spans="1:18" ht="13.5" thickBot="1">
      <c r="A21" s="787"/>
      <c r="B21" s="218"/>
      <c r="C21" s="219"/>
      <c r="D21" s="220"/>
      <c r="E21" s="228"/>
      <c r="F21" s="234">
        <v>15</v>
      </c>
      <c r="G21" s="235" t="s">
        <v>71</v>
      </c>
      <c r="H21" s="236" t="s">
        <v>438</v>
      </c>
      <c r="I21" s="785"/>
      <c r="J21" s="217">
        <f>+'1'!J21</f>
        <v>0</v>
      </c>
      <c r="K21" s="242"/>
      <c r="L21" s="242"/>
      <c r="M21" s="120">
        <f>+K21+'1'!M21+L21</f>
        <v>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17">
        <f>+'1'!J22</f>
        <v>0</v>
      </c>
      <c r="K22" s="242"/>
      <c r="L22" s="242"/>
      <c r="M22" s="120">
        <f>+K22+'1'!M22+L22</f>
        <v>0</v>
      </c>
    </row>
    <row r="23" spans="1:18" ht="13.5" thickBot="1">
      <c r="A23" s="788"/>
      <c r="B23" s="168" t="s">
        <v>3</v>
      </c>
      <c r="C23" s="103">
        <f>SUM(C16:C22)</f>
        <v>25402</v>
      </c>
      <c r="D23" s="114">
        <f>SUM(D16:D22)</f>
        <v>400</v>
      </c>
      <c r="E23" s="115">
        <f>SUM(E18:E22)</f>
        <v>0</v>
      </c>
      <c r="F23" s="119">
        <f>SUM(F15:F22)</f>
        <v>28</v>
      </c>
      <c r="G23" s="162"/>
      <c r="H23" s="169"/>
      <c r="I23" s="172"/>
      <c r="J23" s="217">
        <f>+'1'!J23</f>
        <v>0</v>
      </c>
      <c r="K23" s="242"/>
      <c r="L23" s="242"/>
      <c r="M23" s="120">
        <f>+K23+'1'!M23+L23</f>
        <v>0</v>
      </c>
    </row>
    <row r="24" spans="1:18" ht="13.5" customHeight="1" thickBot="1">
      <c r="A24" s="781" t="s">
        <v>408</v>
      </c>
      <c r="B24" s="173"/>
      <c r="C24" s="116">
        <f>C23/($C$23+$D$23+$E$23)</f>
        <v>0.98449732578869853</v>
      </c>
      <c r="D24" s="117">
        <f>D23/($C$23+$D$23+$E$23)</f>
        <v>1.550267421130145E-2</v>
      </c>
      <c r="E24" s="118">
        <f>E23/($C$23+$D$23+$E$23)</f>
        <v>0</v>
      </c>
      <c r="F24" s="231">
        <v>5</v>
      </c>
      <c r="G24" s="232" t="s">
        <v>13</v>
      </c>
      <c r="H24" s="233" t="s">
        <v>436</v>
      </c>
      <c r="I24" s="784" t="s">
        <v>433</v>
      </c>
      <c r="J24" s="217">
        <f>+'1'!J24</f>
        <v>0</v>
      </c>
      <c r="K24" s="242"/>
      <c r="L24" s="242"/>
      <c r="M24" s="120">
        <f>+K24+'1'!M24+L24</f>
        <v>0</v>
      </c>
    </row>
    <row r="25" spans="1:18" ht="13.5" customHeight="1" thickBot="1">
      <c r="A25" s="787"/>
      <c r="B25" s="218" t="s">
        <v>442</v>
      </c>
      <c r="C25" s="229">
        <v>12421</v>
      </c>
      <c r="D25" s="220"/>
      <c r="E25" s="228"/>
      <c r="F25" s="234">
        <v>5</v>
      </c>
      <c r="G25" s="585" t="s">
        <v>13</v>
      </c>
      <c r="H25" s="233" t="s">
        <v>434</v>
      </c>
      <c r="I25" s="785"/>
      <c r="J25" s="217">
        <f>+'1'!J25</f>
        <v>0</v>
      </c>
      <c r="K25" s="242"/>
      <c r="L25" s="242"/>
      <c r="M25" s="120">
        <f>+K25+'1'!M25+L25</f>
        <v>0</v>
      </c>
    </row>
    <row r="26" spans="1:18" ht="13.5" customHeight="1" thickBot="1">
      <c r="A26" s="787"/>
      <c r="B26" s="218" t="s">
        <v>443</v>
      </c>
      <c r="C26" s="229">
        <f>2529+1392</f>
        <v>3921</v>
      </c>
      <c r="D26" s="220">
        <v>800</v>
      </c>
      <c r="E26" s="230"/>
      <c r="F26" s="231">
        <v>10</v>
      </c>
      <c r="G26" s="585" t="s">
        <v>13</v>
      </c>
      <c r="H26" s="236" t="s">
        <v>226</v>
      </c>
      <c r="I26" s="785"/>
      <c r="J26" s="217">
        <f>+'1'!J26</f>
        <v>0</v>
      </c>
      <c r="K26" s="242"/>
      <c r="L26" s="242"/>
      <c r="M26" s="120">
        <f>+K26+'1'!M26+L26</f>
        <v>0</v>
      </c>
      <c r="N26" s="152">
        <v>800</v>
      </c>
      <c r="O26" s="152">
        <f>+N26-N26*0.14</f>
        <v>688</v>
      </c>
      <c r="P26" s="152">
        <f>60-35+180</f>
        <v>205</v>
      </c>
      <c r="Q26" s="152">
        <f>+N26*P26</f>
        <v>164000</v>
      </c>
      <c r="R26" s="152">
        <f>+O26*P26</f>
        <v>141040</v>
      </c>
    </row>
    <row r="27" spans="1:18" ht="13.5" customHeight="1" thickBot="1">
      <c r="A27" s="787"/>
      <c r="B27" s="218"/>
      <c r="C27" s="219"/>
      <c r="D27" s="220"/>
      <c r="E27" s="228"/>
      <c r="F27" s="231">
        <v>35</v>
      </c>
      <c r="G27" s="585" t="s">
        <v>71</v>
      </c>
      <c r="H27" s="236" t="s">
        <v>426</v>
      </c>
      <c r="I27" s="785"/>
      <c r="J27" s="217">
        <f>+'1'!J27</f>
        <v>0</v>
      </c>
      <c r="K27" s="242"/>
      <c r="L27" s="242"/>
      <c r="M27" s="120">
        <f>+K27+'1'!M27+L27</f>
        <v>0</v>
      </c>
      <c r="N27" s="152">
        <v>800</v>
      </c>
      <c r="O27" s="152">
        <f>+N27-N27*0.14</f>
        <v>688</v>
      </c>
      <c r="P27" s="152">
        <v>240</v>
      </c>
      <c r="Q27" s="152">
        <f>+N27*P27</f>
        <v>192000</v>
      </c>
      <c r="R27" s="152">
        <f>+O27*P27</f>
        <v>165120</v>
      </c>
    </row>
    <row r="28" spans="1:18" ht="13.5" customHeight="1" thickBot="1">
      <c r="A28" s="787"/>
      <c r="B28" s="218"/>
      <c r="C28" s="219"/>
      <c r="D28" s="220"/>
      <c r="E28" s="228"/>
      <c r="F28" s="234"/>
      <c r="G28" s="585"/>
      <c r="H28" s="236" t="s">
        <v>432</v>
      </c>
      <c r="I28" s="785"/>
      <c r="J28" s="217">
        <f>+'1'!J28</f>
        <v>0</v>
      </c>
      <c r="K28" s="242"/>
      <c r="L28" s="242"/>
      <c r="M28" s="120">
        <f>+K28+'1'!M28+L28</f>
        <v>0</v>
      </c>
      <c r="P28" s="152">
        <f>SUM(P26:P27)</f>
        <v>445</v>
      </c>
      <c r="Q28" s="152">
        <f>SUM(Q26:Q27)</f>
        <v>356000</v>
      </c>
      <c r="R28" s="152">
        <f>SUM(R26:R27)</f>
        <v>306160</v>
      </c>
    </row>
    <row r="29" spans="1:18" ht="13.5" customHeight="1" thickBot="1">
      <c r="A29" s="787"/>
      <c r="B29" s="218"/>
      <c r="C29" s="219"/>
      <c r="D29" s="220"/>
      <c r="E29" s="228"/>
      <c r="F29" s="239"/>
      <c r="G29" s="235"/>
      <c r="H29" s="236" t="s">
        <v>427</v>
      </c>
      <c r="I29" s="785"/>
      <c r="J29" s="217">
        <f>+'1'!J29</f>
        <v>0</v>
      </c>
      <c r="K29" s="242"/>
      <c r="L29" s="242"/>
      <c r="M29" s="120">
        <f>+K29+'1'!M29+L29</f>
        <v>0</v>
      </c>
      <c r="Q29" s="152">
        <f>+Q28/P28</f>
        <v>800</v>
      </c>
      <c r="R29" s="152">
        <f>+R28/P28</f>
        <v>688</v>
      </c>
    </row>
    <row r="30" spans="1:18" ht="13.5" customHeight="1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17">
        <f>+'1'!J30</f>
        <v>0</v>
      </c>
      <c r="K30" s="242"/>
      <c r="L30" s="242"/>
      <c r="M30" s="120">
        <f>+K30+'1'!M30+L30</f>
        <v>0</v>
      </c>
      <c r="N30" s="158"/>
    </row>
    <row r="31" spans="1:18" ht="13.5" customHeight="1" thickBot="1">
      <c r="A31" s="787"/>
      <c r="B31" s="218"/>
      <c r="C31" s="229"/>
      <c r="D31" s="220"/>
      <c r="E31" s="228"/>
      <c r="F31" s="239"/>
      <c r="G31" s="240"/>
      <c r="H31" s="592"/>
      <c r="I31" s="786"/>
      <c r="J31" s="217">
        <f>+'1'!J31</f>
        <v>0</v>
      </c>
      <c r="K31" s="242"/>
      <c r="L31" s="242"/>
      <c r="M31" s="120">
        <f>+K31+'1'!M31+L31</f>
        <v>0</v>
      </c>
    </row>
    <row r="32" spans="1:18" ht="13.5" customHeight="1" thickBot="1">
      <c r="A32" s="788"/>
      <c r="B32" s="168" t="s">
        <v>3</v>
      </c>
      <c r="C32" s="102">
        <f>SUM(C25:C31)</f>
        <v>16342</v>
      </c>
      <c r="D32" s="103">
        <f>SUM(D25:D31)</f>
        <v>800</v>
      </c>
      <c r="E32" s="104">
        <f>SUM(E25:E31)</f>
        <v>0</v>
      </c>
      <c r="F32" s="105">
        <f>SUM(F24:F31)</f>
        <v>55</v>
      </c>
      <c r="G32" s="174"/>
      <c r="H32" s="175"/>
      <c r="I32" s="172"/>
      <c r="J32" s="217">
        <f>+'1'!J32</f>
        <v>0</v>
      </c>
      <c r="K32" s="244"/>
      <c r="L32" s="246"/>
      <c r="M32" s="120">
        <f>+K32+'1'!M32+L32</f>
        <v>0</v>
      </c>
    </row>
    <row r="33" spans="1:14" ht="13.5" thickBot="1">
      <c r="A33" s="176"/>
      <c r="B33" s="177"/>
      <c r="C33" s="106">
        <f>C32/($C$32+$D$32+$E$32)</f>
        <v>0.95333099988332748</v>
      </c>
      <c r="D33" s="107">
        <f>D32/($C$32+$D$32+$E$32)</f>
        <v>4.66690001166725E-2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68052</v>
      </c>
      <c r="D34" s="110">
        <f>D14+D23+D32</f>
        <v>1200</v>
      </c>
      <c r="E34" s="110">
        <f>E14+E23+E32</f>
        <v>0</v>
      </c>
      <c r="F34" s="111">
        <f>F14+F23+F32</f>
        <v>88</v>
      </c>
      <c r="H34" s="181"/>
      <c r="I34" s="181"/>
      <c r="J34" s="126" t="s">
        <v>29</v>
      </c>
      <c r="K34" s="127">
        <f>SUM(K7:K32)</f>
        <v>68052</v>
      </c>
      <c r="L34" s="215">
        <f>SUM(L7:L32)</f>
        <v>0</v>
      </c>
      <c r="M34" s="123">
        <f>SUM(M7:M32)</f>
        <v>148221</v>
      </c>
      <c r="N34" s="158"/>
    </row>
    <row r="35" spans="1:14" ht="13.5" thickBot="1">
      <c r="A35" s="182"/>
      <c r="B35" s="183"/>
      <c r="C35" s="107">
        <f>C34/($C$34+$D$34+$E$34)</f>
        <v>0.98267198059261829</v>
      </c>
      <c r="D35" s="107">
        <f>D34/($C$34+$D$34+$E$34)</f>
        <v>1.7328019407381736E-2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372"/>
      <c r="G37" s="374"/>
      <c r="H37" s="189" t="s">
        <v>65</v>
      </c>
      <c r="I37" s="247">
        <f>(36*200+34*345+30*211+20*394+20*240)/1390*G42*3.4*1390/1000000</f>
        <v>70.826747926330938</v>
      </c>
      <c r="J37" s="128">
        <f>+I37+'1'!J37</f>
        <v>147.96905382633093</v>
      </c>
      <c r="K37" s="129" t="s">
        <v>66</v>
      </c>
      <c r="L37" s="437"/>
      <c r="M37" s="438"/>
      <c r="N37" s="152">
        <v>14.495000000000001</v>
      </c>
    </row>
    <row r="38" spans="1:14" ht="17.45" customHeight="1">
      <c r="A38" s="797" t="s">
        <v>13</v>
      </c>
      <c r="B38" s="798"/>
      <c r="C38" s="167">
        <f>SUMIF($G$7:$G$31,"Process",$F$7:$F$31)</f>
        <v>38</v>
      </c>
      <c r="D38" s="121">
        <f>+C38+'1'!D38</f>
        <v>53</v>
      </c>
      <c r="E38" s="146">
        <f t="shared" ref="E38:E51" si="0">D38/60</f>
        <v>0.8833333333333333</v>
      </c>
      <c r="F38" s="372">
        <v>469.58333333333331</v>
      </c>
      <c r="G38" s="372">
        <v>413.23333333333335</v>
      </c>
      <c r="H38" s="190" t="s">
        <v>67</v>
      </c>
      <c r="I38" s="562">
        <f>27.397+24.147+19.259</f>
        <v>70.802999999999997</v>
      </c>
      <c r="J38" s="130">
        <f>+I38+'1'!J38</f>
        <v>152.27000000000001</v>
      </c>
      <c r="K38" s="131" t="s">
        <v>66</v>
      </c>
      <c r="L38" s="439"/>
      <c r="M38" s="440"/>
      <c r="N38" s="152">
        <v>19.186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+C39+'1'!D39</f>
        <v>0</v>
      </c>
      <c r="E39" s="146">
        <f t="shared" si="0"/>
        <v>0</v>
      </c>
      <c r="F39" s="372">
        <v>639.55913978494618</v>
      </c>
      <c r="G39" s="372">
        <v>556.30881720430114</v>
      </c>
      <c r="H39" s="190" t="s">
        <v>68</v>
      </c>
      <c r="I39" s="145"/>
      <c r="J39" s="132">
        <f>J37/G4</f>
        <v>73.984526913165467</v>
      </c>
      <c r="K39" s="133" t="s">
        <v>66</v>
      </c>
      <c r="L39" s="439"/>
      <c r="M39" s="440"/>
      <c r="N39" s="152">
        <v>11.198</v>
      </c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>+C40+'1'!D40</f>
        <v>0</v>
      </c>
      <c r="E40" s="146">
        <f t="shared" si="0"/>
        <v>0</v>
      </c>
      <c r="F40" s="372">
        <v>800</v>
      </c>
      <c r="G40" s="372">
        <v>688</v>
      </c>
      <c r="H40" s="190" t="s">
        <v>70</v>
      </c>
      <c r="I40" s="121">
        <f>(K34+L34)/1000</f>
        <v>68.052000000000007</v>
      </c>
      <c r="J40" s="134">
        <f>+I40+'1'!J40</f>
        <v>148.221</v>
      </c>
      <c r="K40" s="133" t="s">
        <v>66</v>
      </c>
      <c r="L40" s="439"/>
      <c r="M40" s="440"/>
      <c r="N40" s="572">
        <v>14.156000000000001</v>
      </c>
    </row>
    <row r="41" spans="1:14" ht="17.45" customHeight="1">
      <c r="A41" s="793" t="s">
        <v>71</v>
      </c>
      <c r="B41" s="794"/>
      <c r="C41" s="167">
        <f>SUMIF($G$7:$G$31,"Electrical",$F$7:$F$31)</f>
        <v>50</v>
      </c>
      <c r="D41" s="121">
        <f>+C41+'1'!D41</f>
        <v>50</v>
      </c>
      <c r="E41" s="146">
        <f t="shared" si="0"/>
        <v>0.83333333333333337</v>
      </c>
      <c r="F41" s="372"/>
      <c r="G41" s="372"/>
      <c r="H41" s="190" t="s">
        <v>72</v>
      </c>
      <c r="I41" s="145"/>
      <c r="J41" s="132">
        <f>J40/G4</f>
        <v>74.110500000000002</v>
      </c>
      <c r="K41" s="133" t="s">
        <v>66</v>
      </c>
      <c r="L41" s="439"/>
      <c r="M41" s="440"/>
      <c r="N41" s="152">
        <v>11.768000000000001</v>
      </c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>+C42+'1'!D42</f>
        <v>0</v>
      </c>
      <c r="E42" s="146">
        <f t="shared" si="0"/>
        <v>0</v>
      </c>
      <c r="F42" s="372">
        <f>+(F38*480+F39*465+F40*445)/1390</f>
        <v>632.226618705036</v>
      </c>
      <c r="G42" s="372">
        <f>+(G38*480+G39*465+G40*445)/1390</f>
        <v>549.061582733813</v>
      </c>
      <c r="H42" s="190" t="s">
        <v>73</v>
      </c>
      <c r="I42" s="248" t="s">
        <v>657</v>
      </c>
      <c r="J42" s="135"/>
      <c r="K42" s="133" t="s">
        <v>74</v>
      </c>
      <c r="L42" s="439"/>
      <c r="M42" s="440"/>
    </row>
    <row r="43" spans="1:14" ht="17.45" customHeight="1">
      <c r="A43" s="793" t="s">
        <v>75</v>
      </c>
      <c r="B43" s="794"/>
      <c r="C43" s="167">
        <f>SUMIF($G$7:$G$31,"Water",$F$7:$F$31)</f>
        <v>0</v>
      </c>
      <c r="D43" s="121">
        <f>+C43+'1'!D43</f>
        <v>0</v>
      </c>
      <c r="E43" s="146">
        <f t="shared" si="0"/>
        <v>0</v>
      </c>
      <c r="F43" s="372"/>
      <c r="G43" s="373"/>
      <c r="H43" s="191" t="s">
        <v>76</v>
      </c>
      <c r="I43" s="121">
        <f>+Report1!AH10</f>
        <v>182.523</v>
      </c>
      <c r="J43" s="136">
        <f>+I43+'1'!J43</f>
        <v>366.92099999999999</v>
      </c>
      <c r="K43" s="133" t="s">
        <v>66</v>
      </c>
      <c r="L43" s="441">
        <f>+Report1!AN10</f>
        <v>17.899999999999999</v>
      </c>
      <c r="M43" s="442">
        <f>+L43+'1'!M43</f>
        <v>37.099999999999994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+C44+'1'!D44</f>
        <v>0</v>
      </c>
      <c r="E44" s="146">
        <f t="shared" si="0"/>
        <v>0</v>
      </c>
      <c r="F44" s="372"/>
      <c r="G44" s="373"/>
      <c r="H44" s="191" t="s">
        <v>77</v>
      </c>
      <c r="I44" s="121">
        <f>I43/I38</f>
        <v>2.577899241557561</v>
      </c>
      <c r="J44" s="137">
        <f>J43/J38</f>
        <v>2.4096736060944375</v>
      </c>
      <c r="K44" s="133" t="s">
        <v>66</v>
      </c>
      <c r="L44" s="443">
        <f>+L43/I38</f>
        <v>0.25281414629323617</v>
      </c>
      <c r="M44" s="444">
        <f>+M43/J38</f>
        <v>0.24364615485650484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>+C45+'1'!D45</f>
        <v>0</v>
      </c>
      <c r="E45" s="146">
        <f t="shared" si="0"/>
        <v>0</v>
      </c>
      <c r="F45" s="372"/>
      <c r="G45" s="375"/>
      <c r="H45" s="191" t="s">
        <v>78</v>
      </c>
      <c r="I45" s="121">
        <f>I43/I40</f>
        <v>2.682110738846764</v>
      </c>
      <c r="J45" s="137">
        <f>J43/J40</f>
        <v>2.4754994231586616</v>
      </c>
      <c r="K45" s="133" t="s">
        <v>66</v>
      </c>
      <c r="L45" s="443">
        <f>+L43/I40</f>
        <v>0.26303415035561034</v>
      </c>
      <c r="M45" s="444">
        <f>+M43/J40</f>
        <v>0.25030191403377383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>+C46+'1'!D46</f>
        <v>0</v>
      </c>
      <c r="E46" s="146">
        <f t="shared" si="0"/>
        <v>0</v>
      </c>
      <c r="F46" s="372"/>
      <c r="G46" s="373"/>
      <c r="H46" s="191" t="s">
        <v>80</v>
      </c>
      <c r="I46" s="143">
        <f>+SUMIF(Listrik!AC9,"&gt;0")</f>
        <v>36137.490000001388</v>
      </c>
      <c r="J46" s="138">
        <f>+I46+'1'!J46</f>
        <v>70529.420000000653</v>
      </c>
      <c r="K46" s="133" t="s">
        <v>81</v>
      </c>
      <c r="L46" s="443">
        <f>+Listrik!AF9</f>
        <v>31411</v>
      </c>
      <c r="M46" s="445">
        <f>+L46+'1'!M46</f>
        <v>62978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>+C47+'1'!D47</f>
        <v>0</v>
      </c>
      <c r="E47" s="146">
        <f t="shared" si="0"/>
        <v>0</v>
      </c>
      <c r="F47" s="372"/>
      <c r="G47" s="373"/>
      <c r="H47" s="191" t="s">
        <v>83</v>
      </c>
      <c r="I47" s="121">
        <f>I46/I38</f>
        <v>510.39489852126871</v>
      </c>
      <c r="J47" s="138">
        <f>J46/J38</f>
        <v>463.18657647600082</v>
      </c>
      <c r="K47" s="133" t="s">
        <v>25</v>
      </c>
      <c r="L47" s="439">
        <f>+L46/I38</f>
        <v>443.63939381099675</v>
      </c>
      <c r="M47" s="444">
        <f>+M46/J38</f>
        <v>413.59427333026855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>+C48+'1'!D48</f>
        <v>0</v>
      </c>
      <c r="E48" s="146">
        <f t="shared" si="0"/>
        <v>0</v>
      </c>
      <c r="F48" s="372"/>
      <c r="G48" s="373"/>
      <c r="H48" s="191" t="s">
        <v>84</v>
      </c>
      <c r="I48" s="121">
        <f>I46/I40</f>
        <v>531.02759654383976</v>
      </c>
      <c r="J48" s="138">
        <f>J46/J40</f>
        <v>475.8395908811886</v>
      </c>
      <c r="K48" s="133" t="s">
        <v>25</v>
      </c>
      <c r="L48" s="443">
        <f>+L46/I38</f>
        <v>443.63939381099675</v>
      </c>
      <c r="M48" s="444">
        <f>+M46/J40</f>
        <v>424.8925590840704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>+C49+'1'!D49</f>
        <v>0</v>
      </c>
      <c r="E49" s="146">
        <f t="shared" si="0"/>
        <v>0</v>
      </c>
      <c r="F49" s="188"/>
      <c r="H49" s="191" t="s">
        <v>170</v>
      </c>
      <c r="I49" s="121">
        <f>+Report1!AB10</f>
        <v>0</v>
      </c>
      <c r="J49" s="138">
        <f>+I49+'1'!J49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>+C50+'1'!D50</f>
        <v>0</v>
      </c>
      <c r="E50" s="146">
        <f t="shared" si="0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>+C51+'1'!D51</f>
        <v>0</v>
      </c>
      <c r="E51" s="146">
        <f t="shared" si="0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88</v>
      </c>
      <c r="D52" s="147">
        <f>SUM(D38:D51)</f>
        <v>103</v>
      </c>
      <c r="E52" s="148">
        <f>SUM(E38:E51)</f>
        <v>1.7166666666666668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6.1111111111111109E-2</v>
      </c>
      <c r="D53" s="149">
        <f>D52/(24*60*G4)</f>
        <v>3.5763888888888887E-2</v>
      </c>
      <c r="E53" s="150">
        <f>E52/(G4*24)</f>
        <v>3.5763888888888894E-2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+D34+'1'!J56</f>
        <v>1420</v>
      </c>
      <c r="K56" s="204">
        <f>J56/(J40+J56/1000)/1000</f>
        <v>9.489377911133981E-3</v>
      </c>
    </row>
    <row r="57" spans="1:13">
      <c r="A57" s="179"/>
      <c r="I57" s="202" t="s">
        <v>92</v>
      </c>
      <c r="J57" s="203">
        <f>+E34+'1'!J57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61"/>
  <sheetViews>
    <sheetView view="pageBreakPreview" topLeftCell="E4" zoomScale="80" zoomScaleNormal="75" zoomScaleSheetLayoutView="80" workbookViewId="0">
      <selection activeCell="F39" sqref="F39:G39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7109375" style="152" bestFit="1" customWidth="1"/>
    <col min="11" max="11" width="14" style="152" bestFit="1" customWidth="1"/>
    <col min="12" max="12" width="8.28515625" style="152" customWidth="1"/>
    <col min="13" max="13" width="14.42578125" style="152" bestFit="1" customWidth="1"/>
    <col min="14" max="14" width="9.140625" style="152" bestFit="1"/>
    <col min="15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31</v>
      </c>
      <c r="G4" s="157">
        <v>1</v>
      </c>
      <c r="H4" s="157" t="s">
        <v>382</v>
      </c>
    </row>
    <row r="5" spans="1:18" ht="13.5" thickBot="1">
      <c r="C5" s="158"/>
      <c r="D5" s="158"/>
    </row>
    <row r="6" spans="1:18" ht="26.25" thickBot="1">
      <c r="A6" s="159" t="s">
        <v>50</v>
      </c>
      <c r="B6" s="160" t="s">
        <v>10</v>
      </c>
      <c r="C6" s="160" t="s">
        <v>51</v>
      </c>
      <c r="D6" s="160" t="s">
        <v>52</v>
      </c>
      <c r="E6" s="161" t="s">
        <v>53</v>
      </c>
      <c r="F6" s="105" t="s">
        <v>54</v>
      </c>
      <c r="G6" s="160" t="s">
        <v>55</v>
      </c>
      <c r="H6" s="162" t="s">
        <v>56</v>
      </c>
      <c r="I6" s="163" t="s">
        <v>57</v>
      </c>
      <c r="J6" s="164" t="s">
        <v>10</v>
      </c>
      <c r="K6" s="165" t="s">
        <v>58</v>
      </c>
      <c r="L6" s="213" t="s">
        <v>143</v>
      </c>
      <c r="M6" s="166" t="s">
        <v>59</v>
      </c>
      <c r="N6" s="152">
        <f>393+389+381</f>
        <v>1163</v>
      </c>
    </row>
    <row r="7" spans="1:18" ht="13.5" customHeight="1" thickBot="1">
      <c r="A7" s="781" t="s">
        <v>409</v>
      </c>
      <c r="B7" s="218" t="s">
        <v>416</v>
      </c>
      <c r="C7" s="219">
        <v>25770</v>
      </c>
      <c r="D7" s="220">
        <v>220</v>
      </c>
      <c r="E7" s="221"/>
      <c r="F7" s="231"/>
      <c r="G7" s="232" t="s">
        <v>13</v>
      </c>
      <c r="H7" s="233" t="s">
        <v>391</v>
      </c>
      <c r="I7" s="784" t="s">
        <v>673</v>
      </c>
      <c r="J7" s="251" t="s">
        <v>416</v>
      </c>
      <c r="K7" s="241">
        <f>+C7+C16</f>
        <v>53722</v>
      </c>
      <c r="L7" s="245"/>
      <c r="M7" s="120">
        <f>+K7+L7</f>
        <v>53722</v>
      </c>
    </row>
    <row r="8" spans="1:18" ht="13.5" thickBot="1">
      <c r="A8" s="782"/>
      <c r="B8" s="218"/>
      <c r="C8" s="219"/>
      <c r="D8" s="220"/>
      <c r="E8" s="222"/>
      <c r="F8" s="234">
        <v>2</v>
      </c>
      <c r="G8" s="585" t="s">
        <v>13</v>
      </c>
      <c r="H8" s="233" t="s">
        <v>389</v>
      </c>
      <c r="I8" s="785"/>
      <c r="J8" s="252" t="s">
        <v>417</v>
      </c>
      <c r="K8" s="242">
        <f>+C25</f>
        <v>26447</v>
      </c>
      <c r="L8" s="242"/>
      <c r="M8" s="120">
        <f t="shared" ref="M8:M32" si="0">+K8+L8</f>
        <v>26447</v>
      </c>
      <c r="N8" s="152">
        <v>500</v>
      </c>
      <c r="O8" s="152">
        <f>+N8-N8*0.12</f>
        <v>440</v>
      </c>
      <c r="P8" s="152">
        <f>480+370</f>
        <v>850</v>
      </c>
    </row>
    <row r="9" spans="1:18" ht="13.5" thickBot="1">
      <c r="A9" s="782"/>
      <c r="B9" s="218"/>
      <c r="C9" s="219"/>
      <c r="D9" s="220"/>
      <c r="E9" s="223"/>
      <c r="F9" s="231">
        <v>3</v>
      </c>
      <c r="G9" s="585" t="s">
        <v>13</v>
      </c>
      <c r="H9" s="236" t="s">
        <v>226</v>
      </c>
      <c r="I9" s="785"/>
      <c r="J9" s="252"/>
      <c r="K9" s="242"/>
      <c r="L9" s="242"/>
      <c r="M9" s="120">
        <f t="shared" si="0"/>
        <v>0</v>
      </c>
    </row>
    <row r="10" spans="1:18" ht="13.5" thickBot="1">
      <c r="A10" s="782"/>
      <c r="B10" s="218"/>
      <c r="C10" s="219"/>
      <c r="D10" s="220"/>
      <c r="E10" s="222"/>
      <c r="F10" s="231"/>
      <c r="G10" s="585"/>
      <c r="H10" s="236" t="s">
        <v>671</v>
      </c>
      <c r="I10" s="785"/>
      <c r="J10" s="251"/>
      <c r="K10" s="242"/>
      <c r="L10" s="242"/>
      <c r="M10" s="120">
        <f t="shared" si="0"/>
        <v>0</v>
      </c>
    </row>
    <row r="11" spans="1:18" ht="13.5" thickBot="1">
      <c r="A11" s="782"/>
      <c r="B11" s="218"/>
      <c r="C11" s="219"/>
      <c r="D11" s="220"/>
      <c r="E11" s="222"/>
      <c r="F11" s="231"/>
      <c r="G11" s="585"/>
      <c r="H11" s="236"/>
      <c r="I11" s="785"/>
      <c r="J11" s="251"/>
      <c r="K11" s="242"/>
      <c r="L11" s="242"/>
      <c r="M11" s="120">
        <f t="shared" si="0"/>
        <v>0</v>
      </c>
    </row>
    <row r="12" spans="1:18" ht="13.5" thickBot="1">
      <c r="A12" s="782"/>
      <c r="B12" s="218"/>
      <c r="C12" s="219"/>
      <c r="D12" s="220"/>
      <c r="E12" s="222"/>
      <c r="F12" s="231"/>
      <c r="G12" s="235"/>
      <c r="H12" s="236"/>
      <c r="I12" s="785"/>
      <c r="J12" s="251"/>
      <c r="K12" s="242"/>
      <c r="L12" s="242"/>
      <c r="M12" s="120">
        <f t="shared" si="0"/>
        <v>0</v>
      </c>
    </row>
    <row r="13" spans="1:18" ht="13.5" thickBot="1">
      <c r="A13" s="782"/>
      <c r="B13" s="218"/>
      <c r="C13" s="219"/>
      <c r="D13" s="219"/>
      <c r="E13" s="222"/>
      <c r="F13" s="231"/>
      <c r="G13" s="235"/>
      <c r="H13" s="236"/>
      <c r="I13" s="786"/>
      <c r="J13" s="251"/>
      <c r="K13" s="242"/>
      <c r="L13" s="242"/>
      <c r="M13" s="120">
        <f t="shared" si="0"/>
        <v>0</v>
      </c>
    </row>
    <row r="14" spans="1:18" ht="13.5" thickBot="1">
      <c r="A14" s="783"/>
      <c r="B14" s="168" t="s">
        <v>3</v>
      </c>
      <c r="C14" s="102">
        <f>SUM(C7:C13)</f>
        <v>25770</v>
      </c>
      <c r="D14" s="114">
        <f>SUM(D7:D13)</f>
        <v>220</v>
      </c>
      <c r="E14" s="115">
        <f>SUM(E5:E13)</f>
        <v>0</v>
      </c>
      <c r="F14" s="119">
        <f>SUM(F7:F13)</f>
        <v>5</v>
      </c>
      <c r="G14" s="162"/>
      <c r="H14" s="169"/>
      <c r="I14" s="170"/>
      <c r="J14" s="251"/>
      <c r="K14" s="242"/>
      <c r="L14" s="242"/>
      <c r="M14" s="120">
        <f t="shared" si="0"/>
        <v>0</v>
      </c>
    </row>
    <row r="15" spans="1:18" ht="13.5" customHeight="1" thickBot="1">
      <c r="A15" s="781" t="s">
        <v>410</v>
      </c>
      <c r="B15" s="168"/>
      <c r="C15" s="116">
        <f>C14/($C$23+$D$23+$E$23)</f>
        <v>0.92193760732684604</v>
      </c>
      <c r="D15" s="117">
        <f>D14/($C$23+$D$23+$E$23)</f>
        <v>7.8706353749284485E-3</v>
      </c>
      <c r="E15" s="118">
        <f>E14/($C$23+$D$23+$E$23)</f>
        <v>0</v>
      </c>
      <c r="F15" s="231"/>
      <c r="G15" s="232" t="s">
        <v>13</v>
      </c>
      <c r="H15" s="233" t="s">
        <v>391</v>
      </c>
      <c r="I15" s="784" t="s">
        <v>672</v>
      </c>
      <c r="J15" s="251"/>
      <c r="K15" s="242"/>
      <c r="L15" s="242"/>
      <c r="M15" s="120">
        <f t="shared" si="0"/>
        <v>0</v>
      </c>
    </row>
    <row r="16" spans="1:18" ht="13.5" thickBot="1">
      <c r="A16" s="787"/>
      <c r="B16" s="218" t="s">
        <v>416</v>
      </c>
      <c r="C16" s="225">
        <v>27952</v>
      </c>
      <c r="D16" s="226"/>
      <c r="E16" s="227"/>
      <c r="F16" s="234">
        <v>2</v>
      </c>
      <c r="G16" s="585" t="s">
        <v>13</v>
      </c>
      <c r="H16" s="233" t="s">
        <v>389</v>
      </c>
      <c r="I16" s="785"/>
      <c r="J16" s="251"/>
      <c r="K16" s="232"/>
      <c r="L16" s="232"/>
      <c r="M16" s="120">
        <f t="shared" si="0"/>
        <v>0</v>
      </c>
      <c r="N16" s="152">
        <v>500</v>
      </c>
      <c r="O16" s="152">
        <f>+N16-N16*0.12</f>
        <v>440</v>
      </c>
      <c r="P16" s="152">
        <v>370</v>
      </c>
      <c r="Q16" s="152">
        <f>+N16*P16</f>
        <v>185000</v>
      </c>
      <c r="R16" s="152">
        <f>+O16*P16</f>
        <v>162800</v>
      </c>
    </row>
    <row r="17" spans="1:18" ht="13.5" thickBot="1">
      <c r="A17" s="787"/>
      <c r="B17" s="218"/>
      <c r="C17" s="219"/>
      <c r="D17" s="220"/>
      <c r="E17" s="228"/>
      <c r="F17" s="231">
        <v>3</v>
      </c>
      <c r="G17" s="585" t="s">
        <v>13</v>
      </c>
      <c r="H17" s="236" t="s">
        <v>226</v>
      </c>
      <c r="I17" s="785"/>
      <c r="J17" s="251"/>
      <c r="K17" s="232"/>
      <c r="L17" s="232"/>
      <c r="M17" s="120">
        <f t="shared" si="0"/>
        <v>0</v>
      </c>
      <c r="N17" s="152">
        <v>455</v>
      </c>
      <c r="O17" s="152">
        <f>+N17-N17*0.12</f>
        <v>400.4</v>
      </c>
      <c r="P17" s="152">
        <f>50+60</f>
        <v>110</v>
      </c>
      <c r="Q17" s="152">
        <f>+N17*P17</f>
        <v>50050</v>
      </c>
      <c r="R17" s="152">
        <f>+O17*P17</f>
        <v>44044</v>
      </c>
    </row>
    <row r="18" spans="1:18" ht="13.5" thickBot="1">
      <c r="A18" s="787"/>
      <c r="B18" s="218"/>
      <c r="C18" s="219"/>
      <c r="D18" s="220"/>
      <c r="E18" s="228"/>
      <c r="F18" s="231"/>
      <c r="G18" s="585"/>
      <c r="H18" s="236" t="s">
        <v>671</v>
      </c>
      <c r="I18" s="785"/>
      <c r="J18" s="251"/>
      <c r="K18" s="242"/>
      <c r="L18" s="242"/>
      <c r="M18" s="120">
        <f t="shared" si="0"/>
        <v>0</v>
      </c>
      <c r="P18" s="152">
        <f>SUM(P16:P17)</f>
        <v>480</v>
      </c>
      <c r="Q18" s="152">
        <f>SUM(Q16:Q17)</f>
        <v>235050</v>
      </c>
      <c r="R18" s="152">
        <f>SUM(R16:R17)</f>
        <v>206844</v>
      </c>
    </row>
    <row r="19" spans="1:18" ht="13.5" thickBot="1">
      <c r="A19" s="787"/>
      <c r="B19" s="218"/>
      <c r="C19" s="219"/>
      <c r="D19" s="220"/>
      <c r="E19" s="228"/>
      <c r="F19" s="238"/>
      <c r="G19" s="585"/>
      <c r="H19" s="236" t="s">
        <v>648</v>
      </c>
      <c r="I19" s="785"/>
      <c r="J19" s="251"/>
      <c r="K19" s="242"/>
      <c r="L19" s="242"/>
      <c r="M19" s="120">
        <f t="shared" si="0"/>
        <v>0</v>
      </c>
      <c r="Q19" s="152">
        <f>+Q18/P18</f>
        <v>489.6875</v>
      </c>
      <c r="R19" s="152">
        <f>+R18/P18</f>
        <v>430.92500000000001</v>
      </c>
    </row>
    <row r="20" spans="1:18" ht="13.5" thickBot="1">
      <c r="A20" s="787"/>
      <c r="B20" s="218"/>
      <c r="C20" s="219"/>
      <c r="D20" s="220"/>
      <c r="E20" s="228"/>
      <c r="F20" s="231"/>
      <c r="G20" s="235"/>
      <c r="H20" s="236"/>
      <c r="I20" s="785"/>
      <c r="J20" s="251"/>
      <c r="K20" s="243"/>
      <c r="L20" s="243"/>
      <c r="M20" s="120">
        <f t="shared" si="0"/>
        <v>0</v>
      </c>
    </row>
    <row r="21" spans="1:18" ht="13.5" thickBot="1">
      <c r="A21" s="787"/>
      <c r="B21" s="218"/>
      <c r="C21" s="219"/>
      <c r="D21" s="220"/>
      <c r="E21" s="228"/>
      <c r="F21" s="234"/>
      <c r="G21" s="235"/>
      <c r="H21" s="236"/>
      <c r="I21" s="785"/>
      <c r="J21" s="251"/>
      <c r="K21" s="242"/>
      <c r="L21" s="242"/>
      <c r="M21" s="120">
        <f t="shared" si="0"/>
        <v>0</v>
      </c>
    </row>
    <row r="22" spans="1:18" ht="13.5" thickBot="1">
      <c r="A22" s="787"/>
      <c r="B22" s="218"/>
      <c r="C22" s="219"/>
      <c r="D22" s="220"/>
      <c r="E22" s="228"/>
      <c r="F22" s="239"/>
      <c r="G22" s="235"/>
      <c r="H22" s="236"/>
      <c r="I22" s="786"/>
      <c r="J22" s="251"/>
      <c r="K22" s="242"/>
      <c r="L22" s="242"/>
      <c r="M22" s="120">
        <f t="shared" si="0"/>
        <v>0</v>
      </c>
    </row>
    <row r="23" spans="1:18" ht="13.5" thickBot="1">
      <c r="A23" s="788"/>
      <c r="B23" s="168" t="s">
        <v>3</v>
      </c>
      <c r="C23" s="103">
        <f>SUM(C16:C22)</f>
        <v>27952</v>
      </c>
      <c r="D23" s="114">
        <f>SUM(D16:D22)</f>
        <v>0</v>
      </c>
      <c r="E23" s="115">
        <f>SUM(E18:E22)</f>
        <v>0</v>
      </c>
      <c r="F23" s="119">
        <f>SUM(F15:F22)</f>
        <v>5</v>
      </c>
      <c r="G23" s="162"/>
      <c r="H23" s="169"/>
      <c r="I23" s="172"/>
      <c r="J23" s="251"/>
      <c r="K23" s="242"/>
      <c r="L23" s="242"/>
      <c r="M23" s="120">
        <f t="shared" si="0"/>
        <v>0</v>
      </c>
    </row>
    <row r="24" spans="1:18" ht="13.5" customHeight="1" thickBot="1">
      <c r="A24" s="781" t="s">
        <v>408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13</v>
      </c>
      <c r="H24" s="233" t="s">
        <v>391</v>
      </c>
      <c r="I24" s="784" t="s">
        <v>650</v>
      </c>
      <c r="J24" s="251"/>
      <c r="K24" s="242"/>
      <c r="L24" s="242"/>
      <c r="M24" s="120">
        <f t="shared" si="0"/>
        <v>0</v>
      </c>
    </row>
    <row r="25" spans="1:18" ht="13.5" thickBot="1">
      <c r="A25" s="787"/>
      <c r="B25" s="218" t="s">
        <v>417</v>
      </c>
      <c r="C25" s="229">
        <v>26447</v>
      </c>
      <c r="D25" s="220"/>
      <c r="E25" s="228"/>
      <c r="F25" s="234">
        <v>2</v>
      </c>
      <c r="G25" s="585" t="s">
        <v>13</v>
      </c>
      <c r="H25" s="233" t="s">
        <v>389</v>
      </c>
      <c r="I25" s="785"/>
      <c r="J25" s="251"/>
      <c r="K25" s="242"/>
      <c r="L25" s="242"/>
      <c r="M25" s="120">
        <f t="shared" si="0"/>
        <v>0</v>
      </c>
    </row>
    <row r="26" spans="1:18" ht="13.5" thickBot="1">
      <c r="A26" s="787"/>
      <c r="B26" s="218"/>
      <c r="C26" s="229"/>
      <c r="D26" s="220"/>
      <c r="E26" s="230"/>
      <c r="F26" s="231">
        <v>3</v>
      </c>
      <c r="G26" s="585" t="s">
        <v>13</v>
      </c>
      <c r="H26" s="236" t="s">
        <v>226</v>
      </c>
      <c r="I26" s="785"/>
      <c r="J26" s="251"/>
      <c r="K26" s="242"/>
      <c r="L26" s="242"/>
      <c r="M26" s="120">
        <f t="shared" si="0"/>
        <v>0</v>
      </c>
    </row>
    <row r="27" spans="1:18" ht="13.5" thickBot="1">
      <c r="A27" s="787"/>
      <c r="B27" s="218"/>
      <c r="C27" s="219"/>
      <c r="D27" s="220"/>
      <c r="E27" s="228"/>
      <c r="F27" s="231"/>
      <c r="G27" s="585"/>
      <c r="H27" s="236" t="s">
        <v>649</v>
      </c>
      <c r="I27" s="785"/>
      <c r="J27" s="251"/>
      <c r="K27" s="242"/>
      <c r="L27" s="242"/>
      <c r="M27" s="120">
        <f t="shared" si="0"/>
        <v>0</v>
      </c>
    </row>
    <row r="28" spans="1:18" ht="13.5" thickBot="1">
      <c r="A28" s="787"/>
      <c r="B28" s="218"/>
      <c r="C28" s="219"/>
      <c r="D28" s="220"/>
      <c r="E28" s="228"/>
      <c r="F28" s="234"/>
      <c r="G28" s="585"/>
      <c r="H28" s="236"/>
      <c r="I28" s="785"/>
      <c r="J28" s="251"/>
      <c r="K28" s="242"/>
      <c r="L28" s="242"/>
      <c r="M28" s="120">
        <f t="shared" si="0"/>
        <v>0</v>
      </c>
    </row>
    <row r="29" spans="1:18" ht="13.5" thickBot="1">
      <c r="A29" s="787"/>
      <c r="B29" s="218"/>
      <c r="C29" s="219"/>
      <c r="D29" s="220"/>
      <c r="E29" s="228"/>
      <c r="F29" s="239"/>
      <c r="G29" s="235"/>
      <c r="H29" s="236"/>
      <c r="I29" s="785"/>
      <c r="J29" s="251"/>
      <c r="K29" s="242"/>
      <c r="L29" s="242"/>
      <c r="M29" s="120">
        <f t="shared" si="0"/>
        <v>0</v>
      </c>
    </row>
    <row r="30" spans="1:18" ht="13.5" thickBot="1">
      <c r="A30" s="787"/>
      <c r="B30" s="218"/>
      <c r="C30" s="229"/>
      <c r="D30" s="220"/>
      <c r="E30" s="228"/>
      <c r="F30" s="239"/>
      <c r="G30" s="235"/>
      <c r="H30" s="236"/>
      <c r="I30" s="785"/>
      <c r="J30" s="251"/>
      <c r="K30" s="242"/>
      <c r="L30" s="242"/>
      <c r="M30" s="120">
        <f t="shared" si="0"/>
        <v>0</v>
      </c>
      <c r="N30" s="158"/>
    </row>
    <row r="31" spans="1:18" ht="13.5" thickBot="1">
      <c r="A31" s="787"/>
      <c r="B31" s="218"/>
      <c r="C31" s="229"/>
      <c r="D31" s="220"/>
      <c r="E31" s="228"/>
      <c r="F31" s="239"/>
      <c r="G31" s="240"/>
      <c r="H31" s="592"/>
      <c r="I31" s="786"/>
      <c r="J31" s="251"/>
      <c r="K31" s="242"/>
      <c r="L31" s="242"/>
      <c r="M31" s="120">
        <f t="shared" si="0"/>
        <v>0</v>
      </c>
    </row>
    <row r="32" spans="1:18" ht="13.5" thickBot="1">
      <c r="A32" s="788"/>
      <c r="B32" s="168" t="s">
        <v>3</v>
      </c>
      <c r="C32" s="102">
        <f>SUM(C25:C31)</f>
        <v>26447</v>
      </c>
      <c r="D32" s="103">
        <f>SUM(D25:D31)</f>
        <v>0</v>
      </c>
      <c r="E32" s="104">
        <f>SUM(E25:E31)</f>
        <v>0</v>
      </c>
      <c r="F32" s="105">
        <f>SUM(F24:F31)</f>
        <v>5</v>
      </c>
      <c r="G32" s="174"/>
      <c r="H32" s="175"/>
      <c r="I32" s="172"/>
      <c r="J32" s="253"/>
      <c r="K32" s="244"/>
      <c r="L32" s="246"/>
      <c r="M32" s="120">
        <f t="shared" si="0"/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91" t="s">
        <v>60</v>
      </c>
      <c r="B34" s="792"/>
      <c r="C34" s="110">
        <f>C14+C23+C32</f>
        <v>80169</v>
      </c>
      <c r="D34" s="110">
        <f>D14+D23+D32</f>
        <v>220</v>
      </c>
      <c r="E34" s="110">
        <f>E14+E23+E32</f>
        <v>0</v>
      </c>
      <c r="F34" s="111">
        <f>F14+F23+F32</f>
        <v>15</v>
      </c>
      <c r="H34" s="181"/>
      <c r="I34" s="181"/>
      <c r="J34" s="126" t="s">
        <v>29</v>
      </c>
      <c r="K34" s="127">
        <f>SUM(K7:K32)</f>
        <v>80169</v>
      </c>
      <c r="L34" s="215">
        <f>SUM(L7:L32)</f>
        <v>0</v>
      </c>
      <c r="M34" s="123">
        <f>SUM(M7:M32)</f>
        <v>80169</v>
      </c>
      <c r="N34" s="158"/>
    </row>
    <row r="35" spans="1:14" ht="13.5" thickBot="1">
      <c r="A35" s="182"/>
      <c r="B35" s="183"/>
      <c r="C35" s="107">
        <f>C34/($C$34+$D$34+$E$34)</f>
        <v>0.99726330716889122</v>
      </c>
      <c r="D35" s="107">
        <f>D34/($C$34+$D$34+$E$34)</f>
        <v>2.7366928311087337E-3</v>
      </c>
      <c r="E35" s="112">
        <f>E34/($C$34+$D$34+$E$34)</f>
        <v>0</v>
      </c>
      <c r="K35" s="158"/>
      <c r="L35" s="780" t="s">
        <v>186</v>
      </c>
      <c r="M35" s="780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42</v>
      </c>
      <c r="J36" s="165" t="s">
        <v>43</v>
      </c>
      <c r="K36" s="185"/>
      <c r="L36" s="165" t="s">
        <v>42</v>
      </c>
      <c r="M36" s="165" t="s">
        <v>43</v>
      </c>
    </row>
    <row r="37" spans="1:14" ht="17.45" customHeight="1" thickBot="1">
      <c r="A37" s="795" t="s">
        <v>61</v>
      </c>
      <c r="B37" s="796"/>
      <c r="C37" s="165" t="s">
        <v>62</v>
      </c>
      <c r="D37" s="186" t="s">
        <v>63</v>
      </c>
      <c r="E37" s="187" t="s">
        <v>64</v>
      </c>
      <c r="F37" s="188"/>
      <c r="G37" s="158"/>
      <c r="H37" s="189" t="s">
        <v>65</v>
      </c>
      <c r="I37" s="247">
        <f>(38*850+36*590)/1440*G42*3.4*1440/1000000</f>
        <v>77.142305900000011</v>
      </c>
      <c r="J37" s="128">
        <f>I37</f>
        <v>77.142305900000011</v>
      </c>
      <c r="K37" s="129" t="s">
        <v>66</v>
      </c>
      <c r="L37" s="437"/>
      <c r="M37" s="438"/>
      <c r="N37" s="586">
        <f>+I38-N38</f>
        <v>48.856000000000009</v>
      </c>
    </row>
    <row r="38" spans="1:14" ht="17.45" customHeight="1">
      <c r="A38" s="797" t="s">
        <v>13</v>
      </c>
      <c r="B38" s="798"/>
      <c r="C38" s="167">
        <f>SUMIF($G$7:$G$31,"Process",$F$7:$F$31)</f>
        <v>15</v>
      </c>
      <c r="D38" s="121">
        <f>C38</f>
        <v>15</v>
      </c>
      <c r="E38" s="146">
        <f t="shared" ref="E38:E51" si="1">D38/60</f>
        <v>0.25</v>
      </c>
      <c r="F38" s="188">
        <v>500</v>
      </c>
      <c r="G38" s="188">
        <v>440</v>
      </c>
      <c r="H38" s="190" t="s">
        <v>67</v>
      </c>
      <c r="I38" s="562">
        <f>27.099+26.509+27.859</f>
        <v>81.467000000000013</v>
      </c>
      <c r="J38" s="130">
        <f>I38</f>
        <v>81.467000000000013</v>
      </c>
      <c r="K38" s="131" t="s">
        <v>66</v>
      </c>
      <c r="L38" s="439"/>
      <c r="M38" s="440"/>
      <c r="N38" s="563">
        <f>1.544+3.208+27.859</f>
        <v>32.611000000000004</v>
      </c>
    </row>
    <row r="39" spans="1:14" ht="17.45" customHeight="1">
      <c r="A39" s="793" t="s">
        <v>14</v>
      </c>
      <c r="B39" s="794"/>
      <c r="C39" s="167">
        <f>SUMIF($G$7:$G$31,"Cleaning",$F$7:$F$31)</f>
        <v>0</v>
      </c>
      <c r="D39" s="121">
        <f>C39</f>
        <v>0</v>
      </c>
      <c r="E39" s="146">
        <f t="shared" si="1"/>
        <v>0</v>
      </c>
      <c r="F39" s="188">
        <v>489.6875</v>
      </c>
      <c r="G39" s="188">
        <v>430.92500000000001</v>
      </c>
      <c r="H39" s="190" t="s">
        <v>68</v>
      </c>
      <c r="I39" s="145"/>
      <c r="J39" s="132">
        <f>J37/G4</f>
        <v>77.142305900000011</v>
      </c>
      <c r="K39" s="133" t="s">
        <v>66</v>
      </c>
      <c r="L39" s="439"/>
      <c r="M39" s="440"/>
    </row>
    <row r="40" spans="1:14" ht="17.45" customHeight="1">
      <c r="A40" s="793" t="s">
        <v>69</v>
      </c>
      <c r="B40" s="794"/>
      <c r="C40" s="167">
        <f>SUMIF($G$7:$G$31,"Mechanical",$F$7:$F$31)</f>
        <v>0</v>
      </c>
      <c r="D40" s="121">
        <f t="shared" ref="D40:D51" si="2">C40</f>
        <v>0</v>
      </c>
      <c r="E40" s="146">
        <f t="shared" si="1"/>
        <v>0</v>
      </c>
      <c r="F40" s="188">
        <v>455</v>
      </c>
      <c r="G40" s="188">
        <v>400.4</v>
      </c>
      <c r="H40" s="190" t="s">
        <v>70</v>
      </c>
      <c r="I40" s="121">
        <f>(K34+L34)/1000</f>
        <v>80.168999999999997</v>
      </c>
      <c r="J40" s="134">
        <f>M34/1000</f>
        <v>80.168999999999997</v>
      </c>
      <c r="K40" s="133" t="s">
        <v>66</v>
      </c>
      <c r="L40" s="439"/>
      <c r="M40" s="440"/>
    </row>
    <row r="41" spans="1:14" ht="17.45" customHeight="1">
      <c r="A41" s="793" t="s">
        <v>71</v>
      </c>
      <c r="B41" s="794"/>
      <c r="C41" s="167">
        <f>SUMIF($G$7:$G$31,"Electrical",$F$7:$F$31)</f>
        <v>0</v>
      </c>
      <c r="D41" s="121">
        <f t="shared" si="2"/>
        <v>0</v>
      </c>
      <c r="E41" s="146">
        <f t="shared" si="1"/>
        <v>0</v>
      </c>
      <c r="F41" s="188"/>
      <c r="G41" s="188"/>
      <c r="H41" s="190" t="s">
        <v>72</v>
      </c>
      <c r="I41" s="145"/>
      <c r="J41" s="132">
        <f>J40/G4</f>
        <v>80.168999999999997</v>
      </c>
      <c r="K41" s="133" t="s">
        <v>66</v>
      </c>
      <c r="L41" s="439"/>
      <c r="M41" s="440"/>
    </row>
    <row r="42" spans="1:14" ht="17.45" customHeight="1">
      <c r="A42" s="793" t="s">
        <v>17</v>
      </c>
      <c r="B42" s="794"/>
      <c r="C42" s="167">
        <f>SUMIF($G$7:$G$31,"Instrument",$F$7:$F$31)</f>
        <v>0</v>
      </c>
      <c r="D42" s="121">
        <f t="shared" si="2"/>
        <v>0</v>
      </c>
      <c r="E42" s="146">
        <f t="shared" si="1"/>
        <v>0</v>
      </c>
      <c r="F42" s="188">
        <f>+(F38*480+F39*480+F40*480)/1440</f>
        <v>481.5625</v>
      </c>
      <c r="G42" s="188">
        <f>+(G38*480+G39*480+G40*480)/1440</f>
        <v>423.77499999999998</v>
      </c>
      <c r="H42" s="190" t="s">
        <v>73</v>
      </c>
      <c r="I42" s="248" t="s">
        <v>651</v>
      </c>
      <c r="J42" s="135"/>
      <c r="K42" s="133" t="s">
        <v>74</v>
      </c>
      <c r="L42" s="439"/>
      <c r="M42" s="440"/>
    </row>
    <row r="43" spans="1:14" ht="17.45" customHeight="1">
      <c r="A43" s="793" t="s">
        <v>201</v>
      </c>
      <c r="B43" s="794"/>
      <c r="C43" s="167">
        <f>SUMIF($G$7:$G$31,"Change Grade",$F$7:$F$31)</f>
        <v>0</v>
      </c>
      <c r="D43" s="121">
        <f t="shared" si="2"/>
        <v>0</v>
      </c>
      <c r="E43" s="146">
        <f t="shared" si="1"/>
        <v>0</v>
      </c>
      <c r="F43" s="188"/>
      <c r="H43" s="191" t="s">
        <v>76</v>
      </c>
      <c r="I43" s="121">
        <f>+Report1!AH9</f>
        <v>184.398</v>
      </c>
      <c r="J43" s="136">
        <f>I43</f>
        <v>184.398</v>
      </c>
      <c r="K43" s="133" t="s">
        <v>66</v>
      </c>
      <c r="L43" s="441">
        <f>+Report1!AN9</f>
        <v>19.2</v>
      </c>
      <c r="M43" s="442">
        <f>+L43</f>
        <v>19.2</v>
      </c>
    </row>
    <row r="44" spans="1:14" ht="17.45" customHeight="1">
      <c r="A44" s="793" t="s">
        <v>18</v>
      </c>
      <c r="B44" s="794"/>
      <c r="C44" s="167">
        <f>SUMIF($G$7:$G$31,"PLN",$F$7:$F$31)</f>
        <v>0</v>
      </c>
      <c r="D44" s="121">
        <f>C44</f>
        <v>0</v>
      </c>
      <c r="E44" s="146">
        <f t="shared" si="1"/>
        <v>0</v>
      </c>
      <c r="F44" s="188"/>
      <c r="H44" s="191" t="s">
        <v>77</v>
      </c>
      <c r="I44" s="121">
        <f>I43/I38</f>
        <v>2.2634686437453198</v>
      </c>
      <c r="J44" s="137">
        <f>J43/J38</f>
        <v>2.2634686437453198</v>
      </c>
      <c r="K44" s="133" t="s">
        <v>66</v>
      </c>
      <c r="L44" s="443">
        <f>+L43/I38</f>
        <v>0.23567825008899304</v>
      </c>
      <c r="M44" s="444">
        <f>+M43/J38</f>
        <v>0.23567825008899304</v>
      </c>
    </row>
    <row r="45" spans="1:14" ht="17.45" customHeight="1">
      <c r="A45" s="793" t="s">
        <v>19</v>
      </c>
      <c r="B45" s="794"/>
      <c r="C45" s="167">
        <f>SUMIF($G$7:$G$31,"Boiler",$F$7:$F$31)</f>
        <v>0</v>
      </c>
      <c r="D45" s="121">
        <f t="shared" si="2"/>
        <v>0</v>
      </c>
      <c r="E45" s="146">
        <f t="shared" si="1"/>
        <v>0</v>
      </c>
      <c r="F45" s="188"/>
      <c r="G45" s="179"/>
      <c r="H45" s="191" t="s">
        <v>78</v>
      </c>
      <c r="I45" s="121">
        <f>I43/I40</f>
        <v>2.3001160049395653</v>
      </c>
      <c r="J45" s="137">
        <f>J43/J40</f>
        <v>2.3001160049395653</v>
      </c>
      <c r="K45" s="133" t="s">
        <v>66</v>
      </c>
      <c r="L45" s="443">
        <f>+L43/I40</f>
        <v>0.23949406877970289</v>
      </c>
      <c r="M45" s="444">
        <f>+M43/J40</f>
        <v>0.23949406877970289</v>
      </c>
    </row>
    <row r="46" spans="1:14" ht="17.45" customHeight="1">
      <c r="A46" s="793" t="s">
        <v>79</v>
      </c>
      <c r="B46" s="794"/>
      <c r="C46" s="167">
        <f>SUMIF($G$7:$G$31,"Gas",$F$7:$F$31)</f>
        <v>0</v>
      </c>
      <c r="D46" s="121">
        <f t="shared" si="2"/>
        <v>0</v>
      </c>
      <c r="E46" s="146">
        <f t="shared" si="1"/>
        <v>0</v>
      </c>
      <c r="F46" s="188"/>
      <c r="H46" s="191" t="s">
        <v>80</v>
      </c>
      <c r="I46" s="143">
        <f>+SUMIF(Listrik!AC8,"&gt;0")</f>
        <v>34391.929999999258</v>
      </c>
      <c r="J46" s="138">
        <f>I46</f>
        <v>34391.929999999258</v>
      </c>
      <c r="K46" s="133" t="s">
        <v>81</v>
      </c>
      <c r="L46" s="443">
        <f>+Listrik!AF8</f>
        <v>31567</v>
      </c>
      <c r="M46" s="445">
        <f>+L46</f>
        <v>31567</v>
      </c>
    </row>
    <row r="47" spans="1:14" ht="17.45" customHeight="1">
      <c r="A47" s="793" t="s">
        <v>82</v>
      </c>
      <c r="B47" s="794"/>
      <c r="C47" s="167">
        <f>SUMIF($G$7:$G$31,"Gas",$F$7:$F$31)</f>
        <v>0</v>
      </c>
      <c r="D47" s="121">
        <f t="shared" si="2"/>
        <v>0</v>
      </c>
      <c r="E47" s="146">
        <f t="shared" si="1"/>
        <v>0</v>
      </c>
      <c r="F47" s="188"/>
      <c r="H47" s="191" t="s">
        <v>83</v>
      </c>
      <c r="I47" s="121">
        <f>I46/I38</f>
        <v>422.15780622827958</v>
      </c>
      <c r="J47" s="138">
        <f>J46/J38</f>
        <v>422.15780622827958</v>
      </c>
      <c r="K47" s="133" t="s">
        <v>25</v>
      </c>
      <c r="L47" s="443">
        <f>+L46/I38</f>
        <v>387.48204794579397</v>
      </c>
      <c r="M47" s="444">
        <f>+M46/J38</f>
        <v>387.48204794579397</v>
      </c>
    </row>
    <row r="48" spans="1:14" ht="17.45" customHeight="1">
      <c r="A48" s="793" t="s">
        <v>15</v>
      </c>
      <c r="B48" s="794"/>
      <c r="C48" s="167">
        <f>SUMIF($G$7:$G$31,"Start Up",$F$7:$F$31)</f>
        <v>0</v>
      </c>
      <c r="D48" s="121">
        <f t="shared" si="2"/>
        <v>0</v>
      </c>
      <c r="E48" s="146">
        <f t="shared" si="1"/>
        <v>0</v>
      </c>
      <c r="F48" s="188"/>
      <c r="H48" s="191" t="s">
        <v>84</v>
      </c>
      <c r="I48" s="121">
        <f>I46/I40</f>
        <v>428.99287754617444</v>
      </c>
      <c r="J48" s="138">
        <f>J46/J40</f>
        <v>428.99287754617444</v>
      </c>
      <c r="K48" s="133" t="s">
        <v>25</v>
      </c>
      <c r="L48" s="443">
        <f>+L46/I38</f>
        <v>387.48204794579397</v>
      </c>
      <c r="M48" s="444">
        <f>+M46/J40</f>
        <v>393.75569110254588</v>
      </c>
    </row>
    <row r="49" spans="1:13" ht="17.45" customHeight="1">
      <c r="A49" s="793" t="s">
        <v>21</v>
      </c>
      <c r="B49" s="794"/>
      <c r="C49" s="167">
        <f>SUMIF($G$7:$G$31,"Others",$F$7:$F$31)</f>
        <v>0</v>
      </c>
      <c r="D49" s="121">
        <f t="shared" si="2"/>
        <v>0</v>
      </c>
      <c r="E49" s="146">
        <f t="shared" si="1"/>
        <v>0</v>
      </c>
      <c r="F49" s="188"/>
      <c r="H49" s="191" t="s">
        <v>170</v>
      </c>
      <c r="I49" s="121"/>
      <c r="J49" s="138">
        <f>I49</f>
        <v>0</v>
      </c>
      <c r="K49" s="133" t="s">
        <v>86</v>
      </c>
      <c r="L49" s="439"/>
      <c r="M49" s="440"/>
    </row>
    <row r="50" spans="1:13" ht="17.45" customHeight="1">
      <c r="A50" s="793" t="s">
        <v>20</v>
      </c>
      <c r="B50" s="794"/>
      <c r="C50" s="167">
        <f>SUMIF($G$7:$G$31,"Steam",$F$7:$F$31)</f>
        <v>0</v>
      </c>
      <c r="D50" s="121">
        <f t="shared" si="2"/>
        <v>0</v>
      </c>
      <c r="E50" s="146">
        <f t="shared" si="1"/>
        <v>0</v>
      </c>
      <c r="F50" s="188"/>
      <c r="H50" s="191" t="s">
        <v>87</v>
      </c>
      <c r="I50" s="143">
        <f>I49/I38</f>
        <v>0</v>
      </c>
      <c r="J50" s="136">
        <f>J49/J38</f>
        <v>0</v>
      </c>
      <c r="K50" s="133" t="s">
        <v>86</v>
      </c>
      <c r="L50" s="439"/>
      <c r="M50" s="440"/>
    </row>
    <row r="51" spans="1:13" ht="17.45" customHeight="1" thickBot="1">
      <c r="A51" s="799" t="s">
        <v>88</v>
      </c>
      <c r="B51" s="800"/>
      <c r="C51" s="167">
        <f>SUMIF($G$7:$G$31,"Planned shut",$F$7:$F$31)</f>
        <v>0</v>
      </c>
      <c r="D51" s="121">
        <f t="shared" si="2"/>
        <v>0</v>
      </c>
      <c r="E51" s="146">
        <f t="shared" si="1"/>
        <v>0</v>
      </c>
      <c r="F51" s="188"/>
      <c r="H51" s="193" t="s">
        <v>89</v>
      </c>
      <c r="I51" s="144">
        <f>I49/I40</f>
        <v>0</v>
      </c>
      <c r="J51" s="139">
        <f>J49/J40</f>
        <v>0</v>
      </c>
      <c r="K51" s="140" t="s">
        <v>86</v>
      </c>
      <c r="L51" s="439"/>
      <c r="M51" s="440"/>
    </row>
    <row r="52" spans="1:13" ht="13.5" thickBot="1">
      <c r="A52" s="797" t="s">
        <v>29</v>
      </c>
      <c r="B52" s="798"/>
      <c r="C52" s="147">
        <f>SUM(C38:C51)</f>
        <v>15</v>
      </c>
      <c r="D52" s="147">
        <f>SUM(D38:D51)</f>
        <v>15</v>
      </c>
      <c r="E52" s="148">
        <f>SUM(E38:E51)</f>
        <v>0.25</v>
      </c>
      <c r="F52" s="188"/>
      <c r="H52" s="194"/>
      <c r="I52" s="195"/>
      <c r="J52" s="141"/>
      <c r="K52" s="142"/>
      <c r="L52" s="446"/>
      <c r="M52" s="447"/>
    </row>
    <row r="53" spans="1:13" ht="13.5" thickBot="1">
      <c r="A53" s="801"/>
      <c r="B53" s="802"/>
      <c r="C53" s="149">
        <f>C52/(24*60)</f>
        <v>1.0416666666666666E-2</v>
      </c>
      <c r="D53" s="149">
        <f>D52/(24*60*G4)</f>
        <v>1.0416666666666666E-2</v>
      </c>
      <c r="E53" s="150">
        <f>E52/(G4*24)</f>
        <v>1.0416666666666666E-2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90</v>
      </c>
      <c r="B56" s="198"/>
      <c r="C56" s="199"/>
      <c r="D56" s="199"/>
      <c r="E56" s="199"/>
      <c r="F56" s="200"/>
      <c r="G56" s="199"/>
      <c r="H56" s="201"/>
      <c r="I56" s="202" t="s">
        <v>91</v>
      </c>
      <c r="J56" s="203">
        <f>D34</f>
        <v>220</v>
      </c>
      <c r="K56" s="204">
        <f>J56/(J40+J56/1000)/1000</f>
        <v>2.7366928311087341E-3</v>
      </c>
    </row>
    <row r="57" spans="1:13">
      <c r="A57" s="179"/>
      <c r="I57" s="202" t="s">
        <v>92</v>
      </c>
      <c r="J57" s="203">
        <f>+E34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40:B40"/>
    <mergeCell ref="A41:B41"/>
    <mergeCell ref="A38:B38"/>
    <mergeCell ref="A39:B39"/>
    <mergeCell ref="A37:B37"/>
    <mergeCell ref="A7:A14"/>
    <mergeCell ref="I7:I13"/>
    <mergeCell ref="A15:A23"/>
    <mergeCell ref="I15:I22"/>
    <mergeCell ref="A34:B34"/>
    <mergeCell ref="A24:A32"/>
    <mergeCell ref="I24:I31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0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36</vt:i4>
      </vt:variant>
    </vt:vector>
  </HeadingPairs>
  <TitlesOfParts>
    <vt:vector size="78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win10</cp:lastModifiedBy>
  <cp:revision/>
  <cp:lastPrinted>2025-09-02T02:48:53Z</cp:lastPrinted>
  <dcterms:created xsi:type="dcterms:W3CDTF">2007-07-30T03:52:39Z</dcterms:created>
  <dcterms:modified xsi:type="dcterms:W3CDTF">2025-10-13T03:20:42Z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